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procesados" sheetId="1" r:id="rId4"/>
    <sheet state="visible" name="Indicador_MUN" sheetId="2" r:id="rId5"/>
    <sheet state="visible" name="Absoluto_MUN" sheetId="3" r:id="rId6"/>
    <sheet state="visible" name="Indicador_DEP" sheetId="4" r:id="rId7"/>
    <sheet state="visible" name="Absoluto_DEP" sheetId="5" r:id="rId8"/>
    <sheet state="visible" name="Umbral" sheetId="6" r:id="rId9"/>
    <sheet state="visible" name="Clasificación " sheetId="7" r:id="rId10"/>
  </sheets>
  <externalReferences>
    <externalReference r:id="rId11"/>
  </externalReferences>
  <definedNames>
    <definedName hidden="1" localSheetId="6" name="_xlnm._FilterDatabase">'Clasificación '!$A$1:$F$344</definedName>
  </definedNames>
  <calcPr/>
  <extLst>
    <ext uri="GoogleSheetsCustomDataVersion2">
      <go:sheetsCustomData xmlns:go="http://customooxmlschemas.google.com/" r:id="rId12" roundtripDataChecksum="Rj1VrJalbp8C31SwFNw5l3UMaDmJ3PKckgB68k61sls="/>
    </ext>
  </extLst>
</workbook>
</file>

<file path=xl/sharedStrings.xml><?xml version="1.0" encoding="utf-8"?>
<sst xmlns="http://schemas.openxmlformats.org/spreadsheetml/2006/main" count="1823" uniqueCount="429">
  <si>
    <t>id</t>
  </si>
  <si>
    <t>Departamento</t>
  </si>
  <si>
    <t>Municipio</t>
  </si>
  <si>
    <t>labores de casa hombres 2012</t>
  </si>
  <si>
    <t>poblacion  14 a 25 años hombres 2012</t>
  </si>
  <si>
    <t>Propoción de hombres en labores de casa (15-24 años) 2012 (%)</t>
  </si>
  <si>
    <t>labores de casa hombres 2024</t>
  </si>
  <si>
    <t>poblacion de 14 a 25 años hombres 2024</t>
  </si>
  <si>
    <t>Propoción de hombres en labores de casa (15-24 años) 2024 (%)</t>
  </si>
  <si>
    <t>labores de casa mujeres 2012</t>
  </si>
  <si>
    <t>poblacion de 14 a 25 años mujeres 2012</t>
  </si>
  <si>
    <t>Propoción de mujeres en labores de casa (15-24 años) 2012 (%)</t>
  </si>
  <si>
    <t>labores de casa mujeres 2024</t>
  </si>
  <si>
    <t>poblacion  14 a 25 años mujeres 2024</t>
  </si>
  <si>
    <t>Propoción de mujeres en labores de casa (15-24 años) 2024 (%)</t>
  </si>
  <si>
    <t>Paridad de género en labores del hogar o labores de cuidado (15-24 años) 2012</t>
  </si>
  <si>
    <t>Paridad de género en labores del hogar o labores de cuidado (15-24 años) 2024</t>
  </si>
  <si>
    <t>id_departamento</t>
  </si>
  <si>
    <t>poblacion de 14 a 25 años hombres 2012</t>
  </si>
  <si>
    <t>poblacion  14 a 25 años hombres 2024</t>
  </si>
  <si>
    <t>poblacion 14 a 25 años mujeres 2024</t>
  </si>
  <si>
    <t>Chuquisaca</t>
  </si>
  <si>
    <t>Sucre</t>
  </si>
  <si>
    <t>Yotala</t>
  </si>
  <si>
    <t>La Paz</t>
  </si>
  <si>
    <t>Poroma</t>
  </si>
  <si>
    <t>Cochabamba</t>
  </si>
  <si>
    <t>Villa Azurduy</t>
  </si>
  <si>
    <t>Oruro</t>
  </si>
  <si>
    <t>Tarvita</t>
  </si>
  <si>
    <t>Potosí</t>
  </si>
  <si>
    <t>Zudañez</t>
  </si>
  <si>
    <t>Tarija</t>
  </si>
  <si>
    <t>Presto</t>
  </si>
  <si>
    <t>Santa Cruz</t>
  </si>
  <si>
    <t>Villa Mojocoya</t>
  </si>
  <si>
    <t>Beni</t>
  </si>
  <si>
    <t>Icla</t>
  </si>
  <si>
    <t>Pando</t>
  </si>
  <si>
    <t>Padilla</t>
  </si>
  <si>
    <t>Gran Chaco</t>
  </si>
  <si>
    <t>Tomina</t>
  </si>
  <si>
    <t>Bolivia</t>
  </si>
  <si>
    <t>Sopachuy</t>
  </si>
  <si>
    <t>Villa Alcalá</t>
  </si>
  <si>
    <t>promedio 2012</t>
  </si>
  <si>
    <t>El Villar</t>
  </si>
  <si>
    <t>desv</t>
  </si>
  <si>
    <t>Monteagudo</t>
  </si>
  <si>
    <t>San Pablo de Huacareta</t>
  </si>
  <si>
    <t>Tarabuco</t>
  </si>
  <si>
    <t>Yamparáez</t>
  </si>
  <si>
    <t>Camargo</t>
  </si>
  <si>
    <t>promedio 2024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</si>
  <si>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</si>
  <si>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</si>
  <si>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</si>
  <si>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</si>
  <si>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</si>
  <si>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</si>
  <si>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</si>
  <si>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Guzman</t>
  </si>
  <si>
    <t>Huacaya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</si>
  <si>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</si>
  <si>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</si>
  <si>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</si>
  <si>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</si>
  <si>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</si>
  <si>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</si>
  <si>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</si>
  <si>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</si>
  <si>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</si>
  <si>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</si>
  <si>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</si>
  <si>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</si>
  <si>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</si>
  <si>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</si>
  <si>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</si>
  <si>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</si>
  <si>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</si>
  <si>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</si>
  <si>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</si>
  <si>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</si>
  <si>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</si>
  <si>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</si>
  <si>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</si>
  <si>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</si>
  <si>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</si>
  <si>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</si>
  <si>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</si>
  <si>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</si>
  <si>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</si>
  <si>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</si>
  <si>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</si>
  <si>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</si>
  <si>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</si>
  <si>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</si>
  <si>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</si>
  <si>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</si>
  <si>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</si>
  <si>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</si>
  <si>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</si>
  <si>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</si>
  <si>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</si>
  <si>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</si>
  <si>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</si>
  <si>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</si>
  <si>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</si>
  <si>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</si>
  <si>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</si>
  <si>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</si>
  <si>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</si>
  <si>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</si>
  <si>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</si>
  <si>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</si>
  <si>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</si>
  <si>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</si>
  <si>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</si>
  <si>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</si>
  <si>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</si>
  <si>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</si>
  <si>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</si>
  <si>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</si>
  <si>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</si>
  <si>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</si>
  <si>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</si>
  <si>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</si>
  <si>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</si>
  <si>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</si>
  <si>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</si>
  <si>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</si>
  <si>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</si>
  <si>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</si>
  <si>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</si>
  <si>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</si>
  <si>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</si>
  <si>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</si>
  <si>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</si>
  <si>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</si>
  <si>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General Juan José Pérez (Charazani)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</si>
  <si>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</si>
  <si>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</si>
  <si>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</si>
  <si>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</si>
  <si>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</si>
  <si>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</si>
  <si>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</si>
  <si>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</si>
  <si>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</si>
  <si>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</si>
  <si>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</si>
  <si>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</si>
  <si>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</si>
  <si>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</si>
  <si>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</si>
  <si>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</si>
  <si>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</si>
  <si>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</si>
  <si>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</si>
  <si>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</si>
  <si>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</si>
  <si>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</si>
  <si>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</si>
  <si>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</si>
  <si>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</si>
  <si>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</si>
  <si>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</si>
  <si>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</si>
  <si>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</si>
  <si>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</si>
  <si>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</si>
  <si>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</si>
  <si>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</si>
  <si>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</si>
  <si>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</si>
  <si>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</si>
  <si>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</si>
  <si>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</si>
  <si>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</si>
  <si>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</si>
  <si>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</si>
  <si>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</si>
  <si>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</si>
  <si>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</si>
  <si>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</si>
  <si>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</si>
  <si>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</si>
  <si>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</si>
  <si>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</si>
  <si>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</si>
  <si>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</si>
  <si>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</si>
  <si>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</si>
  <si>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</si>
  <si>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</si>
  <si>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</si>
  <si>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</si>
  <si>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</si>
  <si>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Caracollo</t>
  </si>
  <si>
    <t>El Choro</t>
  </si>
  <si>
    <t>Soracachi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</si>
  <si>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</si>
  <si>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</si>
  <si>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</si>
  <si>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</si>
  <si>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</si>
  <si>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</si>
  <si>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</si>
  <si>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</si>
  <si>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</si>
  <si>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</si>
  <si>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</si>
  <si>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</si>
  <si>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</si>
  <si>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</si>
  <si>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</si>
  <si>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</si>
  <si>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Garcí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</si>
  <si>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</si>
  <si>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</si>
  <si>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</si>
  <si>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</si>
  <si>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</si>
  <si>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</si>
  <si>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</si>
  <si>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</si>
  <si>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</si>
  <si>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Santiago de Huari</t>
  </si>
  <si>
    <t>La Rivera</t>
  </si>
  <si>
    <t>Todos Santos</t>
  </si>
  <si>
    <t>Carangas</t>
  </si>
  <si>
    <t>Huayllamarca (Santiago de Huayllamarca)</t>
  </si>
  <si>
    <t>Tinguipaya</t>
  </si>
  <si>
    <t>Yocalla</t>
  </si>
  <si>
    <t>Belén de Urmiri</t>
  </si>
  <si>
    <t>Uncía</t>
  </si>
  <si>
    <t>Chayanta</t>
  </si>
  <si>
    <t>Llallagua</t>
  </si>
  <si>
    <t>Chuquihuta -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</si>
  <si>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</si>
  <si>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</si>
  <si>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</si>
  <si>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</si>
  <si>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</si>
  <si>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</si>
  <si>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</si>
  <si>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</si>
  <si>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 de Buena Vista</t>
  </si>
  <si>
    <t>Toro Toro</t>
  </si>
  <si>
    <t>Cotagaita</t>
  </si>
  <si>
    <t>Vitichi</t>
  </si>
  <si>
    <t>Sacaca (Villa de Sacaca)</t>
  </si>
  <si>
    <t>Caripuyo</t>
  </si>
  <si>
    <t>Tupiza</t>
  </si>
  <si>
    <t>Atocha</t>
  </si>
  <si>
    <t>Colcha ''K'' (Villa Martin)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</si>
  <si>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</si>
  <si>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</si>
  <si>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</si>
  <si>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</si>
  <si>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</si>
  <si>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</si>
  <si>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</si>
  <si>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</si>
  <si>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</si>
  <si>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</si>
  <si>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</si>
  <si>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</si>
  <si>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</si>
  <si>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</si>
  <si>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</si>
  <si>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</si>
  <si>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</si>
  <si>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</si>
  <si>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</si>
  <si>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</si>
  <si>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</si>
  <si>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 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</si>
  <si>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</si>
  <si>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</si>
  <si>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</si>
  <si>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</si>
  <si>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</si>
  <si>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</si>
  <si>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</si>
  <si>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</si>
  <si>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</si>
  <si>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</si>
  <si>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</si>
  <si>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</si>
  <si>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</si>
  <si>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</si>
  <si>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</si>
  <si>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</si>
  <si>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</si>
  <si>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</si>
  <si>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</si>
  <si>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</si>
  <si>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</si>
  <si>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</si>
  <si>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</si>
  <si>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</si>
  <si>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</si>
  <si>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</si>
  <si>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</si>
  <si>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</si>
  <si>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</si>
  <si>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</si>
  <si>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</si>
  <si>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</si>
  <si>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</si>
  <si>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</si>
  <si>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</si>
  <si>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</si>
  <si>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Samaipata</t>
  </si>
  <si>
    <t>Pampa Grande</t>
  </si>
  <si>
    <t>Mairana</t>
  </si>
  <si>
    <t>Quirusillas</t>
  </si>
  <si>
    <t>Montero</t>
  </si>
  <si>
    <t>General Saavedra</t>
  </si>
  <si>
    <t>Mineros</t>
  </si>
  <si>
    <t>Fernández Alonso</t>
  </si>
  <si>
    <t>San Pedro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</si>
  <si>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</si>
  <si>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</si>
  <si>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</si>
  <si>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</si>
  <si>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</si>
  <si>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</si>
  <si>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</si>
  <si>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</si>
  <si>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</si>
  <si>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Suarez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</si>
  <si>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</si>
  <si>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</si>
  <si>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</si>
  <si>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</si>
  <si>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</si>
  <si>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</si>
  <si>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</si>
  <si>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</si>
  <si>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</si>
  <si>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</si>
  <si>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</si>
  <si>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</si>
  <si>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</si>
  <si>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</si>
  <si>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</si>
  <si>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</si>
  <si>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</si>
  <si>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</si>
  <si>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</si>
  <si>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</si>
  <si>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</si>
  <si>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Indigena Multiétnico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</si>
  <si>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</si>
  <si>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</si>
  <si>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</si>
  <si>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</si>
  <si>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</si>
  <si>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</si>
  <si>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</si>
  <si>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San Lorenzo</t>
  </si>
  <si>
    <t>Sena</t>
  </si>
  <si>
    <t>Santa Rosa del Abuná</t>
  </si>
  <si>
    <t>Ingavi</t>
  </si>
  <si>
    <t>Nueva Esperanza</t>
  </si>
  <si>
    <t>Villa Nueva (Loma Alta)</t>
  </si>
  <si>
    <t>Santos Mercado</t>
  </si>
  <si>
    <t>PROMEDIO 2012</t>
  </si>
  <si>
    <t>PROMEDIO 2024</t>
  </si>
  <si>
    <t>Paridad 2012</t>
  </si>
  <si>
    <t>Paridad 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</si>
  <si>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</si>
  <si>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</si>
  <si>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</si>
  <si>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</si>
  <si>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</si>
  <si>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</si>
  <si>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</si>
  <si>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</si>
  <si>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</si>
  <si>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</si>
  <si>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de umbral verde</t>
  </si>
  <si>
    <t xml:space="preserve">Paridad de género en labores del hogar o labores de cuidado (15-24 años) </t>
  </si>
  <si>
    <t>Paridad alcanzada</t>
  </si>
  <si>
    <t>Codigo</t>
  </si>
  <si>
    <t xml:space="preserve">Umbral </t>
  </si>
  <si>
    <t>Azurduy</t>
  </si>
  <si>
    <t>Zudáñez</t>
  </si>
  <si>
    <t>Mojocoya</t>
  </si>
  <si>
    <t>Alcalá</t>
  </si>
  <si>
    <t>Huacareta</t>
  </si>
  <si>
    <t>Villa Vaca Guzmán</t>
  </si>
  <si>
    <t>Huacaya (Autonomía Guaraní Chaqueño de Huacaya)</t>
  </si>
  <si>
    <t>Villa Ancoraimes</t>
  </si>
  <si>
    <t>Corocoro</t>
  </si>
  <si>
    <t>Waldo Ballivián</t>
  </si>
  <si>
    <t>Puerto Mayor de Guaqui</t>
  </si>
  <si>
    <t>La (Marka) San Andrés de Machaca</t>
  </si>
  <si>
    <t>Jesús de Machaka</t>
  </si>
  <si>
    <t>Sicasica</t>
  </si>
  <si>
    <t>Charazani</t>
  </si>
  <si>
    <t>Ayopaya</t>
  </si>
  <si>
    <t>Santiváñez</t>
  </si>
  <si>
    <t>Sipesipe</t>
  </si>
  <si>
    <t>Villa Gualberto Villarroel</t>
  </si>
  <si>
    <t>Bolívar</t>
  </si>
  <si>
    <t>Paria</t>
  </si>
  <si>
    <t>Salinas de Garci Mendoza (Autonomía Indígena Originario Campesina de Salinas)</t>
  </si>
  <si>
    <t>Uru Chipaya (Nación Originaria Uru Chipaya)</t>
  </si>
  <si>
    <t>Andamarca</t>
  </si>
  <si>
    <t>Santiago de Huayllamarca</t>
  </si>
  <si>
    <t>Urmiri</t>
  </si>
  <si>
    <t>Chuquihuta Ayllu Jucumani</t>
  </si>
  <si>
    <t>Sacaca</t>
  </si>
  <si>
    <t>Colcha "K"</t>
  </si>
  <si>
    <t>San Pablo</t>
  </si>
  <si>
    <t>San Miguel</t>
  </si>
  <si>
    <t>San José</t>
  </si>
  <si>
    <t>Charagua (Autonomía Guaraní Charagua Iyambae)</t>
  </si>
  <si>
    <t>Gutiérrez (Autonomía Indígena Kereimba Iyaambae)</t>
  </si>
  <si>
    <t>Moromoro</t>
  </si>
  <si>
    <t>Pampagrande</t>
  </si>
  <si>
    <t>Puerto Suárez</t>
  </si>
  <si>
    <t>Puerto Menor de Rurrenabaque</t>
  </si>
  <si>
    <t>Santa Ana</t>
  </si>
  <si>
    <t>TIOC-Territorio Indígena Multiétnico</t>
  </si>
  <si>
    <t>Villa Nueva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</si>
</sst>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0"/>
    <numFmt numFmtId="165" formatCode="0.00000"/>
    <numFmt numFmtId="166" formatCode="#,##0.0"/>
  </numFmts>
  <fonts count="12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0.0"/>
      <color rgb="FF000000"/>
      <name val="Arial"/>
    </font>
    <font>
      <b/>
      <sz val="10.0"/>
      <color rgb="FFFF0000"/>
      <name val="Arial"/>
    </font>
    <font>
      <sz val="10.0"/>
      <color theme="1"/>
      <name val="Arial"/>
    </font>
    <font>
      <sz val="11.0"/>
      <color theme="1"/>
      <name val="Calibri"/>
    </font>
    <font>
      <sz val="10.0"/>
      <color rgb="FF000000"/>
      <name val="Arial"/>
    </font>
    <font>
      <sz val="11.0"/>
      <color theme="1"/>
      <name val="Aptos Narrow"/>
    </font>
    <font>
      <color theme="1"/>
      <name val="Arial"/>
      <scheme val="minor"/>
    </font>
    <font>
      <b/>
      <sz val="9.0"/>
      <color theme="1"/>
      <name val="Play"/>
    </font>
    <font>
      <sz val="11.0"/>
      <color theme="1"/>
      <name val="Arial"/>
    </font>
    <font>
      <b/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49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1" fillId="0" fontId="5" numFmtId="164" xfId="0" applyAlignment="1" applyBorder="1" applyFont="1" applyNumberFormat="1">
      <alignment horizontal="right"/>
    </xf>
    <xf borderId="1" fillId="0" fontId="5" numFmtId="49" xfId="0" applyBorder="1" applyFont="1" applyNumberFormat="1"/>
    <xf borderId="1" fillId="0" fontId="5" numFmtId="1" xfId="0" applyAlignment="1" applyBorder="1" applyFont="1" applyNumberFormat="1">
      <alignment horizontal="right"/>
    </xf>
    <xf borderId="1" fillId="0" fontId="4" numFmtId="2" xfId="0" applyBorder="1" applyFont="1" applyNumberFormat="1"/>
    <xf borderId="1" fillId="0" fontId="5" numFmtId="0" xfId="0" applyBorder="1" applyFont="1"/>
    <xf borderId="2" fillId="0" fontId="4" numFmtId="2" xfId="0" applyBorder="1" applyFont="1" applyNumberFormat="1"/>
    <xf borderId="1" fillId="0" fontId="5" numFmtId="0" xfId="0" applyAlignment="1" applyBorder="1" applyFont="1">
      <alignment horizontal="right"/>
    </xf>
    <xf borderId="1" fillId="2" fontId="5" numFmtId="1" xfId="0" applyBorder="1" applyFill="1" applyFont="1" applyNumberFormat="1"/>
    <xf borderId="3" fillId="2" fontId="5" numFmtId="1" xfId="0" applyBorder="1" applyFont="1" applyNumberFormat="1"/>
    <xf borderId="1" fillId="0" fontId="6" numFmtId="1" xfId="0" applyBorder="1" applyFont="1" applyNumberFormat="1"/>
    <xf borderId="1" fillId="0" fontId="6" numFmtId="2" xfId="0" applyBorder="1" applyFont="1" applyNumberFormat="1"/>
    <xf borderId="1" fillId="0" fontId="6" numFmtId="0" xfId="0" applyBorder="1" applyFont="1"/>
    <xf borderId="2" fillId="0" fontId="5" numFmtId="1" xfId="0" applyAlignment="1" applyBorder="1" applyFont="1" applyNumberFormat="1">
      <alignment horizontal="right"/>
    </xf>
    <xf borderId="1" fillId="0" fontId="7" numFmtId="0" xfId="0" applyBorder="1" applyFont="1"/>
    <xf borderId="1" fillId="0" fontId="7" numFmtId="2" xfId="0" applyBorder="1" applyFont="1" applyNumberFormat="1"/>
    <xf borderId="0" fillId="0" fontId="7" numFmtId="0" xfId="0" applyFont="1"/>
    <xf borderId="1" fillId="0" fontId="7" numFmtId="1" xfId="0" applyBorder="1" applyFont="1" applyNumberFormat="1"/>
    <xf borderId="0" fillId="0" fontId="5" numFmtId="0" xfId="0" applyAlignment="1" applyFont="1">
      <alignment horizontal="right"/>
    </xf>
    <xf borderId="0" fillId="0" fontId="5" numFmtId="0" xfId="0" applyFont="1"/>
    <xf borderId="0" fillId="0" fontId="4" numFmtId="0" xfId="0" applyFont="1"/>
    <xf borderId="0" fillId="0" fontId="4" numFmtId="2" xfId="0" applyFont="1" applyNumberFormat="1"/>
    <xf borderId="0" fillId="0" fontId="5" numFmtId="2" xfId="0" applyFont="1" applyNumberFormat="1"/>
    <xf borderId="0" fillId="0" fontId="5" numFmtId="165" xfId="0" applyFont="1" applyNumberFormat="1"/>
    <xf borderId="1" fillId="0" fontId="5" numFmtId="3" xfId="0" applyAlignment="1" applyBorder="1" applyFont="1" applyNumberFormat="1">
      <alignment horizontal="right"/>
    </xf>
    <xf borderId="0" fillId="0" fontId="4" numFmtId="164" xfId="0" applyFont="1" applyNumberFormat="1"/>
    <xf borderId="0" fillId="0" fontId="4" numFmtId="49" xfId="0" applyFont="1" applyNumberFormat="1"/>
    <xf borderId="0" fillId="0" fontId="8" numFmtId="0" xfId="0" applyFont="1"/>
    <xf borderId="1" fillId="0" fontId="1" numFmtId="1" xfId="0" applyAlignment="1" applyBorder="1" applyFont="1" applyNumberFormat="1">
      <alignment horizontal="center" vertical="center"/>
    </xf>
    <xf borderId="4" fillId="0" fontId="5" numFmtId="1" xfId="0" applyAlignment="1" applyBorder="1" applyFont="1" applyNumberFormat="1">
      <alignment horizontal="right"/>
    </xf>
    <xf borderId="4" fillId="0" fontId="5" numFmtId="49" xfId="0" applyBorder="1" applyFont="1" applyNumberFormat="1"/>
    <xf borderId="4" fillId="0" fontId="5" numFmtId="0" xfId="0" applyAlignment="1" applyBorder="1" applyFont="1">
      <alignment horizontal="right"/>
    </xf>
    <xf borderId="1" fillId="0" fontId="1" numFmtId="0" xfId="0" applyAlignment="1" applyBorder="1" applyFont="1">
      <alignment horizontal="center" vertical="center"/>
    </xf>
    <xf borderId="1" fillId="0" fontId="1" numFmtId="1" xfId="0" applyAlignment="1" applyBorder="1" applyFont="1" applyNumberFormat="1">
      <alignment horizontal="right"/>
    </xf>
    <xf borderId="1" fillId="0" fontId="1" numFmtId="0" xfId="0" applyBorder="1" applyFont="1"/>
    <xf borderId="1" fillId="0" fontId="4" numFmtId="2" xfId="0" applyAlignment="1" applyBorder="1" applyFont="1" applyNumberFormat="1">
      <alignment horizontal="right"/>
    </xf>
    <xf borderId="1" fillId="3" fontId="1" numFmtId="0" xfId="0" applyBorder="1" applyFill="1" applyFont="1"/>
    <xf borderId="5" fillId="3" fontId="1" numFmtId="0" xfId="0" applyBorder="1" applyFont="1"/>
    <xf borderId="1" fillId="4" fontId="9" numFmtId="0" xfId="0" applyAlignment="1" applyBorder="1" applyFill="1" applyFont="1">
      <alignment horizontal="center" shrinkToFit="0" wrapText="1"/>
    </xf>
    <xf borderId="1" fillId="5" fontId="9" numFmtId="0" xfId="0" applyAlignment="1" applyBorder="1" applyFill="1" applyFont="1">
      <alignment horizontal="center" shrinkToFit="0" wrapText="1"/>
    </xf>
    <xf borderId="1" fillId="6" fontId="9" numFmtId="0" xfId="0" applyAlignment="1" applyBorder="1" applyFill="1" applyFont="1">
      <alignment horizontal="center" shrinkToFit="0" wrapText="1"/>
    </xf>
    <xf borderId="1" fillId="7" fontId="9" numFmtId="0" xfId="0" applyAlignment="1" applyBorder="1" applyFill="1" applyFont="1">
      <alignment horizontal="center" shrinkToFit="0" wrapText="1"/>
    </xf>
    <xf borderId="0" fillId="0" fontId="10" numFmtId="0" xfId="0" applyAlignment="1" applyFont="1">
      <alignment readingOrder="0"/>
    </xf>
    <xf borderId="2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wrapText="1"/>
    </xf>
    <xf borderId="0" fillId="0" fontId="10" numFmtId="0" xfId="0" applyFont="1"/>
    <xf borderId="0" fillId="0" fontId="1" numFmtId="0" xfId="0" applyAlignment="1" applyFont="1">
      <alignment horizontal="center" shrinkToFit="0" wrapText="1"/>
    </xf>
    <xf borderId="0" fillId="0" fontId="10" numFmtId="0" xfId="0" applyAlignment="1" applyFont="1">
      <alignment shrinkToFit="0" vertical="center" wrapText="1"/>
    </xf>
    <xf borderId="1" fillId="0" fontId="10" numFmtId="0" xfId="0" applyAlignment="1" applyBorder="1" applyFont="1">
      <alignment horizontal="center"/>
    </xf>
    <xf borderId="1" fillId="0" fontId="10" numFmtId="2" xfId="0" applyBorder="1" applyFont="1" applyNumberFormat="1"/>
    <xf borderId="1" fillId="0" fontId="10" numFmtId="166" xfId="0" applyAlignment="1" applyBorder="1" applyFont="1" applyNumberFormat="1">
      <alignment horizontal="center"/>
    </xf>
    <xf borderId="0" fillId="0" fontId="10" numFmtId="2" xfId="0" applyFont="1" applyNumberFormat="1"/>
    <xf borderId="1" fillId="0" fontId="10" numFmtId="1" xfId="0" applyAlignment="1" applyBorder="1" applyFont="1" applyNumberFormat="1">
      <alignment horizontal="center"/>
    </xf>
    <xf borderId="0" fillId="0" fontId="10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&#205;ndice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Índi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4.88"/>
    <col customWidth="1" min="3" max="3" width="16.63"/>
    <col customWidth="1" min="4" max="4" width="25.88"/>
    <col customWidth="1" min="5" max="5" width="15.5"/>
    <col customWidth="1" min="6" max="6" width="26.88"/>
    <col customWidth="1" min="7" max="7" width="25.38"/>
    <col customWidth="1" min="8" max="8" width="16.38"/>
    <col customWidth="1" min="9" max="9" width="22.38"/>
    <col customWidth="1" min="10" max="10" width="25.88"/>
    <col customWidth="1" min="11" max="11" width="15.5"/>
    <col customWidth="1" min="12" max="12" width="26.88"/>
    <col customWidth="1" min="13" max="13" width="25.38"/>
    <col customWidth="1" min="14" max="14" width="16.38"/>
    <col customWidth="1" min="15" max="17" width="22.38"/>
    <col customWidth="1" min="18" max="20" width="12.5"/>
    <col customWidth="1" min="21" max="21" width="22.88"/>
    <col customWidth="1" min="22" max="22" width="13.63"/>
    <col customWidth="1" min="23" max="23" width="21.5"/>
    <col customWidth="1" min="24" max="24" width="24.5"/>
    <col customWidth="1" min="25" max="25" width="14.5"/>
    <col customWidth="1" min="26" max="26" width="22.63"/>
    <col customWidth="1" min="27" max="28" width="12.5"/>
    <col customWidth="1" min="29" max="29" width="17.13"/>
    <col customWidth="1" min="30" max="31" width="12.5"/>
    <col customWidth="1" min="32" max="32" width="15.38"/>
    <col customWidth="1" min="33" max="33" width="23.13"/>
    <col customWidth="1" min="34" max="34" width="20.5"/>
    <col customWidth="1" min="35" max="45" width="12.5"/>
  </cols>
  <sheetData>
    <row r="1" ht="66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5" t="s">
        <v>14</v>
      </c>
      <c r="P1" s="6" t="s">
        <v>15</v>
      </c>
      <c r="Q1" s="6" t="s">
        <v>16</v>
      </c>
      <c r="S1" s="3" t="s">
        <v>17</v>
      </c>
      <c r="T1" s="3" t="s">
        <v>1</v>
      </c>
      <c r="U1" s="3" t="s">
        <v>3</v>
      </c>
      <c r="V1" s="3" t="s">
        <v>18</v>
      </c>
      <c r="W1" s="4" t="s">
        <v>5</v>
      </c>
      <c r="X1" s="3" t="s">
        <v>6</v>
      </c>
      <c r="Y1" s="7" t="s">
        <v>19</v>
      </c>
      <c r="Z1" s="4" t="s">
        <v>8</v>
      </c>
      <c r="AA1" s="3" t="s">
        <v>9</v>
      </c>
      <c r="AB1" s="3" t="s">
        <v>10</v>
      </c>
      <c r="AC1" s="4" t="s">
        <v>11</v>
      </c>
      <c r="AD1" s="3" t="s">
        <v>12</v>
      </c>
      <c r="AE1" s="3" t="s">
        <v>20</v>
      </c>
      <c r="AF1" s="4" t="s">
        <v>14</v>
      </c>
      <c r="AG1" s="6" t="s">
        <v>15</v>
      </c>
      <c r="AH1" s="6" t="s">
        <v>16</v>
      </c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</row>
    <row r="2" ht="15.75" customHeight="1">
      <c r="A2" s="9">
        <v>10101.0</v>
      </c>
      <c r="B2" s="10" t="s">
        <v>21</v>
      </c>
      <c r="C2" s="10" t="s">
        <v>22</v>
      </c>
      <c r="D2" s="11">
        <v>354.0</v>
      </c>
      <c r="E2" s="11">
        <v>30166.0</v>
      </c>
      <c r="F2" s="12">
        <f t="shared" ref="F2:F345" si="5">(D2/E2)*100</f>
        <v>1.173506597</v>
      </c>
      <c r="G2" s="13">
        <v>622.0</v>
      </c>
      <c r="H2" s="13">
        <v>30250.0</v>
      </c>
      <c r="I2" s="12">
        <f t="shared" ref="I2:I345" si="6">(G2/H2)*100</f>
        <v>2.056198347</v>
      </c>
      <c r="J2" s="11">
        <v>3768.0</v>
      </c>
      <c r="K2" s="11">
        <v>32271.0</v>
      </c>
      <c r="L2" s="12">
        <f t="shared" ref="L2:L345" si="7">(J2/K2)*100</f>
        <v>11.67611788</v>
      </c>
      <c r="M2" s="13">
        <v>2036.0</v>
      </c>
      <c r="N2" s="13">
        <v>30843.0</v>
      </c>
      <c r="O2" s="14">
        <f t="shared" ref="O2:O345" si="8">(M2/N2)*100</f>
        <v>6.601173686</v>
      </c>
      <c r="P2" s="12">
        <f t="shared" ref="P2:P345" si="9">F2/L2</f>
        <v>0.1005048604</v>
      </c>
      <c r="Q2" s="12">
        <f t="shared" ref="Q2:Q345" si="10">I2/O2</f>
        <v>0.3114898115</v>
      </c>
      <c r="S2" s="15">
        <v>1.0</v>
      </c>
      <c r="T2" s="13" t="s">
        <v>21</v>
      </c>
      <c r="U2" s="16">
        <f t="shared" ref="U2:V2" si="1">SUM(D2:D30)</f>
        <v>686</v>
      </c>
      <c r="V2" s="16">
        <f t="shared" si="1"/>
        <v>58744</v>
      </c>
      <c r="W2" s="12">
        <f t="shared" ref="W2:W10" si="12">(U2/V2)*100</f>
        <v>1.167778837</v>
      </c>
      <c r="X2" s="16">
        <f t="shared" ref="X2:Y2" si="2">SUM(G2:G30)</f>
        <v>2758</v>
      </c>
      <c r="Y2" s="17">
        <f t="shared" si="2"/>
        <v>57889</v>
      </c>
      <c r="Z2" s="12">
        <f t="shared" ref="Z2:Z10" si="14">(X2/Y2)*100</f>
        <v>4.76429028</v>
      </c>
      <c r="AA2" s="18">
        <f t="shared" ref="AA2:AB2" si="3">SUM(J2:J30)</f>
        <v>10199</v>
      </c>
      <c r="AB2" s="18">
        <f t="shared" si="3"/>
        <v>58071</v>
      </c>
      <c r="AC2" s="19">
        <f t="shared" ref="AC2:AC10" si="16">(AA2/AB2)*100</f>
        <v>17.56298324</v>
      </c>
      <c r="AD2" s="20">
        <f t="shared" ref="AD2:AE2" si="4">SUM(M2:M30)</f>
        <v>8192</v>
      </c>
      <c r="AE2" s="20">
        <f t="shared" si="4"/>
        <v>57100</v>
      </c>
      <c r="AF2" s="19">
        <f t="shared" ref="AF2:AF10" si="18">(AD2/AE2)*100</f>
        <v>14.34676007</v>
      </c>
      <c r="AG2" s="19">
        <f t="shared" ref="AG2:AG12" si="19">W2/AC2</f>
        <v>0.06649091562</v>
      </c>
      <c r="AH2" s="19">
        <f t="shared" ref="AH2:AH12" si="20">Z2/AF2</f>
        <v>0.3320812683</v>
      </c>
    </row>
    <row r="3" ht="15.75" customHeight="1">
      <c r="A3" s="9">
        <v>10102.0</v>
      </c>
      <c r="B3" s="10" t="s">
        <v>21</v>
      </c>
      <c r="C3" s="10" t="s">
        <v>23</v>
      </c>
      <c r="D3" s="11">
        <v>12.0</v>
      </c>
      <c r="E3" s="11">
        <v>958.0</v>
      </c>
      <c r="F3" s="12">
        <f t="shared" si="5"/>
        <v>1.252609603</v>
      </c>
      <c r="G3" s="13">
        <v>18.0</v>
      </c>
      <c r="H3" s="13">
        <v>770.0</v>
      </c>
      <c r="I3" s="12">
        <f t="shared" si="6"/>
        <v>2.337662338</v>
      </c>
      <c r="J3" s="11">
        <v>140.0</v>
      </c>
      <c r="K3" s="11">
        <v>821.0</v>
      </c>
      <c r="L3" s="12">
        <f t="shared" si="7"/>
        <v>17.05237515</v>
      </c>
      <c r="M3" s="13">
        <v>68.0</v>
      </c>
      <c r="N3" s="13">
        <v>745.0</v>
      </c>
      <c r="O3" s="14">
        <f t="shared" si="8"/>
        <v>9.127516779</v>
      </c>
      <c r="P3" s="12">
        <f t="shared" si="9"/>
        <v>0.07345660602</v>
      </c>
      <c r="Q3" s="12">
        <f t="shared" si="10"/>
        <v>0.2561115355</v>
      </c>
      <c r="S3" s="15">
        <v>2.0</v>
      </c>
      <c r="T3" s="13" t="s">
        <v>24</v>
      </c>
      <c r="U3" s="16">
        <f t="shared" ref="U3:V3" si="11">+SUM(D31:D117)</f>
        <v>3618</v>
      </c>
      <c r="V3" s="16">
        <f t="shared" si="11"/>
        <v>270008</v>
      </c>
      <c r="W3" s="12">
        <f t="shared" si="12"/>
        <v>1.339960297</v>
      </c>
      <c r="X3" s="16">
        <f t="shared" ref="X3:Y3" si="13">+SUM(G31:G117)</f>
        <v>9292</v>
      </c>
      <c r="Y3" s="17">
        <f t="shared" si="13"/>
        <v>267034</v>
      </c>
      <c r="Z3" s="12">
        <f t="shared" si="14"/>
        <v>3.479706704</v>
      </c>
      <c r="AA3" s="18">
        <f t="shared" ref="AA3:AB3" si="15">+SUM(J31:J117)</f>
        <v>29256</v>
      </c>
      <c r="AB3" s="18">
        <f t="shared" si="15"/>
        <v>268620</v>
      </c>
      <c r="AC3" s="19">
        <f t="shared" si="16"/>
        <v>10.8912218</v>
      </c>
      <c r="AD3" s="20">
        <f t="shared" ref="AD3:AE3" si="17">+SUM(M31:M117)</f>
        <v>23735</v>
      </c>
      <c r="AE3" s="20">
        <f t="shared" si="17"/>
        <v>261812</v>
      </c>
      <c r="AF3" s="19">
        <f t="shared" si="18"/>
        <v>9.065665439</v>
      </c>
      <c r="AG3" s="19">
        <f t="shared" si="19"/>
        <v>0.1230312193</v>
      </c>
      <c r="AH3" s="19">
        <f t="shared" si="20"/>
        <v>0.3838335671</v>
      </c>
    </row>
    <row r="4" ht="15.75" customHeight="1">
      <c r="A4" s="9">
        <v>10103.0</v>
      </c>
      <c r="B4" s="10" t="s">
        <v>21</v>
      </c>
      <c r="C4" s="10" t="s">
        <v>25</v>
      </c>
      <c r="D4" s="11">
        <v>20.0</v>
      </c>
      <c r="E4" s="11">
        <v>1173.0</v>
      </c>
      <c r="F4" s="12">
        <f t="shared" si="5"/>
        <v>1.705029838</v>
      </c>
      <c r="G4" s="13">
        <v>127.0</v>
      </c>
      <c r="H4" s="13">
        <v>1122.0</v>
      </c>
      <c r="I4" s="12">
        <f t="shared" si="6"/>
        <v>11.31907308</v>
      </c>
      <c r="J4" s="11">
        <v>292.0</v>
      </c>
      <c r="K4" s="11">
        <v>1068.0</v>
      </c>
      <c r="L4" s="12">
        <f t="shared" si="7"/>
        <v>27.34082397</v>
      </c>
      <c r="M4" s="13">
        <v>329.0</v>
      </c>
      <c r="N4" s="13">
        <v>1095.0</v>
      </c>
      <c r="O4" s="14">
        <f t="shared" si="8"/>
        <v>30.0456621</v>
      </c>
      <c r="P4" s="12">
        <f t="shared" si="9"/>
        <v>0.06236205024</v>
      </c>
      <c r="Q4" s="12">
        <f t="shared" si="10"/>
        <v>0.3767290282</v>
      </c>
      <c r="S4" s="15">
        <v>3.0</v>
      </c>
      <c r="T4" s="13" t="s">
        <v>26</v>
      </c>
      <c r="U4" s="16">
        <f t="shared" ref="U4:V4" si="21">+SUM(D118:D165)</f>
        <v>2963</v>
      </c>
      <c r="V4" s="16">
        <f t="shared" si="21"/>
        <v>189938</v>
      </c>
      <c r="W4" s="12">
        <f t="shared" si="12"/>
        <v>1.559982731</v>
      </c>
      <c r="X4" s="16">
        <f t="shared" ref="X4:Y4" si="22">+SUM(G118:G165)</f>
        <v>5518</v>
      </c>
      <c r="Y4" s="17">
        <f t="shared" si="22"/>
        <v>187391</v>
      </c>
      <c r="Z4" s="12">
        <f t="shared" si="14"/>
        <v>2.944645154</v>
      </c>
      <c r="AA4" s="18">
        <f t="shared" ref="AA4:AB4" si="23">+SUM(J118:J165)</f>
        <v>29146</v>
      </c>
      <c r="AB4" s="18">
        <f t="shared" si="23"/>
        <v>187043</v>
      </c>
      <c r="AC4" s="19">
        <f t="shared" si="16"/>
        <v>15.58251311</v>
      </c>
      <c r="AD4" s="20">
        <f t="shared" ref="AD4:AE4" si="24">+SUM(M118:M165)</f>
        <v>19106</v>
      </c>
      <c r="AE4" s="20">
        <f t="shared" si="24"/>
        <v>186002</v>
      </c>
      <c r="AF4" s="19">
        <f t="shared" si="18"/>
        <v>10.27193256</v>
      </c>
      <c r="AG4" s="19">
        <f t="shared" si="19"/>
        <v>0.100111113</v>
      </c>
      <c r="AH4" s="19">
        <f t="shared" si="20"/>
        <v>0.2866690505</v>
      </c>
    </row>
    <row r="5" ht="15.75" customHeight="1">
      <c r="A5" s="9">
        <v>10201.0</v>
      </c>
      <c r="B5" s="10" t="s">
        <v>21</v>
      </c>
      <c r="C5" s="10" t="s">
        <v>27</v>
      </c>
      <c r="D5" s="11">
        <v>10.0</v>
      </c>
      <c r="E5" s="11">
        <v>860.0</v>
      </c>
      <c r="F5" s="12">
        <f t="shared" si="5"/>
        <v>1.162790698</v>
      </c>
      <c r="G5" s="13">
        <v>109.0</v>
      </c>
      <c r="H5" s="13">
        <v>598.0</v>
      </c>
      <c r="I5" s="12">
        <f t="shared" si="6"/>
        <v>18.22742475</v>
      </c>
      <c r="J5" s="11">
        <v>256.0</v>
      </c>
      <c r="K5" s="11">
        <v>734.0</v>
      </c>
      <c r="L5" s="12">
        <f t="shared" si="7"/>
        <v>34.8773842</v>
      </c>
      <c r="M5" s="13">
        <v>210.0</v>
      </c>
      <c r="N5" s="13">
        <v>562.0</v>
      </c>
      <c r="O5" s="14">
        <f t="shared" si="8"/>
        <v>37.36654804</v>
      </c>
      <c r="P5" s="12">
        <f t="shared" si="9"/>
        <v>0.03333938953</v>
      </c>
      <c r="Q5" s="12">
        <f t="shared" si="10"/>
        <v>0.4878006052</v>
      </c>
      <c r="S5" s="15">
        <v>4.0</v>
      </c>
      <c r="T5" s="13" t="s">
        <v>28</v>
      </c>
      <c r="U5" s="16">
        <f t="shared" ref="U5:V5" si="25">+SUM(D166:D200)</f>
        <v>673</v>
      </c>
      <c r="V5" s="16">
        <f t="shared" si="25"/>
        <v>49452</v>
      </c>
      <c r="W5" s="12">
        <f t="shared" si="12"/>
        <v>1.360915635</v>
      </c>
      <c r="X5" s="16">
        <f t="shared" ref="X5:Y5" si="26">+SUM(G166:G200)</f>
        <v>1496</v>
      </c>
      <c r="Y5" s="17">
        <f t="shared" si="26"/>
        <v>51896</v>
      </c>
      <c r="Z5" s="12">
        <f t="shared" si="14"/>
        <v>2.882688454</v>
      </c>
      <c r="AA5" s="18">
        <f t="shared" ref="AA5:AB5" si="27">+SUM(J166:J200)</f>
        <v>6913</v>
      </c>
      <c r="AB5" s="18">
        <f t="shared" si="27"/>
        <v>47964</v>
      </c>
      <c r="AC5" s="19">
        <f t="shared" si="16"/>
        <v>14.412893</v>
      </c>
      <c r="AD5" s="20">
        <f t="shared" ref="AD5:AE5" si="28">+SUM(M166:M200)</f>
        <v>4975</v>
      </c>
      <c r="AE5" s="20">
        <f t="shared" si="28"/>
        <v>50170</v>
      </c>
      <c r="AF5" s="19">
        <f t="shared" si="18"/>
        <v>9.916284632</v>
      </c>
      <c r="AG5" s="19">
        <f t="shared" si="19"/>
        <v>0.09442348841</v>
      </c>
      <c r="AH5" s="19">
        <f t="shared" si="20"/>
        <v>0.2907024718</v>
      </c>
    </row>
    <row r="6" ht="15.75" customHeight="1">
      <c r="A6" s="9">
        <v>10202.0</v>
      </c>
      <c r="B6" s="10" t="s">
        <v>21</v>
      </c>
      <c r="C6" s="10" t="s">
        <v>29</v>
      </c>
      <c r="D6" s="11">
        <v>14.0</v>
      </c>
      <c r="E6" s="11">
        <v>1078.0</v>
      </c>
      <c r="F6" s="12">
        <f t="shared" si="5"/>
        <v>1.298701299</v>
      </c>
      <c r="G6" s="13">
        <v>161.0</v>
      </c>
      <c r="H6" s="13">
        <v>1465.0</v>
      </c>
      <c r="I6" s="12">
        <f t="shared" si="6"/>
        <v>10.98976109</v>
      </c>
      <c r="J6" s="11">
        <v>235.0</v>
      </c>
      <c r="K6" s="11">
        <v>966.0</v>
      </c>
      <c r="L6" s="12">
        <f t="shared" si="7"/>
        <v>24.32712215</v>
      </c>
      <c r="M6" s="13">
        <v>452.0</v>
      </c>
      <c r="N6" s="13">
        <v>1701.0</v>
      </c>
      <c r="O6" s="14">
        <f t="shared" si="8"/>
        <v>26.57260435</v>
      </c>
      <c r="P6" s="12">
        <f t="shared" si="9"/>
        <v>0.05338491296</v>
      </c>
      <c r="Q6" s="12">
        <f t="shared" si="10"/>
        <v>0.4135748588</v>
      </c>
      <c r="S6" s="15">
        <v>5.0</v>
      </c>
      <c r="T6" s="13" t="s">
        <v>30</v>
      </c>
      <c r="U6" s="16">
        <f t="shared" ref="U6:V6" si="29">+SUM(D201:D242)</f>
        <v>742</v>
      </c>
      <c r="V6" s="16">
        <f t="shared" si="29"/>
        <v>79016</v>
      </c>
      <c r="W6" s="12">
        <f t="shared" si="12"/>
        <v>0.9390503189</v>
      </c>
      <c r="X6" s="16">
        <f t="shared" ref="X6:Y6" si="30">+SUM(G201:G242)</f>
        <v>3402</v>
      </c>
      <c r="Y6" s="17">
        <f t="shared" si="30"/>
        <v>78020</v>
      </c>
      <c r="Z6" s="12">
        <f t="shared" si="14"/>
        <v>4.360420405</v>
      </c>
      <c r="AA6" s="18">
        <f t="shared" ref="AA6:AB6" si="31">+SUM(J201:J242)</f>
        <v>13993</v>
      </c>
      <c r="AB6" s="18">
        <f t="shared" si="31"/>
        <v>75474</v>
      </c>
      <c r="AC6" s="19">
        <f t="shared" si="16"/>
        <v>18.54015953</v>
      </c>
      <c r="AD6" s="20">
        <f t="shared" ref="AD6:AE6" si="32">+SUM(M201:M242)</f>
        <v>12930</v>
      </c>
      <c r="AE6" s="20">
        <f t="shared" si="32"/>
        <v>73689</v>
      </c>
      <c r="AF6" s="19">
        <f t="shared" si="18"/>
        <v>17.54671661</v>
      </c>
      <c r="AG6" s="19">
        <f t="shared" si="19"/>
        <v>0.05064952746</v>
      </c>
      <c r="AH6" s="19">
        <f t="shared" si="20"/>
        <v>0.2485034951</v>
      </c>
    </row>
    <row r="7" ht="15.75" customHeight="1">
      <c r="A7" s="9">
        <v>10301.0</v>
      </c>
      <c r="B7" s="10" t="s">
        <v>21</v>
      </c>
      <c r="C7" s="10" t="s">
        <v>31</v>
      </c>
      <c r="D7" s="11">
        <v>7.0</v>
      </c>
      <c r="E7" s="11">
        <v>1212.0</v>
      </c>
      <c r="F7" s="12">
        <f t="shared" si="5"/>
        <v>0.5775577558</v>
      </c>
      <c r="G7" s="13">
        <v>65.0</v>
      </c>
      <c r="H7" s="13">
        <v>1391.0</v>
      </c>
      <c r="I7" s="12">
        <f t="shared" si="6"/>
        <v>4.672897196</v>
      </c>
      <c r="J7" s="11">
        <v>291.0</v>
      </c>
      <c r="K7" s="11">
        <v>1100.0</v>
      </c>
      <c r="L7" s="12">
        <f t="shared" si="7"/>
        <v>26.45454545</v>
      </c>
      <c r="M7" s="13">
        <v>271.0</v>
      </c>
      <c r="N7" s="13">
        <v>1235.0</v>
      </c>
      <c r="O7" s="14">
        <f t="shared" si="8"/>
        <v>21.94331984</v>
      </c>
      <c r="P7" s="12">
        <f t="shared" si="9"/>
        <v>0.02183208012</v>
      </c>
      <c r="Q7" s="12">
        <f t="shared" si="10"/>
        <v>0.2129530641</v>
      </c>
      <c r="S7" s="15">
        <v>6.0</v>
      </c>
      <c r="T7" s="13" t="s">
        <v>32</v>
      </c>
      <c r="U7" s="16">
        <f t="shared" ref="U7:V7" si="33">+SUM(D243:D253)</f>
        <v>734</v>
      </c>
      <c r="V7" s="16">
        <f t="shared" si="33"/>
        <v>50811</v>
      </c>
      <c r="W7" s="12">
        <f t="shared" si="12"/>
        <v>1.444569089</v>
      </c>
      <c r="X7" s="16">
        <f t="shared" ref="X7:Y7" si="34">+SUM(G243:G253)</f>
        <v>1634</v>
      </c>
      <c r="Y7" s="17">
        <f t="shared" si="34"/>
        <v>45210</v>
      </c>
      <c r="Z7" s="12">
        <f t="shared" si="14"/>
        <v>3.614244636</v>
      </c>
      <c r="AA7" s="18">
        <f t="shared" ref="AA7:AB7" si="35">+SUM(J243:J253)</f>
        <v>8408</v>
      </c>
      <c r="AB7" s="18">
        <f t="shared" si="35"/>
        <v>49819</v>
      </c>
      <c r="AC7" s="19">
        <f t="shared" si="16"/>
        <v>16.87709508</v>
      </c>
      <c r="AD7" s="20">
        <f t="shared" ref="AD7:AE7" si="36">+SUM(M243:M253)</f>
        <v>4925</v>
      </c>
      <c r="AE7" s="20">
        <f t="shared" si="36"/>
        <v>42640</v>
      </c>
      <c r="AF7" s="19">
        <f t="shared" si="18"/>
        <v>11.55018762</v>
      </c>
      <c r="AG7" s="19">
        <f t="shared" si="19"/>
        <v>0.08559346749</v>
      </c>
      <c r="AH7" s="19">
        <f t="shared" si="20"/>
        <v>0.3129165305</v>
      </c>
    </row>
    <row r="8" ht="15.75" customHeight="1">
      <c r="A8" s="9">
        <v>10302.0</v>
      </c>
      <c r="B8" s="10" t="s">
        <v>21</v>
      </c>
      <c r="C8" s="10" t="s">
        <v>33</v>
      </c>
      <c r="D8" s="11">
        <v>17.0</v>
      </c>
      <c r="E8" s="11">
        <v>1107.0</v>
      </c>
      <c r="F8" s="12">
        <f t="shared" si="5"/>
        <v>1.535682023</v>
      </c>
      <c r="G8" s="13">
        <v>90.0</v>
      </c>
      <c r="H8" s="13">
        <v>1356.0</v>
      </c>
      <c r="I8" s="12">
        <f t="shared" si="6"/>
        <v>6.637168142</v>
      </c>
      <c r="J8" s="11">
        <v>337.0</v>
      </c>
      <c r="K8" s="11">
        <v>1093.0</v>
      </c>
      <c r="L8" s="12">
        <f t="shared" si="7"/>
        <v>30.83257091</v>
      </c>
      <c r="M8" s="13">
        <v>323.0</v>
      </c>
      <c r="N8" s="13">
        <v>1159.0</v>
      </c>
      <c r="O8" s="14">
        <f t="shared" si="8"/>
        <v>27.86885246</v>
      </c>
      <c r="P8" s="12">
        <f t="shared" si="9"/>
        <v>0.04980713506</v>
      </c>
      <c r="Q8" s="12">
        <f t="shared" si="10"/>
        <v>0.2381572098</v>
      </c>
      <c r="S8" s="15">
        <v>7.0</v>
      </c>
      <c r="T8" s="13" t="s">
        <v>34</v>
      </c>
      <c r="U8" s="16">
        <f t="shared" ref="U8:V8" si="37">+SUM(D254:D309)</f>
        <v>5116</v>
      </c>
      <c r="V8" s="16">
        <f t="shared" si="37"/>
        <v>294357</v>
      </c>
      <c r="W8" s="12">
        <f t="shared" si="12"/>
        <v>1.738025595</v>
      </c>
      <c r="X8" s="16">
        <f t="shared" ref="X8:Y8" si="38">+SUM(G254:G309)</f>
        <v>9549</v>
      </c>
      <c r="Y8" s="17">
        <f t="shared" si="38"/>
        <v>284427</v>
      </c>
      <c r="Z8" s="12">
        <f t="shared" si="14"/>
        <v>3.357276208</v>
      </c>
      <c r="AA8" s="18">
        <f t="shared" ref="AA8:AB8" si="39">+SUM(J254:J309)</f>
        <v>55439</v>
      </c>
      <c r="AB8" s="18">
        <f t="shared" si="39"/>
        <v>291306</v>
      </c>
      <c r="AC8" s="19">
        <f t="shared" si="16"/>
        <v>19.03119057</v>
      </c>
      <c r="AD8" s="20">
        <f t="shared" ref="AD8:AE8" si="40">+SUM(M254:M309)</f>
        <v>37371</v>
      </c>
      <c r="AE8" s="20">
        <f t="shared" si="40"/>
        <v>275992</v>
      </c>
      <c r="AF8" s="19">
        <f t="shared" si="18"/>
        <v>13.54060987</v>
      </c>
      <c r="AG8" s="19">
        <f t="shared" si="19"/>
        <v>0.09132511119</v>
      </c>
      <c r="AH8" s="19">
        <f t="shared" si="20"/>
        <v>0.2479412847</v>
      </c>
    </row>
    <row r="9" ht="15.75" customHeight="1">
      <c r="A9" s="9">
        <v>10303.0</v>
      </c>
      <c r="B9" s="10" t="s">
        <v>21</v>
      </c>
      <c r="C9" s="10" t="s">
        <v>35</v>
      </c>
      <c r="D9" s="11">
        <v>6.0</v>
      </c>
      <c r="E9" s="11">
        <v>724.0</v>
      </c>
      <c r="F9" s="12">
        <f t="shared" si="5"/>
        <v>0.8287292818</v>
      </c>
      <c r="G9" s="13">
        <v>40.0</v>
      </c>
      <c r="H9" s="13">
        <v>770.0</v>
      </c>
      <c r="I9" s="12">
        <f t="shared" si="6"/>
        <v>5.194805195</v>
      </c>
      <c r="J9" s="11">
        <v>138.0</v>
      </c>
      <c r="K9" s="11">
        <v>667.0</v>
      </c>
      <c r="L9" s="12">
        <f t="shared" si="7"/>
        <v>20.68965517</v>
      </c>
      <c r="M9" s="13">
        <v>154.0</v>
      </c>
      <c r="N9" s="13">
        <v>759.0</v>
      </c>
      <c r="O9" s="14">
        <f t="shared" si="8"/>
        <v>20.28985507</v>
      </c>
      <c r="P9" s="12">
        <f t="shared" si="9"/>
        <v>0.04005524862</v>
      </c>
      <c r="Q9" s="12">
        <f t="shared" si="10"/>
        <v>0.2560296846</v>
      </c>
      <c r="S9" s="15">
        <v>8.0</v>
      </c>
      <c r="T9" s="13" t="s">
        <v>36</v>
      </c>
      <c r="U9" s="16">
        <f t="shared" ref="U9:V9" si="41">+SUM(D310:D329)</f>
        <v>1098</v>
      </c>
      <c r="V9" s="16">
        <f t="shared" si="41"/>
        <v>46563</v>
      </c>
      <c r="W9" s="12">
        <f t="shared" si="12"/>
        <v>2.358095484</v>
      </c>
      <c r="X9" s="16">
        <f t="shared" ref="X9:Y9" si="42">+SUM(G310:G329)</f>
        <v>2052</v>
      </c>
      <c r="Y9" s="17">
        <f t="shared" si="42"/>
        <v>46651</v>
      </c>
      <c r="Z9" s="12">
        <f t="shared" si="14"/>
        <v>4.398619537</v>
      </c>
      <c r="AA9" s="18">
        <f t="shared" ref="AA9:AB9" si="43">+SUM(J310:J329)</f>
        <v>10451</v>
      </c>
      <c r="AB9" s="18">
        <f t="shared" si="43"/>
        <v>43310</v>
      </c>
      <c r="AC9" s="19">
        <f t="shared" si="16"/>
        <v>24.13068575</v>
      </c>
      <c r="AD9" s="20">
        <f t="shared" ref="AD9:AE9" si="44">+SUM(M310:M329)</f>
        <v>7577</v>
      </c>
      <c r="AE9" s="20">
        <f t="shared" si="44"/>
        <v>43480</v>
      </c>
      <c r="AF9" s="19">
        <f t="shared" si="18"/>
        <v>17.42640294</v>
      </c>
      <c r="AG9" s="19">
        <f t="shared" si="19"/>
        <v>0.09772185953</v>
      </c>
      <c r="AH9" s="19">
        <f t="shared" si="20"/>
        <v>0.2524112148</v>
      </c>
    </row>
    <row r="10" ht="15.75" customHeight="1">
      <c r="A10" s="9">
        <v>10304.0</v>
      </c>
      <c r="B10" s="10" t="s">
        <v>21</v>
      </c>
      <c r="C10" s="10" t="s">
        <v>37</v>
      </c>
      <c r="D10" s="11">
        <v>13.0</v>
      </c>
      <c r="E10" s="11">
        <v>659.0</v>
      </c>
      <c r="F10" s="12">
        <f t="shared" si="5"/>
        <v>1.972685888</v>
      </c>
      <c r="G10" s="13">
        <v>123.0</v>
      </c>
      <c r="H10" s="13">
        <v>938.0</v>
      </c>
      <c r="I10" s="12">
        <f t="shared" si="6"/>
        <v>13.1130064</v>
      </c>
      <c r="J10" s="11">
        <v>155.0</v>
      </c>
      <c r="K10" s="11">
        <v>579.0</v>
      </c>
      <c r="L10" s="12">
        <f t="shared" si="7"/>
        <v>26.77029361</v>
      </c>
      <c r="M10" s="13">
        <v>295.0</v>
      </c>
      <c r="N10" s="13">
        <v>887.0</v>
      </c>
      <c r="O10" s="14">
        <f t="shared" si="8"/>
        <v>33.25817362</v>
      </c>
      <c r="P10" s="12">
        <f t="shared" si="9"/>
        <v>0.07368936316</v>
      </c>
      <c r="Q10" s="12">
        <f t="shared" si="10"/>
        <v>0.3942792093</v>
      </c>
      <c r="S10" s="15">
        <v>9.0</v>
      </c>
      <c r="T10" s="13" t="s">
        <v>38</v>
      </c>
      <c r="U10" s="16">
        <f t="shared" ref="U10:V10" si="45">+SUM(D330:D344)</f>
        <v>199</v>
      </c>
      <c r="V10" s="16">
        <f t="shared" si="45"/>
        <v>13414</v>
      </c>
      <c r="W10" s="12">
        <f t="shared" si="12"/>
        <v>1.483524676</v>
      </c>
      <c r="X10" s="16">
        <f t="shared" ref="X10:Y10" si="46">+SUM(G330:G344)</f>
        <v>656</v>
      </c>
      <c r="Y10" s="17">
        <f t="shared" si="46"/>
        <v>14055</v>
      </c>
      <c r="Z10" s="12">
        <f t="shared" si="14"/>
        <v>4.667378157</v>
      </c>
      <c r="AA10" s="18">
        <f t="shared" ref="AA10:AB10" si="47">+SUM(J330:J344)</f>
        <v>3127</v>
      </c>
      <c r="AB10" s="18">
        <f t="shared" si="47"/>
        <v>10980</v>
      </c>
      <c r="AC10" s="19">
        <f t="shared" si="16"/>
        <v>28.47905282</v>
      </c>
      <c r="AD10" s="20">
        <f t="shared" ref="AD10:AE10" si="48">+SUM(M330:M344)</f>
        <v>2406</v>
      </c>
      <c r="AE10" s="20">
        <f t="shared" si="48"/>
        <v>12441</v>
      </c>
      <c r="AF10" s="19">
        <f t="shared" si="18"/>
        <v>19.33928141</v>
      </c>
      <c r="AG10" s="19">
        <f t="shared" si="19"/>
        <v>0.05209178426</v>
      </c>
      <c r="AH10" s="19">
        <f t="shared" si="20"/>
        <v>0.2413418606</v>
      </c>
    </row>
    <row r="11" ht="15.75" customHeight="1">
      <c r="A11" s="9">
        <v>10401.0</v>
      </c>
      <c r="B11" s="10" t="s">
        <v>21</v>
      </c>
      <c r="C11" s="10" t="s">
        <v>39</v>
      </c>
      <c r="D11" s="11">
        <v>3.0</v>
      </c>
      <c r="E11" s="11">
        <v>899.0</v>
      </c>
      <c r="F11" s="12">
        <f t="shared" si="5"/>
        <v>0.3337041157</v>
      </c>
      <c r="G11" s="13">
        <v>50.0</v>
      </c>
      <c r="H11" s="13">
        <v>667.0</v>
      </c>
      <c r="I11" s="12">
        <f t="shared" si="6"/>
        <v>7.496251874</v>
      </c>
      <c r="J11" s="11">
        <v>168.0</v>
      </c>
      <c r="K11" s="11">
        <v>811.0</v>
      </c>
      <c r="L11" s="12">
        <f t="shared" si="7"/>
        <v>20.71516646</v>
      </c>
      <c r="M11" s="13">
        <v>138.0</v>
      </c>
      <c r="N11" s="13">
        <v>707.0</v>
      </c>
      <c r="O11" s="14">
        <f t="shared" si="8"/>
        <v>19.51909477</v>
      </c>
      <c r="P11" s="12">
        <f t="shared" si="9"/>
        <v>0.01610916892</v>
      </c>
      <c r="Q11" s="12">
        <f t="shared" si="10"/>
        <v>0.3840471069</v>
      </c>
      <c r="S11" s="15">
        <v>10.0</v>
      </c>
      <c r="T11" s="13" t="s">
        <v>40</v>
      </c>
      <c r="U11" s="13">
        <v>275.0</v>
      </c>
      <c r="V11" s="11">
        <v>15685.0</v>
      </c>
      <c r="W11" s="12">
        <v>1.7532674529805548</v>
      </c>
      <c r="X11" s="11">
        <v>609.0</v>
      </c>
      <c r="Y11" s="21">
        <v>13916.0</v>
      </c>
      <c r="Z11" s="12">
        <v>4.37625754527163</v>
      </c>
      <c r="AA11" s="22">
        <v>3022.0</v>
      </c>
      <c r="AB11" s="22">
        <v>14329.0</v>
      </c>
      <c r="AC11" s="23">
        <v>21.090097006071602</v>
      </c>
      <c r="AD11" s="22">
        <v>1923.0</v>
      </c>
      <c r="AE11" s="22">
        <v>12241.0</v>
      </c>
      <c r="AF11" s="23">
        <v>15.709500857773056</v>
      </c>
      <c r="AG11" s="19">
        <f t="shared" si="19"/>
        <v>0.0831322612</v>
      </c>
      <c r="AH11" s="19">
        <f t="shared" si="20"/>
        <v>0.2785739397</v>
      </c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</row>
    <row r="12" ht="15.75" customHeight="1">
      <c r="A12" s="9">
        <v>10402.0</v>
      </c>
      <c r="B12" s="10" t="s">
        <v>21</v>
      </c>
      <c r="C12" s="10" t="s">
        <v>41</v>
      </c>
      <c r="D12" s="11">
        <v>5.0</v>
      </c>
      <c r="E12" s="11">
        <v>782.0</v>
      </c>
      <c r="F12" s="12">
        <f t="shared" si="5"/>
        <v>0.6393861893</v>
      </c>
      <c r="G12" s="13">
        <v>85.0</v>
      </c>
      <c r="H12" s="13">
        <v>797.0</v>
      </c>
      <c r="I12" s="12">
        <f t="shared" si="6"/>
        <v>10.66499373</v>
      </c>
      <c r="J12" s="11">
        <v>195.0</v>
      </c>
      <c r="K12" s="11">
        <v>711.0</v>
      </c>
      <c r="L12" s="12">
        <f t="shared" si="7"/>
        <v>27.42616034</v>
      </c>
      <c r="M12" s="13">
        <v>189.0</v>
      </c>
      <c r="N12" s="13">
        <v>795.0</v>
      </c>
      <c r="O12" s="14">
        <f t="shared" si="8"/>
        <v>23.77358491</v>
      </c>
      <c r="P12" s="12">
        <f t="shared" si="9"/>
        <v>0.02331300413</v>
      </c>
      <c r="Q12" s="12">
        <f t="shared" si="10"/>
        <v>0.448606879</v>
      </c>
      <c r="S12" s="15">
        <v>11.0</v>
      </c>
      <c r="T12" s="13" t="s">
        <v>42</v>
      </c>
      <c r="U12" s="11">
        <f t="shared" ref="U12:V12" si="49">SUM(U2:U10)</f>
        <v>15829</v>
      </c>
      <c r="V12" s="11">
        <f t="shared" si="49"/>
        <v>1052303</v>
      </c>
      <c r="W12" s="12">
        <f>(U12/V12)*100</f>
        <v>1.504224544</v>
      </c>
      <c r="X12" s="11">
        <f t="shared" ref="X12:Y12" si="50">SUM(X2:X10)</f>
        <v>36357</v>
      </c>
      <c r="Y12" s="21">
        <f t="shared" si="50"/>
        <v>1032573</v>
      </c>
      <c r="Z12" s="12">
        <f>(X12/Y12)*100</f>
        <v>3.521010137</v>
      </c>
      <c r="AA12" s="25">
        <f t="shared" ref="AA12:AB12" si="51">SUM(AA2:AA10)</f>
        <v>166932</v>
      </c>
      <c r="AB12" s="25">
        <f t="shared" si="51"/>
        <v>1032587</v>
      </c>
      <c r="AC12" s="23">
        <f>(AA12/AB12)*100</f>
        <v>16.16638598</v>
      </c>
      <c r="AD12" s="22">
        <f t="shared" ref="AD12:AE12" si="52">SUM(AD2:AD10)</f>
        <v>121217</v>
      </c>
      <c r="AE12" s="22">
        <f t="shared" si="52"/>
        <v>1003326</v>
      </c>
      <c r="AF12" s="23">
        <f>(AD12/AE12)*100</f>
        <v>12.08151687</v>
      </c>
      <c r="AG12" s="19">
        <f t="shared" si="19"/>
        <v>0.09304643261</v>
      </c>
      <c r="AH12" s="19">
        <f t="shared" si="20"/>
        <v>0.2914377535</v>
      </c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</row>
    <row r="13" ht="15.75" customHeight="1">
      <c r="A13" s="9">
        <v>10403.0</v>
      </c>
      <c r="B13" s="10" t="s">
        <v>21</v>
      </c>
      <c r="C13" s="10" t="s">
        <v>43</v>
      </c>
      <c r="D13" s="11">
        <v>6.0</v>
      </c>
      <c r="E13" s="11">
        <v>645.0</v>
      </c>
      <c r="F13" s="12">
        <f t="shared" si="5"/>
        <v>0.9302325581</v>
      </c>
      <c r="G13" s="13">
        <v>77.0</v>
      </c>
      <c r="H13" s="13">
        <v>673.0</v>
      </c>
      <c r="I13" s="12">
        <f t="shared" si="6"/>
        <v>11.44130758</v>
      </c>
      <c r="J13" s="11">
        <v>186.0</v>
      </c>
      <c r="K13" s="11">
        <v>543.0</v>
      </c>
      <c r="L13" s="12">
        <f t="shared" si="7"/>
        <v>34.25414365</v>
      </c>
      <c r="M13" s="13">
        <v>223.0</v>
      </c>
      <c r="N13" s="13">
        <v>619.0</v>
      </c>
      <c r="O13" s="14">
        <f t="shared" si="8"/>
        <v>36.02584814</v>
      </c>
      <c r="P13" s="12">
        <f t="shared" si="9"/>
        <v>0.0271567892</v>
      </c>
      <c r="Q13" s="12">
        <f t="shared" si="10"/>
        <v>0.3175860713</v>
      </c>
      <c r="S13" s="26"/>
      <c r="T13" s="27"/>
      <c r="U13" s="27"/>
      <c r="V13" s="27"/>
      <c r="X13" s="27"/>
      <c r="Y13" s="27"/>
    </row>
    <row r="14" ht="15.75" customHeight="1">
      <c r="A14" s="9">
        <v>10404.0</v>
      </c>
      <c r="B14" s="10" t="s">
        <v>21</v>
      </c>
      <c r="C14" s="10" t="s">
        <v>44</v>
      </c>
      <c r="D14" s="11">
        <v>4.0</v>
      </c>
      <c r="E14" s="11">
        <v>541.0</v>
      </c>
      <c r="F14" s="12">
        <f t="shared" si="5"/>
        <v>0.7393715342</v>
      </c>
      <c r="G14" s="13">
        <v>18.0</v>
      </c>
      <c r="H14" s="13">
        <v>305.0</v>
      </c>
      <c r="I14" s="12">
        <f t="shared" si="6"/>
        <v>5.901639344</v>
      </c>
      <c r="J14" s="11">
        <v>82.0</v>
      </c>
      <c r="K14" s="11">
        <v>449.0</v>
      </c>
      <c r="L14" s="12">
        <f t="shared" si="7"/>
        <v>18.26280624</v>
      </c>
      <c r="M14" s="13">
        <v>50.0</v>
      </c>
      <c r="N14" s="13">
        <v>275.0</v>
      </c>
      <c r="O14" s="14">
        <f t="shared" si="8"/>
        <v>18.18181818</v>
      </c>
      <c r="P14" s="12">
        <f t="shared" si="9"/>
        <v>0.04048509986</v>
      </c>
      <c r="Q14" s="12">
        <f t="shared" si="10"/>
        <v>0.3245901639</v>
      </c>
      <c r="S14" s="28" t="s">
        <v>45</v>
      </c>
      <c r="T14" s="29">
        <f>AVERAGE(P2:P345)</f>
        <v>0.06944371696</v>
      </c>
      <c r="U14" s="30">
        <f>T14+T15</f>
        <v>0.1230406836</v>
      </c>
      <c r="V14" s="27"/>
      <c r="X14" s="27"/>
      <c r="Y14" s="27"/>
    </row>
    <row r="15" ht="15.75" customHeight="1">
      <c r="A15" s="9">
        <v>10405.0</v>
      </c>
      <c r="B15" s="10" t="s">
        <v>21</v>
      </c>
      <c r="C15" s="10" t="s">
        <v>46</v>
      </c>
      <c r="D15" s="11">
        <v>6.0</v>
      </c>
      <c r="E15" s="11">
        <v>454.0</v>
      </c>
      <c r="F15" s="12">
        <f t="shared" si="5"/>
        <v>1.321585903</v>
      </c>
      <c r="G15" s="13">
        <v>66.0</v>
      </c>
      <c r="H15" s="13">
        <v>478.0</v>
      </c>
      <c r="I15" s="12">
        <f t="shared" si="6"/>
        <v>13.80753138</v>
      </c>
      <c r="J15" s="11">
        <v>59.0</v>
      </c>
      <c r="K15" s="11">
        <v>376.0</v>
      </c>
      <c r="L15" s="12">
        <f t="shared" si="7"/>
        <v>15.69148936</v>
      </c>
      <c r="M15" s="13">
        <v>120.0</v>
      </c>
      <c r="N15" s="13">
        <v>450.0</v>
      </c>
      <c r="O15" s="14">
        <f t="shared" si="8"/>
        <v>26.66666667</v>
      </c>
      <c r="P15" s="12">
        <f t="shared" si="9"/>
        <v>0.08422310162</v>
      </c>
      <c r="Q15" s="12">
        <f t="shared" si="10"/>
        <v>0.5177824268</v>
      </c>
      <c r="S15" s="28" t="s">
        <v>47</v>
      </c>
      <c r="T15" s="29">
        <f>STDEV(P2:P345)</f>
        <v>0.05359696667</v>
      </c>
      <c r="U15" s="31">
        <f>T14-T15</f>
        <v>0.01584675029</v>
      </c>
      <c r="V15" s="27"/>
      <c r="X15" s="27"/>
      <c r="Y15" s="27"/>
    </row>
    <row r="16" ht="15.75" customHeight="1">
      <c r="A16" s="9">
        <v>10501.0</v>
      </c>
      <c r="B16" s="10" t="s">
        <v>21</v>
      </c>
      <c r="C16" s="10" t="s">
        <v>48</v>
      </c>
      <c r="D16" s="11">
        <v>15.0</v>
      </c>
      <c r="E16" s="11">
        <v>2385.0</v>
      </c>
      <c r="F16" s="12">
        <f t="shared" si="5"/>
        <v>0.6289308176</v>
      </c>
      <c r="G16" s="13">
        <v>49.0</v>
      </c>
      <c r="H16" s="13">
        <v>1919.0</v>
      </c>
      <c r="I16" s="12">
        <f t="shared" si="6"/>
        <v>2.553413236</v>
      </c>
      <c r="J16" s="11">
        <v>435.0</v>
      </c>
      <c r="K16" s="11">
        <v>2190.0</v>
      </c>
      <c r="L16" s="12">
        <f t="shared" si="7"/>
        <v>19.8630137</v>
      </c>
      <c r="M16" s="13">
        <v>215.0</v>
      </c>
      <c r="N16" s="13">
        <v>1844.0</v>
      </c>
      <c r="O16" s="14">
        <f t="shared" si="8"/>
        <v>11.65943601</v>
      </c>
      <c r="P16" s="12">
        <f t="shared" si="9"/>
        <v>0.03166341358</v>
      </c>
      <c r="Q16" s="12">
        <f t="shared" si="10"/>
        <v>0.2189997213</v>
      </c>
      <c r="S16" s="28"/>
      <c r="T16" s="28"/>
      <c r="U16" s="27"/>
      <c r="V16" s="27"/>
      <c r="X16" s="27"/>
      <c r="Y16" s="27"/>
    </row>
    <row r="17" ht="15.75" customHeight="1">
      <c r="A17" s="9">
        <v>10502.0</v>
      </c>
      <c r="B17" s="10" t="s">
        <v>21</v>
      </c>
      <c r="C17" s="10" t="s">
        <v>49</v>
      </c>
      <c r="D17" s="11">
        <v>9.0</v>
      </c>
      <c r="E17" s="11">
        <v>741.0</v>
      </c>
      <c r="F17" s="12">
        <f t="shared" si="5"/>
        <v>1.214574899</v>
      </c>
      <c r="G17" s="13">
        <v>28.0</v>
      </c>
      <c r="H17" s="13">
        <v>500.0</v>
      </c>
      <c r="I17" s="12">
        <f t="shared" si="6"/>
        <v>5.6</v>
      </c>
      <c r="J17" s="11">
        <v>157.0</v>
      </c>
      <c r="K17" s="11">
        <v>576.0</v>
      </c>
      <c r="L17" s="12">
        <f t="shared" si="7"/>
        <v>27.25694444</v>
      </c>
      <c r="M17" s="13">
        <v>115.0</v>
      </c>
      <c r="N17" s="13">
        <v>421.0</v>
      </c>
      <c r="O17" s="14">
        <f t="shared" si="8"/>
        <v>27.31591449</v>
      </c>
      <c r="P17" s="12">
        <f t="shared" si="9"/>
        <v>0.04456020011</v>
      </c>
      <c r="Q17" s="12">
        <f t="shared" si="10"/>
        <v>0.2050086957</v>
      </c>
      <c r="S17" s="28"/>
      <c r="T17" s="29"/>
      <c r="U17" s="27"/>
      <c r="V17" s="27"/>
      <c r="X17" s="27"/>
      <c r="Y17" s="27"/>
    </row>
    <row r="18" ht="15.75" customHeight="1">
      <c r="A18" s="9">
        <v>10601.0</v>
      </c>
      <c r="B18" s="10" t="s">
        <v>21</v>
      </c>
      <c r="C18" s="10" t="s">
        <v>50</v>
      </c>
      <c r="D18" s="11">
        <v>28.0</v>
      </c>
      <c r="E18" s="11">
        <v>1277.0</v>
      </c>
      <c r="F18" s="12">
        <f t="shared" si="5"/>
        <v>2.192638998</v>
      </c>
      <c r="G18" s="13">
        <v>74.0</v>
      </c>
      <c r="H18" s="13">
        <v>1203.0</v>
      </c>
      <c r="I18" s="12">
        <f t="shared" si="6"/>
        <v>6.151288446</v>
      </c>
      <c r="J18" s="11">
        <v>310.0</v>
      </c>
      <c r="K18" s="11">
        <v>1190.0</v>
      </c>
      <c r="L18" s="12">
        <f t="shared" si="7"/>
        <v>26.05042017</v>
      </c>
      <c r="M18" s="13">
        <v>228.0</v>
      </c>
      <c r="N18" s="13">
        <v>1178.0</v>
      </c>
      <c r="O18" s="14">
        <f t="shared" si="8"/>
        <v>19.35483871</v>
      </c>
      <c r="P18" s="12">
        <f t="shared" si="9"/>
        <v>0.08416904539</v>
      </c>
      <c r="Q18" s="12">
        <f t="shared" si="10"/>
        <v>0.3178165697</v>
      </c>
      <c r="S18" s="28"/>
      <c r="T18" s="29"/>
      <c r="U18" s="27"/>
      <c r="V18" s="27"/>
      <c r="X18" s="27"/>
      <c r="Y18" s="27"/>
    </row>
    <row r="19" ht="15.75" customHeight="1">
      <c r="A19" s="9">
        <v>10602.0</v>
      </c>
      <c r="B19" s="10" t="s">
        <v>21</v>
      </c>
      <c r="C19" s="10" t="s">
        <v>51</v>
      </c>
      <c r="D19" s="11">
        <v>18.0</v>
      </c>
      <c r="E19" s="11">
        <v>789.0</v>
      </c>
      <c r="F19" s="12">
        <f t="shared" si="5"/>
        <v>2.281368821</v>
      </c>
      <c r="G19" s="13">
        <v>46.0</v>
      </c>
      <c r="H19" s="13">
        <v>618.0</v>
      </c>
      <c r="I19" s="12">
        <f t="shared" si="6"/>
        <v>7.443365696</v>
      </c>
      <c r="J19" s="11">
        <v>182.0</v>
      </c>
      <c r="K19" s="11">
        <v>676.0</v>
      </c>
      <c r="L19" s="12">
        <f t="shared" si="7"/>
        <v>26.92307692</v>
      </c>
      <c r="M19" s="13">
        <v>113.0</v>
      </c>
      <c r="N19" s="13">
        <v>613.0</v>
      </c>
      <c r="O19" s="14">
        <f t="shared" si="8"/>
        <v>18.43393148</v>
      </c>
      <c r="P19" s="12">
        <f t="shared" si="9"/>
        <v>0.08473655622</v>
      </c>
      <c r="Q19" s="12">
        <f t="shared" si="10"/>
        <v>0.4037861214</v>
      </c>
      <c r="S19" s="28"/>
      <c r="T19" s="28"/>
      <c r="U19" s="27"/>
      <c r="V19" s="30"/>
      <c r="X19" s="27"/>
      <c r="Y19" s="27"/>
    </row>
    <row r="20" ht="15.75" customHeight="1">
      <c r="A20" s="9">
        <v>10701.0</v>
      </c>
      <c r="B20" s="10" t="s">
        <v>21</v>
      </c>
      <c r="C20" s="10" t="s">
        <v>52</v>
      </c>
      <c r="D20" s="11">
        <v>18.0</v>
      </c>
      <c r="E20" s="11">
        <v>1353.0</v>
      </c>
      <c r="F20" s="12">
        <f t="shared" si="5"/>
        <v>1.33037694</v>
      </c>
      <c r="G20" s="13">
        <v>63.0</v>
      </c>
      <c r="H20" s="13">
        <v>1158.0</v>
      </c>
      <c r="I20" s="12">
        <f t="shared" si="6"/>
        <v>5.440414508</v>
      </c>
      <c r="J20" s="11">
        <v>326.0</v>
      </c>
      <c r="K20" s="11">
        <v>1284.0</v>
      </c>
      <c r="L20" s="12">
        <f t="shared" si="7"/>
        <v>25.3894081</v>
      </c>
      <c r="M20" s="13">
        <v>166.0</v>
      </c>
      <c r="N20" s="13">
        <v>1113.0</v>
      </c>
      <c r="O20" s="14">
        <f t="shared" si="8"/>
        <v>14.9146451</v>
      </c>
      <c r="P20" s="12">
        <f t="shared" si="9"/>
        <v>0.05239889543</v>
      </c>
      <c r="Q20" s="12">
        <f t="shared" si="10"/>
        <v>0.3647699607</v>
      </c>
      <c r="S20" s="28" t="s">
        <v>53</v>
      </c>
      <c r="T20" s="29">
        <f>AVERAGE(Q2:Q345)</f>
        <v>0.3004643287</v>
      </c>
      <c r="U20" s="30">
        <f>T20+T21</f>
        <v>0.4325606718</v>
      </c>
      <c r="V20" s="30"/>
      <c r="X20" s="27"/>
      <c r="Y20" s="27"/>
    </row>
    <row r="21" ht="15.75" customHeight="1">
      <c r="A21" s="9">
        <v>10702.0</v>
      </c>
      <c r="B21" s="10" t="s">
        <v>21</v>
      </c>
      <c r="C21" s="10" t="s">
        <v>54</v>
      </c>
      <c r="D21" s="11">
        <v>33.0</v>
      </c>
      <c r="E21" s="11">
        <v>2537.0</v>
      </c>
      <c r="F21" s="12">
        <f t="shared" si="5"/>
        <v>1.300748916</v>
      </c>
      <c r="G21" s="13">
        <v>290.0</v>
      </c>
      <c r="H21" s="13">
        <v>2286.0</v>
      </c>
      <c r="I21" s="12">
        <f t="shared" si="6"/>
        <v>12.68591426</v>
      </c>
      <c r="J21" s="11">
        <v>514.0</v>
      </c>
      <c r="K21" s="11">
        <v>2531.0</v>
      </c>
      <c r="L21" s="12">
        <f t="shared" si="7"/>
        <v>20.30817859</v>
      </c>
      <c r="M21" s="13">
        <v>725.0</v>
      </c>
      <c r="N21" s="13">
        <v>2328.0</v>
      </c>
      <c r="O21" s="14">
        <f t="shared" si="8"/>
        <v>31.14261168</v>
      </c>
      <c r="P21" s="12">
        <f t="shared" si="9"/>
        <v>0.06405049624</v>
      </c>
      <c r="Q21" s="12">
        <f t="shared" si="10"/>
        <v>0.4073490814</v>
      </c>
      <c r="S21" s="28"/>
      <c r="T21" s="29">
        <f>STDEV(Q2:Q345)</f>
        <v>0.1320963431</v>
      </c>
      <c r="U21" s="30">
        <f>T20-T21</f>
        <v>0.1683679856</v>
      </c>
      <c r="V21" s="27"/>
      <c r="X21" s="27"/>
      <c r="Y21" s="27"/>
    </row>
    <row r="22" ht="15.75" customHeight="1">
      <c r="A22" s="9">
        <v>10703.0</v>
      </c>
      <c r="B22" s="10" t="s">
        <v>21</v>
      </c>
      <c r="C22" s="10" t="s">
        <v>55</v>
      </c>
      <c r="D22" s="11">
        <v>16.0</v>
      </c>
      <c r="E22" s="11">
        <v>1338.0</v>
      </c>
      <c r="F22" s="12">
        <f t="shared" si="5"/>
        <v>1.195814649</v>
      </c>
      <c r="G22" s="13">
        <v>120.0</v>
      </c>
      <c r="H22" s="13">
        <v>1485.0</v>
      </c>
      <c r="I22" s="12">
        <f t="shared" si="6"/>
        <v>8.080808081</v>
      </c>
      <c r="J22" s="11">
        <v>350.0</v>
      </c>
      <c r="K22" s="11">
        <v>1245.0</v>
      </c>
      <c r="L22" s="12">
        <f t="shared" si="7"/>
        <v>28.1124498</v>
      </c>
      <c r="M22" s="13">
        <v>364.0</v>
      </c>
      <c r="N22" s="13">
        <v>1494.0</v>
      </c>
      <c r="O22" s="14">
        <f t="shared" si="8"/>
        <v>24.36412316</v>
      </c>
      <c r="P22" s="12">
        <f t="shared" si="9"/>
        <v>0.04253683536</v>
      </c>
      <c r="Q22" s="12">
        <f t="shared" si="10"/>
        <v>0.3316683317</v>
      </c>
      <c r="S22" s="28"/>
      <c r="T22" s="29"/>
      <c r="U22" s="27"/>
      <c r="V22" s="27"/>
      <c r="X22" s="27"/>
      <c r="Y22" s="27"/>
    </row>
    <row r="23" ht="15.75" customHeight="1">
      <c r="A23" s="9">
        <v>10704.0</v>
      </c>
      <c r="B23" s="10" t="s">
        <v>21</v>
      </c>
      <c r="C23" s="10" t="s">
        <v>56</v>
      </c>
      <c r="D23" s="11">
        <v>16.0</v>
      </c>
      <c r="E23" s="11">
        <v>1557.0</v>
      </c>
      <c r="F23" s="12">
        <f t="shared" si="5"/>
        <v>1.027617213</v>
      </c>
      <c r="G23" s="13">
        <v>152.0</v>
      </c>
      <c r="H23" s="13">
        <v>1439.0</v>
      </c>
      <c r="I23" s="12">
        <f t="shared" si="6"/>
        <v>10.5628909</v>
      </c>
      <c r="J23" s="11">
        <v>496.0</v>
      </c>
      <c r="K23" s="11">
        <v>1501.0</v>
      </c>
      <c r="L23" s="12">
        <f t="shared" si="7"/>
        <v>33.04463691</v>
      </c>
      <c r="M23" s="13">
        <v>403.0</v>
      </c>
      <c r="N23" s="13">
        <v>1483.0</v>
      </c>
      <c r="O23" s="14">
        <f t="shared" si="8"/>
        <v>27.17464599</v>
      </c>
      <c r="P23" s="12">
        <f t="shared" si="9"/>
        <v>0.03109785153</v>
      </c>
      <c r="Q23" s="12">
        <f t="shared" si="10"/>
        <v>0.3887039007</v>
      </c>
      <c r="S23" s="28"/>
      <c r="T23" s="29"/>
      <c r="U23" s="27"/>
      <c r="V23" s="27"/>
      <c r="X23" s="27"/>
      <c r="Y23" s="27"/>
    </row>
    <row r="24" ht="15.75" customHeight="1">
      <c r="A24" s="9">
        <v>10801.0</v>
      </c>
      <c r="B24" s="10" t="s">
        <v>21</v>
      </c>
      <c r="C24" s="10" t="s">
        <v>57</v>
      </c>
      <c r="D24" s="11">
        <v>12.0</v>
      </c>
      <c r="E24" s="11">
        <v>1037.0</v>
      </c>
      <c r="F24" s="12">
        <f t="shared" si="5"/>
        <v>1.157184185</v>
      </c>
      <c r="G24" s="13">
        <v>29.0</v>
      </c>
      <c r="H24" s="13">
        <v>793.0</v>
      </c>
      <c r="I24" s="12">
        <f t="shared" si="6"/>
        <v>3.656998739</v>
      </c>
      <c r="J24" s="11">
        <v>189.0</v>
      </c>
      <c r="K24" s="11">
        <v>962.0</v>
      </c>
      <c r="L24" s="12">
        <f t="shared" si="7"/>
        <v>19.64656965</v>
      </c>
      <c r="M24" s="13">
        <v>124.0</v>
      </c>
      <c r="N24" s="13">
        <v>689.0</v>
      </c>
      <c r="O24" s="14">
        <f t="shared" si="8"/>
        <v>17.99709724</v>
      </c>
      <c r="P24" s="12">
        <f t="shared" si="9"/>
        <v>0.05890006276</v>
      </c>
      <c r="Q24" s="12">
        <f t="shared" si="10"/>
        <v>0.2031993654</v>
      </c>
      <c r="S24" s="28"/>
      <c r="T24" s="28"/>
      <c r="U24" s="27"/>
      <c r="V24" s="27"/>
      <c r="X24" s="27"/>
      <c r="Y24" s="27"/>
    </row>
    <row r="25" ht="15.75" customHeight="1">
      <c r="A25" s="9">
        <v>10901.0</v>
      </c>
      <c r="B25" s="10" t="s">
        <v>21</v>
      </c>
      <c r="C25" s="10" t="s">
        <v>58</v>
      </c>
      <c r="D25" s="11">
        <v>4.0</v>
      </c>
      <c r="E25" s="11">
        <v>345.0</v>
      </c>
      <c r="F25" s="12">
        <f t="shared" si="5"/>
        <v>1.15942029</v>
      </c>
      <c r="G25" s="13">
        <v>26.0</v>
      </c>
      <c r="H25" s="13">
        <v>493.0</v>
      </c>
      <c r="I25" s="12">
        <f t="shared" si="6"/>
        <v>5.273833671</v>
      </c>
      <c r="J25" s="11">
        <v>76.0</v>
      </c>
      <c r="K25" s="11">
        <v>314.0</v>
      </c>
      <c r="L25" s="12">
        <f t="shared" si="7"/>
        <v>24.20382166</v>
      </c>
      <c r="M25" s="13">
        <v>76.0</v>
      </c>
      <c r="N25" s="13">
        <v>452.0</v>
      </c>
      <c r="O25" s="14">
        <f t="shared" si="8"/>
        <v>16.81415929</v>
      </c>
      <c r="P25" s="12">
        <f t="shared" si="9"/>
        <v>0.04790236461</v>
      </c>
      <c r="Q25" s="12">
        <f t="shared" si="10"/>
        <v>0.3136543184</v>
      </c>
      <c r="S25" s="28"/>
      <c r="T25" s="28"/>
      <c r="U25" s="27"/>
      <c r="V25" s="27"/>
      <c r="X25" s="27"/>
      <c r="Y25" s="27"/>
    </row>
    <row r="26" ht="15.75" customHeight="1">
      <c r="A26" s="9">
        <v>10902.0</v>
      </c>
      <c r="B26" s="10" t="s">
        <v>21</v>
      </c>
      <c r="C26" s="10" t="s">
        <v>59</v>
      </c>
      <c r="D26" s="11">
        <v>17.0</v>
      </c>
      <c r="E26" s="11">
        <v>1501.0</v>
      </c>
      <c r="F26" s="12">
        <f t="shared" si="5"/>
        <v>1.132578281</v>
      </c>
      <c r="G26" s="13">
        <v>107.0</v>
      </c>
      <c r="H26" s="13">
        <v>1241.0</v>
      </c>
      <c r="I26" s="12">
        <f t="shared" si="6"/>
        <v>8.622078969</v>
      </c>
      <c r="J26" s="11">
        <v>390.0</v>
      </c>
      <c r="K26" s="11">
        <v>1466.0</v>
      </c>
      <c r="L26" s="12">
        <f t="shared" si="7"/>
        <v>26.60300136</v>
      </c>
      <c r="M26" s="13">
        <v>356.0</v>
      </c>
      <c r="N26" s="13">
        <v>1224.0</v>
      </c>
      <c r="O26" s="14">
        <f t="shared" si="8"/>
        <v>29.08496732</v>
      </c>
      <c r="P26" s="12">
        <f t="shared" si="9"/>
        <v>0.04257332718</v>
      </c>
      <c r="Q26" s="12">
        <f t="shared" si="10"/>
        <v>0.2964445129</v>
      </c>
      <c r="S26" s="28"/>
      <c r="T26" s="28"/>
      <c r="U26" s="27"/>
      <c r="V26" s="27"/>
      <c r="X26" s="27"/>
      <c r="Y26" s="27"/>
    </row>
    <row r="27" ht="15.75" customHeight="1">
      <c r="A27" s="9">
        <v>10903.0</v>
      </c>
      <c r="B27" s="10" t="s">
        <v>21</v>
      </c>
      <c r="C27" s="10" t="s">
        <v>60</v>
      </c>
      <c r="D27" s="11">
        <v>0.0</v>
      </c>
      <c r="E27" s="11">
        <v>426.0</v>
      </c>
      <c r="F27" s="12">
        <f t="shared" si="5"/>
        <v>0</v>
      </c>
      <c r="G27" s="13">
        <v>28.0</v>
      </c>
      <c r="H27" s="13">
        <v>481.0</v>
      </c>
      <c r="I27" s="12">
        <f t="shared" si="6"/>
        <v>5.821205821</v>
      </c>
      <c r="J27" s="11">
        <v>65.0</v>
      </c>
      <c r="K27" s="11">
        <v>321.0</v>
      </c>
      <c r="L27" s="12">
        <f t="shared" si="7"/>
        <v>20.24922118</v>
      </c>
      <c r="M27" s="13">
        <v>83.0</v>
      </c>
      <c r="N27" s="13">
        <v>352.0</v>
      </c>
      <c r="O27" s="14">
        <f t="shared" si="8"/>
        <v>23.57954545</v>
      </c>
      <c r="P27" s="12">
        <f t="shared" si="9"/>
        <v>0</v>
      </c>
      <c r="Q27" s="12">
        <f t="shared" si="10"/>
        <v>0.2468752348</v>
      </c>
      <c r="S27" s="28"/>
      <c r="T27" s="28"/>
      <c r="U27" s="27"/>
      <c r="V27" s="27"/>
      <c r="X27" s="27"/>
      <c r="Y27" s="27"/>
    </row>
    <row r="28" ht="15.75" customHeight="1">
      <c r="A28" s="9">
        <v>11001.0</v>
      </c>
      <c r="B28" s="10" t="s">
        <v>21</v>
      </c>
      <c r="C28" s="10" t="s">
        <v>61</v>
      </c>
      <c r="D28" s="11">
        <v>5.0</v>
      </c>
      <c r="E28" s="11">
        <v>1059.0</v>
      </c>
      <c r="F28" s="12">
        <f t="shared" si="5"/>
        <v>0.4721435316</v>
      </c>
      <c r="G28" s="13">
        <v>44.0</v>
      </c>
      <c r="H28" s="13">
        <v>1590.0</v>
      </c>
      <c r="I28" s="12">
        <f t="shared" si="6"/>
        <v>2.767295597</v>
      </c>
      <c r="J28" s="11">
        <v>196.0</v>
      </c>
      <c r="K28" s="11">
        <v>815.0</v>
      </c>
      <c r="L28" s="12">
        <f t="shared" si="7"/>
        <v>24.04907975</v>
      </c>
      <c r="M28" s="13">
        <v>200.0</v>
      </c>
      <c r="N28" s="13">
        <v>1246.0</v>
      </c>
      <c r="O28" s="14">
        <f t="shared" si="8"/>
        <v>16.05136437</v>
      </c>
      <c r="P28" s="12">
        <f t="shared" si="9"/>
        <v>0.01963249889</v>
      </c>
      <c r="Q28" s="12">
        <f t="shared" si="10"/>
        <v>0.1724025157</v>
      </c>
      <c r="S28" s="28"/>
      <c r="T28" s="28"/>
      <c r="U28" s="27"/>
      <c r="V28" s="27"/>
      <c r="X28" s="27"/>
      <c r="Y28" s="27"/>
    </row>
    <row r="29" ht="15.75" customHeight="1">
      <c r="A29" s="9">
        <v>11002.0</v>
      </c>
      <c r="B29" s="10" t="s">
        <v>21</v>
      </c>
      <c r="C29" s="10" t="s">
        <v>62</v>
      </c>
      <c r="D29" s="11">
        <v>6.0</v>
      </c>
      <c r="E29" s="11">
        <v>273.0</v>
      </c>
      <c r="F29" s="12">
        <f t="shared" si="5"/>
        <v>2.197802198</v>
      </c>
      <c r="G29" s="13">
        <v>16.0</v>
      </c>
      <c r="H29" s="13">
        <v>208.0</v>
      </c>
      <c r="I29" s="12">
        <f t="shared" si="6"/>
        <v>7.692307692</v>
      </c>
      <c r="J29" s="11">
        <v>58.0</v>
      </c>
      <c r="K29" s="11">
        <v>204.0</v>
      </c>
      <c r="L29" s="12">
        <f t="shared" si="7"/>
        <v>28.43137255</v>
      </c>
      <c r="M29" s="13">
        <v>45.0</v>
      </c>
      <c r="N29" s="13">
        <v>207.0</v>
      </c>
      <c r="O29" s="14">
        <f t="shared" si="8"/>
        <v>21.73913043</v>
      </c>
      <c r="P29" s="12">
        <f t="shared" si="9"/>
        <v>0.07730200834</v>
      </c>
      <c r="Q29" s="12">
        <f t="shared" si="10"/>
        <v>0.3538461538</v>
      </c>
      <c r="S29" s="28"/>
      <c r="T29" s="28"/>
      <c r="U29" s="27"/>
      <c r="V29" s="27"/>
      <c r="X29" s="27"/>
      <c r="Y29" s="27"/>
    </row>
    <row r="30" ht="15.75" customHeight="1">
      <c r="A30" s="9">
        <v>11003.0</v>
      </c>
      <c r="B30" s="10" t="s">
        <v>21</v>
      </c>
      <c r="C30" s="10" t="s">
        <v>63</v>
      </c>
      <c r="D30" s="11">
        <v>12.0</v>
      </c>
      <c r="E30" s="11">
        <v>868.0</v>
      </c>
      <c r="F30" s="12">
        <f t="shared" si="5"/>
        <v>1.382488479</v>
      </c>
      <c r="G30" s="13">
        <v>35.0</v>
      </c>
      <c r="H30" s="13">
        <v>895.0</v>
      </c>
      <c r="I30" s="12">
        <f t="shared" si="6"/>
        <v>3.910614525</v>
      </c>
      <c r="J30" s="11">
        <v>153.0</v>
      </c>
      <c r="K30" s="11">
        <v>607.0</v>
      </c>
      <c r="L30" s="12">
        <f t="shared" si="7"/>
        <v>25.20593081</v>
      </c>
      <c r="M30" s="13">
        <v>121.0</v>
      </c>
      <c r="N30" s="13">
        <v>624.0</v>
      </c>
      <c r="O30" s="14">
        <f t="shared" si="8"/>
        <v>19.39102564</v>
      </c>
      <c r="P30" s="12">
        <f t="shared" si="9"/>
        <v>0.05484774555</v>
      </c>
      <c r="Q30" s="12">
        <f t="shared" si="10"/>
        <v>0.2016713606</v>
      </c>
      <c r="S30" s="28"/>
      <c r="T30" s="28"/>
      <c r="U30" s="27"/>
      <c r="V30" s="27"/>
      <c r="X30" s="27"/>
      <c r="Y30" s="27"/>
    </row>
    <row r="31" ht="15.75" customHeight="1">
      <c r="A31" s="9">
        <v>20101.0</v>
      </c>
      <c r="B31" s="10" t="s">
        <v>24</v>
      </c>
      <c r="C31" s="10" t="s">
        <v>64</v>
      </c>
      <c r="D31" s="11">
        <v>1193.0</v>
      </c>
      <c r="E31" s="11">
        <v>74175.0</v>
      </c>
      <c r="F31" s="12">
        <f t="shared" si="5"/>
        <v>1.608358611</v>
      </c>
      <c r="G31" s="13">
        <v>1320.0</v>
      </c>
      <c r="H31" s="13">
        <v>64275.0</v>
      </c>
      <c r="I31" s="12">
        <f t="shared" si="6"/>
        <v>2.053675613</v>
      </c>
      <c r="J31" s="11">
        <v>6296.0</v>
      </c>
      <c r="K31" s="11">
        <v>74625.0</v>
      </c>
      <c r="L31" s="12">
        <f t="shared" si="7"/>
        <v>8.436850921</v>
      </c>
      <c r="M31" s="13">
        <v>2719.0</v>
      </c>
      <c r="N31" s="13">
        <v>61395.0</v>
      </c>
      <c r="O31" s="14">
        <f t="shared" si="8"/>
        <v>4.428699405</v>
      </c>
      <c r="P31" s="12">
        <f t="shared" si="9"/>
        <v>0.190634945</v>
      </c>
      <c r="Q31" s="12">
        <f t="shared" si="10"/>
        <v>0.4637198023</v>
      </c>
      <c r="S31" s="28"/>
      <c r="T31" s="28"/>
      <c r="U31" s="27"/>
      <c r="V31" s="27"/>
      <c r="X31" s="27"/>
      <c r="Y31" s="27"/>
    </row>
    <row r="32" ht="15.75" customHeight="1">
      <c r="A32" s="9">
        <v>20102.0</v>
      </c>
      <c r="B32" s="10" t="s">
        <v>24</v>
      </c>
      <c r="C32" s="10" t="s">
        <v>65</v>
      </c>
      <c r="D32" s="11">
        <v>14.0</v>
      </c>
      <c r="E32" s="11">
        <v>1583.0</v>
      </c>
      <c r="F32" s="12">
        <f t="shared" si="5"/>
        <v>0.8843967151</v>
      </c>
      <c r="G32" s="13">
        <v>52.0</v>
      </c>
      <c r="H32" s="13">
        <v>1683.0</v>
      </c>
      <c r="I32" s="12">
        <f t="shared" si="6"/>
        <v>3.089720737</v>
      </c>
      <c r="J32" s="11">
        <v>186.0</v>
      </c>
      <c r="K32" s="11">
        <v>1510.0</v>
      </c>
      <c r="L32" s="12">
        <f t="shared" si="7"/>
        <v>12.31788079</v>
      </c>
      <c r="M32" s="13">
        <v>216.0</v>
      </c>
      <c r="N32" s="13">
        <v>1885.0</v>
      </c>
      <c r="O32" s="14">
        <f t="shared" si="8"/>
        <v>11.45888594</v>
      </c>
      <c r="P32" s="12">
        <f t="shared" si="9"/>
        <v>0.07179779784</v>
      </c>
      <c r="Q32" s="12">
        <f t="shared" si="10"/>
        <v>0.2696353513</v>
      </c>
      <c r="S32" s="28"/>
      <c r="T32" s="28"/>
      <c r="U32" s="27"/>
      <c r="V32" s="27"/>
      <c r="X32" s="27"/>
      <c r="Y32" s="27"/>
    </row>
    <row r="33" ht="15.75" customHeight="1">
      <c r="A33" s="9">
        <v>20103.0</v>
      </c>
      <c r="B33" s="10" t="s">
        <v>24</v>
      </c>
      <c r="C33" s="10" t="s">
        <v>66</v>
      </c>
      <c r="D33" s="11">
        <v>10.0</v>
      </c>
      <c r="E33" s="11">
        <v>1485.0</v>
      </c>
      <c r="F33" s="12">
        <f t="shared" si="5"/>
        <v>0.6734006734</v>
      </c>
      <c r="G33" s="13">
        <v>28.0</v>
      </c>
      <c r="H33" s="13">
        <v>1487.0</v>
      </c>
      <c r="I33" s="12">
        <f t="shared" si="6"/>
        <v>1.882985878</v>
      </c>
      <c r="J33" s="11">
        <v>103.0</v>
      </c>
      <c r="K33" s="11">
        <v>1423.0</v>
      </c>
      <c r="L33" s="12">
        <f t="shared" si="7"/>
        <v>7.238229093</v>
      </c>
      <c r="M33" s="13">
        <v>98.0</v>
      </c>
      <c r="N33" s="13">
        <v>1523.0</v>
      </c>
      <c r="O33" s="14">
        <f t="shared" si="8"/>
        <v>6.434668418</v>
      </c>
      <c r="P33" s="12">
        <f t="shared" si="9"/>
        <v>0.09303389886</v>
      </c>
      <c r="Q33" s="12">
        <f t="shared" si="10"/>
        <v>0.2926313767</v>
      </c>
      <c r="S33" s="28"/>
      <c r="T33" s="28"/>
      <c r="U33" s="27"/>
      <c r="V33" s="27"/>
      <c r="X33" s="27"/>
      <c r="Y33" s="27"/>
    </row>
    <row r="34" ht="15.75" customHeight="1">
      <c r="A34" s="9">
        <v>20104.0</v>
      </c>
      <c r="B34" s="10" t="s">
        <v>24</v>
      </c>
      <c r="C34" s="10" t="s">
        <v>67</v>
      </c>
      <c r="D34" s="11">
        <v>21.0</v>
      </c>
      <c r="E34" s="11">
        <v>2081.0</v>
      </c>
      <c r="F34" s="12">
        <f t="shared" si="5"/>
        <v>1.009130226</v>
      </c>
      <c r="G34" s="13">
        <v>87.0</v>
      </c>
      <c r="H34" s="13">
        <v>3987.0</v>
      </c>
      <c r="I34" s="12">
        <f t="shared" si="6"/>
        <v>2.182091798</v>
      </c>
      <c r="J34" s="11">
        <v>235.0</v>
      </c>
      <c r="K34" s="11">
        <v>2121.0</v>
      </c>
      <c r="L34" s="12">
        <f t="shared" si="7"/>
        <v>11.0796794</v>
      </c>
      <c r="M34" s="13">
        <v>354.0</v>
      </c>
      <c r="N34" s="13">
        <v>3974.0</v>
      </c>
      <c r="O34" s="14">
        <f t="shared" si="8"/>
        <v>8.907901359</v>
      </c>
      <c r="P34" s="12">
        <f t="shared" si="9"/>
        <v>0.0910793706</v>
      </c>
      <c r="Q34" s="12">
        <f t="shared" si="10"/>
        <v>0.2449613787</v>
      </c>
      <c r="S34" s="28"/>
      <c r="T34" s="28"/>
      <c r="U34" s="27"/>
      <c r="V34" s="27"/>
      <c r="X34" s="27"/>
      <c r="Y34" s="27"/>
    </row>
    <row r="35" ht="15.75" customHeight="1">
      <c r="A35" s="9">
        <v>20105.0</v>
      </c>
      <c r="B35" s="10" t="s">
        <v>24</v>
      </c>
      <c r="C35" s="10" t="s">
        <v>68</v>
      </c>
      <c r="D35" s="11">
        <v>1371.0</v>
      </c>
      <c r="E35" s="11">
        <v>87804.0</v>
      </c>
      <c r="F35" s="12">
        <f t="shared" si="5"/>
        <v>1.561432281</v>
      </c>
      <c r="G35" s="13">
        <v>2407.0</v>
      </c>
      <c r="H35" s="13">
        <v>86034.0</v>
      </c>
      <c r="I35" s="12">
        <f t="shared" si="6"/>
        <v>2.79773113</v>
      </c>
      <c r="J35" s="11">
        <v>11410.0</v>
      </c>
      <c r="K35" s="11">
        <v>94333.0</v>
      </c>
      <c r="L35" s="12">
        <f t="shared" si="7"/>
        <v>12.0954491</v>
      </c>
      <c r="M35" s="13">
        <v>6652.0</v>
      </c>
      <c r="N35" s="13">
        <v>89551.0</v>
      </c>
      <c r="O35" s="14">
        <f t="shared" si="8"/>
        <v>7.428169423</v>
      </c>
      <c r="P35" s="12">
        <f t="shared" si="9"/>
        <v>0.1290925428</v>
      </c>
      <c r="Q35" s="12">
        <f t="shared" si="10"/>
        <v>0.3766380342</v>
      </c>
      <c r="S35" s="28"/>
      <c r="T35" s="28"/>
      <c r="U35" s="27"/>
      <c r="V35" s="27"/>
      <c r="X35" s="27"/>
      <c r="Y35" s="27"/>
    </row>
    <row r="36" ht="15.75" customHeight="1">
      <c r="A36" s="9">
        <v>20201.0</v>
      </c>
      <c r="B36" s="10" t="s">
        <v>24</v>
      </c>
      <c r="C36" s="10" t="s">
        <v>69</v>
      </c>
      <c r="D36" s="11">
        <v>58.0</v>
      </c>
      <c r="E36" s="11">
        <v>4505.0</v>
      </c>
      <c r="F36" s="12">
        <f t="shared" si="5"/>
        <v>1.28745838</v>
      </c>
      <c r="G36" s="13">
        <v>177.0</v>
      </c>
      <c r="H36" s="13">
        <v>3633.0</v>
      </c>
      <c r="I36" s="12">
        <f t="shared" si="6"/>
        <v>4.872006606</v>
      </c>
      <c r="J36" s="11">
        <v>408.0</v>
      </c>
      <c r="K36" s="11">
        <v>4365.0</v>
      </c>
      <c r="L36" s="12">
        <f t="shared" si="7"/>
        <v>9.347079038</v>
      </c>
      <c r="M36" s="13">
        <v>434.0</v>
      </c>
      <c r="N36" s="13">
        <v>3628.0</v>
      </c>
      <c r="O36" s="14">
        <f t="shared" si="8"/>
        <v>11.96251378</v>
      </c>
      <c r="P36" s="12">
        <f t="shared" si="9"/>
        <v>0.1377391134</v>
      </c>
      <c r="Q36" s="12">
        <f t="shared" si="10"/>
        <v>0.4072728103</v>
      </c>
      <c r="S36" s="28"/>
      <c r="T36" s="28"/>
      <c r="U36" s="27"/>
      <c r="V36" s="27"/>
      <c r="X36" s="27"/>
      <c r="Y36" s="27"/>
    </row>
    <row r="37" ht="15.75" customHeight="1">
      <c r="A37" s="9">
        <v>20202.0</v>
      </c>
      <c r="B37" s="10" t="s">
        <v>24</v>
      </c>
      <c r="C37" s="10" t="s">
        <v>70</v>
      </c>
      <c r="D37" s="11">
        <v>15.0</v>
      </c>
      <c r="E37" s="11">
        <v>1161.0</v>
      </c>
      <c r="F37" s="12">
        <f t="shared" si="5"/>
        <v>1.291989664</v>
      </c>
      <c r="G37" s="13">
        <v>74.0</v>
      </c>
      <c r="H37" s="13">
        <v>1075.0</v>
      </c>
      <c r="I37" s="12">
        <f t="shared" si="6"/>
        <v>6.88372093</v>
      </c>
      <c r="J37" s="11">
        <v>60.0</v>
      </c>
      <c r="K37" s="11">
        <v>1095.0</v>
      </c>
      <c r="L37" s="12">
        <f t="shared" si="7"/>
        <v>5.479452055</v>
      </c>
      <c r="M37" s="13">
        <v>171.0</v>
      </c>
      <c r="N37" s="13">
        <v>1097.0</v>
      </c>
      <c r="O37" s="14">
        <f t="shared" si="8"/>
        <v>15.58796718</v>
      </c>
      <c r="P37" s="12">
        <f t="shared" si="9"/>
        <v>0.2357881137</v>
      </c>
      <c r="Q37" s="12">
        <f t="shared" si="10"/>
        <v>0.4416047872</v>
      </c>
      <c r="S37" s="28"/>
      <c r="T37" s="28"/>
      <c r="U37" s="27"/>
      <c r="V37" s="27"/>
      <c r="X37" s="27"/>
      <c r="Y37" s="27"/>
    </row>
    <row r="38" ht="15.75" customHeight="1">
      <c r="A38" s="9">
        <v>20203.0</v>
      </c>
      <c r="B38" s="10" t="s">
        <v>24</v>
      </c>
      <c r="C38" s="10" t="s">
        <v>71</v>
      </c>
      <c r="D38" s="11">
        <v>5.0</v>
      </c>
      <c r="E38" s="11">
        <v>599.0</v>
      </c>
      <c r="F38" s="12">
        <f t="shared" si="5"/>
        <v>0.8347245409</v>
      </c>
      <c r="G38" s="13">
        <v>60.0</v>
      </c>
      <c r="H38" s="13">
        <v>700.0</v>
      </c>
      <c r="I38" s="12">
        <f t="shared" si="6"/>
        <v>8.571428571</v>
      </c>
      <c r="J38" s="11">
        <v>47.0</v>
      </c>
      <c r="K38" s="11">
        <v>628.0</v>
      </c>
      <c r="L38" s="12">
        <f t="shared" si="7"/>
        <v>7.484076433</v>
      </c>
      <c r="M38" s="13">
        <v>66.0</v>
      </c>
      <c r="N38" s="13">
        <v>530.0</v>
      </c>
      <c r="O38" s="14">
        <f t="shared" si="8"/>
        <v>12.45283019</v>
      </c>
      <c r="P38" s="12">
        <f t="shared" si="9"/>
        <v>0.1115334067</v>
      </c>
      <c r="Q38" s="12">
        <f t="shared" si="10"/>
        <v>0.6883116883</v>
      </c>
      <c r="S38" s="28"/>
      <c r="T38" s="28"/>
      <c r="U38" s="27"/>
      <c r="V38" s="27"/>
      <c r="X38" s="27"/>
      <c r="Y38" s="27"/>
    </row>
    <row r="39" ht="15.75" customHeight="1">
      <c r="A39" s="9">
        <v>20204.0</v>
      </c>
      <c r="B39" s="10" t="s">
        <v>24</v>
      </c>
      <c r="C39" s="10" t="s">
        <v>72</v>
      </c>
      <c r="D39" s="11">
        <v>8.0</v>
      </c>
      <c r="E39" s="11">
        <v>660.0</v>
      </c>
      <c r="F39" s="12">
        <f t="shared" si="5"/>
        <v>1.212121212</v>
      </c>
      <c r="G39" s="13">
        <v>19.0</v>
      </c>
      <c r="H39" s="13">
        <v>466.0</v>
      </c>
      <c r="I39" s="12">
        <f t="shared" si="6"/>
        <v>4.077253219</v>
      </c>
      <c r="J39" s="11">
        <v>80.0</v>
      </c>
      <c r="K39" s="11">
        <v>634.0</v>
      </c>
      <c r="L39" s="12">
        <f t="shared" si="7"/>
        <v>12.61829653</v>
      </c>
      <c r="M39" s="13">
        <v>44.0</v>
      </c>
      <c r="N39" s="13">
        <v>529.0</v>
      </c>
      <c r="O39" s="14">
        <f t="shared" si="8"/>
        <v>8.31758034</v>
      </c>
      <c r="P39" s="12">
        <f t="shared" si="9"/>
        <v>0.09606060606</v>
      </c>
      <c r="Q39" s="12">
        <f t="shared" si="10"/>
        <v>0.4901970347</v>
      </c>
      <c r="S39" s="28"/>
      <c r="T39" s="28"/>
      <c r="U39" s="27"/>
      <c r="V39" s="27"/>
      <c r="X39" s="27"/>
      <c r="Y39" s="27"/>
    </row>
    <row r="40" ht="15.75" customHeight="1">
      <c r="A40" s="9">
        <v>20205.0</v>
      </c>
      <c r="B40" s="10" t="s">
        <v>24</v>
      </c>
      <c r="C40" s="10" t="s">
        <v>73</v>
      </c>
      <c r="D40" s="11">
        <v>4.0</v>
      </c>
      <c r="E40" s="11">
        <v>276.0</v>
      </c>
      <c r="F40" s="12">
        <f t="shared" si="5"/>
        <v>1.449275362</v>
      </c>
      <c r="G40" s="13">
        <v>34.0</v>
      </c>
      <c r="H40" s="13">
        <v>535.0</v>
      </c>
      <c r="I40" s="12">
        <f t="shared" si="6"/>
        <v>6.355140187</v>
      </c>
      <c r="J40" s="11">
        <v>23.0</v>
      </c>
      <c r="K40" s="11">
        <v>284.0</v>
      </c>
      <c r="L40" s="12">
        <f t="shared" si="7"/>
        <v>8.098591549</v>
      </c>
      <c r="M40" s="13">
        <v>88.0</v>
      </c>
      <c r="N40" s="13">
        <v>573.0</v>
      </c>
      <c r="O40" s="14">
        <f t="shared" si="8"/>
        <v>15.35776614</v>
      </c>
      <c r="P40" s="12">
        <f t="shared" si="9"/>
        <v>0.1789540013</v>
      </c>
      <c r="Q40" s="12">
        <f t="shared" si="10"/>
        <v>0.4138062872</v>
      </c>
      <c r="S40" s="28"/>
      <c r="T40" s="28"/>
      <c r="U40" s="27"/>
      <c r="V40" s="27"/>
      <c r="X40" s="27"/>
      <c r="Y40" s="27"/>
    </row>
    <row r="41" ht="15.75" customHeight="1">
      <c r="A41" s="9">
        <v>20206.0</v>
      </c>
      <c r="B41" s="10" t="s">
        <v>24</v>
      </c>
      <c r="C41" s="10" t="s">
        <v>74</v>
      </c>
      <c r="D41" s="11">
        <v>2.0</v>
      </c>
      <c r="E41" s="11">
        <v>506.0</v>
      </c>
      <c r="F41" s="12">
        <f t="shared" si="5"/>
        <v>0.395256917</v>
      </c>
      <c r="G41" s="13">
        <v>7.0</v>
      </c>
      <c r="H41" s="13">
        <v>353.0</v>
      </c>
      <c r="I41" s="12">
        <f t="shared" si="6"/>
        <v>1.983002833</v>
      </c>
      <c r="J41" s="11">
        <v>34.0</v>
      </c>
      <c r="K41" s="11">
        <v>372.0</v>
      </c>
      <c r="L41" s="12">
        <f t="shared" si="7"/>
        <v>9.139784946</v>
      </c>
      <c r="M41" s="13">
        <v>21.0</v>
      </c>
      <c r="N41" s="13">
        <v>315.0</v>
      </c>
      <c r="O41" s="14">
        <f t="shared" si="8"/>
        <v>6.666666667</v>
      </c>
      <c r="P41" s="12">
        <f t="shared" si="9"/>
        <v>0.0432457568</v>
      </c>
      <c r="Q41" s="12">
        <f t="shared" si="10"/>
        <v>0.2974504249</v>
      </c>
      <c r="S41" s="28"/>
      <c r="T41" s="28"/>
      <c r="U41" s="27"/>
      <c r="V41" s="27"/>
      <c r="X41" s="27"/>
      <c r="Y41" s="27"/>
    </row>
    <row r="42" ht="15.75" customHeight="1">
      <c r="A42" s="9">
        <v>20301.0</v>
      </c>
      <c r="B42" s="10" t="s">
        <v>24</v>
      </c>
      <c r="C42" s="10" t="s">
        <v>75</v>
      </c>
      <c r="D42" s="11">
        <v>6.0</v>
      </c>
      <c r="E42" s="11">
        <v>1182.0</v>
      </c>
      <c r="F42" s="12">
        <f t="shared" si="5"/>
        <v>0.5076142132</v>
      </c>
      <c r="G42" s="13">
        <v>54.0</v>
      </c>
      <c r="H42" s="13">
        <v>1386.0</v>
      </c>
      <c r="I42" s="12">
        <f t="shared" si="6"/>
        <v>3.896103896</v>
      </c>
      <c r="J42" s="11">
        <v>58.0</v>
      </c>
      <c r="K42" s="11">
        <v>810.0</v>
      </c>
      <c r="L42" s="12">
        <f t="shared" si="7"/>
        <v>7.160493827</v>
      </c>
      <c r="M42" s="13">
        <v>94.0</v>
      </c>
      <c r="N42" s="13">
        <v>927.0</v>
      </c>
      <c r="O42" s="14">
        <f t="shared" si="8"/>
        <v>10.14023732</v>
      </c>
      <c r="P42" s="12">
        <f t="shared" si="9"/>
        <v>0.07089095046</v>
      </c>
      <c r="Q42" s="12">
        <f t="shared" si="10"/>
        <v>0.3842221608</v>
      </c>
      <c r="S42" s="28"/>
      <c r="T42" s="28"/>
      <c r="U42" s="27"/>
      <c r="V42" s="27"/>
      <c r="X42" s="27"/>
      <c r="Y42" s="27"/>
    </row>
    <row r="43" ht="15.75" customHeight="1">
      <c r="A43" s="9">
        <v>20302.0</v>
      </c>
      <c r="B43" s="10" t="s">
        <v>24</v>
      </c>
      <c r="C43" s="10" t="s">
        <v>76</v>
      </c>
      <c r="D43" s="11">
        <v>6.0</v>
      </c>
      <c r="E43" s="11">
        <v>1133.0</v>
      </c>
      <c r="F43" s="12">
        <f t="shared" si="5"/>
        <v>0.5295675199</v>
      </c>
      <c r="G43" s="13">
        <v>64.0</v>
      </c>
      <c r="H43" s="13">
        <v>1103.0</v>
      </c>
      <c r="I43" s="12">
        <f t="shared" si="6"/>
        <v>5.802357208</v>
      </c>
      <c r="J43" s="11">
        <v>89.0</v>
      </c>
      <c r="K43" s="11">
        <v>1113.0</v>
      </c>
      <c r="L43" s="12">
        <f t="shared" si="7"/>
        <v>7.99640611</v>
      </c>
      <c r="M43" s="13">
        <v>120.0</v>
      </c>
      <c r="N43" s="13">
        <v>1053.0</v>
      </c>
      <c r="O43" s="14">
        <f t="shared" si="8"/>
        <v>11.3960114</v>
      </c>
      <c r="P43" s="12">
        <f t="shared" si="9"/>
        <v>0.06622569097</v>
      </c>
      <c r="Q43" s="12">
        <f t="shared" si="10"/>
        <v>0.509156845</v>
      </c>
      <c r="S43" s="28"/>
      <c r="T43" s="28"/>
      <c r="U43" s="27"/>
      <c r="V43" s="27"/>
      <c r="X43" s="27"/>
      <c r="Y43" s="27"/>
    </row>
    <row r="44" ht="15.75" customHeight="1">
      <c r="A44" s="9">
        <v>20303.0</v>
      </c>
      <c r="B44" s="10" t="s">
        <v>24</v>
      </c>
      <c r="C44" s="10" t="s">
        <v>77</v>
      </c>
      <c r="D44" s="11">
        <v>8.0</v>
      </c>
      <c r="E44" s="11">
        <v>795.0</v>
      </c>
      <c r="F44" s="12">
        <f t="shared" si="5"/>
        <v>1.006289308</v>
      </c>
      <c r="G44" s="13">
        <v>43.0</v>
      </c>
      <c r="H44" s="13">
        <v>844.0</v>
      </c>
      <c r="I44" s="12">
        <f t="shared" si="6"/>
        <v>5.09478673</v>
      </c>
      <c r="J44" s="11">
        <v>50.0</v>
      </c>
      <c r="K44" s="11">
        <v>702.0</v>
      </c>
      <c r="L44" s="12">
        <f t="shared" si="7"/>
        <v>7.122507123</v>
      </c>
      <c r="M44" s="13">
        <v>157.0</v>
      </c>
      <c r="N44" s="13">
        <v>794.0</v>
      </c>
      <c r="O44" s="14">
        <f t="shared" si="8"/>
        <v>19.77329975</v>
      </c>
      <c r="P44" s="12">
        <f t="shared" si="9"/>
        <v>0.1412830189</v>
      </c>
      <c r="Q44" s="12">
        <f t="shared" si="10"/>
        <v>0.2576599149</v>
      </c>
      <c r="S44" s="28"/>
      <c r="T44" s="28"/>
      <c r="U44" s="27"/>
      <c r="V44" s="27"/>
      <c r="X44" s="27"/>
      <c r="Y44" s="27"/>
    </row>
    <row r="45" ht="15.75" customHeight="1">
      <c r="A45" s="9">
        <v>20304.0</v>
      </c>
      <c r="B45" s="10" t="s">
        <v>24</v>
      </c>
      <c r="C45" s="10" t="s">
        <v>78</v>
      </c>
      <c r="D45" s="11">
        <v>2.0</v>
      </c>
      <c r="E45" s="11">
        <v>293.0</v>
      </c>
      <c r="F45" s="12">
        <f t="shared" si="5"/>
        <v>0.6825938567</v>
      </c>
      <c r="G45" s="13">
        <v>33.0</v>
      </c>
      <c r="H45" s="13">
        <v>373.0</v>
      </c>
      <c r="I45" s="12">
        <f t="shared" si="6"/>
        <v>8.847184987</v>
      </c>
      <c r="J45" s="11">
        <v>25.0</v>
      </c>
      <c r="K45" s="11">
        <v>300.0</v>
      </c>
      <c r="L45" s="12">
        <f t="shared" si="7"/>
        <v>8.333333333</v>
      </c>
      <c r="M45" s="13">
        <v>72.0</v>
      </c>
      <c r="N45" s="13">
        <v>384.0</v>
      </c>
      <c r="O45" s="14">
        <f t="shared" si="8"/>
        <v>18.75</v>
      </c>
      <c r="P45" s="12">
        <f t="shared" si="9"/>
        <v>0.0819112628</v>
      </c>
      <c r="Q45" s="12">
        <f t="shared" si="10"/>
        <v>0.471849866</v>
      </c>
      <c r="S45" s="28"/>
      <c r="T45" s="28"/>
      <c r="U45" s="27"/>
      <c r="V45" s="27"/>
      <c r="X45" s="27"/>
      <c r="Y45" s="27"/>
    </row>
    <row r="46" ht="15.75" customHeight="1">
      <c r="A46" s="9">
        <v>20305.0</v>
      </c>
      <c r="B46" s="10" t="s">
        <v>24</v>
      </c>
      <c r="C46" s="10" t="s">
        <v>79</v>
      </c>
      <c r="D46" s="11">
        <v>1.0</v>
      </c>
      <c r="E46" s="11">
        <v>267.0</v>
      </c>
      <c r="F46" s="12">
        <f t="shared" si="5"/>
        <v>0.3745318352</v>
      </c>
      <c r="G46" s="13">
        <v>17.0</v>
      </c>
      <c r="H46" s="13">
        <v>359.0</v>
      </c>
      <c r="I46" s="12">
        <f t="shared" si="6"/>
        <v>4.735376045</v>
      </c>
      <c r="J46" s="11">
        <v>43.0</v>
      </c>
      <c r="K46" s="11">
        <v>284.0</v>
      </c>
      <c r="L46" s="12">
        <f t="shared" si="7"/>
        <v>15.14084507</v>
      </c>
      <c r="M46" s="13">
        <v>56.0</v>
      </c>
      <c r="N46" s="13">
        <v>316.0</v>
      </c>
      <c r="O46" s="14">
        <f t="shared" si="8"/>
        <v>17.72151899</v>
      </c>
      <c r="P46" s="12">
        <f t="shared" si="9"/>
        <v>0.02473652121</v>
      </c>
      <c r="Q46" s="12">
        <f t="shared" si="10"/>
        <v>0.2672105054</v>
      </c>
      <c r="S46" s="28"/>
      <c r="T46" s="28"/>
      <c r="U46" s="27"/>
      <c r="V46" s="27"/>
      <c r="X46" s="27"/>
      <c r="Y46" s="27"/>
    </row>
    <row r="47" ht="15.75" customHeight="1">
      <c r="A47" s="9">
        <v>20306.0</v>
      </c>
      <c r="B47" s="10" t="s">
        <v>24</v>
      </c>
      <c r="C47" s="10" t="s">
        <v>80</v>
      </c>
      <c r="D47" s="11">
        <v>8.0</v>
      </c>
      <c r="E47" s="11">
        <v>658.0</v>
      </c>
      <c r="F47" s="12">
        <f t="shared" si="5"/>
        <v>1.215805471</v>
      </c>
      <c r="G47" s="13">
        <v>20.0</v>
      </c>
      <c r="H47" s="13">
        <v>639.0</v>
      </c>
      <c r="I47" s="12">
        <f t="shared" si="6"/>
        <v>3.129890454</v>
      </c>
      <c r="J47" s="11">
        <v>51.0</v>
      </c>
      <c r="K47" s="11">
        <v>545.0</v>
      </c>
      <c r="L47" s="12">
        <f t="shared" si="7"/>
        <v>9.357798165</v>
      </c>
      <c r="M47" s="13">
        <v>57.0</v>
      </c>
      <c r="N47" s="13">
        <v>614.0</v>
      </c>
      <c r="O47" s="14">
        <f t="shared" si="8"/>
        <v>9.283387622</v>
      </c>
      <c r="P47" s="12">
        <f t="shared" si="9"/>
        <v>0.1299243101</v>
      </c>
      <c r="Q47" s="12">
        <f t="shared" si="10"/>
        <v>0.3371496033</v>
      </c>
      <c r="S47" s="28"/>
      <c r="T47" s="28"/>
      <c r="U47" s="27"/>
      <c r="V47" s="27"/>
      <c r="X47" s="27"/>
      <c r="Y47" s="27"/>
    </row>
    <row r="48" ht="15.75" customHeight="1">
      <c r="A48" s="9">
        <v>20307.0</v>
      </c>
      <c r="B48" s="10" t="s">
        <v>24</v>
      </c>
      <c r="C48" s="10" t="s">
        <v>81</v>
      </c>
      <c r="D48" s="11">
        <v>0.0</v>
      </c>
      <c r="E48" s="11">
        <v>78.0</v>
      </c>
      <c r="F48" s="12">
        <f t="shared" si="5"/>
        <v>0</v>
      </c>
      <c r="G48" s="13">
        <v>23.0</v>
      </c>
      <c r="H48" s="13">
        <v>328.0</v>
      </c>
      <c r="I48" s="12">
        <f t="shared" si="6"/>
        <v>7.012195122</v>
      </c>
      <c r="J48" s="11">
        <v>15.0</v>
      </c>
      <c r="K48" s="11">
        <v>59.0</v>
      </c>
      <c r="L48" s="12">
        <f t="shared" si="7"/>
        <v>25.42372881</v>
      </c>
      <c r="M48" s="13">
        <v>43.0</v>
      </c>
      <c r="N48" s="13">
        <v>284.0</v>
      </c>
      <c r="O48" s="14">
        <f t="shared" si="8"/>
        <v>15.14084507</v>
      </c>
      <c r="P48" s="12">
        <f t="shared" si="9"/>
        <v>0</v>
      </c>
      <c r="Q48" s="12">
        <f t="shared" si="10"/>
        <v>0.4631310267</v>
      </c>
      <c r="S48" s="28"/>
      <c r="T48" s="28"/>
      <c r="U48" s="27"/>
      <c r="V48" s="27"/>
      <c r="X48" s="27"/>
      <c r="Y48" s="27"/>
    </row>
    <row r="49" ht="15.75" customHeight="1">
      <c r="A49" s="9">
        <v>20308.0</v>
      </c>
      <c r="B49" s="10" t="s">
        <v>24</v>
      </c>
      <c r="C49" s="10" t="s">
        <v>82</v>
      </c>
      <c r="D49" s="11">
        <v>4.0</v>
      </c>
      <c r="E49" s="11">
        <v>527.0</v>
      </c>
      <c r="F49" s="12">
        <f t="shared" si="5"/>
        <v>0.7590132827</v>
      </c>
      <c r="G49" s="13">
        <v>20.0</v>
      </c>
      <c r="H49" s="13">
        <v>492.0</v>
      </c>
      <c r="I49" s="12">
        <f t="shared" si="6"/>
        <v>4.06504065</v>
      </c>
      <c r="J49" s="11">
        <v>39.0</v>
      </c>
      <c r="K49" s="11">
        <v>455.0</v>
      </c>
      <c r="L49" s="12">
        <f t="shared" si="7"/>
        <v>8.571428571</v>
      </c>
      <c r="M49" s="13">
        <v>56.0</v>
      </c>
      <c r="N49" s="13">
        <v>468.0</v>
      </c>
      <c r="O49" s="14">
        <f t="shared" si="8"/>
        <v>11.96581197</v>
      </c>
      <c r="P49" s="12">
        <f t="shared" si="9"/>
        <v>0.08855154965</v>
      </c>
      <c r="Q49" s="12">
        <f t="shared" si="10"/>
        <v>0.3397212544</v>
      </c>
      <c r="S49" s="28"/>
      <c r="T49" s="28"/>
      <c r="U49" s="27"/>
      <c r="V49" s="27"/>
      <c r="X49" s="27"/>
      <c r="Y49" s="27"/>
    </row>
    <row r="50" ht="15.75" customHeight="1">
      <c r="A50" s="9">
        <v>20401.0</v>
      </c>
      <c r="B50" s="10" t="s">
        <v>24</v>
      </c>
      <c r="C50" s="10" t="s">
        <v>83</v>
      </c>
      <c r="D50" s="11">
        <v>9.0</v>
      </c>
      <c r="E50" s="11">
        <v>926.0</v>
      </c>
      <c r="F50" s="12">
        <f t="shared" si="5"/>
        <v>0.9719222462</v>
      </c>
      <c r="G50" s="13">
        <v>90.0</v>
      </c>
      <c r="H50" s="13">
        <v>926.0</v>
      </c>
      <c r="I50" s="12">
        <f t="shared" si="6"/>
        <v>9.719222462</v>
      </c>
      <c r="J50" s="11">
        <v>48.0</v>
      </c>
      <c r="K50" s="11">
        <v>808.0</v>
      </c>
      <c r="L50" s="12">
        <f t="shared" si="7"/>
        <v>5.940594059</v>
      </c>
      <c r="M50" s="13">
        <v>161.0</v>
      </c>
      <c r="N50" s="13">
        <v>833.0</v>
      </c>
      <c r="O50" s="14">
        <f t="shared" si="8"/>
        <v>19.32773109</v>
      </c>
      <c r="P50" s="12">
        <f t="shared" si="9"/>
        <v>0.1636069114</v>
      </c>
      <c r="Q50" s="12">
        <f t="shared" si="10"/>
        <v>0.5028641187</v>
      </c>
      <c r="S50" s="28"/>
      <c r="T50" s="28"/>
      <c r="U50" s="27"/>
      <c r="V50" s="27"/>
      <c r="X50" s="27"/>
      <c r="Y50" s="27"/>
    </row>
    <row r="51" ht="15.75" customHeight="1">
      <c r="A51" s="9">
        <v>20402.0</v>
      </c>
      <c r="B51" s="10" t="s">
        <v>24</v>
      </c>
      <c r="C51" s="10" t="s">
        <v>84</v>
      </c>
      <c r="D51" s="11">
        <v>14.0</v>
      </c>
      <c r="E51" s="11">
        <v>1407.0</v>
      </c>
      <c r="F51" s="12">
        <f t="shared" si="5"/>
        <v>0.9950248756</v>
      </c>
      <c r="G51" s="13">
        <v>131.0</v>
      </c>
      <c r="H51" s="13">
        <v>1268.0</v>
      </c>
      <c r="I51" s="12">
        <f t="shared" si="6"/>
        <v>10.33123028</v>
      </c>
      <c r="J51" s="11">
        <v>90.0</v>
      </c>
      <c r="K51" s="11">
        <v>1177.0</v>
      </c>
      <c r="L51" s="12">
        <f t="shared" si="7"/>
        <v>7.646559048</v>
      </c>
      <c r="M51" s="13">
        <v>245.0</v>
      </c>
      <c r="N51" s="13">
        <v>1259.0</v>
      </c>
      <c r="O51" s="14">
        <f t="shared" si="8"/>
        <v>19.4598888</v>
      </c>
      <c r="P51" s="12">
        <f t="shared" si="9"/>
        <v>0.1301271421</v>
      </c>
      <c r="Q51" s="12">
        <f t="shared" si="10"/>
        <v>0.5308987317</v>
      </c>
      <c r="S51" s="28"/>
      <c r="T51" s="28"/>
      <c r="U51" s="27"/>
      <c r="V51" s="27"/>
      <c r="X51" s="27"/>
      <c r="Y51" s="27"/>
    </row>
    <row r="52" ht="15.75" customHeight="1">
      <c r="A52" s="9">
        <v>20403.0</v>
      </c>
      <c r="B52" s="10" t="s">
        <v>24</v>
      </c>
      <c r="C52" s="10" t="s">
        <v>85</v>
      </c>
      <c r="D52" s="11">
        <v>8.0</v>
      </c>
      <c r="E52" s="11">
        <v>1330.0</v>
      </c>
      <c r="F52" s="12">
        <f t="shared" si="5"/>
        <v>0.6015037594</v>
      </c>
      <c r="G52" s="13">
        <v>101.0</v>
      </c>
      <c r="H52" s="13">
        <v>1301.0</v>
      </c>
      <c r="I52" s="12">
        <f t="shared" si="6"/>
        <v>7.763259032</v>
      </c>
      <c r="J52" s="11">
        <v>105.0</v>
      </c>
      <c r="K52" s="11">
        <v>1085.0</v>
      </c>
      <c r="L52" s="12">
        <f t="shared" si="7"/>
        <v>9.677419355</v>
      </c>
      <c r="M52" s="13">
        <v>185.0</v>
      </c>
      <c r="N52" s="13">
        <v>1116.0</v>
      </c>
      <c r="O52" s="14">
        <f t="shared" si="8"/>
        <v>16.57706093</v>
      </c>
      <c r="P52" s="12">
        <f t="shared" si="9"/>
        <v>0.06215538847</v>
      </c>
      <c r="Q52" s="12">
        <f t="shared" si="10"/>
        <v>0.4683133556</v>
      </c>
      <c r="S52" s="28"/>
      <c r="T52" s="28"/>
      <c r="U52" s="27"/>
      <c r="V52" s="27"/>
      <c r="X52" s="27"/>
      <c r="Y52" s="27"/>
    </row>
    <row r="53" ht="15.75" customHeight="1">
      <c r="A53" s="9">
        <v>20404.0</v>
      </c>
      <c r="B53" s="10" t="s">
        <v>24</v>
      </c>
      <c r="C53" s="10" t="s">
        <v>86</v>
      </c>
      <c r="D53" s="11">
        <v>1.0</v>
      </c>
      <c r="E53" s="11">
        <v>503.0</v>
      </c>
      <c r="F53" s="12">
        <f t="shared" si="5"/>
        <v>0.1988071571</v>
      </c>
      <c r="G53" s="13">
        <v>52.0</v>
      </c>
      <c r="H53" s="13">
        <v>438.0</v>
      </c>
      <c r="I53" s="12">
        <f t="shared" si="6"/>
        <v>11.87214612</v>
      </c>
      <c r="J53" s="11">
        <v>23.0</v>
      </c>
      <c r="K53" s="11">
        <v>466.0</v>
      </c>
      <c r="L53" s="12">
        <f t="shared" si="7"/>
        <v>4.935622318</v>
      </c>
      <c r="M53" s="13">
        <v>99.0</v>
      </c>
      <c r="N53" s="13">
        <v>401.0</v>
      </c>
      <c r="O53" s="14">
        <f t="shared" si="8"/>
        <v>24.6882793</v>
      </c>
      <c r="P53" s="12">
        <f t="shared" si="9"/>
        <v>0.04028005878</v>
      </c>
      <c r="Q53" s="12">
        <f t="shared" si="10"/>
        <v>0.4808818781</v>
      </c>
      <c r="S53" s="28"/>
      <c r="T53" s="28"/>
      <c r="U53" s="27"/>
      <c r="V53" s="27"/>
      <c r="X53" s="27"/>
      <c r="Y53" s="27"/>
    </row>
    <row r="54" ht="15.75" customHeight="1">
      <c r="A54" s="9">
        <v>20405.0</v>
      </c>
      <c r="B54" s="10" t="s">
        <v>24</v>
      </c>
      <c r="C54" s="10" t="s">
        <v>87</v>
      </c>
      <c r="D54" s="11">
        <v>9.0</v>
      </c>
      <c r="E54" s="11">
        <v>540.0</v>
      </c>
      <c r="F54" s="12">
        <f t="shared" si="5"/>
        <v>1.666666667</v>
      </c>
      <c r="G54" s="13">
        <v>38.0</v>
      </c>
      <c r="H54" s="13">
        <v>589.0</v>
      </c>
      <c r="I54" s="12">
        <f t="shared" si="6"/>
        <v>6.451612903</v>
      </c>
      <c r="J54" s="11">
        <v>50.0</v>
      </c>
      <c r="K54" s="11">
        <v>488.0</v>
      </c>
      <c r="L54" s="12">
        <f t="shared" si="7"/>
        <v>10.24590164</v>
      </c>
      <c r="M54" s="13">
        <v>76.0</v>
      </c>
      <c r="N54" s="13">
        <v>553.0</v>
      </c>
      <c r="O54" s="14">
        <f t="shared" si="8"/>
        <v>13.74321881</v>
      </c>
      <c r="P54" s="12">
        <f t="shared" si="9"/>
        <v>0.1626666667</v>
      </c>
      <c r="Q54" s="12">
        <f t="shared" si="10"/>
        <v>0.4694397284</v>
      </c>
      <c r="S54" s="28"/>
      <c r="T54" s="28"/>
      <c r="U54" s="27"/>
      <c r="V54" s="27"/>
      <c r="X54" s="27"/>
      <c r="Y54" s="27"/>
    </row>
    <row r="55" ht="15.75" customHeight="1">
      <c r="A55" s="9">
        <v>20501.0</v>
      </c>
      <c r="B55" s="10" t="s">
        <v>24</v>
      </c>
      <c r="C55" s="10" t="s">
        <v>88</v>
      </c>
      <c r="D55" s="11">
        <v>9.0</v>
      </c>
      <c r="E55" s="11">
        <v>1154.0</v>
      </c>
      <c r="F55" s="12">
        <f t="shared" si="5"/>
        <v>0.7798960139</v>
      </c>
      <c r="G55" s="13">
        <v>157.0</v>
      </c>
      <c r="H55" s="13">
        <v>1496.0</v>
      </c>
      <c r="I55" s="12">
        <f t="shared" si="6"/>
        <v>10.49465241</v>
      </c>
      <c r="J55" s="11">
        <v>58.0</v>
      </c>
      <c r="K55" s="11">
        <v>1056.0</v>
      </c>
      <c r="L55" s="12">
        <f t="shared" si="7"/>
        <v>5.492424242</v>
      </c>
      <c r="M55" s="13">
        <v>222.0</v>
      </c>
      <c r="N55" s="13">
        <v>1404.0</v>
      </c>
      <c r="O55" s="14">
        <f t="shared" si="8"/>
        <v>15.81196581</v>
      </c>
      <c r="P55" s="12">
        <f t="shared" si="9"/>
        <v>0.1419948605</v>
      </c>
      <c r="Q55" s="12">
        <f t="shared" si="10"/>
        <v>0.6637158549</v>
      </c>
      <c r="S55" s="28"/>
      <c r="T55" s="28"/>
      <c r="U55" s="27"/>
      <c r="V55" s="27"/>
      <c r="X55" s="27"/>
      <c r="Y55" s="27"/>
    </row>
    <row r="56" ht="15.75" customHeight="1">
      <c r="A56" s="9">
        <v>20502.0</v>
      </c>
      <c r="B56" s="10" t="s">
        <v>24</v>
      </c>
      <c r="C56" s="10" t="s">
        <v>89</v>
      </c>
      <c r="D56" s="11">
        <v>5.0</v>
      </c>
      <c r="E56" s="11">
        <v>943.0</v>
      </c>
      <c r="F56" s="12">
        <f t="shared" si="5"/>
        <v>0.5302226935</v>
      </c>
      <c r="G56" s="13">
        <v>80.0</v>
      </c>
      <c r="H56" s="13">
        <v>846.0</v>
      </c>
      <c r="I56" s="12">
        <f t="shared" si="6"/>
        <v>9.456264775</v>
      </c>
      <c r="J56" s="11">
        <v>55.0</v>
      </c>
      <c r="K56" s="11">
        <v>732.0</v>
      </c>
      <c r="L56" s="12">
        <f t="shared" si="7"/>
        <v>7.513661202</v>
      </c>
      <c r="M56" s="13">
        <v>123.0</v>
      </c>
      <c r="N56" s="13">
        <v>839.0</v>
      </c>
      <c r="O56" s="14">
        <f t="shared" si="8"/>
        <v>14.66030989</v>
      </c>
      <c r="P56" s="12">
        <f t="shared" si="9"/>
        <v>0.0705678203</v>
      </c>
      <c r="Q56" s="12">
        <f t="shared" si="10"/>
        <v>0.64502489</v>
      </c>
      <c r="S56" s="28"/>
      <c r="T56" s="28"/>
      <c r="U56" s="27"/>
      <c r="V56" s="27"/>
      <c r="X56" s="27"/>
      <c r="Y56" s="27"/>
    </row>
    <row r="57" ht="15.75" customHeight="1">
      <c r="A57" s="9">
        <v>20503.0</v>
      </c>
      <c r="B57" s="10" t="s">
        <v>24</v>
      </c>
      <c r="C57" s="10" t="s">
        <v>90</v>
      </c>
      <c r="D57" s="11">
        <v>10.0</v>
      </c>
      <c r="E57" s="11">
        <v>607.0</v>
      </c>
      <c r="F57" s="12">
        <f t="shared" si="5"/>
        <v>1.647446458</v>
      </c>
      <c r="G57" s="13">
        <v>37.0</v>
      </c>
      <c r="H57" s="13">
        <v>610.0</v>
      </c>
      <c r="I57" s="12">
        <f t="shared" si="6"/>
        <v>6.06557377</v>
      </c>
      <c r="J57" s="11">
        <v>82.0</v>
      </c>
      <c r="K57" s="11">
        <v>483.0</v>
      </c>
      <c r="L57" s="12">
        <f t="shared" si="7"/>
        <v>16.97722567</v>
      </c>
      <c r="M57" s="13">
        <v>120.0</v>
      </c>
      <c r="N57" s="13">
        <v>546.0</v>
      </c>
      <c r="O57" s="14">
        <f t="shared" si="8"/>
        <v>21.97802198</v>
      </c>
      <c r="P57" s="12">
        <f t="shared" si="9"/>
        <v>0.09703861454</v>
      </c>
      <c r="Q57" s="12">
        <f t="shared" si="10"/>
        <v>0.2759836066</v>
      </c>
      <c r="S57" s="28"/>
      <c r="T57" s="28"/>
      <c r="U57" s="27"/>
      <c r="V57" s="27"/>
      <c r="X57" s="27"/>
      <c r="Y57" s="27"/>
    </row>
    <row r="58" ht="15.75" customHeight="1">
      <c r="A58" s="9">
        <v>20601.0</v>
      </c>
      <c r="B58" s="10" t="s">
        <v>24</v>
      </c>
      <c r="C58" s="10" t="s">
        <v>91</v>
      </c>
      <c r="D58" s="11">
        <v>34.0</v>
      </c>
      <c r="E58" s="11">
        <v>2292.0</v>
      </c>
      <c r="F58" s="12">
        <f t="shared" si="5"/>
        <v>1.483420593</v>
      </c>
      <c r="G58" s="13">
        <v>125.0</v>
      </c>
      <c r="H58" s="13">
        <v>2354.0</v>
      </c>
      <c r="I58" s="12">
        <f t="shared" si="6"/>
        <v>5.31011045</v>
      </c>
      <c r="J58" s="11">
        <v>392.0</v>
      </c>
      <c r="K58" s="11">
        <v>2142.0</v>
      </c>
      <c r="L58" s="12">
        <f t="shared" si="7"/>
        <v>18.30065359</v>
      </c>
      <c r="M58" s="13">
        <v>421.0</v>
      </c>
      <c r="N58" s="13">
        <v>2485.0</v>
      </c>
      <c r="O58" s="14">
        <f t="shared" si="8"/>
        <v>16.9416499</v>
      </c>
      <c r="P58" s="12">
        <f t="shared" si="9"/>
        <v>0.08105833957</v>
      </c>
      <c r="Q58" s="12">
        <f t="shared" si="10"/>
        <v>0.3134352605</v>
      </c>
      <c r="S58" s="28"/>
      <c r="T58" s="28"/>
      <c r="U58" s="27"/>
      <c r="V58" s="27"/>
      <c r="X58" s="27"/>
      <c r="Y58" s="27"/>
    </row>
    <row r="59" ht="15.75" customHeight="1">
      <c r="A59" s="9">
        <v>20602.0</v>
      </c>
      <c r="B59" s="10" t="s">
        <v>24</v>
      </c>
      <c r="C59" s="10" t="s">
        <v>92</v>
      </c>
      <c r="D59" s="11">
        <v>22.0</v>
      </c>
      <c r="E59" s="11">
        <v>1707.0</v>
      </c>
      <c r="F59" s="12">
        <f t="shared" si="5"/>
        <v>1.288810779</v>
      </c>
      <c r="G59" s="13">
        <v>44.0</v>
      </c>
      <c r="H59" s="13">
        <v>1472.0</v>
      </c>
      <c r="I59" s="12">
        <f t="shared" si="6"/>
        <v>2.989130435</v>
      </c>
      <c r="J59" s="11">
        <v>316.0</v>
      </c>
      <c r="K59" s="11">
        <v>1332.0</v>
      </c>
      <c r="L59" s="12">
        <f t="shared" si="7"/>
        <v>23.72372372</v>
      </c>
      <c r="M59" s="13">
        <v>256.0</v>
      </c>
      <c r="N59" s="13">
        <v>1362.0</v>
      </c>
      <c r="O59" s="14">
        <f t="shared" si="8"/>
        <v>18.7958884</v>
      </c>
      <c r="P59" s="12">
        <f t="shared" si="9"/>
        <v>0.05432582145</v>
      </c>
      <c r="Q59" s="12">
        <f t="shared" si="10"/>
        <v>0.1590310802</v>
      </c>
      <c r="S59" s="28"/>
      <c r="T59" s="28"/>
      <c r="U59" s="27"/>
      <c r="V59" s="27"/>
      <c r="X59" s="27"/>
      <c r="Y59" s="27"/>
    </row>
    <row r="60" ht="15.75" customHeight="1">
      <c r="A60" s="9">
        <v>20603.0</v>
      </c>
      <c r="B60" s="10" t="s">
        <v>24</v>
      </c>
      <c r="C60" s="10" t="s">
        <v>93</v>
      </c>
      <c r="D60" s="11">
        <v>7.0</v>
      </c>
      <c r="E60" s="11">
        <v>920.0</v>
      </c>
      <c r="F60" s="12">
        <f t="shared" si="5"/>
        <v>0.7608695652</v>
      </c>
      <c r="G60" s="13">
        <v>55.0</v>
      </c>
      <c r="H60" s="13">
        <v>865.0</v>
      </c>
      <c r="I60" s="12">
        <f t="shared" si="6"/>
        <v>6.358381503</v>
      </c>
      <c r="J60" s="11">
        <v>162.0</v>
      </c>
      <c r="K60" s="11">
        <v>753.0</v>
      </c>
      <c r="L60" s="12">
        <f t="shared" si="7"/>
        <v>21.51394422</v>
      </c>
      <c r="M60" s="13">
        <v>182.0</v>
      </c>
      <c r="N60" s="13">
        <v>828.0</v>
      </c>
      <c r="O60" s="14">
        <f t="shared" si="8"/>
        <v>21.98067633</v>
      </c>
      <c r="P60" s="12">
        <f t="shared" si="9"/>
        <v>0.03536634461</v>
      </c>
      <c r="Q60" s="12">
        <f t="shared" si="10"/>
        <v>0.2892714222</v>
      </c>
      <c r="S60" s="28"/>
      <c r="T60" s="28"/>
      <c r="U60" s="27"/>
      <c r="V60" s="27"/>
      <c r="X60" s="27"/>
      <c r="Y60" s="27"/>
    </row>
    <row r="61" ht="15.75" customHeight="1">
      <c r="A61" s="9">
        <v>20604.0</v>
      </c>
      <c r="B61" s="10" t="s">
        <v>24</v>
      </c>
      <c r="C61" s="10" t="s">
        <v>94</v>
      </c>
      <c r="D61" s="11">
        <v>1.0</v>
      </c>
      <c r="E61" s="11">
        <v>280.0</v>
      </c>
      <c r="F61" s="12">
        <f t="shared" si="5"/>
        <v>0.3571428571</v>
      </c>
      <c r="G61" s="13">
        <v>24.0</v>
      </c>
      <c r="H61" s="13">
        <v>366.0</v>
      </c>
      <c r="I61" s="12">
        <f t="shared" si="6"/>
        <v>6.557377049</v>
      </c>
      <c r="J61" s="11">
        <v>20.0</v>
      </c>
      <c r="K61" s="11">
        <v>257.0</v>
      </c>
      <c r="L61" s="12">
        <f t="shared" si="7"/>
        <v>7.782101167</v>
      </c>
      <c r="M61" s="13">
        <v>72.0</v>
      </c>
      <c r="N61" s="13">
        <v>386.0</v>
      </c>
      <c r="O61" s="14">
        <f t="shared" si="8"/>
        <v>18.65284974</v>
      </c>
      <c r="P61" s="12">
        <f t="shared" si="9"/>
        <v>0.04589285714</v>
      </c>
      <c r="Q61" s="12">
        <f t="shared" si="10"/>
        <v>0.3515482696</v>
      </c>
      <c r="S61" s="28"/>
      <c r="T61" s="28"/>
      <c r="U61" s="27"/>
      <c r="V61" s="27"/>
      <c r="X61" s="27"/>
      <c r="Y61" s="27"/>
    </row>
    <row r="62" ht="15.75" customHeight="1">
      <c r="A62" s="9">
        <v>20605.0</v>
      </c>
      <c r="B62" s="10" t="s">
        <v>24</v>
      </c>
      <c r="C62" s="10" t="s">
        <v>95</v>
      </c>
      <c r="D62" s="11">
        <v>0.0</v>
      </c>
      <c r="E62" s="11">
        <v>352.0</v>
      </c>
      <c r="F62" s="12">
        <f t="shared" si="5"/>
        <v>0</v>
      </c>
      <c r="G62" s="13">
        <v>4.0</v>
      </c>
      <c r="H62" s="13">
        <v>235.0</v>
      </c>
      <c r="I62" s="12">
        <f t="shared" si="6"/>
        <v>1.70212766</v>
      </c>
      <c r="J62" s="11">
        <v>16.0</v>
      </c>
      <c r="K62" s="11">
        <v>302.0</v>
      </c>
      <c r="L62" s="12">
        <f t="shared" si="7"/>
        <v>5.298013245</v>
      </c>
      <c r="M62" s="13">
        <v>22.0</v>
      </c>
      <c r="N62" s="13">
        <v>222.0</v>
      </c>
      <c r="O62" s="14">
        <f t="shared" si="8"/>
        <v>9.90990991</v>
      </c>
      <c r="P62" s="12">
        <f t="shared" si="9"/>
        <v>0</v>
      </c>
      <c r="Q62" s="12">
        <f t="shared" si="10"/>
        <v>0.1717601547</v>
      </c>
      <c r="S62" s="28"/>
      <c r="T62" s="28"/>
      <c r="U62" s="27"/>
      <c r="V62" s="27"/>
      <c r="X62" s="27"/>
      <c r="Y62" s="27"/>
    </row>
    <row r="63" ht="15.75" customHeight="1">
      <c r="A63" s="9">
        <v>20606.0</v>
      </c>
      <c r="B63" s="10" t="s">
        <v>24</v>
      </c>
      <c r="C63" s="10" t="s">
        <v>96</v>
      </c>
      <c r="D63" s="11">
        <v>16.0</v>
      </c>
      <c r="E63" s="11">
        <v>965.0</v>
      </c>
      <c r="F63" s="12">
        <f t="shared" si="5"/>
        <v>1.658031088</v>
      </c>
      <c r="G63" s="13">
        <v>17.0</v>
      </c>
      <c r="H63" s="13">
        <v>616.0</v>
      </c>
      <c r="I63" s="12">
        <f t="shared" si="6"/>
        <v>2.75974026</v>
      </c>
      <c r="J63" s="11">
        <v>237.0</v>
      </c>
      <c r="K63" s="11">
        <v>971.0</v>
      </c>
      <c r="L63" s="12">
        <f t="shared" si="7"/>
        <v>24.40782698</v>
      </c>
      <c r="M63" s="13">
        <v>109.0</v>
      </c>
      <c r="N63" s="13">
        <v>526.0</v>
      </c>
      <c r="O63" s="14">
        <f t="shared" si="8"/>
        <v>20.72243346</v>
      </c>
      <c r="P63" s="12">
        <f t="shared" si="9"/>
        <v>0.06793030323</v>
      </c>
      <c r="Q63" s="12">
        <f t="shared" si="10"/>
        <v>0.1331764566</v>
      </c>
      <c r="S63" s="28"/>
      <c r="T63" s="28"/>
      <c r="U63" s="27"/>
      <c r="V63" s="27"/>
      <c r="X63" s="27"/>
      <c r="Y63" s="27"/>
    </row>
    <row r="64" ht="15.75" customHeight="1">
      <c r="A64" s="9">
        <v>20607.0</v>
      </c>
      <c r="B64" s="10" t="s">
        <v>24</v>
      </c>
      <c r="C64" s="10" t="s">
        <v>97</v>
      </c>
      <c r="D64" s="11">
        <v>15.0</v>
      </c>
      <c r="E64" s="11">
        <v>1545.0</v>
      </c>
      <c r="F64" s="12">
        <f t="shared" si="5"/>
        <v>0.9708737864</v>
      </c>
      <c r="G64" s="13">
        <v>76.0</v>
      </c>
      <c r="H64" s="13">
        <v>2162.0</v>
      </c>
      <c r="I64" s="12">
        <f t="shared" si="6"/>
        <v>3.515263645</v>
      </c>
      <c r="J64" s="11">
        <v>411.0</v>
      </c>
      <c r="K64" s="11">
        <v>1354.0</v>
      </c>
      <c r="L64" s="12">
        <f t="shared" si="7"/>
        <v>30.35450517</v>
      </c>
      <c r="M64" s="13">
        <v>402.0</v>
      </c>
      <c r="N64" s="13">
        <v>1936.0</v>
      </c>
      <c r="O64" s="14">
        <f t="shared" si="8"/>
        <v>20.76446281</v>
      </c>
      <c r="P64" s="12">
        <f t="shared" si="9"/>
        <v>0.03198450381</v>
      </c>
      <c r="Q64" s="12">
        <f t="shared" si="10"/>
        <v>0.1692922989</v>
      </c>
      <c r="S64" s="28"/>
      <c r="T64" s="28"/>
      <c r="U64" s="27"/>
      <c r="V64" s="27"/>
      <c r="X64" s="27"/>
      <c r="Y64" s="27"/>
    </row>
    <row r="65" ht="15.75" customHeight="1">
      <c r="A65" s="9">
        <v>20608.0</v>
      </c>
      <c r="B65" s="10" t="s">
        <v>24</v>
      </c>
      <c r="C65" s="10" t="s">
        <v>98</v>
      </c>
      <c r="D65" s="11">
        <v>6.0</v>
      </c>
      <c r="E65" s="11">
        <v>1126.0</v>
      </c>
      <c r="F65" s="12">
        <f t="shared" si="5"/>
        <v>0.5328596803</v>
      </c>
      <c r="G65" s="13">
        <v>52.0</v>
      </c>
      <c r="H65" s="13">
        <v>1298.0</v>
      </c>
      <c r="I65" s="12">
        <f t="shared" si="6"/>
        <v>4.006163328</v>
      </c>
      <c r="J65" s="11">
        <v>121.0</v>
      </c>
      <c r="K65" s="11">
        <v>926.0</v>
      </c>
      <c r="L65" s="12">
        <f t="shared" si="7"/>
        <v>13.06695464</v>
      </c>
      <c r="M65" s="13">
        <v>219.0</v>
      </c>
      <c r="N65" s="13">
        <v>1200.0</v>
      </c>
      <c r="O65" s="14">
        <f t="shared" si="8"/>
        <v>18.25</v>
      </c>
      <c r="P65" s="12">
        <f t="shared" si="9"/>
        <v>0.04077917884</v>
      </c>
      <c r="Q65" s="12">
        <f t="shared" si="10"/>
        <v>0.2195157988</v>
      </c>
      <c r="S65" s="28"/>
      <c r="T65" s="28"/>
      <c r="U65" s="27"/>
      <c r="V65" s="27"/>
      <c r="X65" s="27"/>
      <c r="Y65" s="27"/>
    </row>
    <row r="66" ht="15.75" customHeight="1">
      <c r="A66" s="9">
        <v>20701.0</v>
      </c>
      <c r="B66" s="10" t="s">
        <v>24</v>
      </c>
      <c r="C66" s="10" t="s">
        <v>99</v>
      </c>
      <c r="D66" s="11">
        <v>30.0</v>
      </c>
      <c r="E66" s="11">
        <v>2424.0</v>
      </c>
      <c r="F66" s="12">
        <f t="shared" si="5"/>
        <v>1.237623762</v>
      </c>
      <c r="G66" s="13">
        <v>147.0</v>
      </c>
      <c r="H66" s="13">
        <v>2030.0</v>
      </c>
      <c r="I66" s="12">
        <f t="shared" si="6"/>
        <v>7.24137931</v>
      </c>
      <c r="J66" s="11">
        <v>270.0</v>
      </c>
      <c r="K66" s="11">
        <v>1844.0</v>
      </c>
      <c r="L66" s="12">
        <f t="shared" si="7"/>
        <v>14.64208243</v>
      </c>
      <c r="M66" s="13">
        <v>325.0</v>
      </c>
      <c r="N66" s="13">
        <v>1531.0</v>
      </c>
      <c r="O66" s="14">
        <f t="shared" si="8"/>
        <v>21.22795558</v>
      </c>
      <c r="P66" s="12">
        <f t="shared" si="9"/>
        <v>0.08452511918</v>
      </c>
      <c r="Q66" s="12">
        <f t="shared" si="10"/>
        <v>0.3411246684</v>
      </c>
      <c r="S66" s="28"/>
      <c r="T66" s="28"/>
      <c r="U66" s="27"/>
      <c r="V66" s="27"/>
      <c r="X66" s="27"/>
      <c r="Y66" s="27"/>
    </row>
    <row r="67" ht="15.75" customHeight="1">
      <c r="A67" s="9">
        <v>20702.0</v>
      </c>
      <c r="B67" s="10" t="s">
        <v>24</v>
      </c>
      <c r="C67" s="10" t="s">
        <v>100</v>
      </c>
      <c r="D67" s="11">
        <v>9.0</v>
      </c>
      <c r="E67" s="11">
        <v>947.0</v>
      </c>
      <c r="F67" s="12">
        <f t="shared" si="5"/>
        <v>0.9503695882</v>
      </c>
      <c r="G67" s="13">
        <v>59.0</v>
      </c>
      <c r="H67" s="13">
        <v>1117.0</v>
      </c>
      <c r="I67" s="12">
        <f t="shared" si="6"/>
        <v>5.282005372</v>
      </c>
      <c r="J67" s="11">
        <v>125.0</v>
      </c>
      <c r="K67" s="11">
        <v>589.0</v>
      </c>
      <c r="L67" s="12">
        <f t="shared" si="7"/>
        <v>21.22241087</v>
      </c>
      <c r="M67" s="13">
        <v>131.0</v>
      </c>
      <c r="N67" s="13">
        <v>658.0</v>
      </c>
      <c r="O67" s="14">
        <f t="shared" si="8"/>
        <v>19.90881459</v>
      </c>
      <c r="P67" s="12">
        <f t="shared" si="9"/>
        <v>0.04478141499</v>
      </c>
      <c r="Q67" s="12">
        <f t="shared" si="10"/>
        <v>0.2653098881</v>
      </c>
      <c r="S67" s="28"/>
      <c r="T67" s="28"/>
      <c r="U67" s="27"/>
      <c r="V67" s="27"/>
      <c r="X67" s="27"/>
      <c r="Y67" s="27"/>
    </row>
    <row r="68" ht="15.75" customHeight="1">
      <c r="A68" s="9">
        <v>20801.0</v>
      </c>
      <c r="B68" s="10" t="s">
        <v>24</v>
      </c>
      <c r="C68" s="10" t="s">
        <v>101</v>
      </c>
      <c r="D68" s="11">
        <v>103.0</v>
      </c>
      <c r="E68" s="11">
        <v>7811.0</v>
      </c>
      <c r="F68" s="12">
        <f t="shared" si="5"/>
        <v>1.318653181</v>
      </c>
      <c r="G68" s="13">
        <v>350.0</v>
      </c>
      <c r="H68" s="13">
        <v>10677.0</v>
      </c>
      <c r="I68" s="12">
        <f t="shared" si="6"/>
        <v>3.278074365</v>
      </c>
      <c r="J68" s="11">
        <v>1110.0</v>
      </c>
      <c r="K68" s="11">
        <v>7667.0</v>
      </c>
      <c r="L68" s="12">
        <f t="shared" si="7"/>
        <v>14.47763141</v>
      </c>
      <c r="M68" s="13">
        <v>954.0</v>
      </c>
      <c r="N68" s="13">
        <v>9938.0</v>
      </c>
      <c r="O68" s="14">
        <f t="shared" si="8"/>
        <v>9.599517005</v>
      </c>
      <c r="P68" s="12">
        <f t="shared" si="9"/>
        <v>0.09108210758</v>
      </c>
      <c r="Q68" s="12">
        <f t="shared" si="10"/>
        <v>0.3414832604</v>
      </c>
      <c r="S68" s="28"/>
      <c r="T68" s="28"/>
      <c r="U68" s="27"/>
      <c r="V68" s="27"/>
      <c r="X68" s="27"/>
      <c r="Y68" s="27"/>
    </row>
    <row r="69" ht="15.75" customHeight="1">
      <c r="A69" s="9">
        <v>20802.0</v>
      </c>
      <c r="B69" s="10" t="s">
        <v>24</v>
      </c>
      <c r="C69" s="10" t="s">
        <v>102</v>
      </c>
      <c r="D69" s="11">
        <v>10.0</v>
      </c>
      <c r="E69" s="11">
        <v>739.0</v>
      </c>
      <c r="F69" s="12">
        <f t="shared" si="5"/>
        <v>1.353179973</v>
      </c>
      <c r="G69" s="13">
        <v>33.0</v>
      </c>
      <c r="H69" s="13">
        <v>816.0</v>
      </c>
      <c r="I69" s="12">
        <f t="shared" si="6"/>
        <v>4.044117647</v>
      </c>
      <c r="J69" s="11">
        <v>40.0</v>
      </c>
      <c r="K69" s="11">
        <v>525.0</v>
      </c>
      <c r="L69" s="12">
        <f t="shared" si="7"/>
        <v>7.619047619</v>
      </c>
      <c r="M69" s="13">
        <v>51.0</v>
      </c>
      <c r="N69" s="13">
        <v>498.0</v>
      </c>
      <c r="O69" s="14">
        <f t="shared" si="8"/>
        <v>10.24096386</v>
      </c>
      <c r="P69" s="12">
        <f t="shared" si="9"/>
        <v>0.1776048714</v>
      </c>
      <c r="Q69" s="12">
        <f t="shared" si="10"/>
        <v>0.3948961938</v>
      </c>
      <c r="S69" s="28"/>
      <c r="T69" s="28"/>
      <c r="U69" s="27"/>
      <c r="V69" s="27"/>
      <c r="X69" s="27"/>
      <c r="Y69" s="27"/>
    </row>
    <row r="70" ht="15.75" customHeight="1">
      <c r="A70" s="9">
        <v>20803.0</v>
      </c>
      <c r="B70" s="10" t="s">
        <v>24</v>
      </c>
      <c r="C70" s="10" t="s">
        <v>103</v>
      </c>
      <c r="D70" s="11">
        <v>38.0</v>
      </c>
      <c r="E70" s="11">
        <v>1293.0</v>
      </c>
      <c r="F70" s="12">
        <f t="shared" si="5"/>
        <v>2.938901779</v>
      </c>
      <c r="G70" s="13">
        <v>82.0</v>
      </c>
      <c r="H70" s="13">
        <v>988.0</v>
      </c>
      <c r="I70" s="12">
        <f t="shared" si="6"/>
        <v>8.299595142</v>
      </c>
      <c r="J70" s="11">
        <v>195.0</v>
      </c>
      <c r="K70" s="11">
        <v>1236.0</v>
      </c>
      <c r="L70" s="12">
        <f t="shared" si="7"/>
        <v>15.77669903</v>
      </c>
      <c r="M70" s="13">
        <v>160.0</v>
      </c>
      <c r="N70" s="13">
        <v>1065.0</v>
      </c>
      <c r="O70" s="14">
        <f t="shared" si="8"/>
        <v>15.02347418</v>
      </c>
      <c r="P70" s="12">
        <f t="shared" si="9"/>
        <v>0.1862811589</v>
      </c>
      <c r="Q70" s="12">
        <f t="shared" si="10"/>
        <v>0.5524418016</v>
      </c>
      <c r="S70" s="28"/>
      <c r="T70" s="28"/>
      <c r="U70" s="27"/>
      <c r="V70" s="27"/>
      <c r="X70" s="27"/>
      <c r="Y70" s="27"/>
    </row>
    <row r="71" ht="15.75" customHeight="1">
      <c r="A71" s="9">
        <v>20804.0</v>
      </c>
      <c r="B71" s="10" t="s">
        <v>24</v>
      </c>
      <c r="C71" s="10" t="s">
        <v>104</v>
      </c>
      <c r="D71" s="11">
        <v>8.0</v>
      </c>
      <c r="E71" s="11">
        <v>526.0</v>
      </c>
      <c r="F71" s="12">
        <f t="shared" si="5"/>
        <v>1.520912548</v>
      </c>
      <c r="G71" s="13">
        <v>40.0</v>
      </c>
      <c r="H71" s="13">
        <v>593.0</v>
      </c>
      <c r="I71" s="12">
        <f t="shared" si="6"/>
        <v>6.745362563</v>
      </c>
      <c r="J71" s="11">
        <v>92.0</v>
      </c>
      <c r="K71" s="11">
        <v>573.0</v>
      </c>
      <c r="L71" s="12">
        <f t="shared" si="7"/>
        <v>16.05584642</v>
      </c>
      <c r="M71" s="13">
        <v>86.0</v>
      </c>
      <c r="N71" s="13">
        <v>552.0</v>
      </c>
      <c r="O71" s="14">
        <f t="shared" si="8"/>
        <v>15.57971014</v>
      </c>
      <c r="P71" s="12">
        <f t="shared" si="9"/>
        <v>0.09472640106</v>
      </c>
      <c r="Q71" s="12">
        <f t="shared" si="10"/>
        <v>0.4329581552</v>
      </c>
      <c r="S71" s="28"/>
      <c r="T71" s="28"/>
      <c r="U71" s="27"/>
      <c r="V71" s="27"/>
      <c r="X71" s="27"/>
      <c r="Y71" s="27"/>
    </row>
    <row r="72" ht="15.75" customHeight="1">
      <c r="A72" s="9">
        <v>20805.0</v>
      </c>
      <c r="B72" s="10" t="s">
        <v>24</v>
      </c>
      <c r="C72" s="10" t="s">
        <v>105</v>
      </c>
      <c r="D72" s="11">
        <v>15.0</v>
      </c>
      <c r="E72" s="11">
        <v>473.0</v>
      </c>
      <c r="F72" s="12">
        <f t="shared" si="5"/>
        <v>3.171247357</v>
      </c>
      <c r="G72" s="13">
        <v>25.0</v>
      </c>
      <c r="H72" s="13">
        <v>520.0</v>
      </c>
      <c r="I72" s="12">
        <f t="shared" si="6"/>
        <v>4.807692308</v>
      </c>
      <c r="J72" s="11">
        <v>29.0</v>
      </c>
      <c r="K72" s="11">
        <v>453.0</v>
      </c>
      <c r="L72" s="12">
        <f t="shared" si="7"/>
        <v>6.401766004</v>
      </c>
      <c r="M72" s="13">
        <v>61.0</v>
      </c>
      <c r="N72" s="13">
        <v>529.0</v>
      </c>
      <c r="O72" s="14">
        <f t="shared" si="8"/>
        <v>11.53119093</v>
      </c>
      <c r="P72" s="12">
        <f t="shared" si="9"/>
        <v>0.4953707079</v>
      </c>
      <c r="Q72" s="12">
        <f t="shared" si="10"/>
        <v>0.4169293821</v>
      </c>
      <c r="S72" s="28"/>
      <c r="T72" s="28"/>
      <c r="U72" s="27"/>
      <c r="V72" s="27"/>
      <c r="X72" s="27"/>
      <c r="Y72" s="27"/>
    </row>
    <row r="73" ht="15.75" customHeight="1">
      <c r="A73" s="9">
        <v>20806.0</v>
      </c>
      <c r="B73" s="10" t="s">
        <v>24</v>
      </c>
      <c r="C73" s="10" t="s">
        <v>106</v>
      </c>
      <c r="D73" s="11">
        <v>12.0</v>
      </c>
      <c r="E73" s="11">
        <v>1346.0</v>
      </c>
      <c r="F73" s="12">
        <f t="shared" si="5"/>
        <v>0.8915304606</v>
      </c>
      <c r="G73" s="13">
        <v>76.0</v>
      </c>
      <c r="H73" s="13">
        <v>1217.0</v>
      </c>
      <c r="I73" s="12">
        <f t="shared" si="6"/>
        <v>6.244864421</v>
      </c>
      <c r="J73" s="11">
        <v>114.0</v>
      </c>
      <c r="K73" s="11">
        <v>1358.0</v>
      </c>
      <c r="L73" s="12">
        <f t="shared" si="7"/>
        <v>8.394698085</v>
      </c>
      <c r="M73" s="13">
        <v>143.0</v>
      </c>
      <c r="N73" s="13">
        <v>1183.0</v>
      </c>
      <c r="O73" s="14">
        <f t="shared" si="8"/>
        <v>12.08791209</v>
      </c>
      <c r="P73" s="12">
        <f t="shared" si="9"/>
        <v>0.106201611</v>
      </c>
      <c r="Q73" s="12">
        <f t="shared" si="10"/>
        <v>0.5166206021</v>
      </c>
      <c r="S73" s="28"/>
      <c r="T73" s="28"/>
      <c r="U73" s="27"/>
      <c r="V73" s="27"/>
      <c r="X73" s="27"/>
      <c r="Y73" s="27"/>
    </row>
    <row r="74" ht="15.75" customHeight="1">
      <c r="A74" s="9">
        <v>20807.0</v>
      </c>
      <c r="B74" s="10" t="s">
        <v>24</v>
      </c>
      <c r="C74" s="10" t="s">
        <v>107</v>
      </c>
      <c r="D74" s="11">
        <v>10.0</v>
      </c>
      <c r="E74" s="11">
        <v>498.0</v>
      </c>
      <c r="F74" s="12">
        <f t="shared" si="5"/>
        <v>2.008032129</v>
      </c>
      <c r="G74" s="13">
        <v>42.0</v>
      </c>
      <c r="H74" s="13">
        <v>436.0</v>
      </c>
      <c r="I74" s="12">
        <f t="shared" si="6"/>
        <v>9.633027523</v>
      </c>
      <c r="J74" s="11">
        <v>25.0</v>
      </c>
      <c r="K74" s="11">
        <v>436.0</v>
      </c>
      <c r="L74" s="12">
        <f t="shared" si="7"/>
        <v>5.733944954</v>
      </c>
      <c r="M74" s="13">
        <v>90.0</v>
      </c>
      <c r="N74" s="13">
        <v>471.0</v>
      </c>
      <c r="O74" s="14">
        <f t="shared" si="8"/>
        <v>19.10828025</v>
      </c>
      <c r="P74" s="12">
        <f t="shared" si="9"/>
        <v>0.3502008032</v>
      </c>
      <c r="Q74" s="12">
        <f t="shared" si="10"/>
        <v>0.5041284404</v>
      </c>
      <c r="S74" s="28"/>
      <c r="T74" s="28"/>
      <c r="U74" s="27"/>
      <c r="V74" s="27"/>
      <c r="X74" s="27"/>
      <c r="Y74" s="27"/>
    </row>
    <row r="75" ht="15.75" customHeight="1">
      <c r="A75" s="9">
        <v>20901.0</v>
      </c>
      <c r="B75" s="10" t="s">
        <v>24</v>
      </c>
      <c r="C75" s="10" t="s">
        <v>108</v>
      </c>
      <c r="D75" s="11">
        <v>6.0</v>
      </c>
      <c r="E75" s="11">
        <v>994.0</v>
      </c>
      <c r="F75" s="12">
        <f t="shared" si="5"/>
        <v>0.6036217304</v>
      </c>
      <c r="G75" s="13">
        <v>23.0</v>
      </c>
      <c r="H75" s="13">
        <v>729.0</v>
      </c>
      <c r="I75" s="12">
        <f t="shared" si="6"/>
        <v>3.155006859</v>
      </c>
      <c r="J75" s="11">
        <v>83.0</v>
      </c>
      <c r="K75" s="11">
        <v>923.0</v>
      </c>
      <c r="L75" s="12">
        <f t="shared" si="7"/>
        <v>8.992416035</v>
      </c>
      <c r="M75" s="13">
        <v>67.0</v>
      </c>
      <c r="N75" s="13">
        <v>690.0</v>
      </c>
      <c r="O75" s="14">
        <f t="shared" si="8"/>
        <v>9.710144928</v>
      </c>
      <c r="P75" s="12">
        <f t="shared" si="9"/>
        <v>0.06712564544</v>
      </c>
      <c r="Q75" s="12">
        <f t="shared" si="10"/>
        <v>0.3249186168</v>
      </c>
      <c r="S75" s="28"/>
      <c r="T75" s="28"/>
      <c r="U75" s="27"/>
      <c r="V75" s="27"/>
      <c r="X75" s="27"/>
      <c r="Y75" s="27"/>
    </row>
    <row r="76" ht="15.75" customHeight="1">
      <c r="A76" s="9">
        <v>20902.0</v>
      </c>
      <c r="B76" s="10" t="s">
        <v>24</v>
      </c>
      <c r="C76" s="10" t="s">
        <v>109</v>
      </c>
      <c r="D76" s="11">
        <v>3.0</v>
      </c>
      <c r="E76" s="11">
        <v>1016.0</v>
      </c>
      <c r="F76" s="12">
        <f t="shared" si="5"/>
        <v>0.2952755906</v>
      </c>
      <c r="G76" s="13">
        <v>42.0</v>
      </c>
      <c r="H76" s="13">
        <v>1205.0</v>
      </c>
      <c r="I76" s="12">
        <f t="shared" si="6"/>
        <v>3.485477178</v>
      </c>
      <c r="J76" s="11">
        <v>53.0</v>
      </c>
      <c r="K76" s="11">
        <v>964.0</v>
      </c>
      <c r="L76" s="12">
        <f t="shared" si="7"/>
        <v>5.497925311</v>
      </c>
      <c r="M76" s="13">
        <v>89.0</v>
      </c>
      <c r="N76" s="13">
        <v>1217.0</v>
      </c>
      <c r="O76" s="14">
        <f t="shared" si="8"/>
        <v>7.313064914</v>
      </c>
      <c r="P76" s="12">
        <f t="shared" si="9"/>
        <v>0.05370673005</v>
      </c>
      <c r="Q76" s="12">
        <f t="shared" si="10"/>
        <v>0.4766096322</v>
      </c>
      <c r="S76" s="28"/>
      <c r="T76" s="28"/>
      <c r="U76" s="27"/>
      <c r="V76" s="27"/>
      <c r="X76" s="27"/>
      <c r="Y76" s="27"/>
    </row>
    <row r="77" ht="15.75" customHeight="1">
      <c r="A77" s="9">
        <v>20903.0</v>
      </c>
      <c r="B77" s="10" t="s">
        <v>24</v>
      </c>
      <c r="C77" s="10" t="s">
        <v>110</v>
      </c>
      <c r="D77" s="11">
        <v>7.0</v>
      </c>
      <c r="E77" s="11">
        <v>685.0</v>
      </c>
      <c r="F77" s="12">
        <f t="shared" si="5"/>
        <v>1.02189781</v>
      </c>
      <c r="G77" s="13">
        <v>87.0</v>
      </c>
      <c r="H77" s="13">
        <v>1201.0</v>
      </c>
      <c r="I77" s="12">
        <f t="shared" si="6"/>
        <v>7.243963364</v>
      </c>
      <c r="J77" s="11">
        <v>64.0</v>
      </c>
      <c r="K77" s="11">
        <v>601.0</v>
      </c>
      <c r="L77" s="12">
        <f t="shared" si="7"/>
        <v>10.64891847</v>
      </c>
      <c r="M77" s="13">
        <v>139.0</v>
      </c>
      <c r="N77" s="13">
        <v>976.0</v>
      </c>
      <c r="O77" s="14">
        <f t="shared" si="8"/>
        <v>14.24180328</v>
      </c>
      <c r="P77" s="12">
        <f t="shared" si="9"/>
        <v>0.09596259124</v>
      </c>
      <c r="Q77" s="12">
        <f t="shared" si="10"/>
        <v>0.5086408808</v>
      </c>
      <c r="S77" s="28"/>
      <c r="T77" s="28"/>
      <c r="U77" s="27"/>
      <c r="V77" s="27"/>
      <c r="X77" s="27"/>
      <c r="Y77" s="27"/>
    </row>
    <row r="78" ht="15.75" customHeight="1">
      <c r="A78" s="9">
        <v>20904.0</v>
      </c>
      <c r="B78" s="10" t="s">
        <v>24</v>
      </c>
      <c r="C78" s="10" t="s">
        <v>111</v>
      </c>
      <c r="D78" s="11">
        <v>3.0</v>
      </c>
      <c r="E78" s="11">
        <v>526.0</v>
      </c>
      <c r="F78" s="12">
        <f t="shared" si="5"/>
        <v>0.5703422053</v>
      </c>
      <c r="G78" s="13">
        <v>26.0</v>
      </c>
      <c r="H78" s="13">
        <v>535.0</v>
      </c>
      <c r="I78" s="12">
        <f t="shared" si="6"/>
        <v>4.859813084</v>
      </c>
      <c r="J78" s="11">
        <v>80.0</v>
      </c>
      <c r="K78" s="11">
        <v>507.0</v>
      </c>
      <c r="L78" s="12">
        <f t="shared" si="7"/>
        <v>15.7790927</v>
      </c>
      <c r="M78" s="13">
        <v>73.0</v>
      </c>
      <c r="N78" s="13">
        <v>475.0</v>
      </c>
      <c r="O78" s="14">
        <f t="shared" si="8"/>
        <v>15.36842105</v>
      </c>
      <c r="P78" s="12">
        <f t="shared" si="9"/>
        <v>0.03614543726</v>
      </c>
      <c r="Q78" s="12">
        <f t="shared" si="10"/>
        <v>0.3162207144</v>
      </c>
      <c r="S78" s="28"/>
      <c r="T78" s="28"/>
      <c r="U78" s="27"/>
      <c r="V78" s="27"/>
      <c r="X78" s="27"/>
      <c r="Y78" s="27"/>
    </row>
    <row r="79" ht="15.75" customHeight="1">
      <c r="A79" s="9">
        <v>20905.0</v>
      </c>
      <c r="B79" s="10" t="s">
        <v>24</v>
      </c>
      <c r="C79" s="10" t="s">
        <v>112</v>
      </c>
      <c r="D79" s="11">
        <v>4.0</v>
      </c>
      <c r="E79" s="11">
        <v>1067.0</v>
      </c>
      <c r="F79" s="12">
        <f t="shared" si="5"/>
        <v>0.3748828491</v>
      </c>
      <c r="G79" s="13">
        <v>44.0</v>
      </c>
      <c r="H79" s="13">
        <v>1156.0</v>
      </c>
      <c r="I79" s="12">
        <f t="shared" si="6"/>
        <v>3.806228374</v>
      </c>
      <c r="J79" s="11">
        <v>126.0</v>
      </c>
      <c r="K79" s="11">
        <v>1003.0</v>
      </c>
      <c r="L79" s="12">
        <f t="shared" si="7"/>
        <v>12.56231306</v>
      </c>
      <c r="M79" s="13">
        <v>184.0</v>
      </c>
      <c r="N79" s="13">
        <v>1095.0</v>
      </c>
      <c r="O79" s="14">
        <f t="shared" si="8"/>
        <v>16.80365297</v>
      </c>
      <c r="P79" s="12">
        <f t="shared" si="9"/>
        <v>0.02984186489</v>
      </c>
      <c r="Q79" s="12">
        <f t="shared" si="10"/>
        <v>0.2265119603</v>
      </c>
      <c r="S79" s="28"/>
      <c r="T79" s="28"/>
      <c r="U79" s="27"/>
      <c r="V79" s="27"/>
      <c r="X79" s="27"/>
      <c r="Y79" s="27"/>
    </row>
    <row r="80" ht="15.75" customHeight="1">
      <c r="A80" s="9">
        <v>21001.0</v>
      </c>
      <c r="B80" s="10" t="s">
        <v>24</v>
      </c>
      <c r="C80" s="10" t="s">
        <v>113</v>
      </c>
      <c r="D80" s="11">
        <v>6.0</v>
      </c>
      <c r="E80" s="11">
        <v>1393.0</v>
      </c>
      <c r="F80" s="12">
        <f t="shared" si="5"/>
        <v>0.4307250538</v>
      </c>
      <c r="G80" s="13">
        <v>104.0</v>
      </c>
      <c r="H80" s="13">
        <v>1601.0</v>
      </c>
      <c r="I80" s="12">
        <f t="shared" si="6"/>
        <v>6.495940037</v>
      </c>
      <c r="J80" s="11">
        <v>183.0</v>
      </c>
      <c r="K80" s="11">
        <v>1096.0</v>
      </c>
      <c r="L80" s="12">
        <f t="shared" si="7"/>
        <v>16.69708029</v>
      </c>
      <c r="M80" s="13">
        <v>302.0</v>
      </c>
      <c r="N80" s="13">
        <v>1461.0</v>
      </c>
      <c r="O80" s="14">
        <f t="shared" si="8"/>
        <v>20.67077344</v>
      </c>
      <c r="P80" s="12">
        <f t="shared" si="9"/>
        <v>0.02579642945</v>
      </c>
      <c r="Q80" s="12">
        <f t="shared" si="10"/>
        <v>0.3142572316</v>
      </c>
      <c r="S80" s="28"/>
      <c r="T80" s="28"/>
      <c r="U80" s="27"/>
      <c r="V80" s="27"/>
      <c r="X80" s="27"/>
      <c r="Y80" s="27"/>
    </row>
    <row r="81" ht="15.75" customHeight="1">
      <c r="A81" s="9">
        <v>21002.0</v>
      </c>
      <c r="B81" s="10" t="s">
        <v>24</v>
      </c>
      <c r="C81" s="10" t="s">
        <v>114</v>
      </c>
      <c r="D81" s="11">
        <v>8.0</v>
      </c>
      <c r="E81" s="11">
        <v>774.0</v>
      </c>
      <c r="F81" s="12">
        <f t="shared" si="5"/>
        <v>1.033591731</v>
      </c>
      <c r="G81" s="13">
        <v>19.0</v>
      </c>
      <c r="H81" s="13">
        <v>884.0</v>
      </c>
      <c r="I81" s="12">
        <f t="shared" si="6"/>
        <v>2.149321267</v>
      </c>
      <c r="J81" s="11">
        <v>179.0</v>
      </c>
      <c r="K81" s="11">
        <v>648.0</v>
      </c>
      <c r="L81" s="12">
        <f t="shared" si="7"/>
        <v>27.62345679</v>
      </c>
      <c r="M81" s="13">
        <v>143.0</v>
      </c>
      <c r="N81" s="13">
        <v>699.0</v>
      </c>
      <c r="O81" s="14">
        <f t="shared" si="8"/>
        <v>20.45779685</v>
      </c>
      <c r="P81" s="12">
        <f t="shared" si="9"/>
        <v>0.03741717552</v>
      </c>
      <c r="Q81" s="12">
        <f t="shared" si="10"/>
        <v>0.1050612284</v>
      </c>
      <c r="S81" s="28"/>
      <c r="T81" s="28"/>
      <c r="U81" s="27"/>
      <c r="V81" s="27"/>
      <c r="X81" s="27"/>
      <c r="Y81" s="27"/>
    </row>
    <row r="82" ht="15.75" customHeight="1">
      <c r="A82" s="9">
        <v>21003.0</v>
      </c>
      <c r="B82" s="10" t="s">
        <v>24</v>
      </c>
      <c r="C82" s="10" t="s">
        <v>115</v>
      </c>
      <c r="D82" s="11">
        <v>6.0</v>
      </c>
      <c r="E82" s="11">
        <v>1035.0</v>
      </c>
      <c r="F82" s="12">
        <f t="shared" si="5"/>
        <v>0.5797101449</v>
      </c>
      <c r="G82" s="13">
        <v>39.0</v>
      </c>
      <c r="H82" s="13">
        <v>1440.0</v>
      </c>
      <c r="I82" s="12">
        <f t="shared" si="6"/>
        <v>2.708333333</v>
      </c>
      <c r="J82" s="11">
        <v>107.0</v>
      </c>
      <c r="K82" s="11">
        <v>949.0</v>
      </c>
      <c r="L82" s="12">
        <f t="shared" si="7"/>
        <v>11.27502634</v>
      </c>
      <c r="M82" s="13">
        <v>142.0</v>
      </c>
      <c r="N82" s="13">
        <v>1367.0</v>
      </c>
      <c r="O82" s="14">
        <f t="shared" si="8"/>
        <v>10.38771031</v>
      </c>
      <c r="P82" s="12">
        <f t="shared" si="9"/>
        <v>0.05141541379</v>
      </c>
      <c r="Q82" s="12">
        <f t="shared" si="10"/>
        <v>0.2607247653</v>
      </c>
      <c r="S82" s="28"/>
      <c r="T82" s="28"/>
      <c r="U82" s="27"/>
      <c r="V82" s="27"/>
      <c r="X82" s="27"/>
      <c r="Y82" s="27"/>
    </row>
    <row r="83" ht="15.75" customHeight="1">
      <c r="A83" s="9">
        <v>21004.0</v>
      </c>
      <c r="B83" s="10" t="s">
        <v>24</v>
      </c>
      <c r="C83" s="10" t="s">
        <v>116</v>
      </c>
      <c r="D83" s="11">
        <v>8.0</v>
      </c>
      <c r="E83" s="11">
        <v>1919.0</v>
      </c>
      <c r="F83" s="12">
        <f t="shared" si="5"/>
        <v>0.4168837936</v>
      </c>
      <c r="G83" s="13">
        <v>77.0</v>
      </c>
      <c r="H83" s="13">
        <v>2016.0</v>
      </c>
      <c r="I83" s="12">
        <f t="shared" si="6"/>
        <v>3.819444444</v>
      </c>
      <c r="J83" s="11">
        <v>372.0</v>
      </c>
      <c r="K83" s="11">
        <v>1587.0</v>
      </c>
      <c r="L83" s="12">
        <f t="shared" si="7"/>
        <v>23.44045369</v>
      </c>
      <c r="M83" s="13">
        <v>356.0</v>
      </c>
      <c r="N83" s="13">
        <v>1912.0</v>
      </c>
      <c r="O83" s="14">
        <f t="shared" si="8"/>
        <v>18.61924686</v>
      </c>
      <c r="P83" s="12">
        <f t="shared" si="9"/>
        <v>0.01778480055</v>
      </c>
      <c r="Q83" s="12">
        <f t="shared" si="10"/>
        <v>0.2051342072</v>
      </c>
      <c r="S83" s="28"/>
      <c r="T83" s="28"/>
      <c r="U83" s="27"/>
      <c r="V83" s="27"/>
      <c r="X83" s="27"/>
      <c r="Y83" s="27"/>
    </row>
    <row r="84" ht="15.75" customHeight="1">
      <c r="A84" s="9">
        <v>21005.0</v>
      </c>
      <c r="B84" s="10" t="s">
        <v>24</v>
      </c>
      <c r="C84" s="10" t="s">
        <v>117</v>
      </c>
      <c r="D84" s="11">
        <v>2.0</v>
      </c>
      <c r="E84" s="11">
        <v>788.0</v>
      </c>
      <c r="F84" s="12">
        <f t="shared" si="5"/>
        <v>0.2538071066</v>
      </c>
      <c r="G84" s="13">
        <v>80.0</v>
      </c>
      <c r="H84" s="13">
        <v>925.0</v>
      </c>
      <c r="I84" s="12">
        <f t="shared" si="6"/>
        <v>8.648648649</v>
      </c>
      <c r="J84" s="11">
        <v>74.0</v>
      </c>
      <c r="K84" s="11">
        <v>686.0</v>
      </c>
      <c r="L84" s="12">
        <f t="shared" si="7"/>
        <v>10.78717201</v>
      </c>
      <c r="M84" s="13">
        <v>189.0</v>
      </c>
      <c r="N84" s="13">
        <v>838.0</v>
      </c>
      <c r="O84" s="14">
        <f t="shared" si="8"/>
        <v>22.55369928</v>
      </c>
      <c r="P84" s="12">
        <f t="shared" si="9"/>
        <v>0.02352860475</v>
      </c>
      <c r="Q84" s="12">
        <f t="shared" si="10"/>
        <v>0.3834691835</v>
      </c>
      <c r="S84" s="28"/>
      <c r="T84" s="28"/>
      <c r="U84" s="27"/>
      <c r="V84" s="27"/>
      <c r="X84" s="27"/>
      <c r="Y84" s="27"/>
    </row>
    <row r="85" ht="15.75" customHeight="1">
      <c r="A85" s="9">
        <v>21006.0</v>
      </c>
      <c r="B85" s="10" t="s">
        <v>24</v>
      </c>
      <c r="C85" s="10" t="s">
        <v>118</v>
      </c>
      <c r="D85" s="11">
        <v>7.0</v>
      </c>
      <c r="E85" s="11">
        <v>665.0</v>
      </c>
      <c r="F85" s="12">
        <f t="shared" si="5"/>
        <v>1.052631579</v>
      </c>
      <c r="G85" s="13">
        <v>25.0</v>
      </c>
      <c r="H85" s="13">
        <v>685.0</v>
      </c>
      <c r="I85" s="12">
        <f t="shared" si="6"/>
        <v>3.649635036</v>
      </c>
      <c r="J85" s="11">
        <v>93.0</v>
      </c>
      <c r="K85" s="11">
        <v>641.0</v>
      </c>
      <c r="L85" s="12">
        <f t="shared" si="7"/>
        <v>14.50858034</v>
      </c>
      <c r="M85" s="13">
        <v>78.0</v>
      </c>
      <c r="N85" s="13">
        <v>693.0</v>
      </c>
      <c r="O85" s="14">
        <f t="shared" si="8"/>
        <v>11.25541126</v>
      </c>
      <c r="P85" s="12">
        <f t="shared" si="9"/>
        <v>0.07255234861</v>
      </c>
      <c r="Q85" s="12">
        <f t="shared" si="10"/>
        <v>0.3242560359</v>
      </c>
      <c r="S85" s="28"/>
      <c r="T85" s="28"/>
      <c r="U85" s="27"/>
      <c r="V85" s="27"/>
      <c r="X85" s="27"/>
      <c r="Y85" s="27"/>
    </row>
    <row r="86" ht="15.75" customHeight="1">
      <c r="A86" s="9">
        <v>21101.0</v>
      </c>
      <c r="B86" s="10" t="s">
        <v>24</v>
      </c>
      <c r="C86" s="10" t="s">
        <v>119</v>
      </c>
      <c r="D86" s="11">
        <v>12.0</v>
      </c>
      <c r="E86" s="11">
        <v>1541.0</v>
      </c>
      <c r="F86" s="12">
        <f t="shared" si="5"/>
        <v>0.7787151201</v>
      </c>
      <c r="G86" s="13">
        <v>28.0</v>
      </c>
      <c r="H86" s="13">
        <v>1351.0</v>
      </c>
      <c r="I86" s="12">
        <f t="shared" si="6"/>
        <v>2.07253886</v>
      </c>
      <c r="J86" s="11">
        <v>60.0</v>
      </c>
      <c r="K86" s="11">
        <v>1715.0</v>
      </c>
      <c r="L86" s="12">
        <f t="shared" si="7"/>
        <v>3.498542274</v>
      </c>
      <c r="M86" s="13">
        <v>49.0</v>
      </c>
      <c r="N86" s="13">
        <v>1452.0</v>
      </c>
      <c r="O86" s="14">
        <f t="shared" si="8"/>
        <v>3.374655647</v>
      </c>
      <c r="P86" s="12">
        <f t="shared" si="9"/>
        <v>0.2225827385</v>
      </c>
      <c r="Q86" s="12">
        <f t="shared" si="10"/>
        <v>0.61414825</v>
      </c>
      <c r="S86" s="28"/>
      <c r="T86" s="28"/>
      <c r="U86" s="27"/>
      <c r="V86" s="27"/>
      <c r="X86" s="27"/>
      <c r="Y86" s="27"/>
    </row>
    <row r="87" ht="15.75" customHeight="1">
      <c r="A87" s="9">
        <v>21102.0</v>
      </c>
      <c r="B87" s="10" t="s">
        <v>24</v>
      </c>
      <c r="C87" s="10" t="s">
        <v>120</v>
      </c>
      <c r="D87" s="11">
        <v>8.0</v>
      </c>
      <c r="E87" s="11">
        <v>1676.0</v>
      </c>
      <c r="F87" s="12">
        <f t="shared" si="5"/>
        <v>0.477326969</v>
      </c>
      <c r="G87" s="13">
        <v>60.0</v>
      </c>
      <c r="H87" s="13">
        <v>2172.0</v>
      </c>
      <c r="I87" s="12">
        <f t="shared" si="6"/>
        <v>2.762430939</v>
      </c>
      <c r="J87" s="11">
        <v>165.0</v>
      </c>
      <c r="K87" s="11">
        <v>1448.0</v>
      </c>
      <c r="L87" s="12">
        <f t="shared" si="7"/>
        <v>11.39502762</v>
      </c>
      <c r="M87" s="13">
        <v>160.0</v>
      </c>
      <c r="N87" s="13">
        <v>1698.0</v>
      </c>
      <c r="O87" s="14">
        <f t="shared" si="8"/>
        <v>9.422850412</v>
      </c>
      <c r="P87" s="12">
        <f t="shared" si="9"/>
        <v>0.04188905764</v>
      </c>
      <c r="Q87" s="12">
        <f t="shared" si="10"/>
        <v>0.2931629834</v>
      </c>
      <c r="S87" s="28"/>
      <c r="T87" s="28"/>
      <c r="U87" s="27"/>
      <c r="V87" s="27"/>
      <c r="X87" s="27"/>
      <c r="Y87" s="27"/>
    </row>
    <row r="88" ht="15.75" customHeight="1">
      <c r="A88" s="9">
        <v>21103.0</v>
      </c>
      <c r="B88" s="10" t="s">
        <v>24</v>
      </c>
      <c r="C88" s="10" t="s">
        <v>121</v>
      </c>
      <c r="D88" s="11">
        <v>6.0</v>
      </c>
      <c r="E88" s="11">
        <v>619.0</v>
      </c>
      <c r="F88" s="12">
        <f t="shared" si="5"/>
        <v>0.9693053312</v>
      </c>
      <c r="G88" s="13">
        <v>25.0</v>
      </c>
      <c r="H88" s="13">
        <v>601.0</v>
      </c>
      <c r="I88" s="12">
        <f t="shared" si="6"/>
        <v>4.159733777</v>
      </c>
      <c r="J88" s="11">
        <v>96.0</v>
      </c>
      <c r="K88" s="11">
        <v>500.0</v>
      </c>
      <c r="L88" s="12">
        <f t="shared" si="7"/>
        <v>19.2</v>
      </c>
      <c r="M88" s="13">
        <v>46.0</v>
      </c>
      <c r="N88" s="13">
        <v>565.0</v>
      </c>
      <c r="O88" s="14">
        <f t="shared" si="8"/>
        <v>8.14159292</v>
      </c>
      <c r="P88" s="12">
        <f t="shared" si="9"/>
        <v>0.05048465267</v>
      </c>
      <c r="Q88" s="12">
        <f t="shared" si="10"/>
        <v>0.5109238226</v>
      </c>
      <c r="S88" s="28"/>
      <c r="T88" s="28"/>
      <c r="U88" s="27"/>
      <c r="V88" s="27"/>
      <c r="X88" s="27"/>
      <c r="Y88" s="27"/>
    </row>
    <row r="89" ht="15.75" customHeight="1">
      <c r="A89" s="9">
        <v>21104.0</v>
      </c>
      <c r="B89" s="10" t="s">
        <v>24</v>
      </c>
      <c r="C89" s="10" t="s">
        <v>122</v>
      </c>
      <c r="D89" s="11">
        <v>19.0</v>
      </c>
      <c r="E89" s="11">
        <v>2781.0</v>
      </c>
      <c r="F89" s="12">
        <f t="shared" si="5"/>
        <v>0.6832074793</v>
      </c>
      <c r="G89" s="13">
        <v>61.0</v>
      </c>
      <c r="H89" s="13">
        <v>2710.0</v>
      </c>
      <c r="I89" s="12">
        <f t="shared" si="6"/>
        <v>2.250922509</v>
      </c>
      <c r="J89" s="11">
        <v>329.0</v>
      </c>
      <c r="K89" s="11">
        <v>2408.0</v>
      </c>
      <c r="L89" s="12">
        <f t="shared" si="7"/>
        <v>13.6627907</v>
      </c>
      <c r="M89" s="13">
        <v>258.0</v>
      </c>
      <c r="N89" s="13">
        <v>2382.0</v>
      </c>
      <c r="O89" s="14">
        <f t="shared" si="8"/>
        <v>10.83123426</v>
      </c>
      <c r="P89" s="12">
        <f t="shared" si="9"/>
        <v>0.05000497295</v>
      </c>
      <c r="Q89" s="12">
        <f t="shared" si="10"/>
        <v>0.2078177293</v>
      </c>
      <c r="S89" s="28"/>
      <c r="T89" s="28"/>
      <c r="U89" s="27"/>
      <c r="V89" s="27"/>
      <c r="X89" s="27"/>
      <c r="Y89" s="27"/>
    </row>
    <row r="90" ht="15.75" customHeight="1">
      <c r="A90" s="9">
        <v>21105.0</v>
      </c>
      <c r="B90" s="10" t="s">
        <v>24</v>
      </c>
      <c r="C90" s="10" t="s">
        <v>123</v>
      </c>
      <c r="D90" s="11">
        <v>21.0</v>
      </c>
      <c r="E90" s="11">
        <v>4603.0</v>
      </c>
      <c r="F90" s="12">
        <f t="shared" si="5"/>
        <v>0.4562242016</v>
      </c>
      <c r="G90" s="13">
        <v>112.0</v>
      </c>
      <c r="H90" s="13">
        <v>4491.0</v>
      </c>
      <c r="I90" s="12">
        <f t="shared" si="6"/>
        <v>2.493876642</v>
      </c>
      <c r="J90" s="11">
        <v>134.0</v>
      </c>
      <c r="K90" s="11">
        <v>4329.0</v>
      </c>
      <c r="L90" s="12">
        <f t="shared" si="7"/>
        <v>3.095403095</v>
      </c>
      <c r="M90" s="13">
        <v>235.0</v>
      </c>
      <c r="N90" s="13">
        <v>4275.0</v>
      </c>
      <c r="O90" s="14">
        <f t="shared" si="8"/>
        <v>5.497076023</v>
      </c>
      <c r="P90" s="12">
        <f t="shared" si="9"/>
        <v>0.1473876544</v>
      </c>
      <c r="Q90" s="12">
        <f t="shared" si="10"/>
        <v>0.4536733041</v>
      </c>
      <c r="S90" s="28"/>
      <c r="T90" s="28"/>
      <c r="U90" s="27"/>
      <c r="V90" s="27"/>
      <c r="X90" s="27"/>
      <c r="Y90" s="27"/>
    </row>
    <row r="91" ht="15.75" customHeight="1">
      <c r="A91" s="9">
        <v>21201.0</v>
      </c>
      <c r="B91" s="10" t="s">
        <v>24</v>
      </c>
      <c r="C91" s="10" t="s">
        <v>124</v>
      </c>
      <c r="D91" s="11">
        <v>35.0</v>
      </c>
      <c r="E91" s="11">
        <v>2869.0</v>
      </c>
      <c r="F91" s="12">
        <f t="shared" si="5"/>
        <v>1.21993726</v>
      </c>
      <c r="G91" s="13">
        <v>173.0</v>
      </c>
      <c r="H91" s="13">
        <v>3825.0</v>
      </c>
      <c r="I91" s="12">
        <f t="shared" si="6"/>
        <v>4.522875817</v>
      </c>
      <c r="J91" s="11">
        <v>409.0</v>
      </c>
      <c r="K91" s="11">
        <v>3002.0</v>
      </c>
      <c r="L91" s="12">
        <f t="shared" si="7"/>
        <v>13.6242505</v>
      </c>
      <c r="M91" s="13">
        <v>585.0</v>
      </c>
      <c r="N91" s="13">
        <v>4148.0</v>
      </c>
      <c r="O91" s="14">
        <f t="shared" si="8"/>
        <v>14.10318226</v>
      </c>
      <c r="P91" s="12">
        <f t="shared" si="9"/>
        <v>0.08954160527</v>
      </c>
      <c r="Q91" s="12">
        <f t="shared" si="10"/>
        <v>0.3206989554</v>
      </c>
      <c r="S91" s="28"/>
      <c r="T91" s="28"/>
      <c r="U91" s="27"/>
      <c r="V91" s="27"/>
      <c r="X91" s="27"/>
      <c r="Y91" s="27"/>
    </row>
    <row r="92" ht="15.75" customHeight="1">
      <c r="A92" s="9">
        <v>21202.0</v>
      </c>
      <c r="B92" s="10" t="s">
        <v>24</v>
      </c>
      <c r="C92" s="10" t="s">
        <v>125</v>
      </c>
      <c r="D92" s="11">
        <v>27.0</v>
      </c>
      <c r="E92" s="11">
        <v>2375.0</v>
      </c>
      <c r="F92" s="12">
        <f t="shared" si="5"/>
        <v>1.136842105</v>
      </c>
      <c r="G92" s="13">
        <v>222.0</v>
      </c>
      <c r="H92" s="13">
        <v>2880.0</v>
      </c>
      <c r="I92" s="12">
        <f t="shared" si="6"/>
        <v>7.708333333</v>
      </c>
      <c r="J92" s="11">
        <v>297.0</v>
      </c>
      <c r="K92" s="11">
        <v>2295.0</v>
      </c>
      <c r="L92" s="12">
        <f t="shared" si="7"/>
        <v>12.94117647</v>
      </c>
      <c r="M92" s="13">
        <v>485.0</v>
      </c>
      <c r="N92" s="13">
        <v>3264.0</v>
      </c>
      <c r="O92" s="14">
        <f t="shared" si="8"/>
        <v>14.85906863</v>
      </c>
      <c r="P92" s="12">
        <f t="shared" si="9"/>
        <v>0.08784688995</v>
      </c>
      <c r="Q92" s="12">
        <f t="shared" si="10"/>
        <v>0.5187628866</v>
      </c>
      <c r="S92" s="28"/>
      <c r="T92" s="28"/>
      <c r="U92" s="27"/>
      <c r="V92" s="27"/>
      <c r="X92" s="27"/>
      <c r="Y92" s="27"/>
    </row>
    <row r="93" ht="15.75" customHeight="1">
      <c r="A93" s="9">
        <v>21203.0</v>
      </c>
      <c r="B93" s="10" t="s">
        <v>24</v>
      </c>
      <c r="C93" s="10" t="s">
        <v>126</v>
      </c>
      <c r="D93" s="11">
        <v>19.0</v>
      </c>
      <c r="E93" s="11">
        <v>1576.0</v>
      </c>
      <c r="F93" s="12">
        <f t="shared" si="5"/>
        <v>1.205583756</v>
      </c>
      <c r="G93" s="13">
        <v>91.0</v>
      </c>
      <c r="H93" s="13">
        <v>1424.0</v>
      </c>
      <c r="I93" s="12">
        <f t="shared" si="6"/>
        <v>6.390449438</v>
      </c>
      <c r="J93" s="11">
        <v>178.0</v>
      </c>
      <c r="K93" s="11">
        <v>1659.0</v>
      </c>
      <c r="L93" s="12">
        <f t="shared" si="7"/>
        <v>10.72935503</v>
      </c>
      <c r="M93" s="13">
        <v>207.0</v>
      </c>
      <c r="N93" s="13">
        <v>1539.0</v>
      </c>
      <c r="O93" s="14">
        <f t="shared" si="8"/>
        <v>13.4502924</v>
      </c>
      <c r="P93" s="12">
        <f t="shared" si="9"/>
        <v>0.1123631153</v>
      </c>
      <c r="Q93" s="12">
        <f t="shared" si="10"/>
        <v>0.4751160234</v>
      </c>
      <c r="S93" s="28"/>
      <c r="T93" s="28"/>
      <c r="U93" s="27"/>
      <c r="V93" s="27"/>
      <c r="X93" s="27"/>
      <c r="Y93" s="27"/>
    </row>
    <row r="94" ht="15.75" customHeight="1">
      <c r="A94" s="9">
        <v>21204.0</v>
      </c>
      <c r="B94" s="10" t="s">
        <v>24</v>
      </c>
      <c r="C94" s="10" t="s">
        <v>127</v>
      </c>
      <c r="D94" s="11">
        <v>5.0</v>
      </c>
      <c r="E94" s="11">
        <v>542.0</v>
      </c>
      <c r="F94" s="12">
        <f t="shared" si="5"/>
        <v>0.9225092251</v>
      </c>
      <c r="G94" s="13">
        <v>28.0</v>
      </c>
      <c r="H94" s="13">
        <v>492.0</v>
      </c>
      <c r="I94" s="12">
        <f t="shared" si="6"/>
        <v>5.691056911</v>
      </c>
      <c r="J94" s="11">
        <v>69.0</v>
      </c>
      <c r="K94" s="11">
        <v>501.0</v>
      </c>
      <c r="L94" s="12">
        <f t="shared" si="7"/>
        <v>13.77245509</v>
      </c>
      <c r="M94" s="13">
        <v>81.0</v>
      </c>
      <c r="N94" s="13">
        <v>525.0</v>
      </c>
      <c r="O94" s="14">
        <f t="shared" si="8"/>
        <v>15.42857143</v>
      </c>
      <c r="P94" s="12">
        <f t="shared" si="9"/>
        <v>0.06698219156</v>
      </c>
      <c r="Q94" s="12">
        <f t="shared" si="10"/>
        <v>0.3688647998</v>
      </c>
      <c r="S94" s="28"/>
      <c r="T94" s="28"/>
      <c r="U94" s="27"/>
      <c r="V94" s="27"/>
      <c r="X94" s="27"/>
      <c r="Y94" s="27"/>
    </row>
    <row r="95" ht="15.75" customHeight="1">
      <c r="A95" s="9">
        <v>21301.0</v>
      </c>
      <c r="B95" s="10" t="s">
        <v>24</v>
      </c>
      <c r="C95" s="10" t="s">
        <v>128</v>
      </c>
      <c r="D95" s="11">
        <v>28.0</v>
      </c>
      <c r="E95" s="11">
        <v>3115.0</v>
      </c>
      <c r="F95" s="12">
        <f t="shared" si="5"/>
        <v>0.8988764045</v>
      </c>
      <c r="G95" s="13">
        <v>151.0</v>
      </c>
      <c r="H95" s="13">
        <v>2823.0</v>
      </c>
      <c r="I95" s="12">
        <f t="shared" si="6"/>
        <v>5.348919589</v>
      </c>
      <c r="J95" s="11">
        <v>364.0</v>
      </c>
      <c r="K95" s="11">
        <v>2989.0</v>
      </c>
      <c r="L95" s="12">
        <f t="shared" si="7"/>
        <v>12.17798595</v>
      </c>
      <c r="M95" s="13">
        <v>352.0</v>
      </c>
      <c r="N95" s="13">
        <v>2871.0</v>
      </c>
      <c r="O95" s="14">
        <f t="shared" si="8"/>
        <v>12.2605364</v>
      </c>
      <c r="P95" s="12">
        <f t="shared" si="9"/>
        <v>0.07381158168</v>
      </c>
      <c r="Q95" s="12">
        <f t="shared" si="10"/>
        <v>0.436271254</v>
      </c>
      <c r="S95" s="28"/>
      <c r="T95" s="28"/>
      <c r="U95" s="27"/>
      <c r="V95" s="27"/>
      <c r="X95" s="27"/>
      <c r="Y95" s="27"/>
    </row>
    <row r="96" ht="15.75" customHeight="1">
      <c r="A96" s="9">
        <v>21302.0</v>
      </c>
      <c r="B96" s="10" t="s">
        <v>24</v>
      </c>
      <c r="C96" s="10" t="s">
        <v>129</v>
      </c>
      <c r="D96" s="11">
        <v>4.0</v>
      </c>
      <c r="E96" s="11">
        <v>723.0</v>
      </c>
      <c r="F96" s="12">
        <f t="shared" si="5"/>
        <v>0.5532503458</v>
      </c>
      <c r="G96" s="13">
        <v>26.0</v>
      </c>
      <c r="H96" s="13">
        <v>592.0</v>
      </c>
      <c r="I96" s="12">
        <f t="shared" si="6"/>
        <v>4.391891892</v>
      </c>
      <c r="J96" s="11">
        <v>27.0</v>
      </c>
      <c r="K96" s="11">
        <v>639.0</v>
      </c>
      <c r="L96" s="12">
        <f t="shared" si="7"/>
        <v>4.225352113</v>
      </c>
      <c r="M96" s="13">
        <v>79.0</v>
      </c>
      <c r="N96" s="13">
        <v>590.0</v>
      </c>
      <c r="O96" s="14">
        <f t="shared" si="8"/>
        <v>13.38983051</v>
      </c>
      <c r="P96" s="12">
        <f t="shared" si="9"/>
        <v>0.1309359152</v>
      </c>
      <c r="Q96" s="12">
        <f t="shared" si="10"/>
        <v>0.3280020527</v>
      </c>
      <c r="S96" s="28"/>
      <c r="T96" s="28"/>
      <c r="U96" s="27"/>
      <c r="V96" s="27"/>
      <c r="X96" s="27"/>
      <c r="Y96" s="27"/>
    </row>
    <row r="97" ht="15.75" customHeight="1">
      <c r="A97" s="9">
        <v>21303.0</v>
      </c>
      <c r="B97" s="10" t="s">
        <v>24</v>
      </c>
      <c r="C97" s="10" t="s">
        <v>130</v>
      </c>
      <c r="D97" s="11">
        <v>4.0</v>
      </c>
      <c r="E97" s="11">
        <v>651.0</v>
      </c>
      <c r="F97" s="12">
        <f t="shared" si="5"/>
        <v>0.6144393241</v>
      </c>
      <c r="G97" s="13">
        <v>37.0</v>
      </c>
      <c r="H97" s="13">
        <v>928.0</v>
      </c>
      <c r="I97" s="12">
        <f t="shared" si="6"/>
        <v>3.987068966</v>
      </c>
      <c r="J97" s="11">
        <v>39.0</v>
      </c>
      <c r="K97" s="11">
        <v>664.0</v>
      </c>
      <c r="L97" s="12">
        <f t="shared" si="7"/>
        <v>5.873493976</v>
      </c>
      <c r="M97" s="13">
        <v>118.0</v>
      </c>
      <c r="N97" s="13">
        <v>866.0</v>
      </c>
      <c r="O97" s="14">
        <f t="shared" si="8"/>
        <v>13.62586605</v>
      </c>
      <c r="P97" s="12">
        <f t="shared" si="9"/>
        <v>0.1046122336</v>
      </c>
      <c r="Q97" s="12">
        <f t="shared" si="10"/>
        <v>0.2926103156</v>
      </c>
      <c r="S97" s="28"/>
      <c r="T97" s="28"/>
      <c r="U97" s="27"/>
      <c r="V97" s="27"/>
      <c r="X97" s="27"/>
      <c r="Y97" s="27"/>
    </row>
    <row r="98" ht="15.75" customHeight="1">
      <c r="A98" s="9">
        <v>21304.0</v>
      </c>
      <c r="B98" s="10" t="s">
        <v>24</v>
      </c>
      <c r="C98" s="10" t="s">
        <v>131</v>
      </c>
      <c r="D98" s="11">
        <v>19.0</v>
      </c>
      <c r="E98" s="11">
        <v>1146.0</v>
      </c>
      <c r="F98" s="12">
        <f t="shared" si="5"/>
        <v>1.657940663</v>
      </c>
      <c r="G98" s="13">
        <v>50.0</v>
      </c>
      <c r="H98" s="13">
        <v>1145.0</v>
      </c>
      <c r="I98" s="12">
        <f t="shared" si="6"/>
        <v>4.366812227</v>
      </c>
      <c r="J98" s="11">
        <v>129.0</v>
      </c>
      <c r="K98" s="11">
        <v>1067.0</v>
      </c>
      <c r="L98" s="12">
        <f t="shared" si="7"/>
        <v>12.08997188</v>
      </c>
      <c r="M98" s="13">
        <v>184.0</v>
      </c>
      <c r="N98" s="13">
        <v>1188.0</v>
      </c>
      <c r="O98" s="14">
        <f t="shared" si="8"/>
        <v>15.48821549</v>
      </c>
      <c r="P98" s="12">
        <f t="shared" si="9"/>
        <v>0.1371335417</v>
      </c>
      <c r="Q98" s="12">
        <f t="shared" si="10"/>
        <v>0.2819441807</v>
      </c>
      <c r="S98" s="28"/>
      <c r="T98" s="28"/>
      <c r="U98" s="27"/>
      <c r="V98" s="27"/>
      <c r="X98" s="27"/>
      <c r="Y98" s="27"/>
    </row>
    <row r="99" ht="15.75" customHeight="1">
      <c r="A99" s="9">
        <v>21305.0</v>
      </c>
      <c r="B99" s="10" t="s">
        <v>24</v>
      </c>
      <c r="C99" s="10" t="s">
        <v>132</v>
      </c>
      <c r="D99" s="11">
        <v>34.0</v>
      </c>
      <c r="E99" s="11">
        <v>2383.0</v>
      </c>
      <c r="F99" s="12">
        <f t="shared" si="5"/>
        <v>1.426772975</v>
      </c>
      <c r="G99" s="13">
        <v>85.0</v>
      </c>
      <c r="H99" s="13">
        <v>2278.0</v>
      </c>
      <c r="I99" s="12">
        <f t="shared" si="6"/>
        <v>3.731343284</v>
      </c>
      <c r="J99" s="11">
        <v>279.0</v>
      </c>
      <c r="K99" s="11">
        <v>2237.0</v>
      </c>
      <c r="L99" s="12">
        <f t="shared" si="7"/>
        <v>12.4720608</v>
      </c>
      <c r="M99" s="13">
        <v>239.0</v>
      </c>
      <c r="N99" s="13">
        <v>2258.0</v>
      </c>
      <c r="O99" s="14">
        <f t="shared" si="8"/>
        <v>10.58458813</v>
      </c>
      <c r="P99" s="12">
        <f t="shared" si="9"/>
        <v>0.1143975321</v>
      </c>
      <c r="Q99" s="12">
        <f t="shared" si="10"/>
        <v>0.3525260726</v>
      </c>
      <c r="S99" s="28"/>
      <c r="T99" s="28"/>
      <c r="U99" s="27"/>
      <c r="V99" s="27"/>
      <c r="X99" s="27"/>
      <c r="Y99" s="27"/>
    </row>
    <row r="100" ht="15.75" customHeight="1">
      <c r="A100" s="9">
        <v>21306.0</v>
      </c>
      <c r="B100" s="10" t="s">
        <v>24</v>
      </c>
      <c r="C100" s="10" t="s">
        <v>133</v>
      </c>
      <c r="D100" s="11">
        <v>16.0</v>
      </c>
      <c r="E100" s="11">
        <v>990.0</v>
      </c>
      <c r="F100" s="12">
        <f t="shared" si="5"/>
        <v>1.616161616</v>
      </c>
      <c r="G100" s="13">
        <v>67.0</v>
      </c>
      <c r="H100" s="13">
        <v>934.0</v>
      </c>
      <c r="I100" s="12">
        <f t="shared" si="6"/>
        <v>7.173447537</v>
      </c>
      <c r="J100" s="11">
        <v>140.0</v>
      </c>
      <c r="K100" s="11">
        <v>960.0</v>
      </c>
      <c r="L100" s="12">
        <f t="shared" si="7"/>
        <v>14.58333333</v>
      </c>
      <c r="M100" s="13">
        <v>205.0</v>
      </c>
      <c r="N100" s="13">
        <v>1048.0</v>
      </c>
      <c r="O100" s="14">
        <f t="shared" si="8"/>
        <v>19.5610687</v>
      </c>
      <c r="P100" s="12">
        <f t="shared" si="9"/>
        <v>0.1108225108</v>
      </c>
      <c r="Q100" s="12">
        <f t="shared" si="10"/>
        <v>0.3667206351</v>
      </c>
      <c r="S100" s="28"/>
      <c r="T100" s="28"/>
      <c r="U100" s="27"/>
      <c r="V100" s="27"/>
      <c r="X100" s="27"/>
      <c r="Y100" s="27"/>
    </row>
    <row r="101" ht="15.75" customHeight="1">
      <c r="A101" s="9">
        <v>21307.0</v>
      </c>
      <c r="B101" s="10" t="s">
        <v>24</v>
      </c>
      <c r="C101" s="10" t="s">
        <v>134</v>
      </c>
      <c r="D101" s="11">
        <v>9.0</v>
      </c>
      <c r="E101" s="11">
        <v>451.0</v>
      </c>
      <c r="F101" s="12">
        <f t="shared" si="5"/>
        <v>1.99556541</v>
      </c>
      <c r="G101" s="13">
        <v>17.0</v>
      </c>
      <c r="H101" s="13">
        <v>440.0</v>
      </c>
      <c r="I101" s="12">
        <f t="shared" si="6"/>
        <v>3.863636364</v>
      </c>
      <c r="J101" s="11">
        <v>53.0</v>
      </c>
      <c r="K101" s="11">
        <v>508.0</v>
      </c>
      <c r="L101" s="12">
        <f t="shared" si="7"/>
        <v>10.43307087</v>
      </c>
      <c r="M101" s="13">
        <v>42.0</v>
      </c>
      <c r="N101" s="13">
        <v>414.0</v>
      </c>
      <c r="O101" s="14">
        <f t="shared" si="8"/>
        <v>10.14492754</v>
      </c>
      <c r="P101" s="12">
        <f t="shared" si="9"/>
        <v>0.191273062</v>
      </c>
      <c r="Q101" s="12">
        <f t="shared" si="10"/>
        <v>0.3808441558</v>
      </c>
      <c r="S101" s="28"/>
      <c r="T101" s="28"/>
      <c r="U101" s="27"/>
      <c r="V101" s="27"/>
      <c r="X101" s="27"/>
      <c r="Y101" s="27"/>
    </row>
    <row r="102" ht="15.75" customHeight="1">
      <c r="A102" s="9">
        <v>21401.0</v>
      </c>
      <c r="B102" s="10" t="s">
        <v>24</v>
      </c>
      <c r="C102" s="10" t="s">
        <v>135</v>
      </c>
      <c r="D102" s="11">
        <v>11.0</v>
      </c>
      <c r="E102" s="11">
        <v>1899.0</v>
      </c>
      <c r="F102" s="12">
        <f t="shared" si="5"/>
        <v>0.579252238</v>
      </c>
      <c r="G102" s="13">
        <v>62.0</v>
      </c>
      <c r="H102" s="13">
        <v>2577.0</v>
      </c>
      <c r="I102" s="12">
        <f t="shared" si="6"/>
        <v>2.405898331</v>
      </c>
      <c r="J102" s="11">
        <v>109.0</v>
      </c>
      <c r="K102" s="11">
        <v>1846.0</v>
      </c>
      <c r="L102" s="12">
        <f t="shared" si="7"/>
        <v>5.904658722</v>
      </c>
      <c r="M102" s="13">
        <v>140.0</v>
      </c>
      <c r="N102" s="13">
        <v>2493.0</v>
      </c>
      <c r="O102" s="14">
        <f t="shared" si="8"/>
        <v>5.615724027</v>
      </c>
      <c r="P102" s="12">
        <f t="shared" si="9"/>
        <v>0.09810088361</v>
      </c>
      <c r="Q102" s="12">
        <f t="shared" si="10"/>
        <v>0.4284217529</v>
      </c>
      <c r="S102" s="28"/>
      <c r="T102" s="28"/>
      <c r="U102" s="27"/>
      <c r="V102" s="27"/>
      <c r="X102" s="27"/>
      <c r="Y102" s="27"/>
    </row>
    <row r="103" ht="15.75" customHeight="1">
      <c r="A103" s="9">
        <v>21402.0</v>
      </c>
      <c r="B103" s="10" t="s">
        <v>24</v>
      </c>
      <c r="C103" s="10" t="s">
        <v>136</v>
      </c>
      <c r="D103" s="11">
        <v>4.0</v>
      </c>
      <c r="E103" s="11">
        <v>1565.0</v>
      </c>
      <c r="F103" s="12">
        <f t="shared" si="5"/>
        <v>0.2555910543</v>
      </c>
      <c r="G103" s="13">
        <v>30.0</v>
      </c>
      <c r="H103" s="13">
        <v>2033.0</v>
      </c>
      <c r="I103" s="12">
        <f t="shared" si="6"/>
        <v>1.475651746</v>
      </c>
      <c r="J103" s="11">
        <v>37.0</v>
      </c>
      <c r="K103" s="11">
        <v>1674.0</v>
      </c>
      <c r="L103" s="12">
        <f t="shared" si="7"/>
        <v>2.210274791</v>
      </c>
      <c r="M103" s="13">
        <v>82.0</v>
      </c>
      <c r="N103" s="13">
        <v>1918.0</v>
      </c>
      <c r="O103" s="14">
        <f t="shared" si="8"/>
        <v>4.275286757</v>
      </c>
      <c r="P103" s="12">
        <f t="shared" si="9"/>
        <v>0.1156376824</v>
      </c>
      <c r="Q103" s="12">
        <f t="shared" si="10"/>
        <v>0.3451585426</v>
      </c>
      <c r="S103" s="28"/>
      <c r="T103" s="28"/>
      <c r="U103" s="27"/>
      <c r="V103" s="27"/>
      <c r="X103" s="27"/>
      <c r="Y103" s="27"/>
    </row>
    <row r="104" ht="15.75" customHeight="1">
      <c r="A104" s="9">
        <v>21501.0</v>
      </c>
      <c r="B104" s="10" t="s">
        <v>24</v>
      </c>
      <c r="C104" s="10" t="s">
        <v>137</v>
      </c>
      <c r="D104" s="11">
        <v>14.0</v>
      </c>
      <c r="E104" s="11">
        <v>1030.0</v>
      </c>
      <c r="F104" s="12">
        <f t="shared" si="5"/>
        <v>1.359223301</v>
      </c>
      <c r="G104" s="13">
        <v>56.0</v>
      </c>
      <c r="H104" s="13">
        <v>1142.0</v>
      </c>
      <c r="I104" s="12">
        <f t="shared" si="6"/>
        <v>4.903677758</v>
      </c>
      <c r="J104" s="11">
        <v>248.0</v>
      </c>
      <c r="K104" s="11">
        <v>829.0</v>
      </c>
      <c r="L104" s="12">
        <f t="shared" si="7"/>
        <v>29.91556092</v>
      </c>
      <c r="M104" s="13">
        <v>214.0</v>
      </c>
      <c r="N104" s="13">
        <v>951.0</v>
      </c>
      <c r="O104" s="14">
        <f t="shared" si="8"/>
        <v>22.50262881</v>
      </c>
      <c r="P104" s="12">
        <f t="shared" si="9"/>
        <v>0.04543532728</v>
      </c>
      <c r="Q104" s="12">
        <f t="shared" si="10"/>
        <v>0.2179157733</v>
      </c>
      <c r="S104" s="28"/>
      <c r="T104" s="28"/>
      <c r="U104" s="27"/>
      <c r="V104" s="27"/>
      <c r="X104" s="27"/>
      <c r="Y104" s="27"/>
    </row>
    <row r="105" ht="15.75" customHeight="1">
      <c r="A105" s="9">
        <v>21502.0</v>
      </c>
      <c r="B105" s="10" t="s">
        <v>24</v>
      </c>
      <c r="C105" s="10" t="s">
        <v>138</v>
      </c>
      <c r="D105" s="11">
        <v>8.0</v>
      </c>
      <c r="E105" s="11">
        <v>821.0</v>
      </c>
      <c r="F105" s="12">
        <f t="shared" si="5"/>
        <v>0.9744214373</v>
      </c>
      <c r="G105" s="13">
        <v>47.0</v>
      </c>
      <c r="H105" s="13">
        <v>782.0</v>
      </c>
      <c r="I105" s="12">
        <f t="shared" si="6"/>
        <v>6.010230179</v>
      </c>
      <c r="J105" s="11">
        <v>206.0</v>
      </c>
      <c r="K105" s="11">
        <v>787.0</v>
      </c>
      <c r="L105" s="12">
        <f t="shared" si="7"/>
        <v>26.17534943</v>
      </c>
      <c r="M105" s="13">
        <v>170.0</v>
      </c>
      <c r="N105" s="13">
        <v>858.0</v>
      </c>
      <c r="O105" s="14">
        <f t="shared" si="8"/>
        <v>19.81351981</v>
      </c>
      <c r="P105" s="12">
        <f t="shared" si="9"/>
        <v>0.03722668306</v>
      </c>
      <c r="Q105" s="12">
        <f t="shared" si="10"/>
        <v>0.3033398526</v>
      </c>
      <c r="S105" s="28"/>
      <c r="T105" s="28"/>
      <c r="U105" s="27"/>
      <c r="V105" s="27"/>
      <c r="X105" s="27"/>
      <c r="Y105" s="27"/>
    </row>
    <row r="106" ht="15.75" customHeight="1">
      <c r="A106" s="9">
        <v>21601.0</v>
      </c>
      <c r="B106" s="10" t="s">
        <v>24</v>
      </c>
      <c r="C106" s="10" t="s">
        <v>139</v>
      </c>
      <c r="D106" s="11">
        <v>23.0</v>
      </c>
      <c r="E106" s="11">
        <v>1323.0</v>
      </c>
      <c r="F106" s="12">
        <f t="shared" si="5"/>
        <v>1.738473167</v>
      </c>
      <c r="G106" s="13">
        <v>156.0</v>
      </c>
      <c r="H106" s="13">
        <v>1445.0</v>
      </c>
      <c r="I106" s="12">
        <f t="shared" si="6"/>
        <v>10.79584775</v>
      </c>
      <c r="J106" s="11">
        <v>118.0</v>
      </c>
      <c r="K106" s="11">
        <v>1181.0</v>
      </c>
      <c r="L106" s="12">
        <f t="shared" si="7"/>
        <v>9.991532599</v>
      </c>
      <c r="M106" s="13">
        <v>251.0</v>
      </c>
      <c r="N106" s="13">
        <v>1396.0</v>
      </c>
      <c r="O106" s="14">
        <f t="shared" si="8"/>
        <v>17.97994269</v>
      </c>
      <c r="P106" s="12">
        <f t="shared" si="9"/>
        <v>0.1739946449</v>
      </c>
      <c r="Q106" s="12">
        <f t="shared" si="10"/>
        <v>0.6004383849</v>
      </c>
      <c r="S106" s="28"/>
      <c r="T106" s="28"/>
      <c r="U106" s="27"/>
      <c r="V106" s="27"/>
      <c r="X106" s="27"/>
      <c r="Y106" s="27"/>
    </row>
    <row r="107" ht="15.75" customHeight="1">
      <c r="A107" s="9">
        <v>21602.0</v>
      </c>
      <c r="B107" s="10" t="s">
        <v>24</v>
      </c>
      <c r="C107" s="10" t="s">
        <v>140</v>
      </c>
      <c r="D107" s="11">
        <v>10.0</v>
      </c>
      <c r="E107" s="11">
        <v>309.0</v>
      </c>
      <c r="F107" s="12">
        <f t="shared" si="5"/>
        <v>3.236245955</v>
      </c>
      <c r="G107" s="13">
        <v>88.0</v>
      </c>
      <c r="H107" s="13">
        <v>745.0</v>
      </c>
      <c r="I107" s="12">
        <f t="shared" si="6"/>
        <v>11.81208054</v>
      </c>
      <c r="J107" s="11">
        <v>48.0</v>
      </c>
      <c r="K107" s="11">
        <v>293.0</v>
      </c>
      <c r="L107" s="12">
        <f t="shared" si="7"/>
        <v>16.38225256</v>
      </c>
      <c r="M107" s="13">
        <v>192.0</v>
      </c>
      <c r="N107" s="13">
        <v>629.0</v>
      </c>
      <c r="O107" s="14">
        <f t="shared" si="8"/>
        <v>30.52464229</v>
      </c>
      <c r="P107" s="12">
        <f t="shared" si="9"/>
        <v>0.1975458468</v>
      </c>
      <c r="Q107" s="12">
        <f t="shared" si="10"/>
        <v>0.3869686801</v>
      </c>
      <c r="S107" s="28"/>
      <c r="T107" s="28"/>
      <c r="U107" s="27"/>
      <c r="V107" s="27"/>
      <c r="X107" s="27"/>
      <c r="Y107" s="27"/>
    </row>
    <row r="108" ht="15.75" customHeight="1">
      <c r="A108" s="9">
        <v>21701.0</v>
      </c>
      <c r="B108" s="10" t="s">
        <v>24</v>
      </c>
      <c r="C108" s="10" t="s">
        <v>141</v>
      </c>
      <c r="D108" s="11">
        <v>12.0</v>
      </c>
      <c r="E108" s="11">
        <v>1111.0</v>
      </c>
      <c r="F108" s="12">
        <f t="shared" si="5"/>
        <v>1.080108011</v>
      </c>
      <c r="G108" s="13">
        <v>131.0</v>
      </c>
      <c r="H108" s="13">
        <v>1308.0</v>
      </c>
      <c r="I108" s="12">
        <f t="shared" si="6"/>
        <v>10.01529052</v>
      </c>
      <c r="J108" s="11">
        <v>103.0</v>
      </c>
      <c r="K108" s="11">
        <v>1178.0</v>
      </c>
      <c r="L108" s="12">
        <f t="shared" si="7"/>
        <v>8.743633277</v>
      </c>
      <c r="M108" s="13">
        <v>197.0</v>
      </c>
      <c r="N108" s="13">
        <v>1236.0</v>
      </c>
      <c r="O108" s="14">
        <f t="shared" si="8"/>
        <v>15.93851133</v>
      </c>
      <c r="P108" s="12">
        <f t="shared" si="9"/>
        <v>0.1235307997</v>
      </c>
      <c r="Q108" s="12">
        <f t="shared" si="10"/>
        <v>0.6283705118</v>
      </c>
      <c r="S108" s="28"/>
      <c r="T108" s="28"/>
      <c r="U108" s="27"/>
      <c r="V108" s="27"/>
      <c r="X108" s="27"/>
      <c r="Y108" s="27"/>
    </row>
    <row r="109" ht="15.75" customHeight="1">
      <c r="A109" s="9">
        <v>21702.0</v>
      </c>
      <c r="B109" s="10" t="s">
        <v>24</v>
      </c>
      <c r="C109" s="10" t="s">
        <v>142</v>
      </c>
      <c r="D109" s="11">
        <v>8.0</v>
      </c>
      <c r="E109" s="11">
        <v>436.0</v>
      </c>
      <c r="F109" s="12">
        <f t="shared" si="5"/>
        <v>1.834862385</v>
      </c>
      <c r="G109" s="13">
        <v>17.0</v>
      </c>
      <c r="H109" s="13">
        <v>671.0</v>
      </c>
      <c r="I109" s="12">
        <f t="shared" si="6"/>
        <v>2.533532042</v>
      </c>
      <c r="J109" s="11">
        <v>48.0</v>
      </c>
      <c r="K109" s="11">
        <v>361.0</v>
      </c>
      <c r="L109" s="12">
        <f t="shared" si="7"/>
        <v>13.29639889</v>
      </c>
      <c r="M109" s="13">
        <v>63.0</v>
      </c>
      <c r="N109" s="13">
        <v>546.0</v>
      </c>
      <c r="O109" s="14">
        <f t="shared" si="8"/>
        <v>11.53846154</v>
      </c>
      <c r="P109" s="12">
        <f t="shared" si="9"/>
        <v>0.1379969419</v>
      </c>
      <c r="Q109" s="12">
        <f t="shared" si="10"/>
        <v>0.2195727769</v>
      </c>
      <c r="S109" s="28"/>
      <c r="T109" s="28"/>
      <c r="U109" s="27"/>
      <c r="V109" s="27"/>
      <c r="X109" s="27"/>
      <c r="Y109" s="27"/>
    </row>
    <row r="110" ht="15.75" customHeight="1">
      <c r="A110" s="9">
        <v>21703.0</v>
      </c>
      <c r="B110" s="10" t="s">
        <v>24</v>
      </c>
      <c r="C110" s="10" t="s">
        <v>143</v>
      </c>
      <c r="D110" s="11">
        <v>14.0</v>
      </c>
      <c r="E110" s="11">
        <v>690.0</v>
      </c>
      <c r="F110" s="12">
        <f t="shared" si="5"/>
        <v>2.028985507</v>
      </c>
      <c r="G110" s="13">
        <v>31.0</v>
      </c>
      <c r="H110" s="13">
        <v>614.0</v>
      </c>
      <c r="I110" s="12">
        <f t="shared" si="6"/>
        <v>5.048859935</v>
      </c>
      <c r="J110" s="11">
        <v>53.0</v>
      </c>
      <c r="K110" s="11">
        <v>679.0</v>
      </c>
      <c r="L110" s="12">
        <f t="shared" si="7"/>
        <v>7.805596465</v>
      </c>
      <c r="M110" s="13">
        <v>62.0</v>
      </c>
      <c r="N110" s="13">
        <v>512.0</v>
      </c>
      <c r="O110" s="14">
        <f t="shared" si="8"/>
        <v>12.109375</v>
      </c>
      <c r="P110" s="12">
        <f t="shared" si="9"/>
        <v>0.2599398414</v>
      </c>
      <c r="Q110" s="12">
        <f t="shared" si="10"/>
        <v>0.4169381107</v>
      </c>
      <c r="S110" s="28"/>
      <c r="T110" s="28"/>
      <c r="U110" s="27"/>
      <c r="V110" s="27"/>
      <c r="X110" s="27"/>
      <c r="Y110" s="27"/>
    </row>
    <row r="111" ht="15.75" customHeight="1">
      <c r="A111" s="9">
        <v>21801.0</v>
      </c>
      <c r="B111" s="10" t="s">
        <v>24</v>
      </c>
      <c r="C111" s="10" t="s">
        <v>144</v>
      </c>
      <c r="D111" s="11">
        <v>5.0</v>
      </c>
      <c r="E111" s="11">
        <v>844.0</v>
      </c>
      <c r="F111" s="12">
        <f t="shared" si="5"/>
        <v>0.5924170616</v>
      </c>
      <c r="G111" s="13">
        <v>50.0</v>
      </c>
      <c r="H111" s="13">
        <v>675.0</v>
      </c>
      <c r="I111" s="12">
        <f t="shared" si="6"/>
        <v>7.407407407</v>
      </c>
      <c r="J111" s="11">
        <v>46.0</v>
      </c>
      <c r="K111" s="11">
        <v>853.0</v>
      </c>
      <c r="L111" s="12">
        <f t="shared" si="7"/>
        <v>5.392731536</v>
      </c>
      <c r="M111" s="13">
        <v>86.0</v>
      </c>
      <c r="N111" s="13">
        <v>631.0</v>
      </c>
      <c r="O111" s="14">
        <f t="shared" si="8"/>
        <v>13.62916006</v>
      </c>
      <c r="P111" s="12">
        <f t="shared" si="9"/>
        <v>0.109854729</v>
      </c>
      <c r="Q111" s="12">
        <f t="shared" si="10"/>
        <v>0.5434969854</v>
      </c>
      <c r="S111" s="28"/>
      <c r="T111" s="28"/>
      <c r="U111" s="27"/>
      <c r="V111" s="27"/>
      <c r="X111" s="27"/>
      <c r="Y111" s="27"/>
    </row>
    <row r="112" ht="15.75" customHeight="1">
      <c r="A112" s="9">
        <v>21802.0</v>
      </c>
      <c r="B112" s="10" t="s">
        <v>24</v>
      </c>
      <c r="C112" s="10" t="s">
        <v>145</v>
      </c>
      <c r="D112" s="11">
        <v>5.0</v>
      </c>
      <c r="E112" s="11">
        <v>643.0</v>
      </c>
      <c r="F112" s="12">
        <f t="shared" si="5"/>
        <v>0.7776049767</v>
      </c>
      <c r="G112" s="13">
        <v>48.0</v>
      </c>
      <c r="H112" s="13">
        <v>454.0</v>
      </c>
      <c r="I112" s="12">
        <f t="shared" si="6"/>
        <v>10.57268722</v>
      </c>
      <c r="J112" s="11">
        <v>64.0</v>
      </c>
      <c r="K112" s="11">
        <v>562.0</v>
      </c>
      <c r="L112" s="12">
        <f t="shared" si="7"/>
        <v>11.38790036</v>
      </c>
      <c r="M112" s="13">
        <v>64.0</v>
      </c>
      <c r="N112" s="13">
        <v>474.0</v>
      </c>
      <c r="O112" s="14">
        <f t="shared" si="8"/>
        <v>13.5021097</v>
      </c>
      <c r="P112" s="12">
        <f t="shared" si="9"/>
        <v>0.06828343701</v>
      </c>
      <c r="Q112" s="12">
        <f t="shared" si="10"/>
        <v>0.7830396476</v>
      </c>
      <c r="S112" s="28"/>
      <c r="T112" s="28"/>
      <c r="U112" s="27"/>
      <c r="V112" s="27"/>
      <c r="X112" s="27"/>
      <c r="Y112" s="27"/>
    </row>
    <row r="113" ht="15.75" customHeight="1">
      <c r="A113" s="9">
        <v>21803.0</v>
      </c>
      <c r="B113" s="10" t="s">
        <v>24</v>
      </c>
      <c r="C113" s="10" t="s">
        <v>146</v>
      </c>
      <c r="D113" s="11">
        <v>0.0</v>
      </c>
      <c r="E113" s="11">
        <v>148.0</v>
      </c>
      <c r="F113" s="12">
        <f t="shared" si="5"/>
        <v>0</v>
      </c>
      <c r="G113" s="13">
        <v>13.0</v>
      </c>
      <c r="H113" s="13">
        <v>149.0</v>
      </c>
      <c r="I113" s="12">
        <f t="shared" si="6"/>
        <v>8.724832215</v>
      </c>
      <c r="J113" s="11">
        <v>5.0</v>
      </c>
      <c r="K113" s="11">
        <v>155.0</v>
      </c>
      <c r="L113" s="12">
        <f t="shared" si="7"/>
        <v>3.225806452</v>
      </c>
      <c r="M113" s="13">
        <v>34.0</v>
      </c>
      <c r="N113" s="13">
        <v>145.0</v>
      </c>
      <c r="O113" s="14">
        <f t="shared" si="8"/>
        <v>23.44827586</v>
      </c>
      <c r="P113" s="12">
        <f t="shared" si="9"/>
        <v>0</v>
      </c>
      <c r="Q113" s="12">
        <f t="shared" si="10"/>
        <v>0.3720884327</v>
      </c>
      <c r="S113" s="28"/>
      <c r="T113" s="28"/>
      <c r="U113" s="27"/>
      <c r="V113" s="27"/>
      <c r="X113" s="27"/>
      <c r="Y113" s="27"/>
    </row>
    <row r="114" ht="15.75" customHeight="1">
      <c r="A114" s="9">
        <v>21901.0</v>
      </c>
      <c r="B114" s="10" t="s">
        <v>24</v>
      </c>
      <c r="C114" s="10" t="s">
        <v>147</v>
      </c>
      <c r="D114" s="11">
        <v>5.0</v>
      </c>
      <c r="E114" s="11">
        <v>341.0</v>
      </c>
      <c r="F114" s="12">
        <f t="shared" si="5"/>
        <v>1.46627566</v>
      </c>
      <c r="G114" s="13">
        <v>26.0</v>
      </c>
      <c r="H114" s="13">
        <v>487.0</v>
      </c>
      <c r="I114" s="12">
        <f t="shared" si="6"/>
        <v>5.338809035</v>
      </c>
      <c r="J114" s="11">
        <v>39.0</v>
      </c>
      <c r="K114" s="11">
        <v>346.0</v>
      </c>
      <c r="L114" s="12">
        <f t="shared" si="7"/>
        <v>11.2716763</v>
      </c>
      <c r="M114" s="13">
        <v>59.0</v>
      </c>
      <c r="N114" s="13">
        <v>448.0</v>
      </c>
      <c r="O114" s="14">
        <f t="shared" si="8"/>
        <v>13.16964286</v>
      </c>
      <c r="P114" s="12">
        <f t="shared" si="9"/>
        <v>0.1300849688</v>
      </c>
      <c r="Q114" s="12">
        <f t="shared" si="10"/>
        <v>0.4053875335</v>
      </c>
      <c r="S114" s="28"/>
      <c r="T114" s="28"/>
      <c r="U114" s="27"/>
      <c r="V114" s="27"/>
      <c r="X114" s="27"/>
      <c r="Y114" s="27"/>
    </row>
    <row r="115" ht="15.75" customHeight="1">
      <c r="A115" s="9">
        <v>21902.0</v>
      </c>
      <c r="B115" s="10" t="s">
        <v>24</v>
      </c>
      <c r="C115" s="10" t="s">
        <v>148</v>
      </c>
      <c r="D115" s="11">
        <v>1.0</v>
      </c>
      <c r="E115" s="11">
        <v>353.0</v>
      </c>
      <c r="F115" s="12">
        <f t="shared" si="5"/>
        <v>0.283286119</v>
      </c>
      <c r="G115" s="13">
        <v>29.0</v>
      </c>
      <c r="H115" s="13">
        <v>486.0</v>
      </c>
      <c r="I115" s="12">
        <f t="shared" si="6"/>
        <v>5.967078189</v>
      </c>
      <c r="J115" s="11">
        <v>26.0</v>
      </c>
      <c r="K115" s="11">
        <v>316.0</v>
      </c>
      <c r="L115" s="12">
        <f t="shared" si="7"/>
        <v>8.227848101</v>
      </c>
      <c r="M115" s="13">
        <v>65.0</v>
      </c>
      <c r="N115" s="13">
        <v>469.0</v>
      </c>
      <c r="O115" s="14">
        <f t="shared" si="8"/>
        <v>13.85927505</v>
      </c>
      <c r="P115" s="12">
        <f t="shared" si="9"/>
        <v>0.03443015908</v>
      </c>
      <c r="Q115" s="12">
        <f t="shared" si="10"/>
        <v>0.4305476417</v>
      </c>
      <c r="S115" s="28"/>
      <c r="T115" s="28"/>
      <c r="U115" s="27"/>
      <c r="V115" s="27"/>
      <c r="X115" s="27"/>
      <c r="Y115" s="27"/>
    </row>
    <row r="116" ht="15.75" customHeight="1">
      <c r="A116" s="9">
        <v>22001.0</v>
      </c>
      <c r="B116" s="10" t="s">
        <v>24</v>
      </c>
      <c r="C116" s="10" t="s">
        <v>149</v>
      </c>
      <c r="D116" s="11">
        <v>30.0</v>
      </c>
      <c r="E116" s="11">
        <v>5838.0</v>
      </c>
      <c r="F116" s="12">
        <f t="shared" si="5"/>
        <v>0.5138746146</v>
      </c>
      <c r="G116" s="13">
        <v>218.0</v>
      </c>
      <c r="H116" s="13">
        <v>6041.0</v>
      </c>
      <c r="I116" s="12">
        <f t="shared" si="6"/>
        <v>3.608674061</v>
      </c>
      <c r="J116" s="11">
        <v>381.0</v>
      </c>
      <c r="K116" s="11">
        <v>5293.0</v>
      </c>
      <c r="L116" s="12">
        <f t="shared" si="7"/>
        <v>7.198186284</v>
      </c>
      <c r="M116" s="13">
        <v>460.0</v>
      </c>
      <c r="N116" s="13">
        <v>5554.0</v>
      </c>
      <c r="O116" s="14">
        <f t="shared" si="8"/>
        <v>8.282319049</v>
      </c>
      <c r="P116" s="12">
        <f t="shared" si="9"/>
        <v>0.07138945761</v>
      </c>
      <c r="Q116" s="12">
        <f t="shared" si="10"/>
        <v>0.4357081681</v>
      </c>
      <c r="S116" s="28"/>
      <c r="T116" s="28"/>
      <c r="U116" s="27"/>
      <c r="V116" s="27"/>
      <c r="X116" s="27"/>
      <c r="Y116" s="27"/>
    </row>
    <row r="117" ht="15.75" customHeight="1">
      <c r="A117" s="9">
        <v>22002.0</v>
      </c>
      <c r="B117" s="10" t="s">
        <v>24</v>
      </c>
      <c r="C117" s="10" t="s">
        <v>150</v>
      </c>
      <c r="D117" s="11">
        <v>5.0</v>
      </c>
      <c r="E117" s="11">
        <v>1332.0</v>
      </c>
      <c r="F117" s="12">
        <f t="shared" si="5"/>
        <v>0.3753753754</v>
      </c>
      <c r="G117" s="13">
        <v>15.0</v>
      </c>
      <c r="H117" s="13">
        <v>974.0</v>
      </c>
      <c r="I117" s="12">
        <f t="shared" si="6"/>
        <v>1.540041068</v>
      </c>
      <c r="J117" s="11">
        <v>105.0</v>
      </c>
      <c r="K117" s="11">
        <v>1070.0</v>
      </c>
      <c r="L117" s="12">
        <f t="shared" si="7"/>
        <v>9.813084112</v>
      </c>
      <c r="M117" s="13">
        <v>76.0</v>
      </c>
      <c r="N117" s="13">
        <v>885.0</v>
      </c>
      <c r="O117" s="14">
        <f t="shared" si="8"/>
        <v>8.587570621</v>
      </c>
      <c r="P117" s="12">
        <f t="shared" si="9"/>
        <v>0.03825253825</v>
      </c>
      <c r="Q117" s="12">
        <f t="shared" si="10"/>
        <v>0.1793337296</v>
      </c>
      <c r="S117" s="28"/>
      <c r="T117" s="28"/>
      <c r="U117" s="27"/>
      <c r="V117" s="27"/>
      <c r="X117" s="27"/>
      <c r="Y117" s="27"/>
    </row>
    <row r="118" ht="15.75" customHeight="1">
      <c r="A118" s="9">
        <v>30101.0</v>
      </c>
      <c r="B118" s="10" t="s">
        <v>26</v>
      </c>
      <c r="C118" s="10" t="s">
        <v>26</v>
      </c>
      <c r="D118" s="11">
        <v>1298.0</v>
      </c>
      <c r="E118" s="11">
        <v>66045.0</v>
      </c>
      <c r="F118" s="12">
        <f t="shared" si="5"/>
        <v>1.965326671</v>
      </c>
      <c r="G118" s="13">
        <v>1569.0</v>
      </c>
      <c r="H118" s="13">
        <v>60201.0</v>
      </c>
      <c r="I118" s="12">
        <f t="shared" si="6"/>
        <v>2.606268999</v>
      </c>
      <c r="J118" s="11">
        <v>8912.0</v>
      </c>
      <c r="K118" s="11">
        <v>69823.0</v>
      </c>
      <c r="L118" s="12">
        <f t="shared" si="7"/>
        <v>12.7637025</v>
      </c>
      <c r="M118" s="13">
        <v>4055.0</v>
      </c>
      <c r="N118" s="13">
        <v>61859.0</v>
      </c>
      <c r="O118" s="14">
        <f t="shared" si="8"/>
        <v>6.555230443</v>
      </c>
      <c r="P118" s="12">
        <f t="shared" si="9"/>
        <v>0.1539777874</v>
      </c>
      <c r="Q118" s="12">
        <f t="shared" si="10"/>
        <v>0.3975861751</v>
      </c>
      <c r="S118" s="28"/>
      <c r="T118" s="28"/>
      <c r="U118" s="27"/>
      <c r="V118" s="27"/>
      <c r="X118" s="27"/>
      <c r="Y118" s="27"/>
    </row>
    <row r="119" ht="15.75" customHeight="1">
      <c r="A119" s="9">
        <v>30201.0</v>
      </c>
      <c r="B119" s="10" t="s">
        <v>26</v>
      </c>
      <c r="C119" s="10" t="s">
        <v>151</v>
      </c>
      <c r="D119" s="11">
        <v>34.0</v>
      </c>
      <c r="E119" s="11">
        <v>2052.0</v>
      </c>
      <c r="F119" s="12">
        <f t="shared" si="5"/>
        <v>1.656920078</v>
      </c>
      <c r="G119" s="13">
        <v>54.0</v>
      </c>
      <c r="H119" s="13">
        <v>1937.0</v>
      </c>
      <c r="I119" s="12">
        <f t="shared" si="6"/>
        <v>2.787816211</v>
      </c>
      <c r="J119" s="11">
        <v>490.0</v>
      </c>
      <c r="K119" s="11">
        <v>1828.0</v>
      </c>
      <c r="L119" s="12">
        <f t="shared" si="7"/>
        <v>26.80525164</v>
      </c>
      <c r="M119" s="13">
        <v>285.0</v>
      </c>
      <c r="N119" s="13">
        <v>2006.0</v>
      </c>
      <c r="O119" s="14">
        <f t="shared" si="8"/>
        <v>14.20737787</v>
      </c>
      <c r="P119" s="12">
        <f t="shared" si="9"/>
        <v>0.06181326332</v>
      </c>
      <c r="Q119" s="12">
        <f t="shared" si="10"/>
        <v>0.196223134</v>
      </c>
      <c r="S119" s="28"/>
      <c r="T119" s="28"/>
      <c r="U119" s="27"/>
      <c r="V119" s="27"/>
      <c r="X119" s="27"/>
      <c r="Y119" s="27"/>
    </row>
    <row r="120" ht="15.75" customHeight="1">
      <c r="A120" s="9">
        <v>30202.0</v>
      </c>
      <c r="B120" s="10" t="s">
        <v>26</v>
      </c>
      <c r="C120" s="10" t="s">
        <v>152</v>
      </c>
      <c r="D120" s="11">
        <v>6.0</v>
      </c>
      <c r="E120" s="11">
        <v>749.0</v>
      </c>
      <c r="F120" s="12">
        <f t="shared" si="5"/>
        <v>0.8010680908</v>
      </c>
      <c r="G120" s="13">
        <v>58.0</v>
      </c>
      <c r="H120" s="13">
        <v>584.0</v>
      </c>
      <c r="I120" s="12">
        <f t="shared" si="6"/>
        <v>9.931506849</v>
      </c>
      <c r="J120" s="11">
        <v>116.0</v>
      </c>
      <c r="K120" s="11">
        <v>612.0</v>
      </c>
      <c r="L120" s="12">
        <f t="shared" si="7"/>
        <v>18.95424837</v>
      </c>
      <c r="M120" s="13">
        <v>98.0</v>
      </c>
      <c r="N120" s="13">
        <v>458.0</v>
      </c>
      <c r="O120" s="14">
        <f t="shared" si="8"/>
        <v>21.39737991</v>
      </c>
      <c r="P120" s="12">
        <f t="shared" si="9"/>
        <v>0.04226324755</v>
      </c>
      <c r="Q120" s="12">
        <f t="shared" si="10"/>
        <v>0.4641459323</v>
      </c>
      <c r="S120" s="28"/>
      <c r="T120" s="28"/>
      <c r="U120" s="27"/>
      <c r="V120" s="27"/>
      <c r="X120" s="27"/>
      <c r="Y120" s="27"/>
    </row>
    <row r="121" ht="15.75" customHeight="1">
      <c r="A121" s="9">
        <v>30203.0</v>
      </c>
      <c r="B121" s="10" t="s">
        <v>26</v>
      </c>
      <c r="C121" s="10" t="s">
        <v>153</v>
      </c>
      <c r="D121" s="11">
        <v>1.0</v>
      </c>
      <c r="E121" s="11">
        <v>723.0</v>
      </c>
      <c r="F121" s="12">
        <f t="shared" si="5"/>
        <v>0.1383125864</v>
      </c>
      <c r="G121" s="13">
        <v>13.0</v>
      </c>
      <c r="H121" s="13">
        <v>589.0</v>
      </c>
      <c r="I121" s="12">
        <f t="shared" si="6"/>
        <v>2.20713073</v>
      </c>
      <c r="J121" s="11">
        <v>89.0</v>
      </c>
      <c r="K121" s="11">
        <v>509.0</v>
      </c>
      <c r="L121" s="12">
        <f t="shared" si="7"/>
        <v>17.48526523</v>
      </c>
      <c r="M121" s="13">
        <v>71.0</v>
      </c>
      <c r="N121" s="13">
        <v>586.0</v>
      </c>
      <c r="O121" s="14">
        <f t="shared" si="8"/>
        <v>12.11604096</v>
      </c>
      <c r="P121" s="12">
        <f t="shared" si="9"/>
        <v>0.007910236685</v>
      </c>
      <c r="Q121" s="12">
        <f t="shared" si="10"/>
        <v>0.1821660011</v>
      </c>
      <c r="S121" s="28"/>
      <c r="T121" s="28"/>
      <c r="U121" s="27"/>
      <c r="V121" s="27"/>
      <c r="X121" s="27"/>
      <c r="Y121" s="27"/>
    </row>
    <row r="122" ht="15.75" customHeight="1">
      <c r="A122" s="9">
        <v>30301.0</v>
      </c>
      <c r="B122" s="10" t="s">
        <v>26</v>
      </c>
      <c r="C122" s="10" t="s">
        <v>154</v>
      </c>
      <c r="D122" s="11">
        <v>8.0</v>
      </c>
      <c r="E122" s="11">
        <v>2107.0</v>
      </c>
      <c r="F122" s="12">
        <f t="shared" si="5"/>
        <v>0.3796867584</v>
      </c>
      <c r="G122" s="13">
        <v>60.0</v>
      </c>
      <c r="H122" s="13">
        <v>1785.0</v>
      </c>
      <c r="I122" s="12">
        <f t="shared" si="6"/>
        <v>3.361344538</v>
      </c>
      <c r="J122" s="11">
        <v>468.0</v>
      </c>
      <c r="K122" s="11">
        <v>1934.0</v>
      </c>
      <c r="L122" s="12">
        <f t="shared" si="7"/>
        <v>24.19855222</v>
      </c>
      <c r="M122" s="13">
        <v>334.0</v>
      </c>
      <c r="N122" s="13">
        <v>1535.0</v>
      </c>
      <c r="O122" s="14">
        <f t="shared" si="8"/>
        <v>21.75895765</v>
      </c>
      <c r="P122" s="12">
        <f t="shared" si="9"/>
        <v>0.01569047416</v>
      </c>
      <c r="Q122" s="12">
        <f t="shared" si="10"/>
        <v>0.1544809541</v>
      </c>
      <c r="S122" s="28"/>
      <c r="T122" s="28"/>
      <c r="U122" s="27"/>
      <c r="V122" s="27"/>
      <c r="X122" s="27"/>
      <c r="Y122" s="27"/>
    </row>
    <row r="123" ht="15.75" customHeight="1">
      <c r="A123" s="9">
        <v>30302.0</v>
      </c>
      <c r="B123" s="10" t="s">
        <v>26</v>
      </c>
      <c r="C123" s="10" t="s">
        <v>155</v>
      </c>
      <c r="D123" s="11">
        <v>6.0</v>
      </c>
      <c r="E123" s="11">
        <v>1193.0</v>
      </c>
      <c r="F123" s="12">
        <f t="shared" si="5"/>
        <v>0.5029337804</v>
      </c>
      <c r="G123" s="13">
        <v>58.0</v>
      </c>
      <c r="H123" s="13">
        <v>1198.0</v>
      </c>
      <c r="I123" s="12">
        <f t="shared" si="6"/>
        <v>4.841402337</v>
      </c>
      <c r="J123" s="11">
        <v>230.0</v>
      </c>
      <c r="K123" s="11">
        <v>1086.0</v>
      </c>
      <c r="L123" s="12">
        <f t="shared" si="7"/>
        <v>21.1786372</v>
      </c>
      <c r="M123" s="13">
        <v>229.0</v>
      </c>
      <c r="N123" s="13">
        <v>1184.0</v>
      </c>
      <c r="O123" s="14">
        <f t="shared" si="8"/>
        <v>19.34121622</v>
      </c>
      <c r="P123" s="12">
        <f t="shared" si="9"/>
        <v>0.02374722111</v>
      </c>
      <c r="Q123" s="12">
        <f t="shared" si="10"/>
        <v>0.2503152999</v>
      </c>
      <c r="S123" s="28"/>
      <c r="T123" s="28"/>
      <c r="U123" s="27"/>
      <c r="V123" s="27"/>
      <c r="X123" s="27"/>
      <c r="Y123" s="27"/>
    </row>
    <row r="124" ht="15.75" customHeight="1">
      <c r="A124" s="9">
        <v>30303.0</v>
      </c>
      <c r="B124" s="10" t="s">
        <v>26</v>
      </c>
      <c r="C124" s="10" t="s">
        <v>156</v>
      </c>
      <c r="D124" s="11">
        <v>7.0</v>
      </c>
      <c r="E124" s="11">
        <v>2053.0</v>
      </c>
      <c r="F124" s="12">
        <f t="shared" si="5"/>
        <v>0.3409644423</v>
      </c>
      <c r="G124" s="13">
        <v>67.0</v>
      </c>
      <c r="H124" s="13">
        <v>2029.0</v>
      </c>
      <c r="I124" s="12">
        <f t="shared" si="6"/>
        <v>3.302119271</v>
      </c>
      <c r="J124" s="11">
        <v>303.0</v>
      </c>
      <c r="K124" s="11">
        <v>1580.0</v>
      </c>
      <c r="L124" s="12">
        <f t="shared" si="7"/>
        <v>19.17721519</v>
      </c>
      <c r="M124" s="13">
        <v>325.0</v>
      </c>
      <c r="N124" s="13">
        <v>1673.0</v>
      </c>
      <c r="O124" s="14">
        <f t="shared" si="8"/>
        <v>19.42618051</v>
      </c>
      <c r="P124" s="12">
        <f t="shared" si="9"/>
        <v>0.01777966399</v>
      </c>
      <c r="Q124" s="12">
        <f t="shared" si="10"/>
        <v>0.1699829397</v>
      </c>
      <c r="S124" s="28"/>
      <c r="T124" s="28"/>
      <c r="U124" s="27"/>
      <c r="V124" s="27"/>
      <c r="X124" s="27"/>
      <c r="Y124" s="27"/>
    </row>
    <row r="125" ht="15.75" customHeight="1">
      <c r="A125" s="9">
        <v>30401.0</v>
      </c>
      <c r="B125" s="10" t="s">
        <v>26</v>
      </c>
      <c r="C125" s="10" t="s">
        <v>157</v>
      </c>
      <c r="D125" s="11">
        <v>19.0</v>
      </c>
      <c r="E125" s="11">
        <v>1064.0</v>
      </c>
      <c r="F125" s="12">
        <f t="shared" si="5"/>
        <v>1.785714286</v>
      </c>
      <c r="G125" s="13">
        <v>35.0</v>
      </c>
      <c r="H125" s="13">
        <v>1307.0</v>
      </c>
      <c r="I125" s="12">
        <f t="shared" si="6"/>
        <v>2.677888294</v>
      </c>
      <c r="J125" s="11">
        <v>124.0</v>
      </c>
      <c r="K125" s="11">
        <v>808.0</v>
      </c>
      <c r="L125" s="12">
        <f t="shared" si="7"/>
        <v>15.34653465</v>
      </c>
      <c r="M125" s="13">
        <v>147.0</v>
      </c>
      <c r="N125" s="13">
        <v>1051.0</v>
      </c>
      <c r="O125" s="14">
        <f t="shared" si="8"/>
        <v>13.98667935</v>
      </c>
      <c r="P125" s="12">
        <f t="shared" si="9"/>
        <v>0.116359447</v>
      </c>
      <c r="Q125" s="12">
        <f t="shared" si="10"/>
        <v>0.1914599045</v>
      </c>
      <c r="S125" s="28"/>
      <c r="T125" s="28"/>
      <c r="U125" s="27"/>
      <c r="V125" s="27"/>
      <c r="X125" s="27"/>
      <c r="Y125" s="27"/>
    </row>
    <row r="126" ht="15.75" customHeight="1">
      <c r="A126" s="9">
        <v>30402.0</v>
      </c>
      <c r="B126" s="10" t="s">
        <v>26</v>
      </c>
      <c r="C126" s="10" t="s">
        <v>158</v>
      </c>
      <c r="D126" s="11">
        <v>7.0</v>
      </c>
      <c r="E126" s="11">
        <v>580.0</v>
      </c>
      <c r="F126" s="12">
        <f t="shared" si="5"/>
        <v>1.206896552</v>
      </c>
      <c r="G126" s="13">
        <v>29.0</v>
      </c>
      <c r="H126" s="13">
        <v>517.0</v>
      </c>
      <c r="I126" s="12">
        <f t="shared" si="6"/>
        <v>5.609284333</v>
      </c>
      <c r="J126" s="11">
        <v>121.0</v>
      </c>
      <c r="K126" s="11">
        <v>548.0</v>
      </c>
      <c r="L126" s="12">
        <f t="shared" si="7"/>
        <v>22.08029197</v>
      </c>
      <c r="M126" s="13">
        <v>87.0</v>
      </c>
      <c r="N126" s="13">
        <v>556.0</v>
      </c>
      <c r="O126" s="14">
        <f t="shared" si="8"/>
        <v>15.64748201</v>
      </c>
      <c r="P126" s="12">
        <f t="shared" si="9"/>
        <v>0.05465944714</v>
      </c>
      <c r="Q126" s="12">
        <f t="shared" si="10"/>
        <v>0.358478401</v>
      </c>
      <c r="S126" s="28"/>
      <c r="T126" s="28"/>
      <c r="U126" s="27"/>
      <c r="V126" s="27"/>
      <c r="X126" s="27"/>
      <c r="Y126" s="27"/>
    </row>
    <row r="127" ht="15.75" customHeight="1">
      <c r="A127" s="9">
        <v>30403.0</v>
      </c>
      <c r="B127" s="10" t="s">
        <v>26</v>
      </c>
      <c r="C127" s="10" t="s">
        <v>159</v>
      </c>
      <c r="D127" s="11">
        <v>23.0</v>
      </c>
      <c r="E127" s="11">
        <v>1640.0</v>
      </c>
      <c r="F127" s="12">
        <f t="shared" si="5"/>
        <v>1.402439024</v>
      </c>
      <c r="G127" s="13">
        <v>71.0</v>
      </c>
      <c r="H127" s="13">
        <v>2579.0</v>
      </c>
      <c r="I127" s="12">
        <f t="shared" si="6"/>
        <v>2.753005041</v>
      </c>
      <c r="J127" s="11">
        <v>325.0</v>
      </c>
      <c r="K127" s="11">
        <v>1616.0</v>
      </c>
      <c r="L127" s="12">
        <f t="shared" si="7"/>
        <v>20.11138614</v>
      </c>
      <c r="M127" s="13">
        <v>409.0</v>
      </c>
      <c r="N127" s="13">
        <v>2677.0</v>
      </c>
      <c r="O127" s="14">
        <f t="shared" si="8"/>
        <v>15.2782966</v>
      </c>
      <c r="P127" s="12">
        <f t="shared" si="9"/>
        <v>0.06973358349</v>
      </c>
      <c r="Q127" s="12">
        <f t="shared" si="10"/>
        <v>0.1801905744</v>
      </c>
      <c r="S127" s="28"/>
      <c r="T127" s="28"/>
      <c r="U127" s="27"/>
      <c r="V127" s="27"/>
      <c r="X127" s="27"/>
      <c r="Y127" s="27"/>
    </row>
    <row r="128" ht="15.75" customHeight="1">
      <c r="A128" s="9">
        <v>30404.0</v>
      </c>
      <c r="B128" s="10" t="s">
        <v>26</v>
      </c>
      <c r="C128" s="10" t="s">
        <v>160</v>
      </c>
      <c r="D128" s="11">
        <v>4.0</v>
      </c>
      <c r="E128" s="11">
        <v>392.0</v>
      </c>
      <c r="F128" s="12">
        <f t="shared" si="5"/>
        <v>1.020408163</v>
      </c>
      <c r="G128" s="13">
        <v>13.0</v>
      </c>
      <c r="H128" s="13">
        <v>444.0</v>
      </c>
      <c r="I128" s="12">
        <f t="shared" si="6"/>
        <v>2.927927928</v>
      </c>
      <c r="J128" s="11">
        <v>59.0</v>
      </c>
      <c r="K128" s="11">
        <v>359.0</v>
      </c>
      <c r="L128" s="12">
        <f t="shared" si="7"/>
        <v>16.43454039</v>
      </c>
      <c r="M128" s="13">
        <v>42.0</v>
      </c>
      <c r="N128" s="13">
        <v>389.0</v>
      </c>
      <c r="O128" s="14">
        <f t="shared" si="8"/>
        <v>10.79691517</v>
      </c>
      <c r="P128" s="12">
        <f t="shared" si="9"/>
        <v>0.06208924248</v>
      </c>
      <c r="Q128" s="12">
        <f t="shared" si="10"/>
        <v>0.2711818962</v>
      </c>
      <c r="S128" s="28"/>
      <c r="T128" s="28"/>
      <c r="U128" s="27"/>
      <c r="V128" s="27"/>
      <c r="X128" s="27"/>
      <c r="Y128" s="27"/>
    </row>
    <row r="129" ht="15.75" customHeight="1">
      <c r="A129" s="9">
        <v>30501.0</v>
      </c>
      <c r="B129" s="10" t="s">
        <v>26</v>
      </c>
      <c r="C129" s="10" t="s">
        <v>161</v>
      </c>
      <c r="D129" s="11">
        <v>30.0</v>
      </c>
      <c r="E129" s="11">
        <v>969.0</v>
      </c>
      <c r="F129" s="12">
        <f t="shared" si="5"/>
        <v>3.095975232</v>
      </c>
      <c r="G129" s="13">
        <v>19.0</v>
      </c>
      <c r="H129" s="13">
        <v>919.0</v>
      </c>
      <c r="I129" s="12">
        <f t="shared" si="6"/>
        <v>2.067464635</v>
      </c>
      <c r="J129" s="11">
        <v>152.0</v>
      </c>
      <c r="K129" s="11">
        <v>934.0</v>
      </c>
      <c r="L129" s="12">
        <f t="shared" si="7"/>
        <v>16.27408994</v>
      </c>
      <c r="M129" s="13">
        <v>79.0</v>
      </c>
      <c r="N129" s="13">
        <v>895.0</v>
      </c>
      <c r="O129" s="14">
        <f t="shared" si="8"/>
        <v>8.826815642</v>
      </c>
      <c r="P129" s="12">
        <f t="shared" si="9"/>
        <v>0.1902395307</v>
      </c>
      <c r="Q129" s="12">
        <f t="shared" si="10"/>
        <v>0.2342254239</v>
      </c>
      <c r="S129" s="28"/>
      <c r="T129" s="28"/>
      <c r="U129" s="27"/>
      <c r="V129" s="27"/>
      <c r="X129" s="27"/>
      <c r="Y129" s="27"/>
    </row>
    <row r="130" ht="15.75" customHeight="1">
      <c r="A130" s="9">
        <v>30502.0</v>
      </c>
      <c r="B130" s="10" t="s">
        <v>26</v>
      </c>
      <c r="C130" s="10" t="s">
        <v>162</v>
      </c>
      <c r="D130" s="11">
        <v>3.0</v>
      </c>
      <c r="E130" s="11">
        <v>946.0</v>
      </c>
      <c r="F130" s="12">
        <f t="shared" si="5"/>
        <v>0.3171247357</v>
      </c>
      <c r="G130" s="13">
        <v>30.0</v>
      </c>
      <c r="H130" s="13">
        <v>645.0</v>
      </c>
      <c r="I130" s="12">
        <f t="shared" si="6"/>
        <v>4.651162791</v>
      </c>
      <c r="J130" s="11">
        <v>108.0</v>
      </c>
      <c r="K130" s="11">
        <v>875.0</v>
      </c>
      <c r="L130" s="12">
        <f t="shared" si="7"/>
        <v>12.34285714</v>
      </c>
      <c r="M130" s="13">
        <v>71.0</v>
      </c>
      <c r="N130" s="13">
        <v>688.0</v>
      </c>
      <c r="O130" s="14">
        <f t="shared" si="8"/>
        <v>10.31976744</v>
      </c>
      <c r="P130" s="12">
        <f t="shared" si="9"/>
        <v>0.02569297627</v>
      </c>
      <c r="Q130" s="12">
        <f t="shared" si="10"/>
        <v>0.4507042254</v>
      </c>
      <c r="S130" s="28"/>
      <c r="T130" s="28"/>
      <c r="U130" s="27"/>
      <c r="V130" s="27"/>
      <c r="X130" s="27"/>
      <c r="Y130" s="27"/>
    </row>
    <row r="131" ht="15.75" customHeight="1">
      <c r="A131" s="9">
        <v>30601.0</v>
      </c>
      <c r="B131" s="10" t="s">
        <v>26</v>
      </c>
      <c r="C131" s="10" t="s">
        <v>163</v>
      </c>
      <c r="D131" s="11">
        <v>8.0</v>
      </c>
      <c r="E131" s="11">
        <v>1009.0</v>
      </c>
      <c r="F131" s="12">
        <f t="shared" si="5"/>
        <v>0.792864222</v>
      </c>
      <c r="G131" s="13">
        <v>65.0</v>
      </c>
      <c r="H131" s="13">
        <v>951.0</v>
      </c>
      <c r="I131" s="12">
        <f t="shared" si="6"/>
        <v>6.83491062</v>
      </c>
      <c r="J131" s="11">
        <v>175.0</v>
      </c>
      <c r="K131" s="11">
        <v>976.0</v>
      </c>
      <c r="L131" s="12">
        <f t="shared" si="7"/>
        <v>17.93032787</v>
      </c>
      <c r="M131" s="13">
        <v>254.0</v>
      </c>
      <c r="N131" s="13">
        <v>926.0</v>
      </c>
      <c r="O131" s="14">
        <f t="shared" si="8"/>
        <v>27.42980562</v>
      </c>
      <c r="P131" s="12">
        <f t="shared" si="9"/>
        <v>0.04421917032</v>
      </c>
      <c r="Q131" s="12">
        <f t="shared" si="10"/>
        <v>0.2491782376</v>
      </c>
      <c r="S131" s="28"/>
      <c r="T131" s="28"/>
      <c r="U131" s="27"/>
      <c r="V131" s="27"/>
      <c r="X131" s="27"/>
      <c r="Y131" s="27"/>
    </row>
    <row r="132" ht="15.75" customHeight="1">
      <c r="A132" s="9">
        <v>30602.0</v>
      </c>
      <c r="B132" s="10" t="s">
        <v>26</v>
      </c>
      <c r="C132" s="10" t="s">
        <v>164</v>
      </c>
      <c r="D132" s="11">
        <v>3.0</v>
      </c>
      <c r="E132" s="11">
        <v>960.0</v>
      </c>
      <c r="F132" s="12">
        <f t="shared" si="5"/>
        <v>0.3125</v>
      </c>
      <c r="G132" s="13">
        <v>105.0</v>
      </c>
      <c r="H132" s="13">
        <v>1002.0</v>
      </c>
      <c r="I132" s="12">
        <f t="shared" si="6"/>
        <v>10.47904192</v>
      </c>
      <c r="J132" s="11">
        <v>73.0</v>
      </c>
      <c r="K132" s="11">
        <v>948.0</v>
      </c>
      <c r="L132" s="12">
        <f t="shared" si="7"/>
        <v>7.700421941</v>
      </c>
      <c r="M132" s="13">
        <v>211.0</v>
      </c>
      <c r="N132" s="13">
        <v>851.0</v>
      </c>
      <c r="O132" s="14">
        <f t="shared" si="8"/>
        <v>24.79435958</v>
      </c>
      <c r="P132" s="12">
        <f t="shared" si="9"/>
        <v>0.04058219178</v>
      </c>
      <c r="Q132" s="12">
        <f t="shared" si="10"/>
        <v>0.4226381361</v>
      </c>
      <c r="S132" s="28"/>
      <c r="T132" s="28"/>
      <c r="U132" s="27"/>
      <c r="V132" s="27"/>
      <c r="X132" s="27"/>
      <c r="Y132" s="27"/>
    </row>
    <row r="133" ht="15.75" customHeight="1">
      <c r="A133" s="9">
        <v>30701.0</v>
      </c>
      <c r="B133" s="10" t="s">
        <v>26</v>
      </c>
      <c r="C133" s="10" t="s">
        <v>165</v>
      </c>
      <c r="D133" s="11">
        <v>17.0</v>
      </c>
      <c r="E133" s="11">
        <v>2020.0</v>
      </c>
      <c r="F133" s="12">
        <f t="shared" si="5"/>
        <v>0.8415841584</v>
      </c>
      <c r="G133" s="13">
        <v>62.0</v>
      </c>
      <c r="H133" s="13">
        <v>1638.0</v>
      </c>
      <c r="I133" s="12">
        <f t="shared" si="6"/>
        <v>3.785103785</v>
      </c>
      <c r="J133" s="11">
        <v>355.0</v>
      </c>
      <c r="K133" s="11">
        <v>2020.0</v>
      </c>
      <c r="L133" s="12">
        <f t="shared" si="7"/>
        <v>17.57425743</v>
      </c>
      <c r="M133" s="13">
        <v>220.0</v>
      </c>
      <c r="N133" s="13">
        <v>1722.0</v>
      </c>
      <c r="O133" s="14">
        <f t="shared" si="8"/>
        <v>12.77584204</v>
      </c>
      <c r="P133" s="12">
        <f t="shared" si="9"/>
        <v>0.04788732394</v>
      </c>
      <c r="Q133" s="12">
        <f t="shared" si="10"/>
        <v>0.2962703963</v>
      </c>
      <c r="S133" s="28"/>
      <c r="T133" s="28"/>
      <c r="U133" s="27"/>
      <c r="V133" s="27"/>
      <c r="X133" s="27"/>
      <c r="Y133" s="27"/>
    </row>
    <row r="134" ht="15.75" customHeight="1">
      <c r="A134" s="9">
        <v>30702.0</v>
      </c>
      <c r="B134" s="10" t="s">
        <v>26</v>
      </c>
      <c r="C134" s="10" t="s">
        <v>166</v>
      </c>
      <c r="D134" s="11">
        <v>21.0</v>
      </c>
      <c r="E134" s="11">
        <v>721.0</v>
      </c>
      <c r="F134" s="12">
        <f t="shared" si="5"/>
        <v>2.912621359</v>
      </c>
      <c r="G134" s="13">
        <v>23.0</v>
      </c>
      <c r="H134" s="13">
        <v>685.0</v>
      </c>
      <c r="I134" s="12">
        <f t="shared" si="6"/>
        <v>3.357664234</v>
      </c>
      <c r="J134" s="11">
        <v>135.0</v>
      </c>
      <c r="K134" s="11">
        <v>662.0</v>
      </c>
      <c r="L134" s="12">
        <f t="shared" si="7"/>
        <v>20.39274924</v>
      </c>
      <c r="M134" s="13">
        <v>102.0</v>
      </c>
      <c r="N134" s="13">
        <v>547.0</v>
      </c>
      <c r="O134" s="14">
        <f t="shared" si="8"/>
        <v>18.64716636</v>
      </c>
      <c r="P134" s="12">
        <f t="shared" si="9"/>
        <v>0.1428263215</v>
      </c>
      <c r="Q134" s="12">
        <f t="shared" si="10"/>
        <v>0.1800629741</v>
      </c>
      <c r="S134" s="28"/>
      <c r="T134" s="28"/>
      <c r="U134" s="27"/>
      <c r="V134" s="27"/>
      <c r="X134" s="27"/>
      <c r="Y134" s="27"/>
    </row>
    <row r="135" ht="15.75" customHeight="1">
      <c r="A135" s="9">
        <v>30703.0</v>
      </c>
      <c r="B135" s="10" t="s">
        <v>26</v>
      </c>
      <c r="C135" s="10" t="s">
        <v>167</v>
      </c>
      <c r="D135" s="11">
        <v>2.0</v>
      </c>
      <c r="E135" s="11">
        <v>371.0</v>
      </c>
      <c r="F135" s="12">
        <f t="shared" si="5"/>
        <v>0.539083558</v>
      </c>
      <c r="G135" s="13">
        <v>18.0</v>
      </c>
      <c r="H135" s="13">
        <v>368.0</v>
      </c>
      <c r="I135" s="12">
        <f t="shared" si="6"/>
        <v>4.891304348</v>
      </c>
      <c r="J135" s="11">
        <v>87.0</v>
      </c>
      <c r="K135" s="11">
        <v>332.0</v>
      </c>
      <c r="L135" s="12">
        <f t="shared" si="7"/>
        <v>26.20481928</v>
      </c>
      <c r="M135" s="13">
        <v>76.0</v>
      </c>
      <c r="N135" s="13">
        <v>335.0</v>
      </c>
      <c r="O135" s="14">
        <f t="shared" si="8"/>
        <v>22.68656716</v>
      </c>
      <c r="P135" s="12">
        <f t="shared" si="9"/>
        <v>0.02057192428</v>
      </c>
      <c r="Q135" s="12">
        <f t="shared" si="10"/>
        <v>0.2156035469</v>
      </c>
      <c r="S135" s="28"/>
      <c r="T135" s="28"/>
      <c r="U135" s="27"/>
      <c r="V135" s="27"/>
      <c r="X135" s="27"/>
      <c r="Y135" s="27"/>
    </row>
    <row r="136" ht="15.75" customHeight="1">
      <c r="A136" s="9">
        <v>30801.0</v>
      </c>
      <c r="B136" s="10" t="s">
        <v>26</v>
      </c>
      <c r="C136" s="10" t="s">
        <v>168</v>
      </c>
      <c r="D136" s="11">
        <v>36.0</v>
      </c>
      <c r="E136" s="11">
        <v>2196.0</v>
      </c>
      <c r="F136" s="12">
        <f t="shared" si="5"/>
        <v>1.639344262</v>
      </c>
      <c r="G136" s="13">
        <v>53.0</v>
      </c>
      <c r="H136" s="13">
        <v>1748.0</v>
      </c>
      <c r="I136" s="12">
        <f t="shared" si="6"/>
        <v>3.032036613</v>
      </c>
      <c r="J136" s="11">
        <v>315.0</v>
      </c>
      <c r="K136" s="11">
        <v>2115.0</v>
      </c>
      <c r="L136" s="12">
        <f t="shared" si="7"/>
        <v>14.89361702</v>
      </c>
      <c r="M136" s="13">
        <v>177.0</v>
      </c>
      <c r="N136" s="13">
        <v>1778.0</v>
      </c>
      <c r="O136" s="14">
        <f t="shared" si="8"/>
        <v>9.955005624</v>
      </c>
      <c r="P136" s="12">
        <f t="shared" si="9"/>
        <v>0.1100702576</v>
      </c>
      <c r="Q136" s="12">
        <f t="shared" si="10"/>
        <v>0.3045740734</v>
      </c>
      <c r="S136" s="28"/>
      <c r="T136" s="28"/>
      <c r="U136" s="27"/>
      <c r="V136" s="27"/>
      <c r="X136" s="27"/>
      <c r="Y136" s="27"/>
    </row>
    <row r="137" ht="15.75" customHeight="1">
      <c r="A137" s="9">
        <v>30802.0</v>
      </c>
      <c r="B137" s="10" t="s">
        <v>26</v>
      </c>
      <c r="C137" s="10" t="s">
        <v>169</v>
      </c>
      <c r="D137" s="11">
        <v>6.0</v>
      </c>
      <c r="E137" s="11">
        <v>710.0</v>
      </c>
      <c r="F137" s="12">
        <f t="shared" si="5"/>
        <v>0.8450704225</v>
      </c>
      <c r="G137" s="13">
        <v>25.0</v>
      </c>
      <c r="H137" s="13">
        <v>590.0</v>
      </c>
      <c r="I137" s="12">
        <f t="shared" si="6"/>
        <v>4.237288136</v>
      </c>
      <c r="J137" s="11">
        <v>114.0</v>
      </c>
      <c r="K137" s="11">
        <v>666.0</v>
      </c>
      <c r="L137" s="12">
        <f t="shared" si="7"/>
        <v>17.11711712</v>
      </c>
      <c r="M137" s="13">
        <v>93.0</v>
      </c>
      <c r="N137" s="13">
        <v>528.0</v>
      </c>
      <c r="O137" s="14">
        <f t="shared" si="8"/>
        <v>17.61363636</v>
      </c>
      <c r="P137" s="12">
        <f t="shared" si="9"/>
        <v>0.04936990363</v>
      </c>
      <c r="Q137" s="12">
        <f t="shared" si="10"/>
        <v>0.2405686167</v>
      </c>
      <c r="S137" s="28"/>
      <c r="T137" s="28"/>
      <c r="U137" s="27"/>
      <c r="V137" s="27"/>
      <c r="X137" s="27"/>
      <c r="Y137" s="27"/>
    </row>
    <row r="138" ht="15.75" customHeight="1">
      <c r="A138" s="9">
        <v>30803.0</v>
      </c>
      <c r="B138" s="10" t="s">
        <v>26</v>
      </c>
      <c r="C138" s="10" t="s">
        <v>170</v>
      </c>
      <c r="D138" s="11">
        <v>14.0</v>
      </c>
      <c r="E138" s="11">
        <v>896.0</v>
      </c>
      <c r="F138" s="12">
        <f t="shared" si="5"/>
        <v>1.5625</v>
      </c>
      <c r="G138" s="13">
        <v>36.0</v>
      </c>
      <c r="H138" s="13">
        <v>1384.0</v>
      </c>
      <c r="I138" s="12">
        <f t="shared" si="6"/>
        <v>2.601156069</v>
      </c>
      <c r="J138" s="11">
        <v>120.0</v>
      </c>
      <c r="K138" s="11">
        <v>548.0</v>
      </c>
      <c r="L138" s="12">
        <f t="shared" si="7"/>
        <v>21.89781022</v>
      </c>
      <c r="M138" s="13">
        <v>86.0</v>
      </c>
      <c r="N138" s="13">
        <v>714.0</v>
      </c>
      <c r="O138" s="14">
        <f t="shared" si="8"/>
        <v>12.04481793</v>
      </c>
      <c r="P138" s="12">
        <f t="shared" si="9"/>
        <v>0.07135416667</v>
      </c>
      <c r="Q138" s="12">
        <f t="shared" si="10"/>
        <v>0.2159564458</v>
      </c>
      <c r="S138" s="28"/>
      <c r="T138" s="28"/>
      <c r="U138" s="27"/>
      <c r="V138" s="27"/>
      <c r="X138" s="27"/>
      <c r="Y138" s="27"/>
    </row>
    <row r="139" ht="15.75" customHeight="1">
      <c r="A139" s="9">
        <v>30901.0</v>
      </c>
      <c r="B139" s="10" t="s">
        <v>26</v>
      </c>
      <c r="C139" s="10" t="s">
        <v>171</v>
      </c>
      <c r="D139" s="11">
        <v>293.0</v>
      </c>
      <c r="E139" s="11">
        <v>14906.0</v>
      </c>
      <c r="F139" s="12">
        <f t="shared" si="5"/>
        <v>1.965651416</v>
      </c>
      <c r="G139" s="13">
        <v>358.0</v>
      </c>
      <c r="H139" s="13">
        <v>15493.0</v>
      </c>
      <c r="I139" s="12">
        <f t="shared" si="6"/>
        <v>2.310720971</v>
      </c>
      <c r="J139" s="11">
        <v>2419.0</v>
      </c>
      <c r="K139" s="11">
        <v>15376.0</v>
      </c>
      <c r="L139" s="12">
        <f t="shared" si="7"/>
        <v>15.73231009</v>
      </c>
      <c r="M139" s="13">
        <v>1434.0</v>
      </c>
      <c r="N139" s="13">
        <v>15945.0</v>
      </c>
      <c r="O139" s="14">
        <f t="shared" si="8"/>
        <v>8.993414864</v>
      </c>
      <c r="P139" s="12">
        <f t="shared" si="9"/>
        <v>0.1249435972</v>
      </c>
      <c r="Q139" s="12">
        <f t="shared" si="10"/>
        <v>0.256934769</v>
      </c>
      <c r="S139" s="28"/>
      <c r="T139" s="28"/>
      <c r="U139" s="27"/>
      <c r="V139" s="27"/>
      <c r="X139" s="27"/>
      <c r="Y139" s="27"/>
    </row>
    <row r="140" ht="15.75" customHeight="1">
      <c r="A140" s="9">
        <v>30902.0</v>
      </c>
      <c r="B140" s="10" t="s">
        <v>26</v>
      </c>
      <c r="C140" s="10" t="s">
        <v>172</v>
      </c>
      <c r="D140" s="11">
        <v>44.0</v>
      </c>
      <c r="E140" s="11">
        <v>4432.0</v>
      </c>
      <c r="F140" s="12">
        <f t="shared" si="5"/>
        <v>0.9927797834</v>
      </c>
      <c r="G140" s="13">
        <v>161.0</v>
      </c>
      <c r="H140" s="13">
        <v>5025.0</v>
      </c>
      <c r="I140" s="12">
        <f t="shared" si="6"/>
        <v>3.2039801</v>
      </c>
      <c r="J140" s="11">
        <v>855.0</v>
      </c>
      <c r="K140" s="11">
        <v>4555.0</v>
      </c>
      <c r="L140" s="12">
        <f t="shared" si="7"/>
        <v>18.77058178</v>
      </c>
      <c r="M140" s="13">
        <v>808.0</v>
      </c>
      <c r="N140" s="13">
        <v>5603.0</v>
      </c>
      <c r="O140" s="14">
        <f t="shared" si="8"/>
        <v>14.42084598</v>
      </c>
      <c r="P140" s="12">
        <f t="shared" si="9"/>
        <v>0.05289019782</v>
      </c>
      <c r="Q140" s="12">
        <f t="shared" si="10"/>
        <v>0.2221769864</v>
      </c>
      <c r="S140" s="28"/>
      <c r="T140" s="28"/>
      <c r="U140" s="27"/>
      <c r="V140" s="27"/>
      <c r="X140" s="27"/>
      <c r="Y140" s="27"/>
    </row>
    <row r="141" ht="15.75" customHeight="1">
      <c r="A141" s="9">
        <v>30903.0</v>
      </c>
      <c r="B141" s="10" t="s">
        <v>26</v>
      </c>
      <c r="C141" s="10" t="s">
        <v>173</v>
      </c>
      <c r="D141" s="11">
        <v>125.0</v>
      </c>
      <c r="E141" s="11">
        <v>5893.0</v>
      </c>
      <c r="F141" s="12">
        <f t="shared" si="5"/>
        <v>2.121160699</v>
      </c>
      <c r="G141" s="13">
        <v>128.0</v>
      </c>
      <c r="H141" s="13">
        <v>5676.0</v>
      </c>
      <c r="I141" s="12">
        <f t="shared" si="6"/>
        <v>2.255109232</v>
      </c>
      <c r="J141" s="11">
        <v>922.0</v>
      </c>
      <c r="K141" s="11">
        <v>6341.0</v>
      </c>
      <c r="L141" s="12">
        <f t="shared" si="7"/>
        <v>14.54029333</v>
      </c>
      <c r="M141" s="13">
        <v>374.0</v>
      </c>
      <c r="N141" s="13">
        <v>6047.0</v>
      </c>
      <c r="O141" s="14">
        <f t="shared" si="8"/>
        <v>6.184885067</v>
      </c>
      <c r="P141" s="12">
        <f t="shared" si="9"/>
        <v>0.1458815617</v>
      </c>
      <c r="Q141" s="12">
        <f t="shared" si="10"/>
        <v>0.3646161905</v>
      </c>
      <c r="S141" s="28"/>
      <c r="T141" s="28"/>
      <c r="U141" s="27"/>
      <c r="V141" s="27"/>
      <c r="X141" s="27"/>
      <c r="Y141" s="27"/>
    </row>
    <row r="142" ht="15.75" customHeight="1">
      <c r="A142" s="9">
        <v>30904.0</v>
      </c>
      <c r="B142" s="10" t="s">
        <v>26</v>
      </c>
      <c r="C142" s="10" t="s">
        <v>174</v>
      </c>
      <c r="D142" s="11">
        <v>81.0</v>
      </c>
      <c r="E142" s="11">
        <v>5643.0</v>
      </c>
      <c r="F142" s="12">
        <f t="shared" si="5"/>
        <v>1.435406699</v>
      </c>
      <c r="G142" s="13">
        <v>137.0</v>
      </c>
      <c r="H142" s="13">
        <v>5429.0</v>
      </c>
      <c r="I142" s="12">
        <f t="shared" si="6"/>
        <v>2.523484988</v>
      </c>
      <c r="J142" s="11">
        <v>1085.0</v>
      </c>
      <c r="K142" s="11">
        <v>6041.0</v>
      </c>
      <c r="L142" s="12">
        <f t="shared" si="7"/>
        <v>17.96060255</v>
      </c>
      <c r="M142" s="13">
        <v>593.0</v>
      </c>
      <c r="N142" s="13">
        <v>5712.0</v>
      </c>
      <c r="O142" s="14">
        <f t="shared" si="8"/>
        <v>10.38165266</v>
      </c>
      <c r="P142" s="12">
        <f t="shared" si="9"/>
        <v>0.0799197407</v>
      </c>
      <c r="Q142" s="12">
        <f t="shared" si="10"/>
        <v>0.2430716063</v>
      </c>
      <c r="S142" s="28"/>
      <c r="T142" s="28"/>
      <c r="U142" s="27"/>
      <c r="V142" s="27"/>
      <c r="X142" s="27"/>
      <c r="Y142" s="27"/>
    </row>
    <row r="143" ht="15.75" customHeight="1">
      <c r="A143" s="9">
        <v>30905.0</v>
      </c>
      <c r="B143" s="10" t="s">
        <v>26</v>
      </c>
      <c r="C143" s="10" t="s">
        <v>175</v>
      </c>
      <c r="D143" s="11">
        <v>109.0</v>
      </c>
      <c r="E143" s="11">
        <v>5461.0</v>
      </c>
      <c r="F143" s="12">
        <f t="shared" si="5"/>
        <v>1.995971434</v>
      </c>
      <c r="G143" s="13">
        <v>140.0</v>
      </c>
      <c r="H143" s="13">
        <v>5975.0</v>
      </c>
      <c r="I143" s="12">
        <f t="shared" si="6"/>
        <v>2.343096234</v>
      </c>
      <c r="J143" s="11">
        <v>774.0</v>
      </c>
      <c r="K143" s="11">
        <v>5701.0</v>
      </c>
      <c r="L143" s="12">
        <f t="shared" si="7"/>
        <v>13.57656551</v>
      </c>
      <c r="M143" s="13">
        <v>385.0</v>
      </c>
      <c r="N143" s="13">
        <v>5950.0</v>
      </c>
      <c r="O143" s="14">
        <f t="shared" si="8"/>
        <v>6.470588235</v>
      </c>
      <c r="P143" s="12">
        <f t="shared" si="9"/>
        <v>0.1470159321</v>
      </c>
      <c r="Q143" s="12">
        <f t="shared" si="10"/>
        <v>0.3621148726</v>
      </c>
      <c r="S143" s="28"/>
      <c r="T143" s="28"/>
      <c r="U143" s="27"/>
      <c r="V143" s="27"/>
      <c r="X143" s="27"/>
      <c r="Y143" s="27"/>
    </row>
    <row r="144" ht="15.75" customHeight="1">
      <c r="A144" s="9">
        <v>31001.0</v>
      </c>
      <c r="B144" s="10" t="s">
        <v>26</v>
      </c>
      <c r="C144" s="10" t="s">
        <v>176</v>
      </c>
      <c r="D144" s="11">
        <v>337.0</v>
      </c>
      <c r="E144" s="11">
        <v>18873.0</v>
      </c>
      <c r="F144" s="12">
        <f t="shared" si="5"/>
        <v>1.785619668</v>
      </c>
      <c r="G144" s="13">
        <v>517.0</v>
      </c>
      <c r="H144" s="13">
        <v>20942.0</v>
      </c>
      <c r="I144" s="12">
        <f t="shared" si="6"/>
        <v>2.46872314</v>
      </c>
      <c r="J144" s="11">
        <v>3111.0</v>
      </c>
      <c r="K144" s="11">
        <v>19250.0</v>
      </c>
      <c r="L144" s="12">
        <f t="shared" si="7"/>
        <v>16.16103896</v>
      </c>
      <c r="M144" s="13">
        <v>1739.0</v>
      </c>
      <c r="N144" s="13">
        <v>21833.0</v>
      </c>
      <c r="O144" s="14">
        <f t="shared" si="8"/>
        <v>7.965007099</v>
      </c>
      <c r="P144" s="12">
        <f t="shared" si="9"/>
        <v>0.110489163</v>
      </c>
      <c r="Q144" s="12">
        <f t="shared" si="10"/>
        <v>0.3099461318</v>
      </c>
      <c r="S144" s="28"/>
      <c r="T144" s="28"/>
      <c r="U144" s="27"/>
      <c r="V144" s="27"/>
      <c r="X144" s="27"/>
      <c r="Y144" s="27"/>
    </row>
    <row r="145" ht="15.75" customHeight="1">
      <c r="A145" s="9">
        <v>31002.0</v>
      </c>
      <c r="B145" s="10" t="s">
        <v>26</v>
      </c>
      <c r="C145" s="10" t="s">
        <v>177</v>
      </c>
      <c r="D145" s="11">
        <v>20.0</v>
      </c>
      <c r="E145" s="11">
        <v>2306.0</v>
      </c>
      <c r="F145" s="12">
        <f t="shared" si="5"/>
        <v>0.8673026886</v>
      </c>
      <c r="G145" s="13">
        <v>53.0</v>
      </c>
      <c r="H145" s="13">
        <v>2285.0</v>
      </c>
      <c r="I145" s="12">
        <f t="shared" si="6"/>
        <v>2.319474836</v>
      </c>
      <c r="J145" s="11">
        <v>267.0</v>
      </c>
      <c r="K145" s="11">
        <v>1999.0</v>
      </c>
      <c r="L145" s="12">
        <f t="shared" si="7"/>
        <v>13.35667834</v>
      </c>
      <c r="M145" s="13">
        <v>220.0</v>
      </c>
      <c r="N145" s="13">
        <v>2047.0</v>
      </c>
      <c r="O145" s="14">
        <f t="shared" si="8"/>
        <v>10.74743527</v>
      </c>
      <c r="P145" s="12">
        <f t="shared" si="9"/>
        <v>0.06493401028</v>
      </c>
      <c r="Q145" s="12">
        <f t="shared" si="10"/>
        <v>0.2158165904</v>
      </c>
      <c r="S145" s="28"/>
      <c r="T145" s="28"/>
      <c r="U145" s="27"/>
      <c r="V145" s="27"/>
      <c r="X145" s="27"/>
      <c r="Y145" s="27"/>
    </row>
    <row r="146" ht="15.75" customHeight="1">
      <c r="A146" s="9">
        <v>31003.0</v>
      </c>
      <c r="B146" s="10" t="s">
        <v>26</v>
      </c>
      <c r="C146" s="10" t="s">
        <v>178</v>
      </c>
      <c r="D146" s="11">
        <v>66.0</v>
      </c>
      <c r="E146" s="11">
        <v>8695.0</v>
      </c>
      <c r="F146" s="12">
        <f t="shared" si="5"/>
        <v>0.7590569293</v>
      </c>
      <c r="G146" s="13">
        <v>325.0</v>
      </c>
      <c r="H146" s="13">
        <v>9745.0</v>
      </c>
      <c r="I146" s="12">
        <f t="shared" si="6"/>
        <v>3.335043612</v>
      </c>
      <c r="J146" s="11">
        <v>1428.0</v>
      </c>
      <c r="K146" s="11">
        <v>6718.0</v>
      </c>
      <c r="L146" s="12">
        <f t="shared" si="7"/>
        <v>21.25632629</v>
      </c>
      <c r="M146" s="13">
        <v>1297.0</v>
      </c>
      <c r="N146" s="13">
        <v>8213.0</v>
      </c>
      <c r="O146" s="14">
        <f t="shared" si="8"/>
        <v>15.79203701</v>
      </c>
      <c r="P146" s="12">
        <f t="shared" si="9"/>
        <v>0.03570969503</v>
      </c>
      <c r="Q146" s="12">
        <f t="shared" si="10"/>
        <v>0.2111851441</v>
      </c>
      <c r="S146" s="28"/>
      <c r="T146" s="28"/>
      <c r="U146" s="27"/>
      <c r="V146" s="27"/>
      <c r="X146" s="27"/>
      <c r="Y146" s="27"/>
    </row>
    <row r="147" ht="15.75" customHeight="1">
      <c r="A147" s="9">
        <v>31101.0</v>
      </c>
      <c r="B147" s="10" t="s">
        <v>26</v>
      </c>
      <c r="C147" s="10" t="s">
        <v>179</v>
      </c>
      <c r="D147" s="11">
        <v>16.0</v>
      </c>
      <c r="E147" s="11">
        <v>2570.0</v>
      </c>
      <c r="F147" s="12">
        <f t="shared" si="5"/>
        <v>0.6225680934</v>
      </c>
      <c r="G147" s="13">
        <v>177.0</v>
      </c>
      <c r="H147" s="13">
        <v>2121.0</v>
      </c>
      <c r="I147" s="12">
        <f t="shared" si="6"/>
        <v>8.345120226</v>
      </c>
      <c r="J147" s="11">
        <v>402.0</v>
      </c>
      <c r="K147" s="11">
        <v>2265.0</v>
      </c>
      <c r="L147" s="12">
        <f t="shared" si="7"/>
        <v>17.74834437</v>
      </c>
      <c r="M147" s="13">
        <v>507.0</v>
      </c>
      <c r="N147" s="13">
        <v>1956.0</v>
      </c>
      <c r="O147" s="14">
        <f t="shared" si="8"/>
        <v>25.9202454</v>
      </c>
      <c r="P147" s="12">
        <f t="shared" si="9"/>
        <v>0.03507753063</v>
      </c>
      <c r="Q147" s="12">
        <f t="shared" si="10"/>
        <v>0.3219537507</v>
      </c>
      <c r="S147" s="28"/>
      <c r="T147" s="28"/>
      <c r="U147" s="27"/>
      <c r="V147" s="27"/>
      <c r="X147" s="27"/>
      <c r="Y147" s="27"/>
    </row>
    <row r="148" ht="15.75" customHeight="1">
      <c r="A148" s="9">
        <v>31201.0</v>
      </c>
      <c r="B148" s="10" t="s">
        <v>26</v>
      </c>
      <c r="C148" s="10" t="s">
        <v>180</v>
      </c>
      <c r="D148" s="11">
        <v>9.0</v>
      </c>
      <c r="E148" s="11">
        <v>1615.0</v>
      </c>
      <c r="F148" s="12">
        <f t="shared" si="5"/>
        <v>0.5572755418</v>
      </c>
      <c r="G148" s="13">
        <v>23.0</v>
      </c>
      <c r="H148" s="13">
        <v>1498.0</v>
      </c>
      <c r="I148" s="12">
        <f t="shared" si="6"/>
        <v>1.535380507</v>
      </c>
      <c r="J148" s="11">
        <v>223.0</v>
      </c>
      <c r="K148" s="11">
        <v>1373.0</v>
      </c>
      <c r="L148" s="12">
        <f t="shared" si="7"/>
        <v>16.24180626</v>
      </c>
      <c r="M148" s="13">
        <v>141.0</v>
      </c>
      <c r="N148" s="13">
        <v>1382.0</v>
      </c>
      <c r="O148" s="14">
        <f t="shared" si="8"/>
        <v>10.20260492</v>
      </c>
      <c r="P148" s="12">
        <f t="shared" si="9"/>
        <v>0.03431118022</v>
      </c>
      <c r="Q148" s="12">
        <f t="shared" si="10"/>
        <v>0.1504890682</v>
      </c>
      <c r="S148" s="28"/>
      <c r="T148" s="28"/>
      <c r="U148" s="27"/>
      <c r="V148" s="27"/>
      <c r="X148" s="27"/>
      <c r="Y148" s="27"/>
    </row>
    <row r="149" ht="15.75" customHeight="1">
      <c r="A149" s="9">
        <v>31202.0</v>
      </c>
      <c r="B149" s="10" t="s">
        <v>26</v>
      </c>
      <c r="C149" s="10" t="s">
        <v>181</v>
      </c>
      <c r="D149" s="11">
        <v>8.0</v>
      </c>
      <c r="E149" s="11">
        <v>1097.0</v>
      </c>
      <c r="F149" s="12">
        <f t="shared" si="5"/>
        <v>0.7292616226</v>
      </c>
      <c r="G149" s="13">
        <v>20.0</v>
      </c>
      <c r="H149" s="13">
        <v>1249.0</v>
      </c>
      <c r="I149" s="12">
        <f t="shared" si="6"/>
        <v>1.601281025</v>
      </c>
      <c r="J149" s="11">
        <v>142.0</v>
      </c>
      <c r="K149" s="11">
        <v>934.0</v>
      </c>
      <c r="L149" s="12">
        <f t="shared" si="7"/>
        <v>15.20342612</v>
      </c>
      <c r="M149" s="13">
        <v>113.0</v>
      </c>
      <c r="N149" s="13">
        <v>1144.0</v>
      </c>
      <c r="O149" s="14">
        <f t="shared" si="8"/>
        <v>9.877622378</v>
      </c>
      <c r="P149" s="12">
        <f t="shared" si="9"/>
        <v>0.04796692644</v>
      </c>
      <c r="Q149" s="12">
        <f t="shared" si="10"/>
        <v>0.1621119905</v>
      </c>
      <c r="S149" s="28"/>
      <c r="T149" s="28"/>
      <c r="U149" s="27"/>
      <c r="V149" s="27"/>
      <c r="X149" s="27"/>
      <c r="Y149" s="27"/>
    </row>
    <row r="150" ht="15.75" customHeight="1">
      <c r="A150" s="9">
        <v>31203.0</v>
      </c>
      <c r="B150" s="10" t="s">
        <v>26</v>
      </c>
      <c r="C150" s="10" t="s">
        <v>182</v>
      </c>
      <c r="D150" s="11">
        <v>6.0</v>
      </c>
      <c r="E150" s="11">
        <v>1174.0</v>
      </c>
      <c r="F150" s="12">
        <f t="shared" si="5"/>
        <v>0.5110732538</v>
      </c>
      <c r="G150" s="13">
        <v>32.0</v>
      </c>
      <c r="H150" s="13">
        <v>1026.0</v>
      </c>
      <c r="I150" s="12">
        <f t="shared" si="6"/>
        <v>3.118908382</v>
      </c>
      <c r="J150" s="11">
        <v>131.0</v>
      </c>
      <c r="K150" s="11">
        <v>1063.0</v>
      </c>
      <c r="L150" s="12">
        <f t="shared" si="7"/>
        <v>12.32361242</v>
      </c>
      <c r="M150" s="13">
        <v>136.0</v>
      </c>
      <c r="N150" s="13">
        <v>906.0</v>
      </c>
      <c r="O150" s="14">
        <f t="shared" si="8"/>
        <v>15.01103753</v>
      </c>
      <c r="P150" s="12">
        <f t="shared" si="9"/>
        <v>0.04147105869</v>
      </c>
      <c r="Q150" s="12">
        <f t="shared" si="10"/>
        <v>0.2077743378</v>
      </c>
      <c r="S150" s="28"/>
      <c r="T150" s="28"/>
      <c r="U150" s="27"/>
      <c r="V150" s="27"/>
      <c r="X150" s="27"/>
      <c r="Y150" s="27"/>
    </row>
    <row r="151" ht="15.75" customHeight="1">
      <c r="A151" s="9">
        <v>31204.0</v>
      </c>
      <c r="B151" s="10" t="s">
        <v>26</v>
      </c>
      <c r="C151" s="10" t="s">
        <v>183</v>
      </c>
      <c r="D151" s="11">
        <v>12.0</v>
      </c>
      <c r="E151" s="11">
        <v>2723.0</v>
      </c>
      <c r="F151" s="12">
        <f t="shared" si="5"/>
        <v>0.440690415</v>
      </c>
      <c r="G151" s="13">
        <v>87.0</v>
      </c>
      <c r="H151" s="13">
        <v>2981.0</v>
      </c>
      <c r="I151" s="12">
        <f t="shared" si="6"/>
        <v>2.91848373</v>
      </c>
      <c r="J151" s="11">
        <v>423.0</v>
      </c>
      <c r="K151" s="11">
        <v>2286.0</v>
      </c>
      <c r="L151" s="12">
        <f t="shared" si="7"/>
        <v>18.50393701</v>
      </c>
      <c r="M151" s="13">
        <v>365.0</v>
      </c>
      <c r="N151" s="13">
        <v>2580.0</v>
      </c>
      <c r="O151" s="14">
        <f t="shared" si="8"/>
        <v>14.14728682</v>
      </c>
      <c r="P151" s="12">
        <f t="shared" si="9"/>
        <v>0.02381603519</v>
      </c>
      <c r="Q151" s="12">
        <f t="shared" si="10"/>
        <v>0.2062928226</v>
      </c>
      <c r="S151" s="28"/>
      <c r="T151" s="28"/>
      <c r="U151" s="27"/>
      <c r="V151" s="27"/>
      <c r="X151" s="27"/>
      <c r="Y151" s="27"/>
    </row>
    <row r="152" ht="15.75" customHeight="1">
      <c r="A152" s="9">
        <v>31205.0</v>
      </c>
      <c r="B152" s="10" t="s">
        <v>26</v>
      </c>
      <c r="C152" s="10" t="s">
        <v>184</v>
      </c>
      <c r="D152" s="11">
        <v>45.0</v>
      </c>
      <c r="E152" s="11">
        <v>6023.0</v>
      </c>
      <c r="F152" s="12">
        <f t="shared" si="5"/>
        <v>0.7471359787</v>
      </c>
      <c r="G152" s="13">
        <v>173.0</v>
      </c>
      <c r="H152" s="13">
        <v>6533.0</v>
      </c>
      <c r="I152" s="12">
        <f t="shared" si="6"/>
        <v>2.648094291</v>
      </c>
      <c r="J152" s="11">
        <v>1003.0</v>
      </c>
      <c r="K152" s="11">
        <v>4960.0</v>
      </c>
      <c r="L152" s="12">
        <f t="shared" si="7"/>
        <v>20.22177419</v>
      </c>
      <c r="M152" s="13">
        <v>917.0</v>
      </c>
      <c r="N152" s="13">
        <v>6113.0</v>
      </c>
      <c r="O152" s="14">
        <f t="shared" si="8"/>
        <v>15.00081793</v>
      </c>
      <c r="P152" s="12">
        <f t="shared" si="9"/>
        <v>0.03694710324</v>
      </c>
      <c r="Q152" s="12">
        <f t="shared" si="10"/>
        <v>0.1765299934</v>
      </c>
      <c r="S152" s="28"/>
      <c r="T152" s="28"/>
      <c r="U152" s="27"/>
      <c r="V152" s="27"/>
      <c r="X152" s="27"/>
      <c r="Y152" s="27"/>
    </row>
    <row r="153" ht="15.75" customHeight="1">
      <c r="A153" s="9">
        <v>31206.0</v>
      </c>
      <c r="B153" s="10" t="s">
        <v>26</v>
      </c>
      <c r="C153" s="10" t="s">
        <v>185</v>
      </c>
      <c r="D153" s="11">
        <v>35.0</v>
      </c>
      <c r="E153" s="11">
        <v>4181.0</v>
      </c>
      <c r="F153" s="12">
        <f t="shared" si="5"/>
        <v>0.8371203061</v>
      </c>
      <c r="G153" s="13">
        <v>121.0</v>
      </c>
      <c r="H153" s="13">
        <v>4607.0</v>
      </c>
      <c r="I153" s="12">
        <f t="shared" si="6"/>
        <v>2.626438029</v>
      </c>
      <c r="J153" s="11">
        <v>774.0</v>
      </c>
      <c r="K153" s="11">
        <v>3433.0</v>
      </c>
      <c r="L153" s="12">
        <f t="shared" si="7"/>
        <v>22.54587824</v>
      </c>
      <c r="M153" s="13">
        <v>742.0</v>
      </c>
      <c r="N153" s="13">
        <v>4387.0</v>
      </c>
      <c r="O153" s="14">
        <f t="shared" si="8"/>
        <v>16.91360839</v>
      </c>
      <c r="P153" s="12">
        <f t="shared" si="9"/>
        <v>0.03712963839</v>
      </c>
      <c r="Q153" s="12">
        <f t="shared" si="10"/>
        <v>0.1552854937</v>
      </c>
      <c r="S153" s="28"/>
      <c r="T153" s="28"/>
      <c r="U153" s="27"/>
      <c r="V153" s="27"/>
      <c r="X153" s="27"/>
      <c r="Y153" s="27"/>
    </row>
    <row r="154" ht="15.75" customHeight="1">
      <c r="A154" s="9">
        <v>31301.0</v>
      </c>
      <c r="B154" s="10" t="s">
        <v>26</v>
      </c>
      <c r="C154" s="10" t="s">
        <v>186</v>
      </c>
      <c r="D154" s="11">
        <v>13.0</v>
      </c>
      <c r="E154" s="11">
        <v>2117.0</v>
      </c>
      <c r="F154" s="12">
        <f t="shared" si="5"/>
        <v>0.6140765234</v>
      </c>
      <c r="G154" s="13">
        <v>41.0</v>
      </c>
      <c r="H154" s="13">
        <v>1658.0</v>
      </c>
      <c r="I154" s="12">
        <f t="shared" si="6"/>
        <v>2.472858866</v>
      </c>
      <c r="J154" s="11">
        <v>417.0</v>
      </c>
      <c r="K154" s="11">
        <v>1930.0</v>
      </c>
      <c r="L154" s="12">
        <f t="shared" si="7"/>
        <v>21.60621762</v>
      </c>
      <c r="M154" s="13">
        <v>248.0</v>
      </c>
      <c r="N154" s="13">
        <v>1702.0</v>
      </c>
      <c r="O154" s="14">
        <f t="shared" si="8"/>
        <v>14.57109283</v>
      </c>
      <c r="P154" s="12">
        <f t="shared" si="9"/>
        <v>0.02842128753</v>
      </c>
      <c r="Q154" s="12">
        <f t="shared" si="10"/>
        <v>0.1697099109</v>
      </c>
      <c r="S154" s="28"/>
      <c r="T154" s="28"/>
      <c r="U154" s="27"/>
      <c r="V154" s="27"/>
      <c r="X154" s="27"/>
      <c r="Y154" s="27"/>
    </row>
    <row r="155" ht="15.75" customHeight="1">
      <c r="A155" s="9">
        <v>31302.0</v>
      </c>
      <c r="B155" s="10" t="s">
        <v>26</v>
      </c>
      <c r="C155" s="10" t="s">
        <v>187</v>
      </c>
      <c r="D155" s="11">
        <v>7.0</v>
      </c>
      <c r="E155" s="11">
        <v>538.0</v>
      </c>
      <c r="F155" s="12">
        <f t="shared" si="5"/>
        <v>1.301115242</v>
      </c>
      <c r="G155" s="13">
        <v>58.0</v>
      </c>
      <c r="H155" s="13">
        <v>504.0</v>
      </c>
      <c r="I155" s="12">
        <f t="shared" si="6"/>
        <v>11.50793651</v>
      </c>
      <c r="J155" s="11">
        <v>101.0</v>
      </c>
      <c r="K155" s="11">
        <v>501.0</v>
      </c>
      <c r="L155" s="12">
        <f t="shared" si="7"/>
        <v>20.15968064</v>
      </c>
      <c r="M155" s="13">
        <v>142.0</v>
      </c>
      <c r="N155" s="13">
        <v>462.0</v>
      </c>
      <c r="O155" s="14">
        <f t="shared" si="8"/>
        <v>30.73593074</v>
      </c>
      <c r="P155" s="12">
        <f t="shared" si="9"/>
        <v>0.06454046892</v>
      </c>
      <c r="Q155" s="12">
        <f t="shared" si="10"/>
        <v>0.3744131455</v>
      </c>
      <c r="S155" s="28"/>
      <c r="T155" s="28"/>
      <c r="U155" s="27"/>
      <c r="V155" s="27"/>
      <c r="X155" s="27"/>
      <c r="Y155" s="27"/>
    </row>
    <row r="156" ht="15.75" customHeight="1">
      <c r="A156" s="9">
        <v>31303.0</v>
      </c>
      <c r="B156" s="10" t="s">
        <v>26</v>
      </c>
      <c r="C156" s="10" t="s">
        <v>188</v>
      </c>
      <c r="D156" s="11">
        <v>3.0</v>
      </c>
      <c r="E156" s="11">
        <v>337.0</v>
      </c>
      <c r="F156" s="12">
        <f t="shared" si="5"/>
        <v>0.8902077151</v>
      </c>
      <c r="G156" s="13">
        <v>16.0</v>
      </c>
      <c r="H156" s="13">
        <v>374.0</v>
      </c>
      <c r="I156" s="12">
        <f t="shared" si="6"/>
        <v>4.278074866</v>
      </c>
      <c r="J156" s="11">
        <v>47.0</v>
      </c>
      <c r="K156" s="11">
        <v>312.0</v>
      </c>
      <c r="L156" s="12">
        <f t="shared" si="7"/>
        <v>15.06410256</v>
      </c>
      <c r="M156" s="13">
        <v>47.0</v>
      </c>
      <c r="N156" s="13">
        <v>306.0</v>
      </c>
      <c r="O156" s="14">
        <f t="shared" si="8"/>
        <v>15.35947712</v>
      </c>
      <c r="P156" s="12">
        <f t="shared" si="9"/>
        <v>0.05909463981</v>
      </c>
      <c r="Q156" s="12">
        <f t="shared" si="10"/>
        <v>0.2785299807</v>
      </c>
      <c r="S156" s="28"/>
      <c r="T156" s="28"/>
      <c r="U156" s="27"/>
      <c r="V156" s="27"/>
      <c r="X156" s="27"/>
      <c r="Y156" s="27"/>
    </row>
    <row r="157" ht="15.75" customHeight="1">
      <c r="A157" s="9">
        <v>31304.0</v>
      </c>
      <c r="B157" s="10" t="s">
        <v>26</v>
      </c>
      <c r="C157" s="10" t="s">
        <v>189</v>
      </c>
      <c r="D157" s="11">
        <v>5.0</v>
      </c>
      <c r="E157" s="11">
        <v>891.0</v>
      </c>
      <c r="F157" s="12">
        <f t="shared" si="5"/>
        <v>0.5611672278</v>
      </c>
      <c r="G157" s="13">
        <v>75.0</v>
      </c>
      <c r="H157" s="13">
        <v>836.0</v>
      </c>
      <c r="I157" s="12">
        <f t="shared" si="6"/>
        <v>8.971291866</v>
      </c>
      <c r="J157" s="11">
        <v>127.0</v>
      </c>
      <c r="K157" s="11">
        <v>741.0</v>
      </c>
      <c r="L157" s="12">
        <f t="shared" si="7"/>
        <v>17.13900135</v>
      </c>
      <c r="M157" s="13">
        <v>228.0</v>
      </c>
      <c r="N157" s="13">
        <v>753.0</v>
      </c>
      <c r="O157" s="14">
        <f t="shared" si="8"/>
        <v>30.27888446</v>
      </c>
      <c r="P157" s="12">
        <f t="shared" si="9"/>
        <v>0.03274211936</v>
      </c>
      <c r="Q157" s="12">
        <f t="shared" si="10"/>
        <v>0.2962887182</v>
      </c>
      <c r="S157" s="28"/>
      <c r="T157" s="28"/>
      <c r="U157" s="27"/>
      <c r="V157" s="27"/>
      <c r="X157" s="27"/>
      <c r="Y157" s="27"/>
    </row>
    <row r="158" ht="15.75" customHeight="1">
      <c r="A158" s="9">
        <v>31401.0</v>
      </c>
      <c r="B158" s="10" t="s">
        <v>26</v>
      </c>
      <c r="C158" s="10" t="s">
        <v>190</v>
      </c>
      <c r="D158" s="11">
        <v>82.0</v>
      </c>
      <c r="E158" s="11">
        <v>2915.0</v>
      </c>
      <c r="F158" s="12">
        <f t="shared" si="5"/>
        <v>2.813036021</v>
      </c>
      <c r="G158" s="13">
        <v>81.0</v>
      </c>
      <c r="H158" s="13">
        <v>2736.0</v>
      </c>
      <c r="I158" s="12">
        <f t="shared" si="6"/>
        <v>2.960526316</v>
      </c>
      <c r="J158" s="11">
        <v>411.0</v>
      </c>
      <c r="K158" s="11">
        <v>3086.0</v>
      </c>
      <c r="L158" s="12">
        <f t="shared" si="7"/>
        <v>13.31821128</v>
      </c>
      <c r="M158" s="13">
        <v>274.0</v>
      </c>
      <c r="N158" s="13">
        <v>2981.0</v>
      </c>
      <c r="O158" s="14">
        <f t="shared" si="8"/>
        <v>9.191546461</v>
      </c>
      <c r="P158" s="12">
        <f t="shared" si="9"/>
        <v>0.2112172545</v>
      </c>
      <c r="Q158" s="12">
        <f t="shared" si="10"/>
        <v>0.3220922973</v>
      </c>
      <c r="S158" s="28"/>
      <c r="T158" s="28"/>
      <c r="U158" s="27"/>
      <c r="V158" s="27"/>
      <c r="X158" s="27"/>
      <c r="Y158" s="27"/>
    </row>
    <row r="159" ht="15.75" customHeight="1">
      <c r="A159" s="9">
        <v>31402.0</v>
      </c>
      <c r="B159" s="10" t="s">
        <v>26</v>
      </c>
      <c r="C159" s="10" t="s">
        <v>191</v>
      </c>
      <c r="D159" s="11">
        <v>20.0</v>
      </c>
      <c r="E159" s="11">
        <v>776.0</v>
      </c>
      <c r="F159" s="12">
        <f t="shared" si="5"/>
        <v>2.577319588</v>
      </c>
      <c r="G159" s="13">
        <v>44.0</v>
      </c>
      <c r="H159" s="13">
        <v>721.0</v>
      </c>
      <c r="I159" s="12">
        <f t="shared" si="6"/>
        <v>6.102635229</v>
      </c>
      <c r="J159" s="11">
        <v>145.0</v>
      </c>
      <c r="K159" s="11">
        <v>713.0</v>
      </c>
      <c r="L159" s="12">
        <f t="shared" si="7"/>
        <v>20.33660589</v>
      </c>
      <c r="M159" s="13">
        <v>83.0</v>
      </c>
      <c r="N159" s="13">
        <v>728.0</v>
      </c>
      <c r="O159" s="14">
        <f t="shared" si="8"/>
        <v>11.4010989</v>
      </c>
      <c r="P159" s="12">
        <f t="shared" si="9"/>
        <v>0.1267330252</v>
      </c>
      <c r="Q159" s="12">
        <f t="shared" si="10"/>
        <v>0.5352672827</v>
      </c>
      <c r="S159" s="28"/>
      <c r="T159" s="28"/>
      <c r="U159" s="27"/>
      <c r="V159" s="27"/>
      <c r="X159" s="27"/>
      <c r="Y159" s="27"/>
    </row>
    <row r="160" ht="15.75" customHeight="1">
      <c r="A160" s="9">
        <v>31403.0</v>
      </c>
      <c r="B160" s="10" t="s">
        <v>26</v>
      </c>
      <c r="C160" s="10" t="s">
        <v>192</v>
      </c>
      <c r="D160" s="11">
        <v>42.0</v>
      </c>
      <c r="E160" s="11">
        <v>1476.0</v>
      </c>
      <c r="F160" s="12">
        <f t="shared" si="5"/>
        <v>2.845528455</v>
      </c>
      <c r="G160" s="13">
        <v>41.0</v>
      </c>
      <c r="H160" s="13">
        <v>1061.0</v>
      </c>
      <c r="I160" s="12">
        <f t="shared" si="6"/>
        <v>3.864278982</v>
      </c>
      <c r="J160" s="11">
        <v>205.0</v>
      </c>
      <c r="K160" s="11">
        <v>1367.0</v>
      </c>
      <c r="L160" s="12">
        <f t="shared" si="7"/>
        <v>14.99634236</v>
      </c>
      <c r="M160" s="13">
        <v>120.0</v>
      </c>
      <c r="N160" s="13">
        <v>1075.0</v>
      </c>
      <c r="O160" s="14">
        <f t="shared" si="8"/>
        <v>11.1627907</v>
      </c>
      <c r="P160" s="12">
        <f t="shared" si="9"/>
        <v>0.1897481658</v>
      </c>
      <c r="Q160" s="12">
        <f t="shared" si="10"/>
        <v>0.3461749921</v>
      </c>
      <c r="S160" s="28"/>
      <c r="T160" s="28"/>
      <c r="U160" s="27"/>
      <c r="V160" s="27"/>
      <c r="X160" s="27"/>
      <c r="Y160" s="27"/>
    </row>
    <row r="161" ht="15.75" customHeight="1">
      <c r="A161" s="9">
        <v>31404.0</v>
      </c>
      <c r="B161" s="10" t="s">
        <v>26</v>
      </c>
      <c r="C161" s="10" t="s">
        <v>193</v>
      </c>
      <c r="D161" s="11">
        <v>2.0</v>
      </c>
      <c r="E161" s="11">
        <v>121.0</v>
      </c>
      <c r="F161" s="12">
        <f t="shared" si="5"/>
        <v>1.652892562</v>
      </c>
      <c r="G161" s="13">
        <v>5.0</v>
      </c>
      <c r="H161" s="13">
        <v>92.0</v>
      </c>
      <c r="I161" s="12">
        <f t="shared" si="6"/>
        <v>5.434782609</v>
      </c>
      <c r="J161" s="11">
        <v>19.0</v>
      </c>
      <c r="K161" s="11">
        <v>132.0</v>
      </c>
      <c r="L161" s="12">
        <f t="shared" si="7"/>
        <v>14.39393939</v>
      </c>
      <c r="M161" s="13">
        <v>7.0</v>
      </c>
      <c r="N161" s="13">
        <v>99.0</v>
      </c>
      <c r="O161" s="14">
        <f t="shared" si="8"/>
        <v>7.070707071</v>
      </c>
      <c r="P161" s="12">
        <f t="shared" si="9"/>
        <v>0.1148325359</v>
      </c>
      <c r="Q161" s="12">
        <f t="shared" si="10"/>
        <v>0.7686335404</v>
      </c>
      <c r="S161" s="28"/>
      <c r="T161" s="28"/>
      <c r="U161" s="27"/>
      <c r="V161" s="27"/>
      <c r="X161" s="27"/>
      <c r="Y161" s="27"/>
    </row>
    <row r="162" ht="15.75" customHeight="1">
      <c r="A162" s="9">
        <v>31405.0</v>
      </c>
      <c r="B162" s="10" t="s">
        <v>26</v>
      </c>
      <c r="C162" s="10" t="s">
        <v>194</v>
      </c>
      <c r="D162" s="11">
        <v>2.0</v>
      </c>
      <c r="E162" s="11">
        <v>255.0</v>
      </c>
      <c r="F162" s="12">
        <f t="shared" si="5"/>
        <v>0.7843137255</v>
      </c>
      <c r="G162" s="13">
        <v>13.0</v>
      </c>
      <c r="H162" s="13">
        <v>324.0</v>
      </c>
      <c r="I162" s="12">
        <f t="shared" si="6"/>
        <v>4.012345679</v>
      </c>
      <c r="J162" s="11">
        <v>25.0</v>
      </c>
      <c r="K162" s="11">
        <v>247.0</v>
      </c>
      <c r="L162" s="12">
        <f t="shared" si="7"/>
        <v>10.12145749</v>
      </c>
      <c r="M162" s="13">
        <v>23.0</v>
      </c>
      <c r="N162" s="13">
        <v>307.0</v>
      </c>
      <c r="O162" s="14">
        <f t="shared" si="8"/>
        <v>7.491856678</v>
      </c>
      <c r="P162" s="12">
        <f t="shared" si="9"/>
        <v>0.07749019608</v>
      </c>
      <c r="Q162" s="12">
        <f t="shared" si="10"/>
        <v>0.5355609232</v>
      </c>
      <c r="S162" s="28"/>
      <c r="T162" s="28"/>
      <c r="U162" s="27"/>
      <c r="V162" s="27"/>
      <c r="X162" s="27"/>
      <c r="Y162" s="27"/>
    </row>
    <row r="163" ht="15.75" customHeight="1">
      <c r="A163" s="9">
        <v>31501.0</v>
      </c>
      <c r="B163" s="10" t="s">
        <v>26</v>
      </c>
      <c r="C163" s="10" t="s">
        <v>195</v>
      </c>
      <c r="D163" s="11">
        <v>3.0</v>
      </c>
      <c r="E163" s="11">
        <v>754.0</v>
      </c>
      <c r="F163" s="12">
        <f t="shared" si="5"/>
        <v>0.3978779841</v>
      </c>
      <c r="G163" s="13">
        <v>68.0</v>
      </c>
      <c r="H163" s="13">
        <v>755.0</v>
      </c>
      <c r="I163" s="12">
        <f t="shared" si="6"/>
        <v>9.006622517</v>
      </c>
      <c r="J163" s="11">
        <v>64.0</v>
      </c>
      <c r="K163" s="11">
        <v>683.0</v>
      </c>
      <c r="L163" s="12">
        <f t="shared" si="7"/>
        <v>9.370424597</v>
      </c>
      <c r="M163" s="13">
        <v>151.0</v>
      </c>
      <c r="N163" s="13">
        <v>587.0</v>
      </c>
      <c r="O163" s="14">
        <f t="shared" si="8"/>
        <v>25.72402044</v>
      </c>
      <c r="P163" s="12">
        <f t="shared" si="9"/>
        <v>0.04246104111</v>
      </c>
      <c r="Q163" s="12">
        <f t="shared" si="10"/>
        <v>0.3501249945</v>
      </c>
      <c r="S163" s="28"/>
      <c r="T163" s="28"/>
      <c r="U163" s="27"/>
      <c r="V163" s="27"/>
      <c r="X163" s="27"/>
      <c r="Y163" s="27"/>
    </row>
    <row r="164" ht="15.75" customHeight="1">
      <c r="A164" s="9">
        <v>31601.0</v>
      </c>
      <c r="B164" s="10" t="s">
        <v>26</v>
      </c>
      <c r="C164" s="10" t="s">
        <v>196</v>
      </c>
      <c r="D164" s="11">
        <v>12.0</v>
      </c>
      <c r="E164" s="11">
        <v>2203.0</v>
      </c>
      <c r="F164" s="12">
        <f t="shared" si="5"/>
        <v>0.5447117567</v>
      </c>
      <c r="G164" s="13">
        <v>47.0</v>
      </c>
      <c r="H164" s="13">
        <v>1577.0</v>
      </c>
      <c r="I164" s="12">
        <f t="shared" si="6"/>
        <v>2.980342422</v>
      </c>
      <c r="J164" s="11">
        <v>276.0</v>
      </c>
      <c r="K164" s="11">
        <v>2064.0</v>
      </c>
      <c r="L164" s="12">
        <f t="shared" si="7"/>
        <v>13.37209302</v>
      </c>
      <c r="M164" s="13">
        <v>184.0</v>
      </c>
      <c r="N164" s="13">
        <v>1606.0</v>
      </c>
      <c r="O164" s="14">
        <f t="shared" si="8"/>
        <v>11.45703611</v>
      </c>
      <c r="P164" s="12">
        <f t="shared" si="9"/>
        <v>0.04073496615</v>
      </c>
      <c r="Q164" s="12">
        <f t="shared" si="10"/>
        <v>0.2601320614</v>
      </c>
      <c r="S164" s="28"/>
      <c r="T164" s="28"/>
      <c r="U164" s="27"/>
      <c r="V164" s="27"/>
      <c r="X164" s="27"/>
      <c r="Y164" s="27"/>
    </row>
    <row r="165" ht="15.75" customHeight="1">
      <c r="A165" s="9">
        <v>31602.0</v>
      </c>
      <c r="B165" s="10" t="s">
        <v>26</v>
      </c>
      <c r="C165" s="10" t="s">
        <v>197</v>
      </c>
      <c r="D165" s="11">
        <v>13.0</v>
      </c>
      <c r="E165" s="11">
        <v>2567.0</v>
      </c>
      <c r="F165" s="12">
        <f t="shared" si="5"/>
        <v>0.5064277367</v>
      </c>
      <c r="G165" s="13">
        <v>114.0</v>
      </c>
      <c r="H165" s="13">
        <v>3068.0</v>
      </c>
      <c r="I165" s="12">
        <f t="shared" si="6"/>
        <v>3.71577575</v>
      </c>
      <c r="J165" s="11">
        <v>479.0</v>
      </c>
      <c r="K165" s="11">
        <v>2193.0</v>
      </c>
      <c r="L165" s="12">
        <f t="shared" si="7"/>
        <v>21.84222526</v>
      </c>
      <c r="M165" s="13">
        <v>377.0</v>
      </c>
      <c r="N165" s="13">
        <v>2620.0</v>
      </c>
      <c r="O165" s="14">
        <f t="shared" si="8"/>
        <v>14.38931298</v>
      </c>
      <c r="P165" s="12">
        <f t="shared" si="9"/>
        <v>0.0231857208</v>
      </c>
      <c r="Q165" s="12">
        <f t="shared" si="10"/>
        <v>0.2582316303</v>
      </c>
      <c r="S165" s="28"/>
      <c r="T165" s="28"/>
      <c r="U165" s="27"/>
      <c r="V165" s="27"/>
      <c r="X165" s="27"/>
      <c r="Y165" s="27"/>
    </row>
    <row r="166" ht="15.75" customHeight="1">
      <c r="A166" s="9">
        <v>40101.0</v>
      </c>
      <c r="B166" s="10" t="s">
        <v>28</v>
      </c>
      <c r="C166" s="10" t="s">
        <v>28</v>
      </c>
      <c r="D166" s="11">
        <v>489.0</v>
      </c>
      <c r="E166" s="11">
        <v>28134.0</v>
      </c>
      <c r="F166" s="12">
        <f t="shared" si="5"/>
        <v>1.738110471</v>
      </c>
      <c r="G166" s="13">
        <v>621.0</v>
      </c>
      <c r="H166" s="13">
        <v>28020.0</v>
      </c>
      <c r="I166" s="12">
        <f t="shared" si="6"/>
        <v>2.21627409</v>
      </c>
      <c r="J166" s="11">
        <v>4046.0</v>
      </c>
      <c r="K166" s="11">
        <v>28940.0</v>
      </c>
      <c r="L166" s="12">
        <f t="shared" si="7"/>
        <v>13.98064962</v>
      </c>
      <c r="M166" s="13">
        <v>2354.0</v>
      </c>
      <c r="N166" s="13">
        <v>28474.0</v>
      </c>
      <c r="O166" s="14">
        <f t="shared" si="8"/>
        <v>8.267191122</v>
      </c>
      <c r="P166" s="12">
        <f t="shared" si="9"/>
        <v>0.1243225829</v>
      </c>
      <c r="Q166" s="12">
        <f t="shared" si="10"/>
        <v>0.2680806646</v>
      </c>
      <c r="S166" s="28"/>
      <c r="T166" s="28"/>
      <c r="U166" s="27"/>
      <c r="V166" s="27"/>
      <c r="X166" s="27"/>
      <c r="Y166" s="27"/>
    </row>
    <row r="167" ht="15.75" customHeight="1">
      <c r="A167" s="9">
        <v>40102.0</v>
      </c>
      <c r="B167" s="10" t="s">
        <v>28</v>
      </c>
      <c r="C167" s="10" t="s">
        <v>198</v>
      </c>
      <c r="D167" s="11">
        <v>18.0</v>
      </c>
      <c r="E167" s="11">
        <v>2155.0</v>
      </c>
      <c r="F167" s="12">
        <f t="shared" si="5"/>
        <v>0.8352668213</v>
      </c>
      <c r="G167" s="13">
        <v>68.0</v>
      </c>
      <c r="H167" s="13">
        <v>2132.0</v>
      </c>
      <c r="I167" s="12">
        <f t="shared" si="6"/>
        <v>3.189493433</v>
      </c>
      <c r="J167" s="11">
        <v>315.0</v>
      </c>
      <c r="K167" s="11">
        <v>2214.0</v>
      </c>
      <c r="L167" s="12">
        <f t="shared" si="7"/>
        <v>14.22764228</v>
      </c>
      <c r="M167" s="13">
        <v>252.0</v>
      </c>
      <c r="N167" s="13">
        <v>2058.0</v>
      </c>
      <c r="O167" s="14">
        <f t="shared" si="8"/>
        <v>12.24489796</v>
      </c>
      <c r="P167" s="12">
        <f t="shared" si="9"/>
        <v>0.05870732516</v>
      </c>
      <c r="Q167" s="12">
        <f t="shared" si="10"/>
        <v>0.2604752971</v>
      </c>
      <c r="S167" s="28"/>
      <c r="T167" s="28"/>
      <c r="U167" s="27"/>
      <c r="V167" s="27"/>
      <c r="X167" s="27"/>
      <c r="Y167" s="27"/>
    </row>
    <row r="168" ht="15.75" customHeight="1">
      <c r="A168" s="9">
        <v>40103.0</v>
      </c>
      <c r="B168" s="10" t="s">
        <v>28</v>
      </c>
      <c r="C168" s="10" t="s">
        <v>199</v>
      </c>
      <c r="D168" s="11">
        <v>5.0</v>
      </c>
      <c r="E168" s="11">
        <v>772.0</v>
      </c>
      <c r="F168" s="12">
        <f t="shared" si="5"/>
        <v>0.6476683938</v>
      </c>
      <c r="G168" s="13">
        <v>36.0</v>
      </c>
      <c r="H168" s="13">
        <v>807.0</v>
      </c>
      <c r="I168" s="12">
        <f t="shared" si="6"/>
        <v>4.460966543</v>
      </c>
      <c r="J168" s="11">
        <v>64.0</v>
      </c>
      <c r="K168" s="11">
        <v>803.0</v>
      </c>
      <c r="L168" s="12">
        <f t="shared" si="7"/>
        <v>7.97011208</v>
      </c>
      <c r="M168" s="13">
        <v>58.0</v>
      </c>
      <c r="N168" s="13">
        <v>697.0</v>
      </c>
      <c r="O168" s="14">
        <f t="shared" si="8"/>
        <v>8.321377331</v>
      </c>
      <c r="P168" s="12">
        <f t="shared" si="9"/>
        <v>0.08126214378</v>
      </c>
      <c r="Q168" s="12">
        <f t="shared" si="10"/>
        <v>0.5360851173</v>
      </c>
      <c r="S168" s="28"/>
      <c r="T168" s="28"/>
      <c r="U168" s="27"/>
      <c r="V168" s="27"/>
      <c r="X168" s="27"/>
      <c r="Y168" s="27"/>
    </row>
    <row r="169" ht="15.75" customHeight="1">
      <c r="A169" s="9">
        <v>40104.0</v>
      </c>
      <c r="B169" s="10" t="s">
        <v>28</v>
      </c>
      <c r="C169" s="10" t="s">
        <v>200</v>
      </c>
      <c r="D169" s="11">
        <v>4.0</v>
      </c>
      <c r="E169" s="11">
        <v>1239.0</v>
      </c>
      <c r="F169" s="12">
        <f t="shared" si="5"/>
        <v>0.3228410008</v>
      </c>
      <c r="G169" s="13">
        <v>44.0</v>
      </c>
      <c r="H169" s="13">
        <v>1231.0</v>
      </c>
      <c r="I169" s="12">
        <f t="shared" si="6"/>
        <v>3.574329813</v>
      </c>
      <c r="J169" s="11">
        <v>144.0</v>
      </c>
      <c r="K169" s="11">
        <v>1135.0</v>
      </c>
      <c r="L169" s="12">
        <f t="shared" si="7"/>
        <v>12.68722467</v>
      </c>
      <c r="M169" s="13">
        <v>146.0</v>
      </c>
      <c r="N169" s="13">
        <v>1247.0</v>
      </c>
      <c r="O169" s="14">
        <f t="shared" si="8"/>
        <v>11.70809944</v>
      </c>
      <c r="P169" s="12">
        <f t="shared" si="9"/>
        <v>0.02544614833</v>
      </c>
      <c r="Q169" s="12">
        <f t="shared" si="10"/>
        <v>0.3052869368</v>
      </c>
      <c r="S169" s="28"/>
      <c r="T169" s="28"/>
      <c r="U169" s="27"/>
      <c r="V169" s="27"/>
      <c r="X169" s="27"/>
      <c r="Y169" s="27"/>
    </row>
    <row r="170" ht="15.75" customHeight="1">
      <c r="A170" s="9">
        <v>40201.0</v>
      </c>
      <c r="B170" s="10" t="s">
        <v>28</v>
      </c>
      <c r="C170" s="10" t="s">
        <v>201</v>
      </c>
      <c r="D170" s="11">
        <v>27.0</v>
      </c>
      <c r="E170" s="11">
        <v>3015.0</v>
      </c>
      <c r="F170" s="12">
        <f t="shared" si="5"/>
        <v>0.8955223881</v>
      </c>
      <c r="G170" s="13">
        <v>123.0</v>
      </c>
      <c r="H170" s="13">
        <v>3408.0</v>
      </c>
      <c r="I170" s="12">
        <f t="shared" si="6"/>
        <v>3.60915493</v>
      </c>
      <c r="J170" s="11">
        <v>373.0</v>
      </c>
      <c r="K170" s="11">
        <v>2530.0</v>
      </c>
      <c r="L170" s="12">
        <f t="shared" si="7"/>
        <v>14.743083</v>
      </c>
      <c r="M170" s="13">
        <v>477.0</v>
      </c>
      <c r="N170" s="13">
        <v>3008.0</v>
      </c>
      <c r="O170" s="14">
        <f t="shared" si="8"/>
        <v>15.85771277</v>
      </c>
      <c r="P170" s="12">
        <f t="shared" si="9"/>
        <v>0.06074186707</v>
      </c>
      <c r="Q170" s="12">
        <f t="shared" si="10"/>
        <v>0.2275961851</v>
      </c>
      <c r="S170" s="28"/>
      <c r="T170" s="28"/>
      <c r="U170" s="27"/>
      <c r="V170" s="27"/>
      <c r="X170" s="27"/>
      <c r="Y170" s="27"/>
    </row>
    <row r="171" ht="15.75" customHeight="1">
      <c r="A171" s="9">
        <v>40202.0</v>
      </c>
      <c r="B171" s="10" t="s">
        <v>28</v>
      </c>
      <c r="C171" s="10" t="s">
        <v>202</v>
      </c>
      <c r="D171" s="11">
        <v>1.0</v>
      </c>
      <c r="E171" s="11">
        <v>351.0</v>
      </c>
      <c r="F171" s="12">
        <f t="shared" si="5"/>
        <v>0.2849002849</v>
      </c>
      <c r="G171" s="13">
        <v>16.0</v>
      </c>
      <c r="H171" s="13">
        <v>430.0</v>
      </c>
      <c r="I171" s="12">
        <f t="shared" si="6"/>
        <v>3.720930233</v>
      </c>
      <c r="J171" s="11">
        <v>24.0</v>
      </c>
      <c r="K171" s="11">
        <v>266.0</v>
      </c>
      <c r="L171" s="12">
        <f t="shared" si="7"/>
        <v>9.022556391</v>
      </c>
      <c r="M171" s="13">
        <v>49.0</v>
      </c>
      <c r="N171" s="13">
        <v>368.0</v>
      </c>
      <c r="O171" s="14">
        <f t="shared" si="8"/>
        <v>13.31521739</v>
      </c>
      <c r="P171" s="12">
        <f t="shared" si="9"/>
        <v>0.03157644824</v>
      </c>
      <c r="Q171" s="12">
        <f t="shared" si="10"/>
        <v>0.2794494542</v>
      </c>
      <c r="S171" s="28"/>
      <c r="T171" s="28"/>
      <c r="U171" s="27"/>
      <c r="V171" s="27"/>
      <c r="X171" s="27"/>
      <c r="Y171" s="27"/>
    </row>
    <row r="172" ht="15.75" customHeight="1">
      <c r="A172" s="9">
        <v>40301.0</v>
      </c>
      <c r="B172" s="10" t="s">
        <v>28</v>
      </c>
      <c r="C172" s="10" t="s">
        <v>203</v>
      </c>
      <c r="D172" s="11">
        <v>5.0</v>
      </c>
      <c r="E172" s="11">
        <v>824.0</v>
      </c>
      <c r="F172" s="12">
        <f t="shared" si="5"/>
        <v>0.6067961165</v>
      </c>
      <c r="G172" s="13">
        <v>70.0</v>
      </c>
      <c r="H172" s="13">
        <v>1347.0</v>
      </c>
      <c r="I172" s="12">
        <f t="shared" si="6"/>
        <v>5.196733482</v>
      </c>
      <c r="J172" s="11">
        <v>100.0</v>
      </c>
      <c r="K172" s="11">
        <v>643.0</v>
      </c>
      <c r="L172" s="12">
        <f t="shared" si="7"/>
        <v>15.55209953</v>
      </c>
      <c r="M172" s="13">
        <v>157.0</v>
      </c>
      <c r="N172" s="13">
        <v>1405.0</v>
      </c>
      <c r="O172" s="14">
        <f t="shared" si="8"/>
        <v>11.17437722</v>
      </c>
      <c r="P172" s="12">
        <f t="shared" si="9"/>
        <v>0.03901699029</v>
      </c>
      <c r="Q172" s="12">
        <f t="shared" si="10"/>
        <v>0.4650579963</v>
      </c>
      <c r="S172" s="28"/>
      <c r="T172" s="28"/>
      <c r="U172" s="27"/>
      <c r="V172" s="27"/>
      <c r="X172" s="27"/>
      <c r="Y172" s="27"/>
    </row>
    <row r="173" ht="15.75" customHeight="1">
      <c r="A173" s="9">
        <v>40302.0</v>
      </c>
      <c r="B173" s="10" t="s">
        <v>28</v>
      </c>
      <c r="C173" s="10" t="s">
        <v>204</v>
      </c>
      <c r="D173" s="11">
        <v>1.0</v>
      </c>
      <c r="E173" s="11">
        <v>156.0</v>
      </c>
      <c r="F173" s="12">
        <f t="shared" si="5"/>
        <v>0.641025641</v>
      </c>
      <c r="G173" s="13">
        <v>9.0</v>
      </c>
      <c r="H173" s="13">
        <v>210.0</v>
      </c>
      <c r="I173" s="12">
        <f t="shared" si="6"/>
        <v>4.285714286</v>
      </c>
      <c r="J173" s="11">
        <v>14.0</v>
      </c>
      <c r="K173" s="11">
        <v>152.0</v>
      </c>
      <c r="L173" s="12">
        <f t="shared" si="7"/>
        <v>9.210526316</v>
      </c>
      <c r="M173" s="13">
        <v>19.0</v>
      </c>
      <c r="N173" s="13">
        <v>176.0</v>
      </c>
      <c r="O173" s="14">
        <f t="shared" si="8"/>
        <v>10.79545455</v>
      </c>
      <c r="P173" s="12">
        <f t="shared" si="9"/>
        <v>0.0695970696</v>
      </c>
      <c r="Q173" s="12">
        <f t="shared" si="10"/>
        <v>0.3969924812</v>
      </c>
      <c r="S173" s="28"/>
      <c r="T173" s="28"/>
      <c r="U173" s="27"/>
      <c r="V173" s="27"/>
      <c r="X173" s="27"/>
      <c r="Y173" s="27"/>
    </row>
    <row r="174" ht="15.75" customHeight="1">
      <c r="A174" s="9">
        <v>40401.0</v>
      </c>
      <c r="B174" s="10" t="s">
        <v>28</v>
      </c>
      <c r="C174" s="10" t="s">
        <v>205</v>
      </c>
      <c r="D174" s="11">
        <v>8.0</v>
      </c>
      <c r="E174" s="11">
        <v>569.0</v>
      </c>
      <c r="F174" s="12">
        <f t="shared" si="5"/>
        <v>1.405975395</v>
      </c>
      <c r="G174" s="13">
        <v>40.0</v>
      </c>
      <c r="H174" s="13">
        <v>789.0</v>
      </c>
      <c r="I174" s="12">
        <f t="shared" si="6"/>
        <v>5.069708492</v>
      </c>
      <c r="J174" s="11">
        <v>56.0</v>
      </c>
      <c r="K174" s="11">
        <v>332.0</v>
      </c>
      <c r="L174" s="12">
        <f t="shared" si="7"/>
        <v>16.86746988</v>
      </c>
      <c r="M174" s="13">
        <v>67.0</v>
      </c>
      <c r="N174" s="13">
        <v>463.0</v>
      </c>
      <c r="O174" s="14">
        <f t="shared" si="8"/>
        <v>14.47084233</v>
      </c>
      <c r="P174" s="12">
        <f t="shared" si="9"/>
        <v>0.08335425559</v>
      </c>
      <c r="Q174" s="12">
        <f t="shared" si="10"/>
        <v>0.350339557</v>
      </c>
      <c r="S174" s="28"/>
      <c r="T174" s="28"/>
      <c r="U174" s="27"/>
      <c r="V174" s="27"/>
      <c r="X174" s="27"/>
      <c r="Y174" s="27"/>
    </row>
    <row r="175" ht="15.75" customHeight="1">
      <c r="A175" s="9">
        <v>40402.0</v>
      </c>
      <c r="B175" s="10" t="s">
        <v>28</v>
      </c>
      <c r="C175" s="10" t="s">
        <v>206</v>
      </c>
      <c r="D175" s="11">
        <v>1.0</v>
      </c>
      <c r="E175" s="11">
        <v>398.0</v>
      </c>
      <c r="F175" s="12">
        <f t="shared" si="5"/>
        <v>0.2512562814</v>
      </c>
      <c r="G175" s="13">
        <v>30.0</v>
      </c>
      <c r="H175" s="13">
        <v>461.0</v>
      </c>
      <c r="I175" s="12">
        <f t="shared" si="6"/>
        <v>6.507592191</v>
      </c>
      <c r="J175" s="11">
        <v>48.0</v>
      </c>
      <c r="K175" s="11">
        <v>370.0</v>
      </c>
      <c r="L175" s="12">
        <f t="shared" si="7"/>
        <v>12.97297297</v>
      </c>
      <c r="M175" s="13">
        <v>38.0</v>
      </c>
      <c r="N175" s="13">
        <v>408.0</v>
      </c>
      <c r="O175" s="14">
        <f t="shared" si="8"/>
        <v>9.31372549</v>
      </c>
      <c r="P175" s="12">
        <f t="shared" si="9"/>
        <v>0.01936767169</v>
      </c>
      <c r="Q175" s="12">
        <f t="shared" si="10"/>
        <v>0.6987098984</v>
      </c>
      <c r="S175" s="28"/>
      <c r="T175" s="28"/>
      <c r="U175" s="27"/>
      <c r="V175" s="27"/>
      <c r="X175" s="27"/>
      <c r="Y175" s="27"/>
    </row>
    <row r="176" ht="15.75" customHeight="1">
      <c r="A176" s="9">
        <v>40501.0</v>
      </c>
      <c r="B176" s="10" t="s">
        <v>28</v>
      </c>
      <c r="C176" s="10" t="s">
        <v>207</v>
      </c>
      <c r="D176" s="11">
        <v>1.0</v>
      </c>
      <c r="E176" s="11">
        <v>353.0</v>
      </c>
      <c r="F176" s="12">
        <f t="shared" si="5"/>
        <v>0.283286119</v>
      </c>
      <c r="G176" s="13">
        <v>10.0</v>
      </c>
      <c r="H176" s="13">
        <v>494.0</v>
      </c>
      <c r="I176" s="12">
        <f t="shared" si="6"/>
        <v>2.024291498</v>
      </c>
      <c r="J176" s="11">
        <v>8.0</v>
      </c>
      <c r="K176" s="11">
        <v>68.0</v>
      </c>
      <c r="L176" s="12">
        <f t="shared" si="7"/>
        <v>11.76470588</v>
      </c>
      <c r="M176" s="13">
        <v>33.0</v>
      </c>
      <c r="N176" s="13">
        <v>338.0</v>
      </c>
      <c r="O176" s="14">
        <f t="shared" si="8"/>
        <v>9.763313609</v>
      </c>
      <c r="P176" s="12">
        <f t="shared" si="9"/>
        <v>0.02407932011</v>
      </c>
      <c r="Q176" s="12">
        <f t="shared" si="10"/>
        <v>0.2073365231</v>
      </c>
      <c r="S176" s="28"/>
      <c r="T176" s="28"/>
      <c r="U176" s="27"/>
      <c r="V176" s="27"/>
      <c r="X176" s="27"/>
      <c r="Y176" s="27"/>
    </row>
    <row r="177" ht="15.75" customHeight="1">
      <c r="A177" s="9">
        <v>40502.0</v>
      </c>
      <c r="B177" s="10" t="s">
        <v>28</v>
      </c>
      <c r="C177" s="10" t="s">
        <v>208</v>
      </c>
      <c r="D177" s="11">
        <v>5.0</v>
      </c>
      <c r="E177" s="11">
        <v>404.0</v>
      </c>
      <c r="F177" s="12">
        <f t="shared" si="5"/>
        <v>1.237623762</v>
      </c>
      <c r="G177" s="13">
        <v>23.0</v>
      </c>
      <c r="H177" s="13">
        <v>375.0</v>
      </c>
      <c r="I177" s="12">
        <f t="shared" si="6"/>
        <v>6.133333333</v>
      </c>
      <c r="J177" s="11">
        <v>56.0</v>
      </c>
      <c r="K177" s="11">
        <v>394.0</v>
      </c>
      <c r="L177" s="12">
        <f t="shared" si="7"/>
        <v>14.21319797</v>
      </c>
      <c r="M177" s="13">
        <v>29.0</v>
      </c>
      <c r="N177" s="13">
        <v>312.0</v>
      </c>
      <c r="O177" s="14">
        <f t="shared" si="8"/>
        <v>9.294871795</v>
      </c>
      <c r="P177" s="12">
        <f t="shared" si="9"/>
        <v>0.08707567185</v>
      </c>
      <c r="Q177" s="12">
        <f t="shared" si="10"/>
        <v>0.659862069</v>
      </c>
      <c r="S177" s="28"/>
      <c r="T177" s="28"/>
      <c r="U177" s="27"/>
      <c r="V177" s="27"/>
      <c r="X177" s="27"/>
      <c r="Y177" s="27"/>
    </row>
    <row r="178" ht="15.75" customHeight="1">
      <c r="A178" s="9">
        <v>40503.0</v>
      </c>
      <c r="B178" s="10" t="s">
        <v>28</v>
      </c>
      <c r="C178" s="10" t="s">
        <v>209</v>
      </c>
      <c r="D178" s="11">
        <v>2.0</v>
      </c>
      <c r="E178" s="11">
        <v>169.0</v>
      </c>
      <c r="F178" s="12">
        <f t="shared" si="5"/>
        <v>1.183431953</v>
      </c>
      <c r="G178" s="13">
        <v>11.0</v>
      </c>
      <c r="H178" s="13">
        <v>150.0</v>
      </c>
      <c r="I178" s="12">
        <f t="shared" si="6"/>
        <v>7.333333333</v>
      </c>
      <c r="J178" s="11">
        <v>55.0</v>
      </c>
      <c r="K178" s="11">
        <v>175.0</v>
      </c>
      <c r="L178" s="12">
        <f t="shared" si="7"/>
        <v>31.42857143</v>
      </c>
      <c r="M178" s="13">
        <v>12.0</v>
      </c>
      <c r="N178" s="13">
        <v>141.0</v>
      </c>
      <c r="O178" s="14">
        <f t="shared" si="8"/>
        <v>8.510638298</v>
      </c>
      <c r="P178" s="12">
        <f t="shared" si="9"/>
        <v>0.03765465304</v>
      </c>
      <c r="Q178" s="12">
        <f t="shared" si="10"/>
        <v>0.8616666667</v>
      </c>
      <c r="S178" s="28"/>
      <c r="T178" s="28"/>
      <c r="U178" s="27"/>
      <c r="V178" s="27"/>
      <c r="X178" s="27"/>
      <c r="Y178" s="27"/>
    </row>
    <row r="179" ht="15.75" customHeight="1">
      <c r="A179" s="9">
        <v>40504.0</v>
      </c>
      <c r="B179" s="10" t="s">
        <v>28</v>
      </c>
      <c r="C179" s="10" t="s">
        <v>210</v>
      </c>
      <c r="D179" s="11">
        <v>2.0</v>
      </c>
      <c r="E179" s="11">
        <v>53.0</v>
      </c>
      <c r="F179" s="12">
        <f t="shared" si="5"/>
        <v>3.773584906</v>
      </c>
      <c r="G179" s="13">
        <v>3.0</v>
      </c>
      <c r="H179" s="13">
        <v>86.0</v>
      </c>
      <c r="I179" s="12">
        <f t="shared" si="6"/>
        <v>3.488372093</v>
      </c>
      <c r="J179" s="11">
        <v>8.0</v>
      </c>
      <c r="K179" s="11">
        <v>45.0</v>
      </c>
      <c r="L179" s="12">
        <f t="shared" si="7"/>
        <v>17.77777778</v>
      </c>
      <c r="M179" s="13">
        <v>14.0</v>
      </c>
      <c r="N179" s="13">
        <v>76.0</v>
      </c>
      <c r="O179" s="14">
        <f t="shared" si="8"/>
        <v>18.42105263</v>
      </c>
      <c r="P179" s="12">
        <f t="shared" si="9"/>
        <v>0.2122641509</v>
      </c>
      <c r="Q179" s="12">
        <f t="shared" si="10"/>
        <v>0.1893687708</v>
      </c>
      <c r="S179" s="28"/>
      <c r="T179" s="28"/>
      <c r="U179" s="27"/>
      <c r="V179" s="27"/>
      <c r="X179" s="27"/>
      <c r="Y179" s="27"/>
    </row>
    <row r="180" ht="15.75" customHeight="1">
      <c r="A180" s="9">
        <v>40505.0</v>
      </c>
      <c r="B180" s="10" t="s">
        <v>28</v>
      </c>
      <c r="C180" s="10" t="s">
        <v>211</v>
      </c>
      <c r="D180" s="11">
        <v>2.0</v>
      </c>
      <c r="E180" s="11">
        <v>279.0</v>
      </c>
      <c r="F180" s="12">
        <f t="shared" si="5"/>
        <v>0.7168458781</v>
      </c>
      <c r="G180" s="13">
        <v>12.0</v>
      </c>
      <c r="H180" s="13">
        <v>345.0</v>
      </c>
      <c r="I180" s="12">
        <f t="shared" si="6"/>
        <v>3.47826087</v>
      </c>
      <c r="J180" s="11">
        <v>38.0</v>
      </c>
      <c r="K180" s="11">
        <v>282.0</v>
      </c>
      <c r="L180" s="12">
        <f t="shared" si="7"/>
        <v>13.4751773</v>
      </c>
      <c r="M180" s="13">
        <v>55.0</v>
      </c>
      <c r="N180" s="13">
        <v>338.0</v>
      </c>
      <c r="O180" s="14">
        <f t="shared" si="8"/>
        <v>16.27218935</v>
      </c>
      <c r="P180" s="12">
        <f t="shared" si="9"/>
        <v>0.0531975099</v>
      </c>
      <c r="Q180" s="12">
        <f t="shared" si="10"/>
        <v>0.2137549407</v>
      </c>
      <c r="S180" s="28"/>
      <c r="T180" s="28"/>
      <c r="U180" s="27"/>
      <c r="V180" s="27"/>
      <c r="X180" s="27"/>
      <c r="Y180" s="27"/>
    </row>
    <row r="181" ht="15.75" customHeight="1">
      <c r="A181" s="9">
        <v>40601.0</v>
      </c>
      <c r="B181" s="10" t="s">
        <v>28</v>
      </c>
      <c r="C181" s="10" t="s">
        <v>212</v>
      </c>
      <c r="D181" s="11">
        <v>10.0</v>
      </c>
      <c r="E181" s="11">
        <v>712.0</v>
      </c>
      <c r="F181" s="12">
        <f t="shared" si="5"/>
        <v>1.404494382</v>
      </c>
      <c r="G181" s="13">
        <v>14.0</v>
      </c>
      <c r="H181" s="13">
        <v>716.0</v>
      </c>
      <c r="I181" s="12">
        <f t="shared" si="6"/>
        <v>1.955307263</v>
      </c>
      <c r="J181" s="11">
        <v>121.0</v>
      </c>
      <c r="K181" s="11">
        <v>613.0</v>
      </c>
      <c r="L181" s="12">
        <f t="shared" si="7"/>
        <v>19.73898858</v>
      </c>
      <c r="M181" s="13">
        <v>93.0</v>
      </c>
      <c r="N181" s="13">
        <v>659.0</v>
      </c>
      <c r="O181" s="14">
        <f t="shared" si="8"/>
        <v>14.11229135</v>
      </c>
      <c r="P181" s="12">
        <f t="shared" si="9"/>
        <v>0.07115331043</v>
      </c>
      <c r="Q181" s="12">
        <f t="shared" si="10"/>
        <v>0.1385534931</v>
      </c>
      <c r="S181" s="28"/>
      <c r="T181" s="28"/>
      <c r="U181" s="27"/>
      <c r="V181" s="27"/>
      <c r="X181" s="27"/>
      <c r="Y181" s="27"/>
    </row>
    <row r="182" ht="15.75" customHeight="1">
      <c r="A182" s="9">
        <v>40602.0</v>
      </c>
      <c r="B182" s="10" t="s">
        <v>28</v>
      </c>
      <c r="C182" s="10" t="s">
        <v>213</v>
      </c>
      <c r="D182" s="11">
        <v>6.0</v>
      </c>
      <c r="E182" s="11">
        <v>447.0</v>
      </c>
      <c r="F182" s="12">
        <f t="shared" si="5"/>
        <v>1.342281879</v>
      </c>
      <c r="G182" s="13">
        <v>10.0</v>
      </c>
      <c r="H182" s="13">
        <v>305.0</v>
      </c>
      <c r="I182" s="12">
        <f t="shared" si="6"/>
        <v>3.278688525</v>
      </c>
      <c r="J182" s="11">
        <v>82.0</v>
      </c>
      <c r="K182" s="11">
        <v>418.0</v>
      </c>
      <c r="L182" s="12">
        <f t="shared" si="7"/>
        <v>19.61722488</v>
      </c>
      <c r="M182" s="13">
        <v>24.0</v>
      </c>
      <c r="N182" s="13">
        <v>262.0</v>
      </c>
      <c r="O182" s="14">
        <f t="shared" si="8"/>
        <v>9.160305344</v>
      </c>
      <c r="P182" s="12">
        <f t="shared" si="9"/>
        <v>0.06842363726</v>
      </c>
      <c r="Q182" s="12">
        <f t="shared" si="10"/>
        <v>0.3579234973</v>
      </c>
      <c r="S182" s="28"/>
      <c r="T182" s="28"/>
      <c r="U182" s="27"/>
      <c r="V182" s="27"/>
      <c r="X182" s="27"/>
      <c r="Y182" s="27"/>
    </row>
    <row r="183" ht="15.75" customHeight="1">
      <c r="A183" s="9">
        <v>40603.0</v>
      </c>
      <c r="B183" s="10" t="s">
        <v>28</v>
      </c>
      <c r="C183" s="10" t="s">
        <v>214</v>
      </c>
      <c r="D183" s="11">
        <v>0.0</v>
      </c>
      <c r="E183" s="11">
        <v>222.0</v>
      </c>
      <c r="F183" s="12">
        <f t="shared" si="5"/>
        <v>0</v>
      </c>
      <c r="G183" s="13">
        <v>8.0</v>
      </c>
      <c r="H183" s="13">
        <v>269.0</v>
      </c>
      <c r="I183" s="12">
        <f t="shared" si="6"/>
        <v>2.973977695</v>
      </c>
      <c r="J183" s="11">
        <v>42.0</v>
      </c>
      <c r="K183" s="11">
        <v>233.0</v>
      </c>
      <c r="L183" s="12">
        <f t="shared" si="7"/>
        <v>18.02575107</v>
      </c>
      <c r="M183" s="13">
        <v>37.0</v>
      </c>
      <c r="N183" s="13">
        <v>259.0</v>
      </c>
      <c r="O183" s="14">
        <f t="shared" si="8"/>
        <v>14.28571429</v>
      </c>
      <c r="P183" s="12">
        <f t="shared" si="9"/>
        <v>0</v>
      </c>
      <c r="Q183" s="12">
        <f t="shared" si="10"/>
        <v>0.2081784387</v>
      </c>
      <c r="S183" s="28"/>
      <c r="T183" s="28"/>
      <c r="U183" s="27"/>
      <c r="V183" s="27"/>
      <c r="X183" s="27"/>
      <c r="Y183" s="27"/>
    </row>
    <row r="184" ht="15.75" customHeight="1">
      <c r="A184" s="9">
        <v>40701.0</v>
      </c>
      <c r="B184" s="10" t="s">
        <v>28</v>
      </c>
      <c r="C184" s="10" t="s">
        <v>215</v>
      </c>
      <c r="D184" s="11">
        <v>34.0</v>
      </c>
      <c r="E184" s="11">
        <v>2346.0</v>
      </c>
      <c r="F184" s="12">
        <f t="shared" si="5"/>
        <v>1.449275362</v>
      </c>
      <c r="G184" s="13">
        <v>31.0</v>
      </c>
      <c r="H184" s="13">
        <v>1994.0</v>
      </c>
      <c r="I184" s="12">
        <f t="shared" si="6"/>
        <v>1.554663992</v>
      </c>
      <c r="J184" s="11">
        <v>480.0</v>
      </c>
      <c r="K184" s="11">
        <v>2207.0</v>
      </c>
      <c r="L184" s="12">
        <f t="shared" si="7"/>
        <v>21.74898052</v>
      </c>
      <c r="M184" s="13">
        <v>151.0</v>
      </c>
      <c r="N184" s="13">
        <v>1880.0</v>
      </c>
      <c r="O184" s="14">
        <f t="shared" si="8"/>
        <v>8.031914894</v>
      </c>
      <c r="P184" s="12">
        <f t="shared" si="9"/>
        <v>0.06663647343</v>
      </c>
      <c r="Q184" s="12">
        <f t="shared" si="10"/>
        <v>0.1935608149</v>
      </c>
      <c r="S184" s="28"/>
      <c r="T184" s="28"/>
      <c r="U184" s="27"/>
      <c r="V184" s="27"/>
      <c r="X184" s="27"/>
      <c r="Y184" s="27"/>
    </row>
    <row r="185" ht="15.75" customHeight="1">
      <c r="A185" s="9">
        <v>40702.0</v>
      </c>
      <c r="B185" s="10" t="s">
        <v>28</v>
      </c>
      <c r="C185" s="10" t="s">
        <v>216</v>
      </c>
      <c r="D185" s="11">
        <v>3.0</v>
      </c>
      <c r="E185" s="11">
        <v>412.0</v>
      </c>
      <c r="F185" s="12">
        <f t="shared" si="5"/>
        <v>0.7281553398</v>
      </c>
      <c r="G185" s="13">
        <v>15.0</v>
      </c>
      <c r="H185" s="13">
        <v>461.0</v>
      </c>
      <c r="I185" s="12">
        <f t="shared" si="6"/>
        <v>3.253796095</v>
      </c>
      <c r="J185" s="11">
        <v>62.0</v>
      </c>
      <c r="K185" s="11">
        <v>396.0</v>
      </c>
      <c r="L185" s="12">
        <f t="shared" si="7"/>
        <v>15.65656566</v>
      </c>
      <c r="M185" s="13">
        <v>61.0</v>
      </c>
      <c r="N185" s="13">
        <v>454.0</v>
      </c>
      <c r="O185" s="14">
        <f t="shared" si="8"/>
        <v>13.43612335</v>
      </c>
      <c r="P185" s="12">
        <f t="shared" si="9"/>
        <v>0.04650798622</v>
      </c>
      <c r="Q185" s="12">
        <f t="shared" si="10"/>
        <v>0.242167775</v>
      </c>
      <c r="S185" s="28"/>
      <c r="T185" s="28"/>
      <c r="U185" s="27"/>
      <c r="V185" s="27"/>
      <c r="X185" s="27"/>
      <c r="Y185" s="27"/>
    </row>
    <row r="186" ht="15.75" customHeight="1">
      <c r="A186" s="9">
        <v>40801.0</v>
      </c>
      <c r="B186" s="10" t="s">
        <v>28</v>
      </c>
      <c r="C186" s="10" t="s">
        <v>217</v>
      </c>
      <c r="D186" s="11">
        <v>6.0</v>
      </c>
      <c r="E186" s="11">
        <v>908.0</v>
      </c>
      <c r="F186" s="12">
        <f t="shared" si="5"/>
        <v>0.6607929515</v>
      </c>
      <c r="G186" s="13">
        <v>34.0</v>
      </c>
      <c r="H186" s="13">
        <v>1275.0</v>
      </c>
      <c r="I186" s="12">
        <f t="shared" si="6"/>
        <v>2.666666667</v>
      </c>
      <c r="J186" s="11">
        <v>86.0</v>
      </c>
      <c r="K186" s="11">
        <v>761.0</v>
      </c>
      <c r="L186" s="12">
        <f t="shared" si="7"/>
        <v>11.30091984</v>
      </c>
      <c r="M186" s="13">
        <v>104.0</v>
      </c>
      <c r="N186" s="13">
        <v>1126.0</v>
      </c>
      <c r="O186" s="14">
        <f t="shared" si="8"/>
        <v>9.236234458</v>
      </c>
      <c r="P186" s="12">
        <f t="shared" si="9"/>
        <v>0.05847249257</v>
      </c>
      <c r="Q186" s="12">
        <f t="shared" si="10"/>
        <v>0.2887179487</v>
      </c>
      <c r="S186" s="28"/>
      <c r="T186" s="28"/>
      <c r="U186" s="27"/>
      <c r="V186" s="27"/>
      <c r="X186" s="27"/>
      <c r="Y186" s="27"/>
    </row>
    <row r="187" ht="15.75" customHeight="1">
      <c r="A187" s="9">
        <v>40802.0</v>
      </c>
      <c r="B187" s="10" t="s">
        <v>28</v>
      </c>
      <c r="C187" s="10" t="s">
        <v>218</v>
      </c>
      <c r="D187" s="11">
        <v>0.0</v>
      </c>
      <c r="E187" s="11">
        <v>206.0</v>
      </c>
      <c r="F187" s="12">
        <f t="shared" si="5"/>
        <v>0</v>
      </c>
      <c r="G187" s="13">
        <v>6.0</v>
      </c>
      <c r="H187" s="13">
        <v>244.0</v>
      </c>
      <c r="I187" s="12">
        <f t="shared" si="6"/>
        <v>2.459016393</v>
      </c>
      <c r="J187" s="11">
        <v>39.0</v>
      </c>
      <c r="K187" s="11">
        <v>207.0</v>
      </c>
      <c r="L187" s="12">
        <f t="shared" si="7"/>
        <v>18.84057971</v>
      </c>
      <c r="M187" s="13">
        <v>26.0</v>
      </c>
      <c r="N187" s="13">
        <v>225.0</v>
      </c>
      <c r="O187" s="14">
        <f t="shared" si="8"/>
        <v>11.55555556</v>
      </c>
      <c r="P187" s="12">
        <f t="shared" si="9"/>
        <v>0</v>
      </c>
      <c r="Q187" s="12">
        <f t="shared" si="10"/>
        <v>0.2127994956</v>
      </c>
      <c r="S187" s="28"/>
      <c r="T187" s="28"/>
      <c r="U187" s="27"/>
      <c r="V187" s="27"/>
      <c r="X187" s="27"/>
      <c r="Y187" s="27"/>
    </row>
    <row r="188" ht="15.75" customHeight="1">
      <c r="A188" s="9">
        <v>40901.0</v>
      </c>
      <c r="B188" s="10" t="s">
        <v>28</v>
      </c>
      <c r="C188" s="10" t="s">
        <v>219</v>
      </c>
      <c r="D188" s="11">
        <v>7.0</v>
      </c>
      <c r="E188" s="11">
        <v>815.0</v>
      </c>
      <c r="F188" s="12">
        <f t="shared" si="5"/>
        <v>0.8588957055</v>
      </c>
      <c r="G188" s="13">
        <v>53.0</v>
      </c>
      <c r="H188" s="13">
        <v>1715.0</v>
      </c>
      <c r="I188" s="12">
        <f t="shared" si="6"/>
        <v>3.090379009</v>
      </c>
      <c r="J188" s="11">
        <v>135.0</v>
      </c>
      <c r="K188" s="11">
        <v>704.0</v>
      </c>
      <c r="L188" s="12">
        <f t="shared" si="7"/>
        <v>19.17613636</v>
      </c>
      <c r="M188" s="13">
        <v>157.0</v>
      </c>
      <c r="N188" s="13">
        <v>1499.0</v>
      </c>
      <c r="O188" s="14">
        <f t="shared" si="8"/>
        <v>10.4736491</v>
      </c>
      <c r="P188" s="12">
        <f t="shared" si="9"/>
        <v>0.0447898205</v>
      </c>
      <c r="Q188" s="12">
        <f t="shared" si="10"/>
        <v>0.2950623015</v>
      </c>
      <c r="S188" s="28"/>
      <c r="T188" s="28"/>
      <c r="U188" s="27"/>
      <c r="V188" s="27"/>
      <c r="X188" s="27"/>
      <c r="Y188" s="27"/>
    </row>
    <row r="189" ht="15.75" customHeight="1">
      <c r="A189" s="9">
        <v>40902.0</v>
      </c>
      <c r="B189" s="10" t="s">
        <v>28</v>
      </c>
      <c r="C189" s="10" t="s">
        <v>220</v>
      </c>
      <c r="D189" s="11">
        <v>1.0</v>
      </c>
      <c r="E189" s="11">
        <v>112.0</v>
      </c>
      <c r="F189" s="12">
        <f t="shared" si="5"/>
        <v>0.8928571429</v>
      </c>
      <c r="G189" s="13">
        <v>1.0</v>
      </c>
      <c r="H189" s="13">
        <v>124.0</v>
      </c>
      <c r="I189" s="12">
        <f t="shared" si="6"/>
        <v>0.8064516129</v>
      </c>
      <c r="J189" s="11">
        <v>17.0</v>
      </c>
      <c r="K189" s="11">
        <v>93.0</v>
      </c>
      <c r="L189" s="12">
        <f t="shared" si="7"/>
        <v>18.27956989</v>
      </c>
      <c r="M189" s="13">
        <v>14.0</v>
      </c>
      <c r="N189" s="13">
        <v>107.0</v>
      </c>
      <c r="O189" s="14">
        <f t="shared" si="8"/>
        <v>13.08411215</v>
      </c>
      <c r="P189" s="12">
        <f t="shared" si="9"/>
        <v>0.04884453782</v>
      </c>
      <c r="Q189" s="12">
        <f t="shared" si="10"/>
        <v>0.0616359447</v>
      </c>
      <c r="S189" s="28"/>
      <c r="T189" s="28"/>
      <c r="U189" s="27"/>
      <c r="V189" s="27"/>
      <c r="X189" s="27"/>
      <c r="Y189" s="27"/>
    </row>
    <row r="190" ht="15.75" customHeight="1">
      <c r="A190" s="9">
        <v>40903.0</v>
      </c>
      <c r="B190" s="10" t="s">
        <v>28</v>
      </c>
      <c r="C190" s="10" t="s">
        <v>221</v>
      </c>
      <c r="D190" s="11">
        <v>1.0</v>
      </c>
      <c r="E190" s="11">
        <v>218.0</v>
      </c>
      <c r="F190" s="12">
        <f t="shared" si="5"/>
        <v>0.4587155963</v>
      </c>
      <c r="G190" s="13">
        <v>22.0</v>
      </c>
      <c r="H190" s="13">
        <v>185.0</v>
      </c>
      <c r="I190" s="12">
        <f t="shared" si="6"/>
        <v>11.89189189</v>
      </c>
      <c r="J190" s="11">
        <v>47.0</v>
      </c>
      <c r="K190" s="11">
        <v>235.0</v>
      </c>
      <c r="L190" s="12">
        <f t="shared" si="7"/>
        <v>20</v>
      </c>
      <c r="M190" s="13">
        <v>76.0</v>
      </c>
      <c r="N190" s="13">
        <v>230.0</v>
      </c>
      <c r="O190" s="14">
        <f t="shared" si="8"/>
        <v>33.04347826</v>
      </c>
      <c r="P190" s="12">
        <f t="shared" si="9"/>
        <v>0.02293577982</v>
      </c>
      <c r="Q190" s="12">
        <f t="shared" si="10"/>
        <v>0.359886202</v>
      </c>
      <c r="S190" s="28"/>
      <c r="T190" s="28"/>
      <c r="U190" s="27"/>
      <c r="V190" s="27"/>
      <c r="X190" s="27"/>
      <c r="Y190" s="27"/>
    </row>
    <row r="191" ht="15.75" customHeight="1">
      <c r="A191" s="9">
        <v>41001.0</v>
      </c>
      <c r="B191" s="10" t="s">
        <v>28</v>
      </c>
      <c r="C191" s="10" t="s">
        <v>222</v>
      </c>
      <c r="D191" s="11">
        <v>3.0</v>
      </c>
      <c r="E191" s="11">
        <v>802.0</v>
      </c>
      <c r="F191" s="12">
        <f t="shared" si="5"/>
        <v>0.3740648379</v>
      </c>
      <c r="G191" s="13">
        <v>31.0</v>
      </c>
      <c r="H191" s="13">
        <v>874.0</v>
      </c>
      <c r="I191" s="12">
        <f t="shared" si="6"/>
        <v>3.546910755</v>
      </c>
      <c r="J191" s="11">
        <v>67.0</v>
      </c>
      <c r="K191" s="11">
        <v>753.0</v>
      </c>
      <c r="L191" s="12">
        <f t="shared" si="7"/>
        <v>8.897742364</v>
      </c>
      <c r="M191" s="13">
        <v>91.0</v>
      </c>
      <c r="N191" s="13">
        <v>848.0</v>
      </c>
      <c r="O191" s="14">
        <f t="shared" si="8"/>
        <v>10.73113208</v>
      </c>
      <c r="P191" s="12">
        <f t="shared" si="9"/>
        <v>0.04204042133</v>
      </c>
      <c r="Q191" s="12">
        <f t="shared" si="10"/>
        <v>0.3305253099</v>
      </c>
      <c r="S191" s="28"/>
      <c r="T191" s="28"/>
      <c r="U191" s="27"/>
      <c r="V191" s="27"/>
      <c r="X191" s="27"/>
      <c r="Y191" s="27"/>
    </row>
    <row r="192" ht="15.75" customHeight="1">
      <c r="A192" s="9">
        <v>41101.0</v>
      </c>
      <c r="B192" s="10" t="s">
        <v>28</v>
      </c>
      <c r="C192" s="10" t="s">
        <v>223</v>
      </c>
      <c r="D192" s="11">
        <v>7.0</v>
      </c>
      <c r="E192" s="11">
        <v>490.0</v>
      </c>
      <c r="F192" s="12">
        <f t="shared" si="5"/>
        <v>1.428571429</v>
      </c>
      <c r="G192" s="13">
        <v>19.0</v>
      </c>
      <c r="H192" s="13">
        <v>458.0</v>
      </c>
      <c r="I192" s="12">
        <f t="shared" si="6"/>
        <v>4.148471616</v>
      </c>
      <c r="J192" s="11">
        <v>56.0</v>
      </c>
      <c r="K192" s="11">
        <v>480.0</v>
      </c>
      <c r="L192" s="12">
        <f t="shared" si="7"/>
        <v>11.66666667</v>
      </c>
      <c r="M192" s="13">
        <v>57.0</v>
      </c>
      <c r="N192" s="13">
        <v>429.0</v>
      </c>
      <c r="O192" s="14">
        <f t="shared" si="8"/>
        <v>13.28671329</v>
      </c>
      <c r="P192" s="12">
        <f t="shared" si="9"/>
        <v>0.1224489796</v>
      </c>
      <c r="Q192" s="12">
        <f t="shared" si="10"/>
        <v>0.3122270742</v>
      </c>
      <c r="S192" s="28"/>
      <c r="T192" s="28"/>
      <c r="U192" s="27"/>
      <c r="V192" s="27"/>
      <c r="X192" s="27"/>
      <c r="Y192" s="27"/>
    </row>
    <row r="193" ht="15.75" customHeight="1">
      <c r="A193" s="9">
        <v>41201.0</v>
      </c>
      <c r="B193" s="10" t="s">
        <v>28</v>
      </c>
      <c r="C193" s="10" t="s">
        <v>224</v>
      </c>
      <c r="D193" s="11">
        <v>3.0</v>
      </c>
      <c r="E193" s="11">
        <v>382.0</v>
      </c>
      <c r="F193" s="12">
        <f t="shared" si="5"/>
        <v>0.7853403141</v>
      </c>
      <c r="G193" s="13">
        <v>21.0</v>
      </c>
      <c r="H193" s="13">
        <v>441.0</v>
      </c>
      <c r="I193" s="12">
        <f t="shared" si="6"/>
        <v>4.761904762</v>
      </c>
      <c r="J193" s="11">
        <v>43.0</v>
      </c>
      <c r="K193" s="11">
        <v>333.0</v>
      </c>
      <c r="L193" s="12">
        <f t="shared" si="7"/>
        <v>12.91291291</v>
      </c>
      <c r="M193" s="13">
        <v>53.0</v>
      </c>
      <c r="N193" s="13">
        <v>427.0</v>
      </c>
      <c r="O193" s="14">
        <f t="shared" si="8"/>
        <v>12.41217799</v>
      </c>
      <c r="P193" s="12">
        <f t="shared" si="9"/>
        <v>0.06081821502</v>
      </c>
      <c r="Q193" s="12">
        <f t="shared" si="10"/>
        <v>0.3836477987</v>
      </c>
      <c r="S193" s="28"/>
      <c r="T193" s="28"/>
      <c r="U193" s="27"/>
      <c r="V193" s="27"/>
      <c r="X193" s="27"/>
      <c r="Y193" s="27"/>
    </row>
    <row r="194" ht="15.75" customHeight="1">
      <c r="A194" s="9">
        <v>41202.0</v>
      </c>
      <c r="B194" s="10" t="s">
        <v>28</v>
      </c>
      <c r="C194" s="10" t="s">
        <v>225</v>
      </c>
      <c r="D194" s="11">
        <v>1.0</v>
      </c>
      <c r="E194" s="11">
        <v>157.0</v>
      </c>
      <c r="F194" s="12">
        <f t="shared" si="5"/>
        <v>0.6369426752</v>
      </c>
      <c r="G194" s="13">
        <v>11.0</v>
      </c>
      <c r="H194" s="13">
        <v>242.0</v>
      </c>
      <c r="I194" s="12">
        <f t="shared" si="6"/>
        <v>4.545454545</v>
      </c>
      <c r="J194" s="11">
        <v>14.0</v>
      </c>
      <c r="K194" s="11">
        <v>120.0</v>
      </c>
      <c r="L194" s="12">
        <f t="shared" si="7"/>
        <v>11.66666667</v>
      </c>
      <c r="M194" s="13">
        <v>20.0</v>
      </c>
      <c r="N194" s="13">
        <v>222.0</v>
      </c>
      <c r="O194" s="14">
        <f t="shared" si="8"/>
        <v>9.009009009</v>
      </c>
      <c r="P194" s="12">
        <f t="shared" si="9"/>
        <v>0.05459508644</v>
      </c>
      <c r="Q194" s="12">
        <f t="shared" si="10"/>
        <v>0.5045454545</v>
      </c>
      <c r="S194" s="28"/>
      <c r="T194" s="28"/>
      <c r="U194" s="27"/>
      <c r="V194" s="27"/>
      <c r="X194" s="27"/>
      <c r="Y194" s="27"/>
    </row>
    <row r="195" ht="15.75" customHeight="1">
      <c r="A195" s="9">
        <v>41301.0</v>
      </c>
      <c r="B195" s="10" t="s">
        <v>28</v>
      </c>
      <c r="C195" s="10" t="s">
        <v>226</v>
      </c>
      <c r="D195" s="11">
        <v>1.0</v>
      </c>
      <c r="E195" s="11">
        <v>509.0</v>
      </c>
      <c r="F195" s="12">
        <f t="shared" si="5"/>
        <v>0.1964636542</v>
      </c>
      <c r="G195" s="13">
        <v>28.0</v>
      </c>
      <c r="H195" s="13">
        <v>496.0</v>
      </c>
      <c r="I195" s="12">
        <f t="shared" si="6"/>
        <v>5.64516129</v>
      </c>
      <c r="J195" s="11">
        <v>41.0</v>
      </c>
      <c r="K195" s="11">
        <v>494.0</v>
      </c>
      <c r="L195" s="12">
        <f t="shared" si="7"/>
        <v>8.299595142</v>
      </c>
      <c r="M195" s="13">
        <v>62.0</v>
      </c>
      <c r="N195" s="13">
        <v>443.0</v>
      </c>
      <c r="O195" s="14">
        <f t="shared" si="8"/>
        <v>13.99548533</v>
      </c>
      <c r="P195" s="12">
        <f t="shared" si="9"/>
        <v>0.02367147444</v>
      </c>
      <c r="Q195" s="12">
        <f t="shared" si="10"/>
        <v>0.4033558793</v>
      </c>
      <c r="S195" s="28"/>
      <c r="T195" s="28"/>
      <c r="U195" s="27"/>
      <c r="V195" s="27"/>
      <c r="X195" s="27"/>
      <c r="Y195" s="27"/>
    </row>
    <row r="196" ht="15.75" customHeight="1">
      <c r="A196" s="9">
        <v>41401.0</v>
      </c>
      <c r="B196" s="10" t="s">
        <v>28</v>
      </c>
      <c r="C196" s="10" t="s">
        <v>227</v>
      </c>
      <c r="D196" s="11">
        <v>11.0</v>
      </c>
      <c r="E196" s="11">
        <v>1216.0</v>
      </c>
      <c r="F196" s="12">
        <f t="shared" si="5"/>
        <v>0.9046052632</v>
      </c>
      <c r="G196" s="13">
        <v>35.0</v>
      </c>
      <c r="H196" s="13">
        <v>1114.0</v>
      </c>
      <c r="I196" s="12">
        <f t="shared" si="6"/>
        <v>3.141831239</v>
      </c>
      <c r="J196" s="11">
        <v>165.0</v>
      </c>
      <c r="K196" s="11">
        <v>1010.0</v>
      </c>
      <c r="L196" s="12">
        <f t="shared" si="7"/>
        <v>16.33663366</v>
      </c>
      <c r="M196" s="13">
        <v>101.0</v>
      </c>
      <c r="N196" s="13">
        <v>946.0</v>
      </c>
      <c r="O196" s="14">
        <f t="shared" si="8"/>
        <v>10.67653277</v>
      </c>
      <c r="P196" s="12">
        <f t="shared" si="9"/>
        <v>0.05537280702</v>
      </c>
      <c r="Q196" s="12">
        <f t="shared" si="10"/>
        <v>0.2942744903</v>
      </c>
      <c r="S196" s="28"/>
      <c r="T196" s="28"/>
      <c r="U196" s="27"/>
      <c r="V196" s="27"/>
      <c r="X196" s="27"/>
      <c r="Y196" s="27"/>
    </row>
    <row r="197" ht="15.75" customHeight="1">
      <c r="A197" s="9">
        <v>41501.0</v>
      </c>
      <c r="B197" s="10" t="s">
        <v>28</v>
      </c>
      <c r="C197" s="10" t="s">
        <v>228</v>
      </c>
      <c r="D197" s="11">
        <v>0.0</v>
      </c>
      <c r="E197" s="11">
        <v>34.0</v>
      </c>
      <c r="F197" s="12">
        <f t="shared" si="5"/>
        <v>0</v>
      </c>
      <c r="G197" s="13">
        <v>10.0</v>
      </c>
      <c r="H197" s="13">
        <v>119.0</v>
      </c>
      <c r="I197" s="12">
        <f t="shared" si="6"/>
        <v>8.403361345</v>
      </c>
      <c r="J197" s="11">
        <v>8.0</v>
      </c>
      <c r="K197" s="11">
        <v>51.0</v>
      </c>
      <c r="L197" s="12">
        <f t="shared" si="7"/>
        <v>15.68627451</v>
      </c>
      <c r="M197" s="13">
        <v>16.0</v>
      </c>
      <c r="N197" s="13">
        <v>112.0</v>
      </c>
      <c r="O197" s="14">
        <f t="shared" si="8"/>
        <v>14.28571429</v>
      </c>
      <c r="P197" s="12">
        <f t="shared" si="9"/>
        <v>0</v>
      </c>
      <c r="Q197" s="12">
        <f t="shared" si="10"/>
        <v>0.5882352941</v>
      </c>
      <c r="S197" s="28"/>
      <c r="T197" s="28"/>
      <c r="U197" s="27"/>
      <c r="V197" s="27"/>
      <c r="X197" s="27"/>
      <c r="Y197" s="27"/>
    </row>
    <row r="198" ht="15.75" customHeight="1">
      <c r="A198" s="9">
        <v>41502.0</v>
      </c>
      <c r="B198" s="10" t="s">
        <v>28</v>
      </c>
      <c r="C198" s="10" t="s">
        <v>229</v>
      </c>
      <c r="D198" s="11">
        <v>0.0</v>
      </c>
      <c r="E198" s="11">
        <v>101.0</v>
      </c>
      <c r="F198" s="12">
        <f t="shared" si="5"/>
        <v>0</v>
      </c>
      <c r="G198" s="13">
        <v>3.0</v>
      </c>
      <c r="H198" s="13">
        <v>142.0</v>
      </c>
      <c r="I198" s="12">
        <f t="shared" si="6"/>
        <v>2.112676056</v>
      </c>
      <c r="J198" s="11">
        <v>8.0</v>
      </c>
      <c r="K198" s="11">
        <v>60.0</v>
      </c>
      <c r="L198" s="12">
        <f t="shared" si="7"/>
        <v>13.33333333</v>
      </c>
      <c r="M198" s="13">
        <v>7.0</v>
      </c>
      <c r="N198" s="13">
        <v>77.0</v>
      </c>
      <c r="O198" s="14">
        <f t="shared" si="8"/>
        <v>9.090909091</v>
      </c>
      <c r="P198" s="12">
        <f t="shared" si="9"/>
        <v>0</v>
      </c>
      <c r="Q198" s="12">
        <f t="shared" si="10"/>
        <v>0.2323943662</v>
      </c>
      <c r="S198" s="28"/>
      <c r="T198" s="28"/>
      <c r="U198" s="27"/>
      <c r="V198" s="27"/>
      <c r="X198" s="27"/>
      <c r="Y198" s="27"/>
    </row>
    <row r="199" ht="15.75" customHeight="1">
      <c r="A199" s="9">
        <v>41503.0</v>
      </c>
      <c r="B199" s="10" t="s">
        <v>28</v>
      </c>
      <c r="C199" s="10" t="s">
        <v>230</v>
      </c>
      <c r="D199" s="11">
        <v>0.0</v>
      </c>
      <c r="E199" s="11">
        <v>75.0</v>
      </c>
      <c r="F199" s="12">
        <f t="shared" si="5"/>
        <v>0</v>
      </c>
      <c r="G199" s="13">
        <v>4.0</v>
      </c>
      <c r="H199" s="13">
        <v>120.0</v>
      </c>
      <c r="I199" s="12">
        <f t="shared" si="6"/>
        <v>3.333333333</v>
      </c>
      <c r="J199" s="11">
        <v>20.0</v>
      </c>
      <c r="K199" s="11">
        <v>106.0</v>
      </c>
      <c r="L199" s="12">
        <f t="shared" si="7"/>
        <v>18.86792453</v>
      </c>
      <c r="M199" s="13">
        <v>14.0</v>
      </c>
      <c r="N199" s="13">
        <v>111.0</v>
      </c>
      <c r="O199" s="14">
        <f t="shared" si="8"/>
        <v>12.61261261</v>
      </c>
      <c r="P199" s="12">
        <f t="shared" si="9"/>
        <v>0</v>
      </c>
      <c r="Q199" s="12">
        <f t="shared" si="10"/>
        <v>0.2642857143</v>
      </c>
      <c r="S199" s="28"/>
      <c r="T199" s="28"/>
      <c r="U199" s="27"/>
      <c r="V199" s="27"/>
      <c r="X199" s="27"/>
      <c r="Y199" s="27"/>
    </row>
    <row r="200" ht="15.75" customHeight="1">
      <c r="A200" s="9">
        <v>41601.0</v>
      </c>
      <c r="B200" s="10" t="s">
        <v>28</v>
      </c>
      <c r="C200" s="10" t="s">
        <v>231</v>
      </c>
      <c r="D200" s="11">
        <v>8.0</v>
      </c>
      <c r="E200" s="11">
        <v>417.0</v>
      </c>
      <c r="F200" s="12">
        <f t="shared" si="5"/>
        <v>1.918465228</v>
      </c>
      <c r="G200" s="13">
        <v>24.0</v>
      </c>
      <c r="H200" s="13">
        <v>317.0</v>
      </c>
      <c r="I200" s="12">
        <f t="shared" si="6"/>
        <v>7.570977918</v>
      </c>
      <c r="J200" s="11">
        <v>31.0</v>
      </c>
      <c r="K200" s="11">
        <v>341.0</v>
      </c>
      <c r="L200" s="12">
        <f t="shared" si="7"/>
        <v>9.090909091</v>
      </c>
      <c r="M200" s="13">
        <v>51.0</v>
      </c>
      <c r="N200" s="13">
        <v>345.0</v>
      </c>
      <c r="O200" s="14">
        <f t="shared" si="8"/>
        <v>14.7826087</v>
      </c>
      <c r="P200" s="12">
        <f t="shared" si="9"/>
        <v>0.2110311751</v>
      </c>
      <c r="Q200" s="12">
        <f t="shared" si="10"/>
        <v>0.5121543886</v>
      </c>
      <c r="S200" s="28"/>
      <c r="T200" s="28"/>
      <c r="U200" s="27"/>
      <c r="V200" s="27"/>
      <c r="X200" s="27"/>
      <c r="Y200" s="27"/>
    </row>
    <row r="201" ht="15.75" customHeight="1">
      <c r="A201" s="9">
        <v>50101.0</v>
      </c>
      <c r="B201" s="10" t="s">
        <v>30</v>
      </c>
      <c r="C201" s="10" t="s">
        <v>30</v>
      </c>
      <c r="D201" s="11">
        <v>263.0</v>
      </c>
      <c r="E201" s="11">
        <v>20502.0</v>
      </c>
      <c r="F201" s="12">
        <f t="shared" si="5"/>
        <v>1.282801678</v>
      </c>
      <c r="G201" s="13">
        <v>409.0</v>
      </c>
      <c r="H201" s="13">
        <v>21345.0</v>
      </c>
      <c r="I201" s="12">
        <f t="shared" si="6"/>
        <v>1.916139611</v>
      </c>
      <c r="J201" s="11">
        <v>3848.0</v>
      </c>
      <c r="K201" s="11">
        <v>21272.0</v>
      </c>
      <c r="L201" s="12">
        <f t="shared" si="7"/>
        <v>18.08950733</v>
      </c>
      <c r="M201" s="13">
        <v>2514.0</v>
      </c>
      <c r="N201" s="13">
        <v>22175.0</v>
      </c>
      <c r="O201" s="14">
        <f t="shared" si="8"/>
        <v>11.33709132</v>
      </c>
      <c r="P201" s="12">
        <f t="shared" si="9"/>
        <v>0.07091413018</v>
      </c>
      <c r="Q201" s="12">
        <f t="shared" si="10"/>
        <v>0.169015099</v>
      </c>
      <c r="S201" s="28"/>
      <c r="T201" s="28"/>
      <c r="U201" s="27"/>
      <c r="V201" s="27"/>
      <c r="X201" s="27"/>
      <c r="Y201" s="27"/>
    </row>
    <row r="202" ht="15.75" customHeight="1">
      <c r="A202" s="9">
        <v>50102.0</v>
      </c>
      <c r="B202" s="10" t="s">
        <v>30</v>
      </c>
      <c r="C202" s="10" t="s">
        <v>232</v>
      </c>
      <c r="D202" s="11">
        <v>21.0</v>
      </c>
      <c r="E202" s="11">
        <v>2506.0</v>
      </c>
      <c r="F202" s="12">
        <f t="shared" si="5"/>
        <v>0.8379888268</v>
      </c>
      <c r="G202" s="13">
        <v>154.0</v>
      </c>
      <c r="H202" s="13">
        <v>2901.0</v>
      </c>
      <c r="I202" s="12">
        <f t="shared" si="6"/>
        <v>5.308514305</v>
      </c>
      <c r="J202" s="11">
        <v>487.0</v>
      </c>
      <c r="K202" s="11">
        <v>2109.0</v>
      </c>
      <c r="L202" s="12">
        <f t="shared" si="7"/>
        <v>23.09151257</v>
      </c>
      <c r="M202" s="13">
        <v>695.0</v>
      </c>
      <c r="N202" s="13">
        <v>2162.0</v>
      </c>
      <c r="O202" s="14">
        <f t="shared" si="8"/>
        <v>32.14616096</v>
      </c>
      <c r="P202" s="12">
        <f t="shared" si="9"/>
        <v>0.03628990628</v>
      </c>
      <c r="Q202" s="12">
        <f t="shared" si="10"/>
        <v>0.1651368047</v>
      </c>
      <c r="S202" s="28"/>
      <c r="T202" s="28"/>
      <c r="U202" s="27"/>
      <c r="V202" s="27"/>
      <c r="X202" s="27"/>
      <c r="Y202" s="27"/>
    </row>
    <row r="203" ht="15.75" customHeight="1">
      <c r="A203" s="9">
        <v>50103.0</v>
      </c>
      <c r="B203" s="10" t="s">
        <v>30</v>
      </c>
      <c r="C203" s="10" t="s">
        <v>233</v>
      </c>
      <c r="D203" s="11">
        <v>6.0</v>
      </c>
      <c r="E203" s="11">
        <v>749.0</v>
      </c>
      <c r="F203" s="12">
        <f t="shared" si="5"/>
        <v>0.8010680908</v>
      </c>
      <c r="G203" s="13">
        <v>28.0</v>
      </c>
      <c r="H203" s="13">
        <v>831.0</v>
      </c>
      <c r="I203" s="12">
        <f t="shared" si="6"/>
        <v>3.369434416</v>
      </c>
      <c r="J203" s="11">
        <v>133.0</v>
      </c>
      <c r="K203" s="11">
        <v>669.0</v>
      </c>
      <c r="L203" s="12">
        <f t="shared" si="7"/>
        <v>19.88041854</v>
      </c>
      <c r="M203" s="13">
        <v>120.0</v>
      </c>
      <c r="N203" s="13">
        <v>785.0</v>
      </c>
      <c r="O203" s="14">
        <f t="shared" si="8"/>
        <v>15.2866242</v>
      </c>
      <c r="P203" s="12">
        <f t="shared" si="9"/>
        <v>0.04029432727</v>
      </c>
      <c r="Q203" s="12">
        <f t="shared" si="10"/>
        <v>0.2204171681</v>
      </c>
      <c r="S203" s="28"/>
      <c r="T203" s="28"/>
      <c r="U203" s="27"/>
      <c r="V203" s="27"/>
      <c r="X203" s="27"/>
      <c r="Y203" s="27"/>
    </row>
    <row r="204" ht="15.75" customHeight="1">
      <c r="A204" s="9">
        <v>50104.0</v>
      </c>
      <c r="B204" s="10" t="s">
        <v>30</v>
      </c>
      <c r="C204" s="10" t="s">
        <v>234</v>
      </c>
      <c r="D204" s="11">
        <v>0.0</v>
      </c>
      <c r="E204" s="11">
        <v>272.0</v>
      </c>
      <c r="F204" s="12">
        <f t="shared" si="5"/>
        <v>0</v>
      </c>
      <c r="G204" s="13">
        <v>5.0</v>
      </c>
      <c r="H204" s="13">
        <v>268.0</v>
      </c>
      <c r="I204" s="12">
        <f t="shared" si="6"/>
        <v>1.865671642</v>
      </c>
      <c r="J204" s="11">
        <v>55.0</v>
      </c>
      <c r="K204" s="11">
        <v>224.0</v>
      </c>
      <c r="L204" s="12">
        <f t="shared" si="7"/>
        <v>24.55357143</v>
      </c>
      <c r="M204" s="13">
        <v>37.0</v>
      </c>
      <c r="N204" s="13">
        <v>195.0</v>
      </c>
      <c r="O204" s="14">
        <f t="shared" si="8"/>
        <v>18.97435897</v>
      </c>
      <c r="P204" s="12">
        <f t="shared" si="9"/>
        <v>0</v>
      </c>
      <c r="Q204" s="12">
        <f t="shared" si="10"/>
        <v>0.09832593788</v>
      </c>
      <c r="S204" s="28"/>
      <c r="T204" s="28"/>
      <c r="U204" s="27"/>
      <c r="V204" s="27"/>
      <c r="X204" s="27"/>
      <c r="Y204" s="27"/>
    </row>
    <row r="205" ht="15.75" customHeight="1">
      <c r="A205" s="9">
        <v>50201.0</v>
      </c>
      <c r="B205" s="10" t="s">
        <v>30</v>
      </c>
      <c r="C205" s="10" t="s">
        <v>235</v>
      </c>
      <c r="D205" s="11">
        <v>18.0</v>
      </c>
      <c r="E205" s="11">
        <v>2363.0</v>
      </c>
      <c r="F205" s="12">
        <f t="shared" si="5"/>
        <v>0.7617435463</v>
      </c>
      <c r="G205" s="13">
        <v>88.0</v>
      </c>
      <c r="H205" s="13">
        <v>2239.0</v>
      </c>
      <c r="I205" s="12">
        <f t="shared" si="6"/>
        <v>3.930326038</v>
      </c>
      <c r="J205" s="11">
        <v>303.0</v>
      </c>
      <c r="K205" s="11">
        <v>2097.0</v>
      </c>
      <c r="L205" s="12">
        <f t="shared" si="7"/>
        <v>14.44921316</v>
      </c>
      <c r="M205" s="13">
        <v>301.0</v>
      </c>
      <c r="N205" s="13">
        <v>1966.0</v>
      </c>
      <c r="O205" s="14">
        <f t="shared" si="8"/>
        <v>15.31027467</v>
      </c>
      <c r="P205" s="12">
        <f t="shared" si="9"/>
        <v>0.05271868702</v>
      </c>
      <c r="Q205" s="12">
        <f t="shared" si="10"/>
        <v>0.2567116608</v>
      </c>
      <c r="S205" s="28"/>
      <c r="T205" s="28"/>
      <c r="U205" s="27"/>
      <c r="V205" s="27"/>
      <c r="X205" s="27"/>
      <c r="Y205" s="27"/>
    </row>
    <row r="206" ht="15.75" customHeight="1">
      <c r="A206" s="9">
        <v>50202.0</v>
      </c>
      <c r="B206" s="10" t="s">
        <v>30</v>
      </c>
      <c r="C206" s="10" t="s">
        <v>236</v>
      </c>
      <c r="D206" s="11">
        <v>7.0</v>
      </c>
      <c r="E206" s="11">
        <v>1373.0</v>
      </c>
      <c r="F206" s="12">
        <f t="shared" si="5"/>
        <v>0.5098324836</v>
      </c>
      <c r="G206" s="13">
        <v>85.0</v>
      </c>
      <c r="H206" s="13">
        <v>1579.0</v>
      </c>
      <c r="I206" s="12">
        <f t="shared" si="6"/>
        <v>5.383153895</v>
      </c>
      <c r="J206" s="11">
        <v>235.0</v>
      </c>
      <c r="K206" s="11">
        <v>1368.0</v>
      </c>
      <c r="L206" s="12">
        <f t="shared" si="7"/>
        <v>17.17836257</v>
      </c>
      <c r="M206" s="13">
        <v>330.0</v>
      </c>
      <c r="N206" s="13">
        <v>1438.0</v>
      </c>
      <c r="O206" s="14">
        <f t="shared" si="8"/>
        <v>22.94853964</v>
      </c>
      <c r="P206" s="12">
        <f t="shared" si="9"/>
        <v>0.02967875905</v>
      </c>
      <c r="Q206" s="12">
        <f t="shared" si="10"/>
        <v>0.2345750091</v>
      </c>
      <c r="S206" s="28"/>
      <c r="T206" s="28"/>
      <c r="U206" s="27"/>
      <c r="V206" s="27"/>
      <c r="X206" s="27"/>
      <c r="Y206" s="27"/>
    </row>
    <row r="207" ht="15.75" customHeight="1">
      <c r="A207" s="9">
        <v>50203.0</v>
      </c>
      <c r="B207" s="10" t="s">
        <v>30</v>
      </c>
      <c r="C207" s="10" t="s">
        <v>237</v>
      </c>
      <c r="D207" s="11">
        <v>55.0</v>
      </c>
      <c r="E207" s="11">
        <v>4507.0</v>
      </c>
      <c r="F207" s="12">
        <f t="shared" si="5"/>
        <v>1.220323941</v>
      </c>
      <c r="G207" s="13">
        <v>104.0</v>
      </c>
      <c r="H207" s="13">
        <v>4737.0</v>
      </c>
      <c r="I207" s="12">
        <f t="shared" si="6"/>
        <v>2.195482373</v>
      </c>
      <c r="J207" s="11">
        <v>594.0</v>
      </c>
      <c r="K207" s="11">
        <v>4811.0</v>
      </c>
      <c r="L207" s="12">
        <f t="shared" si="7"/>
        <v>12.34670547</v>
      </c>
      <c r="M207" s="13">
        <v>536.0</v>
      </c>
      <c r="N207" s="13">
        <v>5359.0</v>
      </c>
      <c r="O207" s="14">
        <f t="shared" si="8"/>
        <v>10.00186602</v>
      </c>
      <c r="P207" s="12">
        <f t="shared" si="9"/>
        <v>0.09883802151</v>
      </c>
      <c r="Q207" s="12">
        <f t="shared" si="10"/>
        <v>0.2195072768</v>
      </c>
      <c r="S207" s="28"/>
      <c r="T207" s="28"/>
      <c r="U207" s="27"/>
      <c r="V207" s="27"/>
      <c r="X207" s="27"/>
      <c r="Y207" s="27"/>
    </row>
    <row r="208" ht="15.75" customHeight="1">
      <c r="A208" s="9">
        <v>50204.0</v>
      </c>
      <c r="B208" s="10" t="s">
        <v>30</v>
      </c>
      <c r="C208" s="10" t="s">
        <v>238</v>
      </c>
      <c r="D208" s="11">
        <v>11.0</v>
      </c>
      <c r="E208" s="11">
        <v>768.0</v>
      </c>
      <c r="F208" s="12">
        <f t="shared" si="5"/>
        <v>1.432291667</v>
      </c>
      <c r="G208" s="13">
        <v>27.0</v>
      </c>
      <c r="H208" s="13">
        <v>803.0</v>
      </c>
      <c r="I208" s="12">
        <f t="shared" si="6"/>
        <v>3.362391034</v>
      </c>
      <c r="J208" s="11">
        <v>203.0</v>
      </c>
      <c r="K208" s="11">
        <v>614.0</v>
      </c>
      <c r="L208" s="12">
        <f t="shared" si="7"/>
        <v>33.06188925</v>
      </c>
      <c r="M208" s="13">
        <v>192.0</v>
      </c>
      <c r="N208" s="13">
        <v>691.0</v>
      </c>
      <c r="O208" s="14">
        <f t="shared" si="8"/>
        <v>27.78581766</v>
      </c>
      <c r="P208" s="12">
        <f t="shared" si="9"/>
        <v>0.0433215312</v>
      </c>
      <c r="Q208" s="12">
        <f t="shared" si="10"/>
        <v>0.1210110523</v>
      </c>
      <c r="S208" s="28"/>
      <c r="T208" s="28"/>
      <c r="U208" s="27"/>
      <c r="V208" s="27"/>
      <c r="X208" s="27"/>
      <c r="Y208" s="27"/>
    </row>
    <row r="209" ht="15.75" customHeight="1">
      <c r="A209" s="9">
        <v>50301.0</v>
      </c>
      <c r="B209" s="10" t="s">
        <v>30</v>
      </c>
      <c r="C209" s="10" t="s">
        <v>239</v>
      </c>
      <c r="D209" s="11">
        <v>12.0</v>
      </c>
      <c r="E209" s="11">
        <v>3035.0</v>
      </c>
      <c r="F209" s="12">
        <f t="shared" si="5"/>
        <v>0.3953871499</v>
      </c>
      <c r="G209" s="13">
        <v>190.0</v>
      </c>
      <c r="H209" s="13">
        <v>2717.0</v>
      </c>
      <c r="I209" s="12">
        <f t="shared" si="6"/>
        <v>6.993006993</v>
      </c>
      <c r="J209" s="11">
        <v>518.0</v>
      </c>
      <c r="K209" s="11">
        <v>2882.0</v>
      </c>
      <c r="L209" s="12">
        <f t="shared" si="7"/>
        <v>17.97362942</v>
      </c>
      <c r="M209" s="13">
        <v>551.0</v>
      </c>
      <c r="N209" s="13">
        <v>2548.0</v>
      </c>
      <c r="O209" s="14">
        <f t="shared" si="8"/>
        <v>21.62480377</v>
      </c>
      <c r="P209" s="12">
        <f t="shared" si="9"/>
        <v>0.02199818081</v>
      </c>
      <c r="Q209" s="12">
        <f t="shared" si="10"/>
        <v>0.3233789804</v>
      </c>
      <c r="S209" s="28"/>
      <c r="T209" s="28"/>
      <c r="U209" s="27"/>
      <c r="V209" s="27"/>
      <c r="X209" s="27"/>
      <c r="Y209" s="27"/>
    </row>
    <row r="210" ht="15.75" customHeight="1">
      <c r="A210" s="9">
        <v>50302.0</v>
      </c>
      <c r="B210" s="10" t="s">
        <v>30</v>
      </c>
      <c r="C210" s="10" t="s">
        <v>240</v>
      </c>
      <c r="D210" s="11">
        <v>7.0</v>
      </c>
      <c r="E210" s="11">
        <v>768.0</v>
      </c>
      <c r="F210" s="12">
        <f t="shared" si="5"/>
        <v>0.9114583333</v>
      </c>
      <c r="G210" s="13">
        <v>41.0</v>
      </c>
      <c r="H210" s="13">
        <v>660.0</v>
      </c>
      <c r="I210" s="12">
        <f t="shared" si="6"/>
        <v>6.212121212</v>
      </c>
      <c r="J210" s="11">
        <v>162.0</v>
      </c>
      <c r="K210" s="11">
        <v>768.0</v>
      </c>
      <c r="L210" s="12">
        <f t="shared" si="7"/>
        <v>21.09375</v>
      </c>
      <c r="M210" s="13">
        <v>143.0</v>
      </c>
      <c r="N210" s="13">
        <v>652.0</v>
      </c>
      <c r="O210" s="14">
        <f t="shared" si="8"/>
        <v>21.93251534</v>
      </c>
      <c r="P210" s="12">
        <f t="shared" si="9"/>
        <v>0.04320987654</v>
      </c>
      <c r="Q210" s="12">
        <f t="shared" si="10"/>
        <v>0.2832379741</v>
      </c>
      <c r="S210" s="28"/>
      <c r="T210" s="28"/>
      <c r="U210" s="27"/>
      <c r="V210" s="27"/>
      <c r="X210" s="27"/>
      <c r="Y210" s="27"/>
    </row>
    <row r="211" ht="15.75" customHeight="1">
      <c r="A211" s="9">
        <v>50303.0</v>
      </c>
      <c r="B211" s="10" t="s">
        <v>30</v>
      </c>
      <c r="C211" s="10" t="s">
        <v>241</v>
      </c>
      <c r="D211" s="11">
        <v>7.0</v>
      </c>
      <c r="E211" s="11">
        <v>1098.0</v>
      </c>
      <c r="F211" s="12">
        <f t="shared" si="5"/>
        <v>0.6375227687</v>
      </c>
      <c r="G211" s="13">
        <v>96.0</v>
      </c>
      <c r="H211" s="13">
        <v>1345.0</v>
      </c>
      <c r="I211" s="12">
        <f t="shared" si="6"/>
        <v>7.137546468</v>
      </c>
      <c r="J211" s="11">
        <v>193.0</v>
      </c>
      <c r="K211" s="11">
        <v>913.0</v>
      </c>
      <c r="L211" s="12">
        <f t="shared" si="7"/>
        <v>21.13910186</v>
      </c>
      <c r="M211" s="13">
        <v>297.0</v>
      </c>
      <c r="N211" s="13">
        <v>1067.0</v>
      </c>
      <c r="O211" s="14">
        <f t="shared" si="8"/>
        <v>27.83505155</v>
      </c>
      <c r="P211" s="12">
        <f t="shared" si="9"/>
        <v>0.03015846051</v>
      </c>
      <c r="Q211" s="12">
        <f t="shared" si="10"/>
        <v>0.2564229657</v>
      </c>
      <c r="S211" s="28"/>
      <c r="T211" s="28"/>
      <c r="U211" s="27"/>
      <c r="V211" s="27"/>
      <c r="X211" s="27"/>
      <c r="Y211" s="27"/>
    </row>
    <row r="212" ht="15.75" customHeight="1">
      <c r="A212" s="9">
        <v>50401.0</v>
      </c>
      <c r="B212" s="10" t="s">
        <v>30</v>
      </c>
      <c r="C212" s="10" t="s">
        <v>242</v>
      </c>
      <c r="D212" s="11">
        <v>11.0</v>
      </c>
      <c r="E212" s="11">
        <v>1481.0</v>
      </c>
      <c r="F212" s="12">
        <f t="shared" si="5"/>
        <v>0.742741391</v>
      </c>
      <c r="G212" s="13">
        <v>55.0</v>
      </c>
      <c r="H212" s="13">
        <v>1758.0</v>
      </c>
      <c r="I212" s="12">
        <f t="shared" si="6"/>
        <v>3.128555176</v>
      </c>
      <c r="J212" s="11">
        <v>257.0</v>
      </c>
      <c r="K212" s="11">
        <v>1235.0</v>
      </c>
      <c r="L212" s="12">
        <f t="shared" si="7"/>
        <v>20.8097166</v>
      </c>
      <c r="M212" s="13">
        <v>387.0</v>
      </c>
      <c r="N212" s="13">
        <v>1266.0</v>
      </c>
      <c r="O212" s="14">
        <f t="shared" si="8"/>
        <v>30.56872038</v>
      </c>
      <c r="P212" s="12">
        <f t="shared" si="9"/>
        <v>0.03569204739</v>
      </c>
      <c r="Q212" s="12">
        <f t="shared" si="10"/>
        <v>0.1023449833</v>
      </c>
      <c r="S212" s="28"/>
      <c r="T212" s="28"/>
      <c r="U212" s="27"/>
      <c r="V212" s="27"/>
      <c r="X212" s="27"/>
      <c r="Y212" s="27"/>
    </row>
    <row r="213" ht="15.75" customHeight="1">
      <c r="A213" s="9">
        <v>50402.0</v>
      </c>
      <c r="B213" s="10" t="s">
        <v>30</v>
      </c>
      <c r="C213" s="10" t="s">
        <v>243</v>
      </c>
      <c r="D213" s="11">
        <v>9.0</v>
      </c>
      <c r="E213" s="11">
        <v>1571.0</v>
      </c>
      <c r="F213" s="12">
        <f t="shared" si="5"/>
        <v>0.5728835137</v>
      </c>
      <c r="G213" s="13">
        <v>72.0</v>
      </c>
      <c r="H213" s="13">
        <v>1231.0</v>
      </c>
      <c r="I213" s="12">
        <f t="shared" si="6"/>
        <v>5.848903331</v>
      </c>
      <c r="J213" s="11">
        <v>264.0</v>
      </c>
      <c r="K213" s="11">
        <v>1377.0</v>
      </c>
      <c r="L213" s="12">
        <f t="shared" si="7"/>
        <v>19.17211329</v>
      </c>
      <c r="M213" s="13">
        <v>247.0</v>
      </c>
      <c r="N213" s="13">
        <v>1070.0</v>
      </c>
      <c r="O213" s="14">
        <f t="shared" si="8"/>
        <v>23.08411215</v>
      </c>
      <c r="P213" s="12">
        <f t="shared" si="9"/>
        <v>0.02988108327</v>
      </c>
      <c r="Q213" s="12">
        <f t="shared" si="10"/>
        <v>0.2533735451</v>
      </c>
      <c r="S213" s="28"/>
      <c r="T213" s="28"/>
      <c r="U213" s="27"/>
      <c r="V213" s="27"/>
      <c r="X213" s="27"/>
      <c r="Y213" s="27"/>
    </row>
    <row r="214" ht="15.75" customHeight="1">
      <c r="A214" s="9">
        <v>50403.0</v>
      </c>
      <c r="B214" s="10" t="s">
        <v>30</v>
      </c>
      <c r="C214" s="10" t="s">
        <v>244</v>
      </c>
      <c r="D214" s="11">
        <v>19.0</v>
      </c>
      <c r="E214" s="11">
        <v>2258.0</v>
      </c>
      <c r="F214" s="12">
        <f t="shared" si="5"/>
        <v>0.8414526129</v>
      </c>
      <c r="G214" s="13">
        <v>245.0</v>
      </c>
      <c r="H214" s="13">
        <v>2820.0</v>
      </c>
      <c r="I214" s="12">
        <f t="shared" si="6"/>
        <v>8.687943262</v>
      </c>
      <c r="J214" s="11">
        <v>342.0</v>
      </c>
      <c r="K214" s="11">
        <v>2004.0</v>
      </c>
      <c r="L214" s="12">
        <f t="shared" si="7"/>
        <v>17.06586826</v>
      </c>
      <c r="M214" s="13">
        <v>731.0</v>
      </c>
      <c r="N214" s="13">
        <v>2722.0</v>
      </c>
      <c r="O214" s="14">
        <f t="shared" si="8"/>
        <v>26.85525349</v>
      </c>
      <c r="P214" s="12">
        <f t="shared" si="9"/>
        <v>0.04930617065</v>
      </c>
      <c r="Q214" s="12">
        <f t="shared" si="10"/>
        <v>0.3235100077</v>
      </c>
      <c r="S214" s="28"/>
      <c r="T214" s="28"/>
      <c r="U214" s="27"/>
      <c r="V214" s="27"/>
      <c r="X214" s="27"/>
      <c r="Y214" s="27"/>
    </row>
    <row r="215" ht="15.75" customHeight="1">
      <c r="A215" s="9">
        <v>50404.0</v>
      </c>
      <c r="B215" s="10" t="s">
        <v>30</v>
      </c>
      <c r="C215" s="10" t="s">
        <v>245</v>
      </c>
      <c r="D215" s="11">
        <v>8.0</v>
      </c>
      <c r="E215" s="11">
        <v>1363.0</v>
      </c>
      <c r="F215" s="12">
        <f t="shared" si="5"/>
        <v>0.5869405723</v>
      </c>
      <c r="G215" s="13">
        <v>84.0</v>
      </c>
      <c r="H215" s="13">
        <v>1352.0</v>
      </c>
      <c r="I215" s="12">
        <f t="shared" si="6"/>
        <v>6.213017751</v>
      </c>
      <c r="J215" s="11">
        <v>237.0</v>
      </c>
      <c r="K215" s="11">
        <v>1151.0</v>
      </c>
      <c r="L215" s="12">
        <f t="shared" si="7"/>
        <v>20.59079062</v>
      </c>
      <c r="M215" s="13">
        <v>289.0</v>
      </c>
      <c r="N215" s="13">
        <v>1011.0</v>
      </c>
      <c r="O215" s="14">
        <f t="shared" si="8"/>
        <v>28.58555885</v>
      </c>
      <c r="P215" s="12">
        <f t="shared" si="9"/>
        <v>0.02850500416</v>
      </c>
      <c r="Q215" s="12">
        <f t="shared" si="10"/>
        <v>0.2173481296</v>
      </c>
      <c r="S215" s="28"/>
      <c r="T215" s="28"/>
      <c r="U215" s="27"/>
      <c r="V215" s="27"/>
      <c r="X215" s="27"/>
      <c r="Y215" s="27"/>
    </row>
    <row r="216" ht="15.75" customHeight="1">
      <c r="A216" s="9">
        <v>50405.0</v>
      </c>
      <c r="B216" s="10" t="s">
        <v>30</v>
      </c>
      <c r="C216" s="10" t="s">
        <v>246</v>
      </c>
      <c r="D216" s="11">
        <v>6.0</v>
      </c>
      <c r="E216" s="11">
        <v>1746.0</v>
      </c>
      <c r="F216" s="12">
        <f t="shared" si="5"/>
        <v>0.3436426117</v>
      </c>
      <c r="G216" s="13">
        <v>131.0</v>
      </c>
      <c r="H216" s="13">
        <v>2066.0</v>
      </c>
      <c r="I216" s="12">
        <f t="shared" si="6"/>
        <v>6.340755082</v>
      </c>
      <c r="J216" s="11">
        <v>303.0</v>
      </c>
      <c r="K216" s="11">
        <v>1414.0</v>
      </c>
      <c r="L216" s="12">
        <f t="shared" si="7"/>
        <v>21.42857143</v>
      </c>
      <c r="M216" s="13">
        <v>369.0</v>
      </c>
      <c r="N216" s="13">
        <v>1605.0</v>
      </c>
      <c r="O216" s="14">
        <f t="shared" si="8"/>
        <v>22.99065421</v>
      </c>
      <c r="P216" s="12">
        <f t="shared" si="9"/>
        <v>0.01603665521</v>
      </c>
      <c r="Q216" s="12">
        <f t="shared" si="10"/>
        <v>0.2757970707</v>
      </c>
      <c r="S216" s="28"/>
      <c r="T216" s="28"/>
      <c r="U216" s="27"/>
      <c r="V216" s="27"/>
      <c r="X216" s="27"/>
      <c r="Y216" s="27"/>
    </row>
    <row r="217" ht="15.75" customHeight="1">
      <c r="A217" s="9">
        <v>50501.0</v>
      </c>
      <c r="B217" s="10" t="s">
        <v>30</v>
      </c>
      <c r="C217" s="10" t="s">
        <v>247</v>
      </c>
      <c r="D217" s="11">
        <v>23.0</v>
      </c>
      <c r="E217" s="11">
        <v>2664.0</v>
      </c>
      <c r="F217" s="12">
        <f t="shared" si="5"/>
        <v>0.8633633634</v>
      </c>
      <c r="G217" s="13">
        <v>359.0</v>
      </c>
      <c r="H217" s="13">
        <v>2395.0</v>
      </c>
      <c r="I217" s="12">
        <f t="shared" si="6"/>
        <v>14.98956159</v>
      </c>
      <c r="J217" s="11">
        <v>424.0</v>
      </c>
      <c r="K217" s="11">
        <v>2326.0</v>
      </c>
      <c r="L217" s="12">
        <f t="shared" si="7"/>
        <v>18.22871883</v>
      </c>
      <c r="M217" s="13">
        <v>763.0</v>
      </c>
      <c r="N217" s="13">
        <v>2043.0</v>
      </c>
      <c r="O217" s="14">
        <f t="shared" si="8"/>
        <v>37.34703867</v>
      </c>
      <c r="P217" s="12">
        <f t="shared" si="9"/>
        <v>0.04736281092</v>
      </c>
      <c r="Q217" s="12">
        <f t="shared" si="10"/>
        <v>0.4013587722</v>
      </c>
      <c r="S217" s="28"/>
      <c r="T217" s="28"/>
      <c r="U217" s="27"/>
      <c r="V217" s="27"/>
      <c r="X217" s="27"/>
      <c r="Y217" s="27"/>
    </row>
    <row r="218" ht="15.75" customHeight="1">
      <c r="A218" s="9">
        <v>50502.0</v>
      </c>
      <c r="B218" s="10" t="s">
        <v>30</v>
      </c>
      <c r="C218" s="10" t="s">
        <v>248</v>
      </c>
      <c r="D218" s="11">
        <v>12.0</v>
      </c>
      <c r="E218" s="11">
        <v>780.0</v>
      </c>
      <c r="F218" s="12">
        <f t="shared" si="5"/>
        <v>1.538461538</v>
      </c>
      <c r="G218" s="13">
        <v>87.0</v>
      </c>
      <c r="H218" s="13">
        <v>807.0</v>
      </c>
      <c r="I218" s="12">
        <f t="shared" si="6"/>
        <v>10.78066914</v>
      </c>
      <c r="J218" s="11">
        <v>162.0</v>
      </c>
      <c r="K218" s="11">
        <v>668.0</v>
      </c>
      <c r="L218" s="12">
        <f t="shared" si="7"/>
        <v>24.25149701</v>
      </c>
      <c r="M218" s="13">
        <v>186.0</v>
      </c>
      <c r="N218" s="13">
        <v>796.0</v>
      </c>
      <c r="O218" s="14">
        <f t="shared" si="8"/>
        <v>23.36683417</v>
      </c>
      <c r="P218" s="12">
        <f t="shared" si="9"/>
        <v>0.06343779677</v>
      </c>
      <c r="Q218" s="12">
        <f t="shared" si="10"/>
        <v>0.4613662709</v>
      </c>
      <c r="S218" s="28"/>
      <c r="T218" s="28"/>
      <c r="U218" s="27"/>
      <c r="V218" s="27"/>
      <c r="X218" s="27"/>
      <c r="Y218" s="27"/>
    </row>
    <row r="219" ht="15.75" customHeight="1">
      <c r="A219" s="9">
        <v>50601.0</v>
      </c>
      <c r="B219" s="10" t="s">
        <v>30</v>
      </c>
      <c r="C219" s="10" t="s">
        <v>249</v>
      </c>
      <c r="D219" s="11">
        <v>16.0</v>
      </c>
      <c r="E219" s="11">
        <v>2997.0</v>
      </c>
      <c r="F219" s="12">
        <f t="shared" si="5"/>
        <v>0.5338672005</v>
      </c>
      <c r="G219" s="13">
        <v>122.0</v>
      </c>
      <c r="H219" s="13">
        <v>2305.0</v>
      </c>
      <c r="I219" s="12">
        <f t="shared" si="6"/>
        <v>5.292841649</v>
      </c>
      <c r="J219" s="11">
        <v>578.0</v>
      </c>
      <c r="K219" s="11">
        <v>2876.0</v>
      </c>
      <c r="L219" s="12">
        <f t="shared" si="7"/>
        <v>20.09735744</v>
      </c>
      <c r="M219" s="13">
        <v>400.0</v>
      </c>
      <c r="N219" s="13">
        <v>2242.0</v>
      </c>
      <c r="O219" s="14">
        <f t="shared" si="8"/>
        <v>17.8412132</v>
      </c>
      <c r="P219" s="12">
        <f t="shared" si="9"/>
        <v>0.02656404963</v>
      </c>
      <c r="Q219" s="12">
        <f t="shared" si="10"/>
        <v>0.2966637744</v>
      </c>
      <c r="S219" s="28"/>
      <c r="T219" s="28"/>
      <c r="U219" s="27"/>
      <c r="V219" s="27"/>
      <c r="X219" s="27"/>
      <c r="Y219" s="27"/>
    </row>
    <row r="220" ht="15.75" customHeight="1">
      <c r="A220" s="9">
        <v>50602.0</v>
      </c>
      <c r="B220" s="10" t="s">
        <v>30</v>
      </c>
      <c r="C220" s="10" t="s">
        <v>250</v>
      </c>
      <c r="D220" s="11">
        <v>11.0</v>
      </c>
      <c r="E220" s="11">
        <v>899.0</v>
      </c>
      <c r="F220" s="12">
        <f t="shared" si="5"/>
        <v>1.223581758</v>
      </c>
      <c r="G220" s="13">
        <v>65.0</v>
      </c>
      <c r="H220" s="13">
        <v>732.0</v>
      </c>
      <c r="I220" s="12">
        <f t="shared" si="6"/>
        <v>8.879781421</v>
      </c>
      <c r="J220" s="11">
        <v>210.0</v>
      </c>
      <c r="K220" s="11">
        <v>883.0</v>
      </c>
      <c r="L220" s="12">
        <f t="shared" si="7"/>
        <v>23.78255946</v>
      </c>
      <c r="M220" s="13">
        <v>196.0</v>
      </c>
      <c r="N220" s="13">
        <v>790.0</v>
      </c>
      <c r="O220" s="14">
        <f t="shared" si="8"/>
        <v>24.81012658</v>
      </c>
      <c r="P220" s="12">
        <f t="shared" si="9"/>
        <v>0.05144869961</v>
      </c>
      <c r="Q220" s="12">
        <f t="shared" si="10"/>
        <v>0.3579095573</v>
      </c>
      <c r="S220" s="28"/>
      <c r="T220" s="28"/>
      <c r="U220" s="27"/>
      <c r="V220" s="27"/>
      <c r="X220" s="27"/>
      <c r="Y220" s="27"/>
    </row>
    <row r="221" ht="15.75" customHeight="1">
      <c r="A221" s="9">
        <v>50701.0</v>
      </c>
      <c r="B221" s="10" t="s">
        <v>30</v>
      </c>
      <c r="C221" s="10" t="s">
        <v>251</v>
      </c>
      <c r="D221" s="11">
        <v>15.0</v>
      </c>
      <c r="E221" s="11">
        <v>1762.0</v>
      </c>
      <c r="F221" s="12">
        <f t="shared" si="5"/>
        <v>0.8513053348</v>
      </c>
      <c r="G221" s="13">
        <v>103.0</v>
      </c>
      <c r="H221" s="13">
        <v>1412.0</v>
      </c>
      <c r="I221" s="12">
        <f t="shared" si="6"/>
        <v>7.294617564</v>
      </c>
      <c r="J221" s="11">
        <v>191.0</v>
      </c>
      <c r="K221" s="11">
        <v>1534.0</v>
      </c>
      <c r="L221" s="12">
        <f t="shared" si="7"/>
        <v>12.45110821</v>
      </c>
      <c r="M221" s="13">
        <v>303.0</v>
      </c>
      <c r="N221" s="13">
        <v>1275.0</v>
      </c>
      <c r="O221" s="14">
        <f t="shared" si="8"/>
        <v>23.76470588</v>
      </c>
      <c r="P221" s="12">
        <f t="shared" si="9"/>
        <v>0.06837185255</v>
      </c>
      <c r="Q221" s="12">
        <f t="shared" si="10"/>
        <v>0.3069517292</v>
      </c>
      <c r="S221" s="28"/>
      <c r="T221" s="28"/>
      <c r="U221" s="27"/>
      <c r="V221" s="27"/>
      <c r="X221" s="27"/>
      <c r="Y221" s="27"/>
    </row>
    <row r="222" ht="15.75" customHeight="1">
      <c r="A222" s="9">
        <v>50702.0</v>
      </c>
      <c r="B222" s="10" t="s">
        <v>30</v>
      </c>
      <c r="C222" s="10" t="s">
        <v>252</v>
      </c>
      <c r="D222" s="11">
        <v>5.0</v>
      </c>
      <c r="E222" s="11">
        <v>702.0</v>
      </c>
      <c r="F222" s="12">
        <f t="shared" si="5"/>
        <v>0.7122507123</v>
      </c>
      <c r="G222" s="13">
        <v>68.0</v>
      </c>
      <c r="H222" s="13">
        <v>717.0</v>
      </c>
      <c r="I222" s="12">
        <f t="shared" si="6"/>
        <v>9.483960948</v>
      </c>
      <c r="J222" s="11">
        <v>42.0</v>
      </c>
      <c r="K222" s="11">
        <v>566.0</v>
      </c>
      <c r="L222" s="12">
        <f t="shared" si="7"/>
        <v>7.4204947</v>
      </c>
      <c r="M222" s="13">
        <v>155.0</v>
      </c>
      <c r="N222" s="13">
        <v>562.0</v>
      </c>
      <c r="O222" s="14">
        <f t="shared" si="8"/>
        <v>27.58007117</v>
      </c>
      <c r="P222" s="12">
        <f t="shared" si="9"/>
        <v>0.09598426265</v>
      </c>
      <c r="Q222" s="12">
        <f t="shared" si="10"/>
        <v>0.3438700679</v>
      </c>
      <c r="S222" s="28"/>
      <c r="T222" s="28"/>
      <c r="U222" s="27"/>
      <c r="V222" s="27"/>
      <c r="X222" s="27"/>
      <c r="Y222" s="27"/>
    </row>
    <row r="223" ht="15.75" customHeight="1">
      <c r="A223" s="9">
        <v>50801.0</v>
      </c>
      <c r="B223" s="10" t="s">
        <v>30</v>
      </c>
      <c r="C223" s="10" t="s">
        <v>253</v>
      </c>
      <c r="D223" s="11">
        <v>45.0</v>
      </c>
      <c r="E223" s="11">
        <v>4522.0</v>
      </c>
      <c r="F223" s="12">
        <f t="shared" si="5"/>
        <v>0.9951348961</v>
      </c>
      <c r="G223" s="13">
        <v>121.0</v>
      </c>
      <c r="H223" s="13">
        <v>3782.0</v>
      </c>
      <c r="I223" s="12">
        <f t="shared" si="6"/>
        <v>3.199365415</v>
      </c>
      <c r="J223" s="11">
        <v>772.0</v>
      </c>
      <c r="K223" s="11">
        <v>4325.0</v>
      </c>
      <c r="L223" s="12">
        <f t="shared" si="7"/>
        <v>17.84971098</v>
      </c>
      <c r="M223" s="13">
        <v>495.0</v>
      </c>
      <c r="N223" s="13">
        <v>3453.0</v>
      </c>
      <c r="O223" s="14">
        <f t="shared" si="8"/>
        <v>14.33536056</v>
      </c>
      <c r="P223" s="12">
        <f t="shared" si="9"/>
        <v>0.05575075681</v>
      </c>
      <c r="Q223" s="12">
        <f t="shared" si="10"/>
        <v>0.2231799753</v>
      </c>
      <c r="S223" s="28"/>
      <c r="T223" s="28"/>
      <c r="U223" s="27"/>
      <c r="V223" s="27"/>
      <c r="X223" s="27"/>
      <c r="Y223" s="27"/>
    </row>
    <row r="224" ht="15.75" customHeight="1">
      <c r="A224" s="9">
        <v>50802.0</v>
      </c>
      <c r="B224" s="10" t="s">
        <v>30</v>
      </c>
      <c r="C224" s="10" t="s">
        <v>254</v>
      </c>
      <c r="D224" s="11">
        <v>8.0</v>
      </c>
      <c r="E224" s="11">
        <v>1042.0</v>
      </c>
      <c r="F224" s="12">
        <f t="shared" si="5"/>
        <v>0.7677543186</v>
      </c>
      <c r="G224" s="13">
        <v>8.0</v>
      </c>
      <c r="H224" s="13">
        <v>718.0</v>
      </c>
      <c r="I224" s="12">
        <f t="shared" si="6"/>
        <v>1.114206128</v>
      </c>
      <c r="J224" s="11">
        <v>226.0</v>
      </c>
      <c r="K224" s="11">
        <v>1008.0</v>
      </c>
      <c r="L224" s="12">
        <f t="shared" si="7"/>
        <v>22.42063492</v>
      </c>
      <c r="M224" s="13">
        <v>108.0</v>
      </c>
      <c r="N224" s="13">
        <v>668.0</v>
      </c>
      <c r="O224" s="14">
        <f t="shared" si="8"/>
        <v>16.16766467</v>
      </c>
      <c r="P224" s="12">
        <f t="shared" si="9"/>
        <v>0.03424320147</v>
      </c>
      <c r="Q224" s="12">
        <f t="shared" si="10"/>
        <v>0.06891571237</v>
      </c>
      <c r="S224" s="28"/>
      <c r="T224" s="28"/>
      <c r="U224" s="27"/>
      <c r="V224" s="27"/>
      <c r="X224" s="27"/>
      <c r="Y224" s="27"/>
    </row>
    <row r="225" ht="15.75" customHeight="1">
      <c r="A225" s="9">
        <v>50901.0</v>
      </c>
      <c r="B225" s="10" t="s">
        <v>30</v>
      </c>
      <c r="C225" s="10" t="s">
        <v>255</v>
      </c>
      <c r="D225" s="11">
        <v>10.0</v>
      </c>
      <c r="E225" s="11">
        <v>1361.0</v>
      </c>
      <c r="F225" s="12">
        <f t="shared" si="5"/>
        <v>0.7347538575</v>
      </c>
      <c r="G225" s="13">
        <v>35.0</v>
      </c>
      <c r="H225" s="13">
        <v>1112.0</v>
      </c>
      <c r="I225" s="12">
        <f t="shared" si="6"/>
        <v>3.147482014</v>
      </c>
      <c r="J225" s="11">
        <v>234.0</v>
      </c>
      <c r="K225" s="11">
        <v>1042.0</v>
      </c>
      <c r="L225" s="12">
        <f t="shared" si="7"/>
        <v>22.45681382</v>
      </c>
      <c r="M225" s="13">
        <v>148.0</v>
      </c>
      <c r="N225" s="13">
        <v>857.0</v>
      </c>
      <c r="O225" s="14">
        <f t="shared" si="8"/>
        <v>17.26954492</v>
      </c>
      <c r="P225" s="12">
        <f t="shared" si="9"/>
        <v>0.03271852647</v>
      </c>
      <c r="Q225" s="12">
        <f t="shared" si="10"/>
        <v>0.182256222</v>
      </c>
      <c r="S225" s="28"/>
      <c r="T225" s="28"/>
      <c r="U225" s="27"/>
      <c r="V225" s="27"/>
      <c r="X225" s="27"/>
      <c r="Y225" s="27"/>
    </row>
    <row r="226" ht="15.75" customHeight="1">
      <c r="A226" s="9">
        <v>50902.0</v>
      </c>
      <c r="B226" s="10" t="s">
        <v>30</v>
      </c>
      <c r="C226" s="10" t="s">
        <v>256</v>
      </c>
      <c r="D226" s="11">
        <v>1.0</v>
      </c>
      <c r="E226" s="11">
        <v>86.0</v>
      </c>
      <c r="F226" s="12">
        <f t="shared" si="5"/>
        <v>1.162790698</v>
      </c>
      <c r="G226" s="13">
        <v>6.0</v>
      </c>
      <c r="H226" s="13">
        <v>175.0</v>
      </c>
      <c r="I226" s="12">
        <f t="shared" si="6"/>
        <v>3.428571429</v>
      </c>
      <c r="J226" s="11">
        <v>13.0</v>
      </c>
      <c r="K226" s="11">
        <v>76.0</v>
      </c>
      <c r="L226" s="12">
        <f t="shared" si="7"/>
        <v>17.10526316</v>
      </c>
      <c r="M226" s="13">
        <v>17.0</v>
      </c>
      <c r="N226" s="13">
        <v>99.0</v>
      </c>
      <c r="O226" s="14">
        <f t="shared" si="8"/>
        <v>17.17171717</v>
      </c>
      <c r="P226" s="12">
        <f t="shared" si="9"/>
        <v>0.06797853309</v>
      </c>
      <c r="Q226" s="12">
        <f t="shared" si="10"/>
        <v>0.1996638655</v>
      </c>
      <c r="S226" s="28"/>
      <c r="T226" s="28"/>
      <c r="U226" s="27"/>
      <c r="V226" s="27"/>
      <c r="X226" s="27"/>
      <c r="Y226" s="27"/>
    </row>
    <row r="227" ht="15.75" customHeight="1">
      <c r="A227" s="9">
        <v>51001.0</v>
      </c>
      <c r="B227" s="10" t="s">
        <v>30</v>
      </c>
      <c r="C227" s="10" t="s">
        <v>257</v>
      </c>
      <c r="D227" s="11">
        <v>4.0</v>
      </c>
      <c r="E227" s="11">
        <v>363.0</v>
      </c>
      <c r="F227" s="12">
        <f t="shared" si="5"/>
        <v>1.101928375</v>
      </c>
      <c r="G227" s="13">
        <v>13.0</v>
      </c>
      <c r="H227" s="13">
        <v>314.0</v>
      </c>
      <c r="I227" s="12">
        <f t="shared" si="6"/>
        <v>4.140127389</v>
      </c>
      <c r="J227" s="11">
        <v>81.0</v>
      </c>
      <c r="K227" s="11">
        <v>312.0</v>
      </c>
      <c r="L227" s="12">
        <f t="shared" si="7"/>
        <v>25.96153846</v>
      </c>
      <c r="M227" s="13">
        <v>54.0</v>
      </c>
      <c r="N227" s="13">
        <v>248.0</v>
      </c>
      <c r="O227" s="14">
        <f t="shared" si="8"/>
        <v>21.77419355</v>
      </c>
      <c r="P227" s="12">
        <f t="shared" si="9"/>
        <v>0.04244464851</v>
      </c>
      <c r="Q227" s="12">
        <f t="shared" si="10"/>
        <v>0.1901391838</v>
      </c>
      <c r="S227" s="28"/>
      <c r="T227" s="28"/>
      <c r="U227" s="27"/>
      <c r="V227" s="27"/>
      <c r="X227" s="27"/>
      <c r="Y227" s="27"/>
    </row>
    <row r="228" ht="15.75" customHeight="1">
      <c r="A228" s="9">
        <v>51002.0</v>
      </c>
      <c r="B228" s="10" t="s">
        <v>30</v>
      </c>
      <c r="C228" s="10" t="s">
        <v>258</v>
      </c>
      <c r="D228" s="11">
        <v>1.0</v>
      </c>
      <c r="E228" s="11">
        <v>101.0</v>
      </c>
      <c r="F228" s="12">
        <f t="shared" si="5"/>
        <v>0.9900990099</v>
      </c>
      <c r="G228" s="13">
        <v>9.0</v>
      </c>
      <c r="H228" s="13">
        <v>88.0</v>
      </c>
      <c r="I228" s="12">
        <f t="shared" si="6"/>
        <v>10.22727273</v>
      </c>
      <c r="J228" s="11">
        <v>50.0</v>
      </c>
      <c r="K228" s="11">
        <v>117.0</v>
      </c>
      <c r="L228" s="12">
        <f t="shared" si="7"/>
        <v>42.73504274</v>
      </c>
      <c r="M228" s="13">
        <v>27.0</v>
      </c>
      <c r="N228" s="13">
        <v>78.0</v>
      </c>
      <c r="O228" s="14">
        <f t="shared" si="8"/>
        <v>34.61538462</v>
      </c>
      <c r="P228" s="12">
        <f t="shared" si="9"/>
        <v>0.02316831683</v>
      </c>
      <c r="Q228" s="12">
        <f t="shared" si="10"/>
        <v>0.2954545455</v>
      </c>
      <c r="S228" s="28"/>
      <c r="T228" s="28"/>
      <c r="U228" s="27"/>
      <c r="V228" s="27"/>
      <c r="X228" s="27"/>
      <c r="Y228" s="27"/>
    </row>
    <row r="229" ht="15.75" customHeight="1">
      <c r="A229" s="9">
        <v>51003.0</v>
      </c>
      <c r="B229" s="10" t="s">
        <v>30</v>
      </c>
      <c r="C229" s="10" t="s">
        <v>259</v>
      </c>
      <c r="D229" s="11">
        <v>1.0</v>
      </c>
      <c r="E229" s="11">
        <v>202.0</v>
      </c>
      <c r="F229" s="12">
        <f t="shared" si="5"/>
        <v>0.495049505</v>
      </c>
      <c r="G229" s="13">
        <v>4.0</v>
      </c>
      <c r="H229" s="13">
        <v>189.0</v>
      </c>
      <c r="I229" s="12">
        <f t="shared" si="6"/>
        <v>2.116402116</v>
      </c>
      <c r="J229" s="11">
        <v>47.0</v>
      </c>
      <c r="K229" s="11">
        <v>192.0</v>
      </c>
      <c r="L229" s="12">
        <f t="shared" si="7"/>
        <v>24.47916667</v>
      </c>
      <c r="M229" s="13">
        <v>52.0</v>
      </c>
      <c r="N229" s="13">
        <v>181.0</v>
      </c>
      <c r="O229" s="14">
        <f t="shared" si="8"/>
        <v>28.72928177</v>
      </c>
      <c r="P229" s="12">
        <f t="shared" si="9"/>
        <v>0.02022329893</v>
      </c>
      <c r="Q229" s="12">
        <f t="shared" si="10"/>
        <v>0.07366707367</v>
      </c>
      <c r="S229" s="28"/>
      <c r="T229" s="28"/>
      <c r="U229" s="27"/>
      <c r="V229" s="27"/>
      <c r="X229" s="27"/>
      <c r="Y229" s="27"/>
    </row>
    <row r="230" ht="15.75" customHeight="1">
      <c r="A230" s="9">
        <v>51101.0</v>
      </c>
      <c r="B230" s="10" t="s">
        <v>30</v>
      </c>
      <c r="C230" s="10" t="s">
        <v>260</v>
      </c>
      <c r="D230" s="11">
        <v>14.0</v>
      </c>
      <c r="E230" s="11">
        <v>1917.0</v>
      </c>
      <c r="F230" s="12">
        <f t="shared" si="5"/>
        <v>0.7303077726</v>
      </c>
      <c r="G230" s="13">
        <v>69.0</v>
      </c>
      <c r="H230" s="13">
        <v>1242.0</v>
      </c>
      <c r="I230" s="12">
        <f t="shared" si="6"/>
        <v>5.555555556</v>
      </c>
      <c r="J230" s="11">
        <v>328.0</v>
      </c>
      <c r="K230" s="11">
        <v>1861.0</v>
      </c>
      <c r="L230" s="12">
        <f t="shared" si="7"/>
        <v>17.62493283</v>
      </c>
      <c r="M230" s="13">
        <v>194.0</v>
      </c>
      <c r="N230" s="13">
        <v>1215.0</v>
      </c>
      <c r="O230" s="14">
        <f t="shared" si="8"/>
        <v>15.96707819</v>
      </c>
      <c r="P230" s="12">
        <f t="shared" si="9"/>
        <v>0.0414360599</v>
      </c>
      <c r="Q230" s="12">
        <f t="shared" si="10"/>
        <v>0.3479381443</v>
      </c>
      <c r="S230" s="28"/>
      <c r="T230" s="28"/>
      <c r="U230" s="27"/>
      <c r="V230" s="27"/>
      <c r="X230" s="27"/>
      <c r="Y230" s="27"/>
    </row>
    <row r="231" ht="15.75" customHeight="1">
      <c r="A231" s="9">
        <v>51102.0</v>
      </c>
      <c r="B231" s="10" t="s">
        <v>30</v>
      </c>
      <c r="C231" s="10" t="s">
        <v>261</v>
      </c>
      <c r="D231" s="11">
        <v>16.0</v>
      </c>
      <c r="E231" s="11">
        <v>1117.0</v>
      </c>
      <c r="F231" s="12">
        <f t="shared" si="5"/>
        <v>1.432408236</v>
      </c>
      <c r="G231" s="13">
        <v>31.0</v>
      </c>
      <c r="H231" s="13">
        <v>1091.0</v>
      </c>
      <c r="I231" s="12">
        <f t="shared" si="6"/>
        <v>2.841429881</v>
      </c>
      <c r="J231" s="11">
        <v>213.0</v>
      </c>
      <c r="K231" s="11">
        <v>1080.0</v>
      </c>
      <c r="L231" s="12">
        <f t="shared" si="7"/>
        <v>19.72222222</v>
      </c>
      <c r="M231" s="13">
        <v>185.0</v>
      </c>
      <c r="N231" s="13">
        <v>1020.0</v>
      </c>
      <c r="O231" s="14">
        <f t="shared" si="8"/>
        <v>18.1372549</v>
      </c>
      <c r="P231" s="12">
        <f t="shared" si="9"/>
        <v>0.07262915001</v>
      </c>
      <c r="Q231" s="12">
        <f t="shared" si="10"/>
        <v>0.1566626205</v>
      </c>
      <c r="S231" s="28"/>
      <c r="T231" s="28"/>
      <c r="U231" s="27"/>
      <c r="V231" s="27"/>
      <c r="X231" s="27"/>
      <c r="Y231" s="27"/>
    </row>
    <row r="232" ht="15.75" customHeight="1">
      <c r="A232" s="9">
        <v>51103.0</v>
      </c>
      <c r="B232" s="10" t="s">
        <v>30</v>
      </c>
      <c r="C232" s="10" t="s">
        <v>262</v>
      </c>
      <c r="D232" s="11">
        <v>7.0</v>
      </c>
      <c r="E232" s="11">
        <v>1325.0</v>
      </c>
      <c r="F232" s="12">
        <f t="shared" si="5"/>
        <v>0.5283018868</v>
      </c>
      <c r="G232" s="13">
        <v>133.0</v>
      </c>
      <c r="H232" s="13">
        <v>1377.0</v>
      </c>
      <c r="I232" s="12">
        <f t="shared" si="6"/>
        <v>9.658678286</v>
      </c>
      <c r="J232" s="11">
        <v>319.0</v>
      </c>
      <c r="K232" s="11">
        <v>1279.0</v>
      </c>
      <c r="L232" s="12">
        <f t="shared" si="7"/>
        <v>24.94136044</v>
      </c>
      <c r="M232" s="13">
        <v>449.0</v>
      </c>
      <c r="N232" s="13">
        <v>1236.0</v>
      </c>
      <c r="O232" s="14">
        <f t="shared" si="8"/>
        <v>36.32686084</v>
      </c>
      <c r="P232" s="12">
        <f t="shared" si="9"/>
        <v>0.02118175903</v>
      </c>
      <c r="Q232" s="12">
        <f t="shared" si="10"/>
        <v>0.265882547</v>
      </c>
      <c r="S232" s="28"/>
      <c r="T232" s="28"/>
      <c r="U232" s="27"/>
      <c r="V232" s="27"/>
      <c r="X232" s="27"/>
      <c r="Y232" s="27"/>
    </row>
    <row r="233" ht="15.75" customHeight="1">
      <c r="A233" s="9">
        <v>51201.0</v>
      </c>
      <c r="B233" s="10" t="s">
        <v>30</v>
      </c>
      <c r="C233" s="10" t="s">
        <v>263</v>
      </c>
      <c r="D233" s="11">
        <v>25.0</v>
      </c>
      <c r="E233" s="11">
        <v>2843.0</v>
      </c>
      <c r="F233" s="12">
        <f t="shared" si="5"/>
        <v>0.8793527963</v>
      </c>
      <c r="G233" s="13">
        <v>73.0</v>
      </c>
      <c r="H233" s="13">
        <v>3118.0</v>
      </c>
      <c r="I233" s="12">
        <f t="shared" si="6"/>
        <v>2.341244387</v>
      </c>
      <c r="J233" s="11">
        <v>502.0</v>
      </c>
      <c r="K233" s="11">
        <v>2713.0</v>
      </c>
      <c r="L233" s="12">
        <f t="shared" si="7"/>
        <v>18.50350166</v>
      </c>
      <c r="M233" s="13">
        <v>331.0</v>
      </c>
      <c r="N233" s="13">
        <v>2897.0</v>
      </c>
      <c r="O233" s="14">
        <f t="shared" si="8"/>
        <v>11.4256127</v>
      </c>
      <c r="P233" s="12">
        <f t="shared" si="9"/>
        <v>0.04752358838</v>
      </c>
      <c r="Q233" s="12">
        <f t="shared" si="10"/>
        <v>0.2049119332</v>
      </c>
      <c r="S233" s="28"/>
      <c r="T233" s="28"/>
      <c r="U233" s="27"/>
      <c r="V233" s="27"/>
      <c r="X233" s="27"/>
      <c r="Y233" s="27"/>
    </row>
    <row r="234" ht="15.75" customHeight="1">
      <c r="A234" s="9">
        <v>51202.0</v>
      </c>
      <c r="B234" s="10" t="s">
        <v>30</v>
      </c>
      <c r="C234" s="10" t="s">
        <v>264</v>
      </c>
      <c r="D234" s="11">
        <v>6.0</v>
      </c>
      <c r="E234" s="11">
        <v>795.0</v>
      </c>
      <c r="F234" s="12">
        <f t="shared" si="5"/>
        <v>0.7547169811</v>
      </c>
      <c r="G234" s="13">
        <v>23.0</v>
      </c>
      <c r="H234" s="13">
        <v>524.0</v>
      </c>
      <c r="I234" s="12">
        <f t="shared" si="6"/>
        <v>4.389312977</v>
      </c>
      <c r="J234" s="11">
        <v>141.0</v>
      </c>
      <c r="K234" s="11">
        <v>671.0</v>
      </c>
      <c r="L234" s="12">
        <f t="shared" si="7"/>
        <v>21.01341282</v>
      </c>
      <c r="M234" s="13">
        <v>85.0</v>
      </c>
      <c r="N234" s="13">
        <v>527.0</v>
      </c>
      <c r="O234" s="14">
        <f t="shared" si="8"/>
        <v>16.12903226</v>
      </c>
      <c r="P234" s="12">
        <f t="shared" si="9"/>
        <v>0.03591596414</v>
      </c>
      <c r="Q234" s="12">
        <f t="shared" si="10"/>
        <v>0.2721374046</v>
      </c>
      <c r="S234" s="28"/>
      <c r="T234" s="28"/>
      <c r="U234" s="27"/>
      <c r="V234" s="27"/>
      <c r="X234" s="27"/>
      <c r="Y234" s="27"/>
    </row>
    <row r="235" ht="15.75" customHeight="1">
      <c r="A235" s="9">
        <v>51203.0</v>
      </c>
      <c r="B235" s="10" t="s">
        <v>30</v>
      </c>
      <c r="C235" s="10" t="s">
        <v>265</v>
      </c>
      <c r="D235" s="11">
        <v>3.0</v>
      </c>
      <c r="E235" s="11">
        <v>1002.0</v>
      </c>
      <c r="F235" s="12">
        <f t="shared" si="5"/>
        <v>0.2994011976</v>
      </c>
      <c r="G235" s="13">
        <v>20.0</v>
      </c>
      <c r="H235" s="13">
        <v>1460.0</v>
      </c>
      <c r="I235" s="12">
        <f t="shared" si="6"/>
        <v>1.369863014</v>
      </c>
      <c r="J235" s="11">
        <v>336.0</v>
      </c>
      <c r="K235" s="11">
        <v>915.0</v>
      </c>
      <c r="L235" s="12">
        <f t="shared" si="7"/>
        <v>36.72131148</v>
      </c>
      <c r="M235" s="13">
        <v>313.0</v>
      </c>
      <c r="N235" s="13">
        <v>1221.0</v>
      </c>
      <c r="O235" s="14">
        <f t="shared" si="8"/>
        <v>25.63472563</v>
      </c>
      <c r="P235" s="12">
        <f t="shared" si="9"/>
        <v>0.008153336185</v>
      </c>
      <c r="Q235" s="12">
        <f t="shared" si="10"/>
        <v>0.05343778721</v>
      </c>
      <c r="S235" s="28"/>
      <c r="T235" s="28"/>
      <c r="U235" s="27"/>
      <c r="V235" s="27"/>
      <c r="X235" s="27"/>
      <c r="Y235" s="27"/>
    </row>
    <row r="236" ht="15.75" customHeight="1">
      <c r="A236" s="9">
        <v>51204.0</v>
      </c>
      <c r="B236" s="10" t="s">
        <v>30</v>
      </c>
      <c r="C236" s="10" t="s">
        <v>266</v>
      </c>
      <c r="D236" s="11">
        <v>5.0</v>
      </c>
      <c r="E236" s="11">
        <v>519.0</v>
      </c>
      <c r="F236" s="12">
        <f t="shared" si="5"/>
        <v>0.9633911368</v>
      </c>
      <c r="G236" s="13">
        <v>32.0</v>
      </c>
      <c r="H236" s="13">
        <v>432.0</v>
      </c>
      <c r="I236" s="12">
        <f t="shared" si="6"/>
        <v>7.407407407</v>
      </c>
      <c r="J236" s="11">
        <v>110.0</v>
      </c>
      <c r="K236" s="11">
        <v>458.0</v>
      </c>
      <c r="L236" s="12">
        <f t="shared" si="7"/>
        <v>24.01746725</v>
      </c>
      <c r="M236" s="13">
        <v>108.0</v>
      </c>
      <c r="N236" s="13">
        <v>465.0</v>
      </c>
      <c r="O236" s="14">
        <f t="shared" si="8"/>
        <v>23.22580645</v>
      </c>
      <c r="P236" s="12">
        <f t="shared" si="9"/>
        <v>0.0401121037</v>
      </c>
      <c r="Q236" s="12">
        <f t="shared" si="10"/>
        <v>0.3189300412</v>
      </c>
      <c r="S236" s="28"/>
      <c r="T236" s="28"/>
      <c r="U236" s="27"/>
      <c r="V236" s="27"/>
      <c r="X236" s="27"/>
      <c r="Y236" s="27"/>
    </row>
    <row r="237" ht="15.75" customHeight="1">
      <c r="A237" s="9">
        <v>51301.0</v>
      </c>
      <c r="B237" s="10" t="s">
        <v>30</v>
      </c>
      <c r="C237" s="10" t="s">
        <v>267</v>
      </c>
      <c r="D237" s="11">
        <v>1.0</v>
      </c>
      <c r="E237" s="11">
        <v>296.0</v>
      </c>
      <c r="F237" s="12">
        <f t="shared" si="5"/>
        <v>0.3378378378</v>
      </c>
      <c r="G237" s="13">
        <v>32.0</v>
      </c>
      <c r="H237" s="13">
        <v>303.0</v>
      </c>
      <c r="I237" s="12">
        <f t="shared" si="6"/>
        <v>10.56105611</v>
      </c>
      <c r="J237" s="11">
        <v>53.0</v>
      </c>
      <c r="K237" s="11">
        <v>266.0</v>
      </c>
      <c r="L237" s="12">
        <f t="shared" si="7"/>
        <v>19.92481203</v>
      </c>
      <c r="M237" s="13">
        <v>78.0</v>
      </c>
      <c r="N237" s="13">
        <v>268.0</v>
      </c>
      <c r="O237" s="14">
        <f t="shared" si="8"/>
        <v>29.10447761</v>
      </c>
      <c r="P237" s="12">
        <f t="shared" si="9"/>
        <v>0.01695563488</v>
      </c>
      <c r="Q237" s="12">
        <f t="shared" si="10"/>
        <v>0.3628670559</v>
      </c>
      <c r="S237" s="28"/>
      <c r="T237" s="28"/>
      <c r="U237" s="27"/>
      <c r="V237" s="27"/>
      <c r="X237" s="27"/>
      <c r="Y237" s="27"/>
    </row>
    <row r="238" ht="15.75" customHeight="1">
      <c r="A238" s="9">
        <v>51302.0</v>
      </c>
      <c r="B238" s="10" t="s">
        <v>30</v>
      </c>
      <c r="C238" s="10" t="s">
        <v>268</v>
      </c>
      <c r="D238" s="11">
        <v>3.0</v>
      </c>
      <c r="E238" s="11">
        <v>514.0</v>
      </c>
      <c r="F238" s="12">
        <f t="shared" si="5"/>
        <v>0.5836575875</v>
      </c>
      <c r="G238" s="13">
        <v>12.0</v>
      </c>
      <c r="H238" s="13">
        <v>319.0</v>
      </c>
      <c r="I238" s="12">
        <f t="shared" si="6"/>
        <v>3.761755486</v>
      </c>
      <c r="J238" s="11">
        <v>80.0</v>
      </c>
      <c r="K238" s="11">
        <v>449.0</v>
      </c>
      <c r="L238" s="12">
        <f t="shared" si="7"/>
        <v>17.81737194</v>
      </c>
      <c r="M238" s="13">
        <v>45.0</v>
      </c>
      <c r="N238" s="13">
        <v>310.0</v>
      </c>
      <c r="O238" s="14">
        <f t="shared" si="8"/>
        <v>14.51612903</v>
      </c>
      <c r="P238" s="12">
        <f t="shared" si="9"/>
        <v>0.0327577821</v>
      </c>
      <c r="Q238" s="12">
        <f t="shared" si="10"/>
        <v>0.2591431557</v>
      </c>
      <c r="S238" s="28"/>
      <c r="T238" s="28"/>
      <c r="U238" s="27"/>
      <c r="V238" s="27"/>
      <c r="X238" s="27"/>
      <c r="Y238" s="27"/>
    </row>
    <row r="239" ht="15.75" customHeight="1">
      <c r="A239" s="9">
        <v>51401.0</v>
      </c>
      <c r="B239" s="10" t="s">
        <v>30</v>
      </c>
      <c r="C239" s="10" t="s">
        <v>269</v>
      </c>
      <c r="D239" s="11">
        <v>1.0</v>
      </c>
      <c r="E239" s="11">
        <v>453.0</v>
      </c>
      <c r="F239" s="12">
        <f t="shared" si="5"/>
        <v>0.2207505519</v>
      </c>
      <c r="G239" s="13">
        <v>20.0</v>
      </c>
      <c r="H239" s="13">
        <v>405.0</v>
      </c>
      <c r="I239" s="12">
        <f t="shared" si="6"/>
        <v>4.938271605</v>
      </c>
      <c r="J239" s="11">
        <v>31.0</v>
      </c>
      <c r="K239" s="11">
        <v>355.0</v>
      </c>
      <c r="L239" s="12">
        <f t="shared" si="7"/>
        <v>8.732394366</v>
      </c>
      <c r="M239" s="13">
        <v>28.0</v>
      </c>
      <c r="N239" s="13">
        <v>314.0</v>
      </c>
      <c r="O239" s="14">
        <f t="shared" si="8"/>
        <v>8.917197452</v>
      </c>
      <c r="P239" s="12">
        <f t="shared" si="9"/>
        <v>0.02527949868</v>
      </c>
      <c r="Q239" s="12">
        <f t="shared" si="10"/>
        <v>0.5537918871</v>
      </c>
      <c r="S239" s="28"/>
      <c r="T239" s="28"/>
      <c r="U239" s="27"/>
      <c r="V239" s="27"/>
      <c r="X239" s="27"/>
      <c r="Y239" s="27"/>
    </row>
    <row r="240" ht="15.75" customHeight="1">
      <c r="A240" s="9">
        <v>51402.0</v>
      </c>
      <c r="B240" s="10" t="s">
        <v>30</v>
      </c>
      <c r="C240" s="10" t="s">
        <v>270</v>
      </c>
      <c r="D240" s="11">
        <v>4.0</v>
      </c>
      <c r="E240" s="11">
        <v>148.0</v>
      </c>
      <c r="F240" s="12">
        <f t="shared" si="5"/>
        <v>2.702702703</v>
      </c>
      <c r="G240" s="13">
        <v>4.0</v>
      </c>
      <c r="H240" s="13">
        <v>119.0</v>
      </c>
      <c r="I240" s="12">
        <f t="shared" si="6"/>
        <v>3.361344538</v>
      </c>
      <c r="J240" s="11">
        <v>20.0</v>
      </c>
      <c r="K240" s="11">
        <v>134.0</v>
      </c>
      <c r="L240" s="12">
        <f t="shared" si="7"/>
        <v>14.92537313</v>
      </c>
      <c r="M240" s="13">
        <v>23.0</v>
      </c>
      <c r="N240" s="13">
        <v>109.0</v>
      </c>
      <c r="O240" s="14">
        <f t="shared" si="8"/>
        <v>21.10091743</v>
      </c>
      <c r="P240" s="12">
        <f t="shared" si="9"/>
        <v>0.1810810811</v>
      </c>
      <c r="Q240" s="12">
        <f t="shared" si="10"/>
        <v>0.159298502</v>
      </c>
      <c r="S240" s="28"/>
      <c r="T240" s="28"/>
      <c r="U240" s="27"/>
      <c r="V240" s="27"/>
      <c r="X240" s="27"/>
      <c r="Y240" s="27"/>
    </row>
    <row r="241" ht="15.75" customHeight="1">
      <c r="A241" s="9">
        <v>51501.0</v>
      </c>
      <c r="B241" s="10" t="s">
        <v>30</v>
      </c>
      <c r="C241" s="10" t="s">
        <v>271</v>
      </c>
      <c r="D241" s="11">
        <v>45.0</v>
      </c>
      <c r="E241" s="11">
        <v>4098.0</v>
      </c>
      <c r="F241" s="12">
        <f t="shared" si="5"/>
        <v>1.098096633</v>
      </c>
      <c r="G241" s="13">
        <v>129.0</v>
      </c>
      <c r="H241" s="13">
        <v>4043.0</v>
      </c>
      <c r="I241" s="12">
        <f t="shared" si="6"/>
        <v>3.190699975</v>
      </c>
      <c r="J241" s="11">
        <v>658.0</v>
      </c>
      <c r="K241" s="11">
        <v>4316.0</v>
      </c>
      <c r="L241" s="12">
        <f t="shared" si="7"/>
        <v>15.24559778</v>
      </c>
      <c r="M241" s="13">
        <v>422.0</v>
      </c>
      <c r="N241" s="13">
        <v>3933.0</v>
      </c>
      <c r="O241" s="14">
        <f t="shared" si="8"/>
        <v>10.72972286</v>
      </c>
      <c r="P241" s="12">
        <f t="shared" si="9"/>
        <v>0.07202712866</v>
      </c>
      <c r="Q241" s="12">
        <f t="shared" si="10"/>
        <v>0.2973702133</v>
      </c>
      <c r="S241" s="28"/>
      <c r="T241" s="28"/>
      <c r="U241" s="27"/>
      <c r="V241" s="27"/>
      <c r="X241" s="27"/>
      <c r="Y241" s="27"/>
    </row>
    <row r="242" ht="15.75" customHeight="1">
      <c r="A242" s="9">
        <v>51601.0</v>
      </c>
      <c r="B242" s="10" t="s">
        <v>30</v>
      </c>
      <c r="C242" s="10" t="s">
        <v>272</v>
      </c>
      <c r="D242" s="11">
        <v>0.0</v>
      </c>
      <c r="E242" s="11">
        <v>148.0</v>
      </c>
      <c r="F242" s="12">
        <f t="shared" si="5"/>
        <v>0</v>
      </c>
      <c r="G242" s="13">
        <v>10.0</v>
      </c>
      <c r="H242" s="13">
        <v>189.0</v>
      </c>
      <c r="I242" s="12">
        <f t="shared" si="6"/>
        <v>5.291005291</v>
      </c>
      <c r="J242" s="11">
        <v>38.0</v>
      </c>
      <c r="K242" s="11">
        <v>144.0</v>
      </c>
      <c r="L242" s="12">
        <f t="shared" si="7"/>
        <v>26.38888889</v>
      </c>
      <c r="M242" s="13">
        <v>26.0</v>
      </c>
      <c r="N242" s="13">
        <v>170.0</v>
      </c>
      <c r="O242" s="14">
        <f t="shared" si="8"/>
        <v>15.29411765</v>
      </c>
      <c r="P242" s="12">
        <f t="shared" si="9"/>
        <v>0</v>
      </c>
      <c r="Q242" s="12">
        <f t="shared" si="10"/>
        <v>0.345950346</v>
      </c>
      <c r="S242" s="28"/>
      <c r="T242" s="28"/>
      <c r="U242" s="27"/>
      <c r="V242" s="27"/>
      <c r="X242" s="27"/>
      <c r="Y242" s="27"/>
    </row>
    <row r="243" ht="15.75" customHeight="1">
      <c r="A243" s="9">
        <v>60101.0</v>
      </c>
      <c r="B243" s="10" t="s">
        <v>32</v>
      </c>
      <c r="C243" s="10" t="s">
        <v>32</v>
      </c>
      <c r="D243" s="11">
        <v>270.0</v>
      </c>
      <c r="E243" s="11">
        <v>22306.0</v>
      </c>
      <c r="F243" s="12">
        <f t="shared" si="5"/>
        <v>1.210436654</v>
      </c>
      <c r="G243" s="13">
        <v>434.0</v>
      </c>
      <c r="H243" s="13">
        <v>20975.0</v>
      </c>
      <c r="I243" s="12">
        <f t="shared" si="6"/>
        <v>2.069129917</v>
      </c>
      <c r="J243" s="11">
        <v>2860.0</v>
      </c>
      <c r="K243" s="11">
        <v>23304.0</v>
      </c>
      <c r="L243" s="12">
        <f t="shared" si="7"/>
        <v>12.27257123</v>
      </c>
      <c r="M243" s="13">
        <v>1382.0</v>
      </c>
      <c r="N243" s="13">
        <v>20453.0</v>
      </c>
      <c r="O243" s="14">
        <f t="shared" si="8"/>
        <v>6.75695497</v>
      </c>
      <c r="P243" s="12">
        <f t="shared" si="9"/>
        <v>0.09862942581</v>
      </c>
      <c r="Q243" s="12">
        <f t="shared" si="10"/>
        <v>0.3062222445</v>
      </c>
      <c r="S243" s="28"/>
      <c r="T243" s="28"/>
      <c r="U243" s="27"/>
      <c r="V243" s="27"/>
      <c r="X243" s="27"/>
      <c r="Y243" s="27"/>
    </row>
    <row r="244" ht="15.75" customHeight="1">
      <c r="A244" s="9">
        <v>60201.0</v>
      </c>
      <c r="B244" s="10" t="s">
        <v>32</v>
      </c>
      <c r="C244" s="10" t="s">
        <v>273</v>
      </c>
      <c r="D244" s="11">
        <v>10.0</v>
      </c>
      <c r="E244" s="11">
        <v>1989.0</v>
      </c>
      <c r="F244" s="12">
        <f t="shared" si="5"/>
        <v>0.5027652086</v>
      </c>
      <c r="G244" s="13">
        <v>140.0</v>
      </c>
      <c r="H244" s="13">
        <v>1376.0</v>
      </c>
      <c r="I244" s="12">
        <f t="shared" si="6"/>
        <v>10.1744186</v>
      </c>
      <c r="J244" s="11">
        <v>404.0</v>
      </c>
      <c r="K244" s="11">
        <v>1752.0</v>
      </c>
      <c r="L244" s="12">
        <f t="shared" si="7"/>
        <v>23.05936073</v>
      </c>
      <c r="M244" s="13">
        <v>252.0</v>
      </c>
      <c r="N244" s="13">
        <v>1191.0</v>
      </c>
      <c r="O244" s="14">
        <f t="shared" si="8"/>
        <v>21.15869018</v>
      </c>
      <c r="P244" s="12">
        <f t="shared" si="9"/>
        <v>0.02180308529</v>
      </c>
      <c r="Q244" s="12">
        <f t="shared" si="10"/>
        <v>0.4808624031</v>
      </c>
      <c r="S244" s="28"/>
      <c r="T244" s="28"/>
      <c r="U244" s="27"/>
      <c r="V244" s="27"/>
      <c r="X244" s="27"/>
      <c r="Y244" s="27"/>
    </row>
    <row r="245" ht="15.75" customHeight="1">
      <c r="A245" s="9">
        <v>60202.0</v>
      </c>
      <c r="B245" s="10" t="s">
        <v>32</v>
      </c>
      <c r="C245" s="10" t="s">
        <v>274</v>
      </c>
      <c r="D245" s="11">
        <v>83.0</v>
      </c>
      <c r="E245" s="11">
        <v>3465.0</v>
      </c>
      <c r="F245" s="12">
        <f t="shared" si="5"/>
        <v>2.395382395</v>
      </c>
      <c r="G245" s="13">
        <v>96.0</v>
      </c>
      <c r="H245" s="13">
        <v>2812.0</v>
      </c>
      <c r="I245" s="12">
        <f t="shared" si="6"/>
        <v>3.413940256</v>
      </c>
      <c r="J245" s="11">
        <v>580.0</v>
      </c>
      <c r="K245" s="11">
        <v>3423.0</v>
      </c>
      <c r="L245" s="12">
        <f t="shared" si="7"/>
        <v>16.94420099</v>
      </c>
      <c r="M245" s="13">
        <v>284.0</v>
      </c>
      <c r="N245" s="13">
        <v>2694.0</v>
      </c>
      <c r="O245" s="14">
        <f t="shared" si="8"/>
        <v>10.54194506</v>
      </c>
      <c r="P245" s="12">
        <f t="shared" si="9"/>
        <v>0.141368861</v>
      </c>
      <c r="Q245" s="12">
        <f t="shared" si="10"/>
        <v>0.3238434877</v>
      </c>
      <c r="S245" s="28"/>
      <c r="T245" s="28"/>
      <c r="U245" s="29"/>
      <c r="V245" s="27"/>
      <c r="X245" s="27"/>
      <c r="Y245" s="27"/>
    </row>
    <row r="246" ht="15.75" customHeight="1">
      <c r="A246" s="9">
        <v>60301.0</v>
      </c>
      <c r="B246" s="10" t="s">
        <v>32</v>
      </c>
      <c r="C246" s="10" t="s">
        <v>275</v>
      </c>
      <c r="D246" s="11">
        <v>163.0</v>
      </c>
      <c r="E246" s="11">
        <v>9483.0</v>
      </c>
      <c r="F246" s="12">
        <f t="shared" si="5"/>
        <v>1.718865338</v>
      </c>
      <c r="G246" s="13">
        <v>341.0</v>
      </c>
      <c r="H246" s="13">
        <v>8583.0</v>
      </c>
      <c r="I246" s="12">
        <f t="shared" si="6"/>
        <v>3.972969824</v>
      </c>
      <c r="J246" s="11">
        <v>1842.0</v>
      </c>
      <c r="K246" s="11">
        <v>9218.0</v>
      </c>
      <c r="L246" s="12">
        <f t="shared" si="7"/>
        <v>19.98264266</v>
      </c>
      <c r="M246" s="13">
        <v>1135.0</v>
      </c>
      <c r="N246" s="13">
        <v>7659.0</v>
      </c>
      <c r="O246" s="14">
        <f t="shared" si="8"/>
        <v>14.81916699</v>
      </c>
      <c r="P246" s="12">
        <f t="shared" si="9"/>
        <v>0.08601791903</v>
      </c>
      <c r="Q246" s="12">
        <f t="shared" si="10"/>
        <v>0.2680967038</v>
      </c>
      <c r="S246" s="28"/>
      <c r="T246" s="28"/>
      <c r="U246" s="27"/>
      <c r="V246" s="27"/>
      <c r="X246" s="27"/>
      <c r="Y246" s="27"/>
    </row>
    <row r="247" ht="15.75" customHeight="1">
      <c r="A247" s="9">
        <v>60302.0</v>
      </c>
      <c r="B247" s="10" t="s">
        <v>32</v>
      </c>
      <c r="C247" s="10" t="s">
        <v>276</v>
      </c>
      <c r="D247" s="11">
        <v>13.0</v>
      </c>
      <c r="E247" s="11">
        <v>1715.0</v>
      </c>
      <c r="F247" s="12">
        <f t="shared" si="5"/>
        <v>0.7580174927</v>
      </c>
      <c r="G247" s="13">
        <v>76.0</v>
      </c>
      <c r="H247" s="13">
        <v>1147.0</v>
      </c>
      <c r="I247" s="12">
        <f t="shared" si="6"/>
        <v>6.62598082</v>
      </c>
      <c r="J247" s="11">
        <v>324.0</v>
      </c>
      <c r="K247" s="11">
        <v>1209.0</v>
      </c>
      <c r="L247" s="12">
        <f t="shared" si="7"/>
        <v>26.79900744</v>
      </c>
      <c r="M247" s="13">
        <v>215.0</v>
      </c>
      <c r="N247" s="13">
        <v>1144.0</v>
      </c>
      <c r="O247" s="14">
        <f t="shared" si="8"/>
        <v>18.79370629</v>
      </c>
      <c r="P247" s="12">
        <f t="shared" si="9"/>
        <v>0.02828528237</v>
      </c>
      <c r="Q247" s="12">
        <f t="shared" si="10"/>
        <v>0.3525638166</v>
      </c>
      <c r="S247" s="28"/>
      <c r="T247" s="28"/>
      <c r="U247" s="27"/>
      <c r="V247" s="27"/>
      <c r="X247" s="27"/>
      <c r="Y247" s="27"/>
    </row>
    <row r="248" ht="15.75" customHeight="1">
      <c r="A248" s="9">
        <v>60303.0</v>
      </c>
      <c r="B248" s="10" t="s">
        <v>32</v>
      </c>
      <c r="C248" s="10" t="s">
        <v>277</v>
      </c>
      <c r="D248" s="11">
        <v>99.0</v>
      </c>
      <c r="E248" s="11">
        <v>4487.0</v>
      </c>
      <c r="F248" s="12">
        <f t="shared" si="5"/>
        <v>2.206373969</v>
      </c>
      <c r="G248" s="13">
        <v>192.0</v>
      </c>
      <c r="H248" s="13">
        <v>4186.0</v>
      </c>
      <c r="I248" s="12">
        <f t="shared" si="6"/>
        <v>4.58671763</v>
      </c>
      <c r="J248" s="11">
        <v>856.0</v>
      </c>
      <c r="K248" s="11">
        <v>3902.0</v>
      </c>
      <c r="L248" s="12">
        <f t="shared" si="7"/>
        <v>21.93746797</v>
      </c>
      <c r="M248" s="13">
        <v>573.0</v>
      </c>
      <c r="N248" s="13">
        <v>3438.0</v>
      </c>
      <c r="O248" s="14">
        <f t="shared" si="8"/>
        <v>16.66666667</v>
      </c>
      <c r="P248" s="12">
        <f t="shared" si="9"/>
        <v>0.1005755985</v>
      </c>
      <c r="Q248" s="12">
        <f t="shared" si="10"/>
        <v>0.2752030578</v>
      </c>
      <c r="S248" s="28"/>
      <c r="T248" s="28"/>
      <c r="U248" s="27"/>
      <c r="V248" s="27"/>
      <c r="X248" s="27"/>
      <c r="Y248" s="27"/>
    </row>
    <row r="249" ht="15.75" customHeight="1">
      <c r="A249" s="9">
        <v>60401.0</v>
      </c>
      <c r="B249" s="10" t="s">
        <v>32</v>
      </c>
      <c r="C249" s="10" t="s">
        <v>278</v>
      </c>
      <c r="D249" s="11">
        <v>11.0</v>
      </c>
      <c r="E249" s="11">
        <v>1542.0</v>
      </c>
      <c r="F249" s="12">
        <f t="shared" si="5"/>
        <v>0.7133592737</v>
      </c>
      <c r="G249" s="13">
        <v>54.0</v>
      </c>
      <c r="H249" s="13">
        <v>1257.0</v>
      </c>
      <c r="I249" s="12">
        <f t="shared" si="6"/>
        <v>4.295942721</v>
      </c>
      <c r="J249" s="11">
        <v>279.0</v>
      </c>
      <c r="K249" s="11">
        <v>1541.0</v>
      </c>
      <c r="L249" s="12">
        <f t="shared" si="7"/>
        <v>18.10512654</v>
      </c>
      <c r="M249" s="13">
        <v>206.0</v>
      </c>
      <c r="N249" s="13">
        <v>1247.0</v>
      </c>
      <c r="O249" s="14">
        <f t="shared" si="8"/>
        <v>16.51964715</v>
      </c>
      <c r="P249" s="12">
        <f t="shared" si="9"/>
        <v>0.03940095486</v>
      </c>
      <c r="Q249" s="12">
        <f t="shared" si="10"/>
        <v>0.2600505132</v>
      </c>
      <c r="S249" s="28"/>
      <c r="T249" s="28"/>
      <c r="U249" s="27"/>
      <c r="V249" s="27"/>
      <c r="X249" s="27"/>
      <c r="Y249" s="27"/>
    </row>
    <row r="250" ht="15.75" customHeight="1">
      <c r="A250" s="9">
        <v>60402.0</v>
      </c>
      <c r="B250" s="10" t="s">
        <v>32</v>
      </c>
      <c r="C250" s="10" t="s">
        <v>279</v>
      </c>
      <c r="D250" s="11">
        <v>3.0</v>
      </c>
      <c r="E250" s="11">
        <v>510.0</v>
      </c>
      <c r="F250" s="12">
        <f t="shared" si="5"/>
        <v>0.5882352941</v>
      </c>
      <c r="G250" s="13">
        <v>61.0</v>
      </c>
      <c r="H250" s="13">
        <v>374.0</v>
      </c>
      <c r="I250" s="12">
        <f t="shared" si="6"/>
        <v>16.31016043</v>
      </c>
      <c r="J250" s="11">
        <v>93.0</v>
      </c>
      <c r="K250" s="11">
        <v>474.0</v>
      </c>
      <c r="L250" s="12">
        <f t="shared" si="7"/>
        <v>19.62025316</v>
      </c>
      <c r="M250" s="13">
        <v>110.0</v>
      </c>
      <c r="N250" s="13">
        <v>379.0</v>
      </c>
      <c r="O250" s="14">
        <f t="shared" si="8"/>
        <v>29.0237467</v>
      </c>
      <c r="P250" s="12">
        <f t="shared" si="9"/>
        <v>0.02998102467</v>
      </c>
      <c r="Q250" s="12">
        <f t="shared" si="10"/>
        <v>0.5619591638</v>
      </c>
      <c r="S250" s="28"/>
      <c r="T250" s="28"/>
      <c r="U250" s="27"/>
      <c r="V250" s="27"/>
      <c r="X250" s="27"/>
      <c r="Y250" s="27"/>
    </row>
    <row r="251" ht="15.75" customHeight="1">
      <c r="A251" s="9">
        <v>60501.0</v>
      </c>
      <c r="B251" s="10" t="s">
        <v>32</v>
      </c>
      <c r="C251" s="10" t="s">
        <v>280</v>
      </c>
      <c r="D251" s="11">
        <v>43.0</v>
      </c>
      <c r="E251" s="11">
        <v>2175.0</v>
      </c>
      <c r="F251" s="12">
        <f t="shared" si="5"/>
        <v>1.977011494</v>
      </c>
      <c r="G251" s="13">
        <v>90.0</v>
      </c>
      <c r="H251" s="13">
        <v>2397.0</v>
      </c>
      <c r="I251" s="12">
        <f t="shared" si="6"/>
        <v>3.754693367</v>
      </c>
      <c r="J251" s="11">
        <v>418.0</v>
      </c>
      <c r="K251" s="11">
        <v>2229.0</v>
      </c>
      <c r="L251" s="12">
        <f t="shared" si="7"/>
        <v>18.75280395</v>
      </c>
      <c r="M251" s="13">
        <v>354.0</v>
      </c>
      <c r="N251" s="13">
        <v>2381.0</v>
      </c>
      <c r="O251" s="14">
        <f t="shared" si="8"/>
        <v>14.86770265</v>
      </c>
      <c r="P251" s="12">
        <f t="shared" si="9"/>
        <v>0.1054248474</v>
      </c>
      <c r="Q251" s="12">
        <f t="shared" si="10"/>
        <v>0.2525402516</v>
      </c>
      <c r="S251" s="28"/>
      <c r="T251" s="28"/>
      <c r="U251" s="27"/>
      <c r="V251" s="27"/>
      <c r="X251" s="27"/>
      <c r="Y251" s="27"/>
    </row>
    <row r="252" ht="15.75" customHeight="1">
      <c r="A252" s="9">
        <v>60502.0</v>
      </c>
      <c r="B252" s="10" t="s">
        <v>32</v>
      </c>
      <c r="C252" s="10" t="s">
        <v>281</v>
      </c>
      <c r="D252" s="11">
        <v>10.0</v>
      </c>
      <c r="E252" s="11">
        <v>1007.0</v>
      </c>
      <c r="F252" s="12">
        <f t="shared" si="5"/>
        <v>0.9930486594</v>
      </c>
      <c r="G252" s="13">
        <v>60.0</v>
      </c>
      <c r="H252" s="13">
        <v>646.0</v>
      </c>
      <c r="I252" s="12">
        <f t="shared" si="6"/>
        <v>9.287925697</v>
      </c>
      <c r="J252" s="11">
        <v>268.0</v>
      </c>
      <c r="K252" s="11">
        <v>975.0</v>
      </c>
      <c r="L252" s="12">
        <f t="shared" si="7"/>
        <v>27.48717949</v>
      </c>
      <c r="M252" s="13">
        <v>141.0</v>
      </c>
      <c r="N252" s="13">
        <v>643.0</v>
      </c>
      <c r="O252" s="14">
        <f t="shared" si="8"/>
        <v>21.92846034</v>
      </c>
      <c r="P252" s="12">
        <f t="shared" si="9"/>
        <v>0.03612770309</v>
      </c>
      <c r="Q252" s="12">
        <f t="shared" si="10"/>
        <v>0.4235557605</v>
      </c>
      <c r="S252" s="28"/>
      <c r="T252" s="28"/>
      <c r="U252" s="27"/>
      <c r="V252" s="27"/>
      <c r="X252" s="27"/>
      <c r="Y252" s="27"/>
    </row>
    <row r="253" ht="15.75" customHeight="1">
      <c r="A253" s="9">
        <v>60601.0</v>
      </c>
      <c r="B253" s="10" t="s">
        <v>32</v>
      </c>
      <c r="C253" s="10" t="s">
        <v>185</v>
      </c>
      <c r="D253" s="11">
        <v>29.0</v>
      </c>
      <c r="E253" s="11">
        <v>2132.0</v>
      </c>
      <c r="F253" s="12">
        <f t="shared" si="5"/>
        <v>1.360225141</v>
      </c>
      <c r="G253" s="13">
        <v>90.0</v>
      </c>
      <c r="H253" s="13">
        <v>1457.0</v>
      </c>
      <c r="I253" s="12">
        <f t="shared" si="6"/>
        <v>6.177076184</v>
      </c>
      <c r="J253" s="11">
        <v>484.0</v>
      </c>
      <c r="K253" s="11">
        <v>1792.0</v>
      </c>
      <c r="L253" s="12">
        <f t="shared" si="7"/>
        <v>27.00892857</v>
      </c>
      <c r="M253" s="13">
        <v>273.0</v>
      </c>
      <c r="N253" s="13">
        <v>1411.0</v>
      </c>
      <c r="O253" s="14">
        <f t="shared" si="8"/>
        <v>19.34798016</v>
      </c>
      <c r="P253" s="12">
        <f t="shared" si="9"/>
        <v>0.0503620548</v>
      </c>
      <c r="Q253" s="12">
        <f t="shared" si="10"/>
        <v>0.3192620694</v>
      </c>
      <c r="S253" s="28"/>
      <c r="T253" s="28"/>
      <c r="U253" s="27"/>
      <c r="V253" s="27"/>
      <c r="X253" s="27"/>
      <c r="Y253" s="27"/>
    </row>
    <row r="254" ht="15.75" customHeight="1">
      <c r="A254" s="9">
        <v>70101.0</v>
      </c>
      <c r="B254" s="10" t="s">
        <v>34</v>
      </c>
      <c r="C254" s="10" t="s">
        <v>282</v>
      </c>
      <c r="D254" s="11">
        <v>2860.0</v>
      </c>
      <c r="E254" s="11">
        <v>162738.0</v>
      </c>
      <c r="F254" s="12">
        <f t="shared" si="5"/>
        <v>1.757426047</v>
      </c>
      <c r="G254" s="13">
        <v>3963.0</v>
      </c>
      <c r="H254" s="13">
        <v>143993.0</v>
      </c>
      <c r="I254" s="12">
        <f t="shared" si="6"/>
        <v>2.752217122</v>
      </c>
      <c r="J254" s="11">
        <v>24378.0</v>
      </c>
      <c r="K254" s="11">
        <v>168436.0</v>
      </c>
      <c r="L254" s="12">
        <f t="shared" si="7"/>
        <v>14.47315301</v>
      </c>
      <c r="M254" s="13">
        <v>12621.0</v>
      </c>
      <c r="N254" s="13">
        <v>144121.0</v>
      </c>
      <c r="O254" s="14">
        <f t="shared" si="8"/>
        <v>8.757224832</v>
      </c>
      <c r="P254" s="12">
        <f t="shared" si="9"/>
        <v>0.1214266197</v>
      </c>
      <c r="Q254" s="12">
        <f t="shared" si="10"/>
        <v>0.3142796005</v>
      </c>
      <c r="S254" s="28"/>
      <c r="T254" s="28"/>
      <c r="U254" s="27"/>
      <c r="V254" s="27"/>
      <c r="X254" s="27"/>
      <c r="Y254" s="27"/>
    </row>
    <row r="255" ht="15.75" customHeight="1">
      <c r="A255" s="9">
        <v>70102.0</v>
      </c>
      <c r="B255" s="10" t="s">
        <v>34</v>
      </c>
      <c r="C255" s="10" t="s">
        <v>283</v>
      </c>
      <c r="D255" s="11">
        <v>116.0</v>
      </c>
      <c r="E255" s="11">
        <v>6131.0</v>
      </c>
      <c r="F255" s="12">
        <f t="shared" si="5"/>
        <v>1.89202414</v>
      </c>
      <c r="G255" s="13">
        <v>353.0</v>
      </c>
      <c r="H255" s="13">
        <v>9795.0</v>
      </c>
      <c r="I255" s="12">
        <f t="shared" si="6"/>
        <v>3.60387953</v>
      </c>
      <c r="J255" s="11">
        <v>1450.0</v>
      </c>
      <c r="K255" s="11">
        <v>5801.0</v>
      </c>
      <c r="L255" s="12">
        <f t="shared" si="7"/>
        <v>24.9956904</v>
      </c>
      <c r="M255" s="13">
        <v>1458.0</v>
      </c>
      <c r="N255" s="13">
        <v>9553.0</v>
      </c>
      <c r="O255" s="14">
        <f t="shared" si="8"/>
        <v>15.26222129</v>
      </c>
      <c r="P255" s="12">
        <f t="shared" si="9"/>
        <v>0.07569401403</v>
      </c>
      <c r="Q255" s="12">
        <f t="shared" si="10"/>
        <v>0.2361307349</v>
      </c>
      <c r="S255" s="28"/>
      <c r="T255" s="28"/>
      <c r="U255" s="27"/>
      <c r="V255" s="27"/>
      <c r="X255" s="27"/>
      <c r="Y255" s="27"/>
    </row>
    <row r="256" ht="15.75" customHeight="1">
      <c r="A256" s="9">
        <v>70103.0</v>
      </c>
      <c r="B256" s="10" t="s">
        <v>34</v>
      </c>
      <c r="C256" s="10" t="s">
        <v>284</v>
      </c>
      <c r="D256" s="11">
        <v>23.0</v>
      </c>
      <c r="E256" s="11">
        <v>1544.0</v>
      </c>
      <c r="F256" s="12">
        <f t="shared" si="5"/>
        <v>1.489637306</v>
      </c>
      <c r="G256" s="13">
        <v>40.0</v>
      </c>
      <c r="H256" s="13">
        <v>1818.0</v>
      </c>
      <c r="I256" s="12">
        <f t="shared" si="6"/>
        <v>2.200220022</v>
      </c>
      <c r="J256" s="11">
        <v>316.0</v>
      </c>
      <c r="K256" s="11">
        <v>1414.0</v>
      </c>
      <c r="L256" s="12">
        <f t="shared" si="7"/>
        <v>22.34794908</v>
      </c>
      <c r="M256" s="13">
        <v>188.0</v>
      </c>
      <c r="N256" s="13">
        <v>1788.0</v>
      </c>
      <c r="O256" s="14">
        <f t="shared" si="8"/>
        <v>10.51454139</v>
      </c>
      <c r="P256" s="12">
        <f t="shared" si="9"/>
        <v>0.06665655539</v>
      </c>
      <c r="Q256" s="12">
        <f t="shared" si="10"/>
        <v>0.209254968</v>
      </c>
      <c r="S256" s="28"/>
      <c r="T256" s="28"/>
      <c r="U256" s="27"/>
      <c r="V256" s="27"/>
      <c r="X256" s="27"/>
      <c r="Y256" s="27"/>
    </row>
    <row r="257" ht="15.75" customHeight="1">
      <c r="A257" s="9">
        <v>70104.0</v>
      </c>
      <c r="B257" s="10" t="s">
        <v>34</v>
      </c>
      <c r="C257" s="10" t="s">
        <v>285</v>
      </c>
      <c r="D257" s="11">
        <v>179.0</v>
      </c>
      <c r="E257" s="11">
        <v>9868.0</v>
      </c>
      <c r="F257" s="12">
        <f t="shared" si="5"/>
        <v>1.813944062</v>
      </c>
      <c r="G257" s="13">
        <v>383.0</v>
      </c>
      <c r="H257" s="13">
        <v>13259.0</v>
      </c>
      <c r="I257" s="12">
        <f t="shared" si="6"/>
        <v>2.888603967</v>
      </c>
      <c r="J257" s="11">
        <v>1915.0</v>
      </c>
      <c r="K257" s="11">
        <v>10028.0</v>
      </c>
      <c r="L257" s="12">
        <f t="shared" si="7"/>
        <v>19.09652972</v>
      </c>
      <c r="M257" s="13">
        <v>1506.0</v>
      </c>
      <c r="N257" s="13">
        <v>13471.0</v>
      </c>
      <c r="O257" s="14">
        <f t="shared" si="8"/>
        <v>11.17957093</v>
      </c>
      <c r="P257" s="12">
        <f t="shared" si="9"/>
        <v>0.0949881517</v>
      </c>
      <c r="Q257" s="12">
        <f t="shared" si="10"/>
        <v>0.2583823642</v>
      </c>
      <c r="S257" s="28"/>
      <c r="T257" s="28"/>
      <c r="U257" s="27"/>
      <c r="V257" s="27"/>
      <c r="X257" s="27"/>
      <c r="Y257" s="27"/>
    </row>
    <row r="258" ht="15.75" customHeight="1">
      <c r="A258" s="9">
        <v>70105.0</v>
      </c>
      <c r="B258" s="10" t="s">
        <v>34</v>
      </c>
      <c r="C258" s="10" t="s">
        <v>286</v>
      </c>
      <c r="D258" s="11">
        <v>116.0</v>
      </c>
      <c r="E258" s="11">
        <v>5642.0</v>
      </c>
      <c r="F258" s="12">
        <f t="shared" si="5"/>
        <v>2.056008508</v>
      </c>
      <c r="G258" s="13">
        <v>178.0</v>
      </c>
      <c r="H258" s="13">
        <v>5154.0</v>
      </c>
      <c r="I258" s="12">
        <f t="shared" si="6"/>
        <v>3.45362825</v>
      </c>
      <c r="J258" s="11">
        <v>1212.0</v>
      </c>
      <c r="K258" s="11">
        <v>5519.0</v>
      </c>
      <c r="L258" s="12">
        <f t="shared" si="7"/>
        <v>21.96050009</v>
      </c>
      <c r="M258" s="13">
        <v>670.0</v>
      </c>
      <c r="N258" s="13">
        <v>4865.0</v>
      </c>
      <c r="O258" s="14">
        <f t="shared" si="8"/>
        <v>13.77183967</v>
      </c>
      <c r="P258" s="12">
        <f t="shared" si="9"/>
        <v>0.09362302767</v>
      </c>
      <c r="Q258" s="12">
        <f t="shared" si="10"/>
        <v>0.2507746483</v>
      </c>
      <c r="S258" s="28"/>
      <c r="T258" s="28"/>
      <c r="U258" s="27"/>
      <c r="V258" s="27"/>
      <c r="X258" s="27"/>
      <c r="Y258" s="27"/>
    </row>
    <row r="259" ht="15.75" customHeight="1">
      <c r="A259" s="9">
        <v>70201.0</v>
      </c>
      <c r="B259" s="10" t="s">
        <v>34</v>
      </c>
      <c r="C259" s="10" t="s">
        <v>287</v>
      </c>
      <c r="D259" s="11">
        <v>179.0</v>
      </c>
      <c r="E259" s="11">
        <v>10001.0</v>
      </c>
      <c r="F259" s="12">
        <f t="shared" si="5"/>
        <v>1.789821018</v>
      </c>
      <c r="G259" s="13">
        <v>478.0</v>
      </c>
      <c r="H259" s="13">
        <v>14462.0</v>
      </c>
      <c r="I259" s="12">
        <f t="shared" si="6"/>
        <v>3.305213663</v>
      </c>
      <c r="J259" s="11">
        <v>2382.0</v>
      </c>
      <c r="K259" s="11">
        <v>10161.0</v>
      </c>
      <c r="L259" s="12">
        <f t="shared" si="7"/>
        <v>23.44257455</v>
      </c>
      <c r="M259" s="13">
        <v>1958.0</v>
      </c>
      <c r="N259" s="13">
        <v>14000.0</v>
      </c>
      <c r="O259" s="14">
        <f t="shared" si="8"/>
        <v>13.98571429</v>
      </c>
      <c r="P259" s="12">
        <f t="shared" si="9"/>
        <v>0.07634916609</v>
      </c>
      <c r="Q259" s="12">
        <f t="shared" si="10"/>
        <v>0.2363278411</v>
      </c>
      <c r="S259" s="28"/>
      <c r="T259" s="28"/>
      <c r="U259" s="27"/>
      <c r="V259" s="27"/>
      <c r="X259" s="27"/>
      <c r="Y259" s="27"/>
    </row>
    <row r="260" ht="15.75" customHeight="1">
      <c r="A260" s="9">
        <v>70202.0</v>
      </c>
      <c r="B260" s="10" t="s">
        <v>34</v>
      </c>
      <c r="C260" s="10" t="s">
        <v>288</v>
      </c>
      <c r="D260" s="11">
        <v>30.0</v>
      </c>
      <c r="E260" s="11">
        <v>1398.0</v>
      </c>
      <c r="F260" s="12">
        <f t="shared" si="5"/>
        <v>2.145922747</v>
      </c>
      <c r="G260" s="13">
        <v>27.0</v>
      </c>
      <c r="H260" s="13">
        <v>956.0</v>
      </c>
      <c r="I260" s="12">
        <f t="shared" si="6"/>
        <v>2.824267782</v>
      </c>
      <c r="J260" s="11">
        <v>340.0</v>
      </c>
      <c r="K260" s="11">
        <v>1321.0</v>
      </c>
      <c r="L260" s="12">
        <f t="shared" si="7"/>
        <v>25.73807721</v>
      </c>
      <c r="M260" s="13">
        <v>193.0</v>
      </c>
      <c r="N260" s="13">
        <v>900.0</v>
      </c>
      <c r="O260" s="14">
        <f t="shared" si="8"/>
        <v>21.44444444</v>
      </c>
      <c r="P260" s="12">
        <f t="shared" si="9"/>
        <v>0.08337541025</v>
      </c>
      <c r="Q260" s="12">
        <f t="shared" si="10"/>
        <v>0.1317016064</v>
      </c>
      <c r="S260" s="28"/>
      <c r="T260" s="28"/>
      <c r="U260" s="27"/>
      <c r="V260" s="27"/>
      <c r="X260" s="27"/>
      <c r="Y260" s="27"/>
    </row>
    <row r="261" ht="15.75" customHeight="1">
      <c r="A261" s="9">
        <v>70301.0</v>
      </c>
      <c r="B261" s="10" t="s">
        <v>34</v>
      </c>
      <c r="C261" s="10" t="s">
        <v>289</v>
      </c>
      <c r="D261" s="11">
        <v>92.0</v>
      </c>
      <c r="E261" s="11">
        <v>5317.0</v>
      </c>
      <c r="F261" s="12">
        <f t="shared" si="5"/>
        <v>1.730299041</v>
      </c>
      <c r="G261" s="13">
        <v>242.0</v>
      </c>
      <c r="H261" s="13">
        <v>6499.0</v>
      </c>
      <c r="I261" s="12">
        <f t="shared" si="6"/>
        <v>3.723649792</v>
      </c>
      <c r="J261" s="11">
        <v>1497.0</v>
      </c>
      <c r="K261" s="11">
        <v>4974.0</v>
      </c>
      <c r="L261" s="12">
        <f t="shared" si="7"/>
        <v>30.09650181</v>
      </c>
      <c r="M261" s="13">
        <v>1523.0</v>
      </c>
      <c r="N261" s="13">
        <v>5782.0</v>
      </c>
      <c r="O261" s="14">
        <f t="shared" si="8"/>
        <v>26.34036666</v>
      </c>
      <c r="P261" s="12">
        <f t="shared" si="9"/>
        <v>0.05749169959</v>
      </c>
      <c r="Q261" s="12">
        <f t="shared" si="10"/>
        <v>0.1413666651</v>
      </c>
      <c r="S261" s="28"/>
      <c r="T261" s="28"/>
      <c r="U261" s="27"/>
      <c r="V261" s="27"/>
      <c r="X261" s="27"/>
      <c r="Y261" s="27"/>
    </row>
    <row r="262" ht="15.75" customHeight="1">
      <c r="A262" s="9">
        <v>70302.0</v>
      </c>
      <c r="B262" s="10" t="s">
        <v>34</v>
      </c>
      <c r="C262" s="10" t="s">
        <v>290</v>
      </c>
      <c r="D262" s="11">
        <v>14.0</v>
      </c>
      <c r="E262" s="11">
        <v>1131.0</v>
      </c>
      <c r="F262" s="12">
        <f t="shared" si="5"/>
        <v>1.237842617</v>
      </c>
      <c r="G262" s="13">
        <v>54.0</v>
      </c>
      <c r="H262" s="13">
        <v>1224.0</v>
      </c>
      <c r="I262" s="12">
        <f t="shared" si="6"/>
        <v>4.411764706</v>
      </c>
      <c r="J262" s="11">
        <v>335.0</v>
      </c>
      <c r="K262" s="11">
        <v>1090.0</v>
      </c>
      <c r="L262" s="12">
        <f t="shared" si="7"/>
        <v>30.73394495</v>
      </c>
      <c r="M262" s="13">
        <v>274.0</v>
      </c>
      <c r="N262" s="13">
        <v>1163.0</v>
      </c>
      <c r="O262" s="14">
        <f t="shared" si="8"/>
        <v>23.55975924</v>
      </c>
      <c r="P262" s="12">
        <f t="shared" si="9"/>
        <v>0.04027607321</v>
      </c>
      <c r="Q262" s="12">
        <f t="shared" si="10"/>
        <v>0.18725848</v>
      </c>
      <c r="S262" s="28"/>
      <c r="T262" s="28"/>
      <c r="U262" s="27"/>
      <c r="V262" s="27"/>
      <c r="X262" s="27"/>
      <c r="Y262" s="27"/>
    </row>
    <row r="263" ht="15.75" customHeight="1">
      <c r="A263" s="9">
        <v>70303.0</v>
      </c>
      <c r="B263" s="10" t="s">
        <v>34</v>
      </c>
      <c r="C263" s="10" t="s">
        <v>291</v>
      </c>
      <c r="D263" s="11">
        <v>8.0</v>
      </c>
      <c r="E263" s="11">
        <v>621.0</v>
      </c>
      <c r="F263" s="12">
        <f t="shared" si="5"/>
        <v>1.288244767</v>
      </c>
      <c r="G263" s="13">
        <v>21.0</v>
      </c>
      <c r="H263" s="13">
        <v>756.0</v>
      </c>
      <c r="I263" s="12">
        <f t="shared" si="6"/>
        <v>2.777777778</v>
      </c>
      <c r="J263" s="11">
        <v>178.0</v>
      </c>
      <c r="K263" s="11">
        <v>562.0</v>
      </c>
      <c r="L263" s="12">
        <f t="shared" si="7"/>
        <v>31.67259786</v>
      </c>
      <c r="M263" s="13">
        <v>201.0</v>
      </c>
      <c r="N263" s="13">
        <v>691.0</v>
      </c>
      <c r="O263" s="14">
        <f t="shared" si="8"/>
        <v>29.08827786</v>
      </c>
      <c r="P263" s="12">
        <f t="shared" si="9"/>
        <v>0.04067379544</v>
      </c>
      <c r="Q263" s="12">
        <f t="shared" si="10"/>
        <v>0.09549474848</v>
      </c>
      <c r="S263" s="28"/>
      <c r="T263" s="28"/>
      <c r="U263" s="27"/>
      <c r="V263" s="27"/>
      <c r="X263" s="27"/>
      <c r="Y263" s="27"/>
    </row>
    <row r="264" ht="15.75" customHeight="1">
      <c r="A264" s="9">
        <v>70401.0</v>
      </c>
      <c r="B264" s="10" t="s">
        <v>34</v>
      </c>
      <c r="C264" s="10" t="s">
        <v>292</v>
      </c>
      <c r="D264" s="11">
        <v>20.0</v>
      </c>
      <c r="E264" s="11">
        <v>1468.0</v>
      </c>
      <c r="F264" s="12">
        <f t="shared" si="5"/>
        <v>1.36239782</v>
      </c>
      <c r="G264" s="13">
        <v>64.0</v>
      </c>
      <c r="H264" s="13">
        <v>1324.0</v>
      </c>
      <c r="I264" s="12">
        <f t="shared" si="6"/>
        <v>4.833836858</v>
      </c>
      <c r="J264" s="11">
        <v>314.0</v>
      </c>
      <c r="K264" s="11">
        <v>1177.0</v>
      </c>
      <c r="L264" s="12">
        <f t="shared" si="7"/>
        <v>26.6779949</v>
      </c>
      <c r="M264" s="13">
        <v>181.0</v>
      </c>
      <c r="N264" s="13">
        <v>1056.0</v>
      </c>
      <c r="O264" s="14">
        <f t="shared" si="8"/>
        <v>17.14015152</v>
      </c>
      <c r="P264" s="12">
        <f t="shared" si="9"/>
        <v>0.05106822402</v>
      </c>
      <c r="Q264" s="12">
        <f t="shared" si="10"/>
        <v>0.2820183272</v>
      </c>
      <c r="S264" s="28"/>
      <c r="T264" s="28"/>
      <c r="U264" s="27"/>
      <c r="V264" s="27"/>
      <c r="X264" s="27"/>
      <c r="Y264" s="27"/>
    </row>
    <row r="265" ht="15.75" customHeight="1">
      <c r="A265" s="9">
        <v>70402.0</v>
      </c>
      <c r="B265" s="10" t="s">
        <v>34</v>
      </c>
      <c r="C265" s="10" t="s">
        <v>293</v>
      </c>
      <c r="D265" s="11">
        <v>49.0</v>
      </c>
      <c r="E265" s="11">
        <v>2229.0</v>
      </c>
      <c r="F265" s="12">
        <f t="shared" si="5"/>
        <v>2.1982952</v>
      </c>
      <c r="G265" s="13">
        <v>56.0</v>
      </c>
      <c r="H265" s="13">
        <v>1584.0</v>
      </c>
      <c r="I265" s="12">
        <f t="shared" si="6"/>
        <v>3.535353535</v>
      </c>
      <c r="J265" s="11">
        <v>521.0</v>
      </c>
      <c r="K265" s="11">
        <v>2125.0</v>
      </c>
      <c r="L265" s="12">
        <f t="shared" si="7"/>
        <v>24.51764706</v>
      </c>
      <c r="M265" s="13">
        <v>283.0</v>
      </c>
      <c r="N265" s="13">
        <v>1612.0</v>
      </c>
      <c r="O265" s="14">
        <f t="shared" si="8"/>
        <v>17.55583127</v>
      </c>
      <c r="P265" s="12">
        <f t="shared" si="9"/>
        <v>0.08966175238</v>
      </c>
      <c r="Q265" s="12">
        <f t="shared" si="10"/>
        <v>0.2013777349</v>
      </c>
      <c r="S265" s="28"/>
      <c r="T265" s="28"/>
      <c r="U265" s="27"/>
      <c r="V265" s="27"/>
      <c r="X265" s="27"/>
      <c r="Y265" s="27"/>
    </row>
    <row r="266" ht="15.75" customHeight="1">
      <c r="A266" s="9">
        <v>70403.0</v>
      </c>
      <c r="B266" s="10" t="s">
        <v>34</v>
      </c>
      <c r="C266" s="10" t="s">
        <v>294</v>
      </c>
      <c r="D266" s="11">
        <v>90.0</v>
      </c>
      <c r="E266" s="11">
        <v>5771.0</v>
      </c>
      <c r="F266" s="12">
        <f t="shared" si="5"/>
        <v>1.559521747</v>
      </c>
      <c r="G266" s="13">
        <v>186.0</v>
      </c>
      <c r="H266" s="13">
        <v>5487.0</v>
      </c>
      <c r="I266" s="12">
        <f t="shared" si="6"/>
        <v>3.389830508</v>
      </c>
      <c r="J266" s="11">
        <v>1293.0</v>
      </c>
      <c r="K266" s="11">
        <v>5320.0</v>
      </c>
      <c r="L266" s="12">
        <f t="shared" si="7"/>
        <v>24.30451128</v>
      </c>
      <c r="M266" s="13">
        <v>708.0</v>
      </c>
      <c r="N266" s="13">
        <v>4890.0</v>
      </c>
      <c r="O266" s="14">
        <f t="shared" si="8"/>
        <v>14.47852761</v>
      </c>
      <c r="P266" s="12">
        <f t="shared" si="9"/>
        <v>0.0641659373</v>
      </c>
      <c r="Q266" s="12">
        <f t="shared" si="10"/>
        <v>0.2341281241</v>
      </c>
      <c r="S266" s="28"/>
      <c r="T266" s="28"/>
      <c r="U266" s="27"/>
      <c r="V266" s="27"/>
      <c r="X266" s="27"/>
      <c r="Y266" s="27"/>
    </row>
    <row r="267" ht="15.75" customHeight="1">
      <c r="A267" s="9">
        <v>70404.0</v>
      </c>
      <c r="B267" s="10" t="s">
        <v>34</v>
      </c>
      <c r="C267" s="10" t="s">
        <v>295</v>
      </c>
      <c r="D267" s="11">
        <v>7.0</v>
      </c>
      <c r="E267" s="11">
        <v>910.0</v>
      </c>
      <c r="F267" s="12">
        <f t="shared" si="5"/>
        <v>0.7692307692</v>
      </c>
      <c r="G267" s="13">
        <v>46.0</v>
      </c>
      <c r="H267" s="13">
        <v>949.0</v>
      </c>
      <c r="I267" s="12">
        <f t="shared" si="6"/>
        <v>4.847207587</v>
      </c>
      <c r="J267" s="11">
        <v>251.0</v>
      </c>
      <c r="K267" s="11">
        <v>858.0</v>
      </c>
      <c r="L267" s="12">
        <f t="shared" si="7"/>
        <v>29.25407925</v>
      </c>
      <c r="M267" s="13">
        <v>134.0</v>
      </c>
      <c r="N267" s="13">
        <v>871.0</v>
      </c>
      <c r="O267" s="14">
        <f t="shared" si="8"/>
        <v>15.38461538</v>
      </c>
      <c r="P267" s="12">
        <f t="shared" si="9"/>
        <v>0.02629482072</v>
      </c>
      <c r="Q267" s="12">
        <f t="shared" si="10"/>
        <v>0.3150684932</v>
      </c>
      <c r="S267" s="28"/>
      <c r="T267" s="28"/>
      <c r="U267" s="27"/>
      <c r="V267" s="27"/>
      <c r="X267" s="27"/>
      <c r="Y267" s="27"/>
    </row>
    <row r="268" ht="15.75" customHeight="1">
      <c r="A268" s="9">
        <v>70501.0</v>
      </c>
      <c r="B268" s="10" t="s">
        <v>34</v>
      </c>
      <c r="C268" s="10" t="s">
        <v>296</v>
      </c>
      <c r="D268" s="11">
        <v>62.0</v>
      </c>
      <c r="E268" s="11">
        <v>3155.0</v>
      </c>
      <c r="F268" s="12">
        <f t="shared" si="5"/>
        <v>1.965134707</v>
      </c>
      <c r="G268" s="13">
        <v>194.0</v>
      </c>
      <c r="H268" s="13">
        <v>3816.0</v>
      </c>
      <c r="I268" s="12">
        <f t="shared" si="6"/>
        <v>5.083857442</v>
      </c>
      <c r="J268" s="11">
        <v>1062.0</v>
      </c>
      <c r="K268" s="11">
        <v>2589.0</v>
      </c>
      <c r="L268" s="12">
        <f t="shared" si="7"/>
        <v>41.01969873</v>
      </c>
      <c r="M268" s="13">
        <v>995.0</v>
      </c>
      <c r="N268" s="13">
        <v>3345.0</v>
      </c>
      <c r="O268" s="14">
        <f t="shared" si="8"/>
        <v>29.74588939</v>
      </c>
      <c r="P268" s="12">
        <f t="shared" si="9"/>
        <v>0.04790709751</v>
      </c>
      <c r="Q268" s="12">
        <f t="shared" si="10"/>
        <v>0.1709095793</v>
      </c>
      <c r="S268" s="28"/>
      <c r="T268" s="28"/>
      <c r="U268" s="27"/>
      <c r="V268" s="27"/>
      <c r="X268" s="27"/>
      <c r="Y268" s="27"/>
    </row>
    <row r="269" ht="15.75" customHeight="1">
      <c r="A269" s="9">
        <v>70502.0</v>
      </c>
      <c r="B269" s="10" t="s">
        <v>34</v>
      </c>
      <c r="C269" s="10" t="s">
        <v>297</v>
      </c>
      <c r="D269" s="11">
        <v>82.0</v>
      </c>
      <c r="E269" s="11">
        <v>4212.0</v>
      </c>
      <c r="F269" s="12">
        <f t="shared" si="5"/>
        <v>1.946818613</v>
      </c>
      <c r="G269" s="13">
        <v>210.0</v>
      </c>
      <c r="H269" s="13">
        <v>5113.0</v>
      </c>
      <c r="I269" s="12">
        <f t="shared" si="6"/>
        <v>4.107177782</v>
      </c>
      <c r="J269" s="11">
        <v>1246.0</v>
      </c>
      <c r="K269" s="11">
        <v>3930.0</v>
      </c>
      <c r="L269" s="12">
        <f t="shared" si="7"/>
        <v>31.70483461</v>
      </c>
      <c r="M269" s="13">
        <v>1743.0</v>
      </c>
      <c r="N269" s="13">
        <v>4835.0</v>
      </c>
      <c r="O269" s="14">
        <f t="shared" si="8"/>
        <v>36.04963806</v>
      </c>
      <c r="P269" s="12">
        <f t="shared" si="9"/>
        <v>0.06140447152</v>
      </c>
      <c r="Q269" s="12">
        <f t="shared" si="10"/>
        <v>0.1139311794</v>
      </c>
      <c r="S269" s="28"/>
      <c r="T269" s="28"/>
      <c r="U269" s="27"/>
      <c r="V269" s="27"/>
      <c r="X269" s="27"/>
      <c r="Y269" s="27"/>
    </row>
    <row r="270" ht="15.75" customHeight="1">
      <c r="A270" s="9">
        <v>70503.0</v>
      </c>
      <c r="B270" s="10" t="s">
        <v>34</v>
      </c>
      <c r="C270" s="10" t="s">
        <v>298</v>
      </c>
      <c r="D270" s="11">
        <v>39.0</v>
      </c>
      <c r="E270" s="11">
        <v>1993.0</v>
      </c>
      <c r="F270" s="12">
        <f t="shared" si="5"/>
        <v>1.956848971</v>
      </c>
      <c r="G270" s="13">
        <v>85.0</v>
      </c>
      <c r="H270" s="13">
        <v>2097.0</v>
      </c>
      <c r="I270" s="12">
        <f t="shared" si="6"/>
        <v>4.053409633</v>
      </c>
      <c r="J270" s="11">
        <v>339.0</v>
      </c>
      <c r="K270" s="11">
        <v>1427.0</v>
      </c>
      <c r="L270" s="12">
        <f t="shared" si="7"/>
        <v>23.75613174</v>
      </c>
      <c r="M270" s="13">
        <v>305.0</v>
      </c>
      <c r="N270" s="13">
        <v>1305.0</v>
      </c>
      <c r="O270" s="14">
        <f t="shared" si="8"/>
        <v>23.37164751</v>
      </c>
      <c r="P270" s="12">
        <f t="shared" si="9"/>
        <v>0.08237237411</v>
      </c>
      <c r="Q270" s="12">
        <f t="shared" si="10"/>
        <v>0.1734327728</v>
      </c>
      <c r="S270" s="28"/>
      <c r="T270" s="28"/>
      <c r="U270" s="27"/>
      <c r="V270" s="27"/>
      <c r="X270" s="27"/>
      <c r="Y270" s="27"/>
    </row>
    <row r="271" ht="15.75" customHeight="1">
      <c r="A271" s="9">
        <v>70601.0</v>
      </c>
      <c r="B271" s="10" t="s">
        <v>34</v>
      </c>
      <c r="C271" s="10" t="s">
        <v>299</v>
      </c>
      <c r="D271" s="11">
        <v>43.0</v>
      </c>
      <c r="E271" s="11">
        <v>1949.0</v>
      </c>
      <c r="F271" s="12">
        <f t="shared" si="5"/>
        <v>2.20625962</v>
      </c>
      <c r="G271" s="13">
        <v>55.0</v>
      </c>
      <c r="H271" s="13">
        <v>1762.0</v>
      </c>
      <c r="I271" s="12">
        <f t="shared" si="6"/>
        <v>3.121452894</v>
      </c>
      <c r="J271" s="11">
        <v>420.0</v>
      </c>
      <c r="K271" s="11">
        <v>1885.0</v>
      </c>
      <c r="L271" s="12">
        <f t="shared" si="7"/>
        <v>22.28116711</v>
      </c>
      <c r="M271" s="13">
        <v>273.0</v>
      </c>
      <c r="N271" s="13">
        <v>1760.0</v>
      </c>
      <c r="O271" s="14">
        <f t="shared" si="8"/>
        <v>15.51136364</v>
      </c>
      <c r="P271" s="12">
        <f t="shared" si="9"/>
        <v>0.09901903296</v>
      </c>
      <c r="Q271" s="12">
        <f t="shared" si="10"/>
        <v>0.2012365236</v>
      </c>
      <c r="S271" s="28"/>
      <c r="T271" s="28"/>
      <c r="U271" s="27"/>
      <c r="V271" s="27"/>
      <c r="X271" s="27"/>
      <c r="Y271" s="27"/>
    </row>
    <row r="272" ht="15.75" customHeight="1">
      <c r="A272" s="9">
        <v>70602.0</v>
      </c>
      <c r="B272" s="10" t="s">
        <v>34</v>
      </c>
      <c r="C272" s="10" t="s">
        <v>300</v>
      </c>
      <c r="D272" s="11">
        <v>22.0</v>
      </c>
      <c r="E272" s="11">
        <v>1953.0</v>
      </c>
      <c r="F272" s="12">
        <f t="shared" si="5"/>
        <v>1.126472094</v>
      </c>
      <c r="G272" s="13">
        <v>82.0</v>
      </c>
      <c r="H272" s="13">
        <v>1566.0</v>
      </c>
      <c r="I272" s="12">
        <f t="shared" si="6"/>
        <v>5.236270754</v>
      </c>
      <c r="J272" s="11">
        <v>511.0</v>
      </c>
      <c r="K272" s="11">
        <v>1579.0</v>
      </c>
      <c r="L272" s="12">
        <f t="shared" si="7"/>
        <v>32.36225459</v>
      </c>
      <c r="M272" s="13">
        <v>314.0</v>
      </c>
      <c r="N272" s="13">
        <v>1473.0</v>
      </c>
      <c r="O272" s="14">
        <f t="shared" si="8"/>
        <v>21.31704005</v>
      </c>
      <c r="P272" s="12">
        <f t="shared" si="9"/>
        <v>0.03480820816</v>
      </c>
      <c r="Q272" s="12">
        <f t="shared" si="10"/>
        <v>0.2456377968</v>
      </c>
      <c r="S272" s="28"/>
      <c r="T272" s="28"/>
      <c r="U272" s="27"/>
      <c r="V272" s="27"/>
      <c r="X272" s="27"/>
      <c r="Y272" s="27"/>
    </row>
    <row r="273" ht="15.75" customHeight="1">
      <c r="A273" s="9">
        <v>70603.0</v>
      </c>
      <c r="B273" s="10" t="s">
        <v>34</v>
      </c>
      <c r="C273" s="10" t="s">
        <v>301</v>
      </c>
      <c r="D273" s="11">
        <v>13.0</v>
      </c>
      <c r="E273" s="11">
        <v>634.0</v>
      </c>
      <c r="F273" s="12">
        <f t="shared" si="5"/>
        <v>2.050473186</v>
      </c>
      <c r="G273" s="13">
        <v>37.0</v>
      </c>
      <c r="H273" s="13">
        <v>529.0</v>
      </c>
      <c r="I273" s="12">
        <f t="shared" si="6"/>
        <v>6.994328922</v>
      </c>
      <c r="J273" s="11">
        <v>185.0</v>
      </c>
      <c r="K273" s="11">
        <v>638.0</v>
      </c>
      <c r="L273" s="12">
        <f t="shared" si="7"/>
        <v>28.9968652</v>
      </c>
      <c r="M273" s="13">
        <v>93.0</v>
      </c>
      <c r="N273" s="13">
        <v>504.0</v>
      </c>
      <c r="O273" s="14">
        <f t="shared" si="8"/>
        <v>18.45238095</v>
      </c>
      <c r="P273" s="12">
        <f t="shared" si="9"/>
        <v>0.07071361582</v>
      </c>
      <c r="Q273" s="12">
        <f t="shared" si="10"/>
        <v>0.3790475029</v>
      </c>
      <c r="S273" s="28"/>
      <c r="T273" s="28"/>
      <c r="U273" s="27"/>
      <c r="V273" s="27"/>
      <c r="X273" s="27"/>
      <c r="Y273" s="27"/>
    </row>
    <row r="274" ht="15.75" customHeight="1">
      <c r="A274" s="9">
        <v>70701.0</v>
      </c>
      <c r="B274" s="10" t="s">
        <v>34</v>
      </c>
      <c r="C274" s="10" t="s">
        <v>302</v>
      </c>
      <c r="D274" s="11">
        <v>5.0</v>
      </c>
      <c r="E274" s="11">
        <v>533.0</v>
      </c>
      <c r="F274" s="12">
        <f t="shared" si="5"/>
        <v>0.9380863039</v>
      </c>
      <c r="G274" s="13">
        <v>22.0</v>
      </c>
      <c r="H274" s="13">
        <v>494.0</v>
      </c>
      <c r="I274" s="12">
        <f t="shared" si="6"/>
        <v>4.453441296</v>
      </c>
      <c r="J274" s="11">
        <v>170.0</v>
      </c>
      <c r="K274" s="11">
        <v>430.0</v>
      </c>
      <c r="L274" s="12">
        <f t="shared" si="7"/>
        <v>39.53488372</v>
      </c>
      <c r="M274" s="13">
        <v>135.0</v>
      </c>
      <c r="N274" s="13">
        <v>466.0</v>
      </c>
      <c r="O274" s="14">
        <f t="shared" si="8"/>
        <v>28.96995708</v>
      </c>
      <c r="P274" s="12">
        <f t="shared" si="9"/>
        <v>0.02372806533</v>
      </c>
      <c r="Q274" s="12">
        <f t="shared" si="10"/>
        <v>0.1537261958</v>
      </c>
      <c r="S274" s="28"/>
      <c r="T274" s="28"/>
      <c r="U274" s="27"/>
      <c r="V274" s="27"/>
      <c r="X274" s="27"/>
      <c r="Y274" s="27"/>
    </row>
    <row r="275" ht="15.75" customHeight="1">
      <c r="A275" s="9">
        <v>70702.0</v>
      </c>
      <c r="B275" s="10" t="s">
        <v>34</v>
      </c>
      <c r="C275" s="10" t="s">
        <v>303</v>
      </c>
      <c r="D275" s="11">
        <v>57.0</v>
      </c>
      <c r="E275" s="11">
        <v>3421.0</v>
      </c>
      <c r="F275" s="12">
        <f t="shared" si="5"/>
        <v>1.66617948</v>
      </c>
      <c r="G275" s="13">
        <v>406.0</v>
      </c>
      <c r="H275" s="13">
        <v>3968.0</v>
      </c>
      <c r="I275" s="12">
        <f t="shared" si="6"/>
        <v>10.23185484</v>
      </c>
      <c r="J275" s="11">
        <v>999.0</v>
      </c>
      <c r="K275" s="11">
        <v>2871.0</v>
      </c>
      <c r="L275" s="12">
        <f t="shared" si="7"/>
        <v>34.79623824</v>
      </c>
      <c r="M275" s="13">
        <v>1252.0</v>
      </c>
      <c r="N275" s="13">
        <v>3618.0</v>
      </c>
      <c r="O275" s="14">
        <f t="shared" si="8"/>
        <v>34.60475401</v>
      </c>
      <c r="P275" s="12">
        <f t="shared" si="9"/>
        <v>0.04788389676</v>
      </c>
      <c r="Q275" s="12">
        <f t="shared" si="10"/>
        <v>0.2956777221</v>
      </c>
      <c r="S275" s="28"/>
      <c r="T275" s="28"/>
      <c r="U275" s="27"/>
      <c r="V275" s="27"/>
      <c r="X275" s="27"/>
      <c r="Y275" s="27"/>
    </row>
    <row r="276" ht="15.75" customHeight="1">
      <c r="A276" s="9">
        <v>70703.0</v>
      </c>
      <c r="B276" s="10" t="s">
        <v>34</v>
      </c>
      <c r="C276" s="10" t="s">
        <v>304</v>
      </c>
      <c r="D276" s="11">
        <v>45.0</v>
      </c>
      <c r="E276" s="11">
        <v>3053.0</v>
      </c>
      <c r="F276" s="12">
        <f t="shared" si="5"/>
        <v>1.473960039</v>
      </c>
      <c r="G276" s="13">
        <v>223.0</v>
      </c>
      <c r="H276" s="13">
        <v>3289.0</v>
      </c>
      <c r="I276" s="12">
        <f t="shared" si="6"/>
        <v>6.780176345</v>
      </c>
      <c r="J276" s="11">
        <v>869.0</v>
      </c>
      <c r="K276" s="11">
        <v>2442.0</v>
      </c>
      <c r="L276" s="12">
        <f t="shared" si="7"/>
        <v>35.58558559</v>
      </c>
      <c r="M276" s="13">
        <v>940.0</v>
      </c>
      <c r="N276" s="13">
        <v>2888.0</v>
      </c>
      <c r="O276" s="14">
        <f t="shared" si="8"/>
        <v>32.54847645</v>
      </c>
      <c r="P276" s="12">
        <f t="shared" si="9"/>
        <v>0.04142014288</v>
      </c>
      <c r="Q276" s="12">
        <f t="shared" si="10"/>
        <v>0.2083100988</v>
      </c>
      <c r="S276" s="28"/>
      <c r="T276" s="28"/>
      <c r="U276" s="27"/>
      <c r="V276" s="27"/>
      <c r="X276" s="27"/>
      <c r="Y276" s="27"/>
    </row>
    <row r="277" ht="15.75" customHeight="1">
      <c r="A277" s="9">
        <v>70704.0</v>
      </c>
      <c r="B277" s="10" t="s">
        <v>34</v>
      </c>
      <c r="C277" s="10" t="s">
        <v>305</v>
      </c>
      <c r="D277" s="11">
        <v>10.0</v>
      </c>
      <c r="E277" s="11">
        <v>564.0</v>
      </c>
      <c r="F277" s="12">
        <f t="shared" si="5"/>
        <v>1.773049645</v>
      </c>
      <c r="G277" s="13">
        <v>25.0</v>
      </c>
      <c r="H277" s="13">
        <v>662.0</v>
      </c>
      <c r="I277" s="12">
        <f t="shared" si="6"/>
        <v>3.776435045</v>
      </c>
      <c r="J277" s="11">
        <v>90.0</v>
      </c>
      <c r="K277" s="11">
        <v>437.0</v>
      </c>
      <c r="L277" s="12">
        <f t="shared" si="7"/>
        <v>20.59496568</v>
      </c>
      <c r="M277" s="13">
        <v>81.0</v>
      </c>
      <c r="N277" s="13">
        <v>452.0</v>
      </c>
      <c r="O277" s="14">
        <f t="shared" si="8"/>
        <v>17.92035398</v>
      </c>
      <c r="P277" s="12">
        <f t="shared" si="9"/>
        <v>0.08609141056</v>
      </c>
      <c r="Q277" s="12">
        <f t="shared" si="10"/>
        <v>0.2107344001</v>
      </c>
      <c r="S277" s="28"/>
      <c r="T277" s="28"/>
      <c r="U277" s="27"/>
      <c r="V277" s="27"/>
      <c r="X277" s="27"/>
      <c r="Y277" s="27"/>
    </row>
    <row r="278" ht="15.75" customHeight="1">
      <c r="A278" s="9">
        <v>70705.0</v>
      </c>
      <c r="B278" s="10" t="s">
        <v>34</v>
      </c>
      <c r="C278" s="10" t="s">
        <v>306</v>
      </c>
      <c r="D278" s="11">
        <v>16.0</v>
      </c>
      <c r="E278" s="11">
        <v>1151.0</v>
      </c>
      <c r="F278" s="12">
        <f t="shared" si="5"/>
        <v>1.390095569</v>
      </c>
      <c r="G278" s="13">
        <v>98.0</v>
      </c>
      <c r="H278" s="13">
        <v>1424.0</v>
      </c>
      <c r="I278" s="12">
        <f t="shared" si="6"/>
        <v>6.882022472</v>
      </c>
      <c r="J278" s="11">
        <v>387.0</v>
      </c>
      <c r="K278" s="11">
        <v>1106.0</v>
      </c>
      <c r="L278" s="12">
        <f t="shared" si="7"/>
        <v>34.99095841</v>
      </c>
      <c r="M278" s="13">
        <v>372.0</v>
      </c>
      <c r="N278" s="13">
        <v>1463.0</v>
      </c>
      <c r="O278" s="14">
        <f t="shared" si="8"/>
        <v>25.42720437</v>
      </c>
      <c r="P278" s="12">
        <f t="shared" si="9"/>
        <v>0.03972727905</v>
      </c>
      <c r="Q278" s="12">
        <f t="shared" si="10"/>
        <v>0.2706558838</v>
      </c>
      <c r="S278" s="28"/>
      <c r="T278" s="28"/>
      <c r="U278" s="27"/>
      <c r="V278" s="27"/>
      <c r="X278" s="27"/>
      <c r="Y278" s="27"/>
    </row>
    <row r="279" ht="15.75" customHeight="1">
      <c r="A279" s="9">
        <v>70706.0</v>
      </c>
      <c r="B279" s="10" t="s">
        <v>34</v>
      </c>
      <c r="C279" s="10" t="s">
        <v>307</v>
      </c>
      <c r="D279" s="11">
        <v>79.0</v>
      </c>
      <c r="E279" s="11">
        <v>3766.0</v>
      </c>
      <c r="F279" s="12">
        <f t="shared" si="5"/>
        <v>2.09771641</v>
      </c>
      <c r="G279" s="13">
        <v>87.0</v>
      </c>
      <c r="H279" s="13">
        <v>3037.0</v>
      </c>
      <c r="I279" s="12">
        <f t="shared" si="6"/>
        <v>2.864669081</v>
      </c>
      <c r="J279" s="11">
        <v>577.0</v>
      </c>
      <c r="K279" s="11">
        <v>3820.0</v>
      </c>
      <c r="L279" s="12">
        <f t="shared" si="7"/>
        <v>15.10471204</v>
      </c>
      <c r="M279" s="13">
        <v>338.0</v>
      </c>
      <c r="N279" s="13">
        <v>2929.0</v>
      </c>
      <c r="O279" s="14">
        <f t="shared" si="8"/>
        <v>11.53977467</v>
      </c>
      <c r="P279" s="12">
        <f t="shared" si="9"/>
        <v>0.1388782788</v>
      </c>
      <c r="Q279" s="12">
        <f t="shared" si="10"/>
        <v>0.2482430692</v>
      </c>
      <c r="S279" s="28"/>
      <c r="T279" s="28"/>
      <c r="U279" s="27"/>
      <c r="V279" s="27"/>
      <c r="X279" s="27"/>
      <c r="Y279" s="27"/>
    </row>
    <row r="280" ht="15.75" customHeight="1">
      <c r="A280" s="9">
        <v>70707.0</v>
      </c>
      <c r="B280" s="10" t="s">
        <v>34</v>
      </c>
      <c r="C280" s="10" t="s">
        <v>308</v>
      </c>
      <c r="D280" s="11">
        <v>18.0</v>
      </c>
      <c r="E280" s="11">
        <v>615.0</v>
      </c>
      <c r="F280" s="12">
        <f t="shared" si="5"/>
        <v>2.926829268</v>
      </c>
      <c r="G280" s="13">
        <v>19.0</v>
      </c>
      <c r="H280" s="13">
        <v>706.0</v>
      </c>
      <c r="I280" s="12">
        <f t="shared" si="6"/>
        <v>2.69121813</v>
      </c>
      <c r="J280" s="11">
        <v>141.0</v>
      </c>
      <c r="K280" s="11">
        <v>515.0</v>
      </c>
      <c r="L280" s="12">
        <f t="shared" si="7"/>
        <v>27.37864078</v>
      </c>
      <c r="M280" s="13">
        <v>72.0</v>
      </c>
      <c r="N280" s="13">
        <v>446.0</v>
      </c>
      <c r="O280" s="14">
        <f t="shared" si="8"/>
        <v>16.14349776</v>
      </c>
      <c r="P280" s="12">
        <f t="shared" si="9"/>
        <v>0.1069019201</v>
      </c>
      <c r="Q280" s="12">
        <f t="shared" si="10"/>
        <v>0.166706012</v>
      </c>
      <c r="S280" s="28"/>
      <c r="T280" s="28"/>
      <c r="U280" s="27"/>
      <c r="V280" s="27"/>
      <c r="X280" s="27"/>
      <c r="Y280" s="27"/>
    </row>
    <row r="281" ht="15.75" customHeight="1">
      <c r="A281" s="9">
        <v>70801.0</v>
      </c>
      <c r="B281" s="10" t="s">
        <v>34</v>
      </c>
      <c r="C281" s="10" t="s">
        <v>309</v>
      </c>
      <c r="D281" s="11">
        <v>10.0</v>
      </c>
      <c r="E281" s="11">
        <v>1675.0</v>
      </c>
      <c r="F281" s="12">
        <f t="shared" si="5"/>
        <v>0.5970149254</v>
      </c>
      <c r="G281" s="13">
        <v>28.0</v>
      </c>
      <c r="H281" s="13">
        <v>1292.0</v>
      </c>
      <c r="I281" s="12">
        <f t="shared" si="6"/>
        <v>2.167182663</v>
      </c>
      <c r="J281" s="11">
        <v>291.0</v>
      </c>
      <c r="K281" s="11">
        <v>1429.0</v>
      </c>
      <c r="L281" s="12">
        <f t="shared" si="7"/>
        <v>20.36389083</v>
      </c>
      <c r="M281" s="13">
        <v>110.0</v>
      </c>
      <c r="N281" s="13">
        <v>1181.0</v>
      </c>
      <c r="O281" s="14">
        <f t="shared" si="8"/>
        <v>9.314140559</v>
      </c>
      <c r="P281" s="12">
        <f t="shared" si="9"/>
        <v>0.02931733087</v>
      </c>
      <c r="Q281" s="12">
        <f t="shared" si="10"/>
        <v>0.2326766113</v>
      </c>
      <c r="S281" s="28"/>
      <c r="T281" s="28"/>
      <c r="U281" s="27"/>
      <c r="V281" s="27"/>
      <c r="X281" s="27"/>
      <c r="Y281" s="27"/>
    </row>
    <row r="282" ht="15.75" customHeight="1">
      <c r="A282" s="9">
        <v>70802.0</v>
      </c>
      <c r="B282" s="10" t="s">
        <v>34</v>
      </c>
      <c r="C282" s="10" t="s">
        <v>310</v>
      </c>
      <c r="D282" s="11">
        <v>0.0</v>
      </c>
      <c r="E282" s="11">
        <v>183.0</v>
      </c>
      <c r="F282" s="12">
        <f t="shared" si="5"/>
        <v>0</v>
      </c>
      <c r="G282" s="13">
        <v>5.0</v>
      </c>
      <c r="H282" s="13">
        <v>146.0</v>
      </c>
      <c r="I282" s="12">
        <f t="shared" si="6"/>
        <v>3.424657534</v>
      </c>
      <c r="J282" s="11">
        <v>32.0</v>
      </c>
      <c r="K282" s="11">
        <v>183.0</v>
      </c>
      <c r="L282" s="12">
        <f t="shared" si="7"/>
        <v>17.4863388</v>
      </c>
      <c r="M282" s="13">
        <v>19.0</v>
      </c>
      <c r="N282" s="13">
        <v>155.0</v>
      </c>
      <c r="O282" s="14">
        <f t="shared" si="8"/>
        <v>12.25806452</v>
      </c>
      <c r="P282" s="12">
        <f t="shared" si="9"/>
        <v>0</v>
      </c>
      <c r="Q282" s="12">
        <f t="shared" si="10"/>
        <v>0.2793799567</v>
      </c>
      <c r="S282" s="28"/>
      <c r="T282" s="28"/>
      <c r="U282" s="27"/>
      <c r="V282" s="27"/>
      <c r="X282" s="27"/>
      <c r="Y282" s="27"/>
    </row>
    <row r="283" ht="15.75" customHeight="1">
      <c r="A283" s="9">
        <v>70803.0</v>
      </c>
      <c r="B283" s="10" t="s">
        <v>34</v>
      </c>
      <c r="C283" s="10" t="s">
        <v>311</v>
      </c>
      <c r="D283" s="11">
        <v>3.0</v>
      </c>
      <c r="E283" s="11">
        <v>259.0</v>
      </c>
      <c r="F283" s="12">
        <f t="shared" si="5"/>
        <v>1.158301158</v>
      </c>
      <c r="G283" s="13">
        <v>7.0</v>
      </c>
      <c r="H283" s="13">
        <v>200.0</v>
      </c>
      <c r="I283" s="12">
        <f t="shared" si="6"/>
        <v>3.5</v>
      </c>
      <c r="J283" s="11">
        <v>30.0</v>
      </c>
      <c r="K283" s="11">
        <v>194.0</v>
      </c>
      <c r="L283" s="12">
        <f t="shared" si="7"/>
        <v>15.46391753</v>
      </c>
      <c r="M283" s="13">
        <v>26.0</v>
      </c>
      <c r="N283" s="13">
        <v>185.0</v>
      </c>
      <c r="O283" s="14">
        <f t="shared" si="8"/>
        <v>14.05405405</v>
      </c>
      <c r="P283" s="12">
        <f t="shared" si="9"/>
        <v>0.0749034749</v>
      </c>
      <c r="Q283" s="12">
        <f t="shared" si="10"/>
        <v>0.2490384615</v>
      </c>
      <c r="S283" s="28"/>
      <c r="T283" s="28"/>
      <c r="U283" s="27"/>
      <c r="V283" s="27"/>
      <c r="X283" s="27"/>
      <c r="Y283" s="27"/>
    </row>
    <row r="284" ht="15.75" customHeight="1">
      <c r="A284" s="9">
        <v>70804.0</v>
      </c>
      <c r="B284" s="10" t="s">
        <v>34</v>
      </c>
      <c r="C284" s="10" t="s">
        <v>312</v>
      </c>
      <c r="D284" s="11">
        <v>3.0</v>
      </c>
      <c r="E284" s="11">
        <v>225.0</v>
      </c>
      <c r="F284" s="12">
        <f t="shared" si="5"/>
        <v>1.333333333</v>
      </c>
      <c r="G284" s="13">
        <v>4.0</v>
      </c>
      <c r="H284" s="13">
        <v>143.0</v>
      </c>
      <c r="I284" s="12">
        <f t="shared" si="6"/>
        <v>2.797202797</v>
      </c>
      <c r="J284" s="11">
        <v>37.0</v>
      </c>
      <c r="K284" s="11">
        <v>178.0</v>
      </c>
      <c r="L284" s="12">
        <f t="shared" si="7"/>
        <v>20.78651685</v>
      </c>
      <c r="M284" s="13">
        <v>19.0</v>
      </c>
      <c r="N284" s="13">
        <v>121.0</v>
      </c>
      <c r="O284" s="14">
        <f t="shared" si="8"/>
        <v>15.70247934</v>
      </c>
      <c r="P284" s="12">
        <f t="shared" si="9"/>
        <v>0.06414414414</v>
      </c>
      <c r="Q284" s="12">
        <f t="shared" si="10"/>
        <v>0.1781376518</v>
      </c>
      <c r="S284" s="28"/>
      <c r="T284" s="28"/>
      <c r="U284" s="27"/>
      <c r="V284" s="27"/>
      <c r="X284" s="27"/>
      <c r="Y284" s="27"/>
    </row>
    <row r="285" ht="15.75" customHeight="1">
      <c r="A285" s="9">
        <v>70805.0</v>
      </c>
      <c r="B285" s="10" t="s">
        <v>34</v>
      </c>
      <c r="C285" s="10" t="s">
        <v>313</v>
      </c>
      <c r="D285" s="11">
        <v>3.0</v>
      </c>
      <c r="E285" s="11">
        <v>180.0</v>
      </c>
      <c r="F285" s="12">
        <f t="shared" si="5"/>
        <v>1.666666667</v>
      </c>
      <c r="G285" s="13">
        <v>2.0</v>
      </c>
      <c r="H285" s="13">
        <v>146.0</v>
      </c>
      <c r="I285" s="12">
        <f t="shared" si="6"/>
        <v>1.369863014</v>
      </c>
      <c r="J285" s="11">
        <v>27.0</v>
      </c>
      <c r="K285" s="11">
        <v>159.0</v>
      </c>
      <c r="L285" s="12">
        <f t="shared" si="7"/>
        <v>16.98113208</v>
      </c>
      <c r="M285" s="13">
        <v>21.0</v>
      </c>
      <c r="N285" s="13">
        <v>88.0</v>
      </c>
      <c r="O285" s="14">
        <f t="shared" si="8"/>
        <v>23.86363636</v>
      </c>
      <c r="P285" s="12">
        <f t="shared" si="9"/>
        <v>0.09814814815</v>
      </c>
      <c r="Q285" s="12">
        <f t="shared" si="10"/>
        <v>0.05740378343</v>
      </c>
      <c r="S285" s="28"/>
      <c r="T285" s="28"/>
      <c r="U285" s="27"/>
      <c r="V285" s="27"/>
      <c r="X285" s="27"/>
      <c r="Y285" s="27"/>
    </row>
    <row r="286" ht="15.75" customHeight="1">
      <c r="A286" s="9">
        <v>70901.0</v>
      </c>
      <c r="B286" s="10" t="s">
        <v>34</v>
      </c>
      <c r="C286" s="10" t="s">
        <v>314</v>
      </c>
      <c r="D286" s="11">
        <v>10.0</v>
      </c>
      <c r="E286" s="11">
        <v>967.0</v>
      </c>
      <c r="F286" s="12">
        <f t="shared" si="5"/>
        <v>1.034126163</v>
      </c>
      <c r="G286" s="13">
        <v>23.0</v>
      </c>
      <c r="H286" s="13">
        <v>938.0</v>
      </c>
      <c r="I286" s="12">
        <f t="shared" si="6"/>
        <v>2.452025586</v>
      </c>
      <c r="J286" s="11">
        <v>177.0</v>
      </c>
      <c r="K286" s="11">
        <v>806.0</v>
      </c>
      <c r="L286" s="12">
        <f t="shared" si="7"/>
        <v>21.96029777</v>
      </c>
      <c r="M286" s="13">
        <v>85.0</v>
      </c>
      <c r="N286" s="13">
        <v>833.0</v>
      </c>
      <c r="O286" s="14">
        <f t="shared" si="8"/>
        <v>10.20408163</v>
      </c>
      <c r="P286" s="12">
        <f t="shared" si="9"/>
        <v>0.04709071682</v>
      </c>
      <c r="Q286" s="12">
        <f t="shared" si="10"/>
        <v>0.2402985075</v>
      </c>
      <c r="S286" s="28"/>
      <c r="T286" s="28"/>
      <c r="U286" s="27"/>
      <c r="V286" s="27"/>
      <c r="X286" s="27"/>
      <c r="Y286" s="27"/>
    </row>
    <row r="287" ht="15.75" customHeight="1">
      <c r="A287" s="9">
        <v>70902.0</v>
      </c>
      <c r="B287" s="10" t="s">
        <v>34</v>
      </c>
      <c r="C287" s="10" t="s">
        <v>315</v>
      </c>
      <c r="D287" s="11">
        <v>4.0</v>
      </c>
      <c r="E287" s="11">
        <v>899.0</v>
      </c>
      <c r="F287" s="12">
        <f t="shared" si="5"/>
        <v>0.4449388209</v>
      </c>
      <c r="G287" s="13">
        <v>14.0</v>
      </c>
      <c r="H287" s="13">
        <v>808.0</v>
      </c>
      <c r="I287" s="12">
        <f t="shared" si="6"/>
        <v>1.732673267</v>
      </c>
      <c r="J287" s="11">
        <v>200.0</v>
      </c>
      <c r="K287" s="11">
        <v>808.0</v>
      </c>
      <c r="L287" s="12">
        <f t="shared" si="7"/>
        <v>24.75247525</v>
      </c>
      <c r="M287" s="13">
        <v>125.0</v>
      </c>
      <c r="N287" s="13">
        <v>775.0</v>
      </c>
      <c r="O287" s="14">
        <f t="shared" si="8"/>
        <v>16.12903226</v>
      </c>
      <c r="P287" s="12">
        <f t="shared" si="9"/>
        <v>0.01797552836</v>
      </c>
      <c r="Q287" s="12">
        <f t="shared" si="10"/>
        <v>0.1074257426</v>
      </c>
      <c r="S287" s="28"/>
      <c r="T287" s="28"/>
      <c r="U287" s="27"/>
      <c r="V287" s="27"/>
      <c r="X287" s="27"/>
      <c r="Y287" s="27"/>
    </row>
    <row r="288" ht="15.75" customHeight="1">
      <c r="A288" s="9">
        <v>70903.0</v>
      </c>
      <c r="B288" s="10" t="s">
        <v>34</v>
      </c>
      <c r="C288" s="10" t="s">
        <v>316</v>
      </c>
      <c r="D288" s="11">
        <v>7.0</v>
      </c>
      <c r="E288" s="11">
        <v>1028.0</v>
      </c>
      <c r="F288" s="12">
        <f t="shared" si="5"/>
        <v>0.6809338521</v>
      </c>
      <c r="G288" s="13">
        <v>15.0</v>
      </c>
      <c r="H288" s="13">
        <v>1133.0</v>
      </c>
      <c r="I288" s="12">
        <f t="shared" si="6"/>
        <v>1.3239188</v>
      </c>
      <c r="J288" s="11">
        <v>224.0</v>
      </c>
      <c r="K288" s="11">
        <v>904.0</v>
      </c>
      <c r="L288" s="12">
        <f t="shared" si="7"/>
        <v>24.77876106</v>
      </c>
      <c r="M288" s="13">
        <v>165.0</v>
      </c>
      <c r="N288" s="13">
        <v>1074.0</v>
      </c>
      <c r="O288" s="14">
        <f t="shared" si="8"/>
        <v>15.36312849</v>
      </c>
      <c r="P288" s="12">
        <f t="shared" si="9"/>
        <v>0.02748054475</v>
      </c>
      <c r="Q288" s="12">
        <f t="shared" si="10"/>
        <v>0.08617507823</v>
      </c>
      <c r="S288" s="28"/>
      <c r="T288" s="28"/>
      <c r="U288" s="27"/>
      <c r="V288" s="27"/>
      <c r="X288" s="27"/>
      <c r="Y288" s="27"/>
    </row>
    <row r="289" ht="15.75" customHeight="1">
      <c r="A289" s="9">
        <v>70904.0</v>
      </c>
      <c r="B289" s="10" t="s">
        <v>34</v>
      </c>
      <c r="C289" s="10" t="s">
        <v>317</v>
      </c>
      <c r="D289" s="11">
        <v>2.0</v>
      </c>
      <c r="E289" s="11">
        <v>282.0</v>
      </c>
      <c r="F289" s="12">
        <f t="shared" si="5"/>
        <v>0.7092198582</v>
      </c>
      <c r="G289" s="13">
        <v>3.0</v>
      </c>
      <c r="H289" s="13">
        <v>227.0</v>
      </c>
      <c r="I289" s="12">
        <f t="shared" si="6"/>
        <v>1.321585903</v>
      </c>
      <c r="J289" s="11">
        <v>55.0</v>
      </c>
      <c r="K289" s="11">
        <v>286.0</v>
      </c>
      <c r="L289" s="12">
        <f t="shared" si="7"/>
        <v>19.23076923</v>
      </c>
      <c r="M289" s="13">
        <v>44.0</v>
      </c>
      <c r="N289" s="13">
        <v>213.0</v>
      </c>
      <c r="O289" s="14">
        <f t="shared" si="8"/>
        <v>20.657277</v>
      </c>
      <c r="P289" s="12">
        <f t="shared" si="9"/>
        <v>0.03687943262</v>
      </c>
      <c r="Q289" s="12">
        <f t="shared" si="10"/>
        <v>0.06397677213</v>
      </c>
      <c r="S289" s="28"/>
      <c r="T289" s="28"/>
      <c r="U289" s="27"/>
      <c r="V289" s="27"/>
      <c r="X289" s="27"/>
      <c r="Y289" s="27"/>
    </row>
    <row r="290" ht="15.75" customHeight="1">
      <c r="A290" s="9">
        <v>71001.0</v>
      </c>
      <c r="B290" s="10" t="s">
        <v>34</v>
      </c>
      <c r="C290" s="10" t="s">
        <v>318</v>
      </c>
      <c r="D290" s="11">
        <v>209.0</v>
      </c>
      <c r="E290" s="11">
        <v>12196.0</v>
      </c>
      <c r="F290" s="12">
        <f t="shared" si="5"/>
        <v>1.713676615</v>
      </c>
      <c r="G290" s="13">
        <v>474.0</v>
      </c>
      <c r="H290" s="13">
        <v>11823.0</v>
      </c>
      <c r="I290" s="12">
        <f t="shared" si="6"/>
        <v>4.009134737</v>
      </c>
      <c r="J290" s="11">
        <v>2457.0</v>
      </c>
      <c r="K290" s="11">
        <v>12843.0</v>
      </c>
      <c r="L290" s="12">
        <f t="shared" si="7"/>
        <v>19.13104415</v>
      </c>
      <c r="M290" s="13">
        <v>1541.0</v>
      </c>
      <c r="N290" s="13">
        <v>11665.0</v>
      </c>
      <c r="O290" s="14">
        <f t="shared" si="8"/>
        <v>13.21045864</v>
      </c>
      <c r="P290" s="12">
        <f t="shared" si="9"/>
        <v>0.08957569707</v>
      </c>
      <c r="Q290" s="12">
        <f t="shared" si="10"/>
        <v>0.3034818735</v>
      </c>
      <c r="S290" s="28"/>
      <c r="T290" s="28"/>
      <c r="U290" s="27"/>
      <c r="V290" s="27"/>
      <c r="X290" s="27"/>
      <c r="Y290" s="27"/>
    </row>
    <row r="291" ht="15.75" customHeight="1">
      <c r="A291" s="9">
        <v>71002.0</v>
      </c>
      <c r="B291" s="10" t="s">
        <v>34</v>
      </c>
      <c r="C291" s="10" t="s">
        <v>319</v>
      </c>
      <c r="D291" s="11">
        <v>19.0</v>
      </c>
      <c r="E291" s="11">
        <v>1495.0</v>
      </c>
      <c r="F291" s="12">
        <f t="shared" si="5"/>
        <v>1.27090301</v>
      </c>
      <c r="G291" s="13">
        <v>87.0</v>
      </c>
      <c r="H291" s="13">
        <v>1593.0</v>
      </c>
      <c r="I291" s="12">
        <f t="shared" si="6"/>
        <v>5.461393597</v>
      </c>
      <c r="J291" s="11">
        <v>449.0</v>
      </c>
      <c r="K291" s="11">
        <v>1407.0</v>
      </c>
      <c r="L291" s="12">
        <f t="shared" si="7"/>
        <v>31.91186923</v>
      </c>
      <c r="M291" s="13">
        <v>401.0</v>
      </c>
      <c r="N291" s="13">
        <v>1541.0</v>
      </c>
      <c r="O291" s="14">
        <f t="shared" si="8"/>
        <v>26.0220636</v>
      </c>
      <c r="P291" s="12">
        <f t="shared" si="9"/>
        <v>0.03982540167</v>
      </c>
      <c r="Q291" s="12">
        <f t="shared" si="10"/>
        <v>0.2098754996</v>
      </c>
      <c r="S291" s="28"/>
      <c r="T291" s="28"/>
      <c r="U291" s="27"/>
      <c r="V291" s="27"/>
      <c r="X291" s="27"/>
      <c r="Y291" s="27"/>
    </row>
    <row r="292" ht="15.75" customHeight="1">
      <c r="A292" s="9">
        <v>71003.0</v>
      </c>
      <c r="B292" s="10" t="s">
        <v>34</v>
      </c>
      <c r="C292" s="10" t="s">
        <v>320</v>
      </c>
      <c r="D292" s="11">
        <v>59.0</v>
      </c>
      <c r="E292" s="11">
        <v>2536.0</v>
      </c>
      <c r="F292" s="12">
        <f t="shared" si="5"/>
        <v>2.326498423</v>
      </c>
      <c r="G292" s="13">
        <v>117.0</v>
      </c>
      <c r="H292" s="13">
        <v>2154.0</v>
      </c>
      <c r="I292" s="12">
        <f t="shared" si="6"/>
        <v>5.431754875</v>
      </c>
      <c r="J292" s="11">
        <v>760.0</v>
      </c>
      <c r="K292" s="11">
        <v>2527.0</v>
      </c>
      <c r="L292" s="12">
        <f t="shared" si="7"/>
        <v>30.07518797</v>
      </c>
      <c r="M292" s="13">
        <v>448.0</v>
      </c>
      <c r="N292" s="13">
        <v>2095.0</v>
      </c>
      <c r="O292" s="14">
        <f t="shared" si="8"/>
        <v>21.38424821</v>
      </c>
      <c r="P292" s="12">
        <f t="shared" si="9"/>
        <v>0.07735607256</v>
      </c>
      <c r="Q292" s="12">
        <f t="shared" si="10"/>
        <v>0.2540072871</v>
      </c>
      <c r="S292" s="28"/>
      <c r="T292" s="28"/>
      <c r="U292" s="27"/>
      <c r="V292" s="27"/>
      <c r="X292" s="27"/>
      <c r="Y292" s="27"/>
    </row>
    <row r="293" ht="15.75" customHeight="1">
      <c r="A293" s="9">
        <v>71004.0</v>
      </c>
      <c r="B293" s="10" t="s">
        <v>34</v>
      </c>
      <c r="C293" s="10" t="s">
        <v>321</v>
      </c>
      <c r="D293" s="11">
        <v>16.0</v>
      </c>
      <c r="E293" s="11">
        <v>1927.0</v>
      </c>
      <c r="F293" s="12">
        <f t="shared" si="5"/>
        <v>0.8303061754</v>
      </c>
      <c r="G293" s="13">
        <v>54.0</v>
      </c>
      <c r="H293" s="13">
        <v>1514.0</v>
      </c>
      <c r="I293" s="12">
        <f t="shared" si="6"/>
        <v>3.5667107</v>
      </c>
      <c r="J293" s="11">
        <v>452.0</v>
      </c>
      <c r="K293" s="11">
        <v>1489.0</v>
      </c>
      <c r="L293" s="12">
        <f t="shared" si="7"/>
        <v>30.35594359</v>
      </c>
      <c r="M293" s="13">
        <v>238.0</v>
      </c>
      <c r="N293" s="13">
        <v>1167.0</v>
      </c>
      <c r="O293" s="14">
        <f t="shared" si="8"/>
        <v>20.39417309</v>
      </c>
      <c r="P293" s="12">
        <f t="shared" si="9"/>
        <v>0.02735234281</v>
      </c>
      <c r="Q293" s="12">
        <f t="shared" si="10"/>
        <v>0.1748887137</v>
      </c>
      <c r="S293" s="28"/>
      <c r="T293" s="28"/>
      <c r="U293" s="27"/>
      <c r="V293" s="27"/>
      <c r="X293" s="27"/>
      <c r="Y293" s="27"/>
    </row>
    <row r="294" ht="15.75" customHeight="1">
      <c r="A294" s="9">
        <v>71005.0</v>
      </c>
      <c r="B294" s="10" t="s">
        <v>34</v>
      </c>
      <c r="C294" s="10" t="s">
        <v>322</v>
      </c>
      <c r="D294" s="11">
        <v>31.0</v>
      </c>
      <c r="E294" s="11">
        <v>2387.0</v>
      </c>
      <c r="F294" s="12">
        <f t="shared" si="5"/>
        <v>1.298701299</v>
      </c>
      <c r="G294" s="13">
        <v>84.0</v>
      </c>
      <c r="H294" s="13">
        <v>1598.0</v>
      </c>
      <c r="I294" s="12">
        <f t="shared" si="6"/>
        <v>5.256570713</v>
      </c>
      <c r="J294" s="11">
        <v>448.0</v>
      </c>
      <c r="K294" s="11">
        <v>1741.0</v>
      </c>
      <c r="L294" s="12">
        <f t="shared" si="7"/>
        <v>25.73233774</v>
      </c>
      <c r="M294" s="13">
        <v>256.0</v>
      </c>
      <c r="N294" s="13">
        <v>1376.0</v>
      </c>
      <c r="O294" s="14">
        <f t="shared" si="8"/>
        <v>18.60465116</v>
      </c>
      <c r="P294" s="12">
        <f t="shared" si="9"/>
        <v>0.05046961967</v>
      </c>
      <c r="Q294" s="12">
        <f t="shared" si="10"/>
        <v>0.2825406758</v>
      </c>
      <c r="S294" s="28"/>
      <c r="T294" s="28"/>
      <c r="U294" s="27"/>
      <c r="V294" s="27"/>
      <c r="X294" s="27"/>
      <c r="Y294" s="27"/>
    </row>
    <row r="295" ht="15.75" customHeight="1">
      <c r="A295" s="9">
        <v>71101.0</v>
      </c>
      <c r="B295" s="10" t="s">
        <v>34</v>
      </c>
      <c r="C295" s="10" t="s">
        <v>323</v>
      </c>
      <c r="D295" s="11">
        <v>61.0</v>
      </c>
      <c r="E295" s="11">
        <v>1977.0</v>
      </c>
      <c r="F295" s="12">
        <f t="shared" si="5"/>
        <v>3.085483055</v>
      </c>
      <c r="G295" s="13">
        <v>110.0</v>
      </c>
      <c r="H295" s="13">
        <v>2825.0</v>
      </c>
      <c r="I295" s="12">
        <f t="shared" si="6"/>
        <v>3.89380531</v>
      </c>
      <c r="J295" s="11">
        <v>467.0</v>
      </c>
      <c r="K295" s="11">
        <v>1707.0</v>
      </c>
      <c r="L295" s="12">
        <f t="shared" si="7"/>
        <v>27.3579379</v>
      </c>
      <c r="M295" s="13">
        <v>665.0</v>
      </c>
      <c r="N295" s="13">
        <v>2614.0</v>
      </c>
      <c r="O295" s="14">
        <f t="shared" si="8"/>
        <v>25.43993879</v>
      </c>
      <c r="P295" s="12">
        <f t="shared" si="9"/>
        <v>0.1127820037</v>
      </c>
      <c r="Q295" s="12">
        <f t="shared" si="10"/>
        <v>0.1530587531</v>
      </c>
      <c r="S295" s="28"/>
      <c r="T295" s="28"/>
      <c r="U295" s="27"/>
      <c r="V295" s="27"/>
      <c r="X295" s="27"/>
      <c r="Y295" s="27"/>
    </row>
    <row r="296" ht="15.75" customHeight="1">
      <c r="A296" s="9">
        <v>71102.0</v>
      </c>
      <c r="B296" s="10" t="s">
        <v>34</v>
      </c>
      <c r="C296" s="10" t="s">
        <v>324</v>
      </c>
      <c r="D296" s="11">
        <v>20.0</v>
      </c>
      <c r="E296" s="11">
        <v>1459.0</v>
      </c>
      <c r="F296" s="12">
        <f t="shared" si="5"/>
        <v>1.370801919</v>
      </c>
      <c r="G296" s="13">
        <v>45.0</v>
      </c>
      <c r="H296" s="13">
        <v>1349.0</v>
      </c>
      <c r="I296" s="12">
        <f t="shared" si="6"/>
        <v>3.335804299</v>
      </c>
      <c r="J296" s="11">
        <v>415.0</v>
      </c>
      <c r="K296" s="11">
        <v>1313.0</v>
      </c>
      <c r="L296" s="12">
        <f t="shared" si="7"/>
        <v>31.60700685</v>
      </c>
      <c r="M296" s="13">
        <v>322.0</v>
      </c>
      <c r="N296" s="13">
        <v>1316.0</v>
      </c>
      <c r="O296" s="14">
        <f t="shared" si="8"/>
        <v>24.46808511</v>
      </c>
      <c r="P296" s="12">
        <f t="shared" si="9"/>
        <v>0.04337019084</v>
      </c>
      <c r="Q296" s="12">
        <f t="shared" si="10"/>
        <v>0.1363328714</v>
      </c>
      <c r="S296" s="28"/>
      <c r="T296" s="28"/>
      <c r="U296" s="27"/>
      <c r="V296" s="27"/>
      <c r="X296" s="27"/>
      <c r="Y296" s="27"/>
    </row>
    <row r="297" ht="15.75" customHeight="1">
      <c r="A297" s="9">
        <v>71103.0</v>
      </c>
      <c r="B297" s="10" t="s">
        <v>34</v>
      </c>
      <c r="C297" s="10" t="s">
        <v>325</v>
      </c>
      <c r="D297" s="11">
        <v>54.0</v>
      </c>
      <c r="E297" s="11">
        <v>5230.0</v>
      </c>
      <c r="F297" s="12">
        <f t="shared" si="5"/>
        <v>1.03250478</v>
      </c>
      <c r="G297" s="13">
        <v>39.0</v>
      </c>
      <c r="H297" s="13">
        <v>717.0</v>
      </c>
      <c r="I297" s="12">
        <f t="shared" si="6"/>
        <v>5.439330544</v>
      </c>
      <c r="J297" s="11">
        <v>1275.0</v>
      </c>
      <c r="K297" s="11">
        <v>4825.0</v>
      </c>
      <c r="L297" s="12">
        <f t="shared" si="7"/>
        <v>26.42487047</v>
      </c>
      <c r="M297" s="13">
        <v>198.0</v>
      </c>
      <c r="N297" s="13">
        <v>755.0</v>
      </c>
      <c r="O297" s="14">
        <f t="shared" si="8"/>
        <v>26.22516556</v>
      </c>
      <c r="P297" s="12">
        <f t="shared" si="9"/>
        <v>0.03907322011</v>
      </c>
      <c r="Q297" s="12">
        <f t="shared" si="10"/>
        <v>0.2074088162</v>
      </c>
      <c r="S297" s="28"/>
      <c r="T297" s="28"/>
      <c r="U297" s="27"/>
      <c r="V297" s="27"/>
      <c r="X297" s="27"/>
      <c r="Y297" s="27"/>
    </row>
    <row r="298" ht="15.75" customHeight="1">
      <c r="A298" s="9">
        <v>71104.0</v>
      </c>
      <c r="B298" s="10" t="s">
        <v>34</v>
      </c>
      <c r="C298" s="10" t="s">
        <v>326</v>
      </c>
      <c r="D298" s="11">
        <v>16.0</v>
      </c>
      <c r="E298" s="11">
        <v>720.0</v>
      </c>
      <c r="F298" s="12">
        <f t="shared" si="5"/>
        <v>2.222222222</v>
      </c>
      <c r="G298" s="13">
        <v>141.0</v>
      </c>
      <c r="H298" s="13">
        <v>4158.0</v>
      </c>
      <c r="I298" s="12">
        <f t="shared" si="6"/>
        <v>3.391053391</v>
      </c>
      <c r="J298" s="11">
        <v>136.0</v>
      </c>
      <c r="K298" s="11">
        <v>625.0</v>
      </c>
      <c r="L298" s="12">
        <f t="shared" si="7"/>
        <v>21.76</v>
      </c>
      <c r="M298" s="13">
        <v>817.0</v>
      </c>
      <c r="N298" s="13">
        <v>4334.0</v>
      </c>
      <c r="O298" s="14">
        <f t="shared" si="8"/>
        <v>18.85094601</v>
      </c>
      <c r="P298" s="12">
        <f t="shared" si="9"/>
        <v>0.102124183</v>
      </c>
      <c r="Q298" s="12">
        <f t="shared" si="10"/>
        <v>0.1798877038</v>
      </c>
      <c r="S298" s="28"/>
      <c r="T298" s="28"/>
      <c r="U298" s="27"/>
      <c r="V298" s="27"/>
      <c r="X298" s="27"/>
      <c r="Y298" s="27"/>
    </row>
    <row r="299" ht="15.75" customHeight="1">
      <c r="A299" s="9">
        <v>71105.0</v>
      </c>
      <c r="B299" s="10" t="s">
        <v>34</v>
      </c>
      <c r="C299" s="10" t="s">
        <v>327</v>
      </c>
      <c r="D299" s="11">
        <v>33.0</v>
      </c>
      <c r="E299" s="11">
        <v>866.0</v>
      </c>
      <c r="F299" s="12">
        <f t="shared" si="5"/>
        <v>3.810623557</v>
      </c>
      <c r="G299" s="13">
        <v>41.0</v>
      </c>
      <c r="H299" s="13">
        <v>525.0</v>
      </c>
      <c r="I299" s="12">
        <f t="shared" si="6"/>
        <v>7.80952381</v>
      </c>
      <c r="J299" s="11">
        <v>243.0</v>
      </c>
      <c r="K299" s="11">
        <v>751.0</v>
      </c>
      <c r="L299" s="12">
        <f t="shared" si="7"/>
        <v>32.35685752</v>
      </c>
      <c r="M299" s="13">
        <v>135.0</v>
      </c>
      <c r="N299" s="13">
        <v>550.0</v>
      </c>
      <c r="O299" s="14">
        <f t="shared" si="8"/>
        <v>24.54545455</v>
      </c>
      <c r="P299" s="12">
        <f t="shared" si="9"/>
        <v>0.117768654</v>
      </c>
      <c r="Q299" s="12">
        <f t="shared" si="10"/>
        <v>0.3181657848</v>
      </c>
      <c r="S299" s="28"/>
      <c r="T299" s="28"/>
      <c r="U299" s="27"/>
      <c r="V299" s="27"/>
      <c r="X299" s="27"/>
      <c r="Y299" s="27"/>
    </row>
    <row r="300" ht="15.75" customHeight="1">
      <c r="A300" s="9">
        <v>71106.0</v>
      </c>
      <c r="B300" s="10" t="s">
        <v>34</v>
      </c>
      <c r="C300" s="10" t="s">
        <v>328</v>
      </c>
      <c r="D300" s="11">
        <v>44.0</v>
      </c>
      <c r="E300" s="11">
        <v>2666.0</v>
      </c>
      <c r="F300" s="12">
        <f t="shared" si="5"/>
        <v>1.650412603</v>
      </c>
      <c r="G300" s="13">
        <v>105.0</v>
      </c>
      <c r="H300" s="13">
        <v>2412.0</v>
      </c>
      <c r="I300" s="12">
        <f t="shared" si="6"/>
        <v>4.353233831</v>
      </c>
      <c r="J300" s="11">
        <v>784.0</v>
      </c>
      <c r="K300" s="11">
        <v>2500.0</v>
      </c>
      <c r="L300" s="12">
        <f t="shared" si="7"/>
        <v>31.36</v>
      </c>
      <c r="M300" s="13">
        <v>696.0</v>
      </c>
      <c r="N300" s="13">
        <v>2352.0</v>
      </c>
      <c r="O300" s="14">
        <f t="shared" si="8"/>
        <v>29.59183673</v>
      </c>
      <c r="P300" s="12">
        <f t="shared" si="9"/>
        <v>0.05262795291</v>
      </c>
      <c r="Q300" s="12">
        <f t="shared" si="10"/>
        <v>0.1471092812</v>
      </c>
      <c r="S300" s="28"/>
      <c r="T300" s="28"/>
      <c r="U300" s="27"/>
      <c r="V300" s="27"/>
      <c r="X300" s="27"/>
      <c r="Y300" s="27"/>
    </row>
    <row r="301" ht="15.75" customHeight="1">
      <c r="A301" s="9">
        <v>71201.0</v>
      </c>
      <c r="B301" s="10" t="s">
        <v>34</v>
      </c>
      <c r="C301" s="10" t="s">
        <v>329</v>
      </c>
      <c r="D301" s="11">
        <v>37.0</v>
      </c>
      <c r="E301" s="11">
        <v>1534.0</v>
      </c>
      <c r="F301" s="12">
        <f t="shared" si="5"/>
        <v>2.411994785</v>
      </c>
      <c r="G301" s="13">
        <v>89.0</v>
      </c>
      <c r="H301" s="13">
        <v>1428.0</v>
      </c>
      <c r="I301" s="12">
        <f t="shared" si="6"/>
        <v>6.232492997</v>
      </c>
      <c r="J301" s="11">
        <v>471.0</v>
      </c>
      <c r="K301" s="11">
        <v>1326.0</v>
      </c>
      <c r="L301" s="12">
        <f t="shared" si="7"/>
        <v>35.52036199</v>
      </c>
      <c r="M301" s="13">
        <v>354.0</v>
      </c>
      <c r="N301" s="13">
        <v>1173.0</v>
      </c>
      <c r="O301" s="14">
        <f t="shared" si="8"/>
        <v>30.17902813</v>
      </c>
      <c r="P301" s="12">
        <f t="shared" si="9"/>
        <v>0.06790456656</v>
      </c>
      <c r="Q301" s="12">
        <f t="shared" si="10"/>
        <v>0.2065173527</v>
      </c>
      <c r="S301" s="28"/>
      <c r="T301" s="28"/>
      <c r="U301" s="27"/>
      <c r="V301" s="27"/>
      <c r="X301" s="27"/>
      <c r="Y301" s="27"/>
    </row>
    <row r="302" ht="15.75" customHeight="1">
      <c r="A302" s="9">
        <v>71301.0</v>
      </c>
      <c r="B302" s="10" t="s">
        <v>34</v>
      </c>
      <c r="C302" s="10" t="s">
        <v>330</v>
      </c>
      <c r="D302" s="11">
        <v>7.0</v>
      </c>
      <c r="E302" s="11">
        <v>1452.0</v>
      </c>
      <c r="F302" s="12">
        <f t="shared" si="5"/>
        <v>0.4820936639</v>
      </c>
      <c r="G302" s="13">
        <v>32.0</v>
      </c>
      <c r="H302" s="13">
        <v>1494.0</v>
      </c>
      <c r="I302" s="12">
        <f t="shared" si="6"/>
        <v>2.141900937</v>
      </c>
      <c r="J302" s="11">
        <v>258.0</v>
      </c>
      <c r="K302" s="11">
        <v>1399.0</v>
      </c>
      <c r="L302" s="12">
        <f t="shared" si="7"/>
        <v>18.4417441</v>
      </c>
      <c r="M302" s="13">
        <v>132.0</v>
      </c>
      <c r="N302" s="13">
        <v>1367.0</v>
      </c>
      <c r="O302" s="14">
        <f t="shared" si="8"/>
        <v>9.656181419</v>
      </c>
      <c r="P302" s="12">
        <f t="shared" si="9"/>
        <v>0.0261414355</v>
      </c>
      <c r="Q302" s="12">
        <f t="shared" si="10"/>
        <v>0.2218165592</v>
      </c>
      <c r="S302" s="28"/>
      <c r="T302" s="28"/>
      <c r="U302" s="27"/>
      <c r="V302" s="27"/>
      <c r="X302" s="27"/>
      <c r="Y302" s="27"/>
    </row>
    <row r="303" ht="15.75" customHeight="1">
      <c r="A303" s="9">
        <v>71302.0</v>
      </c>
      <c r="B303" s="10" t="s">
        <v>34</v>
      </c>
      <c r="C303" s="10" t="s">
        <v>331</v>
      </c>
      <c r="D303" s="11">
        <v>2.0</v>
      </c>
      <c r="E303" s="11">
        <v>783.0</v>
      </c>
      <c r="F303" s="12">
        <f t="shared" si="5"/>
        <v>0.2554278416</v>
      </c>
      <c r="G303" s="13">
        <v>10.0</v>
      </c>
      <c r="H303" s="13">
        <v>563.0</v>
      </c>
      <c r="I303" s="12">
        <f t="shared" si="6"/>
        <v>1.776198934</v>
      </c>
      <c r="J303" s="11">
        <v>128.0</v>
      </c>
      <c r="K303" s="11">
        <v>684.0</v>
      </c>
      <c r="L303" s="12">
        <f t="shared" si="7"/>
        <v>18.71345029</v>
      </c>
      <c r="M303" s="13">
        <v>67.0</v>
      </c>
      <c r="N303" s="13">
        <v>470.0</v>
      </c>
      <c r="O303" s="14">
        <f t="shared" si="8"/>
        <v>14.25531915</v>
      </c>
      <c r="P303" s="12">
        <f t="shared" si="9"/>
        <v>0.01364942529</v>
      </c>
      <c r="Q303" s="12">
        <f t="shared" si="10"/>
        <v>0.1245990297</v>
      </c>
      <c r="S303" s="28"/>
      <c r="T303" s="28"/>
      <c r="U303" s="27"/>
      <c r="V303" s="27"/>
      <c r="X303" s="27"/>
      <c r="Y303" s="27"/>
    </row>
    <row r="304" ht="15.75" customHeight="1">
      <c r="A304" s="9">
        <v>71401.0</v>
      </c>
      <c r="B304" s="10" t="s">
        <v>34</v>
      </c>
      <c r="C304" s="10" t="s">
        <v>332</v>
      </c>
      <c r="D304" s="11">
        <v>31.0</v>
      </c>
      <c r="E304" s="11">
        <v>2218.0</v>
      </c>
      <c r="F304" s="12">
        <f t="shared" si="5"/>
        <v>1.397655546</v>
      </c>
      <c r="G304" s="13">
        <v>42.0</v>
      </c>
      <c r="H304" s="13">
        <v>1726.0</v>
      </c>
      <c r="I304" s="12">
        <f t="shared" si="6"/>
        <v>2.433371958</v>
      </c>
      <c r="J304" s="11">
        <v>407.0</v>
      </c>
      <c r="K304" s="11">
        <v>1970.0</v>
      </c>
      <c r="L304" s="12">
        <f t="shared" si="7"/>
        <v>20.65989848</v>
      </c>
      <c r="M304" s="13">
        <v>208.0</v>
      </c>
      <c r="N304" s="13">
        <v>1268.0</v>
      </c>
      <c r="O304" s="14">
        <f t="shared" si="8"/>
        <v>16.40378549</v>
      </c>
      <c r="P304" s="12">
        <f t="shared" si="9"/>
        <v>0.06765064926</v>
      </c>
      <c r="Q304" s="12">
        <f t="shared" si="10"/>
        <v>0.1483420982</v>
      </c>
      <c r="S304" s="28"/>
      <c r="T304" s="28"/>
      <c r="U304" s="27"/>
      <c r="V304" s="27"/>
      <c r="X304" s="27"/>
      <c r="Y304" s="27"/>
    </row>
    <row r="305" ht="15.75" customHeight="1">
      <c r="A305" s="9">
        <v>71402.0</v>
      </c>
      <c r="B305" s="10" t="s">
        <v>34</v>
      </c>
      <c r="C305" s="10" t="s">
        <v>333</v>
      </c>
      <c r="D305" s="11">
        <v>36.0</v>
      </c>
      <c r="E305" s="11">
        <v>1792.0</v>
      </c>
      <c r="F305" s="12">
        <f t="shared" si="5"/>
        <v>2.008928571</v>
      </c>
      <c r="G305" s="13">
        <v>51.0</v>
      </c>
      <c r="H305" s="13">
        <v>1746.0</v>
      </c>
      <c r="I305" s="12">
        <f t="shared" si="6"/>
        <v>2.920962199</v>
      </c>
      <c r="J305" s="11">
        <v>324.0</v>
      </c>
      <c r="K305" s="11">
        <v>1695.0</v>
      </c>
      <c r="L305" s="12">
        <f t="shared" si="7"/>
        <v>19.11504425</v>
      </c>
      <c r="M305" s="13">
        <v>168.0</v>
      </c>
      <c r="N305" s="13">
        <v>1503.0</v>
      </c>
      <c r="O305" s="14">
        <f t="shared" si="8"/>
        <v>11.17764471</v>
      </c>
      <c r="P305" s="12">
        <f t="shared" si="9"/>
        <v>0.1050967262</v>
      </c>
      <c r="Q305" s="12">
        <f t="shared" si="10"/>
        <v>0.2613217968</v>
      </c>
      <c r="S305" s="28"/>
      <c r="T305" s="28"/>
      <c r="U305" s="27"/>
      <c r="V305" s="27"/>
      <c r="X305" s="27"/>
      <c r="Y305" s="27"/>
    </row>
    <row r="306" ht="15.75" customHeight="1">
      <c r="A306" s="9">
        <v>71403.0</v>
      </c>
      <c r="B306" s="10" t="s">
        <v>34</v>
      </c>
      <c r="C306" s="10" t="s">
        <v>334</v>
      </c>
      <c r="D306" s="11">
        <v>14.0</v>
      </c>
      <c r="E306" s="11">
        <v>709.0</v>
      </c>
      <c r="F306" s="12">
        <f t="shared" si="5"/>
        <v>1.97461213</v>
      </c>
      <c r="G306" s="13">
        <v>44.0</v>
      </c>
      <c r="H306" s="13">
        <v>733.0</v>
      </c>
      <c r="I306" s="12">
        <f t="shared" si="6"/>
        <v>6.002728513</v>
      </c>
      <c r="J306" s="11">
        <v>206.0</v>
      </c>
      <c r="K306" s="11">
        <v>584.0</v>
      </c>
      <c r="L306" s="12">
        <f t="shared" si="7"/>
        <v>35.2739726</v>
      </c>
      <c r="M306" s="13">
        <v>168.0</v>
      </c>
      <c r="N306" s="13">
        <v>619.0</v>
      </c>
      <c r="O306" s="14">
        <f t="shared" si="8"/>
        <v>27.14054927</v>
      </c>
      <c r="P306" s="12">
        <f t="shared" si="9"/>
        <v>0.05597929533</v>
      </c>
      <c r="Q306" s="12">
        <f t="shared" si="10"/>
        <v>0.2211719613</v>
      </c>
      <c r="S306" s="28"/>
      <c r="T306" s="28"/>
      <c r="U306" s="27"/>
      <c r="V306" s="27"/>
      <c r="X306" s="27"/>
      <c r="Y306" s="27"/>
    </row>
    <row r="307" ht="15.75" customHeight="1">
      <c r="A307" s="9">
        <v>71501.0</v>
      </c>
      <c r="B307" s="10" t="s">
        <v>34</v>
      </c>
      <c r="C307" s="10" t="s">
        <v>335</v>
      </c>
      <c r="D307" s="11">
        <v>73.0</v>
      </c>
      <c r="E307" s="11">
        <v>2754.0</v>
      </c>
      <c r="F307" s="12">
        <f t="shared" si="5"/>
        <v>2.650689906</v>
      </c>
      <c r="G307" s="13">
        <v>111.0</v>
      </c>
      <c r="H307" s="13">
        <v>3123.0</v>
      </c>
      <c r="I307" s="12">
        <f t="shared" si="6"/>
        <v>3.554274736</v>
      </c>
      <c r="J307" s="11">
        <v>718.0</v>
      </c>
      <c r="K307" s="11">
        <v>2721.0</v>
      </c>
      <c r="L307" s="12">
        <f t="shared" si="7"/>
        <v>26.38735759</v>
      </c>
      <c r="M307" s="13">
        <v>642.0</v>
      </c>
      <c r="N307" s="13">
        <v>3053.0</v>
      </c>
      <c r="O307" s="14">
        <f t="shared" si="8"/>
        <v>21.02849656</v>
      </c>
      <c r="P307" s="12">
        <f t="shared" si="9"/>
        <v>0.1004530255</v>
      </c>
      <c r="Q307" s="12">
        <f t="shared" si="10"/>
        <v>0.1690218188</v>
      </c>
      <c r="S307" s="28"/>
      <c r="T307" s="28"/>
      <c r="U307" s="27"/>
      <c r="V307" s="27"/>
      <c r="X307" s="27"/>
      <c r="Y307" s="27"/>
    </row>
    <row r="308" ht="15.75" customHeight="1">
      <c r="A308" s="9">
        <v>71502.0</v>
      </c>
      <c r="B308" s="10" t="s">
        <v>34</v>
      </c>
      <c r="C308" s="10" t="s">
        <v>336</v>
      </c>
      <c r="D308" s="11">
        <v>21.0</v>
      </c>
      <c r="E308" s="11">
        <v>694.0</v>
      </c>
      <c r="F308" s="12">
        <f t="shared" si="5"/>
        <v>3.025936599</v>
      </c>
      <c r="G308" s="13">
        <v>53.0</v>
      </c>
      <c r="H308" s="13">
        <v>560.0</v>
      </c>
      <c r="I308" s="12">
        <f t="shared" si="6"/>
        <v>9.464285714</v>
      </c>
      <c r="J308" s="11">
        <v>175.0</v>
      </c>
      <c r="K308" s="11">
        <v>655.0</v>
      </c>
      <c r="L308" s="12">
        <f t="shared" si="7"/>
        <v>26.71755725</v>
      </c>
      <c r="M308" s="13">
        <v>155.0</v>
      </c>
      <c r="N308" s="13">
        <v>608.0</v>
      </c>
      <c r="O308" s="14">
        <f t="shared" si="8"/>
        <v>25.49342105</v>
      </c>
      <c r="P308" s="12">
        <f t="shared" si="9"/>
        <v>0.1132564841</v>
      </c>
      <c r="Q308" s="12">
        <f t="shared" si="10"/>
        <v>0.3712442396</v>
      </c>
      <c r="S308" s="28"/>
      <c r="T308" s="28"/>
      <c r="U308" s="27"/>
      <c r="V308" s="27"/>
      <c r="X308" s="27"/>
      <c r="Y308" s="27"/>
    </row>
    <row r="309" ht="15.75" customHeight="1">
      <c r="A309" s="9">
        <v>71503.0</v>
      </c>
      <c r="B309" s="10" t="s">
        <v>34</v>
      </c>
      <c r="C309" s="10" t="s">
        <v>281</v>
      </c>
      <c r="D309" s="11">
        <v>17.0</v>
      </c>
      <c r="E309" s="11">
        <v>1496.0</v>
      </c>
      <c r="F309" s="12">
        <f t="shared" si="5"/>
        <v>1.136363636</v>
      </c>
      <c r="G309" s="13">
        <v>85.0</v>
      </c>
      <c r="H309" s="13">
        <v>1630.0</v>
      </c>
      <c r="I309" s="12">
        <f t="shared" si="6"/>
        <v>5.214723926</v>
      </c>
      <c r="J309" s="11">
        <v>415.0</v>
      </c>
      <c r="K309" s="11">
        <v>1142.0</v>
      </c>
      <c r="L309" s="12">
        <f t="shared" si="7"/>
        <v>36.33975482</v>
      </c>
      <c r="M309" s="13">
        <v>335.0</v>
      </c>
      <c r="N309" s="13">
        <v>1294.0</v>
      </c>
      <c r="O309" s="14">
        <f t="shared" si="8"/>
        <v>25.88871716</v>
      </c>
      <c r="P309" s="12">
        <f t="shared" si="9"/>
        <v>0.03127053669</v>
      </c>
      <c r="Q309" s="12">
        <f t="shared" si="10"/>
        <v>0.2014284406</v>
      </c>
      <c r="S309" s="28"/>
      <c r="T309" s="28"/>
      <c r="U309" s="27"/>
      <c r="V309" s="27"/>
      <c r="X309" s="27"/>
      <c r="Y309" s="27"/>
    </row>
    <row r="310" ht="15.75" customHeight="1">
      <c r="A310" s="9">
        <v>80101.0</v>
      </c>
      <c r="B310" s="10" t="s">
        <v>36</v>
      </c>
      <c r="C310" s="10" t="s">
        <v>337</v>
      </c>
      <c r="D310" s="11">
        <v>276.0</v>
      </c>
      <c r="E310" s="11">
        <v>12142.0</v>
      </c>
      <c r="F310" s="12">
        <f t="shared" si="5"/>
        <v>2.273101631</v>
      </c>
      <c r="G310" s="13">
        <v>437.0</v>
      </c>
      <c r="H310" s="13">
        <v>12873.0</v>
      </c>
      <c r="I310" s="12">
        <f t="shared" si="6"/>
        <v>3.39470209</v>
      </c>
      <c r="J310" s="11">
        <v>2157.0</v>
      </c>
      <c r="K310" s="11">
        <v>12264.0</v>
      </c>
      <c r="L310" s="12">
        <f t="shared" si="7"/>
        <v>17.58806262</v>
      </c>
      <c r="M310" s="13">
        <v>1255.0</v>
      </c>
      <c r="N310" s="13">
        <v>12442.0</v>
      </c>
      <c r="O310" s="14">
        <f t="shared" si="8"/>
        <v>10.08680276</v>
      </c>
      <c r="P310" s="12">
        <f t="shared" si="9"/>
        <v>0.1292411609</v>
      </c>
      <c r="Q310" s="12">
        <f t="shared" si="10"/>
        <v>0.3365488717</v>
      </c>
      <c r="S310" s="28"/>
      <c r="T310" s="28"/>
      <c r="U310" s="27"/>
      <c r="V310" s="27"/>
      <c r="X310" s="27"/>
      <c r="Y310" s="27"/>
    </row>
    <row r="311" ht="15.75" customHeight="1">
      <c r="A311" s="9">
        <v>80102.0</v>
      </c>
      <c r="B311" s="10" t="s">
        <v>36</v>
      </c>
      <c r="C311" s="10" t="s">
        <v>324</v>
      </c>
      <c r="D311" s="11">
        <v>10.0</v>
      </c>
      <c r="E311" s="11">
        <v>578.0</v>
      </c>
      <c r="F311" s="12">
        <f t="shared" si="5"/>
        <v>1.730103806</v>
      </c>
      <c r="G311" s="13">
        <v>35.0</v>
      </c>
      <c r="H311" s="13">
        <v>739.0</v>
      </c>
      <c r="I311" s="12">
        <f t="shared" si="6"/>
        <v>4.736129905</v>
      </c>
      <c r="J311" s="11">
        <v>146.0</v>
      </c>
      <c r="K311" s="11">
        <v>449.0</v>
      </c>
      <c r="L311" s="12">
        <f t="shared" si="7"/>
        <v>32.51670379</v>
      </c>
      <c r="M311" s="13">
        <v>162.0</v>
      </c>
      <c r="N311" s="13">
        <v>632.0</v>
      </c>
      <c r="O311" s="14">
        <f t="shared" si="8"/>
        <v>25.63291139</v>
      </c>
      <c r="P311" s="12">
        <f t="shared" si="9"/>
        <v>0.05320661705</v>
      </c>
      <c r="Q311" s="12">
        <f t="shared" si="10"/>
        <v>0.184767537</v>
      </c>
      <c r="S311" s="28"/>
      <c r="T311" s="28"/>
      <c r="U311" s="27"/>
      <c r="V311" s="27"/>
      <c r="X311" s="27"/>
      <c r="Y311" s="27"/>
    </row>
    <row r="312" ht="15.75" customHeight="1">
      <c r="A312" s="9">
        <v>80201.0</v>
      </c>
      <c r="B312" s="10" t="s">
        <v>36</v>
      </c>
      <c r="C312" s="10" t="s">
        <v>338</v>
      </c>
      <c r="D312" s="11">
        <v>355.0</v>
      </c>
      <c r="E312" s="11">
        <v>9891.0</v>
      </c>
      <c r="F312" s="12">
        <f t="shared" si="5"/>
        <v>3.589121424</v>
      </c>
      <c r="G312" s="13">
        <v>448.0</v>
      </c>
      <c r="H312" s="13">
        <v>10950.0</v>
      </c>
      <c r="I312" s="12">
        <f t="shared" si="6"/>
        <v>4.091324201</v>
      </c>
      <c r="J312" s="11">
        <v>2509.0</v>
      </c>
      <c r="K312" s="11">
        <v>9398.0</v>
      </c>
      <c r="L312" s="12">
        <f t="shared" si="7"/>
        <v>26.69716961</v>
      </c>
      <c r="M312" s="13">
        <v>1790.0</v>
      </c>
      <c r="N312" s="13">
        <v>10539.0</v>
      </c>
      <c r="O312" s="14">
        <f t="shared" si="8"/>
        <v>16.98453364</v>
      </c>
      <c r="P312" s="12">
        <f t="shared" si="9"/>
        <v>0.1344382748</v>
      </c>
      <c r="Q312" s="12">
        <f t="shared" si="10"/>
        <v>0.2408852835</v>
      </c>
      <c r="S312" s="28"/>
      <c r="T312" s="28"/>
      <c r="U312" s="27"/>
      <c r="V312" s="27"/>
      <c r="X312" s="27"/>
      <c r="Y312" s="27"/>
    </row>
    <row r="313" ht="15.75" customHeight="1">
      <c r="A313" s="9">
        <v>80202.0</v>
      </c>
      <c r="B313" s="10" t="s">
        <v>36</v>
      </c>
      <c r="C313" s="10" t="s">
        <v>339</v>
      </c>
      <c r="D313" s="11">
        <v>107.0</v>
      </c>
      <c r="E313" s="11">
        <v>4572.0</v>
      </c>
      <c r="F313" s="12">
        <f t="shared" si="5"/>
        <v>2.340332458</v>
      </c>
      <c r="G313" s="13">
        <v>136.0</v>
      </c>
      <c r="H313" s="13">
        <v>3955.0</v>
      </c>
      <c r="I313" s="12">
        <f t="shared" si="6"/>
        <v>3.438685209</v>
      </c>
      <c r="J313" s="11">
        <v>1022.0</v>
      </c>
      <c r="K313" s="11">
        <v>4281.0</v>
      </c>
      <c r="L313" s="12">
        <f t="shared" si="7"/>
        <v>23.87292689</v>
      </c>
      <c r="M313" s="13">
        <v>590.0</v>
      </c>
      <c r="N313" s="13">
        <v>3510.0</v>
      </c>
      <c r="O313" s="14">
        <f t="shared" si="8"/>
        <v>16.80911681</v>
      </c>
      <c r="P313" s="12">
        <f t="shared" si="9"/>
        <v>0.09803290856</v>
      </c>
      <c r="Q313" s="12">
        <f t="shared" si="10"/>
        <v>0.2045726285</v>
      </c>
      <c r="S313" s="28"/>
      <c r="T313" s="28"/>
      <c r="U313" s="27"/>
      <c r="V313" s="27"/>
      <c r="X313" s="27"/>
      <c r="Y313" s="27"/>
    </row>
    <row r="314" ht="15.75" customHeight="1">
      <c r="A314" s="9">
        <v>80301.0</v>
      </c>
      <c r="B314" s="10" t="s">
        <v>36</v>
      </c>
      <c r="C314" s="10" t="s">
        <v>340</v>
      </c>
      <c r="D314" s="11">
        <v>32.0</v>
      </c>
      <c r="E314" s="11">
        <v>1422.0</v>
      </c>
      <c r="F314" s="12">
        <f t="shared" si="5"/>
        <v>2.250351617</v>
      </c>
      <c r="G314" s="13">
        <v>88.0</v>
      </c>
      <c r="H314" s="13">
        <v>1003.0</v>
      </c>
      <c r="I314" s="12">
        <f t="shared" si="6"/>
        <v>8.773678963</v>
      </c>
      <c r="J314" s="11">
        <v>357.0</v>
      </c>
      <c r="K314" s="11">
        <v>1275.0</v>
      </c>
      <c r="L314" s="12">
        <f t="shared" si="7"/>
        <v>28</v>
      </c>
      <c r="M314" s="13">
        <v>228.0</v>
      </c>
      <c r="N314" s="13">
        <v>907.0</v>
      </c>
      <c r="O314" s="14">
        <f t="shared" si="8"/>
        <v>25.13781698</v>
      </c>
      <c r="P314" s="12">
        <f t="shared" si="9"/>
        <v>0.08036970062</v>
      </c>
      <c r="Q314" s="12">
        <f t="shared" si="10"/>
        <v>0.3490231061</v>
      </c>
      <c r="S314" s="28"/>
      <c r="T314" s="28"/>
      <c r="U314" s="27"/>
      <c r="V314" s="27"/>
      <c r="X314" s="27"/>
      <c r="Y314" s="27"/>
    </row>
    <row r="315" ht="15.75" customHeight="1">
      <c r="A315" s="9">
        <v>80302.0</v>
      </c>
      <c r="B315" s="10" t="s">
        <v>36</v>
      </c>
      <c r="C315" s="10" t="s">
        <v>341</v>
      </c>
      <c r="D315" s="11">
        <v>59.0</v>
      </c>
      <c r="E315" s="11">
        <v>4150.0</v>
      </c>
      <c r="F315" s="12">
        <f t="shared" si="5"/>
        <v>1.421686747</v>
      </c>
      <c r="G315" s="13">
        <v>194.0</v>
      </c>
      <c r="H315" s="13">
        <v>4008.0</v>
      </c>
      <c r="I315" s="12">
        <f t="shared" si="6"/>
        <v>4.840319361</v>
      </c>
      <c r="J315" s="11">
        <v>839.0</v>
      </c>
      <c r="K315" s="11">
        <v>3949.0</v>
      </c>
      <c r="L315" s="12">
        <f t="shared" si="7"/>
        <v>21.24588503</v>
      </c>
      <c r="M315" s="13">
        <v>855.0</v>
      </c>
      <c r="N315" s="13">
        <v>4040.0</v>
      </c>
      <c r="O315" s="14">
        <f t="shared" si="8"/>
        <v>21.16336634</v>
      </c>
      <c r="P315" s="12">
        <f t="shared" si="9"/>
        <v>0.06691586369</v>
      </c>
      <c r="Q315" s="12">
        <f t="shared" si="10"/>
        <v>0.2287121663</v>
      </c>
      <c r="S315" s="28"/>
      <c r="T315" s="28"/>
      <c r="U315" s="27"/>
      <c r="V315" s="27"/>
      <c r="X315" s="27"/>
      <c r="Y315" s="27"/>
    </row>
    <row r="316" ht="15.75" customHeight="1">
      <c r="A316" s="9">
        <v>80303.0</v>
      </c>
      <c r="B316" s="10" t="s">
        <v>36</v>
      </c>
      <c r="C316" s="10" t="s">
        <v>342</v>
      </c>
      <c r="D316" s="11">
        <v>18.0</v>
      </c>
      <c r="E316" s="11">
        <v>933.0</v>
      </c>
      <c r="F316" s="12">
        <f t="shared" si="5"/>
        <v>1.92926045</v>
      </c>
      <c r="G316" s="13">
        <v>71.0</v>
      </c>
      <c r="H316" s="13">
        <v>913.0</v>
      </c>
      <c r="I316" s="12">
        <f t="shared" si="6"/>
        <v>7.776560789</v>
      </c>
      <c r="J316" s="11">
        <v>302.0</v>
      </c>
      <c r="K316" s="11">
        <v>867.0</v>
      </c>
      <c r="L316" s="12">
        <f t="shared" si="7"/>
        <v>34.83275663</v>
      </c>
      <c r="M316" s="13">
        <v>267.0</v>
      </c>
      <c r="N316" s="13">
        <v>887.0</v>
      </c>
      <c r="O316" s="14">
        <f t="shared" si="8"/>
        <v>30.10146561</v>
      </c>
      <c r="P316" s="12">
        <f t="shared" si="9"/>
        <v>0.05538638445</v>
      </c>
      <c r="Q316" s="12">
        <f t="shared" si="10"/>
        <v>0.2583449221</v>
      </c>
      <c r="S316" s="28"/>
      <c r="T316" s="28"/>
      <c r="U316" s="27"/>
      <c r="V316" s="27"/>
      <c r="X316" s="27"/>
      <c r="Y316" s="27"/>
    </row>
    <row r="317" ht="15.75" customHeight="1">
      <c r="A317" s="9">
        <v>80304.0</v>
      </c>
      <c r="B317" s="10" t="s">
        <v>36</v>
      </c>
      <c r="C317" s="10" t="s">
        <v>343</v>
      </c>
      <c r="D317" s="11">
        <v>38.0</v>
      </c>
      <c r="E317" s="11">
        <v>2129.0</v>
      </c>
      <c r="F317" s="12">
        <f t="shared" si="5"/>
        <v>1.784875528</v>
      </c>
      <c r="G317" s="13">
        <v>60.0</v>
      </c>
      <c r="H317" s="13">
        <v>2083.0</v>
      </c>
      <c r="I317" s="12">
        <f t="shared" si="6"/>
        <v>2.880460874</v>
      </c>
      <c r="J317" s="11">
        <v>400.0</v>
      </c>
      <c r="K317" s="11">
        <v>1860.0</v>
      </c>
      <c r="L317" s="12">
        <f t="shared" si="7"/>
        <v>21.50537634</v>
      </c>
      <c r="M317" s="13">
        <v>261.0</v>
      </c>
      <c r="N317" s="13">
        <v>1734.0</v>
      </c>
      <c r="O317" s="14">
        <f t="shared" si="8"/>
        <v>15.05190311</v>
      </c>
      <c r="P317" s="12">
        <f t="shared" si="9"/>
        <v>0.08299671207</v>
      </c>
      <c r="Q317" s="12">
        <f t="shared" si="10"/>
        <v>0.19136855</v>
      </c>
      <c r="S317" s="28"/>
      <c r="T317" s="28"/>
      <c r="U317" s="27"/>
      <c r="V317" s="27"/>
      <c r="X317" s="27"/>
      <c r="Y317" s="27"/>
    </row>
    <row r="318" ht="15.75" customHeight="1">
      <c r="A318" s="9">
        <v>80401.0</v>
      </c>
      <c r="B318" s="10" t="s">
        <v>36</v>
      </c>
      <c r="C318" s="10" t="s">
        <v>344</v>
      </c>
      <c r="D318" s="11">
        <v>50.0</v>
      </c>
      <c r="E318" s="11">
        <v>1787.0</v>
      </c>
      <c r="F318" s="12">
        <f t="shared" si="5"/>
        <v>2.79798545</v>
      </c>
      <c r="G318" s="13">
        <v>120.0</v>
      </c>
      <c r="H318" s="13">
        <v>1592.0</v>
      </c>
      <c r="I318" s="12">
        <f t="shared" si="6"/>
        <v>7.537688442</v>
      </c>
      <c r="J318" s="11">
        <v>450.0</v>
      </c>
      <c r="K318" s="11">
        <v>1706.0</v>
      </c>
      <c r="L318" s="12">
        <f t="shared" si="7"/>
        <v>26.37749121</v>
      </c>
      <c r="M318" s="13">
        <v>326.0</v>
      </c>
      <c r="N318" s="13">
        <v>1495.0</v>
      </c>
      <c r="O318" s="14">
        <f t="shared" si="8"/>
        <v>21.80602007</v>
      </c>
      <c r="P318" s="12">
        <f t="shared" si="9"/>
        <v>0.1060747373</v>
      </c>
      <c r="Q318" s="12">
        <f t="shared" si="10"/>
        <v>0.3456700681</v>
      </c>
      <c r="S318" s="28"/>
      <c r="T318" s="28"/>
      <c r="U318" s="27"/>
      <c r="V318" s="27"/>
      <c r="X318" s="27"/>
      <c r="Y318" s="27"/>
    </row>
    <row r="319" ht="15.75" customHeight="1">
      <c r="A319" s="9">
        <v>80402.0</v>
      </c>
      <c r="B319" s="10" t="s">
        <v>36</v>
      </c>
      <c r="C319" s="10" t="s">
        <v>345</v>
      </c>
      <c r="D319" s="11">
        <v>8.0</v>
      </c>
      <c r="E319" s="11">
        <v>754.0</v>
      </c>
      <c r="F319" s="12">
        <f t="shared" si="5"/>
        <v>1.061007958</v>
      </c>
      <c r="G319" s="13">
        <v>45.0</v>
      </c>
      <c r="H319" s="13">
        <v>968.0</v>
      </c>
      <c r="I319" s="12">
        <f t="shared" si="6"/>
        <v>4.648760331</v>
      </c>
      <c r="J319" s="11">
        <v>232.0</v>
      </c>
      <c r="K319" s="11">
        <v>664.0</v>
      </c>
      <c r="L319" s="12">
        <f t="shared" si="7"/>
        <v>34.93975904</v>
      </c>
      <c r="M319" s="13">
        <v>293.0</v>
      </c>
      <c r="N319" s="13">
        <v>827.0</v>
      </c>
      <c r="O319" s="14">
        <f t="shared" si="8"/>
        <v>35.42926239</v>
      </c>
      <c r="P319" s="12">
        <f t="shared" si="9"/>
        <v>0.03036677947</v>
      </c>
      <c r="Q319" s="12">
        <f t="shared" si="10"/>
        <v>0.1312124503</v>
      </c>
      <c r="S319" s="28"/>
      <c r="T319" s="28"/>
      <c r="U319" s="27"/>
      <c r="V319" s="27"/>
      <c r="X319" s="27"/>
      <c r="Y319" s="27"/>
    </row>
    <row r="320" ht="15.75" customHeight="1">
      <c r="A320" s="9">
        <v>80501.0</v>
      </c>
      <c r="B320" s="10" t="s">
        <v>36</v>
      </c>
      <c r="C320" s="10" t="s">
        <v>346</v>
      </c>
      <c r="D320" s="11">
        <v>44.0</v>
      </c>
      <c r="E320" s="11">
        <v>2053.0</v>
      </c>
      <c r="F320" s="12">
        <f t="shared" si="5"/>
        <v>2.143205066</v>
      </c>
      <c r="G320" s="13">
        <v>127.0</v>
      </c>
      <c r="H320" s="13">
        <v>1932.0</v>
      </c>
      <c r="I320" s="12">
        <f t="shared" si="6"/>
        <v>6.573498965</v>
      </c>
      <c r="J320" s="11">
        <v>450.0</v>
      </c>
      <c r="K320" s="11">
        <v>1855.0</v>
      </c>
      <c r="L320" s="12">
        <f t="shared" si="7"/>
        <v>24.25876011</v>
      </c>
      <c r="M320" s="13">
        <v>456.0</v>
      </c>
      <c r="N320" s="13">
        <v>1839.0</v>
      </c>
      <c r="O320" s="14">
        <f t="shared" si="8"/>
        <v>24.79608483</v>
      </c>
      <c r="P320" s="12">
        <f t="shared" si="9"/>
        <v>0.08834767549</v>
      </c>
      <c r="Q320" s="12">
        <f t="shared" si="10"/>
        <v>0.2651022938</v>
      </c>
      <c r="S320" s="28"/>
      <c r="T320" s="28"/>
      <c r="U320" s="27"/>
      <c r="V320" s="27"/>
      <c r="X320" s="27"/>
      <c r="Y320" s="27"/>
    </row>
    <row r="321" ht="15.75" customHeight="1">
      <c r="A321" s="9">
        <v>80601.0</v>
      </c>
      <c r="B321" s="10" t="s">
        <v>36</v>
      </c>
      <c r="C321" s="10" t="s">
        <v>347</v>
      </c>
      <c r="D321" s="11">
        <v>7.0</v>
      </c>
      <c r="E321" s="11">
        <v>380.0</v>
      </c>
      <c r="F321" s="12">
        <f t="shared" si="5"/>
        <v>1.842105263</v>
      </c>
      <c r="G321" s="13">
        <v>44.0</v>
      </c>
      <c r="H321" s="13">
        <v>318.0</v>
      </c>
      <c r="I321" s="12">
        <f t="shared" si="6"/>
        <v>13.83647799</v>
      </c>
      <c r="J321" s="11">
        <v>143.0</v>
      </c>
      <c r="K321" s="11">
        <v>329.0</v>
      </c>
      <c r="L321" s="12">
        <f t="shared" si="7"/>
        <v>43.46504559</v>
      </c>
      <c r="M321" s="13">
        <v>127.0</v>
      </c>
      <c r="N321" s="13">
        <v>377.0</v>
      </c>
      <c r="O321" s="14">
        <f t="shared" si="8"/>
        <v>33.68700265</v>
      </c>
      <c r="P321" s="12">
        <f t="shared" si="9"/>
        <v>0.04238130291</v>
      </c>
      <c r="Q321" s="12">
        <f t="shared" si="10"/>
        <v>0.4107363938</v>
      </c>
      <c r="S321" s="28"/>
      <c r="T321" s="28"/>
      <c r="U321" s="27"/>
      <c r="V321" s="27"/>
      <c r="X321" s="27"/>
      <c r="Y321" s="27"/>
    </row>
    <row r="322" ht="15.75" customHeight="1">
      <c r="A322" s="9">
        <v>80602.0</v>
      </c>
      <c r="B322" s="10" t="s">
        <v>36</v>
      </c>
      <c r="C322" s="10" t="s">
        <v>348</v>
      </c>
      <c r="D322" s="11">
        <v>19.0</v>
      </c>
      <c r="E322" s="11">
        <v>1364.0</v>
      </c>
      <c r="F322" s="12">
        <f t="shared" si="5"/>
        <v>1.392961877</v>
      </c>
      <c r="G322" s="13">
        <v>50.0</v>
      </c>
      <c r="H322" s="13">
        <v>1427.0</v>
      </c>
      <c r="I322" s="12">
        <f t="shared" si="6"/>
        <v>3.50385424</v>
      </c>
      <c r="J322" s="11">
        <v>351.0</v>
      </c>
      <c r="K322" s="11">
        <v>1097.0</v>
      </c>
      <c r="L322" s="12">
        <f t="shared" si="7"/>
        <v>31.99635369</v>
      </c>
      <c r="M322" s="13">
        <v>274.0</v>
      </c>
      <c r="N322" s="13">
        <v>1131.0</v>
      </c>
      <c r="O322" s="14">
        <f t="shared" si="8"/>
        <v>24.22634836</v>
      </c>
      <c r="P322" s="12">
        <f t="shared" si="9"/>
        <v>0.04353501934</v>
      </c>
      <c r="Q322" s="12">
        <f t="shared" si="10"/>
        <v>0.1446298958</v>
      </c>
      <c r="S322" s="28"/>
      <c r="T322" s="28"/>
      <c r="U322" s="27"/>
      <c r="V322" s="27"/>
      <c r="X322" s="27"/>
      <c r="Y322" s="27"/>
    </row>
    <row r="323" ht="15.75" customHeight="1">
      <c r="A323" s="9">
        <v>80701.0</v>
      </c>
      <c r="B323" s="10" t="s">
        <v>36</v>
      </c>
      <c r="C323" s="10" t="s">
        <v>349</v>
      </c>
      <c r="D323" s="11">
        <v>8.0</v>
      </c>
      <c r="E323" s="11">
        <v>936.0</v>
      </c>
      <c r="F323" s="12">
        <f t="shared" si="5"/>
        <v>0.8547008547</v>
      </c>
      <c r="G323" s="13">
        <v>16.0</v>
      </c>
      <c r="H323" s="13">
        <v>752.0</v>
      </c>
      <c r="I323" s="12">
        <f t="shared" si="6"/>
        <v>2.127659574</v>
      </c>
      <c r="J323" s="11">
        <v>198.0</v>
      </c>
      <c r="K323" s="11">
        <v>642.0</v>
      </c>
      <c r="L323" s="12">
        <f t="shared" si="7"/>
        <v>30.8411215</v>
      </c>
      <c r="M323" s="13">
        <v>106.0</v>
      </c>
      <c r="N323" s="13">
        <v>529.0</v>
      </c>
      <c r="O323" s="14">
        <f t="shared" si="8"/>
        <v>20.03780718</v>
      </c>
      <c r="P323" s="12">
        <f t="shared" si="9"/>
        <v>0.02771302771</v>
      </c>
      <c r="Q323" s="12">
        <f t="shared" si="10"/>
        <v>0.1061822561</v>
      </c>
      <c r="S323" s="28"/>
      <c r="T323" s="28"/>
      <c r="U323" s="27"/>
      <c r="V323" s="27"/>
      <c r="X323" s="27"/>
      <c r="Y323" s="27"/>
    </row>
    <row r="324" ht="15.75" customHeight="1">
      <c r="A324" s="9">
        <v>80702.0</v>
      </c>
      <c r="B324" s="10" t="s">
        <v>36</v>
      </c>
      <c r="C324" s="10" t="s">
        <v>325</v>
      </c>
      <c r="D324" s="11">
        <v>11.0</v>
      </c>
      <c r="E324" s="11">
        <v>508.0</v>
      </c>
      <c r="F324" s="12">
        <f t="shared" si="5"/>
        <v>2.165354331</v>
      </c>
      <c r="G324" s="13">
        <v>22.0</v>
      </c>
      <c r="H324" s="13">
        <v>525.0</v>
      </c>
      <c r="I324" s="12">
        <f t="shared" si="6"/>
        <v>4.19047619</v>
      </c>
      <c r="J324" s="11">
        <v>128.0</v>
      </c>
      <c r="K324" s="11">
        <v>429.0</v>
      </c>
      <c r="L324" s="12">
        <f t="shared" si="7"/>
        <v>29.83682984</v>
      </c>
      <c r="M324" s="13">
        <v>83.0</v>
      </c>
      <c r="N324" s="13">
        <v>436.0</v>
      </c>
      <c r="O324" s="14">
        <f t="shared" si="8"/>
        <v>19.03669725</v>
      </c>
      <c r="P324" s="12">
        <f t="shared" si="9"/>
        <v>0.07257320374</v>
      </c>
      <c r="Q324" s="12">
        <f t="shared" si="10"/>
        <v>0.2201262192</v>
      </c>
      <c r="S324" s="28"/>
      <c r="T324" s="28"/>
      <c r="U324" s="27"/>
      <c r="V324" s="27"/>
      <c r="X324" s="27"/>
      <c r="Y324" s="27"/>
    </row>
    <row r="325" ht="15.75" customHeight="1">
      <c r="A325" s="9">
        <v>80703.0</v>
      </c>
      <c r="B325" s="10" t="s">
        <v>36</v>
      </c>
      <c r="C325" s="10" t="s">
        <v>350</v>
      </c>
      <c r="D325" s="11">
        <v>2.0</v>
      </c>
      <c r="E325" s="11">
        <v>120.0</v>
      </c>
      <c r="F325" s="12">
        <f t="shared" si="5"/>
        <v>1.666666667</v>
      </c>
      <c r="G325" s="13">
        <v>12.0</v>
      </c>
      <c r="H325" s="13">
        <v>87.0</v>
      </c>
      <c r="I325" s="12">
        <f t="shared" si="6"/>
        <v>13.79310345</v>
      </c>
      <c r="J325" s="11">
        <v>31.0</v>
      </c>
      <c r="K325" s="11">
        <v>73.0</v>
      </c>
      <c r="L325" s="12">
        <f t="shared" si="7"/>
        <v>42.46575342</v>
      </c>
      <c r="M325" s="13">
        <v>35.0</v>
      </c>
      <c r="N325" s="13">
        <v>90.0</v>
      </c>
      <c r="O325" s="14">
        <f t="shared" si="8"/>
        <v>38.88888889</v>
      </c>
      <c r="P325" s="12">
        <f t="shared" si="9"/>
        <v>0.03924731183</v>
      </c>
      <c r="Q325" s="12">
        <f t="shared" si="10"/>
        <v>0.354679803</v>
      </c>
      <c r="S325" s="28"/>
      <c r="T325" s="28"/>
      <c r="U325" s="27"/>
      <c r="V325" s="27"/>
      <c r="X325" s="27"/>
      <c r="Y325" s="27"/>
    </row>
    <row r="326" ht="15.75" customHeight="1">
      <c r="A326" s="9">
        <v>80801.0</v>
      </c>
      <c r="B326" s="10" t="s">
        <v>36</v>
      </c>
      <c r="C326" s="10" t="s">
        <v>351</v>
      </c>
      <c r="D326" s="11">
        <v>22.0</v>
      </c>
      <c r="E326" s="11">
        <v>1199.0</v>
      </c>
      <c r="F326" s="12">
        <f t="shared" si="5"/>
        <v>1.834862385</v>
      </c>
      <c r="G326" s="13">
        <v>38.0</v>
      </c>
      <c r="H326" s="13">
        <v>1036.0</v>
      </c>
      <c r="I326" s="12">
        <f t="shared" si="6"/>
        <v>3.667953668</v>
      </c>
      <c r="J326" s="11">
        <v>326.0</v>
      </c>
      <c r="K326" s="11">
        <v>1052.0</v>
      </c>
      <c r="L326" s="12">
        <f t="shared" si="7"/>
        <v>30.98859316</v>
      </c>
      <c r="M326" s="13">
        <v>165.0</v>
      </c>
      <c r="N326" s="13">
        <v>917.0</v>
      </c>
      <c r="O326" s="14">
        <f t="shared" si="8"/>
        <v>17.99345692</v>
      </c>
      <c r="P326" s="12">
        <f t="shared" si="9"/>
        <v>0.05921089661</v>
      </c>
      <c r="Q326" s="12">
        <f t="shared" si="10"/>
        <v>0.2038493038</v>
      </c>
      <c r="S326" s="28"/>
      <c r="T326" s="28"/>
      <c r="U326" s="27"/>
      <c r="V326" s="27"/>
      <c r="X326" s="27"/>
      <c r="Y326" s="27"/>
    </row>
    <row r="327" ht="15.75" customHeight="1">
      <c r="A327" s="9">
        <v>80802.0</v>
      </c>
      <c r="B327" s="10" t="s">
        <v>36</v>
      </c>
      <c r="C327" s="10" t="s">
        <v>352</v>
      </c>
      <c r="D327" s="11">
        <v>20.0</v>
      </c>
      <c r="E327" s="11">
        <v>826.0</v>
      </c>
      <c r="F327" s="12">
        <f t="shared" si="5"/>
        <v>2.421307506</v>
      </c>
      <c r="G327" s="13">
        <v>41.0</v>
      </c>
      <c r="H327" s="13">
        <v>748.0</v>
      </c>
      <c r="I327" s="12">
        <f t="shared" si="6"/>
        <v>5.481283422</v>
      </c>
      <c r="J327" s="11">
        <v>164.0</v>
      </c>
      <c r="K327" s="11">
        <v>498.0</v>
      </c>
      <c r="L327" s="12">
        <f t="shared" si="7"/>
        <v>32.93172691</v>
      </c>
      <c r="M327" s="13">
        <v>105.0</v>
      </c>
      <c r="N327" s="13">
        <v>510.0</v>
      </c>
      <c r="O327" s="14">
        <f t="shared" si="8"/>
        <v>20.58823529</v>
      </c>
      <c r="P327" s="12">
        <f t="shared" si="9"/>
        <v>0.07352506939</v>
      </c>
      <c r="Q327" s="12">
        <f t="shared" si="10"/>
        <v>0.2662337662</v>
      </c>
      <c r="S327" s="28"/>
      <c r="T327" s="28"/>
      <c r="U327" s="27"/>
      <c r="V327" s="27"/>
      <c r="X327" s="27"/>
      <c r="Y327" s="27"/>
    </row>
    <row r="328" ht="15.75" customHeight="1">
      <c r="A328" s="9">
        <v>80803.0</v>
      </c>
      <c r="B328" s="10" t="s">
        <v>36</v>
      </c>
      <c r="C328" s="10" t="s">
        <v>353</v>
      </c>
      <c r="D328" s="11">
        <v>7.0</v>
      </c>
      <c r="E328" s="11">
        <v>505.0</v>
      </c>
      <c r="F328" s="12">
        <f t="shared" si="5"/>
        <v>1.386138614</v>
      </c>
      <c r="G328" s="13">
        <v>25.0</v>
      </c>
      <c r="H328" s="13">
        <v>390.0</v>
      </c>
      <c r="I328" s="12">
        <f t="shared" si="6"/>
        <v>6.41025641</v>
      </c>
      <c r="J328" s="11">
        <v>165.0</v>
      </c>
      <c r="K328" s="11">
        <v>376.0</v>
      </c>
      <c r="L328" s="12">
        <f t="shared" si="7"/>
        <v>43.88297872</v>
      </c>
      <c r="M328" s="13">
        <v>77.0</v>
      </c>
      <c r="N328" s="13">
        <v>316.0</v>
      </c>
      <c r="O328" s="14">
        <f t="shared" si="8"/>
        <v>24.36708861</v>
      </c>
      <c r="P328" s="12">
        <f t="shared" si="9"/>
        <v>0.03158715872</v>
      </c>
      <c r="Q328" s="12">
        <f t="shared" si="10"/>
        <v>0.2630702631</v>
      </c>
      <c r="S328" s="28"/>
      <c r="T328" s="28"/>
      <c r="U328" s="27"/>
      <c r="V328" s="27"/>
      <c r="X328" s="27"/>
      <c r="Y328" s="27"/>
    </row>
    <row r="329" ht="15.75" customHeight="1">
      <c r="A329" s="9">
        <v>80901.0</v>
      </c>
      <c r="B329" s="10" t="s">
        <v>36</v>
      </c>
      <c r="C329" s="10" t="s">
        <v>354</v>
      </c>
      <c r="D329" s="11">
        <v>5.0</v>
      </c>
      <c r="E329" s="11">
        <v>314.0</v>
      </c>
      <c r="F329" s="12">
        <f t="shared" si="5"/>
        <v>1.592356688</v>
      </c>
      <c r="G329" s="13">
        <v>43.0</v>
      </c>
      <c r="H329" s="13">
        <v>352.0</v>
      </c>
      <c r="I329" s="12">
        <f t="shared" si="6"/>
        <v>12.21590909</v>
      </c>
      <c r="J329" s="11">
        <v>81.0</v>
      </c>
      <c r="K329" s="11">
        <v>246.0</v>
      </c>
      <c r="L329" s="12">
        <f t="shared" si="7"/>
        <v>32.92682927</v>
      </c>
      <c r="M329" s="13">
        <v>122.0</v>
      </c>
      <c r="N329" s="13">
        <v>322.0</v>
      </c>
      <c r="O329" s="14">
        <f t="shared" si="8"/>
        <v>37.88819876</v>
      </c>
      <c r="P329" s="12">
        <f t="shared" si="9"/>
        <v>0.04836046237</v>
      </c>
      <c r="Q329" s="12">
        <f t="shared" si="10"/>
        <v>0.3224198957</v>
      </c>
      <c r="S329" s="28"/>
      <c r="T329" s="28"/>
      <c r="U329" s="27"/>
      <c r="V329" s="27"/>
      <c r="X329" s="27"/>
      <c r="Y329" s="27"/>
    </row>
    <row r="330" ht="15.75" customHeight="1">
      <c r="A330" s="9">
        <v>90101.0</v>
      </c>
      <c r="B330" s="10" t="s">
        <v>38</v>
      </c>
      <c r="C330" s="10" t="s">
        <v>355</v>
      </c>
      <c r="D330" s="11">
        <v>70.0</v>
      </c>
      <c r="E330" s="11">
        <v>5447.0</v>
      </c>
      <c r="F330" s="12">
        <f t="shared" si="5"/>
        <v>1.28511107</v>
      </c>
      <c r="G330" s="13">
        <v>204.0</v>
      </c>
      <c r="H330" s="13">
        <v>6083.0</v>
      </c>
      <c r="I330" s="12">
        <f t="shared" si="6"/>
        <v>3.353608417</v>
      </c>
      <c r="J330" s="11">
        <v>1011.0</v>
      </c>
      <c r="K330" s="11">
        <v>4941.0</v>
      </c>
      <c r="L330" s="12">
        <f t="shared" si="7"/>
        <v>20.46144505</v>
      </c>
      <c r="M330" s="13">
        <v>641.0</v>
      </c>
      <c r="N330" s="13">
        <v>5420.0</v>
      </c>
      <c r="O330" s="14">
        <f t="shared" si="8"/>
        <v>11.82656827</v>
      </c>
      <c r="P330" s="12">
        <f t="shared" si="9"/>
        <v>0.06280646685</v>
      </c>
      <c r="Q330" s="12">
        <f t="shared" si="10"/>
        <v>0.2835656415</v>
      </c>
      <c r="S330" s="28"/>
      <c r="T330" s="28"/>
      <c r="U330" s="27"/>
      <c r="V330" s="27"/>
      <c r="X330" s="27"/>
      <c r="Y330" s="27"/>
    </row>
    <row r="331" ht="15.75" customHeight="1">
      <c r="A331" s="9">
        <v>90102.0</v>
      </c>
      <c r="B331" s="10" t="s">
        <v>38</v>
      </c>
      <c r="C331" s="10" t="s">
        <v>356</v>
      </c>
      <c r="D331" s="11">
        <v>18.0</v>
      </c>
      <c r="E331" s="11">
        <v>1016.0</v>
      </c>
      <c r="F331" s="12">
        <f t="shared" si="5"/>
        <v>1.771653543</v>
      </c>
      <c r="G331" s="13">
        <v>60.0</v>
      </c>
      <c r="H331" s="13">
        <v>907.0</v>
      </c>
      <c r="I331" s="12">
        <f t="shared" si="6"/>
        <v>6.615214994</v>
      </c>
      <c r="J331" s="11">
        <v>245.0</v>
      </c>
      <c r="K331" s="11">
        <v>782.0</v>
      </c>
      <c r="L331" s="12">
        <f t="shared" si="7"/>
        <v>31.32992327</v>
      </c>
      <c r="M331" s="13">
        <v>130.0</v>
      </c>
      <c r="N331" s="13">
        <v>941.0</v>
      </c>
      <c r="O331" s="14">
        <f t="shared" si="8"/>
        <v>13.81509033</v>
      </c>
      <c r="P331" s="12">
        <f t="shared" si="9"/>
        <v>0.05654828861</v>
      </c>
      <c r="Q331" s="12">
        <f t="shared" si="10"/>
        <v>0.4788397931</v>
      </c>
      <c r="S331" s="28"/>
      <c r="T331" s="28"/>
      <c r="U331" s="27"/>
      <c r="V331" s="27"/>
      <c r="X331" s="27"/>
      <c r="Y331" s="27"/>
    </row>
    <row r="332" ht="15.75" customHeight="1">
      <c r="A332" s="9">
        <v>90103.0</v>
      </c>
      <c r="B332" s="10" t="s">
        <v>38</v>
      </c>
      <c r="C332" s="10" t="s">
        <v>357</v>
      </c>
      <c r="D332" s="11">
        <v>2.0</v>
      </c>
      <c r="E332" s="11">
        <v>245.0</v>
      </c>
      <c r="F332" s="12">
        <f t="shared" si="5"/>
        <v>0.8163265306</v>
      </c>
      <c r="G332" s="13">
        <v>10.0</v>
      </c>
      <c r="H332" s="13">
        <v>233.0</v>
      </c>
      <c r="I332" s="12">
        <f t="shared" si="6"/>
        <v>4.291845494</v>
      </c>
      <c r="J332" s="11">
        <v>82.0</v>
      </c>
      <c r="K332" s="11">
        <v>169.0</v>
      </c>
      <c r="L332" s="12">
        <f t="shared" si="7"/>
        <v>48.52071006</v>
      </c>
      <c r="M332" s="13">
        <v>21.0</v>
      </c>
      <c r="N332" s="13">
        <v>162.0</v>
      </c>
      <c r="O332" s="14">
        <f t="shared" si="8"/>
        <v>12.96296296</v>
      </c>
      <c r="P332" s="12">
        <f t="shared" si="9"/>
        <v>0.01682429069</v>
      </c>
      <c r="Q332" s="12">
        <f t="shared" si="10"/>
        <v>0.3310852238</v>
      </c>
      <c r="S332" s="28"/>
      <c r="T332" s="28"/>
      <c r="U332" s="27"/>
      <c r="V332" s="27"/>
      <c r="X332" s="27"/>
      <c r="Y332" s="27"/>
    </row>
    <row r="333" ht="15.75" customHeight="1">
      <c r="A333" s="9">
        <v>90104.0</v>
      </c>
      <c r="B333" s="10" t="s">
        <v>38</v>
      </c>
      <c r="C333" s="10" t="s">
        <v>358</v>
      </c>
      <c r="D333" s="11">
        <v>4.0</v>
      </c>
      <c r="E333" s="11">
        <v>517.0</v>
      </c>
      <c r="F333" s="12">
        <f t="shared" si="5"/>
        <v>0.7736943907</v>
      </c>
      <c r="G333" s="13">
        <v>34.0</v>
      </c>
      <c r="H333" s="13">
        <v>374.0</v>
      </c>
      <c r="I333" s="12">
        <f t="shared" si="6"/>
        <v>9.090909091</v>
      </c>
      <c r="J333" s="11">
        <v>123.0</v>
      </c>
      <c r="K333" s="11">
        <v>385.0</v>
      </c>
      <c r="L333" s="12">
        <f t="shared" si="7"/>
        <v>31.94805195</v>
      </c>
      <c r="M333" s="13">
        <v>77.0</v>
      </c>
      <c r="N333" s="13">
        <v>272.0</v>
      </c>
      <c r="O333" s="14">
        <f t="shared" si="8"/>
        <v>28.30882353</v>
      </c>
      <c r="P333" s="12">
        <f t="shared" si="9"/>
        <v>0.02421726345</v>
      </c>
      <c r="Q333" s="12">
        <f t="shared" si="10"/>
        <v>0.321133412</v>
      </c>
      <c r="S333" s="28"/>
      <c r="T333" s="28"/>
      <c r="U333" s="27"/>
      <c r="V333" s="27"/>
      <c r="X333" s="27"/>
      <c r="Y333" s="27"/>
    </row>
    <row r="334" ht="15.75" customHeight="1">
      <c r="A334" s="9">
        <v>90201.0</v>
      </c>
      <c r="B334" s="10" t="s">
        <v>38</v>
      </c>
      <c r="C334" s="10" t="s">
        <v>359</v>
      </c>
      <c r="D334" s="11">
        <v>6.0</v>
      </c>
      <c r="E334" s="11">
        <v>881.0</v>
      </c>
      <c r="F334" s="12">
        <f t="shared" si="5"/>
        <v>0.6810442679</v>
      </c>
      <c r="G334" s="13">
        <v>52.0</v>
      </c>
      <c r="H334" s="13">
        <v>1015.0</v>
      </c>
      <c r="I334" s="12">
        <f t="shared" si="6"/>
        <v>5.123152709</v>
      </c>
      <c r="J334" s="11">
        <v>170.0</v>
      </c>
      <c r="K334" s="11">
        <v>554.0</v>
      </c>
      <c r="L334" s="12">
        <f t="shared" si="7"/>
        <v>30.68592058</v>
      </c>
      <c r="M334" s="13">
        <v>170.0</v>
      </c>
      <c r="N334" s="13">
        <v>723.0</v>
      </c>
      <c r="O334" s="14">
        <f t="shared" si="8"/>
        <v>23.5131397</v>
      </c>
      <c r="P334" s="12">
        <f t="shared" si="9"/>
        <v>0.02219403085</v>
      </c>
      <c r="Q334" s="12">
        <f t="shared" si="10"/>
        <v>0.2178846711</v>
      </c>
      <c r="S334" s="28"/>
      <c r="T334" s="28"/>
      <c r="U334" s="27"/>
      <c r="V334" s="27"/>
      <c r="X334" s="27"/>
      <c r="Y334" s="27"/>
    </row>
    <row r="335" ht="15.75" customHeight="1">
      <c r="A335" s="9">
        <v>90202.0</v>
      </c>
      <c r="B335" s="10" t="s">
        <v>38</v>
      </c>
      <c r="C335" s="10" t="s">
        <v>322</v>
      </c>
      <c r="D335" s="11">
        <v>5.0</v>
      </c>
      <c r="E335" s="11">
        <v>435.0</v>
      </c>
      <c r="F335" s="12">
        <f t="shared" si="5"/>
        <v>1.149425287</v>
      </c>
      <c r="G335" s="13">
        <v>12.0</v>
      </c>
      <c r="H335" s="13">
        <v>372.0</v>
      </c>
      <c r="I335" s="12">
        <f t="shared" si="6"/>
        <v>3.225806452</v>
      </c>
      <c r="J335" s="11">
        <v>101.0</v>
      </c>
      <c r="K335" s="11">
        <v>340.0</v>
      </c>
      <c r="L335" s="12">
        <f t="shared" si="7"/>
        <v>29.70588235</v>
      </c>
      <c r="M335" s="13">
        <v>100.0</v>
      </c>
      <c r="N335" s="13">
        <v>349.0</v>
      </c>
      <c r="O335" s="14">
        <f t="shared" si="8"/>
        <v>28.65329513</v>
      </c>
      <c r="P335" s="12">
        <f t="shared" si="9"/>
        <v>0.03869352452</v>
      </c>
      <c r="Q335" s="12">
        <f t="shared" si="10"/>
        <v>0.1125806452</v>
      </c>
      <c r="S335" s="28"/>
      <c r="T335" s="28"/>
      <c r="U335" s="27"/>
      <c r="V335" s="27"/>
      <c r="X335" s="27"/>
      <c r="Y335" s="27"/>
    </row>
    <row r="336" ht="15.75" customHeight="1">
      <c r="A336" s="9">
        <v>90203.0</v>
      </c>
      <c r="B336" s="10" t="s">
        <v>38</v>
      </c>
      <c r="C336" s="10" t="s">
        <v>360</v>
      </c>
      <c r="D336" s="11">
        <v>8.0</v>
      </c>
      <c r="E336" s="11">
        <v>620.0</v>
      </c>
      <c r="F336" s="12">
        <f t="shared" si="5"/>
        <v>1.290322581</v>
      </c>
      <c r="G336" s="13">
        <v>50.0</v>
      </c>
      <c r="H336" s="13">
        <v>765.0</v>
      </c>
      <c r="I336" s="12">
        <f t="shared" si="6"/>
        <v>6.535947712</v>
      </c>
      <c r="J336" s="11">
        <v>241.0</v>
      </c>
      <c r="K336" s="11">
        <v>504.0</v>
      </c>
      <c r="L336" s="12">
        <f t="shared" si="7"/>
        <v>47.81746032</v>
      </c>
      <c r="M336" s="13">
        <v>216.0</v>
      </c>
      <c r="N336" s="13">
        <v>667.0</v>
      </c>
      <c r="O336" s="14">
        <f t="shared" si="8"/>
        <v>32.3838081</v>
      </c>
      <c r="P336" s="12">
        <f t="shared" si="9"/>
        <v>0.02698433945</v>
      </c>
      <c r="Q336" s="12">
        <f t="shared" si="10"/>
        <v>0.2018276446</v>
      </c>
      <c r="S336" s="28"/>
      <c r="T336" s="28"/>
      <c r="U336" s="27"/>
      <c r="V336" s="27"/>
      <c r="X336" s="27"/>
      <c r="Y336" s="27"/>
    </row>
    <row r="337" ht="15.75" customHeight="1">
      <c r="A337" s="9">
        <v>90301.0</v>
      </c>
      <c r="B337" s="10" t="s">
        <v>38</v>
      </c>
      <c r="C337" s="10" t="s">
        <v>361</v>
      </c>
      <c r="D337" s="11">
        <v>13.0</v>
      </c>
      <c r="E337" s="11">
        <v>1037.0</v>
      </c>
      <c r="F337" s="12">
        <f t="shared" si="5"/>
        <v>1.253616201</v>
      </c>
      <c r="G337" s="13">
        <v>77.0</v>
      </c>
      <c r="H337" s="13">
        <v>1067.0</v>
      </c>
      <c r="I337" s="12">
        <f t="shared" si="6"/>
        <v>7.216494845</v>
      </c>
      <c r="J337" s="11">
        <v>204.0</v>
      </c>
      <c r="K337" s="11">
        <v>857.0</v>
      </c>
      <c r="L337" s="12">
        <f t="shared" si="7"/>
        <v>23.80396733</v>
      </c>
      <c r="M337" s="13">
        <v>202.0</v>
      </c>
      <c r="N337" s="13">
        <v>1050.0</v>
      </c>
      <c r="O337" s="14">
        <f t="shared" si="8"/>
        <v>19.23809524</v>
      </c>
      <c r="P337" s="12">
        <f t="shared" si="9"/>
        <v>0.05266417078</v>
      </c>
      <c r="Q337" s="12">
        <f t="shared" si="10"/>
        <v>0.3751148311</v>
      </c>
      <c r="S337" s="28"/>
      <c r="T337" s="28"/>
      <c r="U337" s="27"/>
      <c r="V337" s="27"/>
      <c r="X337" s="27"/>
      <c r="Y337" s="27"/>
    </row>
    <row r="338" ht="15.75" customHeight="1">
      <c r="A338" s="9">
        <v>90302.0</v>
      </c>
      <c r="B338" s="10" t="s">
        <v>38</v>
      </c>
      <c r="C338" s="10" t="s">
        <v>362</v>
      </c>
      <c r="D338" s="11">
        <v>19.0</v>
      </c>
      <c r="E338" s="11">
        <v>864.0</v>
      </c>
      <c r="F338" s="12">
        <f t="shared" si="5"/>
        <v>2.199074074</v>
      </c>
      <c r="G338" s="13">
        <v>58.0</v>
      </c>
      <c r="H338" s="13">
        <v>1039.0</v>
      </c>
      <c r="I338" s="12">
        <f t="shared" si="6"/>
        <v>5.582290664</v>
      </c>
      <c r="J338" s="11">
        <v>230.0</v>
      </c>
      <c r="K338" s="11">
        <v>704.0</v>
      </c>
      <c r="L338" s="12">
        <f t="shared" si="7"/>
        <v>32.67045455</v>
      </c>
      <c r="M338" s="13">
        <v>250.0</v>
      </c>
      <c r="N338" s="13">
        <v>926.0</v>
      </c>
      <c r="O338" s="14">
        <f t="shared" si="8"/>
        <v>26.99784017</v>
      </c>
      <c r="P338" s="12">
        <f t="shared" si="9"/>
        <v>0.06731078905</v>
      </c>
      <c r="Q338" s="12">
        <f t="shared" si="10"/>
        <v>0.2067680462</v>
      </c>
      <c r="S338" s="28"/>
      <c r="T338" s="28"/>
      <c r="U338" s="27"/>
      <c r="V338" s="27"/>
      <c r="X338" s="27"/>
      <c r="Y338" s="27"/>
    </row>
    <row r="339" ht="15.75" customHeight="1">
      <c r="A339" s="9">
        <v>90303.0</v>
      </c>
      <c r="B339" s="10" t="s">
        <v>38</v>
      </c>
      <c r="C339" s="10" t="s">
        <v>363</v>
      </c>
      <c r="D339" s="11">
        <v>20.0</v>
      </c>
      <c r="E339" s="11">
        <v>958.0</v>
      </c>
      <c r="F339" s="12">
        <f t="shared" si="5"/>
        <v>2.087682672</v>
      </c>
      <c r="G339" s="13">
        <v>35.0</v>
      </c>
      <c r="H339" s="13">
        <v>1005.0</v>
      </c>
      <c r="I339" s="12">
        <f t="shared" si="6"/>
        <v>3.482587065</v>
      </c>
      <c r="J339" s="11">
        <v>306.0</v>
      </c>
      <c r="K339" s="11">
        <v>824.0</v>
      </c>
      <c r="L339" s="12">
        <f t="shared" si="7"/>
        <v>37.13592233</v>
      </c>
      <c r="M339" s="13">
        <v>254.0</v>
      </c>
      <c r="N339" s="13">
        <v>909.0</v>
      </c>
      <c r="O339" s="14">
        <f t="shared" si="8"/>
        <v>27.94279428</v>
      </c>
      <c r="P339" s="12">
        <f t="shared" si="9"/>
        <v>0.05621733732</v>
      </c>
      <c r="Q339" s="12">
        <f t="shared" si="10"/>
        <v>0.1246327418</v>
      </c>
      <c r="S339" s="28"/>
      <c r="T339" s="28"/>
      <c r="U339" s="27"/>
      <c r="V339" s="27"/>
      <c r="X339" s="27"/>
      <c r="Y339" s="27"/>
    </row>
    <row r="340" ht="15.75" customHeight="1">
      <c r="A340" s="9">
        <v>90401.0</v>
      </c>
      <c r="B340" s="10" t="s">
        <v>38</v>
      </c>
      <c r="C340" s="10" t="s">
        <v>364</v>
      </c>
      <c r="D340" s="11">
        <v>7.0</v>
      </c>
      <c r="E340" s="11">
        <v>348.0</v>
      </c>
      <c r="F340" s="12">
        <f t="shared" si="5"/>
        <v>2.011494253</v>
      </c>
      <c r="G340" s="13">
        <v>10.0</v>
      </c>
      <c r="H340" s="13">
        <v>278.0</v>
      </c>
      <c r="I340" s="12">
        <f t="shared" si="6"/>
        <v>3.597122302</v>
      </c>
      <c r="J340" s="11">
        <v>83.0</v>
      </c>
      <c r="K340" s="11">
        <v>208.0</v>
      </c>
      <c r="L340" s="12">
        <f t="shared" si="7"/>
        <v>39.90384615</v>
      </c>
      <c r="M340" s="13">
        <v>93.0</v>
      </c>
      <c r="N340" s="13">
        <v>226.0</v>
      </c>
      <c r="O340" s="14">
        <f t="shared" si="8"/>
        <v>41.15044248</v>
      </c>
      <c r="P340" s="12">
        <f t="shared" si="9"/>
        <v>0.05040853067</v>
      </c>
      <c r="Q340" s="12">
        <f t="shared" si="10"/>
        <v>0.08741393982</v>
      </c>
      <c r="S340" s="28"/>
      <c r="T340" s="28"/>
      <c r="U340" s="27"/>
      <c r="V340" s="27"/>
      <c r="X340" s="27"/>
      <c r="Y340" s="27"/>
    </row>
    <row r="341" ht="15.75" customHeight="1">
      <c r="A341" s="9">
        <v>90402.0</v>
      </c>
      <c r="B341" s="10" t="s">
        <v>38</v>
      </c>
      <c r="C341" s="10" t="s">
        <v>365</v>
      </c>
      <c r="D341" s="11">
        <v>1.0</v>
      </c>
      <c r="E341" s="11">
        <v>181.0</v>
      </c>
      <c r="F341" s="12">
        <f t="shared" si="5"/>
        <v>0.5524861878</v>
      </c>
      <c r="G341" s="13">
        <v>20.0</v>
      </c>
      <c r="H341" s="13">
        <v>257.0</v>
      </c>
      <c r="I341" s="12">
        <f t="shared" si="6"/>
        <v>7.782101167</v>
      </c>
      <c r="J341" s="11">
        <v>82.0</v>
      </c>
      <c r="K341" s="11">
        <v>146.0</v>
      </c>
      <c r="L341" s="12">
        <f t="shared" si="7"/>
        <v>56.16438356</v>
      </c>
      <c r="M341" s="13">
        <v>75.0</v>
      </c>
      <c r="N341" s="13">
        <v>223.0</v>
      </c>
      <c r="O341" s="14">
        <f t="shared" si="8"/>
        <v>33.632287</v>
      </c>
      <c r="P341" s="12">
        <f t="shared" si="9"/>
        <v>0.009836949198</v>
      </c>
      <c r="Q341" s="12">
        <f t="shared" si="10"/>
        <v>0.231387808</v>
      </c>
      <c r="S341" s="28"/>
      <c r="T341" s="28"/>
      <c r="U341" s="27"/>
      <c r="V341" s="27"/>
      <c r="X341" s="27"/>
      <c r="Y341" s="27"/>
    </row>
    <row r="342" ht="15.75" customHeight="1">
      <c r="A342" s="9">
        <v>90501.0</v>
      </c>
      <c r="B342" s="10" t="s">
        <v>38</v>
      </c>
      <c r="C342" s="10" t="s">
        <v>366</v>
      </c>
      <c r="D342" s="11">
        <v>12.0</v>
      </c>
      <c r="E342" s="11">
        <v>307.0</v>
      </c>
      <c r="F342" s="12">
        <f t="shared" si="5"/>
        <v>3.908794788</v>
      </c>
      <c r="G342" s="13">
        <v>7.0</v>
      </c>
      <c r="H342" s="13">
        <v>139.0</v>
      </c>
      <c r="I342" s="12">
        <f t="shared" si="6"/>
        <v>5.035971223</v>
      </c>
      <c r="J342" s="11">
        <v>60.0</v>
      </c>
      <c r="K342" s="11">
        <v>157.0</v>
      </c>
      <c r="L342" s="12">
        <f t="shared" si="7"/>
        <v>38.21656051</v>
      </c>
      <c r="M342" s="13">
        <v>38.0</v>
      </c>
      <c r="N342" s="13">
        <v>117.0</v>
      </c>
      <c r="O342" s="14">
        <f t="shared" si="8"/>
        <v>32.47863248</v>
      </c>
      <c r="P342" s="12">
        <f t="shared" si="9"/>
        <v>0.1022801303</v>
      </c>
      <c r="Q342" s="12">
        <f t="shared" si="10"/>
        <v>0.1550549034</v>
      </c>
      <c r="S342" s="28"/>
      <c r="T342" s="28"/>
      <c r="U342" s="27"/>
      <c r="V342" s="27"/>
      <c r="X342" s="27"/>
      <c r="Y342" s="27"/>
    </row>
    <row r="343" ht="15.75" customHeight="1">
      <c r="A343" s="9">
        <v>90502.0</v>
      </c>
      <c r="B343" s="10" t="s">
        <v>38</v>
      </c>
      <c r="C343" s="10" t="s">
        <v>367</v>
      </c>
      <c r="D343" s="11">
        <v>9.0</v>
      </c>
      <c r="E343" s="11">
        <v>298.0</v>
      </c>
      <c r="F343" s="12">
        <f t="shared" si="5"/>
        <v>3.020134228</v>
      </c>
      <c r="G343" s="13">
        <v>19.0</v>
      </c>
      <c r="H343" s="13">
        <v>262.0</v>
      </c>
      <c r="I343" s="12">
        <f t="shared" si="6"/>
        <v>7.251908397</v>
      </c>
      <c r="J343" s="11">
        <v>99.0</v>
      </c>
      <c r="K343" s="11">
        <v>237.0</v>
      </c>
      <c r="L343" s="12">
        <f t="shared" si="7"/>
        <v>41.7721519</v>
      </c>
      <c r="M343" s="13">
        <v>81.0</v>
      </c>
      <c r="N343" s="13">
        <v>253.0</v>
      </c>
      <c r="O343" s="14">
        <f t="shared" si="8"/>
        <v>32.01581028</v>
      </c>
      <c r="P343" s="12">
        <f t="shared" si="9"/>
        <v>0.07230018304</v>
      </c>
      <c r="Q343" s="12">
        <f t="shared" si="10"/>
        <v>0.2265102252</v>
      </c>
      <c r="S343" s="28"/>
      <c r="T343" s="28"/>
      <c r="U343" s="27"/>
      <c r="V343" s="27"/>
      <c r="X343" s="27"/>
      <c r="Y343" s="27"/>
    </row>
    <row r="344" ht="15.75" customHeight="1">
      <c r="A344" s="9">
        <v>90503.0</v>
      </c>
      <c r="B344" s="10" t="s">
        <v>38</v>
      </c>
      <c r="C344" s="10" t="s">
        <v>368</v>
      </c>
      <c r="D344" s="11">
        <v>5.0</v>
      </c>
      <c r="E344" s="11">
        <v>260.0</v>
      </c>
      <c r="F344" s="12">
        <f t="shared" si="5"/>
        <v>1.923076923</v>
      </c>
      <c r="G344" s="13">
        <v>8.0</v>
      </c>
      <c r="H344" s="13">
        <v>259.0</v>
      </c>
      <c r="I344" s="12">
        <f t="shared" si="6"/>
        <v>3.088803089</v>
      </c>
      <c r="J344" s="11">
        <v>90.0</v>
      </c>
      <c r="K344" s="11">
        <v>172.0</v>
      </c>
      <c r="L344" s="12">
        <f t="shared" si="7"/>
        <v>52.3255814</v>
      </c>
      <c r="M344" s="13">
        <v>58.0</v>
      </c>
      <c r="N344" s="13">
        <v>203.0</v>
      </c>
      <c r="O344" s="14">
        <f t="shared" si="8"/>
        <v>28.57142857</v>
      </c>
      <c r="P344" s="12">
        <f t="shared" si="9"/>
        <v>0.03675213675</v>
      </c>
      <c r="Q344" s="12">
        <f t="shared" si="10"/>
        <v>0.1081081081</v>
      </c>
      <c r="S344" s="28"/>
      <c r="T344" s="28"/>
      <c r="U344" s="27"/>
      <c r="V344" s="27"/>
      <c r="X344" s="27"/>
      <c r="Y344" s="27"/>
    </row>
    <row r="345" ht="15.75" customHeight="1">
      <c r="A345" s="32">
        <v>10.0</v>
      </c>
      <c r="B345" s="10" t="s">
        <v>40</v>
      </c>
      <c r="C345" s="10"/>
      <c r="D345" s="11">
        <f t="shared" ref="D345:E345" si="53">SUM(D246:D248)</f>
        <v>275</v>
      </c>
      <c r="E345" s="11">
        <f t="shared" si="53"/>
        <v>15685</v>
      </c>
      <c r="F345" s="12">
        <f t="shared" si="5"/>
        <v>1.753267453</v>
      </c>
      <c r="G345" s="11">
        <f t="shared" ref="G345:H345" si="54">SUM(G246:G248)</f>
        <v>609</v>
      </c>
      <c r="H345" s="11">
        <f t="shared" si="54"/>
        <v>13916</v>
      </c>
      <c r="I345" s="12">
        <f t="shared" si="6"/>
        <v>4.376257545</v>
      </c>
      <c r="J345" s="11">
        <f t="shared" ref="J345:K345" si="55">SUM(J246:J248)</f>
        <v>3022</v>
      </c>
      <c r="K345" s="11">
        <f t="shared" si="55"/>
        <v>14329</v>
      </c>
      <c r="L345" s="12">
        <f t="shared" si="7"/>
        <v>21.09009701</v>
      </c>
      <c r="M345" s="11">
        <f t="shared" ref="M345:N345" si="56">SUM(M246:M248)</f>
        <v>1923</v>
      </c>
      <c r="N345" s="11">
        <f t="shared" si="56"/>
        <v>12241</v>
      </c>
      <c r="O345" s="12">
        <f t="shared" si="8"/>
        <v>15.70950086</v>
      </c>
      <c r="P345" s="12">
        <f t="shared" si="9"/>
        <v>0.0831322612</v>
      </c>
      <c r="Q345" s="12">
        <f t="shared" si="10"/>
        <v>0.2785739397</v>
      </c>
      <c r="S345" s="28"/>
      <c r="T345" s="28"/>
      <c r="U345" s="27"/>
      <c r="V345" s="27"/>
      <c r="X345" s="27"/>
      <c r="Y345" s="27"/>
    </row>
    <row r="346" ht="15.75" customHeight="1">
      <c r="A346" s="33"/>
      <c r="B346" s="34"/>
      <c r="C346" s="34"/>
      <c r="D346" s="27"/>
      <c r="E346" s="27"/>
      <c r="F346" s="29"/>
      <c r="G346" s="27"/>
      <c r="H346" s="27"/>
      <c r="I346" s="29"/>
      <c r="J346" s="27"/>
      <c r="K346" s="27"/>
      <c r="L346" s="29"/>
      <c r="M346" s="27"/>
      <c r="N346" s="27"/>
      <c r="O346" s="29"/>
      <c r="P346" s="29"/>
      <c r="Q346" s="29"/>
      <c r="S346" s="28"/>
      <c r="T346" s="28"/>
      <c r="U346" s="27"/>
      <c r="V346" s="27"/>
      <c r="X346" s="27"/>
      <c r="Y346" s="27"/>
    </row>
    <row r="347" ht="15.75" customHeight="1">
      <c r="A347" s="33"/>
      <c r="B347" s="34"/>
      <c r="C347" s="34" t="s">
        <v>369</v>
      </c>
      <c r="D347" s="27">
        <f>AVERAGE(F1:F345)</f>
        <v>1.192822696</v>
      </c>
      <c r="E347" s="29">
        <f>D347+D348</f>
        <v>1.937198491</v>
      </c>
      <c r="F347" s="29"/>
      <c r="G347" s="27" t="s">
        <v>370</v>
      </c>
      <c r="H347" s="27">
        <f>AVERAGE(I1:I345)</f>
        <v>5.128512652</v>
      </c>
      <c r="I347" s="29">
        <f>H347+H348</f>
        <v>8.030323582</v>
      </c>
      <c r="J347" s="27">
        <f>AVERAGE(L1:L345)</f>
        <v>19.91728122</v>
      </c>
      <c r="K347" s="29">
        <f>J347+J348</f>
        <v>29.13534896</v>
      </c>
      <c r="L347" s="29"/>
      <c r="M347" s="27" t="s">
        <v>370</v>
      </c>
      <c r="N347" s="27">
        <f>AVERAGE(O1:O345)</f>
        <v>17.88164889</v>
      </c>
      <c r="O347" s="29">
        <f>N347+N348</f>
        <v>25.47682165</v>
      </c>
      <c r="P347" s="29"/>
      <c r="Q347" s="29"/>
      <c r="S347" s="28"/>
      <c r="T347" s="28"/>
      <c r="U347" s="27"/>
      <c r="V347" s="27"/>
      <c r="X347" s="27"/>
      <c r="Y347" s="27"/>
    </row>
    <row r="348" ht="15.75" customHeight="1">
      <c r="A348" s="33"/>
      <c r="B348" s="34"/>
      <c r="C348" s="34"/>
      <c r="D348" s="27">
        <f>STDEV(F1:F345)</f>
        <v>0.7443757953</v>
      </c>
      <c r="E348" s="29">
        <f>D347-D348</f>
        <v>0.4484469006</v>
      </c>
      <c r="F348" s="29"/>
      <c r="G348" s="27"/>
      <c r="H348" s="27">
        <f>STDEV(I1:I345)</f>
        <v>2.90181093</v>
      </c>
      <c r="I348" s="29">
        <f>H347-H348</f>
        <v>2.226701722</v>
      </c>
      <c r="J348" s="27">
        <f>STDEV(L1:L345)</f>
        <v>9.218067739</v>
      </c>
      <c r="K348" s="29">
        <f>J347-J348</f>
        <v>10.69921348</v>
      </c>
      <c r="L348" s="29"/>
      <c r="M348" s="27"/>
      <c r="N348" s="27">
        <f>STDEV(O1:O345)</f>
        <v>7.595172761</v>
      </c>
      <c r="O348" s="29">
        <f>N347-N348</f>
        <v>10.28647613</v>
      </c>
      <c r="P348" s="29"/>
      <c r="Q348" s="29"/>
      <c r="S348" s="28"/>
      <c r="T348" s="28"/>
      <c r="U348" s="27"/>
      <c r="V348" s="27"/>
      <c r="X348" s="27"/>
      <c r="Y348" s="27"/>
    </row>
    <row r="349" ht="15.75" customHeight="1">
      <c r="A349" s="33"/>
      <c r="B349" s="34"/>
      <c r="C349" s="34"/>
      <c r="D349" s="27"/>
      <c r="E349" s="27"/>
      <c r="F349" s="29"/>
      <c r="G349" s="27"/>
      <c r="H349" s="27"/>
      <c r="I349" s="29"/>
      <c r="J349" s="27"/>
      <c r="K349" s="27"/>
      <c r="L349" s="29"/>
      <c r="M349" s="27"/>
      <c r="N349" s="27"/>
      <c r="O349" s="29"/>
      <c r="P349" s="29"/>
      <c r="Q349" s="29"/>
      <c r="S349" s="28"/>
      <c r="T349" s="28"/>
      <c r="U349" s="27"/>
      <c r="V349" s="27"/>
      <c r="X349" s="27"/>
      <c r="Y349" s="27"/>
    </row>
    <row r="350" ht="15.75" customHeight="1">
      <c r="A350" s="33"/>
      <c r="B350" s="34"/>
      <c r="C350" s="34"/>
      <c r="D350" s="27">
        <f>COUNTIF(D1:D345,0)</f>
        <v>12</v>
      </c>
      <c r="E350" s="27"/>
      <c r="F350" s="29"/>
      <c r="G350" s="27">
        <f>COUNTIF(G1:G345,0)</f>
        <v>0</v>
      </c>
      <c r="H350" s="27"/>
      <c r="I350" s="29"/>
      <c r="J350" s="27">
        <f>COUNTIF(J1:J345,0)</f>
        <v>0</v>
      </c>
      <c r="K350" s="27"/>
      <c r="L350" s="29"/>
      <c r="M350" s="27">
        <f>COUNTIF(M1:M345,0)</f>
        <v>0</v>
      </c>
      <c r="N350" s="27"/>
      <c r="O350" s="29"/>
      <c r="P350" s="29"/>
      <c r="Q350" s="29"/>
      <c r="S350" s="28"/>
      <c r="T350" s="28"/>
      <c r="U350" s="27"/>
      <c r="V350" s="27"/>
      <c r="X350" s="27"/>
      <c r="Y350" s="27"/>
    </row>
    <row r="351" ht="15.75" customHeight="1">
      <c r="A351" s="33"/>
      <c r="B351" s="34"/>
      <c r="C351" s="34"/>
      <c r="D351" s="27"/>
      <c r="E351" s="27"/>
      <c r="F351" s="29"/>
      <c r="G351" s="27"/>
      <c r="H351" s="27"/>
      <c r="I351" s="29"/>
      <c r="J351" s="27"/>
      <c r="K351" s="27"/>
      <c r="L351" s="29"/>
      <c r="M351" s="27"/>
      <c r="N351" s="27"/>
      <c r="O351" s="29"/>
      <c r="P351" s="29"/>
      <c r="Q351" s="29"/>
      <c r="S351" s="28"/>
      <c r="T351" s="28"/>
      <c r="U351" s="27"/>
      <c r="V351" s="27"/>
      <c r="X351" s="27"/>
      <c r="Y351" s="27"/>
    </row>
    <row r="352" ht="15.75" customHeight="1">
      <c r="A352" s="33"/>
      <c r="B352" s="34"/>
      <c r="C352" s="34"/>
      <c r="D352" s="27"/>
      <c r="E352" s="27"/>
      <c r="F352" s="29"/>
      <c r="G352" s="27"/>
      <c r="H352" s="27"/>
      <c r="I352" s="29"/>
      <c r="J352" s="27"/>
      <c r="K352" s="27"/>
      <c r="L352" s="29"/>
      <c r="M352" s="27"/>
      <c r="N352" s="27"/>
      <c r="O352" s="29"/>
      <c r="P352" s="29"/>
      <c r="Q352" s="29"/>
      <c r="S352" s="28"/>
      <c r="T352" s="28"/>
      <c r="U352" s="27"/>
      <c r="V352" s="27"/>
      <c r="X352" s="27"/>
      <c r="Y352" s="27"/>
    </row>
    <row r="353" ht="15.75" customHeight="1">
      <c r="A353" s="33"/>
      <c r="B353" s="34"/>
      <c r="C353" s="34"/>
      <c r="D353" s="27"/>
      <c r="E353" s="27"/>
      <c r="F353" s="29"/>
      <c r="G353" s="27"/>
      <c r="H353" s="27"/>
      <c r="I353" s="29"/>
      <c r="J353" s="27"/>
      <c r="K353" s="27"/>
      <c r="L353" s="29"/>
      <c r="M353" s="27"/>
      <c r="N353" s="27"/>
      <c r="O353" s="29"/>
      <c r="P353" s="29"/>
      <c r="Q353" s="29"/>
      <c r="S353" s="28"/>
      <c r="T353" s="28"/>
      <c r="U353" s="27"/>
      <c r="V353" s="27"/>
      <c r="X353" s="27"/>
      <c r="Y353" s="27"/>
    </row>
    <row r="354" ht="15.75" customHeight="1">
      <c r="A354" s="33"/>
      <c r="B354" s="34"/>
      <c r="C354" s="34"/>
      <c r="D354" s="27"/>
      <c r="E354" s="27"/>
      <c r="F354" s="29"/>
      <c r="G354" s="27"/>
      <c r="H354" s="27"/>
      <c r="I354" s="29"/>
      <c r="J354" s="27"/>
      <c r="K354" s="27"/>
      <c r="L354" s="29"/>
      <c r="M354" s="27"/>
      <c r="N354" s="27"/>
      <c r="O354" s="29"/>
      <c r="P354" s="29"/>
      <c r="Q354" s="29"/>
      <c r="S354" s="28"/>
      <c r="T354" s="28"/>
      <c r="U354" s="27"/>
      <c r="V354" s="27"/>
      <c r="X354" s="27"/>
      <c r="Y354" s="27"/>
    </row>
    <row r="355" ht="15.75" customHeight="1">
      <c r="A355" s="33"/>
      <c r="B355" s="34"/>
      <c r="C355" s="34"/>
      <c r="D355" s="27"/>
      <c r="E355" s="27"/>
      <c r="F355" s="29"/>
      <c r="G355" s="27"/>
      <c r="H355" s="27"/>
      <c r="I355" s="29"/>
      <c r="J355" s="27"/>
      <c r="K355" s="27"/>
      <c r="L355" s="29"/>
      <c r="M355" s="27"/>
      <c r="N355" s="27"/>
      <c r="O355" s="29"/>
      <c r="P355" s="29"/>
      <c r="Q355" s="29"/>
      <c r="S355" s="28"/>
      <c r="T355" s="28"/>
      <c r="U355" s="27"/>
      <c r="V355" s="27"/>
      <c r="X355" s="27"/>
      <c r="Y355" s="27"/>
    </row>
    <row r="356" ht="15.75" customHeight="1">
      <c r="A356" s="33"/>
      <c r="B356" s="34"/>
      <c r="C356" s="34"/>
      <c r="D356" s="27"/>
      <c r="E356" s="27"/>
      <c r="F356" s="29"/>
      <c r="G356" s="27"/>
      <c r="H356" s="27"/>
      <c r="I356" s="29"/>
      <c r="J356" s="27"/>
      <c r="K356" s="27"/>
      <c r="L356" s="29"/>
      <c r="M356" s="27"/>
      <c r="N356" s="27"/>
      <c r="O356" s="29"/>
      <c r="P356" s="29"/>
      <c r="Q356" s="29"/>
      <c r="S356" s="28"/>
      <c r="T356" s="28"/>
      <c r="U356" s="27"/>
      <c r="V356" s="27"/>
      <c r="X356" s="27"/>
      <c r="Y356" s="27"/>
    </row>
    <row r="357" ht="15.75" customHeight="1">
      <c r="A357" s="33"/>
      <c r="B357" s="34"/>
      <c r="C357" s="34"/>
      <c r="D357" s="27"/>
      <c r="E357" s="27"/>
      <c r="F357" s="29"/>
      <c r="G357" s="27"/>
      <c r="H357" s="27"/>
      <c r="I357" s="29"/>
      <c r="J357" s="27"/>
      <c r="K357" s="27"/>
      <c r="L357" s="29"/>
      <c r="M357" s="27"/>
      <c r="N357" s="27"/>
      <c r="O357" s="29"/>
      <c r="P357" s="29"/>
      <c r="Q357" s="29"/>
      <c r="S357" s="28"/>
      <c r="T357" s="28"/>
      <c r="U357" s="27"/>
      <c r="V357" s="27"/>
      <c r="X357" s="27"/>
      <c r="Y357" s="27"/>
    </row>
    <row r="358" ht="15.75" customHeight="1">
      <c r="A358" s="33"/>
      <c r="B358" s="34"/>
      <c r="C358" s="34"/>
      <c r="D358" s="27"/>
      <c r="E358" s="27"/>
      <c r="F358" s="29"/>
      <c r="G358" s="27"/>
      <c r="H358" s="27"/>
      <c r="I358" s="29"/>
      <c r="J358" s="27"/>
      <c r="K358" s="27"/>
      <c r="L358" s="29"/>
      <c r="M358" s="27"/>
      <c r="N358" s="27"/>
      <c r="O358" s="29"/>
      <c r="P358" s="29"/>
      <c r="Q358" s="29"/>
      <c r="S358" s="28"/>
      <c r="T358" s="28"/>
      <c r="U358" s="27"/>
      <c r="V358" s="27"/>
      <c r="X358" s="27"/>
      <c r="Y358" s="27"/>
    </row>
    <row r="359" ht="15.75" customHeight="1">
      <c r="A359" s="33"/>
      <c r="B359" s="34"/>
      <c r="C359" s="34"/>
      <c r="D359" s="27"/>
      <c r="E359" s="27"/>
      <c r="F359" s="29"/>
      <c r="G359" s="27"/>
      <c r="H359" s="27"/>
      <c r="I359" s="29"/>
      <c r="J359" s="27"/>
      <c r="K359" s="27"/>
      <c r="L359" s="29"/>
      <c r="M359" s="27"/>
      <c r="N359" s="27"/>
      <c r="O359" s="29"/>
      <c r="P359" s="29"/>
      <c r="Q359" s="29"/>
      <c r="S359" s="28"/>
      <c r="T359" s="28"/>
      <c r="U359" s="27"/>
      <c r="V359" s="27"/>
      <c r="X359" s="27"/>
      <c r="Y359" s="27"/>
    </row>
    <row r="360" ht="15.75" customHeight="1">
      <c r="A360" s="33"/>
      <c r="B360" s="34"/>
      <c r="C360" s="34"/>
      <c r="D360" s="27"/>
      <c r="E360" s="27"/>
      <c r="F360" s="29"/>
      <c r="G360" s="27"/>
      <c r="H360" s="27"/>
      <c r="I360" s="29"/>
      <c r="J360" s="27"/>
      <c r="K360" s="27"/>
      <c r="L360" s="29"/>
      <c r="M360" s="27"/>
      <c r="N360" s="27"/>
      <c r="O360" s="29"/>
      <c r="P360" s="29"/>
      <c r="Q360" s="29"/>
      <c r="S360" s="28"/>
      <c r="T360" s="28"/>
      <c r="U360" s="27"/>
      <c r="V360" s="27"/>
      <c r="X360" s="27"/>
      <c r="Y360" s="27"/>
    </row>
    <row r="361" ht="15.75" customHeight="1">
      <c r="A361" s="33"/>
      <c r="B361" s="34"/>
      <c r="C361" s="34"/>
      <c r="D361" s="27"/>
      <c r="E361" s="27"/>
      <c r="F361" s="29"/>
      <c r="G361" s="27"/>
      <c r="H361" s="27"/>
      <c r="I361" s="29"/>
      <c r="J361" s="27"/>
      <c r="K361" s="27"/>
      <c r="L361" s="29"/>
      <c r="M361" s="27"/>
      <c r="N361" s="27"/>
      <c r="O361" s="29"/>
      <c r="P361" s="29"/>
      <c r="Q361" s="29"/>
      <c r="S361" s="28"/>
      <c r="T361" s="28"/>
      <c r="U361" s="27"/>
      <c r="V361" s="27"/>
      <c r="X361" s="27"/>
      <c r="Y361" s="27"/>
    </row>
    <row r="362" ht="15.75" customHeight="1">
      <c r="A362" s="33"/>
      <c r="B362" s="34"/>
      <c r="C362" s="34"/>
      <c r="D362" s="27"/>
      <c r="E362" s="27"/>
      <c r="F362" s="29"/>
      <c r="G362" s="27"/>
      <c r="H362" s="27"/>
      <c r="I362" s="29"/>
      <c r="J362" s="27"/>
      <c r="K362" s="27"/>
      <c r="L362" s="29"/>
      <c r="M362" s="27"/>
      <c r="N362" s="27"/>
      <c r="O362" s="29"/>
      <c r="P362" s="29"/>
      <c r="Q362" s="29"/>
      <c r="S362" s="28"/>
      <c r="T362" s="28"/>
      <c r="U362" s="27"/>
      <c r="V362" s="27"/>
      <c r="X362" s="27"/>
      <c r="Y362" s="27"/>
    </row>
    <row r="363" ht="15.75" customHeight="1">
      <c r="A363" s="33"/>
      <c r="B363" s="34"/>
      <c r="C363" s="34"/>
      <c r="D363" s="27"/>
      <c r="E363" s="27"/>
      <c r="F363" s="29"/>
      <c r="G363" s="27"/>
      <c r="H363" s="27"/>
      <c r="I363" s="29"/>
      <c r="J363" s="27"/>
      <c r="K363" s="27"/>
      <c r="L363" s="29"/>
      <c r="M363" s="27"/>
      <c r="N363" s="27"/>
      <c r="O363" s="29"/>
      <c r="P363" s="29"/>
      <c r="Q363" s="29"/>
      <c r="S363" s="28"/>
      <c r="T363" s="28"/>
      <c r="U363" s="27"/>
      <c r="V363" s="27"/>
      <c r="X363" s="27"/>
      <c r="Y363" s="27"/>
    </row>
    <row r="364" ht="15.75" customHeight="1">
      <c r="A364" s="33"/>
      <c r="B364" s="34"/>
      <c r="C364" s="34"/>
      <c r="D364" s="27"/>
      <c r="E364" s="27"/>
      <c r="F364" s="29"/>
      <c r="G364" s="27"/>
      <c r="H364" s="27"/>
      <c r="I364" s="29"/>
      <c r="J364" s="27"/>
      <c r="K364" s="27"/>
      <c r="L364" s="29"/>
      <c r="M364" s="27"/>
      <c r="N364" s="27"/>
      <c r="O364" s="29"/>
      <c r="P364" s="29"/>
      <c r="Q364" s="29"/>
      <c r="S364" s="28"/>
      <c r="T364" s="28"/>
      <c r="U364" s="27"/>
      <c r="V364" s="27"/>
      <c r="X364" s="27"/>
      <c r="Y364" s="27"/>
    </row>
    <row r="365" ht="15.75" customHeight="1">
      <c r="A365" s="33"/>
      <c r="B365" s="34"/>
      <c r="C365" s="34"/>
      <c r="D365" s="27"/>
      <c r="E365" s="27"/>
      <c r="F365" s="29"/>
      <c r="G365" s="27"/>
      <c r="H365" s="27"/>
      <c r="I365" s="29"/>
      <c r="J365" s="27"/>
      <c r="K365" s="27"/>
      <c r="L365" s="29"/>
      <c r="M365" s="27"/>
      <c r="N365" s="27"/>
      <c r="O365" s="29"/>
      <c r="P365" s="29"/>
      <c r="Q365" s="29"/>
      <c r="S365" s="28"/>
      <c r="T365" s="28"/>
      <c r="U365" s="27"/>
      <c r="V365" s="27"/>
      <c r="X365" s="27"/>
      <c r="Y365" s="27"/>
    </row>
    <row r="366" ht="15.75" customHeight="1">
      <c r="A366" s="33"/>
      <c r="B366" s="34"/>
      <c r="C366" s="34"/>
      <c r="D366" s="27"/>
      <c r="E366" s="27"/>
      <c r="F366" s="29"/>
      <c r="G366" s="27"/>
      <c r="H366" s="27"/>
      <c r="I366" s="29"/>
      <c r="J366" s="27"/>
      <c r="K366" s="27"/>
      <c r="L366" s="29"/>
      <c r="M366" s="27"/>
      <c r="N366" s="27"/>
      <c r="O366" s="29"/>
      <c r="P366" s="29"/>
      <c r="Q366" s="29"/>
      <c r="S366" s="28"/>
      <c r="T366" s="28"/>
      <c r="U366" s="27"/>
      <c r="V366" s="27"/>
      <c r="X366" s="27"/>
      <c r="Y366" s="27"/>
    </row>
    <row r="367" ht="15.75" customHeight="1">
      <c r="A367" s="33"/>
      <c r="B367" s="34"/>
      <c r="C367" s="34"/>
      <c r="D367" s="27"/>
      <c r="E367" s="27"/>
      <c r="F367" s="29"/>
      <c r="G367" s="27"/>
      <c r="H367" s="27"/>
      <c r="I367" s="29"/>
      <c r="J367" s="27"/>
      <c r="K367" s="27"/>
      <c r="L367" s="29"/>
      <c r="M367" s="27"/>
      <c r="N367" s="27"/>
      <c r="O367" s="29"/>
      <c r="P367" s="29"/>
      <c r="Q367" s="29"/>
      <c r="S367" s="28"/>
      <c r="T367" s="28"/>
      <c r="U367" s="27"/>
      <c r="V367" s="27"/>
      <c r="X367" s="27"/>
      <c r="Y367" s="27"/>
    </row>
    <row r="368" ht="15.75" customHeight="1">
      <c r="A368" s="33"/>
      <c r="B368" s="34"/>
      <c r="C368" s="34"/>
      <c r="D368" s="27"/>
      <c r="E368" s="27"/>
      <c r="F368" s="29"/>
      <c r="G368" s="27"/>
      <c r="H368" s="27"/>
      <c r="I368" s="29"/>
      <c r="J368" s="27"/>
      <c r="K368" s="27"/>
      <c r="L368" s="29"/>
      <c r="M368" s="27"/>
      <c r="N368" s="27"/>
      <c r="O368" s="29"/>
      <c r="P368" s="29"/>
      <c r="Q368" s="29"/>
      <c r="S368" s="28"/>
      <c r="T368" s="28"/>
      <c r="U368" s="27"/>
      <c r="V368" s="27"/>
      <c r="X368" s="27"/>
      <c r="Y368" s="27"/>
    </row>
    <row r="369" ht="15.75" customHeight="1">
      <c r="A369" s="33"/>
      <c r="B369" s="34"/>
      <c r="C369" s="34"/>
      <c r="D369" s="27"/>
      <c r="E369" s="27"/>
      <c r="F369" s="29"/>
      <c r="G369" s="27"/>
      <c r="H369" s="27"/>
      <c r="I369" s="29"/>
      <c r="J369" s="27"/>
      <c r="K369" s="27"/>
      <c r="L369" s="29"/>
      <c r="M369" s="27"/>
      <c r="N369" s="27"/>
      <c r="O369" s="29"/>
      <c r="P369" s="29"/>
      <c r="Q369" s="29"/>
      <c r="S369" s="28"/>
      <c r="T369" s="28"/>
      <c r="U369" s="27"/>
      <c r="V369" s="27"/>
      <c r="X369" s="27"/>
      <c r="Y369" s="27"/>
    </row>
    <row r="370" ht="15.75" customHeight="1">
      <c r="A370" s="33"/>
      <c r="B370" s="34"/>
      <c r="C370" s="34"/>
      <c r="D370" s="27"/>
      <c r="E370" s="27"/>
      <c r="F370" s="29"/>
      <c r="G370" s="27"/>
      <c r="H370" s="27"/>
      <c r="I370" s="29"/>
      <c r="J370" s="27"/>
      <c r="K370" s="27"/>
      <c r="L370" s="29"/>
      <c r="M370" s="27"/>
      <c r="N370" s="27"/>
      <c r="O370" s="29"/>
      <c r="P370" s="29"/>
      <c r="Q370" s="29"/>
      <c r="S370" s="28"/>
      <c r="T370" s="28"/>
      <c r="U370" s="27"/>
      <c r="V370" s="27"/>
      <c r="X370" s="27"/>
      <c r="Y370" s="27"/>
    </row>
    <row r="371" ht="15.75" customHeight="1">
      <c r="A371" s="33"/>
      <c r="B371" s="34"/>
      <c r="C371" s="34"/>
      <c r="D371" s="27"/>
      <c r="E371" s="27"/>
      <c r="F371" s="29"/>
      <c r="G371" s="27"/>
      <c r="H371" s="27"/>
      <c r="I371" s="29"/>
      <c r="J371" s="27"/>
      <c r="K371" s="27"/>
      <c r="L371" s="29"/>
      <c r="M371" s="27"/>
      <c r="N371" s="27"/>
      <c r="O371" s="29"/>
      <c r="P371" s="29"/>
      <c r="Q371" s="29"/>
      <c r="S371" s="28"/>
      <c r="T371" s="28"/>
      <c r="U371" s="27"/>
      <c r="V371" s="27"/>
      <c r="X371" s="27"/>
      <c r="Y371" s="27"/>
    </row>
    <row r="372" ht="15.75" customHeight="1">
      <c r="A372" s="33"/>
      <c r="B372" s="34"/>
      <c r="C372" s="34"/>
      <c r="D372" s="27"/>
      <c r="E372" s="27"/>
      <c r="F372" s="29"/>
      <c r="G372" s="27"/>
      <c r="H372" s="27"/>
      <c r="I372" s="29"/>
      <c r="J372" s="27"/>
      <c r="K372" s="27"/>
      <c r="L372" s="29"/>
      <c r="M372" s="27"/>
      <c r="N372" s="27"/>
      <c r="O372" s="29"/>
      <c r="P372" s="29"/>
      <c r="Q372" s="29"/>
      <c r="S372" s="28"/>
      <c r="T372" s="28"/>
      <c r="U372" s="27"/>
      <c r="V372" s="27"/>
      <c r="X372" s="27"/>
      <c r="Y372" s="27"/>
    </row>
    <row r="373" ht="15.75" customHeight="1">
      <c r="A373" s="33"/>
      <c r="B373" s="34"/>
      <c r="C373" s="34"/>
      <c r="D373" s="27"/>
      <c r="E373" s="27"/>
      <c r="F373" s="29"/>
      <c r="G373" s="27"/>
      <c r="H373" s="27"/>
      <c r="I373" s="29"/>
      <c r="J373" s="27"/>
      <c r="K373" s="27"/>
      <c r="L373" s="29"/>
      <c r="M373" s="27"/>
      <c r="N373" s="27"/>
      <c r="O373" s="29"/>
      <c r="P373" s="29"/>
      <c r="Q373" s="29"/>
      <c r="S373" s="28"/>
      <c r="T373" s="28"/>
      <c r="U373" s="27"/>
      <c r="V373" s="27"/>
      <c r="X373" s="27"/>
      <c r="Y373" s="27"/>
    </row>
    <row r="374" ht="15.75" customHeight="1">
      <c r="A374" s="33"/>
      <c r="B374" s="34"/>
      <c r="C374" s="34"/>
      <c r="D374" s="27"/>
      <c r="E374" s="27"/>
      <c r="F374" s="29"/>
      <c r="G374" s="27"/>
      <c r="H374" s="27"/>
      <c r="I374" s="29"/>
      <c r="J374" s="27"/>
      <c r="K374" s="27"/>
      <c r="L374" s="29"/>
      <c r="M374" s="27"/>
      <c r="N374" s="27"/>
      <c r="O374" s="29"/>
      <c r="P374" s="29"/>
      <c r="Q374" s="29"/>
      <c r="S374" s="28"/>
      <c r="T374" s="28"/>
      <c r="U374" s="27"/>
      <c r="V374" s="27"/>
      <c r="X374" s="27"/>
      <c r="Y374" s="27"/>
    </row>
    <row r="375" ht="15.75" customHeight="1">
      <c r="A375" s="33"/>
      <c r="B375" s="34"/>
      <c r="C375" s="34"/>
      <c r="D375" s="27"/>
      <c r="E375" s="27"/>
      <c r="F375" s="29"/>
      <c r="G375" s="27"/>
      <c r="H375" s="27"/>
      <c r="I375" s="29"/>
      <c r="J375" s="27"/>
      <c r="K375" s="27"/>
      <c r="L375" s="29"/>
      <c r="M375" s="27"/>
      <c r="N375" s="27"/>
      <c r="O375" s="29"/>
      <c r="P375" s="29"/>
      <c r="Q375" s="29"/>
      <c r="S375" s="28"/>
      <c r="T375" s="28"/>
      <c r="U375" s="27"/>
      <c r="V375" s="27"/>
      <c r="X375" s="27"/>
      <c r="Y375" s="27"/>
    </row>
    <row r="376" ht="15.75" customHeight="1">
      <c r="A376" s="33"/>
      <c r="B376" s="34"/>
      <c r="C376" s="34"/>
      <c r="D376" s="27"/>
      <c r="E376" s="27"/>
      <c r="F376" s="29"/>
      <c r="G376" s="27"/>
      <c r="H376" s="27"/>
      <c r="I376" s="29"/>
      <c r="J376" s="27"/>
      <c r="K376" s="27"/>
      <c r="L376" s="29"/>
      <c r="M376" s="27"/>
      <c r="N376" s="27"/>
      <c r="O376" s="29"/>
      <c r="P376" s="29"/>
      <c r="Q376" s="29"/>
      <c r="S376" s="28"/>
      <c r="T376" s="28"/>
      <c r="U376" s="27"/>
      <c r="V376" s="27"/>
      <c r="X376" s="27"/>
      <c r="Y376" s="27"/>
    </row>
    <row r="377" ht="15.75" customHeight="1">
      <c r="A377" s="33"/>
      <c r="B377" s="34"/>
      <c r="C377" s="34"/>
      <c r="D377" s="27"/>
      <c r="E377" s="27"/>
      <c r="F377" s="29"/>
      <c r="G377" s="27"/>
      <c r="H377" s="27"/>
      <c r="I377" s="29"/>
      <c r="J377" s="27"/>
      <c r="K377" s="27"/>
      <c r="L377" s="29"/>
      <c r="M377" s="27"/>
      <c r="N377" s="27"/>
      <c r="O377" s="29"/>
      <c r="P377" s="29"/>
      <c r="Q377" s="29"/>
      <c r="S377" s="28"/>
      <c r="T377" s="28"/>
      <c r="U377" s="27"/>
      <c r="V377" s="27"/>
      <c r="X377" s="27"/>
      <c r="Y377" s="27"/>
    </row>
    <row r="378" ht="15.75" customHeight="1">
      <c r="A378" s="33"/>
      <c r="B378" s="34"/>
      <c r="C378" s="34"/>
      <c r="D378" s="27"/>
      <c r="E378" s="27"/>
      <c r="F378" s="29"/>
      <c r="G378" s="27"/>
      <c r="H378" s="27"/>
      <c r="I378" s="29"/>
      <c r="J378" s="27"/>
      <c r="K378" s="27"/>
      <c r="L378" s="29"/>
      <c r="M378" s="27"/>
      <c r="N378" s="27"/>
      <c r="O378" s="29"/>
      <c r="P378" s="29"/>
      <c r="Q378" s="29"/>
      <c r="S378" s="28"/>
      <c r="T378" s="28"/>
      <c r="U378" s="27"/>
      <c r="V378" s="27"/>
      <c r="X378" s="27"/>
      <c r="Y378" s="27"/>
    </row>
    <row r="379" ht="15.75" customHeight="1">
      <c r="A379" s="33"/>
      <c r="B379" s="34"/>
      <c r="C379" s="34"/>
      <c r="D379" s="27"/>
      <c r="E379" s="27"/>
      <c r="F379" s="29"/>
      <c r="G379" s="27"/>
      <c r="H379" s="27"/>
      <c r="I379" s="29"/>
      <c r="J379" s="27"/>
      <c r="K379" s="27"/>
      <c r="L379" s="29"/>
      <c r="M379" s="27"/>
      <c r="N379" s="27"/>
      <c r="O379" s="29"/>
      <c r="P379" s="29"/>
      <c r="Q379" s="29"/>
      <c r="S379" s="28"/>
      <c r="T379" s="28"/>
      <c r="U379" s="27"/>
      <c r="V379" s="27"/>
      <c r="X379" s="27"/>
      <c r="Y379" s="27"/>
    </row>
    <row r="380" ht="15.75" customHeight="1">
      <c r="A380" s="33"/>
      <c r="B380" s="34"/>
      <c r="C380" s="34"/>
      <c r="D380" s="27"/>
      <c r="E380" s="27"/>
      <c r="F380" s="29"/>
      <c r="G380" s="27"/>
      <c r="H380" s="27"/>
      <c r="I380" s="29"/>
      <c r="J380" s="27"/>
      <c r="K380" s="27"/>
      <c r="L380" s="29"/>
      <c r="M380" s="27"/>
      <c r="N380" s="27"/>
      <c r="O380" s="29"/>
      <c r="P380" s="29"/>
      <c r="Q380" s="29"/>
      <c r="S380" s="28"/>
      <c r="T380" s="28"/>
      <c r="U380" s="27"/>
      <c r="V380" s="27"/>
      <c r="X380" s="27"/>
      <c r="Y380" s="27"/>
    </row>
    <row r="381" ht="15.75" customHeight="1">
      <c r="A381" s="33"/>
      <c r="B381" s="34"/>
      <c r="C381" s="34"/>
      <c r="D381" s="27"/>
      <c r="E381" s="27"/>
      <c r="F381" s="29"/>
      <c r="G381" s="27"/>
      <c r="H381" s="27"/>
      <c r="I381" s="29"/>
      <c r="J381" s="27"/>
      <c r="K381" s="27"/>
      <c r="L381" s="29"/>
      <c r="M381" s="27"/>
      <c r="N381" s="27"/>
      <c r="O381" s="29"/>
      <c r="P381" s="29"/>
      <c r="Q381" s="29"/>
      <c r="S381" s="28"/>
      <c r="T381" s="28"/>
      <c r="U381" s="27"/>
      <c r="V381" s="27"/>
      <c r="X381" s="27"/>
      <c r="Y381" s="27"/>
    </row>
    <row r="382" ht="15.75" customHeight="1">
      <c r="A382" s="33"/>
      <c r="B382" s="34"/>
      <c r="C382" s="34"/>
      <c r="D382" s="27"/>
      <c r="E382" s="27"/>
      <c r="F382" s="29"/>
      <c r="G382" s="27"/>
      <c r="H382" s="27"/>
      <c r="I382" s="29"/>
      <c r="J382" s="27"/>
      <c r="K382" s="27"/>
      <c r="L382" s="29"/>
      <c r="M382" s="27"/>
      <c r="N382" s="27"/>
      <c r="O382" s="29"/>
      <c r="P382" s="29"/>
      <c r="Q382" s="29"/>
      <c r="S382" s="28"/>
      <c r="T382" s="28"/>
      <c r="U382" s="27"/>
      <c r="V382" s="27"/>
      <c r="X382" s="27"/>
      <c r="Y382" s="27"/>
    </row>
    <row r="383" ht="15.75" customHeight="1">
      <c r="A383" s="33"/>
      <c r="B383" s="34"/>
      <c r="C383" s="34"/>
      <c r="D383" s="27"/>
      <c r="E383" s="27"/>
      <c r="F383" s="29"/>
      <c r="G383" s="27"/>
      <c r="H383" s="27"/>
      <c r="I383" s="29"/>
      <c r="J383" s="27"/>
      <c r="K383" s="27"/>
      <c r="L383" s="29"/>
      <c r="M383" s="27"/>
      <c r="N383" s="27"/>
      <c r="O383" s="29"/>
      <c r="P383" s="29"/>
      <c r="Q383" s="29"/>
      <c r="S383" s="28"/>
      <c r="T383" s="28"/>
      <c r="U383" s="27"/>
      <c r="V383" s="27"/>
      <c r="X383" s="27"/>
      <c r="Y383" s="27"/>
    </row>
    <row r="384" ht="15.75" customHeight="1">
      <c r="A384" s="33"/>
      <c r="B384" s="34"/>
      <c r="C384" s="34"/>
      <c r="D384" s="27"/>
      <c r="E384" s="27"/>
      <c r="F384" s="29"/>
      <c r="G384" s="27"/>
      <c r="H384" s="27"/>
      <c r="I384" s="29"/>
      <c r="J384" s="27"/>
      <c r="K384" s="27"/>
      <c r="L384" s="29"/>
      <c r="M384" s="27"/>
      <c r="N384" s="27"/>
      <c r="O384" s="29"/>
      <c r="P384" s="29"/>
      <c r="Q384" s="29"/>
      <c r="S384" s="28"/>
      <c r="T384" s="28"/>
      <c r="U384" s="27"/>
      <c r="V384" s="27"/>
      <c r="X384" s="27"/>
      <c r="Y384" s="27"/>
    </row>
    <row r="385" ht="15.75" customHeight="1">
      <c r="A385" s="33"/>
      <c r="B385" s="34"/>
      <c r="C385" s="34"/>
      <c r="D385" s="27"/>
      <c r="E385" s="27"/>
      <c r="F385" s="29"/>
      <c r="G385" s="27"/>
      <c r="H385" s="27"/>
      <c r="I385" s="29"/>
      <c r="J385" s="27"/>
      <c r="K385" s="27"/>
      <c r="L385" s="29"/>
      <c r="M385" s="27"/>
      <c r="N385" s="27"/>
      <c r="O385" s="29"/>
      <c r="P385" s="29"/>
      <c r="Q385" s="29"/>
      <c r="S385" s="28"/>
      <c r="T385" s="28"/>
      <c r="U385" s="27"/>
      <c r="V385" s="27"/>
      <c r="X385" s="27"/>
      <c r="Y385" s="27"/>
    </row>
    <row r="386" ht="15.75" customHeight="1">
      <c r="A386" s="33"/>
      <c r="B386" s="34"/>
      <c r="C386" s="34"/>
      <c r="D386" s="27"/>
      <c r="E386" s="27"/>
      <c r="F386" s="29"/>
      <c r="G386" s="27"/>
      <c r="H386" s="27"/>
      <c r="I386" s="29"/>
      <c r="J386" s="27"/>
      <c r="K386" s="27"/>
      <c r="L386" s="29"/>
      <c r="M386" s="27"/>
      <c r="N386" s="27"/>
      <c r="O386" s="29"/>
      <c r="P386" s="29"/>
      <c r="Q386" s="29"/>
      <c r="S386" s="28"/>
      <c r="T386" s="28"/>
      <c r="U386" s="27"/>
      <c r="V386" s="27"/>
      <c r="X386" s="27"/>
      <c r="Y386" s="27"/>
    </row>
    <row r="387" ht="15.75" customHeight="1">
      <c r="A387" s="33"/>
      <c r="B387" s="34"/>
      <c r="C387" s="34"/>
      <c r="D387" s="27"/>
      <c r="E387" s="27"/>
      <c r="F387" s="29"/>
      <c r="G387" s="27"/>
      <c r="H387" s="27"/>
      <c r="I387" s="29"/>
      <c r="J387" s="27"/>
      <c r="K387" s="27"/>
      <c r="L387" s="29"/>
      <c r="M387" s="27"/>
      <c r="N387" s="27"/>
      <c r="O387" s="29"/>
      <c r="P387" s="29"/>
      <c r="Q387" s="29"/>
      <c r="S387" s="28"/>
      <c r="T387" s="28"/>
      <c r="U387" s="27"/>
      <c r="V387" s="27"/>
      <c r="X387" s="27"/>
      <c r="Y387" s="27"/>
    </row>
    <row r="388" ht="15.75" customHeight="1">
      <c r="A388" s="33"/>
      <c r="B388" s="34"/>
      <c r="C388" s="34"/>
      <c r="D388" s="27"/>
      <c r="E388" s="27"/>
      <c r="F388" s="29"/>
      <c r="G388" s="27"/>
      <c r="H388" s="27"/>
      <c r="I388" s="29"/>
      <c r="J388" s="27"/>
      <c r="K388" s="27"/>
      <c r="L388" s="29"/>
      <c r="M388" s="27"/>
      <c r="N388" s="27"/>
      <c r="O388" s="29"/>
      <c r="P388" s="29"/>
      <c r="Q388" s="29"/>
      <c r="S388" s="28"/>
      <c r="T388" s="28"/>
      <c r="U388" s="27"/>
      <c r="V388" s="27"/>
      <c r="X388" s="27"/>
      <c r="Y388" s="27"/>
    </row>
    <row r="389" ht="15.75" customHeight="1">
      <c r="A389" s="33"/>
      <c r="B389" s="34"/>
      <c r="C389" s="34"/>
      <c r="D389" s="27"/>
      <c r="E389" s="27"/>
      <c r="F389" s="29"/>
      <c r="G389" s="27"/>
      <c r="H389" s="27"/>
      <c r="I389" s="29"/>
      <c r="J389" s="27"/>
      <c r="K389" s="27"/>
      <c r="L389" s="29"/>
      <c r="M389" s="27"/>
      <c r="N389" s="27"/>
      <c r="O389" s="29"/>
      <c r="P389" s="29"/>
      <c r="Q389" s="29"/>
      <c r="S389" s="28"/>
      <c r="T389" s="28"/>
      <c r="U389" s="27"/>
      <c r="V389" s="27"/>
      <c r="X389" s="27"/>
      <c r="Y389" s="27"/>
    </row>
    <row r="390" ht="15.75" customHeight="1">
      <c r="A390" s="33"/>
      <c r="B390" s="34"/>
      <c r="C390" s="34"/>
      <c r="D390" s="27"/>
      <c r="E390" s="27"/>
      <c r="F390" s="29"/>
      <c r="G390" s="27"/>
      <c r="H390" s="27"/>
      <c r="I390" s="29"/>
      <c r="J390" s="27"/>
      <c r="K390" s="27"/>
      <c r="L390" s="29"/>
      <c r="M390" s="27"/>
      <c r="N390" s="27"/>
      <c r="O390" s="29"/>
      <c r="P390" s="29"/>
      <c r="Q390" s="29"/>
      <c r="S390" s="28"/>
      <c r="T390" s="28"/>
      <c r="U390" s="27"/>
      <c r="V390" s="27"/>
      <c r="X390" s="27"/>
      <c r="Y390" s="27"/>
    </row>
    <row r="391" ht="15.75" customHeight="1">
      <c r="A391" s="33"/>
      <c r="B391" s="34"/>
      <c r="C391" s="34"/>
      <c r="D391" s="27"/>
      <c r="E391" s="27"/>
      <c r="F391" s="29"/>
      <c r="G391" s="27"/>
      <c r="H391" s="27"/>
      <c r="I391" s="29"/>
      <c r="J391" s="27"/>
      <c r="K391" s="27"/>
      <c r="L391" s="29"/>
      <c r="M391" s="27"/>
      <c r="N391" s="27"/>
      <c r="O391" s="29"/>
      <c r="P391" s="29"/>
      <c r="Q391" s="29"/>
      <c r="S391" s="28"/>
      <c r="T391" s="28"/>
      <c r="U391" s="27"/>
      <c r="V391" s="27"/>
      <c r="X391" s="27"/>
      <c r="Y391" s="27"/>
    </row>
    <row r="392" ht="15.75" customHeight="1">
      <c r="A392" s="33"/>
      <c r="B392" s="34"/>
      <c r="C392" s="34"/>
      <c r="D392" s="27"/>
      <c r="E392" s="27"/>
      <c r="F392" s="29"/>
      <c r="G392" s="27"/>
      <c r="H392" s="27"/>
      <c r="I392" s="29"/>
      <c r="J392" s="27"/>
      <c r="K392" s="27"/>
      <c r="L392" s="29"/>
      <c r="M392" s="27"/>
      <c r="N392" s="27"/>
      <c r="O392" s="29"/>
      <c r="P392" s="29"/>
      <c r="Q392" s="29"/>
      <c r="S392" s="28"/>
      <c r="T392" s="28"/>
      <c r="U392" s="27"/>
      <c r="V392" s="27"/>
      <c r="X392" s="27"/>
      <c r="Y392" s="27"/>
    </row>
    <row r="393" ht="15.75" customHeight="1">
      <c r="A393" s="33"/>
      <c r="B393" s="34"/>
      <c r="C393" s="34"/>
      <c r="D393" s="27"/>
      <c r="E393" s="27"/>
      <c r="F393" s="29"/>
      <c r="G393" s="27"/>
      <c r="H393" s="27"/>
      <c r="I393" s="29"/>
      <c r="J393" s="27"/>
      <c r="K393" s="27"/>
      <c r="L393" s="29"/>
      <c r="M393" s="27"/>
      <c r="N393" s="27"/>
      <c r="O393" s="29"/>
      <c r="P393" s="29"/>
      <c r="Q393" s="29"/>
      <c r="S393" s="28"/>
      <c r="T393" s="28"/>
      <c r="U393" s="27"/>
      <c r="V393" s="27"/>
      <c r="X393" s="27"/>
      <c r="Y393" s="27"/>
    </row>
    <row r="394" ht="15.75" customHeight="1">
      <c r="A394" s="33"/>
      <c r="B394" s="34"/>
      <c r="C394" s="34"/>
      <c r="D394" s="27"/>
      <c r="E394" s="27"/>
      <c r="F394" s="29"/>
      <c r="G394" s="27"/>
      <c r="H394" s="27"/>
      <c r="I394" s="29"/>
      <c r="J394" s="27"/>
      <c r="K394" s="27"/>
      <c r="L394" s="29"/>
      <c r="M394" s="27"/>
      <c r="N394" s="27"/>
      <c r="O394" s="29"/>
      <c r="P394" s="29"/>
      <c r="Q394" s="29"/>
      <c r="S394" s="28"/>
      <c r="T394" s="28"/>
      <c r="U394" s="27"/>
      <c r="V394" s="27"/>
      <c r="X394" s="27"/>
      <c r="Y394" s="27"/>
    </row>
    <row r="395" ht="15.75" customHeight="1">
      <c r="A395" s="33"/>
      <c r="B395" s="34"/>
      <c r="C395" s="34"/>
      <c r="D395" s="27"/>
      <c r="E395" s="27"/>
      <c r="F395" s="29"/>
      <c r="G395" s="27"/>
      <c r="H395" s="27"/>
      <c r="I395" s="29"/>
      <c r="J395" s="27"/>
      <c r="K395" s="27"/>
      <c r="L395" s="29"/>
      <c r="M395" s="27"/>
      <c r="N395" s="27"/>
      <c r="O395" s="29"/>
      <c r="P395" s="29"/>
      <c r="Q395" s="29"/>
      <c r="S395" s="28"/>
      <c r="T395" s="28"/>
      <c r="U395" s="27"/>
      <c r="V395" s="27"/>
      <c r="X395" s="27"/>
      <c r="Y395" s="27"/>
    </row>
    <row r="396" ht="15.75" customHeight="1">
      <c r="A396" s="33"/>
      <c r="B396" s="34"/>
      <c r="C396" s="34"/>
      <c r="D396" s="27"/>
      <c r="E396" s="27"/>
      <c r="F396" s="29"/>
      <c r="G396" s="27"/>
      <c r="H396" s="27"/>
      <c r="I396" s="29"/>
      <c r="J396" s="27"/>
      <c r="K396" s="27"/>
      <c r="L396" s="29"/>
      <c r="M396" s="27"/>
      <c r="N396" s="27"/>
      <c r="O396" s="29"/>
      <c r="P396" s="29"/>
      <c r="Q396" s="29"/>
      <c r="S396" s="28"/>
      <c r="T396" s="28"/>
      <c r="U396" s="27"/>
      <c r="V396" s="27"/>
      <c r="X396" s="27"/>
      <c r="Y396" s="27"/>
    </row>
    <row r="397" ht="15.75" customHeight="1">
      <c r="A397" s="33"/>
      <c r="B397" s="34"/>
      <c r="C397" s="34"/>
      <c r="D397" s="27"/>
      <c r="E397" s="27"/>
      <c r="F397" s="29"/>
      <c r="G397" s="27"/>
      <c r="H397" s="27"/>
      <c r="I397" s="29"/>
      <c r="J397" s="27"/>
      <c r="K397" s="27"/>
      <c r="L397" s="29"/>
      <c r="M397" s="27"/>
      <c r="N397" s="27"/>
      <c r="O397" s="29"/>
      <c r="P397" s="29"/>
      <c r="Q397" s="29"/>
      <c r="S397" s="28"/>
      <c r="T397" s="28"/>
      <c r="U397" s="27"/>
      <c r="V397" s="27"/>
      <c r="X397" s="27"/>
      <c r="Y397" s="27"/>
    </row>
    <row r="398" ht="15.75" customHeight="1">
      <c r="A398" s="33"/>
      <c r="B398" s="34"/>
      <c r="C398" s="34"/>
      <c r="D398" s="27"/>
      <c r="E398" s="27"/>
      <c r="F398" s="29"/>
      <c r="G398" s="27"/>
      <c r="H398" s="27"/>
      <c r="I398" s="29"/>
      <c r="J398" s="27"/>
      <c r="K398" s="27"/>
      <c r="L398" s="29"/>
      <c r="M398" s="27"/>
      <c r="N398" s="27"/>
      <c r="O398" s="29"/>
      <c r="P398" s="29"/>
      <c r="Q398" s="29"/>
      <c r="S398" s="28"/>
      <c r="T398" s="28"/>
      <c r="U398" s="27"/>
      <c r="V398" s="27"/>
      <c r="X398" s="27"/>
      <c r="Y398" s="27"/>
    </row>
    <row r="399" ht="15.75" customHeight="1">
      <c r="A399" s="33"/>
      <c r="B399" s="34"/>
      <c r="C399" s="34"/>
      <c r="D399" s="27"/>
      <c r="E399" s="27"/>
      <c r="F399" s="29"/>
      <c r="G399" s="27"/>
      <c r="H399" s="27"/>
      <c r="I399" s="29"/>
      <c r="J399" s="27"/>
      <c r="K399" s="27"/>
      <c r="L399" s="29"/>
      <c r="M399" s="27"/>
      <c r="N399" s="27"/>
      <c r="O399" s="29"/>
      <c r="P399" s="29"/>
      <c r="Q399" s="29"/>
      <c r="S399" s="28"/>
      <c r="T399" s="28"/>
      <c r="U399" s="27"/>
      <c r="V399" s="27"/>
      <c r="X399" s="27"/>
      <c r="Y399" s="27"/>
    </row>
    <row r="400" ht="15.75" customHeight="1">
      <c r="A400" s="33"/>
      <c r="B400" s="34"/>
      <c r="C400" s="34"/>
      <c r="D400" s="27"/>
      <c r="E400" s="27"/>
      <c r="F400" s="29"/>
      <c r="G400" s="27"/>
      <c r="H400" s="27"/>
      <c r="I400" s="29"/>
      <c r="J400" s="27"/>
      <c r="K400" s="27"/>
      <c r="L400" s="29"/>
      <c r="M400" s="27"/>
      <c r="N400" s="27"/>
      <c r="O400" s="29"/>
      <c r="P400" s="29"/>
      <c r="Q400" s="29"/>
      <c r="S400" s="28"/>
      <c r="T400" s="28"/>
      <c r="U400" s="27"/>
      <c r="V400" s="27"/>
      <c r="X400" s="27"/>
      <c r="Y400" s="27"/>
    </row>
    <row r="401" ht="15.75" customHeight="1">
      <c r="A401" s="33"/>
      <c r="B401" s="34"/>
      <c r="C401" s="34"/>
      <c r="D401" s="27"/>
      <c r="E401" s="27"/>
      <c r="F401" s="29"/>
      <c r="G401" s="27"/>
      <c r="H401" s="27"/>
      <c r="I401" s="29"/>
      <c r="J401" s="27"/>
      <c r="K401" s="27"/>
      <c r="L401" s="29"/>
      <c r="M401" s="27"/>
      <c r="N401" s="27"/>
      <c r="O401" s="29"/>
      <c r="P401" s="29"/>
      <c r="Q401" s="29"/>
      <c r="S401" s="28"/>
      <c r="T401" s="28"/>
      <c r="U401" s="27"/>
      <c r="V401" s="27"/>
      <c r="X401" s="27"/>
      <c r="Y401" s="27"/>
    </row>
    <row r="402" ht="15.75" customHeight="1">
      <c r="A402" s="33"/>
      <c r="B402" s="34"/>
      <c r="C402" s="34"/>
      <c r="D402" s="27"/>
      <c r="E402" s="27"/>
      <c r="F402" s="29"/>
      <c r="G402" s="27"/>
      <c r="H402" s="27"/>
      <c r="I402" s="29"/>
      <c r="J402" s="27"/>
      <c r="K402" s="27"/>
      <c r="L402" s="29"/>
      <c r="M402" s="27"/>
      <c r="N402" s="27"/>
      <c r="O402" s="29"/>
      <c r="P402" s="29"/>
      <c r="Q402" s="29"/>
      <c r="S402" s="28"/>
      <c r="T402" s="28"/>
      <c r="U402" s="27"/>
      <c r="V402" s="27"/>
      <c r="X402" s="27"/>
      <c r="Y402" s="27"/>
    </row>
    <row r="403" ht="15.75" customHeight="1">
      <c r="A403" s="33"/>
      <c r="B403" s="34"/>
      <c r="C403" s="34"/>
      <c r="D403" s="27"/>
      <c r="E403" s="27"/>
      <c r="F403" s="29"/>
      <c r="G403" s="27"/>
      <c r="H403" s="27"/>
      <c r="I403" s="29"/>
      <c r="J403" s="27"/>
      <c r="K403" s="27"/>
      <c r="L403" s="29"/>
      <c r="M403" s="27"/>
      <c r="N403" s="27"/>
      <c r="O403" s="29"/>
      <c r="P403" s="29"/>
      <c r="Q403" s="29"/>
      <c r="S403" s="28"/>
      <c r="T403" s="28"/>
      <c r="U403" s="27"/>
      <c r="V403" s="27"/>
      <c r="X403" s="27"/>
      <c r="Y403" s="27"/>
    </row>
    <row r="404" ht="15.75" customHeight="1">
      <c r="A404" s="33"/>
      <c r="B404" s="34"/>
      <c r="C404" s="34"/>
      <c r="D404" s="27"/>
      <c r="E404" s="27"/>
      <c r="F404" s="29"/>
      <c r="G404" s="27"/>
      <c r="H404" s="27"/>
      <c r="I404" s="29"/>
      <c r="J404" s="27"/>
      <c r="K404" s="27"/>
      <c r="L404" s="29"/>
      <c r="M404" s="27"/>
      <c r="N404" s="27"/>
      <c r="O404" s="29"/>
      <c r="P404" s="29"/>
      <c r="Q404" s="29"/>
      <c r="S404" s="28"/>
      <c r="T404" s="28"/>
      <c r="U404" s="27"/>
      <c r="V404" s="27"/>
      <c r="X404" s="27"/>
      <c r="Y404" s="27"/>
    </row>
    <row r="405" ht="15.75" customHeight="1">
      <c r="A405" s="33"/>
      <c r="B405" s="34"/>
      <c r="C405" s="34"/>
      <c r="D405" s="27"/>
      <c r="E405" s="27"/>
      <c r="F405" s="29"/>
      <c r="G405" s="27"/>
      <c r="H405" s="27"/>
      <c r="I405" s="29"/>
      <c r="J405" s="27"/>
      <c r="K405" s="27"/>
      <c r="L405" s="29"/>
      <c r="M405" s="27"/>
      <c r="N405" s="27"/>
      <c r="O405" s="29"/>
      <c r="P405" s="29"/>
      <c r="Q405" s="29"/>
      <c r="S405" s="28"/>
      <c r="T405" s="28"/>
      <c r="U405" s="27"/>
      <c r="V405" s="27"/>
      <c r="X405" s="27"/>
      <c r="Y405" s="27"/>
    </row>
    <row r="406" ht="15.75" customHeight="1">
      <c r="A406" s="33"/>
      <c r="B406" s="34"/>
      <c r="C406" s="34"/>
      <c r="D406" s="27"/>
      <c r="E406" s="27"/>
      <c r="F406" s="29"/>
      <c r="G406" s="27"/>
      <c r="H406" s="27"/>
      <c r="I406" s="29"/>
      <c r="J406" s="27"/>
      <c r="K406" s="27"/>
      <c r="L406" s="29"/>
      <c r="M406" s="27"/>
      <c r="N406" s="27"/>
      <c r="O406" s="29"/>
      <c r="P406" s="29"/>
      <c r="Q406" s="29"/>
      <c r="S406" s="28"/>
      <c r="T406" s="28"/>
      <c r="U406" s="27"/>
      <c r="V406" s="27"/>
      <c r="X406" s="27"/>
      <c r="Y406" s="27"/>
    </row>
    <row r="407" ht="15.75" customHeight="1">
      <c r="A407" s="33"/>
      <c r="B407" s="34"/>
      <c r="C407" s="34"/>
      <c r="D407" s="27"/>
      <c r="E407" s="27"/>
      <c r="F407" s="29"/>
      <c r="G407" s="27"/>
      <c r="H407" s="27"/>
      <c r="I407" s="29"/>
      <c r="J407" s="27"/>
      <c r="K407" s="27"/>
      <c r="L407" s="29"/>
      <c r="M407" s="27"/>
      <c r="N407" s="27"/>
      <c r="O407" s="29"/>
      <c r="P407" s="29"/>
      <c r="Q407" s="29"/>
      <c r="S407" s="28"/>
      <c r="T407" s="28"/>
      <c r="U407" s="27"/>
      <c r="V407" s="27"/>
      <c r="X407" s="27"/>
      <c r="Y407" s="27"/>
    </row>
    <row r="408" ht="15.75" customHeight="1">
      <c r="A408" s="33"/>
      <c r="B408" s="34"/>
      <c r="C408" s="34"/>
      <c r="D408" s="27"/>
      <c r="E408" s="27"/>
      <c r="F408" s="29"/>
      <c r="G408" s="27"/>
      <c r="H408" s="27"/>
      <c r="I408" s="29"/>
      <c r="J408" s="27"/>
      <c r="K408" s="27"/>
      <c r="L408" s="29"/>
      <c r="M408" s="27"/>
      <c r="N408" s="27"/>
      <c r="O408" s="29"/>
      <c r="P408" s="29"/>
      <c r="Q408" s="29"/>
      <c r="S408" s="28"/>
      <c r="T408" s="28"/>
      <c r="U408" s="27"/>
      <c r="V408" s="27"/>
      <c r="X408" s="27"/>
      <c r="Y408" s="27"/>
    </row>
    <row r="409" ht="15.75" customHeight="1">
      <c r="A409" s="33"/>
      <c r="B409" s="34"/>
      <c r="C409" s="34"/>
      <c r="D409" s="27"/>
      <c r="E409" s="27"/>
      <c r="F409" s="29"/>
      <c r="G409" s="27"/>
      <c r="H409" s="27"/>
      <c r="I409" s="29"/>
      <c r="J409" s="27"/>
      <c r="K409" s="27"/>
      <c r="L409" s="29"/>
      <c r="M409" s="27"/>
      <c r="N409" s="27"/>
      <c r="O409" s="29"/>
      <c r="P409" s="29"/>
      <c r="Q409" s="29"/>
      <c r="S409" s="28"/>
      <c r="T409" s="28"/>
      <c r="U409" s="27"/>
      <c r="V409" s="27"/>
      <c r="X409" s="27"/>
      <c r="Y409" s="27"/>
    </row>
    <row r="410" ht="15.75" customHeight="1">
      <c r="A410" s="33"/>
      <c r="B410" s="34"/>
      <c r="C410" s="34"/>
      <c r="D410" s="27"/>
      <c r="E410" s="27"/>
      <c r="F410" s="29"/>
      <c r="G410" s="27"/>
      <c r="H410" s="27"/>
      <c r="I410" s="29"/>
      <c r="J410" s="27"/>
      <c r="K410" s="27"/>
      <c r="L410" s="29"/>
      <c r="M410" s="27"/>
      <c r="N410" s="27"/>
      <c r="O410" s="29"/>
      <c r="P410" s="29"/>
      <c r="Q410" s="29"/>
      <c r="S410" s="28"/>
      <c r="T410" s="28"/>
      <c r="U410" s="27"/>
      <c r="V410" s="27"/>
      <c r="X410" s="27"/>
      <c r="Y410" s="27"/>
    </row>
    <row r="411" ht="15.75" customHeight="1">
      <c r="A411" s="33"/>
      <c r="B411" s="34"/>
      <c r="C411" s="34"/>
      <c r="D411" s="27"/>
      <c r="E411" s="27"/>
      <c r="F411" s="29"/>
      <c r="G411" s="27"/>
      <c r="H411" s="27"/>
      <c r="I411" s="29"/>
      <c r="J411" s="27"/>
      <c r="K411" s="27"/>
      <c r="L411" s="29"/>
      <c r="M411" s="27"/>
      <c r="N411" s="27"/>
      <c r="O411" s="29"/>
      <c r="P411" s="29"/>
      <c r="Q411" s="29"/>
      <c r="S411" s="28"/>
      <c r="T411" s="28"/>
      <c r="U411" s="27"/>
      <c r="V411" s="27"/>
      <c r="X411" s="27"/>
      <c r="Y411" s="27"/>
    </row>
    <row r="412" ht="15.75" customHeight="1">
      <c r="A412" s="33"/>
      <c r="B412" s="34"/>
      <c r="C412" s="34"/>
      <c r="D412" s="27"/>
      <c r="E412" s="27"/>
      <c r="F412" s="29"/>
      <c r="G412" s="27"/>
      <c r="H412" s="27"/>
      <c r="I412" s="29"/>
      <c r="J412" s="27"/>
      <c r="K412" s="27"/>
      <c r="L412" s="29"/>
      <c r="M412" s="27"/>
      <c r="N412" s="27"/>
      <c r="O412" s="29"/>
      <c r="P412" s="29"/>
      <c r="Q412" s="29"/>
      <c r="S412" s="28"/>
      <c r="T412" s="28"/>
      <c r="U412" s="27"/>
      <c r="V412" s="27"/>
      <c r="X412" s="27"/>
      <c r="Y412" s="27"/>
    </row>
    <row r="413" ht="15.75" customHeight="1">
      <c r="A413" s="33"/>
      <c r="B413" s="34"/>
      <c r="C413" s="34"/>
      <c r="D413" s="27"/>
      <c r="E413" s="27"/>
      <c r="F413" s="29"/>
      <c r="G413" s="27"/>
      <c r="H413" s="27"/>
      <c r="I413" s="29"/>
      <c r="J413" s="27"/>
      <c r="K413" s="27"/>
      <c r="L413" s="29"/>
      <c r="M413" s="27"/>
      <c r="N413" s="27"/>
      <c r="O413" s="29"/>
      <c r="P413" s="29"/>
      <c r="Q413" s="29"/>
      <c r="S413" s="28"/>
      <c r="T413" s="28"/>
      <c r="U413" s="27"/>
      <c r="V413" s="27"/>
      <c r="X413" s="27"/>
      <c r="Y413" s="27"/>
    </row>
    <row r="414" ht="15.75" customHeight="1">
      <c r="A414" s="33"/>
      <c r="B414" s="34"/>
      <c r="C414" s="34"/>
      <c r="D414" s="27"/>
      <c r="E414" s="27"/>
      <c r="F414" s="29"/>
      <c r="G414" s="27"/>
      <c r="H414" s="27"/>
      <c r="I414" s="29"/>
      <c r="J414" s="27"/>
      <c r="K414" s="27"/>
      <c r="L414" s="29"/>
      <c r="M414" s="27"/>
      <c r="N414" s="27"/>
      <c r="O414" s="29"/>
      <c r="P414" s="29"/>
      <c r="Q414" s="29"/>
      <c r="S414" s="28"/>
      <c r="T414" s="28"/>
      <c r="U414" s="27"/>
      <c r="V414" s="27"/>
      <c r="X414" s="27"/>
      <c r="Y414" s="27"/>
    </row>
    <row r="415" ht="15.75" customHeight="1">
      <c r="A415" s="33"/>
      <c r="B415" s="34"/>
      <c r="C415" s="34"/>
      <c r="D415" s="27"/>
      <c r="E415" s="27"/>
      <c r="F415" s="29"/>
      <c r="G415" s="27"/>
      <c r="H415" s="27"/>
      <c r="I415" s="29"/>
      <c r="J415" s="27"/>
      <c r="K415" s="27"/>
      <c r="L415" s="29"/>
      <c r="M415" s="27"/>
      <c r="N415" s="27"/>
      <c r="O415" s="29"/>
      <c r="P415" s="29"/>
      <c r="Q415" s="29"/>
      <c r="S415" s="28"/>
      <c r="T415" s="28"/>
      <c r="U415" s="27"/>
      <c r="V415" s="27"/>
      <c r="X415" s="27"/>
      <c r="Y415" s="27"/>
    </row>
    <row r="416" ht="15.75" customHeight="1">
      <c r="A416" s="33"/>
      <c r="B416" s="34"/>
      <c r="C416" s="34"/>
      <c r="D416" s="27"/>
      <c r="E416" s="27"/>
      <c r="F416" s="29"/>
      <c r="G416" s="27"/>
      <c r="H416" s="27"/>
      <c r="I416" s="29"/>
      <c r="J416" s="27"/>
      <c r="K416" s="27"/>
      <c r="L416" s="29"/>
      <c r="M416" s="27"/>
      <c r="N416" s="27"/>
      <c r="O416" s="29"/>
      <c r="P416" s="29"/>
      <c r="Q416" s="29"/>
      <c r="S416" s="28"/>
      <c r="T416" s="28"/>
      <c r="U416" s="27"/>
      <c r="V416" s="27"/>
      <c r="X416" s="27"/>
      <c r="Y416" s="27"/>
    </row>
    <row r="417" ht="15.75" customHeight="1">
      <c r="A417" s="33"/>
      <c r="B417" s="34"/>
      <c r="C417" s="34"/>
      <c r="D417" s="27"/>
      <c r="E417" s="27"/>
      <c r="F417" s="29"/>
      <c r="G417" s="27"/>
      <c r="H417" s="27"/>
      <c r="I417" s="29"/>
      <c r="J417" s="27"/>
      <c r="K417" s="27"/>
      <c r="L417" s="29"/>
      <c r="M417" s="27"/>
      <c r="N417" s="27"/>
      <c r="O417" s="29"/>
      <c r="P417" s="29"/>
      <c r="Q417" s="29"/>
      <c r="S417" s="28"/>
      <c r="T417" s="28"/>
      <c r="U417" s="27"/>
      <c r="V417" s="27"/>
      <c r="X417" s="27"/>
      <c r="Y417" s="27"/>
    </row>
    <row r="418" ht="15.75" customHeight="1">
      <c r="A418" s="33"/>
      <c r="B418" s="34"/>
      <c r="C418" s="34"/>
      <c r="D418" s="27"/>
      <c r="E418" s="27"/>
      <c r="F418" s="29"/>
      <c r="G418" s="27"/>
      <c r="H418" s="27"/>
      <c r="I418" s="29"/>
      <c r="J418" s="27"/>
      <c r="K418" s="27"/>
      <c r="L418" s="29"/>
      <c r="M418" s="27"/>
      <c r="N418" s="27"/>
      <c r="O418" s="29"/>
      <c r="P418" s="29"/>
      <c r="Q418" s="29"/>
      <c r="S418" s="28"/>
      <c r="T418" s="28"/>
      <c r="U418" s="27"/>
      <c r="V418" s="27"/>
      <c r="X418" s="27"/>
      <c r="Y418" s="27"/>
    </row>
    <row r="419" ht="15.75" customHeight="1">
      <c r="A419" s="33"/>
      <c r="B419" s="34"/>
      <c r="C419" s="34"/>
      <c r="D419" s="27"/>
      <c r="E419" s="27"/>
      <c r="F419" s="29"/>
      <c r="G419" s="27"/>
      <c r="H419" s="27"/>
      <c r="I419" s="29"/>
      <c r="J419" s="27"/>
      <c r="K419" s="27"/>
      <c r="L419" s="29"/>
      <c r="M419" s="27"/>
      <c r="N419" s="27"/>
      <c r="O419" s="29"/>
      <c r="P419" s="29"/>
      <c r="Q419" s="29"/>
      <c r="S419" s="28"/>
      <c r="T419" s="28"/>
      <c r="U419" s="27"/>
      <c r="V419" s="27"/>
      <c r="X419" s="27"/>
      <c r="Y419" s="27"/>
    </row>
    <row r="420" ht="15.75" customHeight="1">
      <c r="A420" s="33"/>
      <c r="B420" s="34"/>
      <c r="C420" s="34"/>
      <c r="D420" s="27"/>
      <c r="E420" s="27"/>
      <c r="F420" s="29"/>
      <c r="G420" s="27"/>
      <c r="H420" s="27"/>
      <c r="I420" s="29"/>
      <c r="J420" s="27"/>
      <c r="K420" s="27"/>
      <c r="L420" s="29"/>
      <c r="M420" s="27"/>
      <c r="N420" s="27"/>
      <c r="O420" s="29"/>
      <c r="P420" s="29"/>
      <c r="Q420" s="29"/>
      <c r="S420" s="28"/>
      <c r="T420" s="28"/>
      <c r="U420" s="27"/>
      <c r="V420" s="27"/>
      <c r="X420" s="27"/>
      <c r="Y420" s="27"/>
    </row>
    <row r="421" ht="15.75" customHeight="1">
      <c r="A421" s="33"/>
      <c r="B421" s="34"/>
      <c r="C421" s="34"/>
      <c r="D421" s="27"/>
      <c r="E421" s="27"/>
      <c r="F421" s="29"/>
      <c r="G421" s="27"/>
      <c r="H421" s="27"/>
      <c r="I421" s="29"/>
      <c r="J421" s="27"/>
      <c r="K421" s="27"/>
      <c r="L421" s="29"/>
      <c r="M421" s="27"/>
      <c r="N421" s="27"/>
      <c r="O421" s="29"/>
      <c r="P421" s="29"/>
      <c r="Q421" s="29"/>
      <c r="S421" s="28"/>
      <c r="T421" s="28"/>
      <c r="U421" s="27"/>
      <c r="V421" s="27"/>
      <c r="X421" s="27"/>
      <c r="Y421" s="27"/>
    </row>
    <row r="422" ht="15.75" customHeight="1">
      <c r="A422" s="33"/>
      <c r="B422" s="34"/>
      <c r="C422" s="34"/>
      <c r="D422" s="27"/>
      <c r="E422" s="27"/>
      <c r="F422" s="29"/>
      <c r="G422" s="27"/>
      <c r="H422" s="27"/>
      <c r="I422" s="29"/>
      <c r="J422" s="27"/>
      <c r="K422" s="27"/>
      <c r="L422" s="29"/>
      <c r="M422" s="27"/>
      <c r="N422" s="27"/>
      <c r="O422" s="29"/>
      <c r="P422" s="29"/>
      <c r="Q422" s="29"/>
      <c r="S422" s="28"/>
      <c r="T422" s="28"/>
      <c r="U422" s="27"/>
      <c r="V422" s="27"/>
      <c r="X422" s="27"/>
      <c r="Y422" s="27"/>
    </row>
    <row r="423" ht="15.75" customHeight="1">
      <c r="A423" s="33"/>
      <c r="B423" s="34"/>
      <c r="C423" s="34"/>
      <c r="D423" s="27"/>
      <c r="E423" s="27"/>
      <c r="F423" s="29"/>
      <c r="G423" s="27"/>
      <c r="H423" s="27"/>
      <c r="I423" s="29"/>
      <c r="J423" s="27"/>
      <c r="K423" s="27"/>
      <c r="L423" s="29"/>
      <c r="M423" s="27"/>
      <c r="N423" s="27"/>
      <c r="O423" s="29"/>
      <c r="P423" s="29"/>
      <c r="Q423" s="29"/>
      <c r="S423" s="28"/>
      <c r="T423" s="28"/>
      <c r="U423" s="27"/>
      <c r="V423" s="27"/>
      <c r="X423" s="27"/>
      <c r="Y423" s="27"/>
    </row>
    <row r="424" ht="15.75" customHeight="1">
      <c r="A424" s="33"/>
      <c r="B424" s="34"/>
      <c r="C424" s="34"/>
      <c r="D424" s="27"/>
      <c r="E424" s="27"/>
      <c r="F424" s="29"/>
      <c r="G424" s="27"/>
      <c r="H424" s="27"/>
      <c r="I424" s="29"/>
      <c r="J424" s="27"/>
      <c r="K424" s="27"/>
      <c r="L424" s="29"/>
      <c r="M424" s="27"/>
      <c r="N424" s="27"/>
      <c r="O424" s="29"/>
      <c r="P424" s="29"/>
      <c r="Q424" s="29"/>
      <c r="S424" s="28"/>
      <c r="T424" s="28"/>
      <c r="U424" s="27"/>
      <c r="V424" s="27"/>
      <c r="X424" s="27"/>
      <c r="Y424" s="27"/>
    </row>
    <row r="425" ht="15.75" customHeight="1">
      <c r="A425" s="33"/>
      <c r="B425" s="34"/>
      <c r="C425" s="34"/>
      <c r="D425" s="27"/>
      <c r="E425" s="27"/>
      <c r="F425" s="29"/>
      <c r="G425" s="27"/>
      <c r="H425" s="27"/>
      <c r="I425" s="29"/>
      <c r="J425" s="27"/>
      <c r="K425" s="27"/>
      <c r="L425" s="29"/>
      <c r="M425" s="27"/>
      <c r="N425" s="27"/>
      <c r="O425" s="29"/>
      <c r="P425" s="29"/>
      <c r="Q425" s="29"/>
      <c r="S425" s="28"/>
      <c r="T425" s="28"/>
      <c r="U425" s="27"/>
      <c r="V425" s="27"/>
      <c r="X425" s="27"/>
      <c r="Y425" s="27"/>
    </row>
    <row r="426" ht="15.75" customHeight="1">
      <c r="A426" s="33"/>
      <c r="B426" s="34"/>
      <c r="C426" s="34"/>
      <c r="D426" s="27"/>
      <c r="E426" s="27"/>
      <c r="F426" s="29"/>
      <c r="G426" s="27"/>
      <c r="H426" s="27"/>
      <c r="I426" s="29"/>
      <c r="J426" s="27"/>
      <c r="K426" s="27"/>
      <c r="L426" s="29"/>
      <c r="M426" s="27"/>
      <c r="N426" s="27"/>
      <c r="O426" s="29"/>
      <c r="P426" s="29"/>
      <c r="Q426" s="29"/>
      <c r="S426" s="28"/>
      <c r="T426" s="28"/>
      <c r="U426" s="27"/>
      <c r="V426" s="27"/>
      <c r="X426" s="27"/>
      <c r="Y426" s="27"/>
    </row>
    <row r="427" ht="15.75" customHeight="1">
      <c r="A427" s="33"/>
      <c r="B427" s="34"/>
      <c r="C427" s="34"/>
      <c r="D427" s="27"/>
      <c r="E427" s="27"/>
      <c r="F427" s="29"/>
      <c r="G427" s="27"/>
      <c r="H427" s="27"/>
      <c r="I427" s="29"/>
      <c r="J427" s="27"/>
      <c r="K427" s="27"/>
      <c r="L427" s="29"/>
      <c r="M427" s="27"/>
      <c r="N427" s="27"/>
      <c r="O427" s="29"/>
      <c r="P427" s="29"/>
      <c r="Q427" s="29"/>
      <c r="S427" s="28"/>
      <c r="T427" s="28"/>
      <c r="U427" s="27"/>
      <c r="V427" s="27"/>
      <c r="X427" s="27"/>
      <c r="Y427" s="27"/>
    </row>
    <row r="428" ht="15.75" customHeight="1">
      <c r="A428" s="33"/>
      <c r="B428" s="34"/>
      <c r="C428" s="34"/>
      <c r="D428" s="27"/>
      <c r="E428" s="27"/>
      <c r="F428" s="29"/>
      <c r="G428" s="27"/>
      <c r="H428" s="27"/>
      <c r="I428" s="29"/>
      <c r="J428" s="27"/>
      <c r="K428" s="27"/>
      <c r="L428" s="29"/>
      <c r="M428" s="27"/>
      <c r="N428" s="27"/>
      <c r="O428" s="29"/>
      <c r="P428" s="29"/>
      <c r="Q428" s="29"/>
      <c r="S428" s="28"/>
      <c r="T428" s="28"/>
      <c r="U428" s="27"/>
      <c r="V428" s="27"/>
      <c r="X428" s="27"/>
      <c r="Y428" s="27"/>
    </row>
    <row r="429" ht="15.75" customHeight="1">
      <c r="A429" s="33"/>
      <c r="B429" s="34"/>
      <c r="C429" s="34"/>
      <c r="D429" s="27"/>
      <c r="E429" s="27"/>
      <c r="F429" s="29"/>
      <c r="G429" s="27"/>
      <c r="H429" s="27"/>
      <c r="I429" s="29"/>
      <c r="J429" s="27"/>
      <c r="K429" s="27"/>
      <c r="L429" s="29"/>
      <c r="M429" s="27"/>
      <c r="N429" s="27"/>
      <c r="O429" s="29"/>
      <c r="P429" s="29"/>
      <c r="Q429" s="29"/>
      <c r="S429" s="28"/>
      <c r="T429" s="28"/>
      <c r="U429" s="27"/>
      <c r="V429" s="27"/>
      <c r="X429" s="27"/>
      <c r="Y429" s="27"/>
    </row>
    <row r="430" ht="15.75" customHeight="1">
      <c r="A430" s="33"/>
      <c r="B430" s="34"/>
      <c r="C430" s="34"/>
      <c r="D430" s="27"/>
      <c r="E430" s="27"/>
      <c r="F430" s="29"/>
      <c r="G430" s="27"/>
      <c r="H430" s="27"/>
      <c r="I430" s="29"/>
      <c r="J430" s="27"/>
      <c r="K430" s="27"/>
      <c r="L430" s="29"/>
      <c r="M430" s="27"/>
      <c r="N430" s="27"/>
      <c r="O430" s="29"/>
      <c r="P430" s="29"/>
      <c r="Q430" s="29"/>
      <c r="S430" s="28"/>
      <c r="T430" s="28"/>
      <c r="U430" s="27"/>
      <c r="V430" s="27"/>
      <c r="X430" s="27"/>
      <c r="Y430" s="27"/>
    </row>
    <row r="431" ht="15.75" customHeight="1">
      <c r="A431" s="33"/>
      <c r="B431" s="34"/>
      <c r="C431" s="34"/>
      <c r="D431" s="27"/>
      <c r="E431" s="27"/>
      <c r="F431" s="29"/>
      <c r="G431" s="27"/>
      <c r="H431" s="27"/>
      <c r="I431" s="29"/>
      <c r="J431" s="27"/>
      <c r="K431" s="27"/>
      <c r="L431" s="29"/>
      <c r="M431" s="27"/>
      <c r="N431" s="27"/>
      <c r="O431" s="29"/>
      <c r="P431" s="29"/>
      <c r="Q431" s="29"/>
      <c r="S431" s="28"/>
      <c r="T431" s="28"/>
      <c r="U431" s="27"/>
      <c r="V431" s="27"/>
      <c r="X431" s="27"/>
      <c r="Y431" s="27"/>
    </row>
    <row r="432" ht="15.75" customHeight="1">
      <c r="A432" s="33"/>
      <c r="B432" s="34"/>
      <c r="C432" s="34"/>
      <c r="D432" s="27"/>
      <c r="E432" s="27"/>
      <c r="F432" s="29"/>
      <c r="G432" s="27"/>
      <c r="H432" s="27"/>
      <c r="I432" s="29"/>
      <c r="J432" s="27"/>
      <c r="K432" s="27"/>
      <c r="L432" s="29"/>
      <c r="M432" s="27"/>
      <c r="N432" s="27"/>
      <c r="O432" s="29"/>
      <c r="P432" s="29"/>
      <c r="Q432" s="29"/>
      <c r="S432" s="28"/>
      <c r="T432" s="28"/>
      <c r="U432" s="27"/>
      <c r="V432" s="27"/>
      <c r="X432" s="27"/>
      <c r="Y432" s="27"/>
    </row>
    <row r="433" ht="15.75" customHeight="1">
      <c r="A433" s="33"/>
      <c r="B433" s="34"/>
      <c r="C433" s="34"/>
      <c r="D433" s="27"/>
      <c r="E433" s="27"/>
      <c r="F433" s="29"/>
      <c r="G433" s="27"/>
      <c r="H433" s="27"/>
      <c r="I433" s="29"/>
      <c r="J433" s="27"/>
      <c r="K433" s="27"/>
      <c r="L433" s="29"/>
      <c r="M433" s="27"/>
      <c r="N433" s="27"/>
      <c r="O433" s="29"/>
      <c r="P433" s="29"/>
      <c r="Q433" s="29"/>
      <c r="S433" s="28"/>
      <c r="T433" s="28"/>
      <c r="U433" s="27"/>
      <c r="V433" s="27"/>
      <c r="X433" s="27"/>
      <c r="Y433" s="27"/>
    </row>
    <row r="434" ht="15.75" customHeight="1">
      <c r="A434" s="33"/>
      <c r="B434" s="34"/>
      <c r="C434" s="34"/>
      <c r="D434" s="27"/>
      <c r="E434" s="27"/>
      <c r="F434" s="29"/>
      <c r="G434" s="27"/>
      <c r="H434" s="27"/>
      <c r="I434" s="29"/>
      <c r="J434" s="27"/>
      <c r="K434" s="27"/>
      <c r="L434" s="29"/>
      <c r="M434" s="27"/>
      <c r="N434" s="27"/>
      <c r="O434" s="29"/>
      <c r="P434" s="29"/>
      <c r="Q434" s="29"/>
      <c r="S434" s="28"/>
      <c r="T434" s="28"/>
      <c r="U434" s="27"/>
      <c r="V434" s="27"/>
      <c r="X434" s="27"/>
      <c r="Y434" s="27"/>
    </row>
    <row r="435" ht="15.75" customHeight="1">
      <c r="A435" s="33"/>
      <c r="B435" s="34"/>
      <c r="C435" s="34"/>
      <c r="D435" s="27"/>
      <c r="E435" s="27"/>
      <c r="F435" s="29"/>
      <c r="G435" s="27"/>
      <c r="H435" s="27"/>
      <c r="I435" s="29"/>
      <c r="J435" s="27"/>
      <c r="K435" s="27"/>
      <c r="L435" s="29"/>
      <c r="M435" s="27"/>
      <c r="N435" s="27"/>
      <c r="O435" s="29"/>
      <c r="P435" s="29"/>
      <c r="Q435" s="29"/>
      <c r="S435" s="28"/>
      <c r="T435" s="28"/>
      <c r="U435" s="27"/>
      <c r="V435" s="27"/>
      <c r="X435" s="27"/>
      <c r="Y435" s="27"/>
    </row>
    <row r="436" ht="15.75" customHeight="1">
      <c r="A436" s="33"/>
      <c r="B436" s="34"/>
      <c r="C436" s="34"/>
      <c r="D436" s="27"/>
      <c r="E436" s="27"/>
      <c r="F436" s="29"/>
      <c r="G436" s="27"/>
      <c r="H436" s="27"/>
      <c r="I436" s="29"/>
      <c r="J436" s="27"/>
      <c r="K436" s="27"/>
      <c r="L436" s="29"/>
      <c r="M436" s="27"/>
      <c r="N436" s="27"/>
      <c r="O436" s="29"/>
      <c r="P436" s="29"/>
      <c r="Q436" s="29"/>
      <c r="S436" s="28"/>
      <c r="T436" s="28"/>
      <c r="U436" s="27"/>
      <c r="V436" s="27"/>
      <c r="X436" s="27"/>
      <c r="Y436" s="27"/>
    </row>
    <row r="437" ht="15.75" customHeight="1">
      <c r="A437" s="33"/>
      <c r="B437" s="34"/>
      <c r="C437" s="34"/>
      <c r="D437" s="27"/>
      <c r="E437" s="27"/>
      <c r="F437" s="29"/>
      <c r="G437" s="27"/>
      <c r="H437" s="27"/>
      <c r="I437" s="29"/>
      <c r="J437" s="27"/>
      <c r="K437" s="27"/>
      <c r="L437" s="29"/>
      <c r="M437" s="27"/>
      <c r="N437" s="27"/>
      <c r="O437" s="29"/>
      <c r="P437" s="29"/>
      <c r="Q437" s="29"/>
      <c r="S437" s="28"/>
      <c r="T437" s="28"/>
      <c r="U437" s="27"/>
      <c r="V437" s="27"/>
      <c r="X437" s="27"/>
      <c r="Y437" s="27"/>
    </row>
    <row r="438" ht="15.75" customHeight="1">
      <c r="A438" s="33"/>
      <c r="B438" s="34"/>
      <c r="C438" s="34"/>
      <c r="D438" s="27"/>
      <c r="E438" s="27"/>
      <c r="F438" s="29"/>
      <c r="G438" s="27"/>
      <c r="H438" s="27"/>
      <c r="I438" s="29"/>
      <c r="J438" s="27"/>
      <c r="K438" s="27"/>
      <c r="L438" s="29"/>
      <c r="M438" s="27"/>
      <c r="N438" s="27"/>
      <c r="O438" s="29"/>
      <c r="P438" s="29"/>
      <c r="Q438" s="29"/>
      <c r="S438" s="28"/>
      <c r="T438" s="28"/>
      <c r="U438" s="27"/>
      <c r="V438" s="27"/>
      <c r="X438" s="27"/>
      <c r="Y438" s="27"/>
    </row>
    <row r="439" ht="15.75" customHeight="1">
      <c r="A439" s="33"/>
      <c r="B439" s="34"/>
      <c r="C439" s="34"/>
      <c r="D439" s="27"/>
      <c r="E439" s="27"/>
      <c r="F439" s="29"/>
      <c r="G439" s="27"/>
      <c r="H439" s="27"/>
      <c r="I439" s="29"/>
      <c r="J439" s="27"/>
      <c r="K439" s="27"/>
      <c r="L439" s="29"/>
      <c r="M439" s="27"/>
      <c r="N439" s="27"/>
      <c r="O439" s="29"/>
      <c r="P439" s="29"/>
      <c r="Q439" s="29"/>
      <c r="S439" s="28"/>
      <c r="T439" s="28"/>
      <c r="U439" s="27"/>
      <c r="V439" s="27"/>
      <c r="X439" s="27"/>
      <c r="Y439" s="27"/>
    </row>
    <row r="440" ht="15.75" customHeight="1">
      <c r="A440" s="33"/>
      <c r="B440" s="34"/>
      <c r="C440" s="34"/>
      <c r="D440" s="27"/>
      <c r="E440" s="27"/>
      <c r="F440" s="29"/>
      <c r="G440" s="27"/>
      <c r="H440" s="27"/>
      <c r="I440" s="29"/>
      <c r="J440" s="27"/>
      <c r="K440" s="27"/>
      <c r="L440" s="29"/>
      <c r="M440" s="27"/>
      <c r="N440" s="27"/>
      <c r="O440" s="29"/>
      <c r="P440" s="29"/>
      <c r="Q440" s="29"/>
      <c r="S440" s="28"/>
      <c r="T440" s="28"/>
      <c r="U440" s="27"/>
      <c r="V440" s="27"/>
      <c r="X440" s="27"/>
      <c r="Y440" s="27"/>
    </row>
    <row r="441" ht="15.75" customHeight="1">
      <c r="A441" s="33"/>
      <c r="B441" s="34"/>
      <c r="C441" s="34"/>
      <c r="D441" s="27"/>
      <c r="E441" s="27"/>
      <c r="F441" s="29"/>
      <c r="G441" s="27"/>
      <c r="H441" s="27"/>
      <c r="I441" s="29"/>
      <c r="J441" s="27"/>
      <c r="K441" s="27"/>
      <c r="L441" s="29"/>
      <c r="M441" s="27"/>
      <c r="N441" s="27"/>
      <c r="O441" s="29"/>
      <c r="P441" s="29"/>
      <c r="Q441" s="29"/>
      <c r="S441" s="28"/>
      <c r="T441" s="28"/>
      <c r="U441" s="27"/>
      <c r="V441" s="27"/>
      <c r="X441" s="27"/>
      <c r="Y441" s="27"/>
    </row>
    <row r="442" ht="15.75" customHeight="1">
      <c r="A442" s="33"/>
      <c r="B442" s="34"/>
      <c r="C442" s="34"/>
      <c r="D442" s="27"/>
      <c r="E442" s="27"/>
      <c r="F442" s="29"/>
      <c r="G442" s="27"/>
      <c r="H442" s="27"/>
      <c r="I442" s="29"/>
      <c r="J442" s="27"/>
      <c r="K442" s="27"/>
      <c r="L442" s="29"/>
      <c r="M442" s="27"/>
      <c r="N442" s="27"/>
      <c r="O442" s="29"/>
      <c r="P442" s="29"/>
      <c r="Q442" s="29"/>
      <c r="S442" s="28"/>
      <c r="T442" s="28"/>
      <c r="U442" s="27"/>
      <c r="V442" s="27"/>
      <c r="X442" s="27"/>
      <c r="Y442" s="27"/>
    </row>
    <row r="443" ht="15.75" customHeight="1">
      <c r="A443" s="33"/>
      <c r="B443" s="34"/>
      <c r="C443" s="34"/>
      <c r="D443" s="27"/>
      <c r="E443" s="27"/>
      <c r="F443" s="29"/>
      <c r="G443" s="27"/>
      <c r="H443" s="27"/>
      <c r="I443" s="29"/>
      <c r="J443" s="27"/>
      <c r="K443" s="27"/>
      <c r="L443" s="29"/>
      <c r="M443" s="27"/>
      <c r="N443" s="27"/>
      <c r="O443" s="29"/>
      <c r="P443" s="29"/>
      <c r="Q443" s="29"/>
      <c r="S443" s="28"/>
      <c r="T443" s="28"/>
      <c r="U443" s="27"/>
      <c r="V443" s="27"/>
      <c r="X443" s="27"/>
      <c r="Y443" s="27"/>
    </row>
    <row r="444" ht="15.75" customHeight="1">
      <c r="A444" s="33"/>
      <c r="B444" s="34"/>
      <c r="C444" s="34"/>
      <c r="D444" s="27"/>
      <c r="E444" s="27"/>
      <c r="F444" s="29"/>
      <c r="G444" s="27"/>
      <c r="H444" s="27"/>
      <c r="I444" s="29"/>
      <c r="J444" s="27"/>
      <c r="K444" s="27"/>
      <c r="L444" s="29"/>
      <c r="M444" s="27"/>
      <c r="N444" s="27"/>
      <c r="O444" s="29"/>
      <c r="P444" s="29"/>
      <c r="Q444" s="29"/>
      <c r="S444" s="28"/>
      <c r="T444" s="28"/>
      <c r="U444" s="27"/>
      <c r="V444" s="27"/>
      <c r="X444" s="27"/>
      <c r="Y444" s="27"/>
    </row>
    <row r="445" ht="15.75" customHeight="1">
      <c r="A445" s="33"/>
      <c r="B445" s="34"/>
      <c r="C445" s="34"/>
      <c r="D445" s="27"/>
      <c r="E445" s="27"/>
      <c r="F445" s="29"/>
      <c r="G445" s="27"/>
      <c r="H445" s="27"/>
      <c r="I445" s="29"/>
      <c r="J445" s="27"/>
      <c r="K445" s="27"/>
      <c r="L445" s="29"/>
      <c r="M445" s="27"/>
      <c r="N445" s="27"/>
      <c r="O445" s="29"/>
      <c r="P445" s="29"/>
      <c r="Q445" s="29"/>
      <c r="S445" s="28"/>
      <c r="T445" s="28"/>
      <c r="U445" s="27"/>
      <c r="V445" s="27"/>
      <c r="X445" s="27"/>
      <c r="Y445" s="27"/>
    </row>
    <row r="446" ht="15.75" customHeight="1">
      <c r="A446" s="33"/>
      <c r="B446" s="34"/>
      <c r="C446" s="34"/>
      <c r="D446" s="27"/>
      <c r="E446" s="27"/>
      <c r="F446" s="29"/>
      <c r="G446" s="27"/>
      <c r="H446" s="27"/>
      <c r="I446" s="29"/>
      <c r="J446" s="27"/>
      <c r="K446" s="27"/>
      <c r="L446" s="29"/>
      <c r="M446" s="27"/>
      <c r="N446" s="27"/>
      <c r="O446" s="29"/>
      <c r="P446" s="29"/>
      <c r="Q446" s="29"/>
      <c r="S446" s="28"/>
      <c r="T446" s="28"/>
      <c r="U446" s="27"/>
      <c r="V446" s="27"/>
      <c r="X446" s="27"/>
      <c r="Y446" s="27"/>
    </row>
    <row r="447" ht="15.75" customHeight="1">
      <c r="A447" s="33"/>
      <c r="B447" s="34"/>
      <c r="C447" s="34"/>
      <c r="D447" s="27"/>
      <c r="E447" s="27"/>
      <c r="F447" s="29"/>
      <c r="G447" s="27"/>
      <c r="H447" s="27"/>
      <c r="I447" s="29"/>
      <c r="J447" s="27"/>
      <c r="K447" s="27"/>
      <c r="L447" s="29"/>
      <c r="M447" s="27"/>
      <c r="N447" s="27"/>
      <c r="O447" s="29"/>
      <c r="P447" s="29"/>
      <c r="Q447" s="29"/>
      <c r="S447" s="28"/>
      <c r="T447" s="28"/>
      <c r="U447" s="27"/>
      <c r="V447" s="27"/>
      <c r="X447" s="27"/>
      <c r="Y447" s="27"/>
    </row>
    <row r="448" ht="15.75" customHeight="1">
      <c r="A448" s="33"/>
      <c r="B448" s="34"/>
      <c r="C448" s="34"/>
      <c r="D448" s="27"/>
      <c r="E448" s="27"/>
      <c r="F448" s="29"/>
      <c r="G448" s="27"/>
      <c r="H448" s="27"/>
      <c r="I448" s="29"/>
      <c r="J448" s="27"/>
      <c r="K448" s="27"/>
      <c r="L448" s="29"/>
      <c r="M448" s="27"/>
      <c r="N448" s="27"/>
      <c r="O448" s="29"/>
      <c r="P448" s="29"/>
      <c r="Q448" s="29"/>
      <c r="S448" s="28"/>
      <c r="T448" s="28"/>
      <c r="U448" s="27"/>
      <c r="V448" s="27"/>
      <c r="X448" s="27"/>
      <c r="Y448" s="27"/>
    </row>
    <row r="449" ht="15.75" customHeight="1">
      <c r="A449" s="33"/>
      <c r="B449" s="34"/>
      <c r="C449" s="34"/>
      <c r="D449" s="27"/>
      <c r="E449" s="27"/>
      <c r="F449" s="29"/>
      <c r="G449" s="27"/>
      <c r="H449" s="27"/>
      <c r="I449" s="29"/>
      <c r="J449" s="27"/>
      <c r="K449" s="27"/>
      <c r="L449" s="29"/>
      <c r="M449" s="27"/>
      <c r="N449" s="27"/>
      <c r="O449" s="29"/>
      <c r="P449" s="29"/>
      <c r="Q449" s="29"/>
      <c r="S449" s="28"/>
      <c r="T449" s="28"/>
      <c r="U449" s="27"/>
      <c r="V449" s="27"/>
      <c r="X449" s="27"/>
      <c r="Y449" s="27"/>
    </row>
    <row r="450" ht="15.75" customHeight="1">
      <c r="A450" s="33"/>
      <c r="B450" s="34"/>
      <c r="C450" s="34"/>
      <c r="D450" s="27"/>
      <c r="E450" s="27"/>
      <c r="F450" s="29"/>
      <c r="G450" s="27"/>
      <c r="H450" s="27"/>
      <c r="I450" s="29"/>
      <c r="J450" s="27"/>
      <c r="K450" s="27"/>
      <c r="L450" s="29"/>
      <c r="M450" s="27"/>
      <c r="N450" s="27"/>
      <c r="O450" s="29"/>
      <c r="P450" s="29"/>
      <c r="Q450" s="29"/>
      <c r="S450" s="28"/>
      <c r="T450" s="28"/>
      <c r="U450" s="27"/>
      <c r="V450" s="27"/>
      <c r="X450" s="27"/>
      <c r="Y450" s="27"/>
    </row>
    <row r="451" ht="15.75" customHeight="1">
      <c r="A451" s="33"/>
      <c r="B451" s="34"/>
      <c r="C451" s="34"/>
      <c r="D451" s="27"/>
      <c r="E451" s="27"/>
      <c r="F451" s="29"/>
      <c r="G451" s="27"/>
      <c r="H451" s="27"/>
      <c r="I451" s="29"/>
      <c r="J451" s="27"/>
      <c r="K451" s="27"/>
      <c r="L451" s="29"/>
      <c r="M451" s="27"/>
      <c r="N451" s="27"/>
      <c r="O451" s="29"/>
      <c r="P451" s="29"/>
      <c r="Q451" s="29"/>
      <c r="S451" s="28"/>
      <c r="T451" s="28"/>
      <c r="U451" s="27"/>
      <c r="V451" s="27"/>
      <c r="X451" s="27"/>
      <c r="Y451" s="27"/>
    </row>
    <row r="452" ht="15.75" customHeight="1">
      <c r="A452" s="33"/>
      <c r="B452" s="34"/>
      <c r="C452" s="34"/>
      <c r="D452" s="27"/>
      <c r="E452" s="27"/>
      <c r="F452" s="29"/>
      <c r="G452" s="27"/>
      <c r="H452" s="27"/>
      <c r="I452" s="29"/>
      <c r="J452" s="27"/>
      <c r="K452" s="27"/>
      <c r="L452" s="29"/>
      <c r="M452" s="27"/>
      <c r="N452" s="27"/>
      <c r="O452" s="29"/>
      <c r="P452" s="29"/>
      <c r="Q452" s="29"/>
      <c r="S452" s="28"/>
      <c r="T452" s="28"/>
      <c r="U452" s="27"/>
      <c r="V452" s="27"/>
      <c r="X452" s="27"/>
      <c r="Y452" s="27"/>
    </row>
    <row r="453" ht="15.75" customHeight="1">
      <c r="A453" s="33"/>
      <c r="B453" s="34"/>
      <c r="C453" s="34"/>
      <c r="D453" s="27"/>
      <c r="E453" s="27"/>
      <c r="F453" s="29"/>
      <c r="G453" s="27"/>
      <c r="H453" s="27"/>
      <c r="I453" s="29"/>
      <c r="J453" s="27"/>
      <c r="K453" s="27"/>
      <c r="L453" s="29"/>
      <c r="M453" s="27"/>
      <c r="N453" s="27"/>
      <c r="O453" s="29"/>
      <c r="P453" s="29"/>
      <c r="Q453" s="29"/>
      <c r="S453" s="28"/>
      <c r="T453" s="28"/>
      <c r="U453" s="27"/>
      <c r="V453" s="27"/>
      <c r="X453" s="27"/>
      <c r="Y453" s="27"/>
    </row>
    <row r="454" ht="15.75" customHeight="1">
      <c r="A454" s="33"/>
      <c r="B454" s="34"/>
      <c r="C454" s="34"/>
      <c r="D454" s="27"/>
      <c r="E454" s="27"/>
      <c r="F454" s="29"/>
      <c r="G454" s="27"/>
      <c r="H454" s="27"/>
      <c r="I454" s="29"/>
      <c r="J454" s="27"/>
      <c r="K454" s="27"/>
      <c r="L454" s="29"/>
      <c r="M454" s="27"/>
      <c r="N454" s="27"/>
      <c r="O454" s="29"/>
      <c r="P454" s="29"/>
      <c r="Q454" s="29"/>
      <c r="S454" s="28"/>
      <c r="T454" s="28"/>
      <c r="U454" s="27"/>
      <c r="V454" s="27"/>
      <c r="X454" s="27"/>
      <c r="Y454" s="27"/>
    </row>
    <row r="455" ht="15.75" customHeight="1">
      <c r="A455" s="33"/>
      <c r="B455" s="34"/>
      <c r="C455" s="34"/>
      <c r="D455" s="27"/>
      <c r="E455" s="27"/>
      <c r="F455" s="29"/>
      <c r="G455" s="27"/>
      <c r="H455" s="27"/>
      <c r="I455" s="29"/>
      <c r="J455" s="27"/>
      <c r="K455" s="27"/>
      <c r="L455" s="29"/>
      <c r="M455" s="27"/>
      <c r="N455" s="27"/>
      <c r="O455" s="29"/>
      <c r="P455" s="29"/>
      <c r="Q455" s="29"/>
      <c r="S455" s="28"/>
      <c r="T455" s="28"/>
      <c r="U455" s="27"/>
      <c r="V455" s="27"/>
      <c r="X455" s="27"/>
      <c r="Y455" s="27"/>
    </row>
    <row r="456" ht="15.75" customHeight="1">
      <c r="A456" s="33"/>
      <c r="B456" s="34"/>
      <c r="C456" s="34"/>
      <c r="D456" s="27"/>
      <c r="E456" s="27"/>
      <c r="F456" s="29"/>
      <c r="G456" s="27"/>
      <c r="H456" s="27"/>
      <c r="I456" s="29"/>
      <c r="J456" s="27"/>
      <c r="K456" s="27"/>
      <c r="L456" s="29"/>
      <c r="M456" s="27"/>
      <c r="N456" s="27"/>
      <c r="O456" s="29"/>
      <c r="P456" s="29"/>
      <c r="Q456" s="29"/>
      <c r="S456" s="28"/>
      <c r="T456" s="28"/>
      <c r="U456" s="27"/>
      <c r="V456" s="27"/>
      <c r="X456" s="27"/>
      <c r="Y456" s="27"/>
    </row>
    <row r="457" ht="15.75" customHeight="1">
      <c r="A457" s="33"/>
      <c r="B457" s="34"/>
      <c r="C457" s="34"/>
      <c r="D457" s="27"/>
      <c r="E457" s="27"/>
      <c r="F457" s="29"/>
      <c r="G457" s="27"/>
      <c r="H457" s="27"/>
      <c r="I457" s="29"/>
      <c r="J457" s="27"/>
      <c r="K457" s="27"/>
      <c r="L457" s="29"/>
      <c r="M457" s="27"/>
      <c r="N457" s="27"/>
      <c r="O457" s="29"/>
      <c r="P457" s="29"/>
      <c r="Q457" s="29"/>
      <c r="S457" s="28"/>
      <c r="T457" s="28"/>
      <c r="U457" s="27"/>
      <c r="V457" s="27"/>
      <c r="X457" s="27"/>
      <c r="Y457" s="27"/>
    </row>
    <row r="458" ht="15.75" customHeight="1">
      <c r="A458" s="33"/>
      <c r="B458" s="34"/>
      <c r="C458" s="34"/>
      <c r="D458" s="27"/>
      <c r="E458" s="27"/>
      <c r="F458" s="29"/>
      <c r="G458" s="27"/>
      <c r="H458" s="27"/>
      <c r="I458" s="29"/>
      <c r="J458" s="27"/>
      <c r="K458" s="27"/>
      <c r="L458" s="29"/>
      <c r="M458" s="27"/>
      <c r="N458" s="27"/>
      <c r="O458" s="29"/>
      <c r="P458" s="29"/>
      <c r="Q458" s="29"/>
      <c r="S458" s="28"/>
      <c r="T458" s="28"/>
      <c r="U458" s="27"/>
      <c r="V458" s="27"/>
      <c r="X458" s="27"/>
      <c r="Y458" s="27"/>
    </row>
    <row r="459" ht="15.75" customHeight="1">
      <c r="A459" s="33"/>
      <c r="B459" s="34"/>
      <c r="C459" s="34"/>
      <c r="D459" s="27"/>
      <c r="E459" s="27"/>
      <c r="F459" s="29"/>
      <c r="G459" s="27"/>
      <c r="H459" s="27"/>
      <c r="I459" s="29"/>
      <c r="J459" s="27"/>
      <c r="K459" s="27"/>
      <c r="L459" s="29"/>
      <c r="M459" s="27"/>
      <c r="N459" s="27"/>
      <c r="O459" s="29"/>
      <c r="P459" s="29"/>
      <c r="Q459" s="29"/>
      <c r="S459" s="28"/>
      <c r="T459" s="28"/>
      <c r="U459" s="27"/>
      <c r="V459" s="27"/>
      <c r="X459" s="27"/>
      <c r="Y459" s="27"/>
    </row>
    <row r="460" ht="15.75" customHeight="1">
      <c r="A460" s="33"/>
      <c r="B460" s="34"/>
      <c r="C460" s="34"/>
      <c r="D460" s="27"/>
      <c r="E460" s="27"/>
      <c r="F460" s="29"/>
      <c r="G460" s="27"/>
      <c r="H460" s="27"/>
      <c r="I460" s="29"/>
      <c r="J460" s="27"/>
      <c r="K460" s="27"/>
      <c r="L460" s="29"/>
      <c r="M460" s="27"/>
      <c r="N460" s="27"/>
      <c r="O460" s="29"/>
      <c r="P460" s="29"/>
      <c r="Q460" s="29"/>
      <c r="S460" s="28"/>
      <c r="T460" s="28"/>
      <c r="U460" s="27"/>
      <c r="V460" s="27"/>
      <c r="X460" s="27"/>
      <c r="Y460" s="27"/>
    </row>
    <row r="461" ht="15.75" customHeight="1">
      <c r="A461" s="33"/>
      <c r="B461" s="34"/>
      <c r="C461" s="34"/>
      <c r="D461" s="27"/>
      <c r="E461" s="27"/>
      <c r="F461" s="29"/>
      <c r="G461" s="27"/>
      <c r="H461" s="27"/>
      <c r="I461" s="29"/>
      <c r="J461" s="27"/>
      <c r="K461" s="27"/>
      <c r="L461" s="29"/>
      <c r="M461" s="27"/>
      <c r="N461" s="27"/>
      <c r="O461" s="29"/>
      <c r="P461" s="29"/>
      <c r="Q461" s="29"/>
      <c r="S461" s="28"/>
      <c r="T461" s="28"/>
      <c r="U461" s="27"/>
      <c r="V461" s="27"/>
      <c r="X461" s="27"/>
      <c r="Y461" s="27"/>
    </row>
    <row r="462" ht="15.75" customHeight="1">
      <c r="A462" s="33"/>
      <c r="B462" s="34"/>
      <c r="C462" s="34"/>
      <c r="D462" s="27"/>
      <c r="E462" s="27"/>
      <c r="F462" s="29"/>
      <c r="G462" s="27"/>
      <c r="H462" s="27"/>
      <c r="I462" s="29"/>
      <c r="J462" s="27"/>
      <c r="K462" s="27"/>
      <c r="L462" s="29"/>
      <c r="M462" s="27"/>
      <c r="N462" s="27"/>
      <c r="O462" s="29"/>
      <c r="P462" s="29"/>
      <c r="Q462" s="29"/>
      <c r="S462" s="28"/>
      <c r="T462" s="28"/>
      <c r="U462" s="27"/>
      <c r="V462" s="27"/>
      <c r="X462" s="27"/>
      <c r="Y462" s="27"/>
    </row>
    <row r="463" ht="15.75" customHeight="1">
      <c r="A463" s="33"/>
      <c r="B463" s="34"/>
      <c r="C463" s="34"/>
      <c r="D463" s="27"/>
      <c r="E463" s="27"/>
      <c r="F463" s="29"/>
      <c r="G463" s="27"/>
      <c r="H463" s="27"/>
      <c r="I463" s="29"/>
      <c r="J463" s="27"/>
      <c r="K463" s="27"/>
      <c r="L463" s="29"/>
      <c r="M463" s="27"/>
      <c r="N463" s="27"/>
      <c r="O463" s="29"/>
      <c r="P463" s="29"/>
      <c r="Q463" s="29"/>
      <c r="S463" s="28"/>
      <c r="T463" s="28"/>
      <c r="U463" s="27"/>
      <c r="V463" s="27"/>
      <c r="X463" s="27"/>
      <c r="Y463" s="27"/>
    </row>
    <row r="464" ht="15.75" customHeight="1">
      <c r="A464" s="33"/>
      <c r="B464" s="34"/>
      <c r="C464" s="34"/>
      <c r="D464" s="27"/>
      <c r="E464" s="27"/>
      <c r="F464" s="29"/>
      <c r="G464" s="27"/>
      <c r="H464" s="27"/>
      <c r="I464" s="29"/>
      <c r="J464" s="27"/>
      <c r="K464" s="27"/>
      <c r="L464" s="29"/>
      <c r="M464" s="27"/>
      <c r="N464" s="27"/>
      <c r="O464" s="29"/>
      <c r="P464" s="29"/>
      <c r="Q464" s="29"/>
      <c r="S464" s="28"/>
      <c r="T464" s="28"/>
      <c r="U464" s="27"/>
      <c r="V464" s="27"/>
      <c r="X464" s="27"/>
      <c r="Y464" s="27"/>
    </row>
    <row r="465" ht="15.75" customHeight="1">
      <c r="A465" s="33"/>
      <c r="B465" s="34"/>
      <c r="C465" s="34"/>
      <c r="D465" s="27"/>
      <c r="E465" s="27"/>
      <c r="F465" s="29"/>
      <c r="G465" s="27"/>
      <c r="H465" s="27"/>
      <c r="I465" s="29"/>
      <c r="J465" s="27"/>
      <c r="K465" s="27"/>
      <c r="L465" s="29"/>
      <c r="M465" s="27"/>
      <c r="N465" s="27"/>
      <c r="O465" s="29"/>
      <c r="P465" s="29"/>
      <c r="Q465" s="29"/>
      <c r="S465" s="28"/>
      <c r="T465" s="28"/>
      <c r="U465" s="27"/>
      <c r="V465" s="27"/>
      <c r="X465" s="27"/>
      <c r="Y465" s="27"/>
    </row>
    <row r="466" ht="15.75" customHeight="1">
      <c r="A466" s="33"/>
      <c r="B466" s="34"/>
      <c r="C466" s="34"/>
      <c r="D466" s="27"/>
      <c r="E466" s="27"/>
      <c r="F466" s="29"/>
      <c r="G466" s="27"/>
      <c r="H466" s="27"/>
      <c r="I466" s="29"/>
      <c r="J466" s="27"/>
      <c r="K466" s="27"/>
      <c r="L466" s="29"/>
      <c r="M466" s="27"/>
      <c r="N466" s="27"/>
      <c r="O466" s="29"/>
      <c r="P466" s="29"/>
      <c r="Q466" s="29"/>
      <c r="S466" s="28"/>
      <c r="T466" s="28"/>
      <c r="U466" s="27"/>
      <c r="V466" s="27"/>
      <c r="X466" s="27"/>
      <c r="Y466" s="27"/>
    </row>
    <row r="467" ht="15.75" customHeight="1">
      <c r="A467" s="33"/>
      <c r="B467" s="34"/>
      <c r="C467" s="34"/>
      <c r="D467" s="27"/>
      <c r="E467" s="27"/>
      <c r="F467" s="29"/>
      <c r="G467" s="27"/>
      <c r="H467" s="27"/>
      <c r="I467" s="29"/>
      <c r="J467" s="27"/>
      <c r="K467" s="27"/>
      <c r="L467" s="29"/>
      <c r="M467" s="27"/>
      <c r="N467" s="27"/>
      <c r="O467" s="29"/>
      <c r="P467" s="29"/>
      <c r="Q467" s="29"/>
      <c r="S467" s="28"/>
      <c r="T467" s="28"/>
      <c r="U467" s="27"/>
      <c r="V467" s="27"/>
      <c r="X467" s="27"/>
      <c r="Y467" s="27"/>
    </row>
    <row r="468" ht="15.75" customHeight="1">
      <c r="A468" s="33"/>
      <c r="B468" s="34"/>
      <c r="C468" s="34"/>
      <c r="D468" s="27"/>
      <c r="E468" s="27"/>
      <c r="F468" s="29"/>
      <c r="G468" s="27"/>
      <c r="H468" s="27"/>
      <c r="I468" s="29"/>
      <c r="J468" s="27"/>
      <c r="K468" s="27"/>
      <c r="L468" s="29"/>
      <c r="M468" s="27"/>
      <c r="N468" s="27"/>
      <c r="O468" s="29"/>
      <c r="P468" s="29"/>
      <c r="Q468" s="29"/>
      <c r="S468" s="28"/>
      <c r="T468" s="28"/>
      <c r="U468" s="27"/>
      <c r="V468" s="27"/>
      <c r="X468" s="27"/>
      <c r="Y468" s="27"/>
    </row>
    <row r="469" ht="15.75" customHeight="1">
      <c r="A469" s="33"/>
      <c r="B469" s="34"/>
      <c r="C469" s="34"/>
      <c r="D469" s="27"/>
      <c r="E469" s="27"/>
      <c r="F469" s="29"/>
      <c r="G469" s="27"/>
      <c r="H469" s="27"/>
      <c r="I469" s="29"/>
      <c r="J469" s="27"/>
      <c r="K469" s="27"/>
      <c r="L469" s="29"/>
      <c r="M469" s="27"/>
      <c r="N469" s="27"/>
      <c r="O469" s="29"/>
      <c r="P469" s="29"/>
      <c r="Q469" s="29"/>
      <c r="S469" s="28"/>
      <c r="T469" s="28"/>
      <c r="U469" s="27"/>
      <c r="V469" s="27"/>
      <c r="X469" s="27"/>
      <c r="Y469" s="27"/>
    </row>
    <row r="470" ht="15.75" customHeight="1">
      <c r="A470" s="33"/>
      <c r="B470" s="34"/>
      <c r="C470" s="34"/>
      <c r="D470" s="27"/>
      <c r="E470" s="27"/>
      <c r="F470" s="29"/>
      <c r="G470" s="27"/>
      <c r="H470" s="27"/>
      <c r="I470" s="29"/>
      <c r="J470" s="27"/>
      <c r="K470" s="27"/>
      <c r="L470" s="29"/>
      <c r="M470" s="27"/>
      <c r="N470" s="27"/>
      <c r="O470" s="29"/>
      <c r="P470" s="29"/>
      <c r="Q470" s="29"/>
      <c r="S470" s="28"/>
      <c r="T470" s="28"/>
      <c r="U470" s="27"/>
      <c r="V470" s="27"/>
      <c r="X470" s="27"/>
      <c r="Y470" s="27"/>
    </row>
    <row r="471" ht="15.75" customHeight="1">
      <c r="A471" s="33"/>
      <c r="B471" s="34"/>
      <c r="C471" s="34"/>
      <c r="D471" s="27"/>
      <c r="E471" s="27"/>
      <c r="F471" s="29"/>
      <c r="G471" s="27"/>
      <c r="H471" s="27"/>
      <c r="I471" s="29"/>
      <c r="J471" s="27"/>
      <c r="K471" s="27"/>
      <c r="L471" s="29"/>
      <c r="M471" s="27"/>
      <c r="N471" s="27"/>
      <c r="O471" s="29"/>
      <c r="P471" s="29"/>
      <c r="Q471" s="29"/>
      <c r="S471" s="28"/>
      <c r="T471" s="28"/>
      <c r="U471" s="27"/>
      <c r="V471" s="27"/>
      <c r="X471" s="27"/>
      <c r="Y471" s="27"/>
    </row>
    <row r="472" ht="15.75" customHeight="1">
      <c r="A472" s="33"/>
      <c r="B472" s="34"/>
      <c r="C472" s="34"/>
      <c r="D472" s="27"/>
      <c r="E472" s="27"/>
      <c r="F472" s="29"/>
      <c r="G472" s="27"/>
      <c r="H472" s="27"/>
      <c r="I472" s="29"/>
      <c r="J472" s="27"/>
      <c r="K472" s="27"/>
      <c r="L472" s="29"/>
      <c r="M472" s="27"/>
      <c r="N472" s="27"/>
      <c r="O472" s="29"/>
      <c r="P472" s="29"/>
      <c r="Q472" s="29"/>
      <c r="S472" s="28"/>
      <c r="T472" s="28"/>
      <c r="U472" s="27"/>
      <c r="V472" s="27"/>
      <c r="X472" s="27"/>
      <c r="Y472" s="27"/>
    </row>
    <row r="473" ht="15.75" customHeight="1">
      <c r="A473" s="33"/>
      <c r="B473" s="34"/>
      <c r="C473" s="34"/>
      <c r="D473" s="27"/>
      <c r="E473" s="27"/>
      <c r="F473" s="29"/>
      <c r="G473" s="27"/>
      <c r="H473" s="27"/>
      <c r="I473" s="29"/>
      <c r="J473" s="27"/>
      <c r="K473" s="27"/>
      <c r="L473" s="29"/>
      <c r="M473" s="27"/>
      <c r="N473" s="27"/>
      <c r="O473" s="29"/>
      <c r="P473" s="29"/>
      <c r="Q473" s="29"/>
      <c r="S473" s="28"/>
      <c r="T473" s="28"/>
      <c r="U473" s="27"/>
      <c r="V473" s="27"/>
      <c r="X473" s="27"/>
      <c r="Y473" s="27"/>
    </row>
    <row r="474" ht="15.75" customHeight="1">
      <c r="A474" s="33"/>
      <c r="B474" s="34"/>
      <c r="C474" s="34"/>
      <c r="D474" s="27"/>
      <c r="E474" s="27"/>
      <c r="F474" s="29"/>
      <c r="G474" s="27"/>
      <c r="H474" s="27"/>
      <c r="I474" s="29"/>
      <c r="J474" s="27"/>
      <c r="K474" s="27"/>
      <c r="L474" s="29"/>
      <c r="M474" s="27"/>
      <c r="N474" s="27"/>
      <c r="O474" s="29"/>
      <c r="P474" s="29"/>
      <c r="Q474" s="29"/>
      <c r="S474" s="28"/>
      <c r="T474" s="28"/>
      <c r="U474" s="27"/>
      <c r="V474" s="27"/>
      <c r="X474" s="27"/>
      <c r="Y474" s="27"/>
    </row>
    <row r="475" ht="15.75" customHeight="1">
      <c r="A475" s="33"/>
      <c r="B475" s="34"/>
      <c r="C475" s="34"/>
      <c r="D475" s="27"/>
      <c r="E475" s="27"/>
      <c r="F475" s="29"/>
      <c r="G475" s="27"/>
      <c r="H475" s="27"/>
      <c r="I475" s="29"/>
      <c r="J475" s="27"/>
      <c r="K475" s="27"/>
      <c r="L475" s="29"/>
      <c r="M475" s="27"/>
      <c r="N475" s="27"/>
      <c r="O475" s="29"/>
      <c r="P475" s="29"/>
      <c r="Q475" s="29"/>
      <c r="S475" s="28"/>
      <c r="T475" s="28"/>
      <c r="U475" s="27"/>
      <c r="V475" s="27"/>
      <c r="X475" s="27"/>
      <c r="Y475" s="27"/>
    </row>
    <row r="476" ht="15.75" customHeight="1">
      <c r="A476" s="33"/>
      <c r="B476" s="34"/>
      <c r="C476" s="34"/>
      <c r="D476" s="27"/>
      <c r="E476" s="27"/>
      <c r="F476" s="29"/>
      <c r="G476" s="27"/>
      <c r="H476" s="27"/>
      <c r="I476" s="29"/>
      <c r="J476" s="27"/>
      <c r="K476" s="27"/>
      <c r="L476" s="29"/>
      <c r="M476" s="27"/>
      <c r="N476" s="27"/>
      <c r="O476" s="29"/>
      <c r="P476" s="29"/>
      <c r="Q476" s="29"/>
      <c r="S476" s="28"/>
      <c r="T476" s="28"/>
      <c r="U476" s="27"/>
      <c r="V476" s="27"/>
      <c r="X476" s="27"/>
      <c r="Y476" s="27"/>
    </row>
    <row r="477" ht="15.75" customHeight="1">
      <c r="A477" s="33"/>
      <c r="B477" s="34"/>
      <c r="C477" s="34"/>
      <c r="D477" s="27"/>
      <c r="E477" s="27"/>
      <c r="F477" s="29"/>
      <c r="G477" s="27"/>
      <c r="H477" s="27"/>
      <c r="I477" s="29"/>
      <c r="J477" s="27"/>
      <c r="K477" s="27"/>
      <c r="L477" s="29"/>
      <c r="M477" s="27"/>
      <c r="N477" s="27"/>
      <c r="O477" s="29"/>
      <c r="P477" s="29"/>
      <c r="Q477" s="29"/>
      <c r="S477" s="28"/>
      <c r="T477" s="28"/>
      <c r="U477" s="27"/>
      <c r="V477" s="27"/>
      <c r="X477" s="27"/>
      <c r="Y477" s="27"/>
    </row>
    <row r="478" ht="15.75" customHeight="1">
      <c r="A478" s="33"/>
      <c r="B478" s="34"/>
      <c r="C478" s="34"/>
      <c r="D478" s="27"/>
      <c r="E478" s="27"/>
      <c r="F478" s="29"/>
      <c r="G478" s="27"/>
      <c r="H478" s="27"/>
      <c r="I478" s="29"/>
      <c r="J478" s="27"/>
      <c r="K478" s="27"/>
      <c r="L478" s="29"/>
      <c r="M478" s="27"/>
      <c r="N478" s="27"/>
      <c r="O478" s="29"/>
      <c r="P478" s="29"/>
      <c r="Q478" s="29"/>
      <c r="S478" s="28"/>
      <c r="T478" s="28"/>
      <c r="U478" s="27"/>
      <c r="V478" s="27"/>
      <c r="X478" s="27"/>
      <c r="Y478" s="27"/>
    </row>
    <row r="479" ht="15.75" customHeight="1">
      <c r="A479" s="33"/>
      <c r="B479" s="34"/>
      <c r="C479" s="34"/>
      <c r="D479" s="27"/>
      <c r="E479" s="27"/>
      <c r="F479" s="29"/>
      <c r="G479" s="27"/>
      <c r="H479" s="27"/>
      <c r="I479" s="29"/>
      <c r="J479" s="27"/>
      <c r="K479" s="27"/>
      <c r="L479" s="29"/>
      <c r="M479" s="27"/>
      <c r="N479" s="27"/>
      <c r="O479" s="29"/>
      <c r="P479" s="29"/>
      <c r="Q479" s="29"/>
      <c r="S479" s="28"/>
      <c r="T479" s="28"/>
      <c r="U479" s="27"/>
      <c r="V479" s="27"/>
      <c r="X479" s="27"/>
      <c r="Y479" s="27"/>
    </row>
    <row r="480" ht="15.75" customHeight="1">
      <c r="A480" s="33"/>
      <c r="B480" s="34"/>
      <c r="C480" s="34"/>
      <c r="D480" s="27"/>
      <c r="E480" s="27"/>
      <c r="F480" s="29"/>
      <c r="G480" s="27"/>
      <c r="H480" s="27"/>
      <c r="I480" s="29"/>
      <c r="J480" s="27"/>
      <c r="K480" s="27"/>
      <c r="L480" s="29"/>
      <c r="M480" s="27"/>
      <c r="N480" s="27"/>
      <c r="O480" s="29"/>
      <c r="P480" s="29"/>
      <c r="Q480" s="29"/>
      <c r="S480" s="28"/>
      <c r="T480" s="28"/>
      <c r="U480" s="27"/>
      <c r="V480" s="27"/>
      <c r="X480" s="27"/>
      <c r="Y480" s="27"/>
    </row>
    <row r="481" ht="15.75" customHeight="1">
      <c r="A481" s="33"/>
      <c r="B481" s="34"/>
      <c r="C481" s="34"/>
      <c r="D481" s="27"/>
      <c r="E481" s="27"/>
      <c r="F481" s="29"/>
      <c r="G481" s="27"/>
      <c r="H481" s="27"/>
      <c r="I481" s="29"/>
      <c r="J481" s="27"/>
      <c r="K481" s="27"/>
      <c r="L481" s="29"/>
      <c r="M481" s="27"/>
      <c r="N481" s="27"/>
      <c r="O481" s="29"/>
      <c r="P481" s="29"/>
      <c r="Q481" s="29"/>
      <c r="S481" s="28"/>
      <c r="T481" s="28"/>
      <c r="U481" s="27"/>
      <c r="V481" s="27"/>
      <c r="X481" s="27"/>
      <c r="Y481" s="27"/>
    </row>
    <row r="482" ht="15.75" customHeight="1">
      <c r="A482" s="33"/>
      <c r="B482" s="34"/>
      <c r="C482" s="34"/>
      <c r="D482" s="27"/>
      <c r="E482" s="27"/>
      <c r="F482" s="29"/>
      <c r="G482" s="27"/>
      <c r="H482" s="27"/>
      <c r="I482" s="29"/>
      <c r="J482" s="27"/>
      <c r="K482" s="27"/>
      <c r="L482" s="29"/>
      <c r="M482" s="27"/>
      <c r="N482" s="27"/>
      <c r="O482" s="29"/>
      <c r="P482" s="29"/>
      <c r="Q482" s="29"/>
      <c r="S482" s="28"/>
      <c r="T482" s="28"/>
      <c r="U482" s="27"/>
      <c r="V482" s="27"/>
      <c r="X482" s="27"/>
      <c r="Y482" s="27"/>
    </row>
    <row r="483" ht="15.75" customHeight="1">
      <c r="A483" s="33"/>
      <c r="B483" s="34"/>
      <c r="C483" s="34"/>
      <c r="D483" s="27"/>
      <c r="E483" s="27"/>
      <c r="F483" s="29"/>
      <c r="G483" s="27"/>
      <c r="H483" s="27"/>
      <c r="I483" s="29"/>
      <c r="J483" s="27"/>
      <c r="K483" s="27"/>
      <c r="L483" s="29"/>
      <c r="M483" s="27"/>
      <c r="N483" s="27"/>
      <c r="O483" s="29"/>
      <c r="P483" s="29"/>
      <c r="Q483" s="29"/>
      <c r="S483" s="28"/>
      <c r="T483" s="28"/>
      <c r="U483" s="27"/>
      <c r="V483" s="27"/>
      <c r="X483" s="27"/>
      <c r="Y483" s="27"/>
    </row>
    <row r="484" ht="15.75" customHeight="1">
      <c r="A484" s="33"/>
      <c r="B484" s="34"/>
      <c r="C484" s="34"/>
      <c r="D484" s="27"/>
      <c r="E484" s="27"/>
      <c r="F484" s="29"/>
      <c r="G484" s="27"/>
      <c r="H484" s="27"/>
      <c r="I484" s="29"/>
      <c r="J484" s="27"/>
      <c r="K484" s="27"/>
      <c r="L484" s="29"/>
      <c r="M484" s="27"/>
      <c r="N484" s="27"/>
      <c r="O484" s="29"/>
      <c r="P484" s="29"/>
      <c r="Q484" s="29"/>
      <c r="S484" s="28"/>
      <c r="T484" s="28"/>
      <c r="U484" s="27"/>
      <c r="V484" s="27"/>
      <c r="X484" s="27"/>
      <c r="Y484" s="27"/>
    </row>
    <row r="485" ht="15.75" customHeight="1">
      <c r="A485" s="33"/>
      <c r="B485" s="34"/>
      <c r="C485" s="34"/>
      <c r="D485" s="27"/>
      <c r="E485" s="27"/>
      <c r="F485" s="29"/>
      <c r="G485" s="27"/>
      <c r="H485" s="27"/>
      <c r="I485" s="29"/>
      <c r="J485" s="27"/>
      <c r="K485" s="27"/>
      <c r="L485" s="29"/>
      <c r="M485" s="27"/>
      <c r="N485" s="27"/>
      <c r="O485" s="29"/>
      <c r="P485" s="29"/>
      <c r="Q485" s="29"/>
      <c r="S485" s="28"/>
      <c r="T485" s="28"/>
      <c r="U485" s="27"/>
      <c r="V485" s="27"/>
      <c r="X485" s="27"/>
      <c r="Y485" s="27"/>
    </row>
    <row r="486" ht="15.75" customHeight="1">
      <c r="A486" s="33"/>
      <c r="B486" s="34"/>
      <c r="C486" s="34"/>
      <c r="D486" s="27"/>
      <c r="E486" s="27"/>
      <c r="F486" s="29"/>
      <c r="G486" s="27"/>
      <c r="H486" s="27"/>
      <c r="I486" s="29"/>
      <c r="J486" s="27"/>
      <c r="K486" s="27"/>
      <c r="L486" s="29"/>
      <c r="M486" s="27"/>
      <c r="N486" s="27"/>
      <c r="O486" s="29"/>
      <c r="P486" s="29"/>
      <c r="Q486" s="29"/>
      <c r="S486" s="28"/>
      <c r="T486" s="28"/>
      <c r="U486" s="27"/>
      <c r="V486" s="27"/>
      <c r="X486" s="27"/>
      <c r="Y486" s="27"/>
    </row>
    <row r="487" ht="15.75" customHeight="1">
      <c r="A487" s="33"/>
      <c r="B487" s="34"/>
      <c r="C487" s="34"/>
      <c r="D487" s="27"/>
      <c r="E487" s="27"/>
      <c r="F487" s="29"/>
      <c r="G487" s="27"/>
      <c r="H487" s="27"/>
      <c r="I487" s="29"/>
      <c r="J487" s="27"/>
      <c r="K487" s="27"/>
      <c r="L487" s="29"/>
      <c r="M487" s="27"/>
      <c r="N487" s="27"/>
      <c r="O487" s="29"/>
      <c r="P487" s="29"/>
      <c r="Q487" s="29"/>
      <c r="S487" s="28"/>
      <c r="T487" s="28"/>
      <c r="U487" s="27"/>
      <c r="V487" s="27"/>
      <c r="X487" s="27"/>
      <c r="Y487" s="27"/>
    </row>
    <row r="488" ht="15.75" customHeight="1">
      <c r="A488" s="33"/>
      <c r="B488" s="34"/>
      <c r="C488" s="34"/>
      <c r="D488" s="27"/>
      <c r="E488" s="27"/>
      <c r="F488" s="29"/>
      <c r="G488" s="27"/>
      <c r="H488" s="27"/>
      <c r="I488" s="29"/>
      <c r="J488" s="27"/>
      <c r="K488" s="27"/>
      <c r="L488" s="29"/>
      <c r="M488" s="27"/>
      <c r="N488" s="27"/>
      <c r="O488" s="29"/>
      <c r="P488" s="29"/>
      <c r="Q488" s="29"/>
      <c r="S488" s="28"/>
      <c r="T488" s="28"/>
      <c r="U488" s="27"/>
      <c r="V488" s="27"/>
      <c r="X488" s="27"/>
      <c r="Y488" s="27"/>
    </row>
    <row r="489" ht="15.75" customHeight="1">
      <c r="A489" s="33"/>
      <c r="B489" s="34"/>
      <c r="C489" s="34"/>
      <c r="D489" s="27"/>
      <c r="E489" s="27"/>
      <c r="F489" s="29"/>
      <c r="G489" s="27"/>
      <c r="H489" s="27"/>
      <c r="I489" s="29"/>
      <c r="J489" s="27"/>
      <c r="K489" s="27"/>
      <c r="L489" s="29"/>
      <c r="M489" s="27"/>
      <c r="N489" s="27"/>
      <c r="O489" s="29"/>
      <c r="P489" s="29"/>
      <c r="Q489" s="29"/>
      <c r="S489" s="28"/>
      <c r="T489" s="28"/>
      <c r="U489" s="27"/>
      <c r="V489" s="27"/>
      <c r="X489" s="27"/>
      <c r="Y489" s="27"/>
    </row>
    <row r="490" ht="15.75" customHeight="1">
      <c r="A490" s="33"/>
      <c r="B490" s="34"/>
      <c r="C490" s="34"/>
      <c r="D490" s="27"/>
      <c r="E490" s="27"/>
      <c r="F490" s="29"/>
      <c r="G490" s="27"/>
      <c r="H490" s="27"/>
      <c r="I490" s="29"/>
      <c r="J490" s="27"/>
      <c r="K490" s="27"/>
      <c r="L490" s="29"/>
      <c r="M490" s="27"/>
      <c r="N490" s="27"/>
      <c r="O490" s="29"/>
      <c r="P490" s="29"/>
      <c r="Q490" s="29"/>
      <c r="S490" s="28"/>
      <c r="T490" s="28"/>
      <c r="U490" s="27"/>
      <c r="V490" s="27"/>
      <c r="X490" s="27"/>
      <c r="Y490" s="27"/>
    </row>
    <row r="491" ht="15.75" customHeight="1">
      <c r="A491" s="33"/>
      <c r="B491" s="34"/>
      <c r="C491" s="34"/>
      <c r="D491" s="27"/>
      <c r="E491" s="27"/>
      <c r="F491" s="29"/>
      <c r="G491" s="27"/>
      <c r="H491" s="27"/>
      <c r="I491" s="29"/>
      <c r="J491" s="27"/>
      <c r="K491" s="27"/>
      <c r="L491" s="29"/>
      <c r="M491" s="27"/>
      <c r="N491" s="27"/>
      <c r="O491" s="29"/>
      <c r="P491" s="29"/>
      <c r="Q491" s="29"/>
      <c r="S491" s="28"/>
      <c r="T491" s="28"/>
      <c r="U491" s="27"/>
      <c r="V491" s="27"/>
      <c r="X491" s="27"/>
      <c r="Y491" s="27"/>
    </row>
    <row r="492" ht="15.75" customHeight="1">
      <c r="A492" s="33"/>
      <c r="B492" s="34"/>
      <c r="C492" s="34"/>
      <c r="D492" s="27"/>
      <c r="E492" s="27"/>
      <c r="F492" s="29"/>
      <c r="G492" s="27"/>
      <c r="H492" s="27"/>
      <c r="I492" s="29"/>
      <c r="J492" s="27"/>
      <c r="K492" s="27"/>
      <c r="L492" s="29"/>
      <c r="M492" s="27"/>
      <c r="N492" s="27"/>
      <c r="O492" s="29"/>
      <c r="P492" s="29"/>
      <c r="Q492" s="29"/>
      <c r="S492" s="28"/>
      <c r="T492" s="28"/>
      <c r="U492" s="27"/>
      <c r="V492" s="27"/>
      <c r="X492" s="27"/>
      <c r="Y492" s="27"/>
    </row>
    <row r="493" ht="15.75" customHeight="1">
      <c r="A493" s="33"/>
      <c r="B493" s="34"/>
      <c r="C493" s="34"/>
      <c r="D493" s="27"/>
      <c r="E493" s="27"/>
      <c r="F493" s="29"/>
      <c r="G493" s="27"/>
      <c r="H493" s="27"/>
      <c r="I493" s="29"/>
      <c r="J493" s="27"/>
      <c r="K493" s="27"/>
      <c r="L493" s="29"/>
      <c r="M493" s="27"/>
      <c r="N493" s="27"/>
      <c r="O493" s="29"/>
      <c r="P493" s="29"/>
      <c r="Q493" s="29"/>
      <c r="S493" s="28"/>
      <c r="T493" s="28"/>
      <c r="U493" s="27"/>
      <c r="V493" s="27"/>
      <c r="X493" s="27"/>
      <c r="Y493" s="27"/>
    </row>
    <row r="494" ht="15.75" customHeight="1">
      <c r="A494" s="33"/>
      <c r="B494" s="34"/>
      <c r="C494" s="34"/>
      <c r="D494" s="27"/>
      <c r="E494" s="27"/>
      <c r="F494" s="29"/>
      <c r="G494" s="27"/>
      <c r="H494" s="27"/>
      <c r="I494" s="29"/>
      <c r="J494" s="27"/>
      <c r="K494" s="27"/>
      <c r="L494" s="29"/>
      <c r="M494" s="27"/>
      <c r="N494" s="27"/>
      <c r="O494" s="29"/>
      <c r="P494" s="29"/>
      <c r="Q494" s="29"/>
      <c r="S494" s="28"/>
      <c r="T494" s="28"/>
      <c r="U494" s="27"/>
      <c r="V494" s="27"/>
      <c r="X494" s="27"/>
      <c r="Y494" s="27"/>
    </row>
    <row r="495" ht="15.75" customHeight="1">
      <c r="A495" s="33"/>
      <c r="B495" s="34"/>
      <c r="C495" s="34"/>
      <c r="D495" s="27"/>
      <c r="E495" s="27"/>
      <c r="F495" s="29"/>
      <c r="G495" s="27"/>
      <c r="H495" s="27"/>
      <c r="I495" s="29"/>
      <c r="J495" s="27"/>
      <c r="K495" s="27"/>
      <c r="L495" s="29"/>
      <c r="M495" s="27"/>
      <c r="N495" s="27"/>
      <c r="O495" s="29"/>
      <c r="P495" s="29"/>
      <c r="Q495" s="29"/>
      <c r="S495" s="28"/>
      <c r="T495" s="28"/>
      <c r="U495" s="27"/>
      <c r="V495" s="27"/>
      <c r="X495" s="27"/>
      <c r="Y495" s="27"/>
    </row>
    <row r="496" ht="15.75" customHeight="1">
      <c r="A496" s="33"/>
      <c r="B496" s="34"/>
      <c r="C496" s="34"/>
      <c r="D496" s="27"/>
      <c r="E496" s="27"/>
      <c r="F496" s="29"/>
      <c r="G496" s="27"/>
      <c r="H496" s="27"/>
      <c r="I496" s="29"/>
      <c r="J496" s="27"/>
      <c r="K496" s="27"/>
      <c r="L496" s="29"/>
      <c r="M496" s="27"/>
      <c r="N496" s="27"/>
      <c r="O496" s="29"/>
      <c r="P496" s="29"/>
      <c r="Q496" s="29"/>
      <c r="S496" s="28"/>
      <c r="T496" s="28"/>
      <c r="U496" s="27"/>
      <c r="V496" s="27"/>
      <c r="X496" s="27"/>
      <c r="Y496" s="27"/>
    </row>
    <row r="497" ht="15.75" customHeight="1">
      <c r="A497" s="33"/>
      <c r="B497" s="34"/>
      <c r="C497" s="34"/>
      <c r="D497" s="27"/>
      <c r="E497" s="27"/>
      <c r="F497" s="29"/>
      <c r="G497" s="27"/>
      <c r="H497" s="27"/>
      <c r="I497" s="29"/>
      <c r="J497" s="27"/>
      <c r="K497" s="27"/>
      <c r="L497" s="29"/>
      <c r="M497" s="27"/>
      <c r="N497" s="27"/>
      <c r="O497" s="29"/>
      <c r="P497" s="29"/>
      <c r="Q497" s="29"/>
      <c r="S497" s="28"/>
      <c r="T497" s="28"/>
      <c r="U497" s="27"/>
      <c r="V497" s="27"/>
      <c r="X497" s="27"/>
      <c r="Y497" s="27"/>
    </row>
    <row r="498" ht="15.75" customHeight="1">
      <c r="A498" s="33"/>
      <c r="B498" s="34"/>
      <c r="C498" s="34"/>
      <c r="D498" s="27"/>
      <c r="E498" s="27"/>
      <c r="F498" s="29"/>
      <c r="G498" s="27"/>
      <c r="H498" s="27"/>
      <c r="I498" s="29"/>
      <c r="J498" s="27"/>
      <c r="K498" s="27"/>
      <c r="L498" s="29"/>
      <c r="M498" s="27"/>
      <c r="N498" s="27"/>
      <c r="O498" s="29"/>
      <c r="P498" s="29"/>
      <c r="Q498" s="29"/>
      <c r="S498" s="28"/>
      <c r="T498" s="28"/>
      <c r="U498" s="27"/>
      <c r="V498" s="27"/>
      <c r="X498" s="27"/>
      <c r="Y498" s="27"/>
    </row>
    <row r="499" ht="15.75" customHeight="1">
      <c r="A499" s="33"/>
      <c r="B499" s="34"/>
      <c r="C499" s="34"/>
      <c r="D499" s="27"/>
      <c r="E499" s="27"/>
      <c r="F499" s="29"/>
      <c r="G499" s="27"/>
      <c r="H499" s="27"/>
      <c r="I499" s="29"/>
      <c r="J499" s="27"/>
      <c r="K499" s="27"/>
      <c r="L499" s="29"/>
      <c r="M499" s="27"/>
      <c r="N499" s="27"/>
      <c r="O499" s="29"/>
      <c r="P499" s="29"/>
      <c r="Q499" s="29"/>
      <c r="S499" s="28"/>
      <c r="T499" s="28"/>
      <c r="U499" s="27"/>
      <c r="V499" s="27"/>
      <c r="X499" s="27"/>
      <c r="Y499" s="27"/>
    </row>
    <row r="500" ht="15.75" customHeight="1">
      <c r="A500" s="33"/>
      <c r="B500" s="34"/>
      <c r="C500" s="34"/>
      <c r="D500" s="27"/>
      <c r="E500" s="27"/>
      <c r="F500" s="29"/>
      <c r="G500" s="27"/>
      <c r="H500" s="27"/>
      <c r="I500" s="29"/>
      <c r="J500" s="27"/>
      <c r="K500" s="27"/>
      <c r="L500" s="29"/>
      <c r="M500" s="27"/>
      <c r="N500" s="27"/>
      <c r="O500" s="29"/>
      <c r="P500" s="29"/>
      <c r="Q500" s="29"/>
      <c r="S500" s="28"/>
      <c r="T500" s="28"/>
      <c r="U500" s="27"/>
      <c r="V500" s="27"/>
      <c r="X500" s="27"/>
      <c r="Y500" s="27"/>
    </row>
    <row r="501" ht="15.75" customHeight="1">
      <c r="A501" s="33"/>
      <c r="B501" s="34"/>
      <c r="C501" s="34"/>
      <c r="D501" s="27"/>
      <c r="E501" s="27"/>
      <c r="F501" s="29"/>
      <c r="G501" s="27"/>
      <c r="H501" s="27"/>
      <c r="I501" s="29"/>
      <c r="J501" s="27"/>
      <c r="K501" s="27"/>
      <c r="L501" s="29"/>
      <c r="M501" s="27"/>
      <c r="N501" s="27"/>
      <c r="O501" s="29"/>
      <c r="P501" s="29"/>
      <c r="Q501" s="29"/>
      <c r="S501" s="28"/>
      <c r="T501" s="28"/>
      <c r="U501" s="27"/>
      <c r="V501" s="27"/>
      <c r="X501" s="27"/>
      <c r="Y501" s="27"/>
    </row>
    <row r="502" ht="15.75" customHeight="1">
      <c r="A502" s="33"/>
      <c r="B502" s="34"/>
      <c r="C502" s="34"/>
      <c r="D502" s="27"/>
      <c r="E502" s="27"/>
      <c r="F502" s="29"/>
      <c r="G502" s="27"/>
      <c r="H502" s="27"/>
      <c r="I502" s="29"/>
      <c r="J502" s="27"/>
      <c r="K502" s="27"/>
      <c r="L502" s="29"/>
      <c r="M502" s="27"/>
      <c r="N502" s="27"/>
      <c r="O502" s="29"/>
      <c r="P502" s="29"/>
      <c r="Q502" s="29"/>
      <c r="S502" s="28"/>
      <c r="T502" s="28"/>
      <c r="U502" s="27"/>
      <c r="V502" s="27"/>
      <c r="X502" s="27"/>
      <c r="Y502" s="27"/>
    </row>
    <row r="503" ht="15.75" customHeight="1">
      <c r="A503" s="33"/>
      <c r="B503" s="34"/>
      <c r="C503" s="34"/>
      <c r="D503" s="27"/>
      <c r="E503" s="27"/>
      <c r="F503" s="29"/>
      <c r="G503" s="27"/>
      <c r="H503" s="27"/>
      <c r="I503" s="29"/>
      <c r="J503" s="27"/>
      <c r="K503" s="27"/>
      <c r="L503" s="29"/>
      <c r="M503" s="27"/>
      <c r="N503" s="27"/>
      <c r="O503" s="29"/>
      <c r="P503" s="29"/>
      <c r="Q503" s="29"/>
      <c r="S503" s="28"/>
      <c r="T503" s="28"/>
      <c r="U503" s="27"/>
      <c r="V503" s="27"/>
      <c r="X503" s="27"/>
      <c r="Y503" s="27"/>
    </row>
    <row r="504" ht="15.75" customHeight="1">
      <c r="A504" s="33"/>
      <c r="B504" s="34"/>
      <c r="C504" s="34"/>
      <c r="D504" s="27"/>
      <c r="E504" s="27"/>
      <c r="F504" s="29"/>
      <c r="G504" s="27"/>
      <c r="H504" s="27"/>
      <c r="I504" s="29"/>
      <c r="J504" s="27"/>
      <c r="K504" s="27"/>
      <c r="L504" s="29"/>
      <c r="M504" s="27"/>
      <c r="N504" s="27"/>
      <c r="O504" s="29"/>
      <c r="P504" s="29"/>
      <c r="Q504" s="29"/>
      <c r="S504" s="28"/>
      <c r="T504" s="28"/>
      <c r="U504" s="27"/>
      <c r="V504" s="27"/>
      <c r="X504" s="27"/>
      <c r="Y504" s="27"/>
    </row>
    <row r="505" ht="15.75" customHeight="1">
      <c r="A505" s="33"/>
      <c r="B505" s="34"/>
      <c r="C505" s="34"/>
      <c r="D505" s="27"/>
      <c r="E505" s="27"/>
      <c r="F505" s="29"/>
      <c r="G505" s="27"/>
      <c r="H505" s="27"/>
      <c r="I505" s="29"/>
      <c r="J505" s="27"/>
      <c r="K505" s="27"/>
      <c r="L505" s="29"/>
      <c r="M505" s="27"/>
      <c r="N505" s="27"/>
      <c r="O505" s="29"/>
      <c r="P505" s="29"/>
      <c r="Q505" s="29"/>
      <c r="S505" s="28"/>
      <c r="T505" s="28"/>
      <c r="U505" s="27"/>
      <c r="V505" s="27"/>
      <c r="X505" s="27"/>
      <c r="Y505" s="27"/>
    </row>
    <row r="506" ht="15.75" customHeight="1">
      <c r="A506" s="33"/>
      <c r="B506" s="34"/>
      <c r="C506" s="34"/>
      <c r="D506" s="27"/>
      <c r="E506" s="27"/>
      <c r="F506" s="29"/>
      <c r="G506" s="27"/>
      <c r="H506" s="27"/>
      <c r="I506" s="29"/>
      <c r="J506" s="27"/>
      <c r="K506" s="27"/>
      <c r="L506" s="29"/>
      <c r="M506" s="27"/>
      <c r="N506" s="27"/>
      <c r="O506" s="29"/>
      <c r="P506" s="29"/>
      <c r="Q506" s="29"/>
      <c r="S506" s="28"/>
      <c r="T506" s="28"/>
      <c r="U506" s="27"/>
      <c r="V506" s="27"/>
      <c r="X506" s="27"/>
      <c r="Y506" s="27"/>
    </row>
    <row r="507" ht="15.75" customHeight="1">
      <c r="A507" s="33"/>
      <c r="B507" s="34"/>
      <c r="C507" s="34"/>
      <c r="D507" s="27"/>
      <c r="E507" s="27"/>
      <c r="F507" s="29"/>
      <c r="G507" s="27"/>
      <c r="H507" s="27"/>
      <c r="I507" s="29"/>
      <c r="J507" s="27"/>
      <c r="K507" s="27"/>
      <c r="L507" s="29"/>
      <c r="M507" s="27"/>
      <c r="N507" s="27"/>
      <c r="O507" s="29"/>
      <c r="P507" s="29"/>
      <c r="Q507" s="29"/>
      <c r="S507" s="28"/>
      <c r="T507" s="28"/>
      <c r="U507" s="27"/>
      <c r="V507" s="27"/>
      <c r="X507" s="27"/>
      <c r="Y507" s="27"/>
    </row>
    <row r="508" ht="15.75" customHeight="1">
      <c r="A508" s="33"/>
      <c r="B508" s="34"/>
      <c r="C508" s="34"/>
      <c r="D508" s="27"/>
      <c r="E508" s="27"/>
      <c r="F508" s="29"/>
      <c r="G508" s="27"/>
      <c r="H508" s="27"/>
      <c r="I508" s="29"/>
      <c r="J508" s="27"/>
      <c r="K508" s="27"/>
      <c r="L508" s="29"/>
      <c r="M508" s="27"/>
      <c r="N508" s="27"/>
      <c r="O508" s="29"/>
      <c r="P508" s="29"/>
      <c r="Q508" s="29"/>
      <c r="S508" s="28"/>
      <c r="T508" s="28"/>
      <c r="U508" s="27"/>
      <c r="V508" s="27"/>
      <c r="X508" s="27"/>
      <c r="Y508" s="27"/>
    </row>
    <row r="509" ht="15.75" customHeight="1">
      <c r="A509" s="33"/>
      <c r="B509" s="34"/>
      <c r="C509" s="34"/>
      <c r="D509" s="27"/>
      <c r="E509" s="27"/>
      <c r="F509" s="29"/>
      <c r="G509" s="27"/>
      <c r="H509" s="27"/>
      <c r="I509" s="29"/>
      <c r="J509" s="27"/>
      <c r="K509" s="27"/>
      <c r="L509" s="29"/>
      <c r="M509" s="27"/>
      <c r="N509" s="27"/>
      <c r="O509" s="29"/>
      <c r="P509" s="29"/>
      <c r="Q509" s="29"/>
      <c r="S509" s="28"/>
      <c r="T509" s="28"/>
      <c r="U509" s="27"/>
      <c r="V509" s="27"/>
      <c r="X509" s="27"/>
      <c r="Y509" s="27"/>
    </row>
    <row r="510" ht="15.75" customHeight="1">
      <c r="A510" s="33"/>
      <c r="B510" s="34"/>
      <c r="C510" s="34"/>
      <c r="D510" s="27"/>
      <c r="E510" s="27"/>
      <c r="F510" s="29"/>
      <c r="G510" s="27"/>
      <c r="H510" s="27"/>
      <c r="I510" s="29"/>
      <c r="J510" s="27"/>
      <c r="K510" s="27"/>
      <c r="L510" s="29"/>
      <c r="M510" s="27"/>
      <c r="N510" s="27"/>
      <c r="O510" s="29"/>
      <c r="P510" s="29"/>
      <c r="Q510" s="29"/>
      <c r="S510" s="28"/>
      <c r="T510" s="28"/>
      <c r="U510" s="27"/>
      <c r="V510" s="27"/>
      <c r="X510" s="27"/>
      <c r="Y510" s="27"/>
    </row>
    <row r="511" ht="15.75" customHeight="1">
      <c r="A511" s="33"/>
      <c r="B511" s="34"/>
      <c r="C511" s="34"/>
      <c r="D511" s="27"/>
      <c r="E511" s="27"/>
      <c r="F511" s="29"/>
      <c r="G511" s="27"/>
      <c r="H511" s="27"/>
      <c r="I511" s="29"/>
      <c r="J511" s="27"/>
      <c r="K511" s="27"/>
      <c r="L511" s="29"/>
      <c r="M511" s="27"/>
      <c r="N511" s="27"/>
      <c r="O511" s="29"/>
      <c r="P511" s="29"/>
      <c r="Q511" s="29"/>
      <c r="S511" s="28"/>
      <c r="T511" s="28"/>
      <c r="U511" s="27"/>
      <c r="V511" s="27"/>
      <c r="X511" s="27"/>
      <c r="Y511" s="27"/>
    </row>
    <row r="512" ht="15.75" customHeight="1">
      <c r="A512" s="33"/>
      <c r="B512" s="34"/>
      <c r="C512" s="34"/>
      <c r="D512" s="27"/>
      <c r="E512" s="27"/>
      <c r="F512" s="29"/>
      <c r="G512" s="27"/>
      <c r="H512" s="27"/>
      <c r="I512" s="29"/>
      <c r="J512" s="27"/>
      <c r="K512" s="27"/>
      <c r="L512" s="29"/>
      <c r="M512" s="27"/>
      <c r="N512" s="27"/>
      <c r="O512" s="29"/>
      <c r="P512" s="29"/>
      <c r="Q512" s="29"/>
      <c r="S512" s="28"/>
      <c r="T512" s="28"/>
      <c r="U512" s="27"/>
      <c r="V512" s="27"/>
      <c r="X512" s="27"/>
      <c r="Y512" s="27"/>
    </row>
    <row r="513" ht="15.75" customHeight="1">
      <c r="A513" s="33"/>
      <c r="B513" s="34"/>
      <c r="C513" s="34"/>
      <c r="D513" s="27"/>
      <c r="E513" s="27"/>
      <c r="F513" s="29"/>
      <c r="G513" s="27"/>
      <c r="H513" s="27"/>
      <c r="I513" s="29"/>
      <c r="J513" s="27"/>
      <c r="K513" s="27"/>
      <c r="L513" s="29"/>
      <c r="M513" s="27"/>
      <c r="N513" s="27"/>
      <c r="O513" s="29"/>
      <c r="P513" s="29"/>
      <c r="Q513" s="29"/>
      <c r="S513" s="28"/>
      <c r="T513" s="28"/>
      <c r="U513" s="27"/>
      <c r="V513" s="27"/>
      <c r="X513" s="27"/>
      <c r="Y513" s="27"/>
    </row>
    <row r="514" ht="15.75" customHeight="1">
      <c r="A514" s="33"/>
      <c r="B514" s="34"/>
      <c r="C514" s="34"/>
      <c r="D514" s="27"/>
      <c r="E514" s="27"/>
      <c r="F514" s="29"/>
      <c r="G514" s="27"/>
      <c r="H514" s="27"/>
      <c r="I514" s="29"/>
      <c r="J514" s="27"/>
      <c r="K514" s="27"/>
      <c r="L514" s="29"/>
      <c r="M514" s="27"/>
      <c r="N514" s="27"/>
      <c r="O514" s="29"/>
      <c r="P514" s="29"/>
      <c r="Q514" s="29"/>
      <c r="S514" s="28"/>
      <c r="T514" s="28"/>
      <c r="U514" s="27"/>
      <c r="V514" s="27"/>
      <c r="X514" s="27"/>
      <c r="Y514" s="27"/>
    </row>
    <row r="515" ht="15.75" customHeight="1">
      <c r="A515" s="33"/>
      <c r="B515" s="34"/>
      <c r="C515" s="34"/>
      <c r="D515" s="27"/>
      <c r="E515" s="27"/>
      <c r="F515" s="29"/>
      <c r="G515" s="27"/>
      <c r="H515" s="27"/>
      <c r="I515" s="29"/>
      <c r="J515" s="27"/>
      <c r="K515" s="27"/>
      <c r="L515" s="29"/>
      <c r="M515" s="27"/>
      <c r="N515" s="27"/>
      <c r="O515" s="29"/>
      <c r="P515" s="29"/>
      <c r="Q515" s="29"/>
      <c r="S515" s="28"/>
      <c r="T515" s="28"/>
      <c r="U515" s="27"/>
      <c r="V515" s="27"/>
      <c r="X515" s="27"/>
      <c r="Y515" s="27"/>
    </row>
    <row r="516" ht="15.75" customHeight="1">
      <c r="A516" s="33"/>
      <c r="B516" s="34"/>
      <c r="C516" s="34"/>
      <c r="D516" s="27"/>
      <c r="E516" s="27"/>
      <c r="F516" s="29"/>
      <c r="G516" s="27"/>
      <c r="H516" s="27"/>
      <c r="I516" s="29"/>
      <c r="J516" s="27"/>
      <c r="K516" s="27"/>
      <c r="L516" s="29"/>
      <c r="M516" s="27"/>
      <c r="N516" s="27"/>
      <c r="O516" s="29"/>
      <c r="P516" s="29"/>
      <c r="Q516" s="29"/>
      <c r="S516" s="28"/>
      <c r="T516" s="28"/>
      <c r="U516" s="27"/>
      <c r="V516" s="27"/>
      <c r="X516" s="27"/>
      <c r="Y516" s="27"/>
    </row>
    <row r="517" ht="15.75" customHeight="1">
      <c r="A517" s="33"/>
      <c r="B517" s="34"/>
      <c r="C517" s="34"/>
      <c r="D517" s="27"/>
      <c r="E517" s="27"/>
      <c r="F517" s="29"/>
      <c r="G517" s="27"/>
      <c r="H517" s="27"/>
      <c r="I517" s="29"/>
      <c r="J517" s="27"/>
      <c r="K517" s="27"/>
      <c r="L517" s="29"/>
      <c r="M517" s="27"/>
      <c r="N517" s="27"/>
      <c r="O517" s="29"/>
      <c r="P517" s="29"/>
      <c r="Q517" s="29"/>
      <c r="S517" s="28"/>
      <c r="T517" s="28"/>
      <c r="U517" s="27"/>
      <c r="V517" s="27"/>
      <c r="X517" s="27"/>
      <c r="Y517" s="27"/>
    </row>
    <row r="518" ht="15.75" customHeight="1">
      <c r="A518" s="33"/>
      <c r="B518" s="34"/>
      <c r="C518" s="34"/>
      <c r="D518" s="27"/>
      <c r="E518" s="27"/>
      <c r="F518" s="29"/>
      <c r="G518" s="27"/>
      <c r="H518" s="27"/>
      <c r="I518" s="29"/>
      <c r="J518" s="27"/>
      <c r="K518" s="27"/>
      <c r="L518" s="29"/>
      <c r="M518" s="27"/>
      <c r="N518" s="27"/>
      <c r="O518" s="29"/>
      <c r="P518" s="29"/>
      <c r="Q518" s="29"/>
      <c r="S518" s="28"/>
      <c r="T518" s="28"/>
      <c r="U518" s="27"/>
      <c r="V518" s="27"/>
      <c r="X518" s="27"/>
      <c r="Y518" s="27"/>
    </row>
    <row r="519" ht="15.75" customHeight="1">
      <c r="A519" s="33"/>
      <c r="B519" s="34"/>
      <c r="C519" s="34"/>
      <c r="D519" s="27"/>
      <c r="E519" s="27"/>
      <c r="F519" s="29"/>
      <c r="G519" s="27"/>
      <c r="H519" s="27"/>
      <c r="I519" s="29"/>
      <c r="J519" s="27"/>
      <c r="K519" s="27"/>
      <c r="L519" s="29"/>
      <c r="M519" s="27"/>
      <c r="N519" s="27"/>
      <c r="O519" s="29"/>
      <c r="P519" s="29"/>
      <c r="Q519" s="29"/>
      <c r="S519" s="28"/>
      <c r="T519" s="28"/>
      <c r="U519" s="27"/>
      <c r="V519" s="27"/>
      <c r="X519" s="27"/>
      <c r="Y519" s="27"/>
    </row>
    <row r="520" ht="15.75" customHeight="1">
      <c r="A520" s="33"/>
      <c r="B520" s="34"/>
      <c r="C520" s="34"/>
      <c r="D520" s="27"/>
      <c r="E520" s="27"/>
      <c r="F520" s="29"/>
      <c r="G520" s="27"/>
      <c r="H520" s="27"/>
      <c r="I520" s="29"/>
      <c r="J520" s="27"/>
      <c r="K520" s="27"/>
      <c r="L520" s="29"/>
      <c r="M520" s="27"/>
      <c r="N520" s="27"/>
      <c r="O520" s="29"/>
      <c r="P520" s="29"/>
      <c r="Q520" s="29"/>
      <c r="S520" s="28"/>
      <c r="T520" s="28"/>
      <c r="U520" s="27"/>
      <c r="V520" s="27"/>
      <c r="X520" s="27"/>
      <c r="Y520" s="27"/>
    </row>
    <row r="521" ht="15.75" customHeight="1">
      <c r="A521" s="33"/>
      <c r="B521" s="34"/>
      <c r="C521" s="34"/>
      <c r="D521" s="27"/>
      <c r="E521" s="27"/>
      <c r="F521" s="29"/>
      <c r="G521" s="27"/>
      <c r="H521" s="27"/>
      <c r="I521" s="29"/>
      <c r="J521" s="27"/>
      <c r="K521" s="27"/>
      <c r="L521" s="29"/>
      <c r="M521" s="27"/>
      <c r="N521" s="27"/>
      <c r="O521" s="29"/>
      <c r="P521" s="29"/>
      <c r="Q521" s="29"/>
      <c r="S521" s="28"/>
      <c r="T521" s="28"/>
      <c r="U521" s="27"/>
      <c r="V521" s="27"/>
      <c r="X521" s="27"/>
      <c r="Y521" s="27"/>
    </row>
    <row r="522" ht="15.75" customHeight="1">
      <c r="A522" s="33"/>
      <c r="B522" s="34"/>
      <c r="C522" s="34"/>
      <c r="D522" s="27"/>
      <c r="E522" s="27"/>
      <c r="F522" s="29"/>
      <c r="G522" s="27"/>
      <c r="H522" s="27"/>
      <c r="I522" s="29"/>
      <c r="J522" s="27"/>
      <c r="K522" s="27"/>
      <c r="L522" s="29"/>
      <c r="M522" s="27"/>
      <c r="N522" s="27"/>
      <c r="O522" s="29"/>
      <c r="P522" s="29"/>
      <c r="Q522" s="29"/>
      <c r="S522" s="28"/>
      <c r="T522" s="28"/>
      <c r="U522" s="27"/>
      <c r="V522" s="27"/>
      <c r="X522" s="27"/>
      <c r="Y522" s="27"/>
    </row>
    <row r="523" ht="15.75" customHeight="1">
      <c r="A523" s="33"/>
      <c r="B523" s="34"/>
      <c r="C523" s="34"/>
      <c r="D523" s="27"/>
      <c r="E523" s="27"/>
      <c r="F523" s="29"/>
      <c r="G523" s="27"/>
      <c r="H523" s="27"/>
      <c r="I523" s="29"/>
      <c r="J523" s="27"/>
      <c r="K523" s="27"/>
      <c r="L523" s="29"/>
      <c r="M523" s="27"/>
      <c r="N523" s="27"/>
      <c r="O523" s="29"/>
      <c r="P523" s="29"/>
      <c r="Q523" s="29"/>
      <c r="S523" s="28"/>
      <c r="T523" s="28"/>
      <c r="U523" s="27"/>
      <c r="V523" s="27"/>
      <c r="X523" s="27"/>
      <c r="Y523" s="27"/>
    </row>
    <row r="524" ht="15.75" customHeight="1">
      <c r="A524" s="33"/>
      <c r="B524" s="34"/>
      <c r="C524" s="34"/>
      <c r="D524" s="27"/>
      <c r="E524" s="27"/>
      <c r="F524" s="29"/>
      <c r="G524" s="27"/>
      <c r="H524" s="27"/>
      <c r="I524" s="29"/>
      <c r="J524" s="27"/>
      <c r="K524" s="27"/>
      <c r="L524" s="29"/>
      <c r="M524" s="27"/>
      <c r="N524" s="27"/>
      <c r="O524" s="29"/>
      <c r="P524" s="29"/>
      <c r="Q524" s="29"/>
      <c r="S524" s="28"/>
      <c r="T524" s="28"/>
      <c r="U524" s="27"/>
      <c r="V524" s="27"/>
      <c r="X524" s="27"/>
      <c r="Y524" s="27"/>
    </row>
    <row r="525" ht="15.75" customHeight="1">
      <c r="A525" s="33"/>
      <c r="B525" s="34"/>
      <c r="C525" s="34"/>
      <c r="D525" s="27"/>
      <c r="E525" s="27"/>
      <c r="F525" s="29"/>
      <c r="G525" s="27"/>
      <c r="H525" s="27"/>
      <c r="I525" s="29"/>
      <c r="J525" s="27"/>
      <c r="K525" s="27"/>
      <c r="L525" s="29"/>
      <c r="M525" s="27"/>
      <c r="N525" s="27"/>
      <c r="O525" s="29"/>
      <c r="P525" s="29"/>
      <c r="Q525" s="29"/>
      <c r="S525" s="28"/>
      <c r="T525" s="28"/>
      <c r="U525" s="27"/>
      <c r="V525" s="27"/>
      <c r="X525" s="27"/>
      <c r="Y525" s="27"/>
    </row>
    <row r="526" ht="15.75" customHeight="1">
      <c r="A526" s="33"/>
      <c r="B526" s="34"/>
      <c r="C526" s="34"/>
      <c r="D526" s="27"/>
      <c r="E526" s="27"/>
      <c r="F526" s="29"/>
      <c r="G526" s="27"/>
      <c r="H526" s="27"/>
      <c r="I526" s="29"/>
      <c r="J526" s="27"/>
      <c r="K526" s="27"/>
      <c r="L526" s="29"/>
      <c r="M526" s="27"/>
      <c r="N526" s="27"/>
      <c r="O526" s="29"/>
      <c r="P526" s="29"/>
      <c r="Q526" s="29"/>
      <c r="S526" s="28"/>
      <c r="T526" s="28"/>
      <c r="U526" s="27"/>
      <c r="V526" s="27"/>
      <c r="X526" s="27"/>
      <c r="Y526" s="27"/>
    </row>
    <row r="527" ht="15.75" customHeight="1">
      <c r="A527" s="33"/>
      <c r="B527" s="34"/>
      <c r="C527" s="34"/>
      <c r="D527" s="27"/>
      <c r="E527" s="27"/>
      <c r="F527" s="29"/>
      <c r="G527" s="27"/>
      <c r="H527" s="27"/>
      <c r="I527" s="29"/>
      <c r="J527" s="27"/>
      <c r="K527" s="27"/>
      <c r="L527" s="29"/>
      <c r="M527" s="27"/>
      <c r="N527" s="27"/>
      <c r="O527" s="29"/>
      <c r="P527" s="29"/>
      <c r="Q527" s="29"/>
      <c r="S527" s="28"/>
      <c r="T527" s="28"/>
      <c r="U527" s="27"/>
      <c r="V527" s="27"/>
      <c r="X527" s="27"/>
      <c r="Y527" s="27"/>
    </row>
    <row r="528" ht="15.75" customHeight="1">
      <c r="A528" s="33"/>
      <c r="B528" s="34"/>
      <c r="C528" s="34"/>
      <c r="D528" s="27"/>
      <c r="E528" s="27"/>
      <c r="F528" s="29"/>
      <c r="G528" s="27"/>
      <c r="H528" s="27"/>
      <c r="I528" s="29"/>
      <c r="J528" s="27"/>
      <c r="K528" s="27"/>
      <c r="L528" s="29"/>
      <c r="M528" s="27"/>
      <c r="N528" s="27"/>
      <c r="O528" s="29"/>
      <c r="P528" s="29"/>
      <c r="Q528" s="29"/>
      <c r="S528" s="28"/>
      <c r="T528" s="28"/>
      <c r="U528" s="27"/>
      <c r="V528" s="27"/>
      <c r="X528" s="27"/>
      <c r="Y528" s="27"/>
    </row>
    <row r="529" ht="15.75" customHeight="1">
      <c r="A529" s="33"/>
      <c r="B529" s="34"/>
      <c r="C529" s="34"/>
      <c r="D529" s="27"/>
      <c r="E529" s="27"/>
      <c r="F529" s="29"/>
      <c r="G529" s="27"/>
      <c r="H529" s="27"/>
      <c r="I529" s="29"/>
      <c r="J529" s="27"/>
      <c r="K529" s="27"/>
      <c r="L529" s="29"/>
      <c r="M529" s="27"/>
      <c r="N529" s="27"/>
      <c r="O529" s="29"/>
      <c r="P529" s="29"/>
      <c r="Q529" s="29"/>
      <c r="S529" s="28"/>
      <c r="T529" s="28"/>
      <c r="U529" s="27"/>
      <c r="V529" s="27"/>
      <c r="X529" s="27"/>
      <c r="Y529" s="27"/>
    </row>
    <row r="530" ht="15.75" customHeight="1">
      <c r="A530" s="33"/>
      <c r="B530" s="34"/>
      <c r="C530" s="34"/>
      <c r="D530" s="27"/>
      <c r="E530" s="27"/>
      <c r="F530" s="29"/>
      <c r="G530" s="27"/>
      <c r="H530" s="27"/>
      <c r="I530" s="29"/>
      <c r="J530" s="27"/>
      <c r="K530" s="27"/>
      <c r="L530" s="29"/>
      <c r="M530" s="27"/>
      <c r="N530" s="27"/>
      <c r="O530" s="29"/>
      <c r="P530" s="29"/>
      <c r="Q530" s="29"/>
      <c r="S530" s="28"/>
      <c r="T530" s="28"/>
      <c r="U530" s="27"/>
      <c r="V530" s="27"/>
      <c r="X530" s="27"/>
      <c r="Y530" s="27"/>
    </row>
    <row r="531" ht="15.75" customHeight="1">
      <c r="A531" s="33"/>
      <c r="B531" s="34"/>
      <c r="C531" s="34"/>
      <c r="D531" s="27"/>
      <c r="E531" s="27"/>
      <c r="F531" s="29"/>
      <c r="G531" s="27"/>
      <c r="H531" s="27"/>
      <c r="I531" s="29"/>
      <c r="J531" s="27"/>
      <c r="K531" s="27"/>
      <c r="L531" s="29"/>
      <c r="M531" s="27"/>
      <c r="N531" s="27"/>
      <c r="O531" s="29"/>
      <c r="P531" s="29"/>
      <c r="Q531" s="29"/>
      <c r="S531" s="28"/>
      <c r="T531" s="28"/>
      <c r="U531" s="27"/>
      <c r="V531" s="27"/>
      <c r="X531" s="27"/>
      <c r="Y531" s="27"/>
    </row>
    <row r="532" ht="15.75" customHeight="1">
      <c r="A532" s="33"/>
      <c r="B532" s="34"/>
      <c r="C532" s="34"/>
      <c r="D532" s="27"/>
      <c r="E532" s="27"/>
      <c r="F532" s="29"/>
      <c r="G532" s="27"/>
      <c r="H532" s="27"/>
      <c r="I532" s="29"/>
      <c r="J532" s="27"/>
      <c r="K532" s="27"/>
      <c r="L532" s="29"/>
      <c r="M532" s="27"/>
      <c r="N532" s="27"/>
      <c r="O532" s="29"/>
      <c r="P532" s="29"/>
      <c r="Q532" s="29"/>
      <c r="S532" s="28"/>
      <c r="T532" s="28"/>
      <c r="U532" s="27"/>
      <c r="V532" s="27"/>
      <c r="X532" s="27"/>
      <c r="Y532" s="27"/>
    </row>
    <row r="533" ht="15.75" customHeight="1">
      <c r="A533" s="33"/>
      <c r="B533" s="34"/>
      <c r="C533" s="34"/>
      <c r="D533" s="27"/>
      <c r="E533" s="27"/>
      <c r="F533" s="29"/>
      <c r="G533" s="27"/>
      <c r="H533" s="27"/>
      <c r="I533" s="29"/>
      <c r="J533" s="27"/>
      <c r="K533" s="27"/>
      <c r="L533" s="29"/>
      <c r="M533" s="27"/>
      <c r="N533" s="27"/>
      <c r="O533" s="29"/>
      <c r="P533" s="29"/>
      <c r="Q533" s="29"/>
      <c r="S533" s="28"/>
      <c r="T533" s="28"/>
      <c r="U533" s="27"/>
      <c r="V533" s="27"/>
      <c r="X533" s="27"/>
      <c r="Y533" s="27"/>
    </row>
    <row r="534" ht="15.75" customHeight="1">
      <c r="A534" s="33"/>
      <c r="B534" s="34"/>
      <c r="C534" s="34"/>
      <c r="D534" s="27"/>
      <c r="E534" s="27"/>
      <c r="F534" s="29"/>
      <c r="G534" s="27"/>
      <c r="H534" s="27"/>
      <c r="I534" s="29"/>
      <c r="J534" s="27"/>
      <c r="K534" s="27"/>
      <c r="L534" s="29"/>
      <c r="M534" s="27"/>
      <c r="N534" s="27"/>
      <c r="O534" s="29"/>
      <c r="P534" s="29"/>
      <c r="Q534" s="29"/>
      <c r="S534" s="28"/>
      <c r="T534" s="28"/>
      <c r="U534" s="27"/>
      <c r="V534" s="27"/>
      <c r="X534" s="27"/>
      <c r="Y534" s="27"/>
    </row>
    <row r="535" ht="15.75" customHeight="1">
      <c r="A535" s="33"/>
      <c r="B535" s="34"/>
      <c r="C535" s="34"/>
      <c r="D535" s="27"/>
      <c r="E535" s="27"/>
      <c r="F535" s="29"/>
      <c r="G535" s="27"/>
      <c r="H535" s="27"/>
      <c r="I535" s="29"/>
      <c r="J535" s="27"/>
      <c r="K535" s="27"/>
      <c r="L535" s="29"/>
      <c r="M535" s="27"/>
      <c r="N535" s="27"/>
      <c r="O535" s="29"/>
      <c r="P535" s="29"/>
      <c r="Q535" s="29"/>
      <c r="S535" s="28"/>
      <c r="T535" s="28"/>
      <c r="U535" s="27"/>
      <c r="V535" s="27"/>
      <c r="X535" s="27"/>
      <c r="Y535" s="27"/>
    </row>
    <row r="536" ht="15.75" customHeight="1">
      <c r="A536" s="33"/>
      <c r="B536" s="34"/>
      <c r="C536" s="34"/>
      <c r="D536" s="27"/>
      <c r="E536" s="27"/>
      <c r="F536" s="29"/>
      <c r="G536" s="27"/>
      <c r="H536" s="27"/>
      <c r="I536" s="29"/>
      <c r="J536" s="27"/>
      <c r="K536" s="27"/>
      <c r="L536" s="29"/>
      <c r="M536" s="27"/>
      <c r="N536" s="27"/>
      <c r="O536" s="29"/>
      <c r="P536" s="29"/>
      <c r="Q536" s="29"/>
      <c r="S536" s="28"/>
      <c r="T536" s="28"/>
      <c r="U536" s="27"/>
      <c r="V536" s="27"/>
      <c r="X536" s="27"/>
      <c r="Y536" s="27"/>
    </row>
    <row r="537" ht="15.75" customHeight="1">
      <c r="A537" s="33"/>
      <c r="B537" s="34"/>
      <c r="C537" s="34"/>
      <c r="D537" s="27"/>
      <c r="E537" s="27"/>
      <c r="F537" s="29"/>
      <c r="G537" s="27"/>
      <c r="H537" s="27"/>
      <c r="I537" s="29"/>
      <c r="J537" s="27"/>
      <c r="K537" s="27"/>
      <c r="L537" s="29"/>
      <c r="M537" s="27"/>
      <c r="N537" s="27"/>
      <c r="O537" s="29"/>
      <c r="P537" s="29"/>
      <c r="Q537" s="29"/>
      <c r="S537" s="28"/>
      <c r="T537" s="28"/>
      <c r="U537" s="27"/>
      <c r="V537" s="27"/>
      <c r="X537" s="27"/>
      <c r="Y537" s="27"/>
    </row>
    <row r="538" ht="15.75" customHeight="1">
      <c r="A538" s="33"/>
      <c r="B538" s="34"/>
      <c r="C538" s="34"/>
      <c r="D538" s="27"/>
      <c r="E538" s="27"/>
      <c r="F538" s="29"/>
      <c r="G538" s="27"/>
      <c r="H538" s="27"/>
      <c r="I538" s="29"/>
      <c r="J538" s="27"/>
      <c r="K538" s="27"/>
      <c r="L538" s="29"/>
      <c r="M538" s="27"/>
      <c r="N538" s="27"/>
      <c r="O538" s="29"/>
      <c r="P538" s="29"/>
      <c r="Q538" s="29"/>
      <c r="S538" s="28"/>
      <c r="T538" s="28"/>
      <c r="U538" s="27"/>
      <c r="V538" s="27"/>
      <c r="X538" s="27"/>
      <c r="Y538" s="27"/>
    </row>
    <row r="539" ht="15.75" customHeight="1">
      <c r="A539" s="33"/>
      <c r="B539" s="34"/>
      <c r="C539" s="34"/>
      <c r="D539" s="27"/>
      <c r="E539" s="27"/>
      <c r="F539" s="29"/>
      <c r="G539" s="27"/>
      <c r="H539" s="27"/>
      <c r="I539" s="29"/>
      <c r="J539" s="27"/>
      <c r="K539" s="27"/>
      <c r="L539" s="29"/>
      <c r="M539" s="27"/>
      <c r="N539" s="27"/>
      <c r="O539" s="29"/>
      <c r="P539" s="29"/>
      <c r="Q539" s="29"/>
      <c r="S539" s="28"/>
      <c r="T539" s="28"/>
      <c r="U539" s="27"/>
      <c r="V539" s="27"/>
      <c r="X539" s="27"/>
      <c r="Y539" s="27"/>
    </row>
    <row r="540" ht="15.75" customHeight="1">
      <c r="A540" s="33"/>
      <c r="B540" s="34"/>
      <c r="C540" s="34"/>
      <c r="D540" s="27"/>
      <c r="E540" s="27"/>
      <c r="F540" s="29"/>
      <c r="G540" s="27"/>
      <c r="H540" s="27"/>
      <c r="I540" s="29"/>
      <c r="J540" s="27"/>
      <c r="K540" s="27"/>
      <c r="L540" s="29"/>
      <c r="M540" s="27"/>
      <c r="N540" s="27"/>
      <c r="O540" s="29"/>
      <c r="P540" s="29"/>
      <c r="Q540" s="29"/>
      <c r="S540" s="28"/>
      <c r="T540" s="28"/>
      <c r="U540" s="27"/>
      <c r="V540" s="27"/>
      <c r="X540" s="27"/>
      <c r="Y540" s="27"/>
    </row>
    <row r="541" ht="15.75" customHeight="1">
      <c r="A541" s="33"/>
      <c r="B541" s="34"/>
      <c r="C541" s="34"/>
      <c r="D541" s="27"/>
      <c r="E541" s="27"/>
      <c r="F541" s="29"/>
      <c r="G541" s="27"/>
      <c r="H541" s="27"/>
      <c r="I541" s="29"/>
      <c r="J541" s="27"/>
      <c r="K541" s="27"/>
      <c r="L541" s="29"/>
      <c r="M541" s="27"/>
      <c r="N541" s="27"/>
      <c r="O541" s="29"/>
      <c r="P541" s="29"/>
      <c r="Q541" s="29"/>
      <c r="S541" s="28"/>
      <c r="T541" s="28"/>
      <c r="U541" s="27"/>
      <c r="V541" s="27"/>
      <c r="X541" s="27"/>
      <c r="Y541" s="27"/>
    </row>
    <row r="542" ht="15.75" customHeight="1">
      <c r="A542" s="33"/>
      <c r="B542" s="34"/>
      <c r="C542" s="34"/>
      <c r="D542" s="27"/>
      <c r="E542" s="27"/>
      <c r="F542" s="29"/>
      <c r="G542" s="27"/>
      <c r="H542" s="27"/>
      <c r="I542" s="29"/>
      <c r="J542" s="27"/>
      <c r="K542" s="27"/>
      <c r="L542" s="29"/>
      <c r="M542" s="27"/>
      <c r="N542" s="27"/>
      <c r="O542" s="29"/>
      <c r="P542" s="29"/>
      <c r="Q542" s="29"/>
      <c r="S542" s="28"/>
      <c r="T542" s="28"/>
      <c r="U542" s="27"/>
      <c r="V542" s="27"/>
      <c r="X542" s="27"/>
      <c r="Y542" s="27"/>
    </row>
    <row r="543" ht="15.75" customHeight="1">
      <c r="A543" s="33"/>
      <c r="B543" s="34"/>
      <c r="C543" s="34"/>
      <c r="D543" s="27"/>
      <c r="E543" s="27"/>
      <c r="F543" s="29"/>
      <c r="G543" s="27"/>
      <c r="H543" s="27"/>
      <c r="I543" s="29"/>
      <c r="J543" s="27"/>
      <c r="K543" s="27"/>
      <c r="L543" s="29"/>
      <c r="M543" s="27"/>
      <c r="N543" s="27"/>
      <c r="O543" s="29"/>
      <c r="P543" s="29"/>
      <c r="Q543" s="29"/>
      <c r="S543" s="28"/>
      <c r="T543" s="28"/>
      <c r="U543" s="27"/>
      <c r="V543" s="27"/>
      <c r="X543" s="27"/>
      <c r="Y543" s="27"/>
    </row>
    <row r="544" ht="15.75" customHeight="1">
      <c r="A544" s="33"/>
      <c r="B544" s="34"/>
      <c r="C544" s="34"/>
      <c r="D544" s="27"/>
      <c r="E544" s="27"/>
      <c r="F544" s="29"/>
      <c r="G544" s="27"/>
      <c r="H544" s="27"/>
      <c r="I544" s="29"/>
      <c r="J544" s="27"/>
      <c r="K544" s="27"/>
      <c r="L544" s="29"/>
      <c r="M544" s="27"/>
      <c r="N544" s="27"/>
      <c r="O544" s="29"/>
      <c r="P544" s="29"/>
      <c r="Q544" s="29"/>
      <c r="S544" s="28"/>
      <c r="T544" s="28"/>
      <c r="U544" s="27"/>
      <c r="V544" s="27"/>
      <c r="X544" s="27"/>
      <c r="Y544" s="27"/>
    </row>
    <row r="545" ht="15.75" customHeight="1">
      <c r="A545" s="33"/>
      <c r="B545" s="28"/>
      <c r="C545" s="28"/>
      <c r="D545" s="27"/>
      <c r="E545" s="27"/>
      <c r="F545" s="29"/>
      <c r="G545" s="27"/>
      <c r="H545" s="27"/>
      <c r="I545" s="29"/>
      <c r="J545" s="27"/>
      <c r="K545" s="27"/>
      <c r="L545" s="29"/>
      <c r="M545" s="27"/>
      <c r="N545" s="27"/>
      <c r="O545" s="29"/>
      <c r="P545" s="29"/>
      <c r="Q545" s="29"/>
      <c r="S545" s="28"/>
      <c r="T545" s="28"/>
      <c r="U545" s="27"/>
      <c r="V545" s="27"/>
      <c r="X545" s="27"/>
      <c r="Y545" s="27"/>
    </row>
    <row r="546" ht="15.75" customHeight="1">
      <c r="A546" s="33"/>
      <c r="B546" s="28"/>
      <c r="C546" s="28"/>
      <c r="D546" s="27"/>
      <c r="E546" s="27"/>
      <c r="F546" s="29"/>
      <c r="G546" s="27"/>
      <c r="H546" s="27"/>
      <c r="I546" s="29"/>
      <c r="J546" s="27"/>
      <c r="K546" s="27"/>
      <c r="L546" s="29"/>
      <c r="M546" s="27"/>
      <c r="N546" s="27"/>
      <c r="O546" s="29"/>
      <c r="P546" s="29"/>
      <c r="Q546" s="29"/>
      <c r="S546" s="28"/>
      <c r="T546" s="28"/>
      <c r="U546" s="27"/>
      <c r="V546" s="27"/>
      <c r="X546" s="27"/>
      <c r="Y546" s="27"/>
    </row>
    <row r="547" ht="15.75" customHeight="1">
      <c r="A547" s="33"/>
      <c r="B547" s="28"/>
      <c r="C547" s="28"/>
      <c r="D547" s="27"/>
      <c r="E547" s="27"/>
      <c r="F547" s="29"/>
      <c r="G547" s="27"/>
      <c r="H547" s="27"/>
      <c r="I547" s="29"/>
      <c r="J547" s="27"/>
      <c r="K547" s="27"/>
      <c r="L547" s="29"/>
      <c r="M547" s="27"/>
      <c r="N547" s="27"/>
      <c r="O547" s="29"/>
      <c r="P547" s="29"/>
      <c r="Q547" s="29"/>
      <c r="S547" s="28"/>
      <c r="T547" s="28"/>
      <c r="U547" s="27"/>
      <c r="V547" s="27"/>
      <c r="X547" s="27"/>
      <c r="Y547" s="27"/>
    </row>
    <row r="548" ht="15.75" customHeight="1">
      <c r="A548" s="33"/>
      <c r="B548" s="28"/>
      <c r="C548" s="28"/>
      <c r="D548" s="27"/>
      <c r="E548" s="27"/>
      <c r="F548" s="29"/>
      <c r="G548" s="27"/>
      <c r="H548" s="27"/>
      <c r="I548" s="29"/>
      <c r="J548" s="27"/>
      <c r="K548" s="27"/>
      <c r="L548" s="29"/>
      <c r="M548" s="27"/>
      <c r="N548" s="27"/>
      <c r="O548" s="29"/>
      <c r="P548" s="29"/>
      <c r="Q548" s="29"/>
      <c r="S548" s="28"/>
      <c r="T548" s="28"/>
      <c r="U548" s="27"/>
      <c r="V548" s="27"/>
      <c r="X548" s="27"/>
      <c r="Y548" s="27"/>
    </row>
    <row r="549" ht="15.75" customHeight="1">
      <c r="A549" s="33"/>
      <c r="B549" s="28"/>
      <c r="C549" s="28"/>
      <c r="D549" s="27"/>
      <c r="E549" s="27"/>
      <c r="F549" s="29"/>
      <c r="G549" s="27"/>
      <c r="H549" s="27"/>
      <c r="I549" s="29"/>
      <c r="J549" s="27"/>
      <c r="K549" s="27"/>
      <c r="L549" s="29"/>
      <c r="M549" s="27"/>
      <c r="N549" s="27"/>
      <c r="O549" s="29"/>
      <c r="P549" s="29"/>
      <c r="Q549" s="29"/>
      <c r="S549" s="28"/>
      <c r="T549" s="28"/>
      <c r="U549" s="27"/>
      <c r="V549" s="27"/>
      <c r="X549" s="27"/>
      <c r="Y549" s="27"/>
    </row>
    <row r="550" ht="15.75" customHeight="1">
      <c r="A550" s="33"/>
      <c r="B550" s="28"/>
      <c r="C550" s="28"/>
      <c r="D550" s="27"/>
      <c r="E550" s="27"/>
      <c r="F550" s="29"/>
      <c r="G550" s="27"/>
      <c r="H550" s="27"/>
      <c r="I550" s="29"/>
      <c r="J550" s="27"/>
      <c r="K550" s="27"/>
      <c r="L550" s="29"/>
      <c r="M550" s="27"/>
      <c r="N550" s="27"/>
      <c r="O550" s="29"/>
      <c r="P550" s="29"/>
      <c r="Q550" s="29"/>
      <c r="S550" s="28"/>
      <c r="T550" s="28"/>
      <c r="U550" s="27"/>
      <c r="V550" s="27"/>
      <c r="X550" s="27"/>
      <c r="Y550" s="27"/>
    </row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2.75" customHeight="1">
      <c r="A1" s="35" t="s">
        <v>0</v>
      </c>
      <c r="B1" s="35" t="s">
        <v>2</v>
      </c>
      <c r="C1" s="35" t="s">
        <v>15</v>
      </c>
      <c r="D1" s="35" t="s">
        <v>16</v>
      </c>
    </row>
    <row r="2" ht="12.75" customHeight="1">
      <c r="A2" s="35">
        <v>10101.0</v>
      </c>
      <c r="B2" s="35" t="s">
        <v>22</v>
      </c>
      <c r="C2" s="35">
        <v>0.10050486036711512</v>
      </c>
      <c r="D2" s="35">
        <v>0.3114898114923119</v>
      </c>
    </row>
    <row r="3" ht="12.75" customHeight="1">
      <c r="A3" s="35">
        <v>10102.0</v>
      </c>
      <c r="B3" s="35" t="s">
        <v>23</v>
      </c>
      <c r="C3" s="35">
        <v>0.07345660602445572</v>
      </c>
      <c r="D3" s="35">
        <v>0.25611153552330024</v>
      </c>
    </row>
    <row r="4" ht="12.75" customHeight="1">
      <c r="A4" s="35">
        <v>10103.0</v>
      </c>
      <c r="B4" s="35" t="s">
        <v>25</v>
      </c>
      <c r="C4" s="35">
        <v>0.06236205023998879</v>
      </c>
      <c r="D4" s="35">
        <v>0.37672902816832726</v>
      </c>
    </row>
    <row r="5" ht="12.75" customHeight="1">
      <c r="A5" s="35">
        <v>10201.0</v>
      </c>
      <c r="B5" s="35" t="s">
        <v>27</v>
      </c>
      <c r="C5" s="35">
        <v>0.033339389534883725</v>
      </c>
      <c r="D5" s="35">
        <v>0.48780060519190954</v>
      </c>
    </row>
    <row r="6" ht="12.75" customHeight="1">
      <c r="A6" s="35">
        <v>10202.0</v>
      </c>
      <c r="B6" s="35" t="s">
        <v>29</v>
      </c>
      <c r="C6" s="35">
        <v>0.05338491295938104</v>
      </c>
      <c r="D6" s="35">
        <v>0.4135748587997221</v>
      </c>
    </row>
    <row r="7" ht="12.75" customHeight="1">
      <c r="A7" s="35">
        <v>10301.0</v>
      </c>
      <c r="B7" s="35" t="s">
        <v>31</v>
      </c>
      <c r="C7" s="35">
        <v>0.02183208011522802</v>
      </c>
      <c r="D7" s="35">
        <v>0.21295306411008036</v>
      </c>
    </row>
    <row r="8" ht="12.75" customHeight="1">
      <c r="A8" s="35">
        <v>10302.0</v>
      </c>
      <c r="B8" s="35" t="s">
        <v>33</v>
      </c>
      <c r="C8" s="35">
        <v>0.04980713506442681</v>
      </c>
      <c r="D8" s="35">
        <v>0.23815720978656954</v>
      </c>
    </row>
    <row r="9" ht="12.75" customHeight="1">
      <c r="A9" s="35">
        <v>10303.0</v>
      </c>
      <c r="B9" s="35" t="s">
        <v>35</v>
      </c>
      <c r="C9" s="35">
        <v>0.04005524861878453</v>
      </c>
      <c r="D9" s="35">
        <v>0.25602968460111314</v>
      </c>
    </row>
    <row r="10" ht="12.75" customHeight="1">
      <c r="A10" s="35">
        <v>10304.0</v>
      </c>
      <c r="B10" s="35" t="s">
        <v>37</v>
      </c>
      <c r="C10" s="35">
        <v>0.07368936316021342</v>
      </c>
      <c r="D10" s="35">
        <v>0.39427920928047416</v>
      </c>
    </row>
    <row r="11" ht="12.75" customHeight="1">
      <c r="A11" s="35">
        <v>10401.0</v>
      </c>
      <c r="B11" s="35" t="s">
        <v>39</v>
      </c>
      <c r="C11" s="35">
        <v>0.016109168917845227</v>
      </c>
      <c r="D11" s="35">
        <v>0.38404710688134197</v>
      </c>
    </row>
    <row r="12" ht="12.75" customHeight="1">
      <c r="A12" s="35">
        <v>10402.0</v>
      </c>
      <c r="B12" s="35" t="s">
        <v>41</v>
      </c>
      <c r="C12" s="35">
        <v>0.023313004131418454</v>
      </c>
      <c r="D12" s="35">
        <v>0.4486068789707435</v>
      </c>
    </row>
    <row r="13" ht="12.75" customHeight="1">
      <c r="A13" s="35">
        <v>10403.0</v>
      </c>
      <c r="B13" s="35" t="s">
        <v>43</v>
      </c>
      <c r="C13" s="35">
        <v>0.027156789197299323</v>
      </c>
      <c r="D13" s="35">
        <v>0.3175860713357632</v>
      </c>
    </row>
    <row r="14" ht="12.75" customHeight="1">
      <c r="A14" s="35">
        <v>10404.0</v>
      </c>
      <c r="B14" s="35" t="s">
        <v>44</v>
      </c>
      <c r="C14" s="35">
        <v>0.04048509986024075</v>
      </c>
      <c r="D14" s="35">
        <v>0.32459016393442625</v>
      </c>
    </row>
    <row r="15" ht="12.75" customHeight="1">
      <c r="A15" s="35">
        <v>10405.0</v>
      </c>
      <c r="B15" s="35" t="s">
        <v>46</v>
      </c>
      <c r="C15" s="35">
        <v>0.08422310162024939</v>
      </c>
      <c r="D15" s="35">
        <v>0.5177824267782427</v>
      </c>
    </row>
    <row r="16" ht="12.75" customHeight="1">
      <c r="A16" s="35">
        <v>10501.0</v>
      </c>
      <c r="B16" s="35" t="s">
        <v>48</v>
      </c>
      <c r="C16" s="35">
        <v>0.03166341357623076</v>
      </c>
      <c r="D16" s="35">
        <v>0.21899972126955658</v>
      </c>
    </row>
    <row r="17" ht="12.75" customHeight="1">
      <c r="A17" s="35">
        <v>10502.0</v>
      </c>
      <c r="B17" s="35" t="s">
        <v>49</v>
      </c>
      <c r="C17" s="35">
        <v>0.04456020010830604</v>
      </c>
      <c r="D17" s="35">
        <v>0.20500869565217392</v>
      </c>
    </row>
    <row r="18" ht="12.75" customHeight="1">
      <c r="A18" s="35">
        <v>10601.0</v>
      </c>
      <c r="B18" s="35" t="s">
        <v>50</v>
      </c>
      <c r="C18" s="35">
        <v>0.08416904539368983</v>
      </c>
      <c r="D18" s="35">
        <v>0.31781656968689387</v>
      </c>
    </row>
    <row r="19" ht="12.75" customHeight="1">
      <c r="A19" s="35">
        <v>10602.0</v>
      </c>
      <c r="B19" s="35" t="s">
        <v>51</v>
      </c>
      <c r="C19" s="35">
        <v>0.08473655621944595</v>
      </c>
      <c r="D19" s="35">
        <v>0.40378612137354297</v>
      </c>
    </row>
    <row r="20" ht="12.75" customHeight="1">
      <c r="A20" s="35">
        <v>10701.0</v>
      </c>
      <c r="B20" s="35" t="s">
        <v>52</v>
      </c>
      <c r="C20" s="35">
        <v>0.052398895433460754</v>
      </c>
      <c r="D20" s="35">
        <v>0.36476996067170236</v>
      </c>
    </row>
    <row r="21" ht="12.75" customHeight="1">
      <c r="A21" s="35">
        <v>10702.0</v>
      </c>
      <c r="B21" s="35" t="s">
        <v>54</v>
      </c>
      <c r="C21" s="35">
        <v>0.06405049623548141</v>
      </c>
      <c r="D21" s="35">
        <v>0.40734908136482934</v>
      </c>
    </row>
    <row r="22" ht="12.75" customHeight="1">
      <c r="A22" s="35">
        <v>10703.0</v>
      </c>
      <c r="B22" s="35" t="s">
        <v>55</v>
      </c>
      <c r="C22" s="35">
        <v>0.04253683536194747</v>
      </c>
      <c r="D22" s="35">
        <v>0.33166833166833165</v>
      </c>
    </row>
    <row r="23" ht="12.75" customHeight="1">
      <c r="A23" s="35">
        <v>10704.0</v>
      </c>
      <c r="B23" s="35" t="s">
        <v>56</v>
      </c>
      <c r="C23" s="35">
        <v>0.03109785153417449</v>
      </c>
      <c r="D23" s="35">
        <v>0.38870390073062183</v>
      </c>
    </row>
    <row r="24" ht="12.75" customHeight="1">
      <c r="A24" s="35">
        <v>10801.0</v>
      </c>
      <c r="B24" s="35" t="s">
        <v>57</v>
      </c>
      <c r="C24" s="35">
        <v>0.05890006275734337</v>
      </c>
      <c r="D24" s="35">
        <v>0.20319936541512426</v>
      </c>
    </row>
    <row r="25" ht="12.75" customHeight="1">
      <c r="A25" s="35">
        <v>10901.0</v>
      </c>
      <c r="B25" s="35" t="s">
        <v>58</v>
      </c>
      <c r="C25" s="35">
        <v>0.0479023646071701</v>
      </c>
      <c r="D25" s="35">
        <v>0.3136543183516601</v>
      </c>
    </row>
    <row r="26" ht="12.75" customHeight="1">
      <c r="A26" s="35">
        <v>10902.0</v>
      </c>
      <c r="B26" s="35" t="s">
        <v>59</v>
      </c>
      <c r="C26" s="35">
        <v>0.04257332718358702</v>
      </c>
      <c r="D26" s="35">
        <v>0.2964445128520855</v>
      </c>
    </row>
    <row r="27" ht="12.75" customHeight="1">
      <c r="A27" s="35">
        <v>10903.0</v>
      </c>
      <c r="B27" s="35" t="s">
        <v>60</v>
      </c>
      <c r="C27" s="35">
        <v>0.0</v>
      </c>
      <c r="D27" s="35">
        <v>0.24687523482704204</v>
      </c>
    </row>
    <row r="28" ht="12.75" customHeight="1">
      <c r="A28" s="35">
        <v>11001.0</v>
      </c>
      <c r="B28" s="35" t="s">
        <v>61</v>
      </c>
      <c r="C28" s="35">
        <v>0.01963249889190804</v>
      </c>
      <c r="D28" s="35">
        <v>0.17240251572327045</v>
      </c>
    </row>
    <row r="29" ht="12.75" customHeight="1">
      <c r="A29" s="35">
        <v>11002.0</v>
      </c>
      <c r="B29" s="35" t="s">
        <v>62</v>
      </c>
      <c r="C29" s="35">
        <v>0.0773020083364911</v>
      </c>
      <c r="D29" s="35">
        <v>0.35384615384615387</v>
      </c>
    </row>
    <row r="30" ht="12.75" customHeight="1">
      <c r="A30" s="35">
        <v>11003.0</v>
      </c>
      <c r="B30" s="35" t="s">
        <v>63</v>
      </c>
      <c r="C30" s="35">
        <v>0.054847745549832835</v>
      </c>
      <c r="D30" s="35">
        <v>0.20167136063530172</v>
      </c>
    </row>
    <row r="31" ht="12.75" customHeight="1">
      <c r="A31" s="35">
        <v>20101.0</v>
      </c>
      <c r="B31" s="35" t="s">
        <v>64</v>
      </c>
      <c r="C31" s="35">
        <v>0.1906349450049657</v>
      </c>
      <c r="D31" s="35">
        <v>0.4637198022644573</v>
      </c>
    </row>
    <row r="32" ht="12.75" customHeight="1">
      <c r="A32" s="35">
        <v>20102.0</v>
      </c>
      <c r="B32" s="35" t="s">
        <v>65</v>
      </c>
      <c r="C32" s="35">
        <v>0.0717977978385942</v>
      </c>
      <c r="D32" s="35">
        <v>0.2696353513346977</v>
      </c>
    </row>
    <row r="33" ht="12.75" customHeight="1">
      <c r="A33" s="35">
        <v>20103.0</v>
      </c>
      <c r="B33" s="35" t="s">
        <v>66</v>
      </c>
      <c r="C33" s="35">
        <v>0.09303389885914157</v>
      </c>
      <c r="D33" s="35">
        <v>0.29263137669324624</v>
      </c>
    </row>
    <row r="34" ht="12.75" customHeight="1">
      <c r="A34" s="35">
        <v>20104.0</v>
      </c>
      <c r="B34" s="35" t="s">
        <v>67</v>
      </c>
      <c r="C34" s="35">
        <v>0.09107937059719651</v>
      </c>
      <c r="D34" s="35">
        <v>0.244961378718122</v>
      </c>
    </row>
    <row r="35" ht="12.75" customHeight="1">
      <c r="A35" s="35">
        <v>20105.0</v>
      </c>
      <c r="B35" s="35" t="s">
        <v>68</v>
      </c>
      <c r="C35" s="35">
        <v>0.1290925428243473</v>
      </c>
      <c r="D35" s="35">
        <v>0.37663803424930764</v>
      </c>
    </row>
    <row r="36" ht="12.75" customHeight="1">
      <c r="A36" s="35">
        <v>20201.0</v>
      </c>
      <c r="B36" s="35" t="s">
        <v>69</v>
      </c>
      <c r="C36" s="35">
        <v>0.13773911340340797</v>
      </c>
      <c r="D36" s="35">
        <v>0.4072728102988352</v>
      </c>
    </row>
    <row r="37" ht="12.75" customHeight="1">
      <c r="A37" s="35">
        <v>20202.0</v>
      </c>
      <c r="B37" s="35" t="s">
        <v>70</v>
      </c>
      <c r="C37" s="35">
        <v>0.23578811369509045</v>
      </c>
      <c r="D37" s="35">
        <v>0.4416047871617027</v>
      </c>
    </row>
    <row r="38" ht="12.75" customHeight="1">
      <c r="A38" s="35">
        <v>20203.0</v>
      </c>
      <c r="B38" s="35" t="s">
        <v>71</v>
      </c>
      <c r="C38" s="35">
        <v>0.11153340674173268</v>
      </c>
      <c r="D38" s="35">
        <v>0.6883116883116883</v>
      </c>
    </row>
    <row r="39" ht="12.75" customHeight="1">
      <c r="A39" s="35">
        <v>20204.0</v>
      </c>
      <c r="B39" s="35" t="s">
        <v>72</v>
      </c>
      <c r="C39" s="35">
        <v>0.09606060606060607</v>
      </c>
      <c r="D39" s="35">
        <v>0.49019703472493176</v>
      </c>
    </row>
    <row r="40" ht="12.75" customHeight="1">
      <c r="A40" s="35">
        <v>20205.0</v>
      </c>
      <c r="B40" s="35" t="s">
        <v>73</v>
      </c>
      <c r="C40" s="35">
        <v>0.17895400126023941</v>
      </c>
      <c r="D40" s="35">
        <v>0.4138062871707731</v>
      </c>
    </row>
    <row r="41" ht="12.75" customHeight="1">
      <c r="A41" s="35">
        <v>20206.0</v>
      </c>
      <c r="B41" s="35" t="s">
        <v>74</v>
      </c>
      <c r="C41" s="35">
        <v>0.04324575680074401</v>
      </c>
      <c r="D41" s="35">
        <v>0.29745042492917845</v>
      </c>
    </row>
    <row r="42" ht="12.75" customHeight="1">
      <c r="A42" s="35">
        <v>20301.0</v>
      </c>
      <c r="B42" s="35" t="s">
        <v>75</v>
      </c>
      <c r="C42" s="35">
        <v>0.07089095046385437</v>
      </c>
      <c r="D42" s="35">
        <v>0.3842221608179055</v>
      </c>
    </row>
    <row r="43" ht="12.75" customHeight="1">
      <c r="A43" s="35">
        <v>20302.0</v>
      </c>
      <c r="B43" s="35" t="s">
        <v>76</v>
      </c>
      <c r="C43" s="35">
        <v>0.06622569096660948</v>
      </c>
      <c r="D43" s="35">
        <v>0.5091568449682684</v>
      </c>
    </row>
    <row r="44" ht="12.75" customHeight="1">
      <c r="A44" s="35">
        <v>20303.0</v>
      </c>
      <c r="B44" s="35" t="s">
        <v>77</v>
      </c>
      <c r="C44" s="35">
        <v>0.14128301886792452</v>
      </c>
      <c r="D44" s="35">
        <v>0.2576599148730643</v>
      </c>
    </row>
    <row r="45" ht="12.75" customHeight="1">
      <c r="A45" s="35">
        <v>20304.0</v>
      </c>
      <c r="B45" s="35" t="s">
        <v>78</v>
      </c>
      <c r="C45" s="35">
        <v>0.08191126279863482</v>
      </c>
      <c r="D45" s="35">
        <v>0.4718498659517426</v>
      </c>
    </row>
    <row r="46" ht="12.75" customHeight="1">
      <c r="A46" s="35">
        <v>20305.0</v>
      </c>
      <c r="B46" s="35" t="s">
        <v>79</v>
      </c>
      <c r="C46" s="35">
        <v>0.024736521208953928</v>
      </c>
      <c r="D46" s="35">
        <v>0.26721050537206525</v>
      </c>
    </row>
    <row r="47" ht="12.75" customHeight="1">
      <c r="A47" s="35">
        <v>20306.0</v>
      </c>
      <c r="B47" s="35" t="s">
        <v>80</v>
      </c>
      <c r="C47" s="35">
        <v>0.12992431014959174</v>
      </c>
      <c r="D47" s="35">
        <v>0.33714960327265736</v>
      </c>
    </row>
    <row r="48" ht="12.75" customHeight="1">
      <c r="A48" s="35">
        <v>20307.0</v>
      </c>
      <c r="B48" s="35" t="s">
        <v>81</v>
      </c>
      <c r="C48" s="35">
        <v>0.0</v>
      </c>
      <c r="D48" s="35">
        <v>0.4631310266591039</v>
      </c>
    </row>
    <row r="49" ht="12.75" customHeight="1">
      <c r="A49" s="35">
        <v>20308.0</v>
      </c>
      <c r="B49" s="35" t="s">
        <v>82</v>
      </c>
      <c r="C49" s="35">
        <v>0.08855154965211892</v>
      </c>
      <c r="D49" s="35">
        <v>0.3397212543554006</v>
      </c>
    </row>
    <row r="50" ht="12.75" customHeight="1">
      <c r="A50" s="35">
        <v>20401.0</v>
      </c>
      <c r="B50" s="35" t="s">
        <v>83</v>
      </c>
      <c r="C50" s="35">
        <v>0.16360691144708422</v>
      </c>
      <c r="D50" s="35">
        <v>0.5028641186965912</v>
      </c>
    </row>
    <row r="51" ht="12.75" customHeight="1">
      <c r="A51" s="35">
        <v>20402.0</v>
      </c>
      <c r="B51" s="35" t="s">
        <v>84</v>
      </c>
      <c r="C51" s="35">
        <v>0.13012714206744058</v>
      </c>
      <c r="D51" s="35">
        <v>0.5308987317324405</v>
      </c>
    </row>
    <row r="52" ht="12.75" customHeight="1">
      <c r="A52" s="35">
        <v>20403.0</v>
      </c>
      <c r="B52" s="35" t="s">
        <v>85</v>
      </c>
      <c r="C52" s="35">
        <v>0.06215538847117795</v>
      </c>
      <c r="D52" s="35">
        <v>0.46831335563080373</v>
      </c>
    </row>
    <row r="53" ht="12.75" customHeight="1">
      <c r="A53" s="35">
        <v>20404.0</v>
      </c>
      <c r="B53" s="35" t="s">
        <v>86</v>
      </c>
      <c r="C53" s="35">
        <v>0.04028005877776817</v>
      </c>
      <c r="D53" s="35">
        <v>0.4808818781421521</v>
      </c>
    </row>
    <row r="54" ht="12.75" customHeight="1">
      <c r="A54" s="35">
        <v>20405.0</v>
      </c>
      <c r="B54" s="35" t="s">
        <v>87</v>
      </c>
      <c r="C54" s="35">
        <v>0.16266666666666665</v>
      </c>
      <c r="D54" s="35">
        <v>0.4694397283531409</v>
      </c>
    </row>
    <row r="55" ht="12.75" customHeight="1">
      <c r="A55" s="35">
        <v>20501.0</v>
      </c>
      <c r="B55" s="35" t="s">
        <v>88</v>
      </c>
      <c r="C55" s="35">
        <v>0.14199486045538756</v>
      </c>
      <c r="D55" s="35">
        <v>0.6637158548923255</v>
      </c>
    </row>
    <row r="56" ht="12.75" customHeight="1">
      <c r="A56" s="35">
        <v>20502.0</v>
      </c>
      <c r="B56" s="35" t="s">
        <v>89</v>
      </c>
      <c r="C56" s="35">
        <v>0.07056782030270896</v>
      </c>
      <c r="D56" s="35">
        <v>0.6450248899652117</v>
      </c>
    </row>
    <row r="57" ht="12.75" customHeight="1">
      <c r="A57" s="35">
        <v>20503.0</v>
      </c>
      <c r="B57" s="35" t="s">
        <v>90</v>
      </c>
      <c r="C57" s="35">
        <v>0.09703861453771045</v>
      </c>
      <c r="D57" s="35">
        <v>0.275983606557377</v>
      </c>
    </row>
    <row r="58" ht="12.75" customHeight="1">
      <c r="A58" s="35">
        <v>20601.0</v>
      </c>
      <c r="B58" s="35" t="s">
        <v>91</v>
      </c>
      <c r="C58" s="35">
        <v>0.08105833956619297</v>
      </c>
      <c r="D58" s="35">
        <v>0.3134352605460559</v>
      </c>
    </row>
    <row r="59" ht="12.75" customHeight="1">
      <c r="A59" s="35">
        <v>20602.0</v>
      </c>
      <c r="B59" s="35" t="s">
        <v>92</v>
      </c>
      <c r="C59" s="35">
        <v>0.054325821450023355</v>
      </c>
      <c r="D59" s="35">
        <v>0.1590310801630435</v>
      </c>
    </row>
    <row r="60" ht="12.75" customHeight="1">
      <c r="A60" s="35">
        <v>20603.0</v>
      </c>
      <c r="B60" s="35" t="s">
        <v>93</v>
      </c>
      <c r="C60" s="35">
        <v>0.035366344605475046</v>
      </c>
      <c r="D60" s="35">
        <v>0.28927142221939905</v>
      </c>
    </row>
    <row r="61" ht="12.75" customHeight="1">
      <c r="A61" s="35">
        <v>20604.0</v>
      </c>
      <c r="B61" s="35" t="s">
        <v>94</v>
      </c>
      <c r="C61" s="35">
        <v>0.045892857142857145</v>
      </c>
      <c r="D61" s="35">
        <v>0.3515482695810565</v>
      </c>
    </row>
    <row r="62" ht="12.75" customHeight="1">
      <c r="A62" s="35">
        <v>20605.0</v>
      </c>
      <c r="B62" s="35" t="s">
        <v>95</v>
      </c>
      <c r="C62" s="35">
        <v>0.0</v>
      </c>
      <c r="D62" s="35">
        <v>0.17176015473887815</v>
      </c>
    </row>
    <row r="63" ht="12.75" customHeight="1">
      <c r="A63" s="35">
        <v>20606.0</v>
      </c>
      <c r="B63" s="35" t="s">
        <v>96</v>
      </c>
      <c r="C63" s="35">
        <v>0.06793030322905053</v>
      </c>
      <c r="D63" s="35">
        <v>0.133176456570952</v>
      </c>
    </row>
    <row r="64" ht="12.75" customHeight="1">
      <c r="A64" s="35">
        <v>20607.0</v>
      </c>
      <c r="B64" s="35" t="s">
        <v>97</v>
      </c>
      <c r="C64" s="35">
        <v>0.03198450381499066</v>
      </c>
      <c r="D64" s="35">
        <v>0.1692922989124682</v>
      </c>
    </row>
    <row r="65" ht="12.75" customHeight="1">
      <c r="A65" s="35">
        <v>20608.0</v>
      </c>
      <c r="B65" s="35" t="s">
        <v>98</v>
      </c>
      <c r="C65" s="35">
        <v>0.04077917883827782</v>
      </c>
      <c r="D65" s="35">
        <v>0.21951579880532748</v>
      </c>
    </row>
    <row r="66" ht="12.75" customHeight="1">
      <c r="A66" s="35">
        <v>20701.0</v>
      </c>
      <c r="B66" s="35" t="s">
        <v>99</v>
      </c>
      <c r="C66" s="35">
        <v>0.08452511917858452</v>
      </c>
      <c r="D66" s="35">
        <v>0.34112466843501327</v>
      </c>
    </row>
    <row r="67" ht="12.75" customHeight="1">
      <c r="A67" s="35">
        <v>20702.0</v>
      </c>
      <c r="B67" s="35" t="s">
        <v>100</v>
      </c>
      <c r="C67" s="35">
        <v>0.044781414994720166</v>
      </c>
      <c r="D67" s="35">
        <v>0.26530988812727657</v>
      </c>
    </row>
    <row r="68" ht="12.75" customHeight="1">
      <c r="A68" s="35">
        <v>20801.0</v>
      </c>
      <c r="B68" s="35" t="s">
        <v>101</v>
      </c>
      <c r="C68" s="35">
        <v>0.09108210758447605</v>
      </c>
      <c r="D68" s="35">
        <v>0.34148326041851357</v>
      </c>
    </row>
    <row r="69" ht="12.75" customHeight="1">
      <c r="A69" s="35">
        <v>20802.0</v>
      </c>
      <c r="B69" s="35" t="s">
        <v>102</v>
      </c>
      <c r="C69" s="35">
        <v>0.17760487144790255</v>
      </c>
      <c r="D69" s="35">
        <v>0.3948961937716263</v>
      </c>
    </row>
    <row r="70" ht="12.75" customHeight="1">
      <c r="A70" s="35">
        <v>20803.0</v>
      </c>
      <c r="B70" s="35" t="s">
        <v>103</v>
      </c>
      <c r="C70" s="35">
        <v>0.18628115890296865</v>
      </c>
      <c r="D70" s="35">
        <v>0.5524418016194332</v>
      </c>
    </row>
    <row r="71" ht="12.75" customHeight="1">
      <c r="A71" s="35">
        <v>20804.0</v>
      </c>
      <c r="B71" s="35" t="s">
        <v>104</v>
      </c>
      <c r="C71" s="35">
        <v>0.09472640105802611</v>
      </c>
      <c r="D71" s="35">
        <v>0.43295815522177344</v>
      </c>
    </row>
    <row r="72" ht="12.75" customHeight="1">
      <c r="A72" s="35">
        <v>20805.0</v>
      </c>
      <c r="B72" s="35" t="s">
        <v>105</v>
      </c>
      <c r="C72" s="35">
        <v>0.49537070788073195</v>
      </c>
      <c r="D72" s="35">
        <v>0.41692938209331654</v>
      </c>
    </row>
    <row r="73" ht="12.75" customHeight="1">
      <c r="A73" s="35">
        <v>20806.0</v>
      </c>
      <c r="B73" s="35" t="s">
        <v>106</v>
      </c>
      <c r="C73" s="35">
        <v>0.10620161101118325</v>
      </c>
      <c r="D73" s="35">
        <v>0.5166206020766415</v>
      </c>
    </row>
    <row r="74" ht="12.75" customHeight="1">
      <c r="A74" s="35">
        <v>20807.0</v>
      </c>
      <c r="B74" s="35" t="s">
        <v>107</v>
      </c>
      <c r="C74" s="35">
        <v>0.3502008032128514</v>
      </c>
      <c r="D74" s="35">
        <v>0.5041284403669725</v>
      </c>
    </row>
    <row r="75" ht="12.75" customHeight="1">
      <c r="A75" s="35">
        <v>20901.0</v>
      </c>
      <c r="B75" s="35" t="s">
        <v>108</v>
      </c>
      <c r="C75" s="35">
        <v>0.06712564543889844</v>
      </c>
      <c r="D75" s="35">
        <v>0.3249186167925803</v>
      </c>
    </row>
    <row r="76" ht="12.75" customHeight="1">
      <c r="A76" s="35">
        <v>20902.0</v>
      </c>
      <c r="B76" s="35" t="s">
        <v>109</v>
      </c>
      <c r="C76" s="35">
        <v>0.05370673005496954</v>
      </c>
      <c r="D76" s="35">
        <v>0.47660963215068297</v>
      </c>
    </row>
    <row r="77" ht="12.75" customHeight="1">
      <c r="A77" s="35">
        <v>20903.0</v>
      </c>
      <c r="B77" s="35" t="s">
        <v>110</v>
      </c>
      <c r="C77" s="35">
        <v>0.09596259124087593</v>
      </c>
      <c r="D77" s="35">
        <v>0.5086408808007715</v>
      </c>
    </row>
    <row r="78" ht="12.75" customHeight="1">
      <c r="A78" s="35">
        <v>20904.0</v>
      </c>
      <c r="B78" s="35" t="s">
        <v>111</v>
      </c>
      <c r="C78" s="35">
        <v>0.03614543726235741</v>
      </c>
      <c r="D78" s="35">
        <v>0.3162207143771604</v>
      </c>
    </row>
    <row r="79" ht="12.75" customHeight="1">
      <c r="A79" s="35">
        <v>20905.0</v>
      </c>
      <c r="B79" s="35" t="s">
        <v>112</v>
      </c>
      <c r="C79" s="35">
        <v>0.029841864893411285</v>
      </c>
      <c r="D79" s="35">
        <v>0.22651196028283435</v>
      </c>
    </row>
    <row r="80" ht="12.75" customHeight="1">
      <c r="A80" s="35">
        <v>21001.0</v>
      </c>
      <c r="B80" s="35" t="s">
        <v>113</v>
      </c>
      <c r="C80" s="35">
        <v>0.025796429454061878</v>
      </c>
      <c r="D80" s="35">
        <v>0.314257231614347</v>
      </c>
    </row>
    <row r="81" ht="12.75" customHeight="1">
      <c r="A81" s="35">
        <v>21002.0</v>
      </c>
      <c r="B81" s="35" t="s">
        <v>114</v>
      </c>
      <c r="C81" s="35">
        <v>0.03741717552293102</v>
      </c>
      <c r="D81" s="35">
        <v>0.10506122836439578</v>
      </c>
    </row>
    <row r="82" ht="12.75" customHeight="1">
      <c r="A82" s="35">
        <v>21003.0</v>
      </c>
      <c r="B82" s="35" t="s">
        <v>115</v>
      </c>
      <c r="C82" s="35">
        <v>0.05141541378843289</v>
      </c>
      <c r="D82" s="35">
        <v>0.26072476525821603</v>
      </c>
    </row>
    <row r="83" ht="12.75" customHeight="1">
      <c r="A83" s="35">
        <v>21004.0</v>
      </c>
      <c r="B83" s="35" t="s">
        <v>116</v>
      </c>
      <c r="C83" s="35">
        <v>0.017784800551362435</v>
      </c>
      <c r="D83" s="35">
        <v>0.20513420724094886</v>
      </c>
    </row>
    <row r="84" ht="12.75" customHeight="1">
      <c r="A84" s="35">
        <v>21005.0</v>
      </c>
      <c r="B84" s="35" t="s">
        <v>117</v>
      </c>
      <c r="C84" s="35">
        <v>0.023528604746878855</v>
      </c>
      <c r="D84" s="35">
        <v>0.3834691834691835</v>
      </c>
    </row>
    <row r="85" ht="12.75" customHeight="1">
      <c r="A85" s="35">
        <v>21006.0</v>
      </c>
      <c r="B85" s="35" t="s">
        <v>118</v>
      </c>
      <c r="C85" s="35">
        <v>0.07255234861346915</v>
      </c>
      <c r="D85" s="35">
        <v>0.324256035934868</v>
      </c>
    </row>
    <row r="86" ht="12.75" customHeight="1">
      <c r="A86" s="35">
        <v>21101.0</v>
      </c>
      <c r="B86" s="35" t="s">
        <v>119</v>
      </c>
      <c r="C86" s="35">
        <v>0.22258273848150553</v>
      </c>
      <c r="D86" s="35">
        <v>0.6141482499735645</v>
      </c>
    </row>
    <row r="87" ht="12.75" customHeight="1">
      <c r="A87" s="35">
        <v>21102.0</v>
      </c>
      <c r="B87" s="35" t="s">
        <v>120</v>
      </c>
      <c r="C87" s="35">
        <v>0.04188905764084762</v>
      </c>
      <c r="D87" s="35">
        <v>0.2931629834254144</v>
      </c>
    </row>
    <row r="88" ht="12.75" customHeight="1">
      <c r="A88" s="35">
        <v>21103.0</v>
      </c>
      <c r="B88" s="35" t="s">
        <v>121</v>
      </c>
      <c r="C88" s="35">
        <v>0.050484652665589665</v>
      </c>
      <c r="D88" s="35">
        <v>0.5109238226144831</v>
      </c>
    </row>
    <row r="89" ht="12.75" customHeight="1">
      <c r="A89" s="35">
        <v>21104.0</v>
      </c>
      <c r="B89" s="35" t="s">
        <v>122</v>
      </c>
      <c r="C89" s="35">
        <v>0.05000497295477672</v>
      </c>
      <c r="D89" s="35">
        <v>0.2078177293400841</v>
      </c>
    </row>
    <row r="90" ht="12.75" customHeight="1">
      <c r="A90" s="35">
        <v>21105.0</v>
      </c>
      <c r="B90" s="35" t="s">
        <v>123</v>
      </c>
      <c r="C90" s="35">
        <v>0.14738765438503768</v>
      </c>
      <c r="D90" s="35">
        <v>0.4536733040549184</v>
      </c>
    </row>
    <row r="91" ht="12.75" customHeight="1">
      <c r="A91" s="35">
        <v>21201.0</v>
      </c>
      <c r="B91" s="35" t="s">
        <v>124</v>
      </c>
      <c r="C91" s="35">
        <v>0.08954160527210608</v>
      </c>
      <c r="D91" s="35">
        <v>0.32069895536562204</v>
      </c>
    </row>
    <row r="92" ht="12.75" customHeight="1">
      <c r="A92" s="35">
        <v>21202.0</v>
      </c>
      <c r="B92" s="35" t="s">
        <v>125</v>
      </c>
      <c r="C92" s="35">
        <v>0.08784688995215309</v>
      </c>
      <c r="D92" s="35">
        <v>0.5187628865979381</v>
      </c>
    </row>
    <row r="93" ht="12.75" customHeight="1">
      <c r="A93" s="35">
        <v>21203.0</v>
      </c>
      <c r="B93" s="35" t="s">
        <v>126</v>
      </c>
      <c r="C93" s="35">
        <v>0.11236311526835112</v>
      </c>
      <c r="D93" s="35">
        <v>0.4751160234489497</v>
      </c>
    </row>
    <row r="94" ht="12.75" customHeight="1">
      <c r="A94" s="35">
        <v>21204.0</v>
      </c>
      <c r="B94" s="35" t="s">
        <v>127</v>
      </c>
      <c r="C94" s="35">
        <v>0.06698219156104604</v>
      </c>
      <c r="D94" s="35">
        <v>0.3688647997591087</v>
      </c>
    </row>
    <row r="95" ht="12.75" customHeight="1">
      <c r="A95" s="35">
        <v>21301.0</v>
      </c>
      <c r="B95" s="35" t="s">
        <v>128</v>
      </c>
      <c r="C95" s="35">
        <v>0.07381158167675023</v>
      </c>
      <c r="D95" s="35">
        <v>0.4362712539851223</v>
      </c>
    </row>
    <row r="96" ht="12.75" customHeight="1">
      <c r="A96" s="35">
        <v>21302.0</v>
      </c>
      <c r="B96" s="35" t="s">
        <v>129</v>
      </c>
      <c r="C96" s="35">
        <v>0.13093591516828032</v>
      </c>
      <c r="D96" s="35">
        <v>0.328002052685597</v>
      </c>
    </row>
    <row r="97" ht="12.75" customHeight="1">
      <c r="A97" s="35">
        <v>21303.0</v>
      </c>
      <c r="B97" s="35" t="s">
        <v>130</v>
      </c>
      <c r="C97" s="35">
        <v>0.10461223364449171</v>
      </c>
      <c r="D97" s="35">
        <v>0.2926103156049094</v>
      </c>
    </row>
    <row r="98" ht="12.75" customHeight="1">
      <c r="A98" s="35">
        <v>21304.0</v>
      </c>
      <c r="B98" s="35" t="s">
        <v>131</v>
      </c>
      <c r="C98" s="35">
        <v>0.1371335416751221</v>
      </c>
      <c r="D98" s="35">
        <v>0.2819441807480539</v>
      </c>
    </row>
    <row r="99" ht="12.75" customHeight="1">
      <c r="A99" s="35">
        <v>21305.0</v>
      </c>
      <c r="B99" s="35" t="s">
        <v>132</v>
      </c>
      <c r="C99" s="35">
        <v>0.11439753210088786</v>
      </c>
      <c r="D99" s="35">
        <v>0.35252607256604007</v>
      </c>
    </row>
    <row r="100" ht="12.75" customHeight="1">
      <c r="A100" s="35">
        <v>21306.0</v>
      </c>
      <c r="B100" s="35" t="s">
        <v>133</v>
      </c>
      <c r="C100" s="35">
        <v>0.11082251082251082</v>
      </c>
      <c r="D100" s="35">
        <v>0.36672063508643654</v>
      </c>
    </row>
    <row r="101" ht="12.75" customHeight="1">
      <c r="A101" s="35">
        <v>21307.0</v>
      </c>
      <c r="B101" s="35" t="s">
        <v>134</v>
      </c>
      <c r="C101" s="35">
        <v>0.19127306195874993</v>
      </c>
      <c r="D101" s="35">
        <v>0.38084415584415576</v>
      </c>
    </row>
    <row r="102" ht="12.75" customHeight="1">
      <c r="A102" s="35">
        <v>21401.0</v>
      </c>
      <c r="B102" s="35" t="s">
        <v>135</v>
      </c>
      <c r="C102" s="35">
        <v>0.0981008836132972</v>
      </c>
      <c r="D102" s="35">
        <v>0.4284217528687843</v>
      </c>
    </row>
    <row r="103" ht="12.75" customHeight="1">
      <c r="A103" s="35">
        <v>21402.0</v>
      </c>
      <c r="B103" s="35" t="s">
        <v>136</v>
      </c>
      <c r="C103" s="35">
        <v>0.11563768241084534</v>
      </c>
      <c r="D103" s="35">
        <v>0.3451585425839502</v>
      </c>
    </row>
    <row r="104" ht="12.75" customHeight="1">
      <c r="A104" s="35">
        <v>21501.0</v>
      </c>
      <c r="B104" s="35" t="s">
        <v>137</v>
      </c>
      <c r="C104" s="35">
        <v>0.04543532727842155</v>
      </c>
      <c r="D104" s="35">
        <v>0.21791577327855707</v>
      </c>
    </row>
    <row r="105" ht="12.75" customHeight="1">
      <c r="A105" s="35">
        <v>21502.0</v>
      </c>
      <c r="B105" s="35" t="s">
        <v>138</v>
      </c>
      <c r="C105" s="35">
        <v>0.03722668306469732</v>
      </c>
      <c r="D105" s="35">
        <v>0.3033398525650669</v>
      </c>
    </row>
    <row r="106" ht="12.75" customHeight="1">
      <c r="A106" s="35">
        <v>21601.0</v>
      </c>
      <c r="B106" s="35" t="s">
        <v>139</v>
      </c>
      <c r="C106" s="35">
        <v>0.17399464493895486</v>
      </c>
      <c r="D106" s="35">
        <v>0.6004383848688292</v>
      </c>
    </row>
    <row r="107" ht="12.75" customHeight="1">
      <c r="A107" s="35">
        <v>21602.0</v>
      </c>
      <c r="B107" s="35" t="s">
        <v>140</v>
      </c>
      <c r="C107" s="35">
        <v>0.19754584681769147</v>
      </c>
      <c r="D107" s="35">
        <v>0.38696868008948554</v>
      </c>
    </row>
    <row r="108" ht="12.75" customHeight="1">
      <c r="A108" s="35">
        <v>21701.0</v>
      </c>
      <c r="B108" s="35" t="s">
        <v>141</v>
      </c>
      <c r="C108" s="35">
        <v>0.12353079968190993</v>
      </c>
      <c r="D108" s="35">
        <v>0.6283705118055232</v>
      </c>
    </row>
    <row r="109" ht="12.75" customHeight="1">
      <c r="A109" s="35">
        <v>21702.0</v>
      </c>
      <c r="B109" s="35" t="s">
        <v>142</v>
      </c>
      <c r="C109" s="35">
        <v>0.13799694189602446</v>
      </c>
      <c r="D109" s="35">
        <v>0.2195727769498261</v>
      </c>
    </row>
    <row r="110" ht="12.75" customHeight="1">
      <c r="A110" s="35">
        <v>21703.0</v>
      </c>
      <c r="B110" s="35" t="s">
        <v>143</v>
      </c>
      <c r="C110" s="35">
        <v>0.25993984140005466</v>
      </c>
      <c r="D110" s="35">
        <v>0.4169381107491857</v>
      </c>
    </row>
    <row r="111" ht="12.75" customHeight="1">
      <c r="A111" s="35">
        <v>21801.0</v>
      </c>
      <c r="B111" s="35" t="s">
        <v>144</v>
      </c>
      <c r="C111" s="35">
        <v>0.10985472903358748</v>
      </c>
      <c r="D111" s="35">
        <v>0.5434969853574504</v>
      </c>
    </row>
    <row r="112" ht="12.75" customHeight="1">
      <c r="A112" s="35">
        <v>21802.0</v>
      </c>
      <c r="B112" s="35" t="s">
        <v>145</v>
      </c>
      <c r="C112" s="35">
        <v>0.06828343701399689</v>
      </c>
      <c r="D112" s="35">
        <v>0.7830396475770927</v>
      </c>
    </row>
    <row r="113" ht="12.75" customHeight="1">
      <c r="A113" s="35">
        <v>21803.0</v>
      </c>
      <c r="B113" s="35" t="s">
        <v>146</v>
      </c>
      <c r="C113" s="35">
        <v>0.0</v>
      </c>
      <c r="D113" s="35">
        <v>0.37208843268851166</v>
      </c>
    </row>
    <row r="114" ht="12.75" customHeight="1">
      <c r="A114" s="35">
        <v>21901.0</v>
      </c>
      <c r="B114" s="35" t="s">
        <v>147</v>
      </c>
      <c r="C114" s="35">
        <v>0.1300849687946462</v>
      </c>
      <c r="D114" s="35">
        <v>0.4053875334980684</v>
      </c>
    </row>
    <row r="115" ht="12.75" customHeight="1">
      <c r="A115" s="35">
        <v>21902.0</v>
      </c>
      <c r="B115" s="35" t="s">
        <v>148</v>
      </c>
      <c r="C115" s="35">
        <v>0.03443015907605143</v>
      </c>
      <c r="D115" s="35">
        <v>0.4305476416587528</v>
      </c>
    </row>
    <row r="116" ht="12.75" customHeight="1">
      <c r="A116" s="35">
        <v>22001.0</v>
      </c>
      <c r="B116" s="35" t="s">
        <v>149</v>
      </c>
      <c r="C116" s="35">
        <v>0.07138945761276243</v>
      </c>
      <c r="D116" s="35">
        <v>0.4357081680977091</v>
      </c>
    </row>
    <row r="117" ht="12.75" customHeight="1">
      <c r="A117" s="35">
        <v>22002.0</v>
      </c>
      <c r="B117" s="35" t="s">
        <v>150</v>
      </c>
      <c r="C117" s="35">
        <v>0.03825253825253825</v>
      </c>
      <c r="D117" s="35">
        <v>0.1793337296012104</v>
      </c>
    </row>
    <row r="118" ht="12.75" customHeight="1">
      <c r="A118" s="35">
        <v>30101.0</v>
      </c>
      <c r="B118" s="35" t="s">
        <v>26</v>
      </c>
      <c r="C118" s="35">
        <v>0.15397778743697002</v>
      </c>
      <c r="D118" s="35">
        <v>0.3975861750927242</v>
      </c>
    </row>
    <row r="119" ht="12.75" customHeight="1">
      <c r="A119" s="35">
        <v>30201.0</v>
      </c>
      <c r="B119" s="35" t="s">
        <v>151</v>
      </c>
      <c r="C119" s="35">
        <v>0.061813263317022714</v>
      </c>
      <c r="D119" s="35">
        <v>0.19622313398364263</v>
      </c>
    </row>
    <row r="120" ht="12.75" customHeight="1">
      <c r="A120" s="35">
        <v>30202.0</v>
      </c>
      <c r="B120" s="35" t="s">
        <v>152</v>
      </c>
      <c r="C120" s="35">
        <v>0.04226324754845542</v>
      </c>
      <c r="D120" s="35">
        <v>0.46414593234554097</v>
      </c>
    </row>
    <row r="121" ht="12.75" customHeight="1">
      <c r="A121" s="35">
        <v>30203.0</v>
      </c>
      <c r="B121" s="35" t="s">
        <v>153</v>
      </c>
      <c r="C121" s="35">
        <v>0.007910236685470964</v>
      </c>
      <c r="D121" s="35">
        <v>0.18216600109997846</v>
      </c>
    </row>
    <row r="122" ht="12.75" customHeight="1">
      <c r="A122" s="35">
        <v>30301.0</v>
      </c>
      <c r="B122" s="35" t="s">
        <v>154</v>
      </c>
      <c r="C122" s="35">
        <v>0.015690474162234958</v>
      </c>
      <c r="D122" s="35">
        <v>0.15448095405827003</v>
      </c>
    </row>
    <row r="123" ht="12.75" customHeight="1">
      <c r="A123" s="35">
        <v>30302.0</v>
      </c>
      <c r="B123" s="35" t="s">
        <v>155</v>
      </c>
      <c r="C123" s="35">
        <v>0.023747221108640987</v>
      </c>
      <c r="D123" s="35">
        <v>0.2503152998811702</v>
      </c>
    </row>
    <row r="124" ht="12.75" customHeight="1">
      <c r="A124" s="35">
        <v>30303.0</v>
      </c>
      <c r="B124" s="35" t="s">
        <v>156</v>
      </c>
      <c r="C124" s="35">
        <v>0.01777966398685655</v>
      </c>
      <c r="D124" s="35">
        <v>0.16998293968229897</v>
      </c>
    </row>
    <row r="125" ht="12.75" customHeight="1">
      <c r="A125" s="35">
        <v>30401.0</v>
      </c>
      <c r="B125" s="35" t="s">
        <v>157</v>
      </c>
      <c r="C125" s="35">
        <v>0.11635944700460829</v>
      </c>
      <c r="D125" s="35">
        <v>0.19145990454330167</v>
      </c>
    </row>
    <row r="126" ht="12.75" customHeight="1">
      <c r="A126" s="35">
        <v>30402.0</v>
      </c>
      <c r="B126" s="35" t="s">
        <v>158</v>
      </c>
      <c r="C126" s="35">
        <v>0.05465944713593616</v>
      </c>
      <c r="D126" s="35">
        <v>0.35847840103159256</v>
      </c>
    </row>
    <row r="127" ht="12.75" customHeight="1">
      <c r="A127" s="35">
        <v>30403.0</v>
      </c>
      <c r="B127" s="35" t="s">
        <v>159</v>
      </c>
      <c r="C127" s="35">
        <v>0.06973358348968105</v>
      </c>
      <c r="D127" s="35">
        <v>0.18019057442518138</v>
      </c>
    </row>
    <row r="128" ht="12.75" customHeight="1">
      <c r="A128" s="35">
        <v>30404.0</v>
      </c>
      <c r="B128" s="35" t="s">
        <v>160</v>
      </c>
      <c r="C128" s="35">
        <v>0.06208924247665168</v>
      </c>
      <c r="D128" s="35">
        <v>0.2711818961818962</v>
      </c>
    </row>
    <row r="129" ht="12.75" customHeight="1">
      <c r="A129" s="35">
        <v>30501.0</v>
      </c>
      <c r="B129" s="35" t="s">
        <v>161</v>
      </c>
      <c r="C129" s="35">
        <v>0.19023953071533323</v>
      </c>
      <c r="D129" s="35">
        <v>0.23422542389223291</v>
      </c>
    </row>
    <row r="130" ht="12.75" customHeight="1">
      <c r="A130" s="35">
        <v>30502.0</v>
      </c>
      <c r="B130" s="35" t="s">
        <v>162</v>
      </c>
      <c r="C130" s="35">
        <v>0.025692976274371622</v>
      </c>
      <c r="D130" s="35">
        <v>0.4507042253521127</v>
      </c>
    </row>
    <row r="131" ht="12.75" customHeight="1">
      <c r="A131" s="35">
        <v>30601.0</v>
      </c>
      <c r="B131" s="35" t="s">
        <v>163</v>
      </c>
      <c r="C131" s="35">
        <v>0.04421917032422484</v>
      </c>
      <c r="D131" s="35">
        <v>0.2491782375783469</v>
      </c>
    </row>
    <row r="132" ht="12.75" customHeight="1">
      <c r="A132" s="35">
        <v>30602.0</v>
      </c>
      <c r="B132" s="35" t="s">
        <v>164</v>
      </c>
      <c r="C132" s="35">
        <v>0.04058219178082191</v>
      </c>
      <c r="D132" s="35">
        <v>0.4226381360501745</v>
      </c>
    </row>
    <row r="133" ht="12.75" customHeight="1">
      <c r="A133" s="35">
        <v>30701.0</v>
      </c>
      <c r="B133" s="35" t="s">
        <v>165</v>
      </c>
      <c r="C133" s="35">
        <v>0.04788732394366198</v>
      </c>
      <c r="D133" s="35">
        <v>0.29627039627039625</v>
      </c>
    </row>
    <row r="134" ht="12.75" customHeight="1">
      <c r="A134" s="35">
        <v>30702.0</v>
      </c>
      <c r="B134" s="35" t="s">
        <v>166</v>
      </c>
      <c r="C134" s="35">
        <v>0.14282632146709817</v>
      </c>
      <c r="D134" s="35">
        <v>0.1800629740947474</v>
      </c>
    </row>
    <row r="135" ht="12.75" customHeight="1">
      <c r="A135" s="35">
        <v>30703.0</v>
      </c>
      <c r="B135" s="35" t="s">
        <v>167</v>
      </c>
      <c r="C135" s="35">
        <v>0.020571924280447382</v>
      </c>
      <c r="D135" s="35">
        <v>0.21560354691075514</v>
      </c>
    </row>
    <row r="136" ht="12.75" customHeight="1">
      <c r="A136" s="35">
        <v>30801.0</v>
      </c>
      <c r="B136" s="35" t="s">
        <v>168</v>
      </c>
      <c r="C136" s="35">
        <v>0.11007025761124123</v>
      </c>
      <c r="D136" s="35">
        <v>0.3045740733558288</v>
      </c>
    </row>
    <row r="137" ht="12.75" customHeight="1">
      <c r="A137" s="35">
        <v>30802.0</v>
      </c>
      <c r="B137" s="35" t="s">
        <v>169</v>
      </c>
      <c r="C137" s="35">
        <v>0.049369903632320224</v>
      </c>
      <c r="D137" s="35">
        <v>0.24056861673045377</v>
      </c>
    </row>
    <row r="138" ht="12.75" customHeight="1">
      <c r="A138" s="35">
        <v>30803.0</v>
      </c>
      <c r="B138" s="35" t="s">
        <v>170</v>
      </c>
      <c r="C138" s="35">
        <v>0.07135416666666666</v>
      </c>
      <c r="D138" s="35">
        <v>0.21595644575883857</v>
      </c>
    </row>
    <row r="139" ht="12.75" customHeight="1">
      <c r="A139" s="35">
        <v>30901.0</v>
      </c>
      <c r="B139" s="35" t="s">
        <v>171</v>
      </c>
      <c r="C139" s="35">
        <v>0.12494359721084153</v>
      </c>
      <c r="D139" s="35">
        <v>0.2569347690291769</v>
      </c>
    </row>
    <row r="140" ht="12.75" customHeight="1">
      <c r="A140" s="35">
        <v>30902.0</v>
      </c>
      <c r="B140" s="35" t="s">
        <v>172</v>
      </c>
      <c r="C140" s="35">
        <v>0.052890197817045626</v>
      </c>
      <c r="D140" s="35">
        <v>0.222176986355352</v>
      </c>
    </row>
    <row r="141" ht="12.75" customHeight="1">
      <c r="A141" s="35">
        <v>30903.0</v>
      </c>
      <c r="B141" s="35" t="s">
        <v>173</v>
      </c>
      <c r="C141" s="35">
        <v>0.14588156174850633</v>
      </c>
      <c r="D141" s="35">
        <v>0.3646161905084924</v>
      </c>
    </row>
    <row r="142" ht="12.75" customHeight="1">
      <c r="A142" s="35">
        <v>30904.0</v>
      </c>
      <c r="B142" s="35" t="s">
        <v>174</v>
      </c>
      <c r="C142" s="35">
        <v>0.07991974070072543</v>
      </c>
      <c r="D142" s="35">
        <v>0.24307160626663932</v>
      </c>
    </row>
    <row r="143" ht="12.75" customHeight="1">
      <c r="A143" s="35">
        <v>30905.0</v>
      </c>
      <c r="B143" s="35" t="s">
        <v>175</v>
      </c>
      <c r="C143" s="35">
        <v>0.1470159320944806</v>
      </c>
      <c r="D143" s="35">
        <v>0.36211487257512354</v>
      </c>
    </row>
    <row r="144" ht="12.75" customHeight="1">
      <c r="A144" s="35">
        <v>31001.0</v>
      </c>
      <c r="B144" s="35" t="s">
        <v>176</v>
      </c>
      <c r="C144" s="35">
        <v>0.11048916301816963</v>
      </c>
      <c r="D144" s="35">
        <v>0.3099461317874077</v>
      </c>
    </row>
    <row r="145" ht="12.75" customHeight="1">
      <c r="A145" s="35">
        <v>31002.0</v>
      </c>
      <c r="B145" s="35" t="s">
        <v>177</v>
      </c>
      <c r="C145" s="35">
        <v>0.06493401028419593</v>
      </c>
      <c r="D145" s="35">
        <v>0.21581659041177642</v>
      </c>
    </row>
    <row r="146" ht="12.75" customHeight="1">
      <c r="A146" s="35">
        <v>31003.0</v>
      </c>
      <c r="B146" s="35" t="s">
        <v>178</v>
      </c>
      <c r="C146" s="35">
        <v>0.03570969503385023</v>
      </c>
      <c r="D146" s="35">
        <v>0.21118514407285546</v>
      </c>
    </row>
    <row r="147" ht="12.75" customHeight="1">
      <c r="A147" s="35">
        <v>31101.0</v>
      </c>
      <c r="B147" s="35" t="s">
        <v>179</v>
      </c>
      <c r="C147" s="35">
        <v>0.035077530634763925</v>
      </c>
      <c r="D147" s="35">
        <v>0.3219537507427835</v>
      </c>
    </row>
    <row r="148" ht="12.75" customHeight="1">
      <c r="A148" s="35">
        <v>31201.0</v>
      </c>
      <c r="B148" s="35" t="s">
        <v>180</v>
      </c>
      <c r="C148" s="35">
        <v>0.034311180219078426</v>
      </c>
      <c r="D148" s="35">
        <v>0.15048906816653881</v>
      </c>
    </row>
    <row r="149" ht="12.75" customHeight="1">
      <c r="A149" s="35">
        <v>31202.0</v>
      </c>
      <c r="B149" s="35" t="s">
        <v>181</v>
      </c>
      <c r="C149" s="35">
        <v>0.04796692644472119</v>
      </c>
      <c r="D149" s="35">
        <v>0.1621119904773376</v>
      </c>
    </row>
    <row r="150" ht="12.75" customHeight="1">
      <c r="A150" s="35">
        <v>31203.0</v>
      </c>
      <c r="B150" s="35" t="s">
        <v>182</v>
      </c>
      <c r="C150" s="35">
        <v>0.041471058688895536</v>
      </c>
      <c r="D150" s="35">
        <v>0.20777433780529755</v>
      </c>
    </row>
    <row r="151" ht="12.75" customHeight="1">
      <c r="A151" s="35">
        <v>31204.0</v>
      </c>
      <c r="B151" s="35" t="s">
        <v>183</v>
      </c>
      <c r="C151" s="35">
        <v>0.023816035192723923</v>
      </c>
      <c r="D151" s="35">
        <v>0.2062928225795334</v>
      </c>
    </row>
    <row r="152" ht="12.75" customHeight="1">
      <c r="A152" s="35">
        <v>31205.0</v>
      </c>
      <c r="B152" s="35" t="s">
        <v>184</v>
      </c>
      <c r="C152" s="35">
        <v>0.03694710323619876</v>
      </c>
      <c r="D152" s="35">
        <v>0.17652999343489081</v>
      </c>
    </row>
    <row r="153" ht="12.75" customHeight="1">
      <c r="A153" s="35">
        <v>31206.0</v>
      </c>
      <c r="B153" s="35" t="s">
        <v>185</v>
      </c>
      <c r="C153" s="35">
        <v>0.037129638385040735</v>
      </c>
      <c r="D153" s="35">
        <v>0.15528549371429975</v>
      </c>
    </row>
    <row r="154" ht="12.75" customHeight="1">
      <c r="A154" s="35">
        <v>31301.0</v>
      </c>
      <c r="B154" s="35" t="s">
        <v>186</v>
      </c>
      <c r="C154" s="35">
        <v>0.028421287533034502</v>
      </c>
      <c r="D154" s="35">
        <v>0.16970991089147436</v>
      </c>
    </row>
    <row r="155" ht="12.75" customHeight="1">
      <c r="A155" s="35">
        <v>31302.0</v>
      </c>
      <c r="B155" s="35" t="s">
        <v>187</v>
      </c>
      <c r="C155" s="35">
        <v>0.06454046891678016</v>
      </c>
      <c r="D155" s="35">
        <v>0.3744131455399061</v>
      </c>
    </row>
    <row r="156" ht="12.75" customHeight="1">
      <c r="A156" s="35">
        <v>31303.0</v>
      </c>
      <c r="B156" s="35" t="s">
        <v>188</v>
      </c>
      <c r="C156" s="35">
        <v>0.059094639813119514</v>
      </c>
      <c r="D156" s="35">
        <v>0.2785299806576402</v>
      </c>
    </row>
    <row r="157" ht="12.75" customHeight="1">
      <c r="A157" s="35">
        <v>31304.0</v>
      </c>
      <c r="B157" s="35" t="s">
        <v>189</v>
      </c>
      <c r="C157" s="35">
        <v>0.03274211935629258</v>
      </c>
      <c r="D157" s="35">
        <v>0.2962887182070007</v>
      </c>
    </row>
    <row r="158" ht="12.75" customHeight="1">
      <c r="A158" s="35">
        <v>31401.0</v>
      </c>
      <c r="B158" s="35" t="s">
        <v>190</v>
      </c>
      <c r="C158" s="35">
        <v>0.21121725448953108</v>
      </c>
      <c r="D158" s="35">
        <v>0.32209229734921246</v>
      </c>
    </row>
    <row r="159" ht="12.75" customHeight="1">
      <c r="A159" s="35">
        <v>31402.0</v>
      </c>
      <c r="B159" s="35" t="s">
        <v>191</v>
      </c>
      <c r="C159" s="35">
        <v>0.12673302523995733</v>
      </c>
      <c r="D159" s="35">
        <v>0.5352672827231255</v>
      </c>
    </row>
    <row r="160" ht="12.75" customHeight="1">
      <c r="A160" s="35">
        <v>31403.0</v>
      </c>
      <c r="B160" s="35" t="s">
        <v>192</v>
      </c>
      <c r="C160" s="35">
        <v>0.18974816577434067</v>
      </c>
      <c r="D160" s="35">
        <v>0.3461749921457744</v>
      </c>
    </row>
    <row r="161" ht="12.75" customHeight="1">
      <c r="A161" s="35">
        <v>31404.0</v>
      </c>
      <c r="B161" s="35" t="s">
        <v>193</v>
      </c>
      <c r="C161" s="35">
        <v>0.11483253588516747</v>
      </c>
      <c r="D161" s="35">
        <v>0.768633540372671</v>
      </c>
    </row>
    <row r="162" ht="12.75" customHeight="1">
      <c r="A162" s="35">
        <v>31405.0</v>
      </c>
      <c r="B162" s="35" t="s">
        <v>194</v>
      </c>
      <c r="C162" s="35">
        <v>0.07749019607843137</v>
      </c>
      <c r="D162" s="35">
        <v>0.5355609232420826</v>
      </c>
    </row>
    <row r="163" ht="12.75" customHeight="1">
      <c r="A163" s="35">
        <v>31501.0</v>
      </c>
      <c r="B163" s="35" t="s">
        <v>195</v>
      </c>
      <c r="C163" s="35">
        <v>0.04246104111405835</v>
      </c>
      <c r="D163" s="35">
        <v>0.35012499451778434</v>
      </c>
    </row>
    <row r="164" ht="12.75" customHeight="1">
      <c r="A164" s="35">
        <v>31601.0</v>
      </c>
      <c r="B164" s="35" t="s">
        <v>196</v>
      </c>
      <c r="C164" s="35">
        <v>0.040734966152874544</v>
      </c>
      <c r="D164" s="35">
        <v>0.260132061426484</v>
      </c>
    </row>
    <row r="165" ht="12.75" customHeight="1">
      <c r="A165" s="35">
        <v>31602.0</v>
      </c>
      <c r="B165" s="35" t="s">
        <v>197</v>
      </c>
      <c r="C165" s="35">
        <v>0.023185720803550445</v>
      </c>
      <c r="D165" s="35">
        <v>0.2582316303487009</v>
      </c>
    </row>
    <row r="166" ht="12.75" customHeight="1">
      <c r="A166" s="35">
        <v>40101.0</v>
      </c>
      <c r="B166" s="35" t="s">
        <v>28</v>
      </c>
      <c r="C166" s="35">
        <v>0.12432258289639292</v>
      </c>
      <c r="D166" s="35">
        <v>0.2680806645574802</v>
      </c>
    </row>
    <row r="167" ht="12.75" customHeight="1">
      <c r="A167" s="35">
        <v>40102.0</v>
      </c>
      <c r="B167" s="35" t="s">
        <v>198</v>
      </c>
      <c r="C167" s="35">
        <v>0.058707325157441176</v>
      </c>
      <c r="D167" s="35">
        <v>0.2604752970606629</v>
      </c>
    </row>
    <row r="168" ht="12.75" customHeight="1">
      <c r="A168" s="35">
        <v>40103.0</v>
      </c>
      <c r="B168" s="35" t="s">
        <v>199</v>
      </c>
      <c r="C168" s="35">
        <v>0.08126214378238342</v>
      </c>
      <c r="D168" s="35">
        <v>0.5360851172926548</v>
      </c>
    </row>
    <row r="169" ht="12.75" customHeight="1">
      <c r="A169" s="35">
        <v>40104.0</v>
      </c>
      <c r="B169" s="35" t="s">
        <v>200</v>
      </c>
      <c r="C169" s="35">
        <v>0.025446148327504258</v>
      </c>
      <c r="D169" s="35">
        <v>0.3052869367815453</v>
      </c>
    </row>
    <row r="170" ht="12.75" customHeight="1">
      <c r="A170" s="35">
        <v>40201.0</v>
      </c>
      <c r="B170" s="35" t="s">
        <v>201</v>
      </c>
      <c r="C170" s="35">
        <v>0.06074186707214597</v>
      </c>
      <c r="D170" s="35">
        <v>0.22759618507691856</v>
      </c>
    </row>
    <row r="171" ht="12.75" customHeight="1">
      <c r="A171" s="35">
        <v>40202.0</v>
      </c>
      <c r="B171" s="35" t="s">
        <v>202</v>
      </c>
      <c r="C171" s="35">
        <v>0.03157644824311492</v>
      </c>
      <c r="D171" s="35">
        <v>0.2794494542002847</v>
      </c>
    </row>
    <row r="172" ht="12.75" customHeight="1">
      <c r="A172" s="35">
        <v>40301.0</v>
      </c>
      <c r="B172" s="35" t="s">
        <v>203</v>
      </c>
      <c r="C172" s="35">
        <v>0.039016990291262134</v>
      </c>
      <c r="D172" s="35">
        <v>0.4650579963022334</v>
      </c>
    </row>
    <row r="173" ht="12.75" customHeight="1">
      <c r="A173" s="35">
        <v>40302.0</v>
      </c>
      <c r="B173" s="35" t="s">
        <v>204</v>
      </c>
      <c r="C173" s="35">
        <v>0.0695970695970696</v>
      </c>
      <c r="D173" s="35">
        <v>0.3969924812030075</v>
      </c>
    </row>
    <row r="174" ht="12.75" customHeight="1">
      <c r="A174" s="35">
        <v>40401.0</v>
      </c>
      <c r="B174" s="35" t="s">
        <v>205</v>
      </c>
      <c r="C174" s="35">
        <v>0.08335425558624152</v>
      </c>
      <c r="D174" s="35">
        <v>0.3503395569680116</v>
      </c>
    </row>
    <row r="175" ht="12.75" customHeight="1">
      <c r="A175" s="35">
        <v>40402.0</v>
      </c>
      <c r="B175" s="35" t="s">
        <v>206</v>
      </c>
      <c r="C175" s="35">
        <v>0.019367671691792293</v>
      </c>
      <c r="D175" s="35">
        <v>0.6987098983902271</v>
      </c>
    </row>
    <row r="176" ht="12.75" customHeight="1">
      <c r="A176" s="35">
        <v>40501.0</v>
      </c>
      <c r="B176" s="35" t="s">
        <v>207</v>
      </c>
      <c r="C176" s="35">
        <v>0.02407932011331445</v>
      </c>
      <c r="D176" s="35">
        <v>0.2073365231259968</v>
      </c>
    </row>
    <row r="177" ht="12.75" customHeight="1">
      <c r="A177" s="35">
        <v>40502.0</v>
      </c>
      <c r="B177" s="35" t="s">
        <v>208</v>
      </c>
      <c r="C177" s="35">
        <v>0.08707567185289956</v>
      </c>
      <c r="D177" s="35">
        <v>0.6598620689655171</v>
      </c>
    </row>
    <row r="178" ht="12.75" customHeight="1">
      <c r="A178" s="35">
        <v>40503.0</v>
      </c>
      <c r="B178" s="35" t="s">
        <v>209</v>
      </c>
      <c r="C178" s="35">
        <v>0.037654653039268425</v>
      </c>
      <c r="D178" s="35">
        <v>0.8616666666666667</v>
      </c>
    </row>
    <row r="179" ht="12.75" customHeight="1">
      <c r="A179" s="35">
        <v>40504.0</v>
      </c>
      <c r="B179" s="35" t="s">
        <v>210</v>
      </c>
      <c r="C179" s="35">
        <v>0.2122641509433962</v>
      </c>
      <c r="D179" s="35">
        <v>0.18936877076411962</v>
      </c>
    </row>
    <row r="180" ht="12.75" customHeight="1">
      <c r="A180" s="35">
        <v>40505.0</v>
      </c>
      <c r="B180" s="35" t="s">
        <v>211</v>
      </c>
      <c r="C180" s="35">
        <v>0.05319750990379173</v>
      </c>
      <c r="D180" s="35">
        <v>0.21375494071146242</v>
      </c>
    </row>
    <row r="181" ht="12.75" customHeight="1">
      <c r="A181" s="35">
        <v>40601.0</v>
      </c>
      <c r="B181" s="35" t="s">
        <v>212</v>
      </c>
      <c r="C181" s="35">
        <v>0.0711533104280806</v>
      </c>
      <c r="D181" s="35">
        <v>0.1385534931218838</v>
      </c>
    </row>
    <row r="182" ht="12.75" customHeight="1">
      <c r="A182" s="35">
        <v>40602.0</v>
      </c>
      <c r="B182" s="35" t="s">
        <v>213</v>
      </c>
      <c r="C182" s="35">
        <v>0.0684236372565068</v>
      </c>
      <c r="D182" s="35">
        <v>0.3579234972677596</v>
      </c>
    </row>
    <row r="183" ht="12.75" customHeight="1">
      <c r="A183" s="35">
        <v>40603.0</v>
      </c>
      <c r="B183" s="35" t="s">
        <v>214</v>
      </c>
      <c r="C183" s="35">
        <v>0.0</v>
      </c>
      <c r="D183" s="35">
        <v>0.20817843866171004</v>
      </c>
    </row>
    <row r="184" ht="12.75" customHeight="1">
      <c r="A184" s="35">
        <v>40701.0</v>
      </c>
      <c r="B184" s="35" t="s">
        <v>215</v>
      </c>
      <c r="C184" s="35">
        <v>0.06663647342995169</v>
      </c>
      <c r="D184" s="35">
        <v>0.19356081489501614</v>
      </c>
    </row>
    <row r="185" ht="12.75" customHeight="1">
      <c r="A185" s="35">
        <v>40702.0</v>
      </c>
      <c r="B185" s="35" t="s">
        <v>216</v>
      </c>
      <c r="C185" s="35">
        <v>0.04650798621985593</v>
      </c>
      <c r="D185" s="35">
        <v>0.24216777497244055</v>
      </c>
    </row>
    <row r="186" ht="12.75" customHeight="1">
      <c r="A186" s="35">
        <v>40801.0</v>
      </c>
      <c r="B186" s="35" t="s">
        <v>217</v>
      </c>
      <c r="C186" s="35">
        <v>0.05847249257248233</v>
      </c>
      <c r="D186" s="35">
        <v>0.28871794871794876</v>
      </c>
    </row>
    <row r="187" ht="12.75" customHeight="1">
      <c r="A187" s="35">
        <v>40802.0</v>
      </c>
      <c r="B187" s="35" t="s">
        <v>218</v>
      </c>
      <c r="C187" s="35">
        <v>0.0</v>
      </c>
      <c r="D187" s="35">
        <v>0.21279949558638084</v>
      </c>
    </row>
    <row r="188" ht="12.75" customHeight="1">
      <c r="A188" s="35">
        <v>40901.0</v>
      </c>
      <c r="B188" s="35" t="s">
        <v>219</v>
      </c>
      <c r="C188" s="35">
        <v>0.04478982049534197</v>
      </c>
      <c r="D188" s="35">
        <v>0.29506230153571894</v>
      </c>
    </row>
    <row r="189" ht="12.75" customHeight="1">
      <c r="A189" s="35">
        <v>40902.0</v>
      </c>
      <c r="B189" s="35" t="s">
        <v>220</v>
      </c>
      <c r="C189" s="35">
        <v>0.04884453781512604</v>
      </c>
      <c r="D189" s="35">
        <v>0.06163594470046083</v>
      </c>
    </row>
    <row r="190" ht="12.75" customHeight="1">
      <c r="A190" s="35">
        <v>40903.0</v>
      </c>
      <c r="B190" s="35" t="s">
        <v>221</v>
      </c>
      <c r="C190" s="35">
        <v>0.022935779816513763</v>
      </c>
      <c r="D190" s="35">
        <v>0.3598862019914652</v>
      </c>
    </row>
    <row r="191" ht="12.75" customHeight="1">
      <c r="A191" s="35">
        <v>41001.0</v>
      </c>
      <c r="B191" s="35" t="s">
        <v>222</v>
      </c>
      <c r="C191" s="35">
        <v>0.04204042133472289</v>
      </c>
      <c r="D191" s="35">
        <v>0.33052530993034424</v>
      </c>
    </row>
    <row r="192" ht="12.75" customHeight="1">
      <c r="A192" s="35">
        <v>41101.0</v>
      </c>
      <c r="B192" s="35" t="s">
        <v>223</v>
      </c>
      <c r="C192" s="35">
        <v>0.12244897959183675</v>
      </c>
      <c r="D192" s="35">
        <v>0.31222707423580787</v>
      </c>
    </row>
    <row r="193" ht="12.75" customHeight="1">
      <c r="A193" s="35">
        <v>41201.0</v>
      </c>
      <c r="B193" s="35" t="s">
        <v>224</v>
      </c>
      <c r="C193" s="35">
        <v>0.06081821502496042</v>
      </c>
      <c r="D193" s="35">
        <v>0.38364779874213834</v>
      </c>
    </row>
    <row r="194" ht="12.75" customHeight="1">
      <c r="A194" s="35">
        <v>41202.0</v>
      </c>
      <c r="B194" s="35" t="s">
        <v>225</v>
      </c>
      <c r="C194" s="35">
        <v>0.05459508644222021</v>
      </c>
      <c r="D194" s="35">
        <v>0.5045454545454545</v>
      </c>
    </row>
    <row r="195" ht="12.75" customHeight="1">
      <c r="A195" s="35">
        <v>41301.0</v>
      </c>
      <c r="B195" s="35" t="s">
        <v>226</v>
      </c>
      <c r="C195" s="35">
        <v>0.023671474435765963</v>
      </c>
      <c r="D195" s="35">
        <v>0.40335587929240374</v>
      </c>
    </row>
    <row r="196" ht="12.75" customHeight="1">
      <c r="A196" s="35">
        <v>41401.0</v>
      </c>
      <c r="B196" s="35" t="s">
        <v>227</v>
      </c>
      <c r="C196" s="35">
        <v>0.05537280701754386</v>
      </c>
      <c r="D196" s="35">
        <v>0.29427449028565333</v>
      </c>
    </row>
    <row r="197" ht="12.75" customHeight="1">
      <c r="A197" s="35">
        <v>41501.0</v>
      </c>
      <c r="B197" s="35" t="s">
        <v>228</v>
      </c>
      <c r="C197" s="35">
        <v>0.0</v>
      </c>
      <c r="D197" s="35">
        <v>0.5882352941176471</v>
      </c>
    </row>
    <row r="198" ht="12.75" customHeight="1">
      <c r="A198" s="35">
        <v>41502.0</v>
      </c>
      <c r="B198" s="35" t="s">
        <v>229</v>
      </c>
      <c r="C198" s="35">
        <v>0.0</v>
      </c>
      <c r="D198" s="35">
        <v>0.23239436619718307</v>
      </c>
    </row>
    <row r="199" ht="12.75" customHeight="1">
      <c r="A199" s="35">
        <v>41503.0</v>
      </c>
      <c r="B199" s="35" t="s">
        <v>230</v>
      </c>
      <c r="C199" s="35">
        <v>0.0</v>
      </c>
      <c r="D199" s="35">
        <v>0.2642857142857143</v>
      </c>
    </row>
    <row r="200" ht="12.75" customHeight="1">
      <c r="A200" s="35">
        <v>41601.0</v>
      </c>
      <c r="B200" s="35" t="s">
        <v>231</v>
      </c>
      <c r="C200" s="35">
        <v>0.211031175059952</v>
      </c>
      <c r="D200" s="35">
        <v>0.5121543885693078</v>
      </c>
    </row>
    <row r="201" ht="12.75" customHeight="1">
      <c r="A201" s="35">
        <v>50101.0</v>
      </c>
      <c r="B201" s="35" t="s">
        <v>30</v>
      </c>
      <c r="C201" s="35">
        <v>0.07091413017664115</v>
      </c>
      <c r="D201" s="35">
        <v>0.16901509895487124</v>
      </c>
    </row>
    <row r="202" ht="12.75" customHeight="1">
      <c r="A202" s="35">
        <v>50102.0</v>
      </c>
      <c r="B202" s="35" t="s">
        <v>232</v>
      </c>
      <c r="C202" s="35">
        <v>0.03628990627832012</v>
      </c>
      <c r="D202" s="35">
        <v>0.16513680472374942</v>
      </c>
    </row>
    <row r="203" ht="12.75" customHeight="1">
      <c r="A203" s="35">
        <v>50103.0</v>
      </c>
      <c r="B203" s="35" t="s">
        <v>233</v>
      </c>
      <c r="C203" s="35">
        <v>0.040294327273457345</v>
      </c>
      <c r="D203" s="35">
        <v>0.22041716807059766</v>
      </c>
    </row>
    <row r="204" ht="12.75" customHeight="1">
      <c r="A204" s="35">
        <v>50104.0</v>
      </c>
      <c r="B204" s="35" t="s">
        <v>234</v>
      </c>
      <c r="C204" s="35">
        <v>0.0</v>
      </c>
      <c r="D204" s="35">
        <v>0.09832593787817667</v>
      </c>
    </row>
    <row r="205" ht="12.75" customHeight="1">
      <c r="A205" s="35">
        <v>50201.0</v>
      </c>
      <c r="B205" s="35" t="s">
        <v>235</v>
      </c>
      <c r="C205" s="35">
        <v>0.052718687018934646</v>
      </c>
      <c r="D205" s="35">
        <v>0.25671166084764346</v>
      </c>
    </row>
    <row r="206" ht="12.75" customHeight="1">
      <c r="A206" s="35">
        <v>50202.0</v>
      </c>
      <c r="B206" s="35" t="s">
        <v>236</v>
      </c>
      <c r="C206" s="35">
        <v>0.02967875904603989</v>
      </c>
      <c r="D206" s="35">
        <v>0.23457500911585774</v>
      </c>
    </row>
    <row r="207" ht="12.75" customHeight="1">
      <c r="A207" s="35">
        <v>50203.0</v>
      </c>
      <c r="B207" s="35" t="s">
        <v>237</v>
      </c>
      <c r="C207" s="35">
        <v>0.0988380215138591</v>
      </c>
      <c r="D207" s="35">
        <v>0.2195072767889495</v>
      </c>
    </row>
    <row r="208" ht="12.75" customHeight="1">
      <c r="A208" s="35">
        <v>50204.0</v>
      </c>
      <c r="B208" s="35" t="s">
        <v>238</v>
      </c>
      <c r="C208" s="35">
        <v>0.04332153119868637</v>
      </c>
      <c r="D208" s="35">
        <v>0.12101105230386051</v>
      </c>
    </row>
    <row r="209" ht="12.75" customHeight="1">
      <c r="A209" s="35">
        <v>50301.0</v>
      </c>
      <c r="B209" s="35" t="s">
        <v>239</v>
      </c>
      <c r="C209" s="35">
        <v>0.02199818081201936</v>
      </c>
      <c r="D209" s="35">
        <v>0.3233789803662762</v>
      </c>
    </row>
    <row r="210" ht="12.75" customHeight="1">
      <c r="A210" s="35">
        <v>50302.0</v>
      </c>
      <c r="B210" s="35" t="s">
        <v>240</v>
      </c>
      <c r="C210" s="35">
        <v>0.04320987654320988</v>
      </c>
      <c r="D210" s="35">
        <v>0.28323797414706503</v>
      </c>
    </row>
    <row r="211" ht="12.75" customHeight="1">
      <c r="A211" s="35">
        <v>50303.0</v>
      </c>
      <c r="B211" s="35" t="s">
        <v>241</v>
      </c>
      <c r="C211" s="35">
        <v>0.03015846050756439</v>
      </c>
      <c r="D211" s="35">
        <v>0.256422965716646</v>
      </c>
    </row>
    <row r="212" ht="12.75" customHeight="1">
      <c r="A212" s="35">
        <v>50401.0</v>
      </c>
      <c r="B212" s="35" t="s">
        <v>242</v>
      </c>
      <c r="C212" s="35">
        <v>0.03569204738621764</v>
      </c>
      <c r="D212" s="35">
        <v>0.10234498328791526</v>
      </c>
    </row>
    <row r="213" ht="12.75" customHeight="1">
      <c r="A213" s="35">
        <v>50402.0</v>
      </c>
      <c r="B213" s="35" t="s">
        <v>243</v>
      </c>
      <c r="C213" s="35">
        <v>0.029881083270644062</v>
      </c>
      <c r="D213" s="35">
        <v>0.25337354509187426</v>
      </c>
    </row>
    <row r="214" ht="12.75" customHeight="1">
      <c r="A214" s="35">
        <v>50403.0</v>
      </c>
      <c r="B214" s="35" t="s">
        <v>244</v>
      </c>
      <c r="C214" s="35">
        <v>0.049306170652494825</v>
      </c>
      <c r="D214" s="35">
        <v>0.3235100076646196</v>
      </c>
    </row>
    <row r="215" ht="12.75" customHeight="1">
      <c r="A215" s="35">
        <v>50404.0</v>
      </c>
      <c r="B215" s="35" t="s">
        <v>245</v>
      </c>
      <c r="C215" s="35">
        <v>0.028505004163687075</v>
      </c>
      <c r="D215" s="35">
        <v>0.21734812964517516</v>
      </c>
    </row>
    <row r="216" ht="12.75" customHeight="1">
      <c r="A216" s="35">
        <v>50405.0</v>
      </c>
      <c r="B216" s="35" t="s">
        <v>246</v>
      </c>
      <c r="C216" s="35">
        <v>0.016036655211912946</v>
      </c>
      <c r="D216" s="35">
        <v>0.27579707065221665</v>
      </c>
    </row>
    <row r="217" ht="12.75" customHeight="1">
      <c r="A217" s="35">
        <v>50501.0</v>
      </c>
      <c r="B217" s="35" t="s">
        <v>247</v>
      </c>
      <c r="C217" s="35">
        <v>0.04736281092413168</v>
      </c>
      <c r="D217" s="35">
        <v>0.4013587722346413</v>
      </c>
    </row>
    <row r="218" ht="12.75" customHeight="1">
      <c r="A218" s="35">
        <v>50502.0</v>
      </c>
      <c r="B218" s="35" t="s">
        <v>248</v>
      </c>
      <c r="C218" s="35">
        <v>0.06343779677113011</v>
      </c>
      <c r="D218" s="35">
        <v>0.4613662709357637</v>
      </c>
    </row>
    <row r="219" ht="12.75" customHeight="1">
      <c r="A219" s="35">
        <v>50601.0</v>
      </c>
      <c r="B219" s="35" t="s">
        <v>249</v>
      </c>
      <c r="C219" s="35">
        <v>0.026564049632100385</v>
      </c>
      <c r="D219" s="35">
        <v>0.29666377440347075</v>
      </c>
    </row>
    <row r="220" ht="12.75" customHeight="1">
      <c r="A220" s="35">
        <v>50602.0</v>
      </c>
      <c r="B220" s="35" t="s">
        <v>250</v>
      </c>
      <c r="C220" s="35">
        <v>0.05144869961332699</v>
      </c>
      <c r="D220" s="35">
        <v>0.3579095572655292</v>
      </c>
    </row>
    <row r="221" ht="12.75" customHeight="1">
      <c r="A221" s="35">
        <v>50701.0</v>
      </c>
      <c r="B221" s="35" t="s">
        <v>251</v>
      </c>
      <c r="C221" s="35">
        <v>0.06837185254737893</v>
      </c>
      <c r="D221" s="35">
        <v>0.306951729167251</v>
      </c>
    </row>
    <row r="222" ht="12.75" customHeight="1">
      <c r="A222" s="35">
        <v>50702.0</v>
      </c>
      <c r="B222" s="35" t="s">
        <v>252</v>
      </c>
      <c r="C222" s="35">
        <v>0.09598426265092931</v>
      </c>
      <c r="D222" s="35">
        <v>0.3438700679353939</v>
      </c>
    </row>
    <row r="223" ht="12.75" customHeight="1">
      <c r="A223" s="35">
        <v>50801.0</v>
      </c>
      <c r="B223" s="35" t="s">
        <v>253</v>
      </c>
      <c r="C223" s="35">
        <v>0.05575075680667686</v>
      </c>
      <c r="D223" s="35">
        <v>0.2231799753216993</v>
      </c>
    </row>
    <row r="224" ht="12.75" customHeight="1">
      <c r="A224" s="35">
        <v>50802.0</v>
      </c>
      <c r="B224" s="35" t="s">
        <v>254</v>
      </c>
      <c r="C224" s="35">
        <v>0.03424320146756578</v>
      </c>
      <c r="D224" s="35">
        <v>0.06891571236975137</v>
      </c>
    </row>
    <row r="225" ht="12.75" customHeight="1">
      <c r="A225" s="35">
        <v>50901.0</v>
      </c>
      <c r="B225" s="35" t="s">
        <v>255</v>
      </c>
      <c r="C225" s="35">
        <v>0.03271852647311869</v>
      </c>
      <c r="D225" s="35">
        <v>0.18225622204938752</v>
      </c>
    </row>
    <row r="226" ht="12.75" customHeight="1">
      <c r="A226" s="35">
        <v>50902.0</v>
      </c>
      <c r="B226" s="35" t="s">
        <v>256</v>
      </c>
      <c r="C226" s="35">
        <v>0.06797853309481217</v>
      </c>
      <c r="D226" s="35">
        <v>0.19966386554621854</v>
      </c>
    </row>
    <row r="227" ht="12.75" customHeight="1">
      <c r="A227" s="35">
        <v>51001.0</v>
      </c>
      <c r="B227" s="35" t="s">
        <v>257</v>
      </c>
      <c r="C227" s="35">
        <v>0.04244464850525456</v>
      </c>
      <c r="D227" s="35">
        <v>0.190139183769757</v>
      </c>
    </row>
    <row r="228" ht="12.75" customHeight="1">
      <c r="A228" s="35">
        <v>51002.0</v>
      </c>
      <c r="B228" s="35" t="s">
        <v>258</v>
      </c>
      <c r="C228" s="35">
        <v>0.023168316831683168</v>
      </c>
      <c r="D228" s="35">
        <v>0.2954545454545455</v>
      </c>
    </row>
    <row r="229" ht="12.75" customHeight="1">
      <c r="A229" s="35">
        <v>51003.0</v>
      </c>
      <c r="B229" s="35" t="s">
        <v>259</v>
      </c>
      <c r="C229" s="35">
        <v>0.020223298925637248</v>
      </c>
      <c r="D229" s="35">
        <v>0.07366707366707366</v>
      </c>
    </row>
    <row r="230" ht="12.75" customHeight="1">
      <c r="A230" s="35">
        <v>51101.0</v>
      </c>
      <c r="B230" s="35" t="s">
        <v>260</v>
      </c>
      <c r="C230" s="35">
        <v>0.041436059900505105</v>
      </c>
      <c r="D230" s="35">
        <v>0.3479381443298969</v>
      </c>
    </row>
    <row r="231" ht="12.75" customHeight="1">
      <c r="A231" s="35">
        <v>51102.0</v>
      </c>
      <c r="B231" s="35" t="s">
        <v>261</v>
      </c>
      <c r="C231" s="35">
        <v>0.07262915001197877</v>
      </c>
      <c r="D231" s="35">
        <v>0.15666262045730422</v>
      </c>
    </row>
    <row r="232" ht="12.75" customHeight="1">
      <c r="A232" s="35">
        <v>51103.0</v>
      </c>
      <c r="B232" s="35" t="s">
        <v>262</v>
      </c>
      <c r="C232" s="35">
        <v>0.021181759034719347</v>
      </c>
      <c r="D232" s="35">
        <v>0.2658825470301955</v>
      </c>
    </row>
    <row r="233" ht="12.75" customHeight="1">
      <c r="A233" s="35">
        <v>51201.0</v>
      </c>
      <c r="B233" s="35" t="s">
        <v>263</v>
      </c>
      <c r="C233" s="35">
        <v>0.04752358837600705</v>
      </c>
      <c r="D233" s="35">
        <v>0.20491193324406187</v>
      </c>
    </row>
    <row r="234" ht="12.75" customHeight="1">
      <c r="A234" s="35">
        <v>51202.0</v>
      </c>
      <c r="B234" s="35" t="s">
        <v>264</v>
      </c>
      <c r="C234" s="35">
        <v>0.035915964137561894</v>
      </c>
      <c r="D234" s="35">
        <v>0.2721374045801527</v>
      </c>
    </row>
    <row r="235" ht="12.75" customHeight="1">
      <c r="A235" s="35">
        <v>51203.0</v>
      </c>
      <c r="B235" s="35" t="s">
        <v>265</v>
      </c>
      <c r="C235" s="35">
        <v>0.008153336184773312</v>
      </c>
      <c r="D235" s="35">
        <v>0.053437787211694156</v>
      </c>
    </row>
    <row r="236" ht="12.75" customHeight="1">
      <c r="A236" s="35">
        <v>51204.0</v>
      </c>
      <c r="B236" s="35" t="s">
        <v>266</v>
      </c>
      <c r="C236" s="35">
        <v>0.04011210369591872</v>
      </c>
      <c r="D236" s="35">
        <v>0.3189300411522633</v>
      </c>
    </row>
    <row r="237" ht="12.75" customHeight="1">
      <c r="A237" s="35">
        <v>51301.0</v>
      </c>
      <c r="B237" s="35" t="s">
        <v>267</v>
      </c>
      <c r="C237" s="35">
        <v>0.016955634880163183</v>
      </c>
      <c r="D237" s="35">
        <v>0.3628670559363628</v>
      </c>
    </row>
    <row r="238" ht="12.75" customHeight="1">
      <c r="A238" s="35">
        <v>51302.0</v>
      </c>
      <c r="B238" s="35" t="s">
        <v>268</v>
      </c>
      <c r="C238" s="35">
        <v>0.03275778210116732</v>
      </c>
      <c r="D238" s="35">
        <v>0.25914315569487983</v>
      </c>
    </row>
    <row r="239" ht="12.75" customHeight="1">
      <c r="A239" s="35">
        <v>51401.0</v>
      </c>
      <c r="B239" s="35" t="s">
        <v>269</v>
      </c>
      <c r="C239" s="35">
        <v>0.025279498682617675</v>
      </c>
      <c r="D239" s="35">
        <v>0.5537918871252204</v>
      </c>
    </row>
    <row r="240" ht="12.75" customHeight="1">
      <c r="A240" s="35">
        <v>51402.0</v>
      </c>
      <c r="B240" s="35" t="s">
        <v>270</v>
      </c>
      <c r="C240" s="35">
        <v>0.1810810810810811</v>
      </c>
      <c r="D240" s="35">
        <v>0.15929850200949944</v>
      </c>
    </row>
    <row r="241" ht="12.75" customHeight="1">
      <c r="A241" s="35">
        <v>51501.0</v>
      </c>
      <c r="B241" s="35" t="s">
        <v>271</v>
      </c>
      <c r="C241" s="35">
        <v>0.07202712866087838</v>
      </c>
      <c r="D241" s="35">
        <v>0.297370213334615</v>
      </c>
    </row>
    <row r="242" ht="12.75" customHeight="1">
      <c r="A242" s="35">
        <v>51601.0</v>
      </c>
      <c r="B242" s="35" t="s">
        <v>272</v>
      </c>
      <c r="C242" s="35">
        <v>0.0</v>
      </c>
      <c r="D242" s="35">
        <v>0.34595034595034596</v>
      </c>
    </row>
    <row r="243" ht="12.75" customHeight="1">
      <c r="A243" s="35">
        <v>60101.0</v>
      </c>
      <c r="B243" s="35" t="s">
        <v>32</v>
      </c>
      <c r="C243" s="35">
        <v>0.09862942580597023</v>
      </c>
      <c r="D243" s="35">
        <v>0.3062222444540654</v>
      </c>
    </row>
    <row r="244" ht="12.75" customHeight="1">
      <c r="A244" s="35">
        <v>60201.0</v>
      </c>
      <c r="B244" s="35" t="s">
        <v>273</v>
      </c>
      <c r="C244" s="35">
        <v>0.021803085285904154</v>
      </c>
      <c r="D244" s="35">
        <v>0.4808624031007752</v>
      </c>
    </row>
    <row r="245" ht="12.75" customHeight="1">
      <c r="A245" s="35">
        <v>60202.0</v>
      </c>
      <c r="B245" s="35" t="s">
        <v>274</v>
      </c>
      <c r="C245" s="35">
        <v>0.14136886102403343</v>
      </c>
      <c r="D245" s="35">
        <v>0.3238434876685433</v>
      </c>
    </row>
    <row r="246" ht="12.75" customHeight="1">
      <c r="A246" s="35">
        <v>60301.0</v>
      </c>
      <c r="B246" s="35" t="s">
        <v>275</v>
      </c>
      <c r="C246" s="35">
        <v>0.08601791903060314</v>
      </c>
      <c r="D246" s="35">
        <v>0.26809670381108847</v>
      </c>
    </row>
    <row r="247" ht="12.75" customHeight="1">
      <c r="A247" s="35">
        <v>60302.0</v>
      </c>
      <c r="B247" s="35" t="s">
        <v>276</v>
      </c>
      <c r="C247" s="35">
        <v>0.028285282366915025</v>
      </c>
      <c r="D247" s="35">
        <v>0.35256381662983316</v>
      </c>
    </row>
    <row r="248" ht="12.75" customHeight="1">
      <c r="A248" s="35">
        <v>60303.0</v>
      </c>
      <c r="B248" s="35" t="s">
        <v>277</v>
      </c>
      <c r="C248" s="35">
        <v>0.10057559845785019</v>
      </c>
      <c r="D248" s="35">
        <v>0.2752030578117535</v>
      </c>
    </row>
    <row r="249" ht="12.75" customHeight="1">
      <c r="A249" s="35">
        <v>60401.0</v>
      </c>
      <c r="B249" s="35" t="s">
        <v>278</v>
      </c>
      <c r="C249" s="35">
        <v>0.03940095486474299</v>
      </c>
      <c r="D249" s="35">
        <v>0.2600505132423477</v>
      </c>
    </row>
    <row r="250" ht="12.75" customHeight="1">
      <c r="A250" s="35">
        <v>60402.0</v>
      </c>
      <c r="B250" s="35" t="s">
        <v>279</v>
      </c>
      <c r="C250" s="35">
        <v>0.029981024667931695</v>
      </c>
      <c r="D250" s="35">
        <v>0.5619591638308217</v>
      </c>
    </row>
    <row r="251" ht="12.75" customHeight="1">
      <c r="A251" s="35">
        <v>60501.0</v>
      </c>
      <c r="B251" s="35" t="s">
        <v>280</v>
      </c>
      <c r="C251" s="35">
        <v>0.10542484738491997</v>
      </c>
      <c r="D251" s="35">
        <v>0.25254025158566856</v>
      </c>
    </row>
    <row r="252" ht="12.75" customHeight="1">
      <c r="A252" s="35">
        <v>60502.0</v>
      </c>
      <c r="B252" s="35" t="s">
        <v>281</v>
      </c>
      <c r="C252" s="35">
        <v>0.03612770309327247</v>
      </c>
      <c r="D252" s="35">
        <v>0.42355576049008636</v>
      </c>
    </row>
    <row r="253" ht="12.75" customHeight="1">
      <c r="A253" s="35">
        <v>60601.0</v>
      </c>
      <c r="B253" s="35" t="s">
        <v>185</v>
      </c>
      <c r="C253" s="35">
        <v>0.0503620547966446</v>
      </c>
      <c r="D253" s="35">
        <v>0.31926206943365487</v>
      </c>
    </row>
    <row r="254" ht="12.75" customHeight="1">
      <c r="A254" s="35">
        <v>70101.0</v>
      </c>
      <c r="B254" s="35" t="s">
        <v>282</v>
      </c>
      <c r="C254" s="35">
        <v>0.12142661974506583</v>
      </c>
      <c r="D254" s="35">
        <v>0.31427960050041454</v>
      </c>
    </row>
    <row r="255" ht="12.75" customHeight="1">
      <c r="A255" s="35">
        <v>70102.0</v>
      </c>
      <c r="B255" s="35" t="s">
        <v>283</v>
      </c>
      <c r="C255" s="35">
        <v>0.07569401402707551</v>
      </c>
      <c r="D255" s="35">
        <v>0.23613073493586983</v>
      </c>
    </row>
    <row r="256" ht="12.75" customHeight="1">
      <c r="A256" s="35">
        <v>70103.0</v>
      </c>
      <c r="B256" s="35" t="s">
        <v>284</v>
      </c>
      <c r="C256" s="35">
        <v>0.06665655538794517</v>
      </c>
      <c r="D256" s="35">
        <v>0.2092549680499965</v>
      </c>
    </row>
    <row r="257" ht="12.75" customHeight="1">
      <c r="A257" s="35">
        <v>70104.0</v>
      </c>
      <c r="B257" s="35" t="s">
        <v>285</v>
      </c>
      <c r="C257" s="35">
        <v>0.09498815169638708</v>
      </c>
      <c r="D257" s="35">
        <v>0.25838236415025717</v>
      </c>
    </row>
    <row r="258" ht="12.75" customHeight="1">
      <c r="A258" s="35">
        <v>70105.0</v>
      </c>
      <c r="B258" s="35" t="s">
        <v>286</v>
      </c>
      <c r="C258" s="35">
        <v>0.09362302766965815</v>
      </c>
      <c r="D258" s="35">
        <v>0.2507746482951946</v>
      </c>
    </row>
    <row r="259" ht="12.75" customHeight="1">
      <c r="A259" s="35">
        <v>70201.0</v>
      </c>
      <c r="B259" s="35" t="s">
        <v>287</v>
      </c>
      <c r="C259" s="35">
        <v>0.07634916609094758</v>
      </c>
      <c r="D259" s="35">
        <v>0.23632784110067473</v>
      </c>
    </row>
    <row r="260" ht="12.75" customHeight="1">
      <c r="A260" s="35">
        <v>70202.0</v>
      </c>
      <c r="B260" s="35" t="s">
        <v>288</v>
      </c>
      <c r="C260" s="35">
        <v>0.08337541024993689</v>
      </c>
      <c r="D260" s="35">
        <v>0.13170160643440937</v>
      </c>
    </row>
    <row r="261" ht="12.75" customHeight="1">
      <c r="A261" s="35">
        <v>70301.0</v>
      </c>
      <c r="B261" s="35" t="s">
        <v>289</v>
      </c>
      <c r="C261" s="35">
        <v>0.05749169959252716</v>
      </c>
      <c r="D261" s="35">
        <v>0.14136666512763163</v>
      </c>
    </row>
    <row r="262" ht="12.75" customHeight="1">
      <c r="A262" s="35">
        <v>70302.0</v>
      </c>
      <c r="B262" s="35" t="s">
        <v>290</v>
      </c>
      <c r="C262" s="35">
        <v>0.04027607321482772</v>
      </c>
      <c r="D262" s="35">
        <v>0.1872584800343495</v>
      </c>
    </row>
    <row r="263" ht="12.75" customHeight="1">
      <c r="A263" s="35">
        <v>70303.0</v>
      </c>
      <c r="B263" s="35" t="s">
        <v>291</v>
      </c>
      <c r="C263" s="35">
        <v>0.04067379543686334</v>
      </c>
      <c r="D263" s="35">
        <v>0.09549474847982312</v>
      </c>
    </row>
    <row r="264" ht="12.75" customHeight="1">
      <c r="A264" s="35">
        <v>70401.0</v>
      </c>
      <c r="B264" s="35" t="s">
        <v>292</v>
      </c>
      <c r="C264" s="35">
        <v>0.051068224023325635</v>
      </c>
      <c r="D264" s="35">
        <v>0.2820183271853249</v>
      </c>
    </row>
    <row r="265" ht="12.75" customHeight="1">
      <c r="A265" s="35">
        <v>70402.0</v>
      </c>
      <c r="B265" s="35" t="s">
        <v>293</v>
      </c>
      <c r="C265" s="35">
        <v>0.08966175238459359</v>
      </c>
      <c r="D265" s="35">
        <v>0.20137773494663955</v>
      </c>
    </row>
    <row r="266" ht="12.75" customHeight="1">
      <c r="A266" s="35">
        <v>70403.0</v>
      </c>
      <c r="B266" s="35" t="s">
        <v>294</v>
      </c>
      <c r="C266" s="35">
        <v>0.0641659372950841</v>
      </c>
      <c r="D266" s="35">
        <v>0.23412812410226946</v>
      </c>
    </row>
    <row r="267" ht="12.75" customHeight="1">
      <c r="A267" s="35">
        <v>70404.0</v>
      </c>
      <c r="B267" s="35" t="s">
        <v>295</v>
      </c>
      <c r="C267" s="35">
        <v>0.02629482071713148</v>
      </c>
      <c r="D267" s="35">
        <v>0.31506849315068486</v>
      </c>
    </row>
    <row r="268" ht="12.75" customHeight="1">
      <c r="A268" s="35">
        <v>70501.0</v>
      </c>
      <c r="B268" s="35" t="s">
        <v>296</v>
      </c>
      <c r="C268" s="35">
        <v>0.04790709751358708</v>
      </c>
      <c r="D268" s="35">
        <v>0.17090957934325715</v>
      </c>
    </row>
    <row r="269" ht="12.75" customHeight="1">
      <c r="A269" s="35">
        <v>70502.0</v>
      </c>
      <c r="B269" s="35" t="s">
        <v>297</v>
      </c>
      <c r="C269" s="35">
        <v>0.06140447151683106</v>
      </c>
      <c r="D269" s="35">
        <v>0.11393117944101852</v>
      </c>
    </row>
    <row r="270" ht="12.75" customHeight="1">
      <c r="A270" s="35">
        <v>70503.0</v>
      </c>
      <c r="B270" s="35" t="s">
        <v>298</v>
      </c>
      <c r="C270" s="35">
        <v>0.08237237410583059</v>
      </c>
      <c r="D270" s="35">
        <v>0.17343277281362135</v>
      </c>
    </row>
    <row r="271" ht="12.75" customHeight="1">
      <c r="A271" s="35">
        <v>70601.0</v>
      </c>
      <c r="B271" s="35" t="s">
        <v>299</v>
      </c>
      <c r="C271" s="35">
        <v>0.09901903295951525</v>
      </c>
      <c r="D271" s="35">
        <v>0.20123652359747704</v>
      </c>
    </row>
    <row r="272" ht="12.75" customHeight="1">
      <c r="A272" s="35">
        <v>70602.0</v>
      </c>
      <c r="B272" s="35" t="s">
        <v>300</v>
      </c>
      <c r="C272" s="35">
        <v>0.03480820815585035</v>
      </c>
      <c r="D272" s="35">
        <v>0.24563779681284625</v>
      </c>
    </row>
    <row r="273" ht="12.75" customHeight="1">
      <c r="A273" s="35">
        <v>70603.0</v>
      </c>
      <c r="B273" s="35" t="s">
        <v>301</v>
      </c>
      <c r="C273" s="35">
        <v>0.07071361582402592</v>
      </c>
      <c r="D273" s="35">
        <v>0.37904750289651806</v>
      </c>
    </row>
    <row r="274" ht="12.75" customHeight="1">
      <c r="A274" s="35">
        <v>70701.0</v>
      </c>
      <c r="B274" s="35" t="s">
        <v>302</v>
      </c>
      <c r="C274" s="35">
        <v>0.023728065334951993</v>
      </c>
      <c r="D274" s="35">
        <v>0.15372619583145897</v>
      </c>
    </row>
    <row r="275" ht="12.75" customHeight="1">
      <c r="A275" s="35">
        <v>70702.0</v>
      </c>
      <c r="B275" s="35" t="s">
        <v>303</v>
      </c>
      <c r="C275" s="35">
        <v>0.04788389675849483</v>
      </c>
      <c r="D275" s="35">
        <v>0.2956777220962589</v>
      </c>
    </row>
    <row r="276" ht="12.75" customHeight="1">
      <c r="A276" s="35">
        <v>70703.0</v>
      </c>
      <c r="B276" s="35" t="s">
        <v>304</v>
      </c>
      <c r="C276" s="35">
        <v>0.04142014287668904</v>
      </c>
      <c r="D276" s="35">
        <v>0.20831009878188414</v>
      </c>
    </row>
    <row r="277" ht="12.75" customHeight="1">
      <c r="A277" s="35">
        <v>70704.0</v>
      </c>
      <c r="B277" s="35" t="s">
        <v>305</v>
      </c>
      <c r="C277" s="35">
        <v>0.08609141055949567</v>
      </c>
      <c r="D277" s="35">
        <v>0.210734400059677</v>
      </c>
    </row>
    <row r="278" ht="12.75" customHeight="1">
      <c r="A278" s="35">
        <v>70705.0</v>
      </c>
      <c r="B278" s="35" t="s">
        <v>306</v>
      </c>
      <c r="C278" s="35">
        <v>0.03972727905405254</v>
      </c>
      <c r="D278" s="35">
        <v>0.2706558837743143</v>
      </c>
    </row>
    <row r="279" ht="12.75" customHeight="1">
      <c r="A279" s="35">
        <v>70706.0</v>
      </c>
      <c r="B279" s="35" t="s">
        <v>307</v>
      </c>
      <c r="C279" s="35">
        <v>0.13887827878923986</v>
      </c>
      <c r="D279" s="35">
        <v>0.24824306920758377</v>
      </c>
    </row>
    <row r="280" ht="12.75" customHeight="1">
      <c r="A280" s="35">
        <v>70707.0</v>
      </c>
      <c r="B280" s="35" t="s">
        <v>308</v>
      </c>
      <c r="C280" s="35">
        <v>0.10690192008303062</v>
      </c>
      <c r="D280" s="35">
        <v>0.16670601196096946</v>
      </c>
    </row>
    <row r="281" ht="12.75" customHeight="1">
      <c r="A281" s="35">
        <v>70801.0</v>
      </c>
      <c r="B281" s="35" t="s">
        <v>309</v>
      </c>
      <c r="C281" s="35">
        <v>0.029317330871416115</v>
      </c>
      <c r="D281" s="35">
        <v>0.23267661131438222</v>
      </c>
    </row>
    <row r="282" ht="12.75" customHeight="1">
      <c r="A282" s="35">
        <v>70802.0</v>
      </c>
      <c r="B282" s="35" t="s">
        <v>310</v>
      </c>
      <c r="C282" s="35">
        <v>0.0</v>
      </c>
      <c r="D282" s="35">
        <v>0.279379956741168</v>
      </c>
    </row>
    <row r="283" ht="12.75" customHeight="1">
      <c r="A283" s="35">
        <v>70803.0</v>
      </c>
      <c r="B283" s="35" t="s">
        <v>311</v>
      </c>
      <c r="C283" s="35">
        <v>0.0749034749034749</v>
      </c>
      <c r="D283" s="35">
        <v>0.24903846153846157</v>
      </c>
    </row>
    <row r="284" ht="12.75" customHeight="1">
      <c r="A284" s="35">
        <v>70804.0</v>
      </c>
      <c r="B284" s="35" t="s">
        <v>312</v>
      </c>
      <c r="C284" s="35">
        <v>0.06414414414414414</v>
      </c>
      <c r="D284" s="35">
        <v>0.17813765182186234</v>
      </c>
    </row>
    <row r="285" ht="12.75" customHeight="1">
      <c r="A285" s="35">
        <v>70805.0</v>
      </c>
      <c r="B285" s="35" t="s">
        <v>313</v>
      </c>
      <c r="C285" s="35">
        <v>0.09814814814814815</v>
      </c>
      <c r="D285" s="35">
        <v>0.05740378343118069</v>
      </c>
    </row>
    <row r="286" ht="12.75" customHeight="1">
      <c r="A286" s="35">
        <v>70901.0</v>
      </c>
      <c r="B286" s="35" t="s">
        <v>314</v>
      </c>
      <c r="C286" s="35">
        <v>0.047090716818864335</v>
      </c>
      <c r="D286" s="35">
        <v>0.24029850746268655</v>
      </c>
    </row>
    <row r="287" ht="12.75" customHeight="1">
      <c r="A287" s="35">
        <v>70902.0</v>
      </c>
      <c r="B287" s="35" t="s">
        <v>315</v>
      </c>
      <c r="C287" s="35">
        <v>0.017975528364849832</v>
      </c>
      <c r="D287" s="35">
        <v>0.10742574257425744</v>
      </c>
    </row>
    <row r="288" ht="12.75" customHeight="1">
      <c r="A288" s="35">
        <v>70903.0</v>
      </c>
      <c r="B288" s="35" t="s">
        <v>316</v>
      </c>
      <c r="C288" s="35">
        <v>0.027480544747081715</v>
      </c>
      <c r="D288" s="35">
        <v>0.08617507823156544</v>
      </c>
    </row>
    <row r="289" ht="12.75" customHeight="1">
      <c r="A289" s="35">
        <v>70904.0</v>
      </c>
      <c r="B289" s="35" t="s">
        <v>317</v>
      </c>
      <c r="C289" s="35">
        <v>0.03687943262411347</v>
      </c>
      <c r="D289" s="35">
        <v>0.06397677212655187</v>
      </c>
    </row>
    <row r="290" ht="12.75" customHeight="1">
      <c r="A290" s="35">
        <v>71001.0</v>
      </c>
      <c r="B290" s="35" t="s">
        <v>318</v>
      </c>
      <c r="C290" s="35">
        <v>0.08957569706995748</v>
      </c>
      <c r="D290" s="35">
        <v>0.30348187353338446</v>
      </c>
    </row>
    <row r="291" ht="12.75" customHeight="1">
      <c r="A291" s="35">
        <v>71002.0</v>
      </c>
      <c r="B291" s="35" t="s">
        <v>319</v>
      </c>
      <c r="C291" s="35">
        <v>0.03982540167298568</v>
      </c>
      <c r="D291" s="35">
        <v>0.20987549957497967</v>
      </c>
    </row>
    <row r="292" ht="12.75" customHeight="1">
      <c r="A292" s="35">
        <v>71003.0</v>
      </c>
      <c r="B292" s="35" t="s">
        <v>320</v>
      </c>
      <c r="C292" s="35">
        <v>0.07735607255520505</v>
      </c>
      <c r="D292" s="35">
        <v>0.25400728710704334</v>
      </c>
    </row>
    <row r="293" ht="12.75" customHeight="1">
      <c r="A293" s="35">
        <v>71004.0</v>
      </c>
      <c r="B293" s="35" t="s">
        <v>321</v>
      </c>
      <c r="C293" s="35">
        <v>0.027352342813580652</v>
      </c>
      <c r="D293" s="35">
        <v>0.17488871374177148</v>
      </c>
    </row>
    <row r="294" ht="12.75" customHeight="1">
      <c r="A294" s="35">
        <v>71005.0</v>
      </c>
      <c r="B294" s="35" t="s">
        <v>322</v>
      </c>
      <c r="C294" s="35">
        <v>0.05046961966604824</v>
      </c>
      <c r="D294" s="35">
        <v>0.28254067584480597</v>
      </c>
    </row>
    <row r="295" ht="12.75" customHeight="1">
      <c r="A295" s="35">
        <v>71101.0</v>
      </c>
      <c r="B295" s="35" t="s">
        <v>323</v>
      </c>
      <c r="C295" s="35">
        <v>0.11278200374976034</v>
      </c>
      <c r="D295" s="35">
        <v>0.15305875307738373</v>
      </c>
    </row>
    <row r="296" ht="12.75" customHeight="1">
      <c r="A296" s="35">
        <v>71102.0</v>
      </c>
      <c r="B296" s="35" t="s">
        <v>324</v>
      </c>
      <c r="C296" s="35">
        <v>0.04337019083874911</v>
      </c>
      <c r="D296" s="35">
        <v>0.136332871370097</v>
      </c>
    </row>
    <row r="297" ht="12.75" customHeight="1">
      <c r="A297" s="35">
        <v>71103.0</v>
      </c>
      <c r="B297" s="35" t="s">
        <v>325</v>
      </c>
      <c r="C297" s="35">
        <v>0.03907322011022382</v>
      </c>
      <c r="D297" s="35">
        <v>0.20740881619542711</v>
      </c>
    </row>
    <row r="298" ht="12.75" customHeight="1">
      <c r="A298" s="35">
        <v>71104.0</v>
      </c>
      <c r="B298" s="35" t="s">
        <v>326</v>
      </c>
      <c r="C298" s="35">
        <v>0.10212418300653596</v>
      </c>
      <c r="D298" s="35">
        <v>0.17988770375551283</v>
      </c>
    </row>
    <row r="299" ht="12.75" customHeight="1">
      <c r="A299" s="35">
        <v>71105.0</v>
      </c>
      <c r="B299" s="35" t="s">
        <v>327</v>
      </c>
      <c r="C299" s="35">
        <v>0.11776865395033217</v>
      </c>
      <c r="D299" s="35">
        <v>0.31816578483245145</v>
      </c>
    </row>
    <row r="300" ht="12.75" customHeight="1">
      <c r="A300" s="35">
        <v>71106.0</v>
      </c>
      <c r="B300" s="35" t="s">
        <v>328</v>
      </c>
      <c r="C300" s="35">
        <v>0.052627952906594</v>
      </c>
      <c r="D300" s="35">
        <v>0.14710928118030536</v>
      </c>
    </row>
    <row r="301" ht="12.75" customHeight="1">
      <c r="A301" s="35">
        <v>71201.0</v>
      </c>
      <c r="B301" s="35" t="s">
        <v>329</v>
      </c>
      <c r="C301" s="35">
        <v>0.06790456655511173</v>
      </c>
      <c r="D301" s="35">
        <v>0.2065173527037934</v>
      </c>
    </row>
    <row r="302" ht="12.75" customHeight="1">
      <c r="A302" s="35">
        <v>71301.0</v>
      </c>
      <c r="B302" s="35" t="s">
        <v>330</v>
      </c>
      <c r="C302" s="35">
        <v>0.026141435496615198</v>
      </c>
      <c r="D302" s="35">
        <v>0.22181655916595677</v>
      </c>
    </row>
    <row r="303" ht="12.75" customHeight="1">
      <c r="A303" s="35">
        <v>71302.0</v>
      </c>
      <c r="B303" s="35" t="s">
        <v>331</v>
      </c>
      <c r="C303" s="35">
        <v>0.013649425287356323</v>
      </c>
      <c r="D303" s="35">
        <v>0.12459902971819409</v>
      </c>
    </row>
    <row r="304" ht="12.75" customHeight="1">
      <c r="A304" s="35">
        <v>71401.0</v>
      </c>
      <c r="B304" s="35" t="s">
        <v>332</v>
      </c>
      <c r="C304" s="35">
        <v>0.06765064925569886</v>
      </c>
      <c r="D304" s="35">
        <v>0.14834209822622338</v>
      </c>
    </row>
    <row r="305" ht="12.75" customHeight="1">
      <c r="A305" s="35">
        <v>71402.0</v>
      </c>
      <c r="B305" s="35" t="s">
        <v>333</v>
      </c>
      <c r="C305" s="35">
        <v>0.10509672619047619</v>
      </c>
      <c r="D305" s="35">
        <v>0.26132179675994105</v>
      </c>
    </row>
    <row r="306" ht="12.75" customHeight="1">
      <c r="A306" s="35">
        <v>71403.0</v>
      </c>
      <c r="B306" s="35" t="s">
        <v>334</v>
      </c>
      <c r="C306" s="35">
        <v>0.055979295329124844</v>
      </c>
      <c r="D306" s="35">
        <v>0.2211719612811018</v>
      </c>
    </row>
    <row r="307" ht="12.75" customHeight="1">
      <c r="A307" s="35">
        <v>71501.0</v>
      </c>
      <c r="B307" s="35" t="s">
        <v>335</v>
      </c>
      <c r="C307" s="35">
        <v>0.10045302553085611</v>
      </c>
      <c r="D307" s="35">
        <v>0.16902181882386036</v>
      </c>
    </row>
    <row r="308" ht="12.75" customHeight="1">
      <c r="A308" s="35">
        <v>71502.0</v>
      </c>
      <c r="B308" s="35" t="s">
        <v>336</v>
      </c>
      <c r="C308" s="35">
        <v>0.11325648414985591</v>
      </c>
      <c r="D308" s="35">
        <v>0.3712442396313364</v>
      </c>
    </row>
    <row r="309" ht="12.75" customHeight="1">
      <c r="A309" s="35">
        <v>71503.0</v>
      </c>
      <c r="B309" s="35" t="s">
        <v>281</v>
      </c>
      <c r="C309" s="35">
        <v>0.03127053669222344</v>
      </c>
      <c r="D309" s="35">
        <v>0.20142844061899093</v>
      </c>
    </row>
    <row r="310" ht="12.75" customHeight="1">
      <c r="A310" s="35">
        <v>80101.0</v>
      </c>
      <c r="B310" s="35" t="s">
        <v>337</v>
      </c>
      <c r="C310" s="35">
        <v>0.1292411608666936</v>
      </c>
      <c r="D310" s="35">
        <v>0.33654887170807174</v>
      </c>
    </row>
    <row r="311" ht="12.75" customHeight="1">
      <c r="A311" s="35">
        <v>80102.0</v>
      </c>
      <c r="B311" s="35" t="s">
        <v>324</v>
      </c>
      <c r="C311" s="35">
        <v>0.05320661705455752</v>
      </c>
      <c r="D311" s="35">
        <v>0.18476753704539</v>
      </c>
    </row>
    <row r="312" ht="12.75" customHeight="1">
      <c r="A312" s="35">
        <v>80201.0</v>
      </c>
      <c r="B312" s="35" t="s">
        <v>338</v>
      </c>
      <c r="C312" s="35">
        <v>0.13443827476367656</v>
      </c>
      <c r="D312" s="35">
        <v>0.2408852835386852</v>
      </c>
    </row>
    <row r="313" ht="12.75" customHeight="1">
      <c r="A313" s="35">
        <v>80202.0</v>
      </c>
      <c r="B313" s="35" t="s">
        <v>339</v>
      </c>
      <c r="C313" s="35">
        <v>0.09803290855766317</v>
      </c>
      <c r="D313" s="35">
        <v>0.2045726285114316</v>
      </c>
    </row>
    <row r="314" ht="12.75" customHeight="1">
      <c r="A314" s="35">
        <v>80301.0</v>
      </c>
      <c r="B314" s="35" t="s">
        <v>340</v>
      </c>
      <c r="C314" s="35">
        <v>0.08036970062286516</v>
      </c>
      <c r="D314" s="35">
        <v>0.34902310612023574</v>
      </c>
    </row>
    <row r="315" ht="12.75" customHeight="1">
      <c r="A315" s="35">
        <v>80302.0</v>
      </c>
      <c r="B315" s="35" t="s">
        <v>341</v>
      </c>
      <c r="C315" s="35">
        <v>0.06691586369315163</v>
      </c>
      <c r="D315" s="35">
        <v>0.22871216631065358</v>
      </c>
    </row>
    <row r="316" ht="12.75" customHeight="1">
      <c r="A316" s="35">
        <v>80303.0</v>
      </c>
      <c r="B316" s="35" t="s">
        <v>342</v>
      </c>
      <c r="C316" s="35">
        <v>0.05538638444666851</v>
      </c>
      <c r="D316" s="35">
        <v>0.2583449220785081</v>
      </c>
    </row>
    <row r="317" ht="12.75" customHeight="1">
      <c r="A317" s="35">
        <v>80304.0</v>
      </c>
      <c r="B317" s="35" t="s">
        <v>343</v>
      </c>
      <c r="C317" s="35">
        <v>0.08299671207139503</v>
      </c>
      <c r="D317" s="35">
        <v>0.19136855000248318</v>
      </c>
    </row>
    <row r="318" ht="12.75" customHeight="1">
      <c r="A318" s="35">
        <v>80401.0</v>
      </c>
      <c r="B318" s="35" t="s">
        <v>344</v>
      </c>
      <c r="C318" s="35">
        <v>0.10607473730025493</v>
      </c>
      <c r="D318" s="35">
        <v>0.3456700681320714</v>
      </c>
    </row>
    <row r="319" ht="12.75" customHeight="1">
      <c r="A319" s="35">
        <v>80402.0</v>
      </c>
      <c r="B319" s="35" t="s">
        <v>345</v>
      </c>
      <c r="C319" s="35">
        <v>0.03036677947498399</v>
      </c>
      <c r="D319" s="35">
        <v>0.13121245028629452</v>
      </c>
    </row>
    <row r="320" ht="12.75" customHeight="1">
      <c r="A320" s="35">
        <v>80501.0</v>
      </c>
      <c r="B320" s="35" t="s">
        <v>346</v>
      </c>
      <c r="C320" s="35">
        <v>0.08834767548844508</v>
      </c>
      <c r="D320" s="35">
        <v>0.265102293777923</v>
      </c>
    </row>
    <row r="321" ht="12.75" customHeight="1">
      <c r="A321" s="35">
        <v>80601.0</v>
      </c>
      <c r="B321" s="35" t="s">
        <v>347</v>
      </c>
      <c r="C321" s="35">
        <v>0.04238130290761869</v>
      </c>
      <c r="D321" s="35">
        <v>0.4107363937998316</v>
      </c>
    </row>
    <row r="322" ht="12.75" customHeight="1">
      <c r="A322" s="35">
        <v>80602.0</v>
      </c>
      <c r="B322" s="35" t="s">
        <v>348</v>
      </c>
      <c r="C322" s="35">
        <v>0.04353501934147095</v>
      </c>
      <c r="D322" s="35">
        <v>0.1446298958050936</v>
      </c>
    </row>
    <row r="323" ht="12.75" customHeight="1">
      <c r="A323" s="35">
        <v>80701.0</v>
      </c>
      <c r="B323" s="35" t="s">
        <v>349</v>
      </c>
      <c r="C323" s="35">
        <v>0.027713027713027718</v>
      </c>
      <c r="D323" s="35">
        <v>0.10618225612203934</v>
      </c>
    </row>
    <row r="324" ht="12.75" customHeight="1">
      <c r="A324" s="35">
        <v>80702.0</v>
      </c>
      <c r="B324" s="35" t="s">
        <v>325</v>
      </c>
      <c r="C324" s="35">
        <v>0.0725732037401575</v>
      </c>
      <c r="D324" s="35">
        <v>0.22012621916236377</v>
      </c>
    </row>
    <row r="325" ht="12.75" customHeight="1">
      <c r="A325" s="35">
        <v>80703.0</v>
      </c>
      <c r="B325" s="35" t="s">
        <v>350</v>
      </c>
      <c r="C325" s="35">
        <v>0.03924731182795699</v>
      </c>
      <c r="D325" s="35">
        <v>0.354679802955665</v>
      </c>
    </row>
    <row r="326" ht="12.75" customHeight="1">
      <c r="A326" s="35">
        <v>80801.0</v>
      </c>
      <c r="B326" s="35" t="s">
        <v>351</v>
      </c>
      <c r="C326" s="35">
        <v>0.05921089660606743</v>
      </c>
      <c r="D326" s="35">
        <v>0.2038493038493039</v>
      </c>
    </row>
    <row r="327" ht="12.75" customHeight="1">
      <c r="A327" s="35">
        <v>80802.0</v>
      </c>
      <c r="B327" s="35" t="s">
        <v>352</v>
      </c>
      <c r="C327" s="35">
        <v>0.07352506939112975</v>
      </c>
      <c r="D327" s="35">
        <v>0.2662337662337662</v>
      </c>
    </row>
    <row r="328" ht="12.75" customHeight="1">
      <c r="A328" s="35">
        <v>80803.0</v>
      </c>
      <c r="B328" s="35" t="s">
        <v>353</v>
      </c>
      <c r="C328" s="35">
        <v>0.031587158715871595</v>
      </c>
      <c r="D328" s="35">
        <v>0.26307026307026304</v>
      </c>
    </row>
    <row r="329" ht="12.75" customHeight="1">
      <c r="A329" s="35">
        <v>80901.0</v>
      </c>
      <c r="B329" s="35" t="s">
        <v>354</v>
      </c>
      <c r="C329" s="35">
        <v>0.04836046237320123</v>
      </c>
      <c r="D329" s="35">
        <v>0.3224198956780924</v>
      </c>
    </row>
    <row r="330" ht="12.75" customHeight="1">
      <c r="A330" s="35">
        <v>90101.0</v>
      </c>
      <c r="B330" s="35" t="s">
        <v>355</v>
      </c>
      <c r="C330" s="35">
        <v>0.06280646684887388</v>
      </c>
      <c r="D330" s="35">
        <v>0.28356564149135094</v>
      </c>
    </row>
    <row r="331" ht="12.75" customHeight="1">
      <c r="A331" s="35">
        <v>90102.0</v>
      </c>
      <c r="B331" s="35" t="s">
        <v>356</v>
      </c>
      <c r="C331" s="35">
        <v>0.056548288606781294</v>
      </c>
      <c r="D331" s="35">
        <v>0.4788397930625054</v>
      </c>
    </row>
    <row r="332" ht="12.75" customHeight="1">
      <c r="A332" s="35">
        <v>90103.0</v>
      </c>
      <c r="B332" s="35" t="s">
        <v>357</v>
      </c>
      <c r="C332" s="35">
        <v>0.016824290691886512</v>
      </c>
      <c r="D332" s="35">
        <v>0.33108522378908645</v>
      </c>
    </row>
    <row r="333" ht="12.75" customHeight="1">
      <c r="A333" s="35">
        <v>90104.0</v>
      </c>
      <c r="B333" s="35" t="s">
        <v>358</v>
      </c>
      <c r="C333" s="35">
        <v>0.02421726344923024</v>
      </c>
      <c r="D333" s="35">
        <v>0.321133412042503</v>
      </c>
    </row>
    <row r="334" ht="12.75" customHeight="1">
      <c r="A334" s="35">
        <v>90201.0</v>
      </c>
      <c r="B334" s="35" t="s">
        <v>359</v>
      </c>
      <c r="C334" s="35">
        <v>0.022194030847299193</v>
      </c>
      <c r="D334" s="35">
        <v>0.21788467110982326</v>
      </c>
    </row>
    <row r="335" ht="12.75" customHeight="1">
      <c r="A335" s="35">
        <v>90202.0</v>
      </c>
      <c r="B335" s="35" t="s">
        <v>322</v>
      </c>
      <c r="C335" s="35">
        <v>0.038693524524866275</v>
      </c>
      <c r="D335" s="35">
        <v>0.11258064516129032</v>
      </c>
    </row>
    <row r="336" ht="12.75" customHeight="1">
      <c r="A336" s="35">
        <v>90203.0</v>
      </c>
      <c r="B336" s="35" t="s">
        <v>360</v>
      </c>
      <c r="C336" s="35">
        <v>0.026984339445857316</v>
      </c>
      <c r="D336" s="35">
        <v>0.2018276446381022</v>
      </c>
    </row>
    <row r="337" ht="12.75" customHeight="1">
      <c r="A337" s="35">
        <v>90301.0</v>
      </c>
      <c r="B337" s="35" t="s">
        <v>361</v>
      </c>
      <c r="C337" s="35">
        <v>0.0526641707792085</v>
      </c>
      <c r="D337" s="35">
        <v>0.3751148310707359</v>
      </c>
    </row>
    <row r="338" ht="12.75" customHeight="1">
      <c r="A338" s="35">
        <v>90302.0</v>
      </c>
      <c r="B338" s="35" t="s">
        <v>362</v>
      </c>
      <c r="C338" s="35">
        <v>0.06731078904991948</v>
      </c>
      <c r="D338" s="35">
        <v>0.20676804619826758</v>
      </c>
    </row>
    <row r="339" ht="12.75" customHeight="1">
      <c r="A339" s="35">
        <v>90303.0</v>
      </c>
      <c r="B339" s="35" t="s">
        <v>363</v>
      </c>
      <c r="C339" s="35">
        <v>0.0562173373176689</v>
      </c>
      <c r="D339" s="35">
        <v>0.12463274180279706</v>
      </c>
    </row>
    <row r="340" ht="12.75" customHeight="1">
      <c r="A340" s="35">
        <v>90401.0</v>
      </c>
      <c r="B340" s="35" t="s">
        <v>364</v>
      </c>
      <c r="C340" s="35">
        <v>0.05040853067442183</v>
      </c>
      <c r="D340" s="35">
        <v>0.08741393981588923</v>
      </c>
    </row>
    <row r="341" ht="12.75" customHeight="1">
      <c r="A341" s="35">
        <v>90402.0</v>
      </c>
      <c r="B341" s="35" t="s">
        <v>365</v>
      </c>
      <c r="C341" s="35">
        <v>0.009836949198221262</v>
      </c>
      <c r="D341" s="35">
        <v>0.23138780804150452</v>
      </c>
    </row>
    <row r="342" ht="12.75" customHeight="1">
      <c r="A342" s="35">
        <v>90501.0</v>
      </c>
      <c r="B342" s="35" t="s">
        <v>366</v>
      </c>
      <c r="C342" s="35">
        <v>0.10228013029315959</v>
      </c>
      <c r="D342" s="35">
        <v>0.15505490344566453</v>
      </c>
    </row>
    <row r="343" ht="12.75" customHeight="1">
      <c r="A343" s="35">
        <v>90502.0</v>
      </c>
      <c r="B343" s="35" t="s">
        <v>367</v>
      </c>
      <c r="C343" s="35">
        <v>0.07230018303843808</v>
      </c>
      <c r="D343" s="35">
        <v>0.22651022523796058</v>
      </c>
    </row>
    <row r="344" ht="12.75" customHeight="1">
      <c r="A344" s="35">
        <v>90503.0</v>
      </c>
      <c r="B344" s="35" t="s">
        <v>368</v>
      </c>
      <c r="C344" s="35">
        <v>0.03675213675213675</v>
      </c>
      <c r="D344" s="35">
        <v>0.10810810810810811</v>
      </c>
    </row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30.5"/>
    <col customWidth="1" min="4" max="4" width="26.63"/>
    <col customWidth="1" min="5" max="26" width="12.5"/>
  </cols>
  <sheetData>
    <row r="1" ht="51.75" customHeight="1">
      <c r="A1" s="36" t="s">
        <v>0</v>
      </c>
      <c r="B1" s="2" t="s">
        <v>2</v>
      </c>
      <c r="C1" s="4" t="s">
        <v>371</v>
      </c>
      <c r="D1" s="4" t="s">
        <v>372</v>
      </c>
    </row>
    <row r="2" ht="15.75" customHeight="1">
      <c r="A2" s="37">
        <v>10101.0</v>
      </c>
      <c r="B2" s="38" t="s">
        <v>22</v>
      </c>
      <c r="C2" s="37"/>
      <c r="D2" s="39"/>
    </row>
    <row r="3" ht="15.75" customHeight="1">
      <c r="A3" s="11">
        <v>10102.0</v>
      </c>
      <c r="B3" s="10" t="s">
        <v>23</v>
      </c>
      <c r="C3" s="11"/>
      <c r="D3" s="15"/>
    </row>
    <row r="4" ht="15.75" customHeight="1">
      <c r="A4" s="11">
        <v>10103.0</v>
      </c>
      <c r="B4" s="10" t="s">
        <v>25</v>
      </c>
      <c r="C4" s="11"/>
      <c r="D4" s="15"/>
    </row>
    <row r="5" ht="15.75" customHeight="1">
      <c r="A5" s="11">
        <v>10201.0</v>
      </c>
      <c r="B5" s="10" t="s">
        <v>27</v>
      </c>
      <c r="C5" s="11"/>
      <c r="D5" s="15"/>
    </row>
    <row r="6" ht="15.75" customHeight="1">
      <c r="A6" s="11">
        <v>10202.0</v>
      </c>
      <c r="B6" s="10" t="s">
        <v>29</v>
      </c>
      <c r="C6" s="11"/>
      <c r="D6" s="15"/>
    </row>
    <row r="7" ht="15.75" customHeight="1">
      <c r="A7" s="11">
        <v>10301.0</v>
      </c>
      <c r="B7" s="10" t="s">
        <v>31</v>
      </c>
      <c r="C7" s="11"/>
      <c r="D7" s="15"/>
    </row>
    <row r="8" ht="15.75" customHeight="1">
      <c r="A8" s="11">
        <v>10302.0</v>
      </c>
      <c r="B8" s="10" t="s">
        <v>33</v>
      </c>
      <c r="C8" s="11"/>
      <c r="D8" s="15"/>
    </row>
    <row r="9" ht="15.75" customHeight="1">
      <c r="A9" s="11">
        <v>10303.0</v>
      </c>
      <c r="B9" s="10" t="s">
        <v>35</v>
      </c>
      <c r="C9" s="11"/>
      <c r="D9" s="15"/>
    </row>
    <row r="10" ht="15.75" customHeight="1">
      <c r="A10" s="11">
        <v>10304.0</v>
      </c>
      <c r="B10" s="10" t="s">
        <v>37</v>
      </c>
      <c r="C10" s="11"/>
      <c r="D10" s="15"/>
    </row>
    <row r="11" ht="15.75" customHeight="1">
      <c r="A11" s="11">
        <v>10401.0</v>
      </c>
      <c r="B11" s="10" t="s">
        <v>39</v>
      </c>
      <c r="C11" s="11"/>
      <c r="D11" s="15"/>
    </row>
    <row r="12" ht="15.75" customHeight="1">
      <c r="A12" s="11">
        <v>10402.0</v>
      </c>
      <c r="B12" s="10" t="s">
        <v>41</v>
      </c>
      <c r="C12" s="11"/>
      <c r="D12" s="15"/>
    </row>
    <row r="13" ht="15.75" customHeight="1">
      <c r="A13" s="11">
        <v>10403.0</v>
      </c>
      <c r="B13" s="10" t="s">
        <v>43</v>
      </c>
      <c r="C13" s="11"/>
      <c r="D13" s="15"/>
    </row>
    <row r="14" ht="15.75" customHeight="1">
      <c r="A14" s="11">
        <v>10404.0</v>
      </c>
      <c r="B14" s="10" t="s">
        <v>44</v>
      </c>
      <c r="C14" s="11"/>
      <c r="D14" s="15"/>
    </row>
    <row r="15" ht="15.75" customHeight="1">
      <c r="A15" s="11">
        <v>10405.0</v>
      </c>
      <c r="B15" s="10" t="s">
        <v>46</v>
      </c>
      <c r="C15" s="11"/>
      <c r="D15" s="15"/>
    </row>
    <row r="16" ht="15.75" customHeight="1">
      <c r="A16" s="11">
        <v>10501.0</v>
      </c>
      <c r="B16" s="10" t="s">
        <v>48</v>
      </c>
      <c r="C16" s="11"/>
      <c r="D16" s="15"/>
    </row>
    <row r="17" ht="15.75" customHeight="1">
      <c r="A17" s="11">
        <v>10502.0</v>
      </c>
      <c r="B17" s="10" t="s">
        <v>49</v>
      </c>
      <c r="C17" s="11"/>
      <c r="D17" s="15"/>
    </row>
    <row r="18" ht="15.75" customHeight="1">
      <c r="A18" s="11">
        <v>10601.0</v>
      </c>
      <c r="B18" s="10" t="s">
        <v>50</v>
      </c>
      <c r="C18" s="11"/>
      <c r="D18" s="15"/>
    </row>
    <row r="19" ht="15.75" customHeight="1">
      <c r="A19" s="11">
        <v>10602.0</v>
      </c>
      <c r="B19" s="10" t="s">
        <v>51</v>
      </c>
      <c r="C19" s="11"/>
      <c r="D19" s="15"/>
    </row>
    <row r="20" ht="15.75" customHeight="1">
      <c r="A20" s="11">
        <v>10701.0</v>
      </c>
      <c r="B20" s="10" t="s">
        <v>52</v>
      </c>
      <c r="C20" s="11"/>
      <c r="D20" s="15"/>
    </row>
    <row r="21" ht="15.75" customHeight="1">
      <c r="A21" s="11">
        <v>10702.0</v>
      </c>
      <c r="B21" s="10" t="s">
        <v>54</v>
      </c>
      <c r="C21" s="11"/>
      <c r="D21" s="15"/>
    </row>
    <row r="22" ht="15.75" customHeight="1">
      <c r="A22" s="11">
        <v>10703.0</v>
      </c>
      <c r="B22" s="10" t="s">
        <v>55</v>
      </c>
      <c r="C22" s="11"/>
      <c r="D22" s="15"/>
    </row>
    <row r="23" ht="15.75" customHeight="1">
      <c r="A23" s="11">
        <v>10704.0</v>
      </c>
      <c r="B23" s="10" t="s">
        <v>56</v>
      </c>
      <c r="C23" s="11"/>
      <c r="D23" s="15"/>
    </row>
    <row r="24" ht="15.75" customHeight="1">
      <c r="A24" s="11">
        <v>10801.0</v>
      </c>
      <c r="B24" s="10" t="s">
        <v>57</v>
      </c>
      <c r="C24" s="11"/>
      <c r="D24" s="15"/>
    </row>
    <row r="25" ht="15.75" customHeight="1">
      <c r="A25" s="11">
        <v>10901.0</v>
      </c>
      <c r="B25" s="10" t="s">
        <v>58</v>
      </c>
      <c r="C25" s="11"/>
      <c r="D25" s="15"/>
    </row>
    <row r="26" ht="15.75" customHeight="1">
      <c r="A26" s="11">
        <v>10902.0</v>
      </c>
      <c r="B26" s="10" t="s">
        <v>59</v>
      </c>
      <c r="C26" s="11"/>
      <c r="D26" s="15"/>
    </row>
    <row r="27" ht="15.75" customHeight="1">
      <c r="A27" s="11">
        <v>10903.0</v>
      </c>
      <c r="B27" s="10" t="s">
        <v>60</v>
      </c>
      <c r="C27" s="11"/>
      <c r="D27" s="15"/>
    </row>
    <row r="28" ht="15.75" customHeight="1">
      <c r="A28" s="11">
        <v>11001.0</v>
      </c>
      <c r="B28" s="10" t="s">
        <v>61</v>
      </c>
      <c r="C28" s="11"/>
      <c r="D28" s="15"/>
    </row>
    <row r="29" ht="15.75" customHeight="1">
      <c r="A29" s="11">
        <v>11002.0</v>
      </c>
      <c r="B29" s="10" t="s">
        <v>62</v>
      </c>
      <c r="C29" s="11"/>
      <c r="D29" s="15"/>
    </row>
    <row r="30" ht="15.75" customHeight="1">
      <c r="A30" s="11">
        <v>11003.0</v>
      </c>
      <c r="B30" s="10" t="s">
        <v>63</v>
      </c>
      <c r="C30" s="11"/>
      <c r="D30" s="15"/>
    </row>
    <row r="31" ht="15.75" customHeight="1">
      <c r="A31" s="11">
        <v>20101.0</v>
      </c>
      <c r="B31" s="10" t="s">
        <v>64</v>
      </c>
      <c r="C31" s="11"/>
      <c r="D31" s="15"/>
    </row>
    <row r="32" ht="15.75" customHeight="1">
      <c r="A32" s="11">
        <v>20102.0</v>
      </c>
      <c r="B32" s="10" t="s">
        <v>65</v>
      </c>
      <c r="C32" s="11"/>
      <c r="D32" s="15"/>
    </row>
    <row r="33" ht="15.75" customHeight="1">
      <c r="A33" s="11">
        <v>20103.0</v>
      </c>
      <c r="B33" s="10" t="s">
        <v>66</v>
      </c>
      <c r="C33" s="11"/>
      <c r="D33" s="15"/>
    </row>
    <row r="34" ht="15.75" customHeight="1">
      <c r="A34" s="11">
        <v>20104.0</v>
      </c>
      <c r="B34" s="10" t="s">
        <v>67</v>
      </c>
      <c r="C34" s="11"/>
      <c r="D34" s="15"/>
    </row>
    <row r="35" ht="15.75" customHeight="1">
      <c r="A35" s="11">
        <v>20105.0</v>
      </c>
      <c r="B35" s="10" t="s">
        <v>68</v>
      </c>
      <c r="C35" s="11"/>
      <c r="D35" s="15"/>
    </row>
    <row r="36" ht="15.75" customHeight="1">
      <c r="A36" s="11">
        <v>20201.0</v>
      </c>
      <c r="B36" s="10" t="s">
        <v>69</v>
      </c>
      <c r="C36" s="11"/>
      <c r="D36" s="15"/>
    </row>
    <row r="37" ht="15.75" customHeight="1">
      <c r="A37" s="11">
        <v>20202.0</v>
      </c>
      <c r="B37" s="10" t="s">
        <v>70</v>
      </c>
      <c r="C37" s="11"/>
      <c r="D37" s="15"/>
    </row>
    <row r="38" ht="15.75" customHeight="1">
      <c r="A38" s="11">
        <v>20203.0</v>
      </c>
      <c r="B38" s="10" t="s">
        <v>71</v>
      </c>
      <c r="C38" s="11"/>
      <c r="D38" s="15"/>
    </row>
    <row r="39" ht="15.75" customHeight="1">
      <c r="A39" s="11">
        <v>20204.0</v>
      </c>
      <c r="B39" s="10" t="s">
        <v>72</v>
      </c>
      <c r="C39" s="11"/>
      <c r="D39" s="15"/>
    </row>
    <row r="40" ht="15.75" customHeight="1">
      <c r="A40" s="11">
        <v>20205.0</v>
      </c>
      <c r="B40" s="10" t="s">
        <v>73</v>
      </c>
      <c r="C40" s="11"/>
      <c r="D40" s="15"/>
    </row>
    <row r="41" ht="15.75" customHeight="1">
      <c r="A41" s="11">
        <v>20206.0</v>
      </c>
      <c r="B41" s="10" t="s">
        <v>74</v>
      </c>
      <c r="C41" s="11"/>
      <c r="D41" s="15"/>
    </row>
    <row r="42" ht="15.75" customHeight="1">
      <c r="A42" s="11">
        <v>20301.0</v>
      </c>
      <c r="B42" s="10" t="s">
        <v>75</v>
      </c>
      <c r="C42" s="11"/>
      <c r="D42" s="15"/>
    </row>
    <row r="43" ht="15.75" customHeight="1">
      <c r="A43" s="11">
        <v>20302.0</v>
      </c>
      <c r="B43" s="10" t="s">
        <v>76</v>
      </c>
      <c r="C43" s="11"/>
      <c r="D43" s="15"/>
    </row>
    <row r="44" ht="15.75" customHeight="1">
      <c r="A44" s="11">
        <v>20303.0</v>
      </c>
      <c r="B44" s="10" t="s">
        <v>77</v>
      </c>
      <c r="C44" s="11"/>
      <c r="D44" s="15"/>
    </row>
    <row r="45" ht="15.75" customHeight="1">
      <c r="A45" s="11">
        <v>20304.0</v>
      </c>
      <c r="B45" s="10" t="s">
        <v>78</v>
      </c>
      <c r="C45" s="11"/>
      <c r="D45" s="15"/>
    </row>
    <row r="46" ht="15.75" customHeight="1">
      <c r="A46" s="11">
        <v>20305.0</v>
      </c>
      <c r="B46" s="10" t="s">
        <v>79</v>
      </c>
      <c r="C46" s="11"/>
      <c r="D46" s="15"/>
    </row>
    <row r="47" ht="15.75" customHeight="1">
      <c r="A47" s="11">
        <v>20306.0</v>
      </c>
      <c r="B47" s="10" t="s">
        <v>80</v>
      </c>
      <c r="C47" s="11"/>
      <c r="D47" s="15"/>
    </row>
    <row r="48" ht="15.75" customHeight="1">
      <c r="A48" s="11">
        <v>20307.0</v>
      </c>
      <c r="B48" s="10" t="s">
        <v>81</v>
      </c>
      <c r="C48" s="11"/>
      <c r="D48" s="15"/>
    </row>
    <row r="49" ht="15.75" customHeight="1">
      <c r="A49" s="11">
        <v>20308.0</v>
      </c>
      <c r="B49" s="10" t="s">
        <v>82</v>
      </c>
      <c r="C49" s="11"/>
      <c r="D49" s="15"/>
    </row>
    <row r="50" ht="15.75" customHeight="1">
      <c r="A50" s="11">
        <v>20401.0</v>
      </c>
      <c r="B50" s="10" t="s">
        <v>83</v>
      </c>
      <c r="C50" s="11"/>
      <c r="D50" s="15"/>
    </row>
    <row r="51" ht="15.75" customHeight="1">
      <c r="A51" s="11">
        <v>20402.0</v>
      </c>
      <c r="B51" s="10" t="s">
        <v>84</v>
      </c>
      <c r="C51" s="11"/>
      <c r="D51" s="15"/>
    </row>
    <row r="52" ht="15.75" customHeight="1">
      <c r="A52" s="11">
        <v>20403.0</v>
      </c>
      <c r="B52" s="10" t="s">
        <v>85</v>
      </c>
      <c r="C52" s="11"/>
      <c r="D52" s="15"/>
    </row>
    <row r="53" ht="15.75" customHeight="1">
      <c r="A53" s="11">
        <v>20404.0</v>
      </c>
      <c r="B53" s="10" t="s">
        <v>86</v>
      </c>
      <c r="C53" s="11"/>
      <c r="D53" s="15"/>
    </row>
    <row r="54" ht="15.75" customHeight="1">
      <c r="A54" s="11">
        <v>20405.0</v>
      </c>
      <c r="B54" s="10" t="s">
        <v>87</v>
      </c>
      <c r="C54" s="11"/>
      <c r="D54" s="15"/>
    </row>
    <row r="55" ht="15.75" customHeight="1">
      <c r="A55" s="11">
        <v>20501.0</v>
      </c>
      <c r="B55" s="10" t="s">
        <v>88</v>
      </c>
      <c r="C55" s="11"/>
      <c r="D55" s="15"/>
    </row>
    <row r="56" ht="15.75" customHeight="1">
      <c r="A56" s="11">
        <v>20502.0</v>
      </c>
      <c r="B56" s="10" t="s">
        <v>89</v>
      </c>
      <c r="C56" s="11"/>
      <c r="D56" s="15"/>
    </row>
    <row r="57" ht="15.75" customHeight="1">
      <c r="A57" s="11">
        <v>20503.0</v>
      </c>
      <c r="B57" s="10" t="s">
        <v>90</v>
      </c>
      <c r="C57" s="11"/>
      <c r="D57" s="15"/>
    </row>
    <row r="58" ht="15.75" customHeight="1">
      <c r="A58" s="11">
        <v>20601.0</v>
      </c>
      <c r="B58" s="10" t="s">
        <v>91</v>
      </c>
      <c r="C58" s="11"/>
      <c r="D58" s="15"/>
    </row>
    <row r="59" ht="15.75" customHeight="1">
      <c r="A59" s="11">
        <v>20602.0</v>
      </c>
      <c r="B59" s="10" t="s">
        <v>92</v>
      </c>
      <c r="C59" s="11"/>
      <c r="D59" s="15"/>
    </row>
    <row r="60" ht="15.75" customHeight="1">
      <c r="A60" s="11">
        <v>20603.0</v>
      </c>
      <c r="B60" s="10" t="s">
        <v>93</v>
      </c>
      <c r="C60" s="11"/>
      <c r="D60" s="15"/>
    </row>
    <row r="61" ht="15.75" customHeight="1">
      <c r="A61" s="11">
        <v>20604.0</v>
      </c>
      <c r="B61" s="10" t="s">
        <v>94</v>
      </c>
      <c r="C61" s="11"/>
      <c r="D61" s="15"/>
    </row>
    <row r="62" ht="15.75" customHeight="1">
      <c r="A62" s="11">
        <v>20605.0</v>
      </c>
      <c r="B62" s="10" t="s">
        <v>95</v>
      </c>
      <c r="C62" s="11"/>
      <c r="D62" s="15"/>
    </row>
    <row r="63" ht="15.75" customHeight="1">
      <c r="A63" s="11">
        <v>20606.0</v>
      </c>
      <c r="B63" s="10" t="s">
        <v>96</v>
      </c>
      <c r="C63" s="11"/>
      <c r="D63" s="15"/>
    </row>
    <row r="64" ht="15.75" customHeight="1">
      <c r="A64" s="11">
        <v>20607.0</v>
      </c>
      <c r="B64" s="10" t="s">
        <v>97</v>
      </c>
      <c r="C64" s="11"/>
      <c r="D64" s="15"/>
    </row>
    <row r="65" ht="15.75" customHeight="1">
      <c r="A65" s="11">
        <v>20608.0</v>
      </c>
      <c r="B65" s="10" t="s">
        <v>98</v>
      </c>
      <c r="C65" s="11"/>
      <c r="D65" s="15"/>
    </row>
    <row r="66" ht="15.75" customHeight="1">
      <c r="A66" s="11">
        <v>20701.0</v>
      </c>
      <c r="B66" s="10" t="s">
        <v>99</v>
      </c>
      <c r="C66" s="11"/>
      <c r="D66" s="15"/>
    </row>
    <row r="67" ht="15.75" customHeight="1">
      <c r="A67" s="11">
        <v>20702.0</v>
      </c>
      <c r="B67" s="10" t="s">
        <v>100</v>
      </c>
      <c r="C67" s="11"/>
      <c r="D67" s="15"/>
    </row>
    <row r="68" ht="15.75" customHeight="1">
      <c r="A68" s="11">
        <v>20801.0</v>
      </c>
      <c r="B68" s="10" t="s">
        <v>101</v>
      </c>
      <c r="C68" s="11"/>
      <c r="D68" s="15"/>
    </row>
    <row r="69" ht="15.75" customHeight="1">
      <c r="A69" s="11">
        <v>20802.0</v>
      </c>
      <c r="B69" s="10" t="s">
        <v>102</v>
      </c>
      <c r="C69" s="11"/>
      <c r="D69" s="15"/>
    </row>
    <row r="70" ht="15.75" customHeight="1">
      <c r="A70" s="11">
        <v>20803.0</v>
      </c>
      <c r="B70" s="10" t="s">
        <v>103</v>
      </c>
      <c r="C70" s="11"/>
      <c r="D70" s="15"/>
    </row>
    <row r="71" ht="15.75" customHeight="1">
      <c r="A71" s="11">
        <v>20804.0</v>
      </c>
      <c r="B71" s="10" t="s">
        <v>104</v>
      </c>
      <c r="C71" s="11"/>
      <c r="D71" s="15"/>
    </row>
    <row r="72" ht="15.75" customHeight="1">
      <c r="A72" s="11">
        <v>20805.0</v>
      </c>
      <c r="B72" s="10" t="s">
        <v>105</v>
      </c>
      <c r="C72" s="11"/>
      <c r="D72" s="15"/>
    </row>
    <row r="73" ht="15.75" customHeight="1">
      <c r="A73" s="11">
        <v>20806.0</v>
      </c>
      <c r="B73" s="10" t="s">
        <v>106</v>
      </c>
      <c r="C73" s="11"/>
      <c r="D73" s="15"/>
    </row>
    <row r="74" ht="15.75" customHeight="1">
      <c r="A74" s="11">
        <v>20807.0</v>
      </c>
      <c r="B74" s="10" t="s">
        <v>107</v>
      </c>
      <c r="C74" s="11"/>
      <c r="D74" s="15"/>
    </row>
    <row r="75" ht="15.75" customHeight="1">
      <c r="A75" s="11">
        <v>20901.0</v>
      </c>
      <c r="B75" s="10" t="s">
        <v>108</v>
      </c>
      <c r="C75" s="11"/>
      <c r="D75" s="15"/>
    </row>
    <row r="76" ht="15.75" customHeight="1">
      <c r="A76" s="11">
        <v>20902.0</v>
      </c>
      <c r="B76" s="10" t="s">
        <v>109</v>
      </c>
      <c r="C76" s="11"/>
      <c r="D76" s="15"/>
    </row>
    <row r="77" ht="15.75" customHeight="1">
      <c r="A77" s="11">
        <v>20903.0</v>
      </c>
      <c r="B77" s="10" t="s">
        <v>110</v>
      </c>
      <c r="C77" s="11"/>
      <c r="D77" s="15"/>
    </row>
    <row r="78" ht="15.75" customHeight="1">
      <c r="A78" s="11">
        <v>20904.0</v>
      </c>
      <c r="B78" s="10" t="s">
        <v>111</v>
      </c>
      <c r="C78" s="11"/>
      <c r="D78" s="15"/>
    </row>
    <row r="79" ht="15.75" customHeight="1">
      <c r="A79" s="11">
        <v>20905.0</v>
      </c>
      <c r="B79" s="10" t="s">
        <v>112</v>
      </c>
      <c r="C79" s="11"/>
      <c r="D79" s="15"/>
    </row>
    <row r="80" ht="15.75" customHeight="1">
      <c r="A80" s="11">
        <v>21001.0</v>
      </c>
      <c r="B80" s="10" t="s">
        <v>113</v>
      </c>
      <c r="C80" s="11"/>
      <c r="D80" s="15"/>
    </row>
    <row r="81" ht="15.75" customHeight="1">
      <c r="A81" s="11">
        <v>21002.0</v>
      </c>
      <c r="B81" s="10" t="s">
        <v>114</v>
      </c>
      <c r="C81" s="11"/>
      <c r="D81" s="15"/>
    </row>
    <row r="82" ht="15.75" customHeight="1">
      <c r="A82" s="11">
        <v>21003.0</v>
      </c>
      <c r="B82" s="10" t="s">
        <v>115</v>
      </c>
      <c r="C82" s="11"/>
      <c r="D82" s="15"/>
    </row>
    <row r="83" ht="15.75" customHeight="1">
      <c r="A83" s="11">
        <v>21004.0</v>
      </c>
      <c r="B83" s="10" t="s">
        <v>116</v>
      </c>
      <c r="C83" s="11"/>
      <c r="D83" s="15"/>
    </row>
    <row r="84" ht="15.75" customHeight="1">
      <c r="A84" s="11">
        <v>21005.0</v>
      </c>
      <c r="B84" s="10" t="s">
        <v>117</v>
      </c>
      <c r="C84" s="11"/>
      <c r="D84" s="15"/>
    </row>
    <row r="85" ht="15.75" customHeight="1">
      <c r="A85" s="11">
        <v>21006.0</v>
      </c>
      <c r="B85" s="10" t="s">
        <v>118</v>
      </c>
      <c r="C85" s="11"/>
      <c r="D85" s="15"/>
    </row>
    <row r="86" ht="15.75" customHeight="1">
      <c r="A86" s="11">
        <v>21101.0</v>
      </c>
      <c r="B86" s="10" t="s">
        <v>119</v>
      </c>
      <c r="C86" s="11"/>
      <c r="D86" s="15"/>
    </row>
    <row r="87" ht="15.75" customHeight="1">
      <c r="A87" s="11">
        <v>21102.0</v>
      </c>
      <c r="B87" s="10" t="s">
        <v>120</v>
      </c>
      <c r="C87" s="11"/>
      <c r="D87" s="15"/>
    </row>
    <row r="88" ht="15.75" customHeight="1">
      <c r="A88" s="11">
        <v>21103.0</v>
      </c>
      <c r="B88" s="10" t="s">
        <v>121</v>
      </c>
      <c r="C88" s="11"/>
      <c r="D88" s="15"/>
    </row>
    <row r="89" ht="15.75" customHeight="1">
      <c r="A89" s="11">
        <v>21104.0</v>
      </c>
      <c r="B89" s="10" t="s">
        <v>122</v>
      </c>
      <c r="C89" s="11"/>
      <c r="D89" s="15"/>
    </row>
    <row r="90" ht="15.75" customHeight="1">
      <c r="A90" s="11">
        <v>21105.0</v>
      </c>
      <c r="B90" s="10" t="s">
        <v>123</v>
      </c>
      <c r="C90" s="11"/>
      <c r="D90" s="15"/>
    </row>
    <row r="91" ht="15.75" customHeight="1">
      <c r="A91" s="11">
        <v>21201.0</v>
      </c>
      <c r="B91" s="10" t="s">
        <v>124</v>
      </c>
      <c r="C91" s="11"/>
      <c r="D91" s="15"/>
    </row>
    <row r="92" ht="15.75" customHeight="1">
      <c r="A92" s="11">
        <v>21202.0</v>
      </c>
      <c r="B92" s="10" t="s">
        <v>125</v>
      </c>
      <c r="C92" s="11"/>
      <c r="D92" s="15"/>
    </row>
    <row r="93" ht="15.75" customHeight="1">
      <c r="A93" s="11">
        <v>21203.0</v>
      </c>
      <c r="B93" s="10" t="s">
        <v>126</v>
      </c>
      <c r="C93" s="11"/>
      <c r="D93" s="15"/>
    </row>
    <row r="94" ht="15.75" customHeight="1">
      <c r="A94" s="11">
        <v>21204.0</v>
      </c>
      <c r="B94" s="10" t="s">
        <v>127</v>
      </c>
      <c r="C94" s="11"/>
      <c r="D94" s="15"/>
    </row>
    <row r="95" ht="15.75" customHeight="1">
      <c r="A95" s="11">
        <v>21301.0</v>
      </c>
      <c r="B95" s="10" t="s">
        <v>128</v>
      </c>
      <c r="C95" s="11"/>
      <c r="D95" s="15"/>
    </row>
    <row r="96" ht="15.75" customHeight="1">
      <c r="A96" s="11">
        <v>21302.0</v>
      </c>
      <c r="B96" s="10" t="s">
        <v>129</v>
      </c>
      <c r="C96" s="11"/>
      <c r="D96" s="15"/>
    </row>
    <row r="97" ht="15.75" customHeight="1">
      <c r="A97" s="11">
        <v>21303.0</v>
      </c>
      <c r="B97" s="10" t="s">
        <v>130</v>
      </c>
      <c r="C97" s="11"/>
      <c r="D97" s="15"/>
    </row>
    <row r="98" ht="15.75" customHeight="1">
      <c r="A98" s="11">
        <v>21304.0</v>
      </c>
      <c r="B98" s="10" t="s">
        <v>131</v>
      </c>
      <c r="C98" s="11"/>
      <c r="D98" s="15"/>
    </row>
    <row r="99" ht="15.75" customHeight="1">
      <c r="A99" s="11">
        <v>21305.0</v>
      </c>
      <c r="B99" s="10" t="s">
        <v>132</v>
      </c>
      <c r="C99" s="11"/>
      <c r="D99" s="15"/>
    </row>
    <row r="100" ht="15.75" customHeight="1">
      <c r="A100" s="11">
        <v>21306.0</v>
      </c>
      <c r="B100" s="10" t="s">
        <v>133</v>
      </c>
      <c r="C100" s="11"/>
      <c r="D100" s="15"/>
    </row>
    <row r="101" ht="15.75" customHeight="1">
      <c r="A101" s="11">
        <v>21307.0</v>
      </c>
      <c r="B101" s="10" t="s">
        <v>134</v>
      </c>
      <c r="C101" s="11"/>
      <c r="D101" s="15"/>
    </row>
    <row r="102" ht="15.75" customHeight="1">
      <c r="A102" s="11">
        <v>21401.0</v>
      </c>
      <c r="B102" s="10" t="s">
        <v>135</v>
      </c>
      <c r="C102" s="11"/>
      <c r="D102" s="15"/>
    </row>
    <row r="103" ht="15.75" customHeight="1">
      <c r="A103" s="11">
        <v>21402.0</v>
      </c>
      <c r="B103" s="10" t="s">
        <v>136</v>
      </c>
      <c r="C103" s="11"/>
      <c r="D103" s="15"/>
    </row>
    <row r="104" ht="15.75" customHeight="1">
      <c r="A104" s="11">
        <v>21501.0</v>
      </c>
      <c r="B104" s="10" t="s">
        <v>137</v>
      </c>
      <c r="C104" s="11"/>
      <c r="D104" s="15"/>
    </row>
    <row r="105" ht="15.75" customHeight="1">
      <c r="A105" s="11">
        <v>21502.0</v>
      </c>
      <c r="B105" s="10" t="s">
        <v>138</v>
      </c>
      <c r="C105" s="11"/>
      <c r="D105" s="15"/>
    </row>
    <row r="106" ht="15.75" customHeight="1">
      <c r="A106" s="11">
        <v>21601.0</v>
      </c>
      <c r="B106" s="10" t="s">
        <v>139</v>
      </c>
      <c r="C106" s="11"/>
      <c r="D106" s="15"/>
    </row>
    <row r="107" ht="15.75" customHeight="1">
      <c r="A107" s="11">
        <v>21602.0</v>
      </c>
      <c r="B107" s="10" t="s">
        <v>140</v>
      </c>
      <c r="C107" s="11"/>
      <c r="D107" s="15"/>
    </row>
    <row r="108" ht="15.75" customHeight="1">
      <c r="A108" s="11">
        <v>21701.0</v>
      </c>
      <c r="B108" s="10" t="s">
        <v>141</v>
      </c>
      <c r="C108" s="11"/>
      <c r="D108" s="15"/>
    </row>
    <row r="109" ht="15.75" customHeight="1">
      <c r="A109" s="11">
        <v>21702.0</v>
      </c>
      <c r="B109" s="10" t="s">
        <v>142</v>
      </c>
      <c r="C109" s="11"/>
      <c r="D109" s="15"/>
    </row>
    <row r="110" ht="15.75" customHeight="1">
      <c r="A110" s="11">
        <v>21703.0</v>
      </c>
      <c r="B110" s="10" t="s">
        <v>143</v>
      </c>
      <c r="C110" s="11"/>
      <c r="D110" s="15"/>
    </row>
    <row r="111" ht="15.75" customHeight="1">
      <c r="A111" s="11">
        <v>21801.0</v>
      </c>
      <c r="B111" s="10" t="s">
        <v>144</v>
      </c>
      <c r="C111" s="11"/>
      <c r="D111" s="15"/>
    </row>
    <row r="112" ht="15.75" customHeight="1">
      <c r="A112" s="11">
        <v>21802.0</v>
      </c>
      <c r="B112" s="10" t="s">
        <v>145</v>
      </c>
      <c r="C112" s="11"/>
      <c r="D112" s="15"/>
    </row>
    <row r="113" ht="15.75" customHeight="1">
      <c r="A113" s="11">
        <v>21803.0</v>
      </c>
      <c r="B113" s="10" t="s">
        <v>146</v>
      </c>
      <c r="C113" s="11"/>
      <c r="D113" s="15"/>
    </row>
    <row r="114" ht="15.75" customHeight="1">
      <c r="A114" s="11">
        <v>21901.0</v>
      </c>
      <c r="B114" s="10" t="s">
        <v>147</v>
      </c>
      <c r="C114" s="11"/>
      <c r="D114" s="15"/>
    </row>
    <row r="115" ht="15.75" customHeight="1">
      <c r="A115" s="11">
        <v>21902.0</v>
      </c>
      <c r="B115" s="10" t="s">
        <v>148</v>
      </c>
      <c r="C115" s="11"/>
      <c r="D115" s="15"/>
    </row>
    <row r="116" ht="15.75" customHeight="1">
      <c r="A116" s="11">
        <v>22001.0</v>
      </c>
      <c r="B116" s="10" t="s">
        <v>149</v>
      </c>
      <c r="C116" s="11"/>
      <c r="D116" s="15"/>
    </row>
    <row r="117" ht="15.75" customHeight="1">
      <c r="A117" s="11">
        <v>22002.0</v>
      </c>
      <c r="B117" s="10" t="s">
        <v>150</v>
      </c>
      <c r="C117" s="11"/>
      <c r="D117" s="15"/>
    </row>
    <row r="118" ht="15.75" customHeight="1">
      <c r="A118" s="11">
        <v>30101.0</v>
      </c>
      <c r="B118" s="10" t="s">
        <v>26</v>
      </c>
      <c r="C118" s="11"/>
      <c r="D118" s="15"/>
    </row>
    <row r="119" ht="15.75" customHeight="1">
      <c r="A119" s="11">
        <v>30201.0</v>
      </c>
      <c r="B119" s="10" t="s">
        <v>151</v>
      </c>
      <c r="C119" s="11"/>
      <c r="D119" s="15"/>
    </row>
    <row r="120" ht="15.75" customHeight="1">
      <c r="A120" s="11">
        <v>30202.0</v>
      </c>
      <c r="B120" s="10" t="s">
        <v>152</v>
      </c>
      <c r="C120" s="11"/>
      <c r="D120" s="15"/>
    </row>
    <row r="121" ht="15.75" customHeight="1">
      <c r="A121" s="11">
        <v>30203.0</v>
      </c>
      <c r="B121" s="10" t="s">
        <v>153</v>
      </c>
      <c r="C121" s="11"/>
      <c r="D121" s="15"/>
    </row>
    <row r="122" ht="15.75" customHeight="1">
      <c r="A122" s="11">
        <v>30301.0</v>
      </c>
      <c r="B122" s="10" t="s">
        <v>154</v>
      </c>
      <c r="C122" s="11"/>
      <c r="D122" s="15"/>
    </row>
    <row r="123" ht="15.75" customHeight="1">
      <c r="A123" s="11">
        <v>30302.0</v>
      </c>
      <c r="B123" s="10" t="s">
        <v>155</v>
      </c>
      <c r="C123" s="11"/>
      <c r="D123" s="15"/>
    </row>
    <row r="124" ht="15.75" customHeight="1">
      <c r="A124" s="11">
        <v>30303.0</v>
      </c>
      <c r="B124" s="10" t="s">
        <v>156</v>
      </c>
      <c r="C124" s="11"/>
      <c r="D124" s="15"/>
    </row>
    <row r="125" ht="15.75" customHeight="1">
      <c r="A125" s="11">
        <v>30401.0</v>
      </c>
      <c r="B125" s="10" t="s">
        <v>157</v>
      </c>
      <c r="C125" s="11"/>
      <c r="D125" s="15"/>
    </row>
    <row r="126" ht="15.75" customHeight="1">
      <c r="A126" s="11">
        <v>30402.0</v>
      </c>
      <c r="B126" s="10" t="s">
        <v>158</v>
      </c>
      <c r="C126" s="11"/>
      <c r="D126" s="15"/>
    </row>
    <row r="127" ht="15.75" customHeight="1">
      <c r="A127" s="11">
        <v>30403.0</v>
      </c>
      <c r="B127" s="10" t="s">
        <v>159</v>
      </c>
      <c r="C127" s="11"/>
      <c r="D127" s="15"/>
    </row>
    <row r="128" ht="15.75" customHeight="1">
      <c r="A128" s="11">
        <v>30404.0</v>
      </c>
      <c r="B128" s="10" t="s">
        <v>160</v>
      </c>
      <c r="C128" s="11"/>
      <c r="D128" s="15"/>
    </row>
    <row r="129" ht="15.75" customHeight="1">
      <c r="A129" s="11">
        <v>30501.0</v>
      </c>
      <c r="B129" s="10" t="s">
        <v>161</v>
      </c>
      <c r="C129" s="11"/>
      <c r="D129" s="15"/>
    </row>
    <row r="130" ht="15.75" customHeight="1">
      <c r="A130" s="11">
        <v>30502.0</v>
      </c>
      <c r="B130" s="10" t="s">
        <v>162</v>
      </c>
      <c r="C130" s="11"/>
      <c r="D130" s="15"/>
    </row>
    <row r="131" ht="15.75" customHeight="1">
      <c r="A131" s="11">
        <v>30601.0</v>
      </c>
      <c r="B131" s="10" t="s">
        <v>163</v>
      </c>
      <c r="C131" s="11"/>
      <c r="D131" s="15"/>
    </row>
    <row r="132" ht="15.75" customHeight="1">
      <c r="A132" s="11">
        <v>30602.0</v>
      </c>
      <c r="B132" s="10" t="s">
        <v>164</v>
      </c>
      <c r="C132" s="11"/>
      <c r="D132" s="15"/>
    </row>
    <row r="133" ht="15.75" customHeight="1">
      <c r="A133" s="11">
        <v>30701.0</v>
      </c>
      <c r="B133" s="10" t="s">
        <v>165</v>
      </c>
      <c r="C133" s="11"/>
      <c r="D133" s="15"/>
    </row>
    <row r="134" ht="15.75" customHeight="1">
      <c r="A134" s="11">
        <v>30702.0</v>
      </c>
      <c r="B134" s="10" t="s">
        <v>166</v>
      </c>
      <c r="C134" s="11"/>
      <c r="D134" s="15"/>
    </row>
    <row r="135" ht="15.75" customHeight="1">
      <c r="A135" s="11">
        <v>30703.0</v>
      </c>
      <c r="B135" s="10" t="s">
        <v>167</v>
      </c>
      <c r="C135" s="11"/>
      <c r="D135" s="15"/>
    </row>
    <row r="136" ht="15.75" customHeight="1">
      <c r="A136" s="11">
        <v>30801.0</v>
      </c>
      <c r="B136" s="10" t="s">
        <v>168</v>
      </c>
      <c r="C136" s="11"/>
      <c r="D136" s="15"/>
    </row>
    <row r="137" ht="15.75" customHeight="1">
      <c r="A137" s="11">
        <v>30802.0</v>
      </c>
      <c r="B137" s="10" t="s">
        <v>169</v>
      </c>
      <c r="C137" s="11"/>
      <c r="D137" s="15"/>
    </row>
    <row r="138" ht="15.75" customHeight="1">
      <c r="A138" s="11">
        <v>30803.0</v>
      </c>
      <c r="B138" s="10" t="s">
        <v>170</v>
      </c>
      <c r="C138" s="11"/>
      <c r="D138" s="15"/>
    </row>
    <row r="139" ht="15.75" customHeight="1">
      <c r="A139" s="11">
        <v>30901.0</v>
      </c>
      <c r="B139" s="10" t="s">
        <v>171</v>
      </c>
      <c r="C139" s="11"/>
      <c r="D139" s="15"/>
    </row>
    <row r="140" ht="15.75" customHeight="1">
      <c r="A140" s="11">
        <v>30902.0</v>
      </c>
      <c r="B140" s="10" t="s">
        <v>172</v>
      </c>
      <c r="C140" s="11"/>
      <c r="D140" s="15"/>
    </row>
    <row r="141" ht="15.75" customHeight="1">
      <c r="A141" s="11">
        <v>30903.0</v>
      </c>
      <c r="B141" s="10" t="s">
        <v>173</v>
      </c>
      <c r="C141" s="11"/>
      <c r="D141" s="15"/>
    </row>
    <row r="142" ht="15.75" customHeight="1">
      <c r="A142" s="11">
        <v>30904.0</v>
      </c>
      <c r="B142" s="10" t="s">
        <v>174</v>
      </c>
      <c r="C142" s="11"/>
      <c r="D142" s="15"/>
    </row>
    <row r="143" ht="15.75" customHeight="1">
      <c r="A143" s="11">
        <v>30905.0</v>
      </c>
      <c r="B143" s="10" t="s">
        <v>175</v>
      </c>
      <c r="C143" s="11"/>
      <c r="D143" s="15"/>
    </row>
    <row r="144" ht="15.75" customHeight="1">
      <c r="A144" s="11">
        <v>31001.0</v>
      </c>
      <c r="B144" s="10" t="s">
        <v>176</v>
      </c>
      <c r="C144" s="11"/>
      <c r="D144" s="15"/>
    </row>
    <row r="145" ht="15.75" customHeight="1">
      <c r="A145" s="11">
        <v>31002.0</v>
      </c>
      <c r="B145" s="10" t="s">
        <v>177</v>
      </c>
      <c r="C145" s="11"/>
      <c r="D145" s="15"/>
    </row>
    <row r="146" ht="15.75" customHeight="1">
      <c r="A146" s="11">
        <v>31003.0</v>
      </c>
      <c r="B146" s="10" t="s">
        <v>178</v>
      </c>
      <c r="C146" s="11"/>
      <c r="D146" s="15"/>
    </row>
    <row r="147" ht="15.75" customHeight="1">
      <c r="A147" s="11">
        <v>31101.0</v>
      </c>
      <c r="B147" s="10" t="s">
        <v>179</v>
      </c>
      <c r="C147" s="11"/>
      <c r="D147" s="15"/>
    </row>
    <row r="148" ht="15.75" customHeight="1">
      <c r="A148" s="11">
        <v>31201.0</v>
      </c>
      <c r="B148" s="10" t="s">
        <v>180</v>
      </c>
      <c r="C148" s="11"/>
      <c r="D148" s="15"/>
    </row>
    <row r="149" ht="15.75" customHeight="1">
      <c r="A149" s="11">
        <v>31202.0</v>
      </c>
      <c r="B149" s="10" t="s">
        <v>181</v>
      </c>
      <c r="C149" s="11"/>
      <c r="D149" s="15"/>
    </row>
    <row r="150" ht="15.75" customHeight="1">
      <c r="A150" s="11">
        <v>31203.0</v>
      </c>
      <c r="B150" s="10" t="s">
        <v>182</v>
      </c>
      <c r="C150" s="11"/>
      <c r="D150" s="15"/>
    </row>
    <row r="151" ht="15.75" customHeight="1">
      <c r="A151" s="11">
        <v>31204.0</v>
      </c>
      <c r="B151" s="10" t="s">
        <v>183</v>
      </c>
      <c r="C151" s="11"/>
      <c r="D151" s="15"/>
    </row>
    <row r="152" ht="15.75" customHeight="1">
      <c r="A152" s="11">
        <v>31205.0</v>
      </c>
      <c r="B152" s="10" t="s">
        <v>184</v>
      </c>
      <c r="C152" s="11"/>
      <c r="D152" s="15"/>
    </row>
    <row r="153" ht="15.75" customHeight="1">
      <c r="A153" s="11">
        <v>31206.0</v>
      </c>
      <c r="B153" s="10" t="s">
        <v>185</v>
      </c>
      <c r="C153" s="11"/>
      <c r="D153" s="15"/>
    </row>
    <row r="154" ht="15.75" customHeight="1">
      <c r="A154" s="11">
        <v>31301.0</v>
      </c>
      <c r="B154" s="10" t="s">
        <v>186</v>
      </c>
      <c r="C154" s="11"/>
      <c r="D154" s="15"/>
    </row>
    <row r="155" ht="15.75" customHeight="1">
      <c r="A155" s="11">
        <v>31302.0</v>
      </c>
      <c r="B155" s="10" t="s">
        <v>187</v>
      </c>
      <c r="C155" s="11"/>
      <c r="D155" s="15"/>
    </row>
    <row r="156" ht="15.75" customHeight="1">
      <c r="A156" s="11">
        <v>31303.0</v>
      </c>
      <c r="B156" s="10" t="s">
        <v>188</v>
      </c>
      <c r="C156" s="11"/>
      <c r="D156" s="15"/>
    </row>
    <row r="157" ht="15.75" customHeight="1">
      <c r="A157" s="11">
        <v>31304.0</v>
      </c>
      <c r="B157" s="10" t="s">
        <v>189</v>
      </c>
      <c r="C157" s="11"/>
      <c r="D157" s="15"/>
    </row>
    <row r="158" ht="15.75" customHeight="1">
      <c r="A158" s="11">
        <v>31401.0</v>
      </c>
      <c r="B158" s="10" t="s">
        <v>190</v>
      </c>
      <c r="C158" s="11"/>
      <c r="D158" s="15"/>
    </row>
    <row r="159" ht="15.75" customHeight="1">
      <c r="A159" s="11">
        <v>31402.0</v>
      </c>
      <c r="B159" s="10" t="s">
        <v>191</v>
      </c>
      <c r="C159" s="11"/>
      <c r="D159" s="15"/>
    </row>
    <row r="160" ht="15.75" customHeight="1">
      <c r="A160" s="11">
        <v>31403.0</v>
      </c>
      <c r="B160" s="10" t="s">
        <v>192</v>
      </c>
      <c r="C160" s="11"/>
      <c r="D160" s="15"/>
    </row>
    <row r="161" ht="15.75" customHeight="1">
      <c r="A161" s="11">
        <v>31404.0</v>
      </c>
      <c r="B161" s="10" t="s">
        <v>193</v>
      </c>
      <c r="C161" s="11"/>
      <c r="D161" s="15"/>
    </row>
    <row r="162" ht="15.75" customHeight="1">
      <c r="A162" s="11">
        <v>31405.0</v>
      </c>
      <c r="B162" s="10" t="s">
        <v>194</v>
      </c>
      <c r="C162" s="11"/>
      <c r="D162" s="15"/>
    </row>
    <row r="163" ht="15.75" customHeight="1">
      <c r="A163" s="11">
        <v>31501.0</v>
      </c>
      <c r="B163" s="10" t="s">
        <v>195</v>
      </c>
      <c r="C163" s="11"/>
      <c r="D163" s="15"/>
    </row>
    <row r="164" ht="15.75" customHeight="1">
      <c r="A164" s="11">
        <v>31601.0</v>
      </c>
      <c r="B164" s="10" t="s">
        <v>196</v>
      </c>
      <c r="C164" s="11"/>
      <c r="D164" s="15"/>
    </row>
    <row r="165" ht="15.75" customHeight="1">
      <c r="A165" s="11">
        <v>31602.0</v>
      </c>
      <c r="B165" s="10" t="s">
        <v>197</v>
      </c>
      <c r="C165" s="11"/>
      <c r="D165" s="15"/>
    </row>
    <row r="166" ht="15.75" customHeight="1">
      <c r="A166" s="11">
        <v>40101.0</v>
      </c>
      <c r="B166" s="10" t="s">
        <v>28</v>
      </c>
      <c r="C166" s="11"/>
      <c r="D166" s="15"/>
    </row>
    <row r="167" ht="15.75" customHeight="1">
      <c r="A167" s="11">
        <v>40102.0</v>
      </c>
      <c r="B167" s="10" t="s">
        <v>198</v>
      </c>
      <c r="C167" s="11"/>
      <c r="D167" s="15"/>
    </row>
    <row r="168" ht="15.75" customHeight="1">
      <c r="A168" s="11">
        <v>40103.0</v>
      </c>
      <c r="B168" s="10" t="s">
        <v>199</v>
      </c>
      <c r="C168" s="11"/>
      <c r="D168" s="15"/>
    </row>
    <row r="169" ht="15.75" customHeight="1">
      <c r="A169" s="11">
        <v>40104.0</v>
      </c>
      <c r="B169" s="10" t="s">
        <v>200</v>
      </c>
      <c r="C169" s="11"/>
      <c r="D169" s="15"/>
    </row>
    <row r="170" ht="15.75" customHeight="1">
      <c r="A170" s="11">
        <v>40201.0</v>
      </c>
      <c r="B170" s="10" t="s">
        <v>201</v>
      </c>
      <c r="C170" s="11"/>
      <c r="D170" s="15"/>
    </row>
    <row r="171" ht="15.75" customHeight="1">
      <c r="A171" s="11">
        <v>40202.0</v>
      </c>
      <c r="B171" s="10" t="s">
        <v>202</v>
      </c>
      <c r="C171" s="11"/>
      <c r="D171" s="15"/>
    </row>
    <row r="172" ht="15.75" customHeight="1">
      <c r="A172" s="11">
        <v>40301.0</v>
      </c>
      <c r="B172" s="10" t="s">
        <v>203</v>
      </c>
      <c r="C172" s="11"/>
      <c r="D172" s="15"/>
    </row>
    <row r="173" ht="15.75" customHeight="1">
      <c r="A173" s="11">
        <v>40302.0</v>
      </c>
      <c r="B173" s="10" t="s">
        <v>204</v>
      </c>
      <c r="C173" s="11"/>
      <c r="D173" s="15"/>
    </row>
    <row r="174" ht="15.75" customHeight="1">
      <c r="A174" s="11">
        <v>40401.0</v>
      </c>
      <c r="B174" s="10" t="s">
        <v>205</v>
      </c>
      <c r="C174" s="11"/>
      <c r="D174" s="15"/>
    </row>
    <row r="175" ht="15.75" customHeight="1">
      <c r="A175" s="11">
        <v>40402.0</v>
      </c>
      <c r="B175" s="10" t="s">
        <v>206</v>
      </c>
      <c r="C175" s="11"/>
      <c r="D175" s="15"/>
    </row>
    <row r="176" ht="15.75" customHeight="1">
      <c r="A176" s="11">
        <v>40501.0</v>
      </c>
      <c r="B176" s="10" t="s">
        <v>207</v>
      </c>
      <c r="C176" s="11"/>
      <c r="D176" s="15"/>
    </row>
    <row r="177" ht="15.75" customHeight="1">
      <c r="A177" s="11">
        <v>40502.0</v>
      </c>
      <c r="B177" s="10" t="s">
        <v>208</v>
      </c>
      <c r="C177" s="11"/>
      <c r="D177" s="15"/>
    </row>
    <row r="178" ht="15.75" customHeight="1">
      <c r="A178" s="11">
        <v>40503.0</v>
      </c>
      <c r="B178" s="10" t="s">
        <v>209</v>
      </c>
      <c r="C178" s="11"/>
      <c r="D178" s="15"/>
    </row>
    <row r="179" ht="15.75" customHeight="1">
      <c r="A179" s="11">
        <v>40504.0</v>
      </c>
      <c r="B179" s="10" t="s">
        <v>210</v>
      </c>
      <c r="C179" s="11"/>
      <c r="D179" s="15"/>
    </row>
    <row r="180" ht="15.75" customHeight="1">
      <c r="A180" s="11">
        <v>40505.0</v>
      </c>
      <c r="B180" s="10" t="s">
        <v>211</v>
      </c>
      <c r="C180" s="11"/>
      <c r="D180" s="15"/>
    </row>
    <row r="181" ht="15.75" customHeight="1">
      <c r="A181" s="11">
        <v>40601.0</v>
      </c>
      <c r="B181" s="10" t="s">
        <v>212</v>
      </c>
      <c r="C181" s="11"/>
      <c r="D181" s="15"/>
    </row>
    <row r="182" ht="15.75" customHeight="1">
      <c r="A182" s="11">
        <v>40602.0</v>
      </c>
      <c r="B182" s="10" t="s">
        <v>213</v>
      </c>
      <c r="C182" s="11"/>
      <c r="D182" s="15"/>
    </row>
    <row r="183" ht="15.75" customHeight="1">
      <c r="A183" s="11">
        <v>40603.0</v>
      </c>
      <c r="B183" s="10" t="s">
        <v>214</v>
      </c>
      <c r="C183" s="11"/>
      <c r="D183" s="15"/>
    </row>
    <row r="184" ht="15.75" customHeight="1">
      <c r="A184" s="11">
        <v>40701.0</v>
      </c>
      <c r="B184" s="10" t="s">
        <v>215</v>
      </c>
      <c r="C184" s="11"/>
      <c r="D184" s="15"/>
    </row>
    <row r="185" ht="15.75" customHeight="1">
      <c r="A185" s="11">
        <v>40702.0</v>
      </c>
      <c r="B185" s="10" t="s">
        <v>216</v>
      </c>
      <c r="C185" s="11"/>
      <c r="D185" s="15"/>
    </row>
    <row r="186" ht="15.75" customHeight="1">
      <c r="A186" s="11">
        <v>40801.0</v>
      </c>
      <c r="B186" s="10" t="s">
        <v>217</v>
      </c>
      <c r="C186" s="11"/>
      <c r="D186" s="15"/>
    </row>
    <row r="187" ht="15.75" customHeight="1">
      <c r="A187" s="11">
        <v>40802.0</v>
      </c>
      <c r="B187" s="10" t="s">
        <v>218</v>
      </c>
      <c r="C187" s="11"/>
      <c r="D187" s="15"/>
    </row>
    <row r="188" ht="15.75" customHeight="1">
      <c r="A188" s="11">
        <v>40901.0</v>
      </c>
      <c r="B188" s="10" t="s">
        <v>219</v>
      </c>
      <c r="C188" s="11"/>
      <c r="D188" s="15"/>
    </row>
    <row r="189" ht="15.75" customHeight="1">
      <c r="A189" s="11">
        <v>40902.0</v>
      </c>
      <c r="B189" s="10" t="s">
        <v>220</v>
      </c>
      <c r="C189" s="11"/>
      <c r="D189" s="15"/>
    </row>
    <row r="190" ht="15.75" customHeight="1">
      <c r="A190" s="11">
        <v>40903.0</v>
      </c>
      <c r="B190" s="10" t="s">
        <v>221</v>
      </c>
      <c r="C190" s="11"/>
      <c r="D190" s="15"/>
    </row>
    <row r="191" ht="15.75" customHeight="1">
      <c r="A191" s="11">
        <v>41001.0</v>
      </c>
      <c r="B191" s="10" t="s">
        <v>222</v>
      </c>
      <c r="C191" s="11"/>
      <c r="D191" s="15"/>
    </row>
    <row r="192" ht="15.75" customHeight="1">
      <c r="A192" s="11">
        <v>41101.0</v>
      </c>
      <c r="B192" s="10" t="s">
        <v>223</v>
      </c>
      <c r="C192" s="11"/>
      <c r="D192" s="15"/>
    </row>
    <row r="193" ht="15.75" customHeight="1">
      <c r="A193" s="11">
        <v>41201.0</v>
      </c>
      <c r="B193" s="10" t="s">
        <v>224</v>
      </c>
      <c r="C193" s="11"/>
      <c r="D193" s="15"/>
    </row>
    <row r="194" ht="15.75" customHeight="1">
      <c r="A194" s="11">
        <v>41202.0</v>
      </c>
      <c r="B194" s="10" t="s">
        <v>225</v>
      </c>
      <c r="C194" s="11"/>
      <c r="D194" s="15"/>
    </row>
    <row r="195" ht="15.75" customHeight="1">
      <c r="A195" s="11">
        <v>41301.0</v>
      </c>
      <c r="B195" s="10" t="s">
        <v>226</v>
      </c>
      <c r="C195" s="11"/>
      <c r="D195" s="15"/>
    </row>
    <row r="196" ht="15.75" customHeight="1">
      <c r="A196" s="11">
        <v>41401.0</v>
      </c>
      <c r="B196" s="10" t="s">
        <v>227</v>
      </c>
      <c r="C196" s="11"/>
      <c r="D196" s="15"/>
    </row>
    <row r="197" ht="15.75" customHeight="1">
      <c r="A197" s="11">
        <v>41501.0</v>
      </c>
      <c r="B197" s="10" t="s">
        <v>228</v>
      </c>
      <c r="C197" s="11"/>
      <c r="D197" s="15"/>
    </row>
    <row r="198" ht="15.75" customHeight="1">
      <c r="A198" s="11">
        <v>41502.0</v>
      </c>
      <c r="B198" s="10" t="s">
        <v>229</v>
      </c>
      <c r="C198" s="11"/>
      <c r="D198" s="15"/>
    </row>
    <row r="199" ht="15.75" customHeight="1">
      <c r="A199" s="11">
        <v>41503.0</v>
      </c>
      <c r="B199" s="10" t="s">
        <v>230</v>
      </c>
      <c r="C199" s="11"/>
      <c r="D199" s="15"/>
    </row>
    <row r="200" ht="15.75" customHeight="1">
      <c r="A200" s="11">
        <v>41601.0</v>
      </c>
      <c r="B200" s="10" t="s">
        <v>231</v>
      </c>
      <c r="C200" s="11"/>
      <c r="D200" s="15"/>
    </row>
    <row r="201" ht="15.75" customHeight="1">
      <c r="A201" s="11">
        <v>50101.0</v>
      </c>
      <c r="B201" s="10" t="s">
        <v>30</v>
      </c>
      <c r="C201" s="11"/>
      <c r="D201" s="15"/>
    </row>
    <row r="202" ht="15.75" customHeight="1">
      <c r="A202" s="11">
        <v>50102.0</v>
      </c>
      <c r="B202" s="10" t="s">
        <v>232</v>
      </c>
      <c r="C202" s="11"/>
      <c r="D202" s="15"/>
    </row>
    <row r="203" ht="15.75" customHeight="1">
      <c r="A203" s="11">
        <v>50103.0</v>
      </c>
      <c r="B203" s="10" t="s">
        <v>233</v>
      </c>
      <c r="C203" s="11"/>
      <c r="D203" s="15"/>
    </row>
    <row r="204" ht="15.75" customHeight="1">
      <c r="A204" s="11">
        <v>50104.0</v>
      </c>
      <c r="B204" s="10" t="s">
        <v>234</v>
      </c>
      <c r="C204" s="11"/>
      <c r="D204" s="15"/>
    </row>
    <row r="205" ht="15.75" customHeight="1">
      <c r="A205" s="11">
        <v>50201.0</v>
      </c>
      <c r="B205" s="10" t="s">
        <v>235</v>
      </c>
      <c r="C205" s="11"/>
      <c r="D205" s="15"/>
    </row>
    <row r="206" ht="15.75" customHeight="1">
      <c r="A206" s="11">
        <v>50202.0</v>
      </c>
      <c r="B206" s="10" t="s">
        <v>236</v>
      </c>
      <c r="C206" s="11"/>
      <c r="D206" s="15"/>
    </row>
    <row r="207" ht="15.75" customHeight="1">
      <c r="A207" s="11">
        <v>50203.0</v>
      </c>
      <c r="B207" s="10" t="s">
        <v>237</v>
      </c>
      <c r="C207" s="11"/>
      <c r="D207" s="15"/>
    </row>
    <row r="208" ht="15.75" customHeight="1">
      <c r="A208" s="11">
        <v>50204.0</v>
      </c>
      <c r="B208" s="10" t="s">
        <v>238</v>
      </c>
      <c r="C208" s="11"/>
      <c r="D208" s="15"/>
    </row>
    <row r="209" ht="15.75" customHeight="1">
      <c r="A209" s="11">
        <v>50301.0</v>
      </c>
      <c r="B209" s="10" t="s">
        <v>239</v>
      </c>
      <c r="C209" s="11"/>
      <c r="D209" s="15"/>
    </row>
    <row r="210" ht="15.75" customHeight="1">
      <c r="A210" s="11">
        <v>50302.0</v>
      </c>
      <c r="B210" s="10" t="s">
        <v>240</v>
      </c>
      <c r="C210" s="11"/>
      <c r="D210" s="15"/>
    </row>
    <row r="211" ht="15.75" customHeight="1">
      <c r="A211" s="11">
        <v>50303.0</v>
      </c>
      <c r="B211" s="10" t="s">
        <v>241</v>
      </c>
      <c r="C211" s="11"/>
      <c r="D211" s="15"/>
    </row>
    <row r="212" ht="15.75" customHeight="1">
      <c r="A212" s="11">
        <v>50401.0</v>
      </c>
      <c r="B212" s="10" t="s">
        <v>242</v>
      </c>
      <c r="C212" s="11"/>
      <c r="D212" s="15"/>
    </row>
    <row r="213" ht="15.75" customHeight="1">
      <c r="A213" s="11">
        <v>50402.0</v>
      </c>
      <c r="B213" s="10" t="s">
        <v>243</v>
      </c>
      <c r="C213" s="11"/>
      <c r="D213" s="15"/>
    </row>
    <row r="214" ht="15.75" customHeight="1">
      <c r="A214" s="11">
        <v>50403.0</v>
      </c>
      <c r="B214" s="10" t="s">
        <v>244</v>
      </c>
      <c r="C214" s="11"/>
      <c r="D214" s="15"/>
    </row>
    <row r="215" ht="15.75" customHeight="1">
      <c r="A215" s="11">
        <v>50404.0</v>
      </c>
      <c r="B215" s="10" t="s">
        <v>245</v>
      </c>
      <c r="C215" s="11"/>
      <c r="D215" s="15"/>
    </row>
    <row r="216" ht="15.75" customHeight="1">
      <c r="A216" s="11">
        <v>50405.0</v>
      </c>
      <c r="B216" s="10" t="s">
        <v>246</v>
      </c>
      <c r="C216" s="11"/>
      <c r="D216" s="15"/>
    </row>
    <row r="217" ht="15.75" customHeight="1">
      <c r="A217" s="11">
        <v>50501.0</v>
      </c>
      <c r="B217" s="10" t="s">
        <v>247</v>
      </c>
      <c r="C217" s="11"/>
      <c r="D217" s="15"/>
    </row>
    <row r="218" ht="15.75" customHeight="1">
      <c r="A218" s="11">
        <v>50502.0</v>
      </c>
      <c r="B218" s="10" t="s">
        <v>248</v>
      </c>
      <c r="C218" s="11"/>
      <c r="D218" s="15"/>
    </row>
    <row r="219" ht="15.75" customHeight="1">
      <c r="A219" s="11">
        <v>50601.0</v>
      </c>
      <c r="B219" s="10" t="s">
        <v>249</v>
      </c>
      <c r="C219" s="11"/>
      <c r="D219" s="15"/>
    </row>
    <row r="220" ht="15.75" customHeight="1">
      <c r="A220" s="11">
        <v>50602.0</v>
      </c>
      <c r="B220" s="10" t="s">
        <v>250</v>
      </c>
      <c r="C220" s="11"/>
      <c r="D220" s="15"/>
    </row>
    <row r="221" ht="15.75" customHeight="1">
      <c r="A221" s="11">
        <v>50701.0</v>
      </c>
      <c r="B221" s="10" t="s">
        <v>251</v>
      </c>
      <c r="C221" s="11"/>
      <c r="D221" s="15"/>
    </row>
    <row r="222" ht="15.75" customHeight="1">
      <c r="A222" s="11">
        <v>50702.0</v>
      </c>
      <c r="B222" s="10" t="s">
        <v>252</v>
      </c>
      <c r="C222" s="11"/>
      <c r="D222" s="15"/>
    </row>
    <row r="223" ht="15.75" customHeight="1">
      <c r="A223" s="11">
        <v>50801.0</v>
      </c>
      <c r="B223" s="10" t="s">
        <v>253</v>
      </c>
      <c r="C223" s="11"/>
      <c r="D223" s="15"/>
    </row>
    <row r="224" ht="15.75" customHeight="1">
      <c r="A224" s="11">
        <v>50802.0</v>
      </c>
      <c r="B224" s="10" t="s">
        <v>254</v>
      </c>
      <c r="C224" s="11"/>
      <c r="D224" s="15"/>
    </row>
    <row r="225" ht="15.75" customHeight="1">
      <c r="A225" s="11">
        <v>50901.0</v>
      </c>
      <c r="B225" s="10" t="s">
        <v>255</v>
      </c>
      <c r="C225" s="11"/>
      <c r="D225" s="15"/>
    </row>
    <row r="226" ht="15.75" customHeight="1">
      <c r="A226" s="11">
        <v>50902.0</v>
      </c>
      <c r="B226" s="10" t="s">
        <v>256</v>
      </c>
      <c r="C226" s="11"/>
      <c r="D226" s="15"/>
    </row>
    <row r="227" ht="15.75" customHeight="1">
      <c r="A227" s="11">
        <v>51001.0</v>
      </c>
      <c r="B227" s="10" t="s">
        <v>257</v>
      </c>
      <c r="C227" s="11"/>
      <c r="D227" s="15"/>
    </row>
    <row r="228" ht="15.75" customHeight="1">
      <c r="A228" s="11">
        <v>51002.0</v>
      </c>
      <c r="B228" s="10" t="s">
        <v>258</v>
      </c>
      <c r="C228" s="11"/>
      <c r="D228" s="15"/>
    </row>
    <row r="229" ht="15.75" customHeight="1">
      <c r="A229" s="11">
        <v>51003.0</v>
      </c>
      <c r="B229" s="10" t="s">
        <v>259</v>
      </c>
      <c r="C229" s="11"/>
      <c r="D229" s="15"/>
    </row>
    <row r="230" ht="15.75" customHeight="1">
      <c r="A230" s="11">
        <v>51101.0</v>
      </c>
      <c r="B230" s="10" t="s">
        <v>260</v>
      </c>
      <c r="C230" s="11"/>
      <c r="D230" s="15"/>
    </row>
    <row r="231" ht="15.75" customHeight="1">
      <c r="A231" s="11">
        <v>51102.0</v>
      </c>
      <c r="B231" s="10" t="s">
        <v>261</v>
      </c>
      <c r="C231" s="11"/>
      <c r="D231" s="15"/>
    </row>
    <row r="232" ht="15.75" customHeight="1">
      <c r="A232" s="11">
        <v>51103.0</v>
      </c>
      <c r="B232" s="10" t="s">
        <v>262</v>
      </c>
      <c r="C232" s="11"/>
      <c r="D232" s="15"/>
    </row>
    <row r="233" ht="15.75" customHeight="1">
      <c r="A233" s="11">
        <v>51201.0</v>
      </c>
      <c r="B233" s="10" t="s">
        <v>263</v>
      </c>
      <c r="C233" s="11"/>
      <c r="D233" s="15"/>
    </row>
    <row r="234" ht="15.75" customHeight="1">
      <c r="A234" s="11">
        <v>51202.0</v>
      </c>
      <c r="B234" s="10" t="s">
        <v>264</v>
      </c>
      <c r="C234" s="11"/>
      <c r="D234" s="15"/>
    </row>
    <row r="235" ht="15.75" customHeight="1">
      <c r="A235" s="11">
        <v>51203.0</v>
      </c>
      <c r="B235" s="10" t="s">
        <v>265</v>
      </c>
      <c r="C235" s="11"/>
      <c r="D235" s="15"/>
    </row>
    <row r="236" ht="15.75" customHeight="1">
      <c r="A236" s="11">
        <v>51204.0</v>
      </c>
      <c r="B236" s="10" t="s">
        <v>266</v>
      </c>
      <c r="C236" s="11"/>
      <c r="D236" s="15"/>
    </row>
    <row r="237" ht="15.75" customHeight="1">
      <c r="A237" s="11">
        <v>51301.0</v>
      </c>
      <c r="B237" s="10" t="s">
        <v>267</v>
      </c>
      <c r="C237" s="11"/>
      <c r="D237" s="15"/>
    </row>
    <row r="238" ht="15.75" customHeight="1">
      <c r="A238" s="11">
        <v>51302.0</v>
      </c>
      <c r="B238" s="10" t="s">
        <v>268</v>
      </c>
      <c r="C238" s="11"/>
      <c r="D238" s="15"/>
    </row>
    <row r="239" ht="15.75" customHeight="1">
      <c r="A239" s="11">
        <v>51401.0</v>
      </c>
      <c r="B239" s="10" t="s">
        <v>269</v>
      </c>
      <c r="C239" s="11"/>
      <c r="D239" s="15"/>
    </row>
    <row r="240" ht="15.75" customHeight="1">
      <c r="A240" s="11">
        <v>51402.0</v>
      </c>
      <c r="B240" s="10" t="s">
        <v>270</v>
      </c>
      <c r="C240" s="11"/>
      <c r="D240" s="15"/>
    </row>
    <row r="241" ht="15.75" customHeight="1">
      <c r="A241" s="11">
        <v>51501.0</v>
      </c>
      <c r="B241" s="10" t="s">
        <v>271</v>
      </c>
      <c r="C241" s="11"/>
      <c r="D241" s="15"/>
    </row>
    <row r="242" ht="15.75" customHeight="1">
      <c r="A242" s="11">
        <v>51601.0</v>
      </c>
      <c r="B242" s="10" t="s">
        <v>272</v>
      </c>
      <c r="C242" s="11"/>
      <c r="D242" s="15"/>
    </row>
    <row r="243" ht="15.75" customHeight="1">
      <c r="A243" s="11">
        <v>60101.0</v>
      </c>
      <c r="B243" s="10" t="s">
        <v>32</v>
      </c>
      <c r="C243" s="11"/>
      <c r="D243" s="15"/>
    </row>
    <row r="244" ht="15.75" customHeight="1">
      <c r="A244" s="11">
        <v>60201.0</v>
      </c>
      <c r="B244" s="10" t="s">
        <v>273</v>
      </c>
      <c r="C244" s="11"/>
      <c r="D244" s="15"/>
    </row>
    <row r="245" ht="15.75" customHeight="1">
      <c r="A245" s="11">
        <v>60202.0</v>
      </c>
      <c r="B245" s="10" t="s">
        <v>274</v>
      </c>
      <c r="C245" s="11"/>
      <c r="D245" s="15"/>
    </row>
    <row r="246" ht="15.75" customHeight="1">
      <c r="A246" s="11">
        <v>60301.0</v>
      </c>
      <c r="B246" s="10" t="s">
        <v>275</v>
      </c>
      <c r="C246" s="11"/>
      <c r="D246" s="15"/>
    </row>
    <row r="247" ht="15.75" customHeight="1">
      <c r="A247" s="11">
        <v>60302.0</v>
      </c>
      <c r="B247" s="10" t="s">
        <v>276</v>
      </c>
      <c r="C247" s="11"/>
      <c r="D247" s="15"/>
    </row>
    <row r="248" ht="15.75" customHeight="1">
      <c r="A248" s="11">
        <v>60303.0</v>
      </c>
      <c r="B248" s="10" t="s">
        <v>277</v>
      </c>
      <c r="C248" s="11"/>
      <c r="D248" s="15"/>
    </row>
    <row r="249" ht="15.75" customHeight="1">
      <c r="A249" s="11">
        <v>60401.0</v>
      </c>
      <c r="B249" s="10" t="s">
        <v>278</v>
      </c>
      <c r="C249" s="11"/>
      <c r="D249" s="15"/>
    </row>
    <row r="250" ht="15.75" customHeight="1">
      <c r="A250" s="11">
        <v>60402.0</v>
      </c>
      <c r="B250" s="10" t="s">
        <v>279</v>
      </c>
      <c r="C250" s="11"/>
      <c r="D250" s="15"/>
    </row>
    <row r="251" ht="15.75" customHeight="1">
      <c r="A251" s="11">
        <v>60501.0</v>
      </c>
      <c r="B251" s="10" t="s">
        <v>280</v>
      </c>
      <c r="C251" s="11"/>
      <c r="D251" s="15"/>
    </row>
    <row r="252" ht="15.75" customHeight="1">
      <c r="A252" s="11">
        <v>60502.0</v>
      </c>
      <c r="B252" s="10" t="s">
        <v>281</v>
      </c>
      <c r="C252" s="11"/>
      <c r="D252" s="15"/>
    </row>
    <row r="253" ht="15.75" customHeight="1">
      <c r="A253" s="11">
        <v>60601.0</v>
      </c>
      <c r="B253" s="10" t="s">
        <v>185</v>
      </c>
      <c r="C253" s="11"/>
      <c r="D253" s="15"/>
    </row>
    <row r="254" ht="15.75" customHeight="1">
      <c r="A254" s="11">
        <v>70101.0</v>
      </c>
      <c r="B254" s="10" t="s">
        <v>282</v>
      </c>
      <c r="C254" s="11"/>
      <c r="D254" s="15"/>
    </row>
    <row r="255" ht="15.75" customHeight="1">
      <c r="A255" s="11">
        <v>70102.0</v>
      </c>
      <c r="B255" s="10" t="s">
        <v>283</v>
      </c>
      <c r="C255" s="11"/>
      <c r="D255" s="15"/>
    </row>
    <row r="256" ht="15.75" customHeight="1">
      <c r="A256" s="11">
        <v>70103.0</v>
      </c>
      <c r="B256" s="10" t="s">
        <v>284</v>
      </c>
      <c r="C256" s="11"/>
      <c r="D256" s="15"/>
    </row>
    <row r="257" ht="15.75" customHeight="1">
      <c r="A257" s="11">
        <v>70104.0</v>
      </c>
      <c r="B257" s="10" t="s">
        <v>285</v>
      </c>
      <c r="C257" s="11"/>
      <c r="D257" s="15"/>
    </row>
    <row r="258" ht="15.75" customHeight="1">
      <c r="A258" s="11">
        <v>70105.0</v>
      </c>
      <c r="B258" s="10" t="s">
        <v>286</v>
      </c>
      <c r="C258" s="11"/>
      <c r="D258" s="15"/>
    </row>
    <row r="259" ht="15.75" customHeight="1">
      <c r="A259" s="11">
        <v>70201.0</v>
      </c>
      <c r="B259" s="10" t="s">
        <v>287</v>
      </c>
      <c r="C259" s="11"/>
      <c r="D259" s="15"/>
    </row>
    <row r="260" ht="15.75" customHeight="1">
      <c r="A260" s="11">
        <v>70202.0</v>
      </c>
      <c r="B260" s="10" t="s">
        <v>288</v>
      </c>
      <c r="C260" s="11"/>
      <c r="D260" s="15"/>
    </row>
    <row r="261" ht="15.75" customHeight="1">
      <c r="A261" s="11">
        <v>70301.0</v>
      </c>
      <c r="B261" s="10" t="s">
        <v>289</v>
      </c>
      <c r="C261" s="11"/>
      <c r="D261" s="15"/>
    </row>
    <row r="262" ht="15.75" customHeight="1">
      <c r="A262" s="11">
        <v>70302.0</v>
      </c>
      <c r="B262" s="10" t="s">
        <v>290</v>
      </c>
      <c r="C262" s="11"/>
      <c r="D262" s="15"/>
    </row>
    <row r="263" ht="15.75" customHeight="1">
      <c r="A263" s="11">
        <v>70303.0</v>
      </c>
      <c r="B263" s="10" t="s">
        <v>291</v>
      </c>
      <c r="C263" s="11"/>
      <c r="D263" s="15"/>
    </row>
    <row r="264" ht="15.75" customHeight="1">
      <c r="A264" s="11">
        <v>70401.0</v>
      </c>
      <c r="B264" s="10" t="s">
        <v>292</v>
      </c>
      <c r="C264" s="11"/>
      <c r="D264" s="15"/>
    </row>
    <row r="265" ht="15.75" customHeight="1">
      <c r="A265" s="11">
        <v>70402.0</v>
      </c>
      <c r="B265" s="10" t="s">
        <v>293</v>
      </c>
      <c r="C265" s="11"/>
      <c r="D265" s="15"/>
    </row>
    <row r="266" ht="15.75" customHeight="1">
      <c r="A266" s="11">
        <v>70403.0</v>
      </c>
      <c r="B266" s="10" t="s">
        <v>294</v>
      </c>
      <c r="C266" s="11"/>
      <c r="D266" s="15"/>
    </row>
    <row r="267" ht="15.75" customHeight="1">
      <c r="A267" s="11">
        <v>70404.0</v>
      </c>
      <c r="B267" s="10" t="s">
        <v>295</v>
      </c>
      <c r="C267" s="11"/>
      <c r="D267" s="15"/>
    </row>
    <row r="268" ht="15.75" customHeight="1">
      <c r="A268" s="11">
        <v>70501.0</v>
      </c>
      <c r="B268" s="10" t="s">
        <v>296</v>
      </c>
      <c r="C268" s="11"/>
      <c r="D268" s="15"/>
    </row>
    <row r="269" ht="15.75" customHeight="1">
      <c r="A269" s="11">
        <v>70502.0</v>
      </c>
      <c r="B269" s="10" t="s">
        <v>297</v>
      </c>
      <c r="C269" s="11"/>
      <c r="D269" s="15"/>
    </row>
    <row r="270" ht="15.75" customHeight="1">
      <c r="A270" s="11">
        <v>70503.0</v>
      </c>
      <c r="B270" s="10" t="s">
        <v>298</v>
      </c>
      <c r="C270" s="11"/>
      <c r="D270" s="15"/>
    </row>
    <row r="271" ht="15.75" customHeight="1">
      <c r="A271" s="11">
        <v>70601.0</v>
      </c>
      <c r="B271" s="10" t="s">
        <v>299</v>
      </c>
      <c r="C271" s="11"/>
      <c r="D271" s="15"/>
    </row>
    <row r="272" ht="15.75" customHeight="1">
      <c r="A272" s="11">
        <v>70602.0</v>
      </c>
      <c r="B272" s="10" t="s">
        <v>300</v>
      </c>
      <c r="C272" s="11"/>
      <c r="D272" s="15"/>
    </row>
    <row r="273" ht="15.75" customHeight="1">
      <c r="A273" s="11">
        <v>70603.0</v>
      </c>
      <c r="B273" s="10" t="s">
        <v>301</v>
      </c>
      <c r="C273" s="11"/>
      <c r="D273" s="15"/>
    </row>
    <row r="274" ht="15.75" customHeight="1">
      <c r="A274" s="11">
        <v>70701.0</v>
      </c>
      <c r="B274" s="10" t="s">
        <v>302</v>
      </c>
      <c r="C274" s="11"/>
      <c r="D274" s="15"/>
    </row>
    <row r="275" ht="15.75" customHeight="1">
      <c r="A275" s="11">
        <v>70702.0</v>
      </c>
      <c r="B275" s="10" t="s">
        <v>303</v>
      </c>
      <c r="C275" s="11"/>
      <c r="D275" s="15"/>
    </row>
    <row r="276" ht="15.75" customHeight="1">
      <c r="A276" s="11">
        <v>70703.0</v>
      </c>
      <c r="B276" s="10" t="s">
        <v>304</v>
      </c>
      <c r="C276" s="11"/>
      <c r="D276" s="15"/>
    </row>
    <row r="277" ht="15.75" customHeight="1">
      <c r="A277" s="11">
        <v>70704.0</v>
      </c>
      <c r="B277" s="10" t="s">
        <v>305</v>
      </c>
      <c r="C277" s="11"/>
      <c r="D277" s="15"/>
    </row>
    <row r="278" ht="15.75" customHeight="1">
      <c r="A278" s="11">
        <v>70705.0</v>
      </c>
      <c r="B278" s="10" t="s">
        <v>306</v>
      </c>
      <c r="C278" s="11"/>
      <c r="D278" s="15"/>
    </row>
    <row r="279" ht="15.75" customHeight="1">
      <c r="A279" s="11">
        <v>70706.0</v>
      </c>
      <c r="B279" s="10" t="s">
        <v>307</v>
      </c>
      <c r="C279" s="11"/>
      <c r="D279" s="15"/>
    </row>
    <row r="280" ht="15.75" customHeight="1">
      <c r="A280" s="11">
        <v>70707.0</v>
      </c>
      <c r="B280" s="10" t="s">
        <v>308</v>
      </c>
      <c r="C280" s="11"/>
      <c r="D280" s="15"/>
    </row>
    <row r="281" ht="15.75" customHeight="1">
      <c r="A281" s="11">
        <v>70801.0</v>
      </c>
      <c r="B281" s="10" t="s">
        <v>309</v>
      </c>
      <c r="C281" s="11"/>
      <c r="D281" s="15"/>
    </row>
    <row r="282" ht="15.75" customHeight="1">
      <c r="A282" s="11">
        <v>70802.0</v>
      </c>
      <c r="B282" s="10" t="s">
        <v>310</v>
      </c>
      <c r="C282" s="11"/>
      <c r="D282" s="15"/>
    </row>
    <row r="283" ht="15.75" customHeight="1">
      <c r="A283" s="11">
        <v>70803.0</v>
      </c>
      <c r="B283" s="10" t="s">
        <v>311</v>
      </c>
      <c r="C283" s="11"/>
      <c r="D283" s="15"/>
    </row>
    <row r="284" ht="15.75" customHeight="1">
      <c r="A284" s="11">
        <v>70804.0</v>
      </c>
      <c r="B284" s="10" t="s">
        <v>312</v>
      </c>
      <c r="C284" s="11"/>
      <c r="D284" s="15"/>
    </row>
    <row r="285" ht="15.75" customHeight="1">
      <c r="A285" s="11">
        <v>70805.0</v>
      </c>
      <c r="B285" s="10" t="s">
        <v>313</v>
      </c>
      <c r="C285" s="11"/>
      <c r="D285" s="15"/>
    </row>
    <row r="286" ht="15.75" customHeight="1">
      <c r="A286" s="11">
        <v>70901.0</v>
      </c>
      <c r="B286" s="10" t="s">
        <v>314</v>
      </c>
      <c r="C286" s="11"/>
      <c r="D286" s="15"/>
    </row>
    <row r="287" ht="15.75" customHeight="1">
      <c r="A287" s="11">
        <v>70902.0</v>
      </c>
      <c r="B287" s="10" t="s">
        <v>315</v>
      </c>
      <c r="C287" s="11"/>
      <c r="D287" s="15"/>
    </row>
    <row r="288" ht="15.75" customHeight="1">
      <c r="A288" s="11">
        <v>70903.0</v>
      </c>
      <c r="B288" s="10" t="s">
        <v>316</v>
      </c>
      <c r="C288" s="11"/>
      <c r="D288" s="15"/>
    </row>
    <row r="289" ht="15.75" customHeight="1">
      <c r="A289" s="11">
        <v>70904.0</v>
      </c>
      <c r="B289" s="10" t="s">
        <v>317</v>
      </c>
      <c r="C289" s="11"/>
      <c r="D289" s="15"/>
    </row>
    <row r="290" ht="15.75" customHeight="1">
      <c r="A290" s="11">
        <v>71001.0</v>
      </c>
      <c r="B290" s="10" t="s">
        <v>318</v>
      </c>
      <c r="C290" s="11"/>
      <c r="D290" s="15"/>
    </row>
    <row r="291" ht="15.75" customHeight="1">
      <c r="A291" s="11">
        <v>71002.0</v>
      </c>
      <c r="B291" s="10" t="s">
        <v>319</v>
      </c>
      <c r="C291" s="11"/>
      <c r="D291" s="15"/>
    </row>
    <row r="292" ht="15.75" customHeight="1">
      <c r="A292" s="11">
        <v>71003.0</v>
      </c>
      <c r="B292" s="10" t="s">
        <v>320</v>
      </c>
      <c r="C292" s="11"/>
      <c r="D292" s="15"/>
    </row>
    <row r="293" ht="15.75" customHeight="1">
      <c r="A293" s="11">
        <v>71004.0</v>
      </c>
      <c r="B293" s="10" t="s">
        <v>321</v>
      </c>
      <c r="C293" s="11"/>
      <c r="D293" s="15"/>
    </row>
    <row r="294" ht="15.75" customHeight="1">
      <c r="A294" s="11">
        <v>71005.0</v>
      </c>
      <c r="B294" s="10" t="s">
        <v>322</v>
      </c>
      <c r="C294" s="11"/>
      <c r="D294" s="15"/>
    </row>
    <row r="295" ht="15.75" customHeight="1">
      <c r="A295" s="11">
        <v>71101.0</v>
      </c>
      <c r="B295" s="10" t="s">
        <v>323</v>
      </c>
      <c r="C295" s="11"/>
      <c r="D295" s="15"/>
    </row>
    <row r="296" ht="15.75" customHeight="1">
      <c r="A296" s="11">
        <v>71102.0</v>
      </c>
      <c r="B296" s="10" t="s">
        <v>324</v>
      </c>
      <c r="C296" s="11"/>
      <c r="D296" s="15"/>
    </row>
    <row r="297" ht="15.75" customHeight="1">
      <c r="A297" s="11">
        <v>71103.0</v>
      </c>
      <c r="B297" s="10" t="s">
        <v>325</v>
      </c>
      <c r="C297" s="11"/>
      <c r="D297" s="15"/>
    </row>
    <row r="298" ht="15.75" customHeight="1">
      <c r="A298" s="11">
        <v>71104.0</v>
      </c>
      <c r="B298" s="10" t="s">
        <v>326</v>
      </c>
      <c r="C298" s="11"/>
      <c r="D298" s="15"/>
    </row>
    <row r="299" ht="15.75" customHeight="1">
      <c r="A299" s="11">
        <v>71105.0</v>
      </c>
      <c r="B299" s="10" t="s">
        <v>327</v>
      </c>
      <c r="C299" s="11"/>
      <c r="D299" s="15"/>
    </row>
    <row r="300" ht="15.75" customHeight="1">
      <c r="A300" s="11">
        <v>71106.0</v>
      </c>
      <c r="B300" s="10" t="s">
        <v>328</v>
      </c>
      <c r="C300" s="11"/>
      <c r="D300" s="15"/>
    </row>
    <row r="301" ht="15.75" customHeight="1">
      <c r="A301" s="11">
        <v>71201.0</v>
      </c>
      <c r="B301" s="10" t="s">
        <v>329</v>
      </c>
      <c r="C301" s="11"/>
      <c r="D301" s="15"/>
    </row>
    <row r="302" ht="15.75" customHeight="1">
      <c r="A302" s="11">
        <v>71301.0</v>
      </c>
      <c r="B302" s="10" t="s">
        <v>330</v>
      </c>
      <c r="C302" s="11"/>
      <c r="D302" s="15"/>
    </row>
    <row r="303" ht="15.75" customHeight="1">
      <c r="A303" s="11">
        <v>71302.0</v>
      </c>
      <c r="B303" s="10" t="s">
        <v>331</v>
      </c>
      <c r="C303" s="11"/>
      <c r="D303" s="15"/>
    </row>
    <row r="304" ht="15.75" customHeight="1">
      <c r="A304" s="11">
        <v>71401.0</v>
      </c>
      <c r="B304" s="10" t="s">
        <v>332</v>
      </c>
      <c r="C304" s="11"/>
      <c r="D304" s="15"/>
    </row>
    <row r="305" ht="15.75" customHeight="1">
      <c r="A305" s="11">
        <v>71402.0</v>
      </c>
      <c r="B305" s="10" t="s">
        <v>333</v>
      </c>
      <c r="C305" s="11"/>
      <c r="D305" s="15"/>
    </row>
    <row r="306" ht="15.75" customHeight="1">
      <c r="A306" s="11">
        <v>71403.0</v>
      </c>
      <c r="B306" s="10" t="s">
        <v>334</v>
      </c>
      <c r="C306" s="11"/>
      <c r="D306" s="15"/>
    </row>
    <row r="307" ht="15.75" customHeight="1">
      <c r="A307" s="11">
        <v>71501.0</v>
      </c>
      <c r="B307" s="10" t="s">
        <v>335</v>
      </c>
      <c r="C307" s="11"/>
      <c r="D307" s="15"/>
    </row>
    <row r="308" ht="15.75" customHeight="1">
      <c r="A308" s="11">
        <v>71502.0</v>
      </c>
      <c r="B308" s="10" t="s">
        <v>336</v>
      </c>
      <c r="C308" s="11"/>
      <c r="D308" s="15"/>
    </row>
    <row r="309" ht="15.75" customHeight="1">
      <c r="A309" s="11">
        <v>71503.0</v>
      </c>
      <c r="B309" s="10" t="s">
        <v>281</v>
      </c>
      <c r="C309" s="11"/>
      <c r="D309" s="15"/>
    </row>
    <row r="310" ht="15.75" customHeight="1">
      <c r="A310" s="11">
        <v>80101.0</v>
      </c>
      <c r="B310" s="10" t="s">
        <v>337</v>
      </c>
      <c r="C310" s="11"/>
      <c r="D310" s="15"/>
    </row>
    <row r="311" ht="15.75" customHeight="1">
      <c r="A311" s="11">
        <v>80102.0</v>
      </c>
      <c r="B311" s="10" t="s">
        <v>324</v>
      </c>
      <c r="C311" s="11"/>
      <c r="D311" s="15"/>
    </row>
    <row r="312" ht="15.75" customHeight="1">
      <c r="A312" s="11">
        <v>80201.0</v>
      </c>
      <c r="B312" s="10" t="s">
        <v>338</v>
      </c>
      <c r="C312" s="11"/>
      <c r="D312" s="15"/>
    </row>
    <row r="313" ht="15.75" customHeight="1">
      <c r="A313" s="11">
        <v>80202.0</v>
      </c>
      <c r="B313" s="10" t="s">
        <v>339</v>
      </c>
      <c r="C313" s="11"/>
      <c r="D313" s="15"/>
    </row>
    <row r="314" ht="15.75" customHeight="1">
      <c r="A314" s="11">
        <v>80301.0</v>
      </c>
      <c r="B314" s="10" t="s">
        <v>340</v>
      </c>
      <c r="C314" s="11"/>
      <c r="D314" s="15"/>
    </row>
    <row r="315" ht="15.75" customHeight="1">
      <c r="A315" s="11">
        <v>80302.0</v>
      </c>
      <c r="B315" s="10" t="s">
        <v>341</v>
      </c>
      <c r="C315" s="11"/>
      <c r="D315" s="15"/>
    </row>
    <row r="316" ht="15.75" customHeight="1">
      <c r="A316" s="11">
        <v>80303.0</v>
      </c>
      <c r="B316" s="10" t="s">
        <v>342</v>
      </c>
      <c r="C316" s="11"/>
      <c r="D316" s="15"/>
    </row>
    <row r="317" ht="15.75" customHeight="1">
      <c r="A317" s="11">
        <v>80304.0</v>
      </c>
      <c r="B317" s="10" t="s">
        <v>343</v>
      </c>
      <c r="C317" s="11"/>
      <c r="D317" s="15"/>
    </row>
    <row r="318" ht="15.75" customHeight="1">
      <c r="A318" s="11">
        <v>80401.0</v>
      </c>
      <c r="B318" s="10" t="s">
        <v>344</v>
      </c>
      <c r="C318" s="11"/>
      <c r="D318" s="15"/>
    </row>
    <row r="319" ht="15.75" customHeight="1">
      <c r="A319" s="11">
        <v>80402.0</v>
      </c>
      <c r="B319" s="10" t="s">
        <v>345</v>
      </c>
      <c r="C319" s="11"/>
      <c r="D319" s="15"/>
    </row>
    <row r="320" ht="15.75" customHeight="1">
      <c r="A320" s="11">
        <v>80501.0</v>
      </c>
      <c r="B320" s="10" t="s">
        <v>346</v>
      </c>
      <c r="C320" s="11"/>
      <c r="D320" s="15"/>
    </row>
    <row r="321" ht="15.75" customHeight="1">
      <c r="A321" s="11">
        <v>80601.0</v>
      </c>
      <c r="B321" s="10" t="s">
        <v>347</v>
      </c>
      <c r="C321" s="11"/>
      <c r="D321" s="15"/>
    </row>
    <row r="322" ht="15.75" customHeight="1">
      <c r="A322" s="11">
        <v>80602.0</v>
      </c>
      <c r="B322" s="10" t="s">
        <v>348</v>
      </c>
      <c r="C322" s="11"/>
      <c r="D322" s="15"/>
    </row>
    <row r="323" ht="15.75" customHeight="1">
      <c r="A323" s="11">
        <v>80701.0</v>
      </c>
      <c r="B323" s="10" t="s">
        <v>349</v>
      </c>
      <c r="C323" s="11"/>
      <c r="D323" s="15"/>
    </row>
    <row r="324" ht="15.75" customHeight="1">
      <c r="A324" s="11">
        <v>80702.0</v>
      </c>
      <c r="B324" s="10" t="s">
        <v>325</v>
      </c>
      <c r="C324" s="11"/>
      <c r="D324" s="15"/>
    </row>
    <row r="325" ht="15.75" customHeight="1">
      <c r="A325" s="11">
        <v>80703.0</v>
      </c>
      <c r="B325" s="10" t="s">
        <v>350</v>
      </c>
      <c r="C325" s="11"/>
      <c r="D325" s="15"/>
    </row>
    <row r="326" ht="15.75" customHeight="1">
      <c r="A326" s="11">
        <v>80801.0</v>
      </c>
      <c r="B326" s="10" t="s">
        <v>351</v>
      </c>
      <c r="C326" s="11"/>
      <c r="D326" s="15"/>
    </row>
    <row r="327" ht="15.75" customHeight="1">
      <c r="A327" s="11">
        <v>80802.0</v>
      </c>
      <c r="B327" s="10" t="s">
        <v>352</v>
      </c>
      <c r="C327" s="11"/>
      <c r="D327" s="15"/>
    </row>
    <row r="328" ht="15.75" customHeight="1">
      <c r="A328" s="11">
        <v>80803.0</v>
      </c>
      <c r="B328" s="10" t="s">
        <v>353</v>
      </c>
      <c r="C328" s="11"/>
      <c r="D328" s="15"/>
    </row>
    <row r="329" ht="15.75" customHeight="1">
      <c r="A329" s="11">
        <v>80901.0</v>
      </c>
      <c r="B329" s="10" t="s">
        <v>354</v>
      </c>
      <c r="C329" s="11"/>
      <c r="D329" s="15"/>
    </row>
    <row r="330" ht="15.75" customHeight="1">
      <c r="A330" s="11">
        <v>90101.0</v>
      </c>
      <c r="B330" s="10" t="s">
        <v>355</v>
      </c>
      <c r="C330" s="11"/>
      <c r="D330" s="15"/>
    </row>
    <row r="331" ht="15.75" customHeight="1">
      <c r="A331" s="11">
        <v>90102.0</v>
      </c>
      <c r="B331" s="10" t="s">
        <v>356</v>
      </c>
      <c r="C331" s="11"/>
      <c r="D331" s="15"/>
    </row>
    <row r="332" ht="15.75" customHeight="1">
      <c r="A332" s="11">
        <v>90103.0</v>
      </c>
      <c r="B332" s="10" t="s">
        <v>357</v>
      </c>
      <c r="C332" s="11"/>
      <c r="D332" s="15"/>
    </row>
    <row r="333" ht="15.75" customHeight="1">
      <c r="A333" s="11">
        <v>90104.0</v>
      </c>
      <c r="B333" s="10" t="s">
        <v>358</v>
      </c>
      <c r="C333" s="11"/>
      <c r="D333" s="15"/>
    </row>
    <row r="334" ht="15.75" customHeight="1">
      <c r="A334" s="11">
        <v>90201.0</v>
      </c>
      <c r="B334" s="10" t="s">
        <v>359</v>
      </c>
      <c r="C334" s="11"/>
      <c r="D334" s="15"/>
    </row>
    <row r="335" ht="15.75" customHeight="1">
      <c r="A335" s="11">
        <v>90202.0</v>
      </c>
      <c r="B335" s="10" t="s">
        <v>322</v>
      </c>
      <c r="C335" s="11"/>
      <c r="D335" s="15"/>
    </row>
    <row r="336" ht="15.75" customHeight="1">
      <c r="A336" s="11">
        <v>90203.0</v>
      </c>
      <c r="B336" s="10" t="s">
        <v>360</v>
      </c>
      <c r="C336" s="11"/>
      <c r="D336" s="15"/>
    </row>
    <row r="337" ht="15.75" customHeight="1">
      <c r="A337" s="11">
        <v>90301.0</v>
      </c>
      <c r="B337" s="10" t="s">
        <v>361</v>
      </c>
      <c r="C337" s="11"/>
      <c r="D337" s="15"/>
    </row>
    <row r="338" ht="15.75" customHeight="1">
      <c r="A338" s="11">
        <v>90302.0</v>
      </c>
      <c r="B338" s="10" t="s">
        <v>362</v>
      </c>
      <c r="C338" s="11"/>
      <c r="D338" s="15"/>
    </row>
    <row r="339" ht="15.75" customHeight="1">
      <c r="A339" s="11">
        <v>90303.0</v>
      </c>
      <c r="B339" s="10" t="s">
        <v>363</v>
      </c>
      <c r="C339" s="11"/>
      <c r="D339" s="15"/>
    </row>
    <row r="340" ht="15.75" customHeight="1">
      <c r="A340" s="11">
        <v>90401.0</v>
      </c>
      <c r="B340" s="10" t="s">
        <v>364</v>
      </c>
      <c r="C340" s="11"/>
      <c r="D340" s="15"/>
    </row>
    <row r="341" ht="15.75" customHeight="1">
      <c r="A341" s="11">
        <v>90402.0</v>
      </c>
      <c r="B341" s="10" t="s">
        <v>365</v>
      </c>
      <c r="C341" s="11"/>
      <c r="D341" s="15"/>
    </row>
    <row r="342" ht="15.75" customHeight="1">
      <c r="A342" s="11">
        <v>90501.0</v>
      </c>
      <c r="B342" s="10" t="s">
        <v>366</v>
      </c>
      <c r="C342" s="11"/>
      <c r="D342" s="15"/>
    </row>
    <row r="343" ht="15.75" customHeight="1">
      <c r="A343" s="11">
        <v>90502.0</v>
      </c>
      <c r="B343" s="10" t="s">
        <v>367</v>
      </c>
      <c r="C343" s="11"/>
      <c r="D343" s="15"/>
    </row>
    <row r="344" ht="15.75" customHeight="1">
      <c r="A344" s="11">
        <v>90503.0</v>
      </c>
      <c r="B344" s="10" t="s">
        <v>368</v>
      </c>
      <c r="C344" s="11"/>
      <c r="D344" s="15"/>
    </row>
    <row r="345" ht="15.75" customHeight="1">
      <c r="A345" s="33"/>
      <c r="B345" s="28"/>
      <c r="C345" s="28"/>
    </row>
    <row r="346" ht="15.75" customHeight="1">
      <c r="A346" s="33"/>
      <c r="B346" s="28"/>
      <c r="C346" s="28"/>
    </row>
    <row r="347" ht="15.75" customHeight="1">
      <c r="A347" s="33"/>
      <c r="B347" s="28"/>
      <c r="C347" s="28"/>
    </row>
    <row r="348" ht="15.75" customHeight="1">
      <c r="A348" s="33"/>
      <c r="B348" s="28"/>
      <c r="C348" s="28"/>
    </row>
    <row r="349" ht="15.75" customHeight="1">
      <c r="A349" s="33"/>
      <c r="B349" s="28"/>
      <c r="C349" s="28"/>
    </row>
    <row r="350" ht="15.75" customHeight="1">
      <c r="A350" s="33"/>
      <c r="B350" s="28"/>
      <c r="C350" s="28"/>
    </row>
    <row r="351" ht="15.75" customHeight="1">
      <c r="A351" s="33"/>
      <c r="B351" s="28"/>
      <c r="C351" s="28"/>
    </row>
    <row r="352" ht="15.75" customHeight="1">
      <c r="A352" s="33"/>
      <c r="B352" s="28"/>
      <c r="C352" s="28"/>
    </row>
    <row r="353" ht="15.75" customHeight="1">
      <c r="A353" s="33"/>
      <c r="B353" s="28"/>
      <c r="C353" s="28"/>
    </row>
    <row r="354" ht="15.75" customHeight="1">
      <c r="A354" s="33"/>
      <c r="B354" s="28"/>
      <c r="C354" s="28"/>
    </row>
    <row r="355" ht="15.75" customHeight="1">
      <c r="A355" s="33"/>
      <c r="B355" s="28"/>
      <c r="C355" s="28"/>
    </row>
    <row r="356" ht="15.75" customHeight="1">
      <c r="A356" s="33"/>
      <c r="B356" s="28"/>
      <c r="C356" s="28"/>
    </row>
    <row r="357" ht="15.75" customHeight="1">
      <c r="A357" s="33"/>
      <c r="B357" s="28"/>
      <c r="C357" s="28"/>
    </row>
    <row r="358" ht="15.75" customHeight="1">
      <c r="A358" s="33"/>
      <c r="B358" s="28"/>
      <c r="C358" s="28"/>
    </row>
    <row r="359" ht="15.75" customHeight="1">
      <c r="A359" s="33"/>
      <c r="B359" s="28"/>
      <c r="C359" s="28"/>
    </row>
    <row r="360" ht="15.75" customHeight="1">
      <c r="A360" s="33"/>
      <c r="B360" s="28"/>
      <c r="C360" s="28"/>
    </row>
    <row r="361" ht="15.75" customHeight="1">
      <c r="A361" s="33"/>
      <c r="B361" s="28"/>
      <c r="C361" s="28"/>
    </row>
    <row r="362" ht="15.75" customHeight="1">
      <c r="A362" s="33"/>
      <c r="B362" s="28"/>
      <c r="C362" s="28"/>
    </row>
    <row r="363" ht="15.75" customHeight="1">
      <c r="A363" s="33"/>
      <c r="B363" s="28"/>
      <c r="C363" s="28"/>
    </row>
    <row r="364" ht="15.75" customHeight="1">
      <c r="A364" s="33"/>
      <c r="B364" s="28"/>
      <c r="C364" s="28"/>
    </row>
    <row r="365" ht="15.75" customHeight="1">
      <c r="A365" s="33"/>
      <c r="B365" s="28"/>
      <c r="C365" s="28"/>
    </row>
    <row r="366" ht="15.75" customHeight="1">
      <c r="A366" s="33"/>
      <c r="B366" s="28"/>
      <c r="C366" s="28"/>
    </row>
    <row r="367" ht="15.75" customHeight="1">
      <c r="A367" s="33"/>
      <c r="B367" s="28"/>
      <c r="C367" s="28"/>
    </row>
    <row r="368" ht="15.75" customHeight="1">
      <c r="A368" s="33"/>
      <c r="B368" s="28"/>
      <c r="C368" s="28"/>
    </row>
    <row r="369" ht="15.75" customHeight="1">
      <c r="A369" s="33"/>
      <c r="B369" s="28"/>
      <c r="C369" s="28"/>
    </row>
    <row r="370" ht="15.75" customHeight="1">
      <c r="A370" s="33"/>
      <c r="B370" s="28"/>
      <c r="C370" s="28"/>
    </row>
    <row r="371" ht="15.75" customHeight="1">
      <c r="A371" s="33"/>
      <c r="B371" s="28"/>
      <c r="C371" s="28"/>
    </row>
    <row r="372" ht="15.75" customHeight="1">
      <c r="A372" s="33"/>
      <c r="B372" s="28"/>
      <c r="C372" s="28"/>
    </row>
    <row r="373" ht="15.75" customHeight="1">
      <c r="A373" s="33"/>
      <c r="B373" s="28"/>
      <c r="C373" s="28"/>
    </row>
    <row r="374" ht="15.75" customHeight="1">
      <c r="A374" s="33"/>
      <c r="B374" s="28"/>
      <c r="C374" s="28"/>
    </row>
    <row r="375" ht="15.75" customHeight="1">
      <c r="A375" s="33"/>
      <c r="B375" s="28"/>
      <c r="C375" s="28"/>
    </row>
    <row r="376" ht="15.75" customHeight="1">
      <c r="A376" s="33"/>
      <c r="B376" s="28"/>
      <c r="C376" s="28"/>
    </row>
    <row r="377" ht="15.75" customHeight="1">
      <c r="A377" s="33"/>
      <c r="B377" s="28"/>
      <c r="C377" s="28"/>
    </row>
    <row r="378" ht="15.75" customHeight="1">
      <c r="A378" s="33"/>
      <c r="B378" s="28"/>
      <c r="C378" s="28"/>
    </row>
    <row r="379" ht="15.75" customHeight="1">
      <c r="A379" s="33"/>
      <c r="B379" s="28"/>
      <c r="C379" s="28"/>
    </row>
    <row r="380" ht="15.75" customHeight="1">
      <c r="A380" s="33"/>
      <c r="B380" s="28"/>
      <c r="C380" s="28"/>
    </row>
    <row r="381" ht="15.75" customHeight="1">
      <c r="A381" s="33"/>
      <c r="B381" s="28"/>
      <c r="C381" s="28"/>
    </row>
    <row r="382" ht="15.75" customHeight="1">
      <c r="A382" s="33"/>
      <c r="B382" s="28"/>
      <c r="C382" s="28"/>
    </row>
    <row r="383" ht="15.75" customHeight="1">
      <c r="A383" s="33"/>
      <c r="B383" s="28"/>
      <c r="C383" s="28"/>
    </row>
    <row r="384" ht="15.75" customHeight="1">
      <c r="A384" s="33"/>
      <c r="B384" s="28"/>
      <c r="C384" s="28"/>
    </row>
    <row r="385" ht="15.75" customHeight="1">
      <c r="A385" s="33"/>
      <c r="B385" s="28"/>
      <c r="C385" s="28"/>
    </row>
    <row r="386" ht="15.75" customHeight="1">
      <c r="A386" s="33"/>
      <c r="B386" s="28"/>
      <c r="C386" s="28"/>
    </row>
    <row r="387" ht="15.75" customHeight="1">
      <c r="A387" s="33"/>
      <c r="B387" s="28"/>
      <c r="C387" s="28"/>
    </row>
    <row r="388" ht="15.75" customHeight="1">
      <c r="A388" s="33"/>
      <c r="B388" s="28"/>
      <c r="C388" s="28"/>
    </row>
    <row r="389" ht="15.75" customHeight="1">
      <c r="A389" s="33"/>
      <c r="B389" s="28"/>
      <c r="C389" s="28"/>
    </row>
    <row r="390" ht="15.75" customHeight="1">
      <c r="A390" s="33"/>
      <c r="B390" s="28"/>
      <c r="C390" s="28"/>
    </row>
    <row r="391" ht="15.75" customHeight="1">
      <c r="A391" s="33"/>
      <c r="B391" s="28"/>
      <c r="C391" s="28"/>
    </row>
    <row r="392" ht="15.75" customHeight="1">
      <c r="A392" s="33"/>
      <c r="B392" s="28"/>
      <c r="C392" s="28"/>
    </row>
    <row r="393" ht="15.75" customHeight="1">
      <c r="A393" s="33"/>
      <c r="B393" s="28"/>
      <c r="C393" s="28"/>
    </row>
    <row r="394" ht="15.75" customHeight="1">
      <c r="A394" s="33"/>
      <c r="B394" s="28"/>
      <c r="C394" s="28"/>
    </row>
    <row r="395" ht="15.75" customHeight="1">
      <c r="A395" s="33"/>
      <c r="B395" s="28"/>
      <c r="C395" s="28"/>
    </row>
    <row r="396" ht="15.75" customHeight="1">
      <c r="A396" s="33"/>
      <c r="B396" s="28"/>
      <c r="C396" s="28"/>
    </row>
    <row r="397" ht="15.75" customHeight="1">
      <c r="A397" s="33"/>
      <c r="B397" s="28"/>
      <c r="C397" s="28"/>
    </row>
    <row r="398" ht="15.75" customHeight="1">
      <c r="A398" s="33"/>
      <c r="B398" s="28"/>
      <c r="C398" s="28"/>
    </row>
    <row r="399" ht="15.75" customHeight="1">
      <c r="A399" s="33"/>
      <c r="B399" s="28"/>
      <c r="C399" s="28"/>
    </row>
    <row r="400" ht="15.75" customHeight="1">
      <c r="A400" s="33"/>
      <c r="B400" s="28"/>
      <c r="C400" s="28"/>
    </row>
    <row r="401" ht="15.75" customHeight="1">
      <c r="A401" s="33"/>
      <c r="B401" s="28"/>
      <c r="C401" s="28"/>
    </row>
    <row r="402" ht="15.75" customHeight="1">
      <c r="A402" s="33"/>
      <c r="B402" s="28"/>
      <c r="C402" s="28"/>
    </row>
    <row r="403" ht="15.75" customHeight="1">
      <c r="A403" s="33"/>
      <c r="B403" s="28"/>
      <c r="C403" s="28"/>
    </row>
    <row r="404" ht="15.75" customHeight="1">
      <c r="A404" s="33"/>
      <c r="B404" s="28"/>
      <c r="C404" s="28"/>
    </row>
    <row r="405" ht="15.75" customHeight="1">
      <c r="A405" s="33"/>
      <c r="B405" s="28"/>
      <c r="C405" s="28"/>
    </row>
    <row r="406" ht="15.75" customHeight="1">
      <c r="A406" s="33"/>
      <c r="B406" s="28"/>
      <c r="C406" s="28"/>
    </row>
    <row r="407" ht="15.75" customHeight="1">
      <c r="A407" s="33"/>
      <c r="B407" s="28"/>
      <c r="C407" s="28"/>
    </row>
    <row r="408" ht="15.75" customHeight="1">
      <c r="A408" s="33"/>
      <c r="B408" s="28"/>
      <c r="C408" s="28"/>
    </row>
    <row r="409" ht="15.75" customHeight="1">
      <c r="A409" s="33"/>
      <c r="B409" s="28"/>
      <c r="C409" s="28"/>
    </row>
    <row r="410" ht="15.75" customHeight="1">
      <c r="A410" s="33"/>
      <c r="B410" s="28"/>
      <c r="C410" s="28"/>
    </row>
    <row r="411" ht="15.75" customHeight="1">
      <c r="A411" s="33"/>
      <c r="B411" s="28"/>
      <c r="C411" s="28"/>
    </row>
    <row r="412" ht="15.75" customHeight="1">
      <c r="A412" s="33"/>
      <c r="B412" s="28"/>
      <c r="C412" s="28"/>
    </row>
    <row r="413" ht="15.75" customHeight="1">
      <c r="A413" s="33"/>
      <c r="B413" s="28"/>
      <c r="C413" s="28"/>
    </row>
    <row r="414" ht="15.75" customHeight="1">
      <c r="A414" s="33"/>
      <c r="B414" s="28"/>
      <c r="C414" s="28"/>
    </row>
    <row r="415" ht="15.75" customHeight="1">
      <c r="A415" s="33"/>
      <c r="B415" s="28"/>
      <c r="C415" s="28"/>
    </row>
    <row r="416" ht="15.75" customHeight="1">
      <c r="A416" s="33"/>
      <c r="B416" s="28"/>
      <c r="C416" s="28"/>
    </row>
    <row r="417" ht="15.75" customHeight="1">
      <c r="A417" s="33"/>
      <c r="B417" s="28"/>
      <c r="C417" s="28"/>
    </row>
    <row r="418" ht="15.75" customHeight="1">
      <c r="A418" s="33"/>
      <c r="B418" s="28"/>
      <c r="C418" s="28"/>
    </row>
    <row r="419" ht="15.75" customHeight="1">
      <c r="A419" s="33"/>
      <c r="B419" s="28"/>
      <c r="C419" s="28"/>
    </row>
    <row r="420" ht="15.75" customHeight="1">
      <c r="A420" s="33"/>
      <c r="B420" s="28"/>
      <c r="C420" s="28"/>
    </row>
    <row r="421" ht="15.75" customHeight="1">
      <c r="A421" s="33"/>
      <c r="B421" s="28"/>
      <c r="C421" s="28"/>
    </row>
    <row r="422" ht="15.75" customHeight="1">
      <c r="A422" s="33"/>
      <c r="B422" s="28"/>
      <c r="C422" s="28"/>
    </row>
    <row r="423" ht="15.75" customHeight="1">
      <c r="A423" s="33"/>
      <c r="B423" s="28"/>
      <c r="C423" s="28"/>
    </row>
    <row r="424" ht="15.75" customHeight="1">
      <c r="A424" s="33"/>
      <c r="B424" s="28"/>
      <c r="C424" s="28"/>
    </row>
    <row r="425" ht="15.75" customHeight="1">
      <c r="A425" s="33"/>
      <c r="B425" s="28"/>
      <c r="C425" s="28"/>
    </row>
    <row r="426" ht="15.75" customHeight="1">
      <c r="A426" s="33"/>
      <c r="B426" s="28"/>
      <c r="C426" s="28"/>
    </row>
    <row r="427" ht="15.75" customHeight="1">
      <c r="A427" s="33"/>
      <c r="B427" s="28"/>
      <c r="C427" s="28"/>
    </row>
    <row r="428" ht="15.75" customHeight="1">
      <c r="A428" s="33"/>
      <c r="B428" s="28"/>
      <c r="C428" s="28"/>
    </row>
    <row r="429" ht="15.75" customHeight="1">
      <c r="A429" s="33"/>
      <c r="B429" s="28"/>
      <c r="C429" s="28"/>
    </row>
    <row r="430" ht="15.75" customHeight="1">
      <c r="A430" s="33"/>
      <c r="B430" s="28"/>
      <c r="C430" s="28"/>
    </row>
    <row r="431" ht="15.75" customHeight="1">
      <c r="A431" s="33"/>
      <c r="B431" s="28"/>
      <c r="C431" s="28"/>
    </row>
    <row r="432" ht="15.75" customHeight="1">
      <c r="A432" s="33"/>
      <c r="B432" s="28"/>
      <c r="C432" s="28"/>
    </row>
    <row r="433" ht="15.75" customHeight="1">
      <c r="A433" s="33"/>
      <c r="B433" s="28"/>
      <c r="C433" s="28"/>
    </row>
    <row r="434" ht="15.75" customHeight="1">
      <c r="A434" s="33"/>
      <c r="B434" s="28"/>
      <c r="C434" s="28"/>
    </row>
    <row r="435" ht="15.75" customHeight="1">
      <c r="A435" s="33"/>
      <c r="B435" s="28"/>
      <c r="C435" s="28"/>
    </row>
    <row r="436" ht="15.75" customHeight="1">
      <c r="A436" s="33"/>
      <c r="B436" s="28"/>
      <c r="C436" s="28"/>
    </row>
    <row r="437" ht="15.75" customHeight="1">
      <c r="A437" s="33"/>
      <c r="B437" s="28"/>
      <c r="C437" s="28"/>
    </row>
    <row r="438" ht="15.75" customHeight="1">
      <c r="A438" s="33"/>
      <c r="B438" s="28"/>
      <c r="C438" s="28"/>
    </row>
    <row r="439" ht="15.75" customHeight="1">
      <c r="A439" s="33"/>
      <c r="B439" s="28"/>
      <c r="C439" s="28"/>
    </row>
    <row r="440" ht="15.75" customHeight="1">
      <c r="A440" s="33"/>
      <c r="B440" s="28"/>
      <c r="C440" s="28"/>
    </row>
    <row r="441" ht="15.75" customHeight="1">
      <c r="A441" s="33"/>
      <c r="B441" s="28"/>
      <c r="C441" s="28"/>
    </row>
    <row r="442" ht="15.75" customHeight="1">
      <c r="A442" s="33"/>
      <c r="B442" s="28"/>
      <c r="C442" s="28"/>
    </row>
    <row r="443" ht="15.75" customHeight="1">
      <c r="A443" s="33"/>
      <c r="B443" s="28"/>
      <c r="C443" s="28"/>
    </row>
    <row r="444" ht="15.75" customHeight="1">
      <c r="A444" s="33"/>
      <c r="B444" s="28"/>
      <c r="C444" s="28"/>
    </row>
    <row r="445" ht="15.75" customHeight="1">
      <c r="A445" s="33"/>
      <c r="B445" s="28"/>
      <c r="C445" s="28"/>
    </row>
    <row r="446" ht="15.75" customHeight="1">
      <c r="A446" s="33"/>
      <c r="B446" s="28"/>
      <c r="C446" s="28"/>
    </row>
    <row r="447" ht="15.75" customHeight="1">
      <c r="A447" s="33"/>
      <c r="B447" s="28"/>
      <c r="C447" s="28"/>
    </row>
    <row r="448" ht="15.75" customHeight="1">
      <c r="A448" s="33"/>
      <c r="B448" s="28"/>
      <c r="C448" s="28"/>
    </row>
    <row r="449" ht="15.75" customHeight="1">
      <c r="A449" s="33"/>
      <c r="B449" s="28"/>
      <c r="C449" s="28"/>
    </row>
    <row r="450" ht="15.75" customHeight="1">
      <c r="A450" s="33"/>
      <c r="B450" s="28"/>
      <c r="C450" s="28"/>
    </row>
    <row r="451" ht="15.75" customHeight="1">
      <c r="A451" s="33"/>
      <c r="B451" s="28"/>
      <c r="C451" s="28"/>
    </row>
    <row r="452" ht="15.75" customHeight="1">
      <c r="A452" s="33"/>
      <c r="B452" s="28"/>
      <c r="C452" s="28"/>
    </row>
    <row r="453" ht="15.75" customHeight="1">
      <c r="A453" s="33"/>
      <c r="B453" s="28"/>
      <c r="C453" s="28"/>
    </row>
    <row r="454" ht="15.75" customHeight="1">
      <c r="A454" s="33"/>
      <c r="B454" s="28"/>
      <c r="C454" s="28"/>
    </row>
    <row r="455" ht="15.75" customHeight="1">
      <c r="A455" s="33"/>
      <c r="B455" s="28"/>
      <c r="C455" s="28"/>
    </row>
    <row r="456" ht="15.75" customHeight="1">
      <c r="A456" s="33"/>
      <c r="B456" s="28"/>
      <c r="C456" s="28"/>
    </row>
    <row r="457" ht="15.75" customHeight="1">
      <c r="A457" s="33"/>
      <c r="B457" s="28"/>
      <c r="C457" s="28"/>
    </row>
    <row r="458" ht="15.75" customHeight="1">
      <c r="A458" s="33"/>
      <c r="B458" s="28"/>
      <c r="C458" s="28"/>
    </row>
    <row r="459" ht="15.75" customHeight="1">
      <c r="A459" s="33"/>
      <c r="B459" s="28"/>
      <c r="C459" s="28"/>
    </row>
    <row r="460" ht="15.75" customHeight="1">
      <c r="A460" s="33"/>
      <c r="B460" s="28"/>
      <c r="C460" s="28"/>
    </row>
    <row r="461" ht="15.75" customHeight="1">
      <c r="A461" s="33"/>
      <c r="B461" s="28"/>
      <c r="C461" s="28"/>
    </row>
    <row r="462" ht="15.75" customHeight="1">
      <c r="A462" s="33"/>
      <c r="B462" s="28"/>
      <c r="C462" s="28"/>
    </row>
    <row r="463" ht="15.75" customHeight="1">
      <c r="A463" s="33"/>
      <c r="B463" s="28"/>
      <c r="C463" s="28"/>
    </row>
    <row r="464" ht="15.75" customHeight="1">
      <c r="A464" s="33"/>
      <c r="B464" s="28"/>
      <c r="C464" s="28"/>
    </row>
    <row r="465" ht="15.75" customHeight="1">
      <c r="A465" s="33"/>
      <c r="B465" s="28"/>
      <c r="C465" s="28"/>
    </row>
    <row r="466" ht="15.75" customHeight="1">
      <c r="A466" s="33"/>
      <c r="B466" s="28"/>
      <c r="C466" s="28"/>
    </row>
    <row r="467" ht="15.75" customHeight="1">
      <c r="A467" s="33"/>
      <c r="B467" s="28"/>
      <c r="C467" s="28"/>
    </row>
    <row r="468" ht="15.75" customHeight="1">
      <c r="A468" s="33"/>
      <c r="B468" s="28"/>
      <c r="C468" s="28"/>
    </row>
    <row r="469" ht="15.75" customHeight="1">
      <c r="A469" s="33"/>
      <c r="B469" s="28"/>
      <c r="C469" s="28"/>
    </row>
    <row r="470" ht="15.75" customHeight="1">
      <c r="A470" s="33"/>
      <c r="B470" s="28"/>
      <c r="C470" s="28"/>
    </row>
    <row r="471" ht="15.75" customHeight="1">
      <c r="A471" s="33"/>
      <c r="B471" s="28"/>
      <c r="C471" s="28"/>
    </row>
    <row r="472" ht="15.75" customHeight="1">
      <c r="A472" s="33"/>
      <c r="B472" s="28"/>
      <c r="C472" s="28"/>
    </row>
    <row r="473" ht="15.75" customHeight="1">
      <c r="A473" s="33"/>
      <c r="B473" s="28"/>
      <c r="C473" s="28"/>
    </row>
    <row r="474" ht="15.75" customHeight="1">
      <c r="A474" s="33"/>
      <c r="B474" s="28"/>
      <c r="C474" s="28"/>
    </row>
    <row r="475" ht="15.75" customHeight="1">
      <c r="A475" s="33"/>
      <c r="B475" s="28"/>
      <c r="C475" s="28"/>
    </row>
    <row r="476" ht="15.75" customHeight="1">
      <c r="A476" s="33"/>
      <c r="B476" s="28"/>
      <c r="C476" s="28"/>
    </row>
    <row r="477" ht="15.75" customHeight="1">
      <c r="A477" s="33"/>
      <c r="B477" s="28"/>
      <c r="C477" s="28"/>
    </row>
    <row r="478" ht="15.75" customHeight="1">
      <c r="A478" s="33"/>
      <c r="B478" s="28"/>
      <c r="C478" s="28"/>
    </row>
    <row r="479" ht="15.75" customHeight="1">
      <c r="A479" s="33"/>
      <c r="B479" s="28"/>
      <c r="C479" s="28"/>
    </row>
    <row r="480" ht="15.75" customHeight="1">
      <c r="A480" s="33"/>
      <c r="B480" s="28"/>
      <c r="C480" s="28"/>
    </row>
    <row r="481" ht="15.75" customHeight="1">
      <c r="A481" s="33"/>
      <c r="B481" s="28"/>
      <c r="C481" s="28"/>
    </row>
    <row r="482" ht="15.75" customHeight="1">
      <c r="A482" s="33"/>
      <c r="B482" s="28"/>
      <c r="C482" s="28"/>
    </row>
    <row r="483" ht="15.75" customHeight="1">
      <c r="A483" s="33"/>
      <c r="B483" s="28"/>
      <c r="C483" s="28"/>
    </row>
    <row r="484" ht="15.75" customHeight="1">
      <c r="A484" s="33"/>
      <c r="B484" s="28"/>
      <c r="C484" s="28"/>
    </row>
    <row r="485" ht="15.75" customHeight="1">
      <c r="A485" s="33"/>
      <c r="B485" s="28"/>
      <c r="C485" s="28"/>
    </row>
    <row r="486" ht="15.75" customHeight="1">
      <c r="A486" s="33"/>
      <c r="B486" s="28"/>
      <c r="C486" s="28"/>
    </row>
    <row r="487" ht="15.75" customHeight="1">
      <c r="A487" s="33"/>
      <c r="B487" s="28"/>
      <c r="C487" s="28"/>
    </row>
    <row r="488" ht="15.75" customHeight="1">
      <c r="A488" s="33"/>
      <c r="B488" s="28"/>
      <c r="C488" s="28"/>
    </row>
    <row r="489" ht="15.75" customHeight="1">
      <c r="A489" s="33"/>
      <c r="B489" s="28"/>
      <c r="C489" s="28"/>
    </row>
    <row r="490" ht="15.75" customHeight="1">
      <c r="A490" s="33"/>
      <c r="B490" s="28"/>
      <c r="C490" s="28"/>
    </row>
    <row r="491" ht="15.75" customHeight="1">
      <c r="A491" s="33"/>
      <c r="B491" s="28"/>
      <c r="C491" s="28"/>
    </row>
    <row r="492" ht="15.75" customHeight="1">
      <c r="A492" s="33"/>
      <c r="B492" s="28"/>
      <c r="C492" s="28"/>
    </row>
    <row r="493" ht="15.75" customHeight="1">
      <c r="A493" s="33"/>
      <c r="B493" s="28"/>
      <c r="C493" s="28"/>
    </row>
    <row r="494" ht="15.75" customHeight="1">
      <c r="A494" s="33"/>
      <c r="B494" s="28"/>
      <c r="C494" s="28"/>
    </row>
    <row r="495" ht="15.75" customHeight="1">
      <c r="A495" s="33"/>
      <c r="B495" s="28"/>
      <c r="C495" s="28"/>
    </row>
    <row r="496" ht="15.75" customHeight="1">
      <c r="A496" s="33"/>
      <c r="B496" s="28"/>
      <c r="C496" s="28"/>
    </row>
    <row r="497" ht="15.75" customHeight="1">
      <c r="A497" s="33"/>
      <c r="B497" s="28"/>
      <c r="C497" s="28"/>
    </row>
    <row r="498" ht="15.75" customHeight="1">
      <c r="A498" s="33"/>
      <c r="B498" s="28"/>
      <c r="C498" s="28"/>
    </row>
    <row r="499" ht="15.75" customHeight="1">
      <c r="A499" s="33"/>
      <c r="B499" s="28"/>
      <c r="C499" s="28"/>
    </row>
    <row r="500" ht="15.75" customHeight="1">
      <c r="A500" s="33"/>
      <c r="B500" s="28"/>
      <c r="C500" s="28"/>
    </row>
    <row r="501" ht="15.75" customHeight="1">
      <c r="A501" s="33"/>
      <c r="B501" s="28"/>
      <c r="C501" s="28"/>
    </row>
    <row r="502" ht="15.75" customHeight="1">
      <c r="A502" s="33"/>
      <c r="B502" s="28"/>
      <c r="C502" s="28"/>
    </row>
    <row r="503" ht="15.75" customHeight="1">
      <c r="A503" s="33"/>
      <c r="B503" s="28"/>
      <c r="C503" s="28"/>
    </row>
    <row r="504" ht="15.75" customHeight="1">
      <c r="A504" s="33"/>
      <c r="B504" s="28"/>
      <c r="C504" s="28"/>
    </row>
    <row r="505" ht="15.75" customHeight="1">
      <c r="A505" s="33"/>
      <c r="B505" s="28"/>
      <c r="C505" s="28"/>
    </row>
    <row r="506" ht="15.75" customHeight="1">
      <c r="A506" s="33"/>
      <c r="B506" s="28"/>
      <c r="C506" s="28"/>
    </row>
    <row r="507" ht="15.75" customHeight="1">
      <c r="A507" s="33"/>
      <c r="B507" s="28"/>
      <c r="C507" s="28"/>
    </row>
    <row r="508" ht="15.75" customHeight="1">
      <c r="A508" s="33"/>
      <c r="B508" s="28"/>
      <c r="C508" s="28"/>
    </row>
    <row r="509" ht="15.75" customHeight="1">
      <c r="A509" s="33"/>
      <c r="B509" s="28"/>
      <c r="C509" s="28"/>
    </row>
    <row r="510" ht="15.75" customHeight="1">
      <c r="A510" s="33"/>
      <c r="B510" s="28"/>
      <c r="C510" s="28"/>
    </row>
    <row r="511" ht="15.75" customHeight="1">
      <c r="A511" s="33"/>
      <c r="B511" s="28"/>
      <c r="C511" s="28"/>
    </row>
    <row r="512" ht="15.75" customHeight="1">
      <c r="A512" s="33"/>
      <c r="B512" s="28"/>
      <c r="C512" s="28"/>
    </row>
    <row r="513" ht="15.75" customHeight="1">
      <c r="A513" s="33"/>
      <c r="B513" s="28"/>
      <c r="C513" s="28"/>
    </row>
    <row r="514" ht="15.75" customHeight="1">
      <c r="A514" s="33"/>
      <c r="B514" s="28"/>
      <c r="C514" s="28"/>
    </row>
    <row r="515" ht="15.75" customHeight="1">
      <c r="A515" s="33"/>
      <c r="B515" s="28"/>
      <c r="C515" s="28"/>
    </row>
    <row r="516" ht="15.75" customHeight="1">
      <c r="A516" s="33"/>
      <c r="B516" s="28"/>
      <c r="C516" s="28"/>
    </row>
    <row r="517" ht="15.75" customHeight="1">
      <c r="A517" s="33"/>
      <c r="B517" s="28"/>
      <c r="C517" s="28"/>
    </row>
    <row r="518" ht="15.75" customHeight="1">
      <c r="A518" s="33"/>
      <c r="B518" s="28"/>
      <c r="C518" s="28"/>
    </row>
    <row r="519" ht="15.75" customHeight="1">
      <c r="A519" s="33"/>
      <c r="B519" s="28"/>
      <c r="C519" s="28"/>
    </row>
    <row r="520" ht="15.75" customHeight="1">
      <c r="A520" s="33"/>
      <c r="B520" s="28"/>
      <c r="C520" s="28"/>
    </row>
    <row r="521" ht="15.75" customHeight="1">
      <c r="A521" s="33"/>
      <c r="B521" s="28"/>
      <c r="C521" s="28"/>
    </row>
    <row r="522" ht="15.75" customHeight="1">
      <c r="A522" s="33"/>
      <c r="B522" s="28"/>
      <c r="C522" s="28"/>
    </row>
    <row r="523" ht="15.75" customHeight="1">
      <c r="A523" s="33"/>
      <c r="B523" s="28"/>
      <c r="C523" s="28"/>
    </row>
    <row r="524" ht="15.75" customHeight="1">
      <c r="A524" s="33"/>
      <c r="B524" s="28"/>
      <c r="C524" s="28"/>
    </row>
    <row r="525" ht="15.75" customHeight="1">
      <c r="A525" s="33"/>
      <c r="B525" s="28"/>
      <c r="C525" s="28"/>
    </row>
    <row r="526" ht="15.75" customHeight="1">
      <c r="A526" s="33"/>
      <c r="B526" s="28"/>
      <c r="C526" s="28"/>
    </row>
    <row r="527" ht="15.75" customHeight="1">
      <c r="A527" s="33"/>
      <c r="B527" s="28"/>
      <c r="C527" s="28"/>
    </row>
    <row r="528" ht="15.75" customHeight="1">
      <c r="A528" s="33"/>
      <c r="B528" s="28"/>
      <c r="C528" s="28"/>
    </row>
    <row r="529" ht="15.75" customHeight="1">
      <c r="A529" s="33"/>
      <c r="B529" s="28"/>
      <c r="C529" s="28"/>
    </row>
    <row r="530" ht="15.75" customHeight="1">
      <c r="A530" s="33"/>
      <c r="B530" s="28"/>
      <c r="C530" s="28"/>
    </row>
    <row r="531" ht="15.75" customHeight="1">
      <c r="A531" s="33"/>
      <c r="B531" s="28"/>
      <c r="C531" s="28"/>
    </row>
    <row r="532" ht="15.75" customHeight="1">
      <c r="A532" s="33"/>
      <c r="B532" s="28"/>
      <c r="C532" s="28"/>
    </row>
    <row r="533" ht="15.75" customHeight="1">
      <c r="A533" s="33"/>
      <c r="B533" s="28"/>
      <c r="C533" s="28"/>
    </row>
    <row r="534" ht="15.75" customHeight="1">
      <c r="A534" s="33"/>
      <c r="B534" s="28"/>
      <c r="C534" s="28"/>
    </row>
    <row r="535" ht="15.75" customHeight="1">
      <c r="A535" s="33"/>
      <c r="B535" s="28"/>
      <c r="C535" s="28"/>
    </row>
    <row r="536" ht="15.75" customHeight="1">
      <c r="A536" s="33"/>
      <c r="B536" s="28"/>
      <c r="C536" s="28"/>
    </row>
    <row r="537" ht="15.75" customHeight="1">
      <c r="A537" s="33"/>
      <c r="B537" s="28"/>
      <c r="C537" s="28"/>
    </row>
    <row r="538" ht="15.75" customHeight="1">
      <c r="A538" s="33"/>
      <c r="B538" s="28"/>
      <c r="C538" s="28"/>
    </row>
    <row r="539" ht="15.75" customHeight="1">
      <c r="A539" s="33"/>
      <c r="B539" s="28"/>
      <c r="C539" s="28"/>
    </row>
    <row r="540" ht="15.75" customHeight="1">
      <c r="A540" s="33"/>
      <c r="B540" s="28"/>
      <c r="C540" s="28"/>
    </row>
    <row r="541" ht="15.75" customHeight="1">
      <c r="A541" s="33"/>
      <c r="B541" s="28"/>
      <c r="C541" s="28"/>
    </row>
    <row r="542" ht="15.75" customHeight="1">
      <c r="A542" s="33"/>
      <c r="B542" s="28"/>
      <c r="C542" s="28"/>
    </row>
    <row r="543" ht="15.75" customHeight="1">
      <c r="A543" s="33"/>
      <c r="B543" s="28"/>
      <c r="C543" s="28"/>
    </row>
    <row r="544" ht="15.75" customHeight="1">
      <c r="A544" s="33"/>
      <c r="B544" s="28"/>
      <c r="C544" s="28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15.38"/>
    <col customWidth="1" min="3" max="3" width="25.38"/>
    <col customWidth="1" min="4" max="4" width="25.5"/>
    <col customWidth="1" min="5" max="26" width="12.5"/>
  </cols>
  <sheetData>
    <row r="1" ht="59.25" customHeight="1">
      <c r="A1" s="36" t="s">
        <v>17</v>
      </c>
      <c r="B1" s="40" t="s">
        <v>1</v>
      </c>
      <c r="C1" s="4" t="s">
        <v>15</v>
      </c>
      <c r="D1" s="4" t="s">
        <v>16</v>
      </c>
    </row>
    <row r="2" ht="15.75" customHeight="1">
      <c r="A2" s="41">
        <v>1.0</v>
      </c>
      <c r="B2" s="42" t="s">
        <v>21</v>
      </c>
      <c r="C2" s="43">
        <v>0.06649091562183287</v>
      </c>
      <c r="D2" s="43">
        <v>0.3320812682731175</v>
      </c>
    </row>
    <row r="3" ht="15.75" customHeight="1">
      <c r="A3" s="41">
        <v>2.0</v>
      </c>
      <c r="B3" s="42" t="s">
        <v>24</v>
      </c>
      <c r="C3" s="43">
        <v>0.12303121927369015</v>
      </c>
      <c r="D3" s="43">
        <v>0.3838335671336139</v>
      </c>
    </row>
    <row r="4" ht="15.75" customHeight="1">
      <c r="A4" s="41">
        <v>3.0</v>
      </c>
      <c r="B4" s="42" t="s">
        <v>26</v>
      </c>
      <c r="C4" s="43">
        <v>0.10011111301487535</v>
      </c>
      <c r="D4" s="43">
        <v>0.28666905049800506</v>
      </c>
    </row>
    <row r="5" ht="15.75" customHeight="1">
      <c r="A5" s="41">
        <v>4.0</v>
      </c>
      <c r="B5" s="42" t="s">
        <v>28</v>
      </c>
      <c r="C5" s="43">
        <v>0.09442348840529291</v>
      </c>
      <c r="D5" s="43">
        <v>0.2907024718164586</v>
      </c>
    </row>
    <row r="6" ht="15.75" customHeight="1">
      <c r="A6" s="41">
        <v>5.0</v>
      </c>
      <c r="B6" s="42" t="s">
        <v>30</v>
      </c>
      <c r="C6" s="43">
        <v>0.05064952745685387</v>
      </c>
      <c r="D6" s="43">
        <v>0.24850349514759437</v>
      </c>
    </row>
    <row r="7" ht="15.75" customHeight="1">
      <c r="A7" s="41">
        <v>6.0</v>
      </c>
      <c r="B7" s="42" t="s">
        <v>32</v>
      </c>
      <c r="C7" s="43">
        <v>0.08559346748732702</v>
      </c>
      <c r="D7" s="43">
        <v>0.31291653052815005</v>
      </c>
    </row>
    <row r="8" ht="15.75" customHeight="1">
      <c r="A8" s="41">
        <v>7.0</v>
      </c>
      <c r="B8" s="42" t="s">
        <v>34</v>
      </c>
      <c r="C8" s="43">
        <v>0.0913251111871343</v>
      </c>
      <c r="D8" s="43">
        <v>0.24794128473573093</v>
      </c>
    </row>
    <row r="9" ht="15.75" customHeight="1">
      <c r="A9" s="41">
        <v>8.0</v>
      </c>
      <c r="B9" s="42" t="s">
        <v>36</v>
      </c>
      <c r="C9" s="43">
        <v>0.09772185952736531</v>
      </c>
      <c r="D9" s="43">
        <v>0.25241121479420925</v>
      </c>
    </row>
    <row r="10" ht="15.75" customHeight="1">
      <c r="A10" s="41">
        <v>9.0</v>
      </c>
      <c r="B10" s="42" t="s">
        <v>38</v>
      </c>
      <c r="C10" s="43">
        <v>0.05209178426388592</v>
      </c>
      <c r="D10" s="43">
        <v>0.24134186057446208</v>
      </c>
    </row>
    <row r="11" ht="15.75" customHeight="1">
      <c r="A11" s="41">
        <v>10.0</v>
      </c>
      <c r="B11" s="42" t="s">
        <v>40</v>
      </c>
      <c r="C11" s="12">
        <v>0.08313226119708263</v>
      </c>
      <c r="D11" s="12">
        <v>0.2785739397382737</v>
      </c>
    </row>
    <row r="12" ht="15.75" customHeight="1">
      <c r="A12" s="41">
        <v>11.0</v>
      </c>
      <c r="B12" s="42" t="s">
        <v>42</v>
      </c>
      <c r="C12" s="43">
        <v>0.09304643261307491</v>
      </c>
      <c r="D12" s="43">
        <v>0.2914377534940325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5.5"/>
    <col customWidth="1" min="3" max="3" width="30.63"/>
    <col customWidth="1" min="4" max="4" width="27.88"/>
    <col customWidth="1" min="5" max="26" width="12.5"/>
  </cols>
  <sheetData>
    <row r="1" ht="54.75" customHeight="1">
      <c r="A1" s="36" t="s">
        <v>17</v>
      </c>
      <c r="B1" s="40" t="s">
        <v>1</v>
      </c>
      <c r="C1" s="4" t="s">
        <v>371</v>
      </c>
      <c r="D1" s="4" t="s">
        <v>372</v>
      </c>
    </row>
    <row r="2" ht="15.75" customHeight="1">
      <c r="A2" s="41">
        <v>1.0</v>
      </c>
      <c r="B2" s="42" t="s">
        <v>21</v>
      </c>
      <c r="C2" s="11"/>
      <c r="D2" s="11"/>
    </row>
    <row r="3" ht="15.75" customHeight="1">
      <c r="A3" s="41">
        <v>2.0</v>
      </c>
      <c r="B3" s="42" t="s">
        <v>24</v>
      </c>
      <c r="C3" s="11"/>
      <c r="D3" s="11"/>
    </row>
    <row r="4" ht="15.75" customHeight="1">
      <c r="A4" s="41">
        <v>3.0</v>
      </c>
      <c r="B4" s="42" t="s">
        <v>26</v>
      </c>
      <c r="C4" s="11"/>
      <c r="D4" s="11"/>
    </row>
    <row r="5" ht="15.75" customHeight="1">
      <c r="A5" s="41">
        <v>4.0</v>
      </c>
      <c r="B5" s="42" t="s">
        <v>28</v>
      </c>
      <c r="C5" s="11"/>
      <c r="D5" s="11"/>
    </row>
    <row r="6" ht="15.75" customHeight="1">
      <c r="A6" s="41">
        <v>5.0</v>
      </c>
      <c r="B6" s="42" t="s">
        <v>30</v>
      </c>
      <c r="C6" s="11"/>
      <c r="D6" s="11"/>
    </row>
    <row r="7" ht="15.75" customHeight="1">
      <c r="A7" s="41">
        <v>6.0</v>
      </c>
      <c r="B7" s="42" t="s">
        <v>32</v>
      </c>
      <c r="C7" s="11"/>
      <c r="D7" s="11"/>
    </row>
    <row r="8" ht="15.75" customHeight="1">
      <c r="A8" s="41">
        <v>7.0</v>
      </c>
      <c r="B8" s="42" t="s">
        <v>34</v>
      </c>
      <c r="C8" s="11"/>
      <c r="D8" s="11"/>
    </row>
    <row r="9" ht="15.75" customHeight="1">
      <c r="A9" s="41">
        <v>8.0</v>
      </c>
      <c r="B9" s="42" t="s">
        <v>36</v>
      </c>
      <c r="C9" s="11"/>
      <c r="D9" s="11"/>
    </row>
    <row r="10" ht="15.75" customHeight="1">
      <c r="A10" s="41">
        <v>9.0</v>
      </c>
      <c r="B10" s="42" t="s">
        <v>38</v>
      </c>
      <c r="C10" s="11"/>
      <c r="D10" s="11"/>
    </row>
    <row r="11" ht="15.75" customHeight="1">
      <c r="A11" s="41">
        <v>10.0</v>
      </c>
      <c r="B11" s="42" t="s">
        <v>40</v>
      </c>
      <c r="C11" s="11"/>
      <c r="D11" s="11"/>
    </row>
    <row r="12" ht="15.75" customHeight="1">
      <c r="A12" s="41">
        <v>11.0</v>
      </c>
      <c r="B12" s="42" t="s">
        <v>42</v>
      </c>
      <c r="C12" s="11"/>
      <c r="D12" s="11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3.38"/>
    <col customWidth="1" min="3" max="26" width="12.5"/>
  </cols>
  <sheetData>
    <row r="1" ht="15.75" customHeight="1">
      <c r="A1" s="44" t="s">
        <v>373</v>
      </c>
      <c r="B1" s="45" t="s">
        <v>374</v>
      </c>
      <c r="C1" s="46" t="s">
        <v>375</v>
      </c>
      <c r="D1" s="46" t="s">
        <v>376</v>
      </c>
      <c r="E1" s="47" t="s">
        <v>377</v>
      </c>
      <c r="F1" s="47" t="s">
        <v>378</v>
      </c>
      <c r="G1" s="48" t="s">
        <v>379</v>
      </c>
      <c r="H1" s="48" t="s">
        <v>380</v>
      </c>
      <c r="I1" s="49" t="s">
        <v>381</v>
      </c>
      <c r="J1" s="49" t="s">
        <v>382</v>
      </c>
      <c r="K1" s="50" t="s">
        <v>383</v>
      </c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47.25" customHeight="1">
      <c r="A2" s="51">
        <v>5.0</v>
      </c>
      <c r="B2" s="4" t="s">
        <v>384</v>
      </c>
      <c r="C2" s="52">
        <v>3.0</v>
      </c>
      <c r="D2" s="53">
        <v>1.0</v>
      </c>
      <c r="E2" s="53">
        <v>1.0</v>
      </c>
      <c r="F2" s="53">
        <v>0.75</v>
      </c>
      <c r="G2" s="53">
        <v>0.75</v>
      </c>
      <c r="H2" s="53">
        <v>0.5</v>
      </c>
      <c r="I2" s="53">
        <v>0.5</v>
      </c>
      <c r="J2" s="53">
        <v>0.0</v>
      </c>
      <c r="K2" s="53" t="s">
        <v>385</v>
      </c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5.75" customHeight="1"/>
    <row r="4" ht="15.75" customHeight="1"/>
    <row r="5" ht="15.75" customHeight="1"/>
    <row r="6" ht="15.75" customHeight="1"/>
    <row r="7" ht="15.75" customHeight="1">
      <c r="F7" s="29"/>
    </row>
    <row r="8" ht="15.75" customHeight="1">
      <c r="F8" s="29"/>
    </row>
    <row r="9" ht="15.75" customHeight="1">
      <c r="F9" s="29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0" customHeight="1">
      <c r="A1" s="54" t="s">
        <v>386</v>
      </c>
      <c r="B1" s="54" t="s">
        <v>2</v>
      </c>
      <c r="C1" s="55" t="s">
        <v>15</v>
      </c>
      <c r="D1" s="3" t="s">
        <v>387</v>
      </c>
      <c r="E1" s="55" t="s">
        <v>16</v>
      </c>
      <c r="F1" s="3" t="s">
        <v>387</v>
      </c>
      <c r="G1" s="56"/>
      <c r="H1" s="56"/>
      <c r="I1" s="56"/>
      <c r="J1" s="56"/>
      <c r="K1" s="57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ht="15.0" customHeight="1">
      <c r="A2" s="59">
        <v>10101.0</v>
      </c>
      <c r="B2" s="59" t="s">
        <v>22</v>
      </c>
      <c r="C2" s="60">
        <v>0.10050486036711512</v>
      </c>
      <c r="D2" s="61" t="str">
        <f t="shared" ref="D2:D344" si="1">IF(C2&lt;=0.5,"Rojo",
   IF(C2&lt;=0.75,"Naranja",
   IF(C2&lt;=1,"Amarillo","Verde")))</f>
        <v>Rojo</v>
      </c>
      <c r="E2" s="60">
        <v>0.3114898114923119</v>
      </c>
      <c r="F2" s="61" t="str">
        <f t="shared" ref="F2:F344" si="2">IF(E2&lt;=0.5,"Rojo",
   IF(E2&lt;=0.75,"Naranja",
   IF(E2&lt;=1,"Amarillo","Verde")))</f>
        <v>Rojo</v>
      </c>
      <c r="G2" s="56"/>
      <c r="H2" s="56"/>
      <c r="I2" s="56"/>
      <c r="J2" s="56"/>
      <c r="K2" s="62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15.0" customHeight="1">
      <c r="A3" s="59">
        <v>10102.0</v>
      </c>
      <c r="B3" s="59" t="s">
        <v>23</v>
      </c>
      <c r="C3" s="60">
        <v>0.07345660602445572</v>
      </c>
      <c r="D3" s="61" t="str">
        <f t="shared" si="1"/>
        <v>Rojo</v>
      </c>
      <c r="E3" s="60">
        <v>0.25611153552330024</v>
      </c>
      <c r="F3" s="61" t="str">
        <f t="shared" si="2"/>
        <v>Rojo</v>
      </c>
      <c r="G3" s="56"/>
      <c r="H3" s="56"/>
      <c r="I3" s="56"/>
      <c r="J3" s="56"/>
      <c r="K3" s="62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5.0" customHeight="1">
      <c r="A4" s="59">
        <v>10103.0</v>
      </c>
      <c r="B4" s="59" t="s">
        <v>25</v>
      </c>
      <c r="C4" s="60">
        <v>0.06236205023998879</v>
      </c>
      <c r="D4" s="61" t="str">
        <f t="shared" si="1"/>
        <v>Rojo</v>
      </c>
      <c r="E4" s="60">
        <v>0.37672902816832726</v>
      </c>
      <c r="F4" s="61" t="str">
        <f t="shared" si="2"/>
        <v>Rojo</v>
      </c>
      <c r="G4" s="56"/>
      <c r="H4" s="56"/>
      <c r="I4" s="56"/>
      <c r="J4" s="56"/>
      <c r="K4" s="62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5.0" customHeight="1">
      <c r="A5" s="59">
        <v>10201.0</v>
      </c>
      <c r="B5" s="59" t="s">
        <v>388</v>
      </c>
      <c r="C5" s="60">
        <v>0.033339389534883725</v>
      </c>
      <c r="D5" s="61" t="str">
        <f t="shared" si="1"/>
        <v>Rojo</v>
      </c>
      <c r="E5" s="60">
        <v>0.48780060519190954</v>
      </c>
      <c r="F5" s="61" t="str">
        <f t="shared" si="2"/>
        <v>Rojo</v>
      </c>
      <c r="G5" s="56"/>
      <c r="H5" s="56"/>
      <c r="I5" s="56"/>
      <c r="J5" s="56"/>
      <c r="K5" s="62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5.0" customHeight="1">
      <c r="A6" s="59">
        <v>10202.0</v>
      </c>
      <c r="B6" s="59" t="s">
        <v>29</v>
      </c>
      <c r="C6" s="60">
        <v>0.05338491295938104</v>
      </c>
      <c r="D6" s="61" t="str">
        <f t="shared" si="1"/>
        <v>Rojo</v>
      </c>
      <c r="E6" s="60">
        <v>0.4135748587997221</v>
      </c>
      <c r="F6" s="61" t="str">
        <f t="shared" si="2"/>
        <v>Rojo</v>
      </c>
      <c r="G6" s="56"/>
      <c r="H6" s="56"/>
      <c r="I6" s="56"/>
      <c r="J6" s="56"/>
      <c r="K6" s="62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5.0" customHeight="1">
      <c r="A7" s="59">
        <v>10301.0</v>
      </c>
      <c r="B7" s="59" t="s">
        <v>389</v>
      </c>
      <c r="C7" s="60">
        <v>0.02183208011522802</v>
      </c>
      <c r="D7" s="61" t="str">
        <f t="shared" si="1"/>
        <v>Rojo</v>
      </c>
      <c r="E7" s="60">
        <v>0.21295306411008036</v>
      </c>
      <c r="F7" s="61" t="str">
        <f t="shared" si="2"/>
        <v>Rojo</v>
      </c>
      <c r="G7" s="56"/>
      <c r="H7" s="56"/>
      <c r="I7" s="56"/>
      <c r="J7" s="56"/>
      <c r="K7" s="62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5.0" customHeight="1">
      <c r="A8" s="59">
        <v>10302.0</v>
      </c>
      <c r="B8" s="59" t="s">
        <v>33</v>
      </c>
      <c r="C8" s="60">
        <v>0.04980713506442681</v>
      </c>
      <c r="D8" s="61" t="str">
        <f t="shared" si="1"/>
        <v>Rojo</v>
      </c>
      <c r="E8" s="60">
        <v>0.23815720978656954</v>
      </c>
      <c r="F8" s="61" t="str">
        <f t="shared" si="2"/>
        <v>Rojo</v>
      </c>
      <c r="G8" s="56"/>
      <c r="H8" s="56"/>
      <c r="I8" s="56"/>
      <c r="J8" s="56"/>
      <c r="K8" s="62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5.0" customHeight="1">
      <c r="A9" s="59">
        <v>10303.0</v>
      </c>
      <c r="B9" s="59" t="s">
        <v>390</v>
      </c>
      <c r="C9" s="60">
        <v>0.04005524861878453</v>
      </c>
      <c r="D9" s="61" t="str">
        <f t="shared" si="1"/>
        <v>Rojo</v>
      </c>
      <c r="E9" s="60">
        <v>0.25602968460111314</v>
      </c>
      <c r="F9" s="61" t="str">
        <f t="shared" si="2"/>
        <v>Rojo</v>
      </c>
      <c r="G9" s="56"/>
      <c r="H9" s="56"/>
      <c r="I9" s="56"/>
      <c r="J9" s="56"/>
      <c r="K9" s="62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5.0" customHeight="1">
      <c r="A10" s="59">
        <v>10304.0</v>
      </c>
      <c r="B10" s="59" t="s">
        <v>37</v>
      </c>
      <c r="C10" s="60">
        <v>0.07368936316021342</v>
      </c>
      <c r="D10" s="61" t="str">
        <f t="shared" si="1"/>
        <v>Rojo</v>
      </c>
      <c r="E10" s="60">
        <v>0.39427920928047416</v>
      </c>
      <c r="F10" s="61" t="str">
        <f t="shared" si="2"/>
        <v>Rojo</v>
      </c>
      <c r="G10" s="56"/>
      <c r="H10" s="56"/>
      <c r="I10" s="56"/>
      <c r="J10" s="56"/>
      <c r="K10" s="62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5.0" customHeight="1">
      <c r="A11" s="59">
        <v>10401.0</v>
      </c>
      <c r="B11" s="59" t="s">
        <v>39</v>
      </c>
      <c r="C11" s="60">
        <v>0.016109168917845227</v>
      </c>
      <c r="D11" s="61" t="str">
        <f t="shared" si="1"/>
        <v>Rojo</v>
      </c>
      <c r="E11" s="60">
        <v>0.38404710688134197</v>
      </c>
      <c r="F11" s="61" t="str">
        <f t="shared" si="2"/>
        <v>Rojo</v>
      </c>
      <c r="G11" s="56"/>
      <c r="H11" s="56"/>
      <c r="I11" s="56"/>
      <c r="J11" s="56"/>
      <c r="K11" s="62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5.0" customHeight="1">
      <c r="A12" s="59">
        <v>10402.0</v>
      </c>
      <c r="B12" s="59" t="s">
        <v>41</v>
      </c>
      <c r="C12" s="60">
        <v>0.023313004131418454</v>
      </c>
      <c r="D12" s="61" t="str">
        <f t="shared" si="1"/>
        <v>Rojo</v>
      </c>
      <c r="E12" s="60">
        <v>0.4486068789707435</v>
      </c>
      <c r="F12" s="61" t="str">
        <f t="shared" si="2"/>
        <v>Rojo</v>
      </c>
      <c r="G12" s="56"/>
      <c r="H12" s="56"/>
      <c r="I12" s="56"/>
      <c r="J12" s="56"/>
      <c r="K12" s="62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5.0" customHeight="1">
      <c r="A13" s="59">
        <v>10403.0</v>
      </c>
      <c r="B13" s="59" t="s">
        <v>43</v>
      </c>
      <c r="C13" s="60">
        <v>0.027156789197299323</v>
      </c>
      <c r="D13" s="61" t="str">
        <f t="shared" si="1"/>
        <v>Rojo</v>
      </c>
      <c r="E13" s="60">
        <v>0.3175860713357632</v>
      </c>
      <c r="F13" s="61" t="str">
        <f t="shared" si="2"/>
        <v>Rojo</v>
      </c>
      <c r="G13" s="56"/>
      <c r="H13" s="56"/>
      <c r="I13" s="56"/>
      <c r="J13" s="56"/>
      <c r="K13" s="62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5.0" customHeight="1">
      <c r="A14" s="59">
        <v>10404.0</v>
      </c>
      <c r="B14" s="59" t="s">
        <v>391</v>
      </c>
      <c r="C14" s="60">
        <v>0.04048509986024075</v>
      </c>
      <c r="D14" s="61" t="str">
        <f t="shared" si="1"/>
        <v>Rojo</v>
      </c>
      <c r="E14" s="60">
        <v>0.32459016393442625</v>
      </c>
      <c r="F14" s="61" t="str">
        <f t="shared" si="2"/>
        <v>Rojo</v>
      </c>
      <c r="G14" s="56"/>
      <c r="H14" s="56"/>
      <c r="I14" s="56"/>
      <c r="J14" s="56"/>
      <c r="K14" s="62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5.0" customHeight="1">
      <c r="A15" s="59">
        <v>10405.0</v>
      </c>
      <c r="B15" s="59" t="s">
        <v>46</v>
      </c>
      <c r="C15" s="60">
        <v>0.08422310162024939</v>
      </c>
      <c r="D15" s="61" t="str">
        <f t="shared" si="1"/>
        <v>Rojo</v>
      </c>
      <c r="E15" s="60">
        <v>0.5177824267782427</v>
      </c>
      <c r="F15" s="61" t="str">
        <f t="shared" si="2"/>
        <v>Naranja</v>
      </c>
      <c r="G15" s="56"/>
      <c r="H15" s="56"/>
      <c r="I15" s="56"/>
      <c r="J15" s="56"/>
      <c r="K15" s="62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5.0" customHeight="1">
      <c r="A16" s="59">
        <v>10501.0</v>
      </c>
      <c r="B16" s="59" t="s">
        <v>48</v>
      </c>
      <c r="C16" s="60">
        <v>0.03166341357623076</v>
      </c>
      <c r="D16" s="61" t="str">
        <f t="shared" si="1"/>
        <v>Rojo</v>
      </c>
      <c r="E16" s="60">
        <v>0.21899972126955658</v>
      </c>
      <c r="F16" s="61" t="str">
        <f t="shared" si="2"/>
        <v>Rojo</v>
      </c>
      <c r="G16" s="56"/>
      <c r="H16" s="56"/>
      <c r="I16" s="56"/>
      <c r="J16" s="56"/>
      <c r="K16" s="62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5.0" customHeight="1">
      <c r="A17" s="59">
        <v>10502.0</v>
      </c>
      <c r="B17" s="59" t="s">
        <v>392</v>
      </c>
      <c r="C17" s="60">
        <v>0.04456020010830604</v>
      </c>
      <c r="D17" s="61" t="str">
        <f t="shared" si="1"/>
        <v>Rojo</v>
      </c>
      <c r="E17" s="60">
        <v>0.20500869565217392</v>
      </c>
      <c r="F17" s="61" t="str">
        <f t="shared" si="2"/>
        <v>Rojo</v>
      </c>
      <c r="G17" s="56"/>
      <c r="H17" s="56"/>
      <c r="I17" s="56"/>
      <c r="J17" s="56"/>
      <c r="K17" s="62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5.0" customHeight="1">
      <c r="A18" s="59">
        <v>10601.0</v>
      </c>
      <c r="B18" s="59" t="s">
        <v>50</v>
      </c>
      <c r="C18" s="60">
        <v>0.08416904539368983</v>
      </c>
      <c r="D18" s="61" t="str">
        <f t="shared" si="1"/>
        <v>Rojo</v>
      </c>
      <c r="E18" s="60">
        <v>0.31781656968689387</v>
      </c>
      <c r="F18" s="61" t="str">
        <f t="shared" si="2"/>
        <v>Rojo</v>
      </c>
      <c r="G18" s="56"/>
      <c r="H18" s="56"/>
      <c r="I18" s="56"/>
      <c r="J18" s="56"/>
      <c r="K18" s="62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5.0" customHeight="1">
      <c r="A19" s="59">
        <v>10602.0</v>
      </c>
      <c r="B19" s="59" t="s">
        <v>51</v>
      </c>
      <c r="C19" s="60">
        <v>0.08473655621944595</v>
      </c>
      <c r="D19" s="61" t="str">
        <f t="shared" si="1"/>
        <v>Rojo</v>
      </c>
      <c r="E19" s="60">
        <v>0.40378612137354297</v>
      </c>
      <c r="F19" s="61" t="str">
        <f t="shared" si="2"/>
        <v>Rojo</v>
      </c>
      <c r="G19" s="56"/>
      <c r="H19" s="56"/>
      <c r="I19" s="56"/>
      <c r="J19" s="56"/>
      <c r="K19" s="62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0" customHeight="1">
      <c r="A20" s="59">
        <v>10701.0</v>
      </c>
      <c r="B20" s="59" t="s">
        <v>52</v>
      </c>
      <c r="C20" s="60">
        <v>0.052398895433460754</v>
      </c>
      <c r="D20" s="61" t="str">
        <f t="shared" si="1"/>
        <v>Rojo</v>
      </c>
      <c r="E20" s="60">
        <v>0.36476996067170236</v>
      </c>
      <c r="F20" s="61" t="str">
        <f t="shared" si="2"/>
        <v>Rojo</v>
      </c>
      <c r="G20" s="56"/>
      <c r="H20" s="56"/>
      <c r="I20" s="56"/>
      <c r="J20" s="56"/>
      <c r="K20" s="62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5.0" customHeight="1">
      <c r="A21" s="59">
        <v>10702.0</v>
      </c>
      <c r="B21" s="59" t="s">
        <v>54</v>
      </c>
      <c r="C21" s="60">
        <v>0.06405049623548141</v>
      </c>
      <c r="D21" s="61" t="str">
        <f t="shared" si="1"/>
        <v>Rojo</v>
      </c>
      <c r="E21" s="60">
        <v>0.40734908136482934</v>
      </c>
      <c r="F21" s="61" t="str">
        <f t="shared" si="2"/>
        <v>Rojo</v>
      </c>
      <c r="G21" s="56"/>
      <c r="H21" s="56"/>
      <c r="I21" s="56"/>
      <c r="J21" s="56"/>
      <c r="K21" s="62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5.0" customHeight="1">
      <c r="A22" s="59">
        <v>10703.0</v>
      </c>
      <c r="B22" s="59" t="s">
        <v>55</v>
      </c>
      <c r="C22" s="60">
        <v>0.04253683536194747</v>
      </c>
      <c r="D22" s="61" t="str">
        <f t="shared" si="1"/>
        <v>Rojo</v>
      </c>
      <c r="E22" s="60">
        <v>0.33166833166833165</v>
      </c>
      <c r="F22" s="61" t="str">
        <f t="shared" si="2"/>
        <v>Rojo</v>
      </c>
      <c r="G22" s="56"/>
      <c r="H22" s="56"/>
      <c r="I22" s="56"/>
      <c r="J22" s="56"/>
      <c r="K22" s="62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5.0" customHeight="1">
      <c r="A23" s="59">
        <v>10704.0</v>
      </c>
      <c r="B23" s="59" t="s">
        <v>56</v>
      </c>
      <c r="C23" s="60">
        <v>0.03109785153417449</v>
      </c>
      <c r="D23" s="61" t="str">
        <f t="shared" si="1"/>
        <v>Rojo</v>
      </c>
      <c r="E23" s="60">
        <v>0.38870390073062183</v>
      </c>
      <c r="F23" s="61" t="str">
        <f t="shared" si="2"/>
        <v>Rojo</v>
      </c>
      <c r="G23" s="56"/>
      <c r="H23" s="56"/>
      <c r="I23" s="56"/>
      <c r="J23" s="56"/>
      <c r="K23" s="62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5.75" customHeight="1">
      <c r="A24" s="59">
        <v>10801.0</v>
      </c>
      <c r="B24" s="59" t="s">
        <v>57</v>
      </c>
      <c r="C24" s="60">
        <v>0.05890006275734337</v>
      </c>
      <c r="D24" s="61" t="str">
        <f t="shared" si="1"/>
        <v>Rojo</v>
      </c>
      <c r="E24" s="60">
        <v>0.20319936541512426</v>
      </c>
      <c r="F24" s="61" t="str">
        <f t="shared" si="2"/>
        <v>Rojo</v>
      </c>
      <c r="G24" s="56"/>
      <c r="H24" s="56"/>
      <c r="I24" s="56"/>
      <c r="J24" s="56"/>
      <c r="K24" s="62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5.75" customHeight="1">
      <c r="A25" s="59">
        <v>10901.0</v>
      </c>
      <c r="B25" s="59" t="s">
        <v>58</v>
      </c>
      <c r="C25" s="60">
        <v>0.0479023646071701</v>
      </c>
      <c r="D25" s="61" t="str">
        <f t="shared" si="1"/>
        <v>Rojo</v>
      </c>
      <c r="E25" s="60">
        <v>0.3136543183516601</v>
      </c>
      <c r="F25" s="61" t="str">
        <f t="shared" si="2"/>
        <v>Rojo</v>
      </c>
      <c r="G25" s="56"/>
      <c r="H25" s="56"/>
      <c r="I25" s="56"/>
      <c r="J25" s="56"/>
      <c r="K25" s="62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5.75" customHeight="1">
      <c r="A26" s="59">
        <v>10902.0</v>
      </c>
      <c r="B26" s="59" t="s">
        <v>59</v>
      </c>
      <c r="C26" s="60">
        <v>0.04257332718358702</v>
      </c>
      <c r="D26" s="61" t="str">
        <f t="shared" si="1"/>
        <v>Rojo</v>
      </c>
      <c r="E26" s="60">
        <v>0.2964445128520855</v>
      </c>
      <c r="F26" s="61" t="str">
        <f t="shared" si="2"/>
        <v>Rojo</v>
      </c>
      <c r="G26" s="56"/>
      <c r="H26" s="56"/>
      <c r="I26" s="56"/>
      <c r="J26" s="56"/>
      <c r="K26" s="62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5.75" customHeight="1">
      <c r="A27" s="59">
        <v>10903.0</v>
      </c>
      <c r="B27" s="59" t="s">
        <v>60</v>
      </c>
      <c r="C27" s="60">
        <v>0.0</v>
      </c>
      <c r="D27" s="61" t="str">
        <f t="shared" si="1"/>
        <v>Rojo</v>
      </c>
      <c r="E27" s="60">
        <v>0.24687523482704204</v>
      </c>
      <c r="F27" s="61" t="str">
        <f t="shared" si="2"/>
        <v>Rojo</v>
      </c>
      <c r="G27" s="56"/>
      <c r="H27" s="56"/>
      <c r="I27" s="56"/>
      <c r="J27" s="56"/>
      <c r="K27" s="62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5.75" customHeight="1">
      <c r="A28" s="59">
        <v>11001.0</v>
      </c>
      <c r="B28" s="59" t="s">
        <v>393</v>
      </c>
      <c r="C28" s="60">
        <v>0.01963249889190804</v>
      </c>
      <c r="D28" s="61" t="str">
        <f t="shared" si="1"/>
        <v>Rojo</v>
      </c>
      <c r="E28" s="60">
        <v>0.17240251572327045</v>
      </c>
      <c r="F28" s="61" t="str">
        <f t="shared" si="2"/>
        <v>Rojo</v>
      </c>
      <c r="G28" s="56"/>
      <c r="H28" s="56"/>
      <c r="I28" s="56"/>
      <c r="J28" s="56"/>
      <c r="K28" s="62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59">
        <v>11002.0</v>
      </c>
      <c r="B29" s="59" t="s">
        <v>394</v>
      </c>
      <c r="C29" s="60">
        <v>0.0773020083364911</v>
      </c>
      <c r="D29" s="61" t="str">
        <f t="shared" si="1"/>
        <v>Rojo</v>
      </c>
      <c r="E29" s="60">
        <v>0.35384615384615387</v>
      </c>
      <c r="F29" s="61" t="str">
        <f t="shared" si="2"/>
        <v>Rojo</v>
      </c>
      <c r="G29" s="56"/>
      <c r="H29" s="56"/>
      <c r="I29" s="56"/>
      <c r="J29" s="56"/>
      <c r="K29" s="62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5.75" customHeight="1">
      <c r="A30" s="59">
        <v>11003.0</v>
      </c>
      <c r="B30" s="59" t="s">
        <v>63</v>
      </c>
      <c r="C30" s="60">
        <v>0.054847745549832835</v>
      </c>
      <c r="D30" s="61" t="str">
        <f t="shared" si="1"/>
        <v>Rojo</v>
      </c>
      <c r="E30" s="60">
        <v>0.20167136063530172</v>
      </c>
      <c r="F30" s="61" t="str">
        <f t="shared" si="2"/>
        <v>Rojo</v>
      </c>
      <c r="G30" s="56"/>
      <c r="H30" s="56"/>
      <c r="I30" s="56"/>
      <c r="J30" s="56"/>
      <c r="K30" s="62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5.75" customHeight="1">
      <c r="A31" s="59">
        <v>20101.0</v>
      </c>
      <c r="B31" s="59" t="s">
        <v>64</v>
      </c>
      <c r="C31" s="60">
        <v>0.1906349450049657</v>
      </c>
      <c r="D31" s="61" t="str">
        <f t="shared" si="1"/>
        <v>Rojo</v>
      </c>
      <c r="E31" s="60">
        <v>0.4637198022644573</v>
      </c>
      <c r="F31" s="61" t="str">
        <f t="shared" si="2"/>
        <v>Rojo</v>
      </c>
      <c r="G31" s="56"/>
      <c r="H31" s="56"/>
      <c r="I31" s="56"/>
      <c r="J31" s="56"/>
      <c r="K31" s="62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5.75" customHeight="1">
      <c r="A32" s="59">
        <v>20102.0</v>
      </c>
      <c r="B32" s="63" t="s">
        <v>65</v>
      </c>
      <c r="C32" s="60">
        <v>0.0717977978385942</v>
      </c>
      <c r="D32" s="61" t="str">
        <f t="shared" si="1"/>
        <v>Rojo</v>
      </c>
      <c r="E32" s="60">
        <v>0.2696353513346977</v>
      </c>
      <c r="F32" s="61" t="str">
        <f t="shared" si="2"/>
        <v>Rojo</v>
      </c>
      <c r="G32" s="56"/>
      <c r="H32" s="56"/>
      <c r="I32" s="56"/>
      <c r="J32" s="56"/>
      <c r="K32" s="62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5.75" customHeight="1">
      <c r="A33" s="59">
        <v>20103.0</v>
      </c>
      <c r="B33" s="63" t="s">
        <v>66</v>
      </c>
      <c r="C33" s="60">
        <v>0.09303389885914157</v>
      </c>
      <c r="D33" s="61" t="str">
        <f t="shared" si="1"/>
        <v>Rojo</v>
      </c>
      <c r="E33" s="60">
        <v>0.29263137669324624</v>
      </c>
      <c r="F33" s="61" t="str">
        <f t="shared" si="2"/>
        <v>Rojo</v>
      </c>
      <c r="G33" s="56"/>
      <c r="H33" s="56"/>
      <c r="I33" s="56"/>
      <c r="J33" s="56"/>
      <c r="K33" s="62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5.75" customHeight="1">
      <c r="A34" s="59">
        <v>20104.0</v>
      </c>
      <c r="B34" s="63" t="s">
        <v>67</v>
      </c>
      <c r="C34" s="60">
        <v>0.09107937059719651</v>
      </c>
      <c r="D34" s="61" t="str">
        <f t="shared" si="1"/>
        <v>Rojo</v>
      </c>
      <c r="E34" s="60">
        <v>0.244961378718122</v>
      </c>
      <c r="F34" s="61" t="str">
        <f t="shared" si="2"/>
        <v>Rojo</v>
      </c>
      <c r="G34" s="56"/>
      <c r="H34" s="56"/>
      <c r="I34" s="56"/>
      <c r="J34" s="56"/>
      <c r="K34" s="62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5.75" customHeight="1">
      <c r="A35" s="59">
        <v>20105.0</v>
      </c>
      <c r="B35" s="63" t="s">
        <v>68</v>
      </c>
      <c r="C35" s="60">
        <v>0.1290925428243473</v>
      </c>
      <c r="D35" s="61" t="str">
        <f t="shared" si="1"/>
        <v>Rojo</v>
      </c>
      <c r="E35" s="60">
        <v>0.37663803424930764</v>
      </c>
      <c r="F35" s="61" t="str">
        <f t="shared" si="2"/>
        <v>Rojo</v>
      </c>
      <c r="G35" s="56"/>
      <c r="H35" s="56"/>
      <c r="I35" s="56"/>
      <c r="J35" s="56"/>
      <c r="K35" s="62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5.75" customHeight="1">
      <c r="A36" s="59">
        <v>20201.0</v>
      </c>
      <c r="B36" s="63" t="s">
        <v>69</v>
      </c>
      <c r="C36" s="60">
        <v>0.13773911340340797</v>
      </c>
      <c r="D36" s="61" t="str">
        <f t="shared" si="1"/>
        <v>Rojo</v>
      </c>
      <c r="E36" s="60">
        <v>0.4072728102988352</v>
      </c>
      <c r="F36" s="61" t="str">
        <f t="shared" si="2"/>
        <v>Rojo</v>
      </c>
      <c r="G36" s="56"/>
      <c r="H36" s="56"/>
      <c r="I36" s="56"/>
      <c r="J36" s="56"/>
      <c r="K36" s="62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5.75" customHeight="1">
      <c r="A37" s="59">
        <v>20202.0</v>
      </c>
      <c r="B37" s="63" t="s">
        <v>395</v>
      </c>
      <c r="C37" s="60">
        <v>0.23578811369509045</v>
      </c>
      <c r="D37" s="61" t="str">
        <f t="shared" si="1"/>
        <v>Rojo</v>
      </c>
      <c r="E37" s="60">
        <v>0.4416047871617027</v>
      </c>
      <c r="F37" s="61" t="str">
        <f t="shared" si="2"/>
        <v>Rojo</v>
      </c>
      <c r="G37" s="56"/>
      <c r="H37" s="56"/>
      <c r="I37" s="56"/>
      <c r="J37" s="56"/>
      <c r="K37" s="62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5.75" customHeight="1">
      <c r="A38" s="59">
        <v>20203.0</v>
      </c>
      <c r="B38" s="63" t="s">
        <v>72</v>
      </c>
      <c r="C38" s="60">
        <v>0.11153340674173268</v>
      </c>
      <c r="D38" s="61" t="str">
        <f t="shared" si="1"/>
        <v>Rojo</v>
      </c>
      <c r="E38" s="60">
        <v>0.6883116883116883</v>
      </c>
      <c r="F38" s="61" t="str">
        <f t="shared" si="2"/>
        <v>Naranja</v>
      </c>
      <c r="G38" s="56"/>
      <c r="H38" s="56"/>
      <c r="I38" s="56"/>
      <c r="J38" s="56"/>
      <c r="K38" s="62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5.75" customHeight="1">
      <c r="A39" s="59">
        <v>20204.0</v>
      </c>
      <c r="B39" s="63" t="s">
        <v>73</v>
      </c>
      <c r="C39" s="60">
        <v>0.09606060606060607</v>
      </c>
      <c r="D39" s="61" t="str">
        <f t="shared" si="1"/>
        <v>Rojo</v>
      </c>
      <c r="E39" s="60">
        <v>0.49019703472493176</v>
      </c>
      <c r="F39" s="61" t="str">
        <f t="shared" si="2"/>
        <v>Rojo</v>
      </c>
      <c r="G39" s="56"/>
      <c r="H39" s="56"/>
      <c r="I39" s="56"/>
      <c r="J39" s="56"/>
      <c r="K39" s="62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5.75" customHeight="1">
      <c r="A40" s="59">
        <v>20205.0</v>
      </c>
      <c r="B40" s="63" t="s">
        <v>74</v>
      </c>
      <c r="C40" s="60">
        <v>0.17895400126023941</v>
      </c>
      <c r="D40" s="61" t="str">
        <f t="shared" si="1"/>
        <v>Rojo</v>
      </c>
      <c r="E40" s="60">
        <v>0.4138062871707731</v>
      </c>
      <c r="F40" s="61" t="str">
        <f t="shared" si="2"/>
        <v>Rojo</v>
      </c>
      <c r="G40" s="56"/>
      <c r="H40" s="56"/>
      <c r="I40" s="56"/>
      <c r="J40" s="56"/>
      <c r="K40" s="62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5.75" customHeight="1">
      <c r="A41" s="59">
        <v>20206.0</v>
      </c>
      <c r="B41" s="63" t="s">
        <v>71</v>
      </c>
      <c r="C41" s="60">
        <v>0.04324575680074401</v>
      </c>
      <c r="D41" s="61" t="str">
        <f t="shared" si="1"/>
        <v>Rojo</v>
      </c>
      <c r="E41" s="60">
        <v>0.29745042492917845</v>
      </c>
      <c r="F41" s="61" t="str">
        <f t="shared" si="2"/>
        <v>Rojo</v>
      </c>
      <c r="G41" s="56"/>
      <c r="H41" s="56"/>
      <c r="I41" s="56"/>
      <c r="J41" s="56"/>
      <c r="K41" s="62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5.75" customHeight="1">
      <c r="A42" s="59">
        <v>20301.0</v>
      </c>
      <c r="B42" s="63" t="s">
        <v>396</v>
      </c>
      <c r="C42" s="60">
        <v>0.07089095046385437</v>
      </c>
      <c r="D42" s="61" t="str">
        <f t="shared" si="1"/>
        <v>Rojo</v>
      </c>
      <c r="E42" s="60">
        <v>0.3842221608179055</v>
      </c>
      <c r="F42" s="61" t="str">
        <f t="shared" si="2"/>
        <v>Rojo</v>
      </c>
      <c r="G42" s="56"/>
      <c r="H42" s="56"/>
      <c r="I42" s="56"/>
      <c r="J42" s="56"/>
      <c r="K42" s="62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5.75" customHeight="1">
      <c r="A43" s="59">
        <v>20302.0</v>
      </c>
      <c r="B43" s="63" t="s">
        <v>76</v>
      </c>
      <c r="C43" s="60">
        <v>0.06622569096660948</v>
      </c>
      <c r="D43" s="61" t="str">
        <f t="shared" si="1"/>
        <v>Rojo</v>
      </c>
      <c r="E43" s="60">
        <v>0.5091568449682684</v>
      </c>
      <c r="F43" s="61" t="str">
        <f t="shared" si="2"/>
        <v>Naranja</v>
      </c>
      <c r="G43" s="56"/>
      <c r="H43" s="56"/>
      <c r="I43" s="56"/>
      <c r="J43" s="56"/>
      <c r="K43" s="62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5.75" customHeight="1">
      <c r="A44" s="59">
        <v>20303.0</v>
      </c>
      <c r="B44" s="63" t="s">
        <v>77</v>
      </c>
      <c r="C44" s="60">
        <v>0.14128301886792452</v>
      </c>
      <c r="D44" s="61" t="str">
        <f t="shared" si="1"/>
        <v>Rojo</v>
      </c>
      <c r="E44" s="60">
        <v>0.2576599148730643</v>
      </c>
      <c r="F44" s="61" t="str">
        <f t="shared" si="2"/>
        <v>Rojo</v>
      </c>
      <c r="G44" s="56"/>
      <c r="H44" s="56"/>
      <c r="I44" s="56"/>
      <c r="J44" s="56"/>
      <c r="K44" s="62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5.75" customHeight="1">
      <c r="A45" s="59">
        <v>20304.0</v>
      </c>
      <c r="B45" s="63" t="s">
        <v>78</v>
      </c>
      <c r="C45" s="60">
        <v>0.08191126279863482</v>
      </c>
      <c r="D45" s="61" t="str">
        <f t="shared" si="1"/>
        <v>Rojo</v>
      </c>
      <c r="E45" s="60">
        <v>0.4718498659517426</v>
      </c>
      <c r="F45" s="61" t="str">
        <f t="shared" si="2"/>
        <v>Rojo</v>
      </c>
      <c r="G45" s="56"/>
      <c r="H45" s="56"/>
      <c r="I45" s="56"/>
      <c r="J45" s="56"/>
      <c r="K45" s="62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5.75" customHeight="1">
      <c r="A46" s="59">
        <v>20305.0</v>
      </c>
      <c r="B46" s="63" t="s">
        <v>79</v>
      </c>
      <c r="C46" s="60">
        <v>0.024736521208953928</v>
      </c>
      <c r="D46" s="61" t="str">
        <f t="shared" si="1"/>
        <v>Rojo</v>
      </c>
      <c r="E46" s="60">
        <v>0.26721050537206525</v>
      </c>
      <c r="F46" s="61" t="str">
        <f t="shared" si="2"/>
        <v>Rojo</v>
      </c>
      <c r="G46" s="56"/>
      <c r="H46" s="56"/>
      <c r="I46" s="56"/>
      <c r="J46" s="56"/>
      <c r="K46" s="62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5.75" customHeight="1">
      <c r="A47" s="59">
        <v>20306.0</v>
      </c>
      <c r="B47" s="63" t="s">
        <v>397</v>
      </c>
      <c r="C47" s="60">
        <v>0.12992431014959174</v>
      </c>
      <c r="D47" s="61" t="str">
        <f t="shared" si="1"/>
        <v>Rojo</v>
      </c>
      <c r="E47" s="60">
        <v>0.33714960327265736</v>
      </c>
      <c r="F47" s="61" t="str">
        <f t="shared" si="2"/>
        <v>Rojo</v>
      </c>
      <c r="G47" s="56"/>
      <c r="H47" s="56"/>
      <c r="I47" s="56"/>
      <c r="J47" s="56"/>
      <c r="K47" s="62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5.75" customHeight="1">
      <c r="A48" s="59">
        <v>20307.0</v>
      </c>
      <c r="B48" s="63" t="s">
        <v>81</v>
      </c>
      <c r="C48" s="60">
        <v>0.0</v>
      </c>
      <c r="D48" s="61" t="str">
        <f t="shared" si="1"/>
        <v>Rojo</v>
      </c>
      <c r="E48" s="60">
        <v>0.4631310266591039</v>
      </c>
      <c r="F48" s="61" t="str">
        <f t="shared" si="2"/>
        <v>Rojo</v>
      </c>
      <c r="G48" s="56"/>
      <c r="H48" s="56"/>
      <c r="I48" s="56"/>
      <c r="J48" s="56"/>
      <c r="K48" s="62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5.75" customHeight="1">
      <c r="A49" s="59">
        <v>20308.0</v>
      </c>
      <c r="B49" s="63" t="s">
        <v>82</v>
      </c>
      <c r="C49" s="60">
        <v>0.08855154965211892</v>
      </c>
      <c r="D49" s="61" t="str">
        <f t="shared" si="1"/>
        <v>Rojo</v>
      </c>
      <c r="E49" s="60">
        <v>0.3397212543554006</v>
      </c>
      <c r="F49" s="61" t="str">
        <f t="shared" si="2"/>
        <v>Rojo</v>
      </c>
      <c r="G49" s="56"/>
      <c r="H49" s="56"/>
      <c r="I49" s="56"/>
      <c r="J49" s="56"/>
      <c r="K49" s="62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5.75" customHeight="1">
      <c r="A50" s="59">
        <v>20401.0</v>
      </c>
      <c r="B50" s="63" t="s">
        <v>83</v>
      </c>
      <c r="C50" s="60">
        <v>0.16360691144708422</v>
      </c>
      <c r="D50" s="61" t="str">
        <f t="shared" si="1"/>
        <v>Rojo</v>
      </c>
      <c r="E50" s="60">
        <v>0.5028641186965912</v>
      </c>
      <c r="F50" s="61" t="str">
        <f t="shared" si="2"/>
        <v>Naranja</v>
      </c>
      <c r="G50" s="56"/>
      <c r="H50" s="56"/>
      <c r="I50" s="56"/>
      <c r="J50" s="56"/>
      <c r="K50" s="62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5.75" customHeight="1">
      <c r="A51" s="59">
        <v>20402.0</v>
      </c>
      <c r="B51" s="63" t="s">
        <v>84</v>
      </c>
      <c r="C51" s="60">
        <v>0.13012714206744058</v>
      </c>
      <c r="D51" s="61" t="str">
        <f t="shared" si="1"/>
        <v>Rojo</v>
      </c>
      <c r="E51" s="60">
        <v>0.5308987317324405</v>
      </c>
      <c r="F51" s="61" t="str">
        <f t="shared" si="2"/>
        <v>Naranja</v>
      </c>
      <c r="G51" s="56"/>
      <c r="H51" s="56"/>
      <c r="I51" s="56"/>
      <c r="J51" s="56"/>
      <c r="K51" s="62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5.75" customHeight="1">
      <c r="A52" s="59">
        <v>20403.0</v>
      </c>
      <c r="B52" s="63" t="s">
        <v>85</v>
      </c>
      <c r="C52" s="60">
        <v>0.06215538847117795</v>
      </c>
      <c r="D52" s="61" t="str">
        <f t="shared" si="1"/>
        <v>Rojo</v>
      </c>
      <c r="E52" s="60">
        <v>0.46831335563080373</v>
      </c>
      <c r="F52" s="61" t="str">
        <f t="shared" si="2"/>
        <v>Rojo</v>
      </c>
      <c r="G52" s="56"/>
      <c r="H52" s="56"/>
      <c r="I52" s="56"/>
      <c r="J52" s="56"/>
      <c r="K52" s="62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5.75" customHeight="1">
      <c r="A53" s="59">
        <v>20404.0</v>
      </c>
      <c r="B53" s="63" t="s">
        <v>86</v>
      </c>
      <c r="C53" s="60">
        <v>0.04028005877776817</v>
      </c>
      <c r="D53" s="61" t="str">
        <f t="shared" si="1"/>
        <v>Rojo</v>
      </c>
      <c r="E53" s="60">
        <v>0.4808818781421521</v>
      </c>
      <c r="F53" s="61" t="str">
        <f t="shared" si="2"/>
        <v>Rojo</v>
      </c>
      <c r="G53" s="56"/>
      <c r="H53" s="56"/>
      <c r="I53" s="56"/>
      <c r="J53" s="56"/>
      <c r="K53" s="62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5.75" customHeight="1">
      <c r="A54" s="59">
        <v>20405.0</v>
      </c>
      <c r="B54" s="63" t="s">
        <v>87</v>
      </c>
      <c r="C54" s="60">
        <v>0.16266666666666665</v>
      </c>
      <c r="D54" s="61" t="str">
        <f t="shared" si="1"/>
        <v>Rojo</v>
      </c>
      <c r="E54" s="60">
        <v>0.4694397283531409</v>
      </c>
      <c r="F54" s="61" t="str">
        <f t="shared" si="2"/>
        <v>Rojo</v>
      </c>
      <c r="G54" s="56"/>
      <c r="H54" s="56"/>
      <c r="I54" s="56"/>
      <c r="J54" s="56"/>
      <c r="K54" s="62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5.75" customHeight="1">
      <c r="A55" s="59">
        <v>20501.0</v>
      </c>
      <c r="B55" s="63" t="s">
        <v>88</v>
      </c>
      <c r="C55" s="60">
        <v>0.14199486045538756</v>
      </c>
      <c r="D55" s="61" t="str">
        <f t="shared" si="1"/>
        <v>Rojo</v>
      </c>
      <c r="E55" s="60">
        <v>0.6637158548923255</v>
      </c>
      <c r="F55" s="61" t="str">
        <f t="shared" si="2"/>
        <v>Naranja</v>
      </c>
      <c r="G55" s="56"/>
      <c r="H55" s="56"/>
      <c r="I55" s="56"/>
      <c r="J55" s="56"/>
      <c r="K55" s="62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5.75" customHeight="1">
      <c r="A56" s="59">
        <v>20502.0</v>
      </c>
      <c r="B56" s="63" t="s">
        <v>89</v>
      </c>
      <c r="C56" s="60">
        <v>0.07056782030270896</v>
      </c>
      <c r="D56" s="61" t="str">
        <f t="shared" si="1"/>
        <v>Rojo</v>
      </c>
      <c r="E56" s="60">
        <v>0.6450248899652117</v>
      </c>
      <c r="F56" s="61" t="str">
        <f t="shared" si="2"/>
        <v>Naranja</v>
      </c>
      <c r="G56" s="56"/>
      <c r="H56" s="56"/>
      <c r="I56" s="56"/>
      <c r="J56" s="56"/>
      <c r="K56" s="62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5.75" customHeight="1">
      <c r="A57" s="59">
        <v>20503.0</v>
      </c>
      <c r="B57" s="63" t="s">
        <v>90</v>
      </c>
      <c r="C57" s="60">
        <v>0.09703861453771045</v>
      </c>
      <c r="D57" s="61" t="str">
        <f t="shared" si="1"/>
        <v>Rojo</v>
      </c>
      <c r="E57" s="60">
        <v>0.275983606557377</v>
      </c>
      <c r="F57" s="61" t="str">
        <f t="shared" si="2"/>
        <v>Rojo</v>
      </c>
      <c r="G57" s="56"/>
      <c r="H57" s="56"/>
      <c r="I57" s="56"/>
      <c r="J57" s="56"/>
      <c r="K57" s="62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5.75" customHeight="1">
      <c r="A58" s="59">
        <v>20601.0</v>
      </c>
      <c r="B58" s="63" t="s">
        <v>91</v>
      </c>
      <c r="C58" s="60">
        <v>0.08105833956619297</v>
      </c>
      <c r="D58" s="61" t="str">
        <f t="shared" si="1"/>
        <v>Rojo</v>
      </c>
      <c r="E58" s="60">
        <v>0.3134352605460559</v>
      </c>
      <c r="F58" s="61" t="str">
        <f t="shared" si="2"/>
        <v>Rojo</v>
      </c>
      <c r="G58" s="56"/>
      <c r="H58" s="56"/>
      <c r="I58" s="56"/>
      <c r="J58" s="56"/>
      <c r="K58" s="62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5.75" customHeight="1">
      <c r="A59" s="59">
        <v>20602.0</v>
      </c>
      <c r="B59" s="63" t="s">
        <v>92</v>
      </c>
      <c r="C59" s="60">
        <v>0.054325821450023355</v>
      </c>
      <c r="D59" s="61" t="str">
        <f t="shared" si="1"/>
        <v>Rojo</v>
      </c>
      <c r="E59" s="60">
        <v>0.1590310801630435</v>
      </c>
      <c r="F59" s="61" t="str">
        <f t="shared" si="2"/>
        <v>Rojo</v>
      </c>
      <c r="G59" s="56"/>
      <c r="H59" s="56"/>
      <c r="I59" s="56"/>
      <c r="J59" s="56"/>
      <c r="K59" s="62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5.75" customHeight="1">
      <c r="A60" s="59">
        <v>20603.0</v>
      </c>
      <c r="B60" s="63" t="s">
        <v>93</v>
      </c>
      <c r="C60" s="60">
        <v>0.035366344605475046</v>
      </c>
      <c r="D60" s="61" t="str">
        <f t="shared" si="1"/>
        <v>Rojo</v>
      </c>
      <c r="E60" s="60">
        <v>0.28927142221939905</v>
      </c>
      <c r="F60" s="61" t="str">
        <f t="shared" si="2"/>
        <v>Rojo</v>
      </c>
      <c r="G60" s="56"/>
      <c r="H60" s="56"/>
      <c r="I60" s="56"/>
      <c r="J60" s="56"/>
      <c r="K60" s="62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5.75" customHeight="1">
      <c r="A61" s="59">
        <v>20604.0</v>
      </c>
      <c r="B61" s="63" t="s">
        <v>94</v>
      </c>
      <c r="C61" s="60">
        <v>0.045892857142857145</v>
      </c>
      <c r="D61" s="61" t="str">
        <f t="shared" si="1"/>
        <v>Rojo</v>
      </c>
      <c r="E61" s="60">
        <v>0.3515482695810565</v>
      </c>
      <c r="F61" s="61" t="str">
        <f t="shared" si="2"/>
        <v>Rojo</v>
      </c>
      <c r="G61" s="56"/>
      <c r="H61" s="56"/>
      <c r="I61" s="56"/>
      <c r="J61" s="56"/>
      <c r="K61" s="62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5.75" customHeight="1">
      <c r="A62" s="59">
        <v>20605.0</v>
      </c>
      <c r="B62" s="63" t="s">
        <v>95</v>
      </c>
      <c r="C62" s="60">
        <v>0.0</v>
      </c>
      <c r="D62" s="61" t="str">
        <f t="shared" si="1"/>
        <v>Rojo</v>
      </c>
      <c r="E62" s="60">
        <v>0.17176015473887815</v>
      </c>
      <c r="F62" s="61" t="str">
        <f t="shared" si="2"/>
        <v>Rojo</v>
      </c>
      <c r="G62" s="56"/>
      <c r="H62" s="56"/>
      <c r="I62" s="56"/>
      <c r="J62" s="56"/>
      <c r="K62" s="62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5.75" customHeight="1">
      <c r="A63" s="59">
        <v>20606.0</v>
      </c>
      <c r="B63" s="63" t="s">
        <v>96</v>
      </c>
      <c r="C63" s="60">
        <v>0.06793030322905053</v>
      </c>
      <c r="D63" s="61" t="str">
        <f t="shared" si="1"/>
        <v>Rojo</v>
      </c>
      <c r="E63" s="60">
        <v>0.133176456570952</v>
      </c>
      <c r="F63" s="61" t="str">
        <f t="shared" si="2"/>
        <v>Rojo</v>
      </c>
      <c r="G63" s="56"/>
      <c r="H63" s="56"/>
      <c r="I63" s="56"/>
      <c r="J63" s="56"/>
      <c r="K63" s="62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5.75" customHeight="1">
      <c r="A64" s="59">
        <v>20607.0</v>
      </c>
      <c r="B64" s="63" t="s">
        <v>97</v>
      </c>
      <c r="C64" s="60">
        <v>0.03198450381499066</v>
      </c>
      <c r="D64" s="61" t="str">
        <f t="shared" si="1"/>
        <v>Rojo</v>
      </c>
      <c r="E64" s="60">
        <v>0.1692922989124682</v>
      </c>
      <c r="F64" s="61" t="str">
        <f t="shared" si="2"/>
        <v>Rojo</v>
      </c>
      <c r="G64" s="56"/>
      <c r="H64" s="56"/>
      <c r="I64" s="56"/>
      <c r="J64" s="56"/>
      <c r="K64" s="62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5.75" customHeight="1">
      <c r="A65" s="59">
        <v>20608.0</v>
      </c>
      <c r="B65" s="63" t="s">
        <v>98</v>
      </c>
      <c r="C65" s="60">
        <v>0.04077917883827782</v>
      </c>
      <c r="D65" s="61" t="str">
        <f t="shared" si="1"/>
        <v>Rojo</v>
      </c>
      <c r="E65" s="60">
        <v>0.21951579880532748</v>
      </c>
      <c r="F65" s="61" t="str">
        <f t="shared" si="2"/>
        <v>Rojo</v>
      </c>
      <c r="G65" s="56"/>
      <c r="H65" s="56"/>
      <c r="I65" s="56"/>
      <c r="J65" s="56"/>
      <c r="K65" s="62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ht="15.75" customHeight="1">
      <c r="A66" s="59">
        <v>20701.0</v>
      </c>
      <c r="B66" s="63" t="s">
        <v>99</v>
      </c>
      <c r="C66" s="60">
        <v>0.08452511917858452</v>
      </c>
      <c r="D66" s="61" t="str">
        <f t="shared" si="1"/>
        <v>Rojo</v>
      </c>
      <c r="E66" s="60">
        <v>0.34112466843501327</v>
      </c>
      <c r="F66" s="61" t="str">
        <f t="shared" si="2"/>
        <v>Rojo</v>
      </c>
      <c r="G66" s="56"/>
      <c r="H66" s="56"/>
      <c r="I66" s="56"/>
      <c r="J66" s="56"/>
      <c r="K66" s="62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ht="15.75" customHeight="1">
      <c r="A67" s="59">
        <v>20702.0</v>
      </c>
      <c r="B67" s="63" t="s">
        <v>100</v>
      </c>
      <c r="C67" s="60">
        <v>0.044781414994720166</v>
      </c>
      <c r="D67" s="61" t="str">
        <f t="shared" si="1"/>
        <v>Rojo</v>
      </c>
      <c r="E67" s="60">
        <v>0.26530988812727657</v>
      </c>
      <c r="F67" s="61" t="str">
        <f t="shared" si="2"/>
        <v>Rojo</v>
      </c>
      <c r="G67" s="56"/>
      <c r="H67" s="56"/>
      <c r="I67" s="56"/>
      <c r="J67" s="56"/>
      <c r="K67" s="62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ht="15.75" customHeight="1">
      <c r="A68" s="59">
        <v>20801.0</v>
      </c>
      <c r="B68" s="63" t="s">
        <v>101</v>
      </c>
      <c r="C68" s="60">
        <v>0.09108210758447605</v>
      </c>
      <c r="D68" s="61" t="str">
        <f t="shared" si="1"/>
        <v>Rojo</v>
      </c>
      <c r="E68" s="60">
        <v>0.34148326041851357</v>
      </c>
      <c r="F68" s="61" t="str">
        <f t="shared" si="2"/>
        <v>Rojo</v>
      </c>
      <c r="G68" s="56"/>
      <c r="H68" s="56"/>
      <c r="I68" s="56"/>
      <c r="J68" s="56"/>
      <c r="K68" s="62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5.75" customHeight="1">
      <c r="A69" s="59">
        <v>20802.0</v>
      </c>
      <c r="B69" s="63" t="s">
        <v>398</v>
      </c>
      <c r="C69" s="60">
        <v>0.17760487144790255</v>
      </c>
      <c r="D69" s="61" t="str">
        <f t="shared" si="1"/>
        <v>Rojo</v>
      </c>
      <c r="E69" s="60">
        <v>0.3948961937716263</v>
      </c>
      <c r="F69" s="61" t="str">
        <f t="shared" si="2"/>
        <v>Rojo</v>
      </c>
      <c r="G69" s="56"/>
      <c r="H69" s="56"/>
      <c r="I69" s="56"/>
      <c r="J69" s="56"/>
      <c r="K69" s="62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ht="15.75" customHeight="1">
      <c r="A70" s="59">
        <v>20803.0</v>
      </c>
      <c r="B70" s="63" t="s">
        <v>103</v>
      </c>
      <c r="C70" s="60">
        <v>0.18628115890296865</v>
      </c>
      <c r="D70" s="61" t="str">
        <f t="shared" si="1"/>
        <v>Rojo</v>
      </c>
      <c r="E70" s="60">
        <v>0.5524418016194332</v>
      </c>
      <c r="F70" s="61" t="str">
        <f t="shared" si="2"/>
        <v>Naranja</v>
      </c>
      <c r="G70" s="56"/>
      <c r="H70" s="56"/>
      <c r="I70" s="56"/>
      <c r="J70" s="56"/>
      <c r="K70" s="62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ht="15.75" customHeight="1">
      <c r="A71" s="59">
        <v>20804.0</v>
      </c>
      <c r="B71" s="63" t="s">
        <v>104</v>
      </c>
      <c r="C71" s="60">
        <v>0.09472640105802611</v>
      </c>
      <c r="D71" s="61" t="str">
        <f t="shared" si="1"/>
        <v>Rojo</v>
      </c>
      <c r="E71" s="60">
        <v>0.43295815522177344</v>
      </c>
      <c r="F71" s="61" t="str">
        <f t="shared" si="2"/>
        <v>Rojo</v>
      </c>
      <c r="G71" s="56"/>
      <c r="H71" s="56"/>
      <c r="I71" s="56"/>
      <c r="J71" s="56"/>
      <c r="K71" s="62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5.75" customHeight="1">
      <c r="A72" s="59">
        <v>20805.0</v>
      </c>
      <c r="B72" s="63" t="s">
        <v>399</v>
      </c>
      <c r="C72" s="60">
        <v>0.49537070788073195</v>
      </c>
      <c r="D72" s="61" t="str">
        <f t="shared" si="1"/>
        <v>Rojo</v>
      </c>
      <c r="E72" s="60">
        <v>0.41692938209331654</v>
      </c>
      <c r="F72" s="61" t="str">
        <f t="shared" si="2"/>
        <v>Rojo</v>
      </c>
      <c r="G72" s="56"/>
      <c r="H72" s="56"/>
      <c r="I72" s="56"/>
      <c r="J72" s="56"/>
      <c r="K72" s="62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ht="15.75" customHeight="1">
      <c r="A73" s="59">
        <v>20806.0</v>
      </c>
      <c r="B73" s="63" t="s">
        <v>400</v>
      </c>
      <c r="C73" s="60">
        <v>0.10620161101118325</v>
      </c>
      <c r="D73" s="61" t="str">
        <f t="shared" si="1"/>
        <v>Rojo</v>
      </c>
      <c r="E73" s="60">
        <v>0.5166206020766415</v>
      </c>
      <c r="F73" s="61" t="str">
        <f t="shared" si="2"/>
        <v>Naranja</v>
      </c>
      <c r="G73" s="56"/>
      <c r="H73" s="56"/>
      <c r="I73" s="56"/>
      <c r="J73" s="56"/>
      <c r="K73" s="62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ht="15.75" customHeight="1">
      <c r="A74" s="59">
        <v>20807.0</v>
      </c>
      <c r="B74" s="63" t="s">
        <v>107</v>
      </c>
      <c r="C74" s="60">
        <v>0.3502008032128514</v>
      </c>
      <c r="D74" s="61" t="str">
        <f t="shared" si="1"/>
        <v>Rojo</v>
      </c>
      <c r="E74" s="60">
        <v>0.5041284403669725</v>
      </c>
      <c r="F74" s="61" t="str">
        <f t="shared" si="2"/>
        <v>Naranja</v>
      </c>
      <c r="G74" s="56"/>
      <c r="H74" s="56"/>
      <c r="I74" s="56"/>
      <c r="J74" s="56"/>
      <c r="K74" s="62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5.75" customHeight="1">
      <c r="A75" s="59">
        <v>20901.0</v>
      </c>
      <c r="B75" s="63" t="s">
        <v>108</v>
      </c>
      <c r="C75" s="60">
        <v>0.06712564543889844</v>
      </c>
      <c r="D75" s="61" t="str">
        <f t="shared" si="1"/>
        <v>Rojo</v>
      </c>
      <c r="E75" s="60">
        <v>0.3249186167925803</v>
      </c>
      <c r="F75" s="61" t="str">
        <f t="shared" si="2"/>
        <v>Rojo</v>
      </c>
      <c r="G75" s="56"/>
      <c r="H75" s="56"/>
      <c r="I75" s="56"/>
      <c r="J75" s="56"/>
      <c r="K75" s="62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ht="15.75" customHeight="1">
      <c r="A76" s="59">
        <v>20902.0</v>
      </c>
      <c r="B76" s="63" t="s">
        <v>109</v>
      </c>
      <c r="C76" s="60">
        <v>0.05370673005496954</v>
      </c>
      <c r="D76" s="61" t="str">
        <f t="shared" si="1"/>
        <v>Rojo</v>
      </c>
      <c r="E76" s="60">
        <v>0.47660963215068297</v>
      </c>
      <c r="F76" s="61" t="str">
        <f t="shared" si="2"/>
        <v>Rojo</v>
      </c>
      <c r="G76" s="56"/>
      <c r="H76" s="56"/>
      <c r="I76" s="56"/>
      <c r="J76" s="56"/>
      <c r="K76" s="62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ht="15.75" customHeight="1">
      <c r="A77" s="59">
        <v>20903.0</v>
      </c>
      <c r="B77" s="63" t="s">
        <v>110</v>
      </c>
      <c r="C77" s="60">
        <v>0.09596259124087593</v>
      </c>
      <c r="D77" s="61" t="str">
        <f t="shared" si="1"/>
        <v>Rojo</v>
      </c>
      <c r="E77" s="60">
        <v>0.5086408808007715</v>
      </c>
      <c r="F77" s="61" t="str">
        <f t="shared" si="2"/>
        <v>Naranja</v>
      </c>
      <c r="G77" s="56"/>
      <c r="H77" s="56"/>
      <c r="I77" s="56"/>
      <c r="J77" s="56"/>
      <c r="K77" s="62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ht="15.75" customHeight="1">
      <c r="A78" s="59">
        <v>20904.0</v>
      </c>
      <c r="B78" s="63" t="s">
        <v>111</v>
      </c>
      <c r="C78" s="60">
        <v>0.03614543726235741</v>
      </c>
      <c r="D78" s="61" t="str">
        <f t="shared" si="1"/>
        <v>Rojo</v>
      </c>
      <c r="E78" s="60">
        <v>0.3162207143771604</v>
      </c>
      <c r="F78" s="61" t="str">
        <f t="shared" si="2"/>
        <v>Rojo</v>
      </c>
      <c r="G78" s="56"/>
      <c r="H78" s="56"/>
      <c r="I78" s="56"/>
      <c r="J78" s="56"/>
      <c r="K78" s="62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ht="15.75" customHeight="1">
      <c r="A79" s="59">
        <v>20905.0</v>
      </c>
      <c r="B79" s="63" t="s">
        <v>112</v>
      </c>
      <c r="C79" s="60">
        <v>0.029841864893411285</v>
      </c>
      <c r="D79" s="61" t="str">
        <f t="shared" si="1"/>
        <v>Rojo</v>
      </c>
      <c r="E79" s="60">
        <v>0.22651196028283435</v>
      </c>
      <c r="F79" s="61" t="str">
        <f t="shared" si="2"/>
        <v>Rojo</v>
      </c>
      <c r="G79" s="56"/>
      <c r="H79" s="56"/>
      <c r="I79" s="56"/>
      <c r="J79" s="56"/>
      <c r="K79" s="62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ht="15.75" customHeight="1">
      <c r="A80" s="59">
        <v>21001.0</v>
      </c>
      <c r="B80" s="63" t="s">
        <v>113</v>
      </c>
      <c r="C80" s="60">
        <v>0.025796429454061878</v>
      </c>
      <c r="D80" s="61" t="str">
        <f t="shared" si="1"/>
        <v>Rojo</v>
      </c>
      <c r="E80" s="60">
        <v>0.314257231614347</v>
      </c>
      <c r="F80" s="61" t="str">
        <f t="shared" si="2"/>
        <v>Rojo</v>
      </c>
      <c r="G80" s="56"/>
      <c r="H80" s="56"/>
      <c r="I80" s="56"/>
      <c r="J80" s="56"/>
      <c r="K80" s="62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ht="15.75" customHeight="1">
      <c r="A81" s="59">
        <v>21002.0</v>
      </c>
      <c r="B81" s="63" t="s">
        <v>114</v>
      </c>
      <c r="C81" s="60">
        <v>0.03741717552293102</v>
      </c>
      <c r="D81" s="61" t="str">
        <f t="shared" si="1"/>
        <v>Rojo</v>
      </c>
      <c r="E81" s="60">
        <v>0.10506122836439578</v>
      </c>
      <c r="F81" s="61" t="str">
        <f t="shared" si="2"/>
        <v>Rojo</v>
      </c>
      <c r="G81" s="56"/>
      <c r="H81" s="56"/>
      <c r="I81" s="56"/>
      <c r="J81" s="56"/>
      <c r="K81" s="62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ht="15.75" customHeight="1">
      <c r="A82" s="59">
        <v>21003.0</v>
      </c>
      <c r="B82" s="63" t="s">
        <v>115</v>
      </c>
      <c r="C82" s="60">
        <v>0.05141541378843289</v>
      </c>
      <c r="D82" s="61" t="str">
        <f t="shared" si="1"/>
        <v>Rojo</v>
      </c>
      <c r="E82" s="60">
        <v>0.26072476525821603</v>
      </c>
      <c r="F82" s="61" t="str">
        <f t="shared" si="2"/>
        <v>Rojo</v>
      </c>
      <c r="G82" s="56"/>
      <c r="H82" s="56"/>
      <c r="I82" s="56"/>
      <c r="J82" s="56"/>
      <c r="K82" s="62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15.75" customHeight="1">
      <c r="A83" s="59">
        <v>21004.0</v>
      </c>
      <c r="B83" s="63" t="s">
        <v>116</v>
      </c>
      <c r="C83" s="60">
        <v>0.017784800551362435</v>
      </c>
      <c r="D83" s="61" t="str">
        <f t="shared" si="1"/>
        <v>Rojo</v>
      </c>
      <c r="E83" s="60">
        <v>0.20513420724094886</v>
      </c>
      <c r="F83" s="61" t="str">
        <f t="shared" si="2"/>
        <v>Rojo</v>
      </c>
      <c r="G83" s="56"/>
      <c r="H83" s="56"/>
      <c r="I83" s="56"/>
      <c r="J83" s="56"/>
      <c r="K83" s="62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ht="15.75" customHeight="1">
      <c r="A84" s="59">
        <v>21005.0</v>
      </c>
      <c r="B84" s="63" t="s">
        <v>117</v>
      </c>
      <c r="C84" s="60">
        <v>0.023528604746878855</v>
      </c>
      <c r="D84" s="61" t="str">
        <f t="shared" si="1"/>
        <v>Rojo</v>
      </c>
      <c r="E84" s="60">
        <v>0.3834691834691835</v>
      </c>
      <c r="F84" s="61" t="str">
        <f t="shared" si="2"/>
        <v>Rojo</v>
      </c>
      <c r="G84" s="56"/>
      <c r="H84" s="56"/>
      <c r="I84" s="56"/>
      <c r="J84" s="56"/>
      <c r="K84" s="62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ht="15.75" customHeight="1">
      <c r="A85" s="59">
        <v>21006.0</v>
      </c>
      <c r="B85" s="63" t="s">
        <v>118</v>
      </c>
      <c r="C85" s="60">
        <v>0.07255234861346915</v>
      </c>
      <c r="D85" s="61" t="str">
        <f t="shared" si="1"/>
        <v>Rojo</v>
      </c>
      <c r="E85" s="60">
        <v>0.324256035934868</v>
      </c>
      <c r="F85" s="61" t="str">
        <f t="shared" si="2"/>
        <v>Rojo</v>
      </c>
      <c r="G85" s="56"/>
      <c r="H85" s="56"/>
      <c r="I85" s="56"/>
      <c r="J85" s="56"/>
      <c r="K85" s="62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15.75" customHeight="1">
      <c r="A86" s="59">
        <v>21101.0</v>
      </c>
      <c r="B86" s="63" t="s">
        <v>119</v>
      </c>
      <c r="C86" s="60">
        <v>0.22258273848150553</v>
      </c>
      <c r="D86" s="61" t="str">
        <f t="shared" si="1"/>
        <v>Rojo</v>
      </c>
      <c r="E86" s="60">
        <v>0.6141482499735645</v>
      </c>
      <c r="F86" s="61" t="str">
        <f t="shared" si="2"/>
        <v>Naranja</v>
      </c>
      <c r="G86" s="56"/>
      <c r="H86" s="56"/>
      <c r="I86" s="56"/>
      <c r="J86" s="56"/>
      <c r="K86" s="62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ht="15.75" customHeight="1">
      <c r="A87" s="59">
        <v>21102.0</v>
      </c>
      <c r="B87" s="63" t="s">
        <v>120</v>
      </c>
      <c r="C87" s="60">
        <v>0.04188905764084762</v>
      </c>
      <c r="D87" s="61" t="str">
        <f t="shared" si="1"/>
        <v>Rojo</v>
      </c>
      <c r="E87" s="60">
        <v>0.2931629834254144</v>
      </c>
      <c r="F87" s="61" t="str">
        <f t="shared" si="2"/>
        <v>Rojo</v>
      </c>
      <c r="G87" s="56"/>
      <c r="H87" s="56"/>
      <c r="I87" s="56"/>
      <c r="J87" s="56"/>
      <c r="K87" s="62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ht="15.75" customHeight="1">
      <c r="A88" s="59">
        <v>21103.0</v>
      </c>
      <c r="B88" s="63" t="s">
        <v>121</v>
      </c>
      <c r="C88" s="60">
        <v>0.050484652665589665</v>
      </c>
      <c r="D88" s="61" t="str">
        <f t="shared" si="1"/>
        <v>Rojo</v>
      </c>
      <c r="E88" s="60">
        <v>0.5109238226144831</v>
      </c>
      <c r="F88" s="61" t="str">
        <f t="shared" si="2"/>
        <v>Naranja</v>
      </c>
      <c r="G88" s="56"/>
      <c r="H88" s="56"/>
      <c r="I88" s="56"/>
      <c r="J88" s="56"/>
      <c r="K88" s="62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ht="15.75" customHeight="1">
      <c r="A89" s="59">
        <v>21104.0</v>
      </c>
      <c r="B89" s="63" t="s">
        <v>122</v>
      </c>
      <c r="C89" s="60">
        <v>0.05000497295477672</v>
      </c>
      <c r="D89" s="61" t="str">
        <f t="shared" si="1"/>
        <v>Rojo</v>
      </c>
      <c r="E89" s="60">
        <v>0.2078177293400841</v>
      </c>
      <c r="F89" s="61" t="str">
        <f t="shared" si="2"/>
        <v>Rojo</v>
      </c>
      <c r="G89" s="56"/>
      <c r="H89" s="56"/>
      <c r="I89" s="56"/>
      <c r="J89" s="56"/>
      <c r="K89" s="62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ht="15.75" customHeight="1">
      <c r="A90" s="59">
        <v>21105.0</v>
      </c>
      <c r="B90" s="63" t="s">
        <v>123</v>
      </c>
      <c r="C90" s="60">
        <v>0.14738765438503768</v>
      </c>
      <c r="D90" s="61" t="str">
        <f t="shared" si="1"/>
        <v>Rojo</v>
      </c>
      <c r="E90" s="60">
        <v>0.4536733040549184</v>
      </c>
      <c r="F90" s="61" t="str">
        <f t="shared" si="2"/>
        <v>Rojo</v>
      </c>
      <c r="G90" s="56"/>
      <c r="H90" s="56"/>
      <c r="I90" s="56"/>
      <c r="J90" s="56"/>
      <c r="K90" s="62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ht="15.75" customHeight="1">
      <c r="A91" s="59">
        <v>21201.0</v>
      </c>
      <c r="B91" s="63" t="s">
        <v>124</v>
      </c>
      <c r="C91" s="60">
        <v>0.08954160527210608</v>
      </c>
      <c r="D91" s="61" t="str">
        <f t="shared" si="1"/>
        <v>Rojo</v>
      </c>
      <c r="E91" s="60">
        <v>0.32069895536562204</v>
      </c>
      <c r="F91" s="61" t="str">
        <f t="shared" si="2"/>
        <v>Rojo</v>
      </c>
      <c r="G91" s="56"/>
      <c r="H91" s="56"/>
      <c r="I91" s="56"/>
      <c r="J91" s="56"/>
      <c r="K91" s="62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ht="15.75" customHeight="1">
      <c r="A92" s="59">
        <v>21202.0</v>
      </c>
      <c r="B92" s="63" t="s">
        <v>125</v>
      </c>
      <c r="C92" s="60">
        <v>0.08784688995215309</v>
      </c>
      <c r="D92" s="61" t="str">
        <f t="shared" si="1"/>
        <v>Rojo</v>
      </c>
      <c r="E92" s="60">
        <v>0.5187628865979381</v>
      </c>
      <c r="F92" s="61" t="str">
        <f t="shared" si="2"/>
        <v>Naranja</v>
      </c>
      <c r="G92" s="56"/>
      <c r="H92" s="56"/>
      <c r="I92" s="56"/>
      <c r="J92" s="56"/>
      <c r="K92" s="62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ht="15.75" customHeight="1">
      <c r="A93" s="59">
        <v>21203.0</v>
      </c>
      <c r="B93" s="63" t="s">
        <v>126</v>
      </c>
      <c r="C93" s="60">
        <v>0.11236311526835112</v>
      </c>
      <c r="D93" s="61" t="str">
        <f t="shared" si="1"/>
        <v>Rojo</v>
      </c>
      <c r="E93" s="60">
        <v>0.4751160234489497</v>
      </c>
      <c r="F93" s="61" t="str">
        <f t="shared" si="2"/>
        <v>Rojo</v>
      </c>
      <c r="G93" s="56"/>
      <c r="H93" s="56"/>
      <c r="I93" s="56"/>
      <c r="J93" s="56"/>
      <c r="K93" s="62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ht="15.75" customHeight="1">
      <c r="A94" s="59">
        <v>21204.0</v>
      </c>
      <c r="B94" s="63" t="s">
        <v>127</v>
      </c>
      <c r="C94" s="60">
        <v>0.06698219156104604</v>
      </c>
      <c r="D94" s="61" t="str">
        <f t="shared" si="1"/>
        <v>Rojo</v>
      </c>
      <c r="E94" s="60">
        <v>0.3688647997591087</v>
      </c>
      <c r="F94" s="61" t="str">
        <f t="shared" si="2"/>
        <v>Rojo</v>
      </c>
      <c r="G94" s="56"/>
      <c r="H94" s="56"/>
      <c r="I94" s="56"/>
      <c r="J94" s="56"/>
      <c r="K94" s="62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ht="15.75" customHeight="1">
      <c r="A95" s="59">
        <v>21301.0</v>
      </c>
      <c r="B95" s="63" t="s">
        <v>401</v>
      </c>
      <c r="C95" s="60">
        <v>0.07381158167675023</v>
      </c>
      <c r="D95" s="61" t="str">
        <f t="shared" si="1"/>
        <v>Rojo</v>
      </c>
      <c r="E95" s="60">
        <v>0.4362712539851223</v>
      </c>
      <c r="F95" s="61" t="str">
        <f t="shared" si="2"/>
        <v>Rojo</v>
      </c>
      <c r="G95" s="56"/>
      <c r="H95" s="56"/>
      <c r="I95" s="56"/>
      <c r="J95" s="56"/>
      <c r="K95" s="62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ht="15.75" customHeight="1">
      <c r="A96" s="59">
        <v>21302.0</v>
      </c>
      <c r="B96" s="63" t="s">
        <v>129</v>
      </c>
      <c r="C96" s="60">
        <v>0.13093591516828032</v>
      </c>
      <c r="D96" s="61" t="str">
        <f t="shared" si="1"/>
        <v>Rojo</v>
      </c>
      <c r="E96" s="60">
        <v>0.328002052685597</v>
      </c>
      <c r="F96" s="61" t="str">
        <f t="shared" si="2"/>
        <v>Rojo</v>
      </c>
      <c r="G96" s="56"/>
      <c r="H96" s="56"/>
      <c r="I96" s="56"/>
      <c r="J96" s="56"/>
      <c r="K96" s="62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ht="15.75" customHeight="1">
      <c r="A97" s="59">
        <v>21303.0</v>
      </c>
      <c r="B97" s="63" t="s">
        <v>130</v>
      </c>
      <c r="C97" s="60">
        <v>0.10461223364449171</v>
      </c>
      <c r="D97" s="61" t="str">
        <f t="shared" si="1"/>
        <v>Rojo</v>
      </c>
      <c r="E97" s="60">
        <v>0.2926103156049094</v>
      </c>
      <c r="F97" s="61" t="str">
        <f t="shared" si="2"/>
        <v>Rojo</v>
      </c>
      <c r="G97" s="56"/>
      <c r="H97" s="56"/>
      <c r="I97" s="56"/>
      <c r="J97" s="56"/>
      <c r="K97" s="62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ht="15.75" customHeight="1">
      <c r="A98" s="59">
        <v>21304.0</v>
      </c>
      <c r="B98" s="63" t="s">
        <v>131</v>
      </c>
      <c r="C98" s="60">
        <v>0.1371335416751221</v>
      </c>
      <c r="D98" s="61" t="str">
        <f t="shared" si="1"/>
        <v>Rojo</v>
      </c>
      <c r="E98" s="60">
        <v>0.2819441807480539</v>
      </c>
      <c r="F98" s="61" t="str">
        <f t="shared" si="2"/>
        <v>Rojo</v>
      </c>
      <c r="G98" s="56"/>
      <c r="H98" s="56"/>
      <c r="I98" s="56"/>
      <c r="J98" s="56"/>
      <c r="K98" s="62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ht="15.75" customHeight="1">
      <c r="A99" s="59">
        <v>21305.0</v>
      </c>
      <c r="B99" s="63" t="s">
        <v>132</v>
      </c>
      <c r="C99" s="60">
        <v>0.11439753210088786</v>
      </c>
      <c r="D99" s="61" t="str">
        <f t="shared" si="1"/>
        <v>Rojo</v>
      </c>
      <c r="E99" s="60">
        <v>0.35252607256604007</v>
      </c>
      <c r="F99" s="61" t="str">
        <f t="shared" si="2"/>
        <v>Rojo</v>
      </c>
      <c r="G99" s="56"/>
      <c r="H99" s="56"/>
      <c r="I99" s="56"/>
      <c r="J99" s="56"/>
      <c r="K99" s="62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ht="15.75" customHeight="1">
      <c r="A100" s="59">
        <v>21306.0</v>
      </c>
      <c r="B100" s="63" t="s">
        <v>133</v>
      </c>
      <c r="C100" s="60">
        <v>0.11082251082251082</v>
      </c>
      <c r="D100" s="61" t="str">
        <f t="shared" si="1"/>
        <v>Rojo</v>
      </c>
      <c r="E100" s="60">
        <v>0.36672063508643654</v>
      </c>
      <c r="F100" s="61" t="str">
        <f t="shared" si="2"/>
        <v>Rojo</v>
      </c>
      <c r="G100" s="56"/>
      <c r="H100" s="56"/>
      <c r="I100" s="56"/>
      <c r="J100" s="56"/>
      <c r="K100" s="62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5.75" customHeight="1">
      <c r="A101" s="59">
        <v>21307.0</v>
      </c>
      <c r="B101" s="63" t="s">
        <v>134</v>
      </c>
      <c r="C101" s="60">
        <v>0.19127306195874993</v>
      </c>
      <c r="D101" s="61" t="str">
        <f t="shared" si="1"/>
        <v>Rojo</v>
      </c>
      <c r="E101" s="60">
        <v>0.38084415584415576</v>
      </c>
      <c r="F101" s="61" t="str">
        <f t="shared" si="2"/>
        <v>Rojo</v>
      </c>
      <c r="G101" s="56"/>
      <c r="H101" s="56"/>
      <c r="I101" s="56"/>
      <c r="J101" s="56"/>
      <c r="K101" s="62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ht="15.75" customHeight="1">
      <c r="A102" s="59">
        <v>21401.0</v>
      </c>
      <c r="B102" s="63" t="s">
        <v>135</v>
      </c>
      <c r="C102" s="60">
        <v>0.0981008836132972</v>
      </c>
      <c r="D102" s="61" t="str">
        <f t="shared" si="1"/>
        <v>Rojo</v>
      </c>
      <c r="E102" s="60">
        <v>0.4284217528687843</v>
      </c>
      <c r="F102" s="61" t="str">
        <f t="shared" si="2"/>
        <v>Rojo</v>
      </c>
      <c r="G102" s="56"/>
      <c r="H102" s="56"/>
      <c r="I102" s="56"/>
      <c r="J102" s="56"/>
      <c r="K102" s="62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ht="15.75" customHeight="1">
      <c r="A103" s="59">
        <v>21402.0</v>
      </c>
      <c r="B103" s="63" t="s">
        <v>136</v>
      </c>
      <c r="C103" s="60">
        <v>0.11563768241084534</v>
      </c>
      <c r="D103" s="61" t="str">
        <f t="shared" si="1"/>
        <v>Rojo</v>
      </c>
      <c r="E103" s="60">
        <v>0.3451585425839502</v>
      </c>
      <c r="F103" s="61" t="str">
        <f t="shared" si="2"/>
        <v>Rojo</v>
      </c>
      <c r="G103" s="56"/>
      <c r="H103" s="56"/>
      <c r="I103" s="56"/>
      <c r="J103" s="56"/>
      <c r="K103" s="62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ht="15.75" customHeight="1">
      <c r="A104" s="59">
        <v>21501.0</v>
      </c>
      <c r="B104" s="63" t="s">
        <v>137</v>
      </c>
      <c r="C104" s="60">
        <v>0.04543532727842155</v>
      </c>
      <c r="D104" s="61" t="str">
        <f t="shared" si="1"/>
        <v>Rojo</v>
      </c>
      <c r="E104" s="60">
        <v>0.21791577327855707</v>
      </c>
      <c r="F104" s="61" t="str">
        <f t="shared" si="2"/>
        <v>Rojo</v>
      </c>
      <c r="G104" s="56"/>
      <c r="H104" s="56"/>
      <c r="I104" s="56"/>
      <c r="J104" s="56"/>
      <c r="K104" s="62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ht="15.75" customHeight="1">
      <c r="A105" s="59">
        <v>21502.0</v>
      </c>
      <c r="B105" s="63" t="s">
        <v>138</v>
      </c>
      <c r="C105" s="60">
        <v>0.03722668306469732</v>
      </c>
      <c r="D105" s="61" t="str">
        <f t="shared" si="1"/>
        <v>Rojo</v>
      </c>
      <c r="E105" s="60">
        <v>0.3033398525650669</v>
      </c>
      <c r="F105" s="61" t="str">
        <f t="shared" si="2"/>
        <v>Rojo</v>
      </c>
      <c r="G105" s="56"/>
      <c r="H105" s="56"/>
      <c r="I105" s="56"/>
      <c r="J105" s="56"/>
      <c r="K105" s="62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ht="15.75" customHeight="1">
      <c r="A106" s="59">
        <v>21601.0</v>
      </c>
      <c r="B106" s="63" t="s">
        <v>402</v>
      </c>
      <c r="C106" s="60">
        <v>0.17399464493895486</v>
      </c>
      <c r="D106" s="61" t="str">
        <f t="shared" si="1"/>
        <v>Rojo</v>
      </c>
      <c r="E106" s="60">
        <v>0.6004383848688292</v>
      </c>
      <c r="F106" s="61" t="str">
        <f t="shared" si="2"/>
        <v>Naranja</v>
      </c>
      <c r="G106" s="56"/>
      <c r="H106" s="56"/>
      <c r="I106" s="56"/>
      <c r="J106" s="56"/>
      <c r="K106" s="62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ht="15.75" customHeight="1">
      <c r="A107" s="59">
        <v>21602.0</v>
      </c>
      <c r="B107" s="63" t="s">
        <v>140</v>
      </c>
      <c r="C107" s="60">
        <v>0.19754584681769147</v>
      </c>
      <c r="D107" s="61" t="str">
        <f t="shared" si="1"/>
        <v>Rojo</v>
      </c>
      <c r="E107" s="60">
        <v>0.38696868008948554</v>
      </c>
      <c r="F107" s="61" t="str">
        <f t="shared" si="2"/>
        <v>Rojo</v>
      </c>
      <c r="G107" s="56"/>
      <c r="H107" s="56"/>
      <c r="I107" s="56"/>
      <c r="J107" s="56"/>
      <c r="K107" s="62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5.75" customHeight="1">
      <c r="A108" s="59">
        <v>21701.0</v>
      </c>
      <c r="B108" s="63" t="s">
        <v>141</v>
      </c>
      <c r="C108" s="60">
        <v>0.12353079968190993</v>
      </c>
      <c r="D108" s="61" t="str">
        <f t="shared" si="1"/>
        <v>Rojo</v>
      </c>
      <c r="E108" s="60">
        <v>0.6283705118055232</v>
      </c>
      <c r="F108" s="61" t="str">
        <f t="shared" si="2"/>
        <v>Naranja</v>
      </c>
      <c r="G108" s="56"/>
      <c r="H108" s="56"/>
      <c r="I108" s="56"/>
      <c r="J108" s="56"/>
      <c r="K108" s="62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ht="15.75" customHeight="1">
      <c r="A109" s="59">
        <v>21702.0</v>
      </c>
      <c r="B109" s="63" t="s">
        <v>142</v>
      </c>
      <c r="C109" s="60">
        <v>0.13799694189602446</v>
      </c>
      <c r="D109" s="61" t="str">
        <f t="shared" si="1"/>
        <v>Rojo</v>
      </c>
      <c r="E109" s="60">
        <v>0.2195727769498261</v>
      </c>
      <c r="F109" s="61" t="str">
        <f t="shared" si="2"/>
        <v>Rojo</v>
      </c>
      <c r="G109" s="56"/>
      <c r="H109" s="56"/>
      <c r="I109" s="56"/>
      <c r="J109" s="56"/>
      <c r="K109" s="62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ht="15.75" customHeight="1">
      <c r="A110" s="59">
        <v>21703.0</v>
      </c>
      <c r="B110" s="63" t="s">
        <v>143</v>
      </c>
      <c r="C110" s="60">
        <v>0.25993984140005466</v>
      </c>
      <c r="D110" s="61" t="str">
        <f t="shared" si="1"/>
        <v>Rojo</v>
      </c>
      <c r="E110" s="60">
        <v>0.4169381107491857</v>
      </c>
      <c r="F110" s="61" t="str">
        <f t="shared" si="2"/>
        <v>Rojo</v>
      </c>
      <c r="G110" s="56"/>
      <c r="H110" s="56"/>
      <c r="I110" s="56"/>
      <c r="J110" s="56"/>
      <c r="K110" s="62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ht="15.75" customHeight="1">
      <c r="A111" s="59">
        <v>21801.0</v>
      </c>
      <c r="B111" s="63" t="s">
        <v>144</v>
      </c>
      <c r="C111" s="60">
        <v>0.10985472903358748</v>
      </c>
      <c r="D111" s="61" t="str">
        <f t="shared" si="1"/>
        <v>Rojo</v>
      </c>
      <c r="E111" s="60">
        <v>0.5434969853574504</v>
      </c>
      <c r="F111" s="61" t="str">
        <f t="shared" si="2"/>
        <v>Naranja</v>
      </c>
      <c r="G111" s="56"/>
      <c r="H111" s="56"/>
      <c r="I111" s="56"/>
      <c r="J111" s="56"/>
      <c r="K111" s="62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5.75" customHeight="1">
      <c r="A112" s="59">
        <v>21802.0</v>
      </c>
      <c r="B112" s="63" t="s">
        <v>145</v>
      </c>
      <c r="C112" s="60">
        <v>0.06828343701399689</v>
      </c>
      <c r="D112" s="61" t="str">
        <f t="shared" si="1"/>
        <v>Rojo</v>
      </c>
      <c r="E112" s="60">
        <v>0.7830396475770927</v>
      </c>
      <c r="F112" s="61" t="str">
        <f t="shared" si="2"/>
        <v>Amarillo</v>
      </c>
      <c r="G112" s="56"/>
      <c r="H112" s="56"/>
      <c r="I112" s="56"/>
      <c r="J112" s="56"/>
      <c r="K112" s="62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ht="15.75" customHeight="1">
      <c r="A113" s="59">
        <v>21803.0</v>
      </c>
      <c r="B113" s="63" t="s">
        <v>146</v>
      </c>
      <c r="C113" s="60">
        <v>0.0</v>
      </c>
      <c r="D113" s="61" t="str">
        <f t="shared" si="1"/>
        <v>Rojo</v>
      </c>
      <c r="E113" s="60">
        <v>0.37208843268851166</v>
      </c>
      <c r="F113" s="61" t="str">
        <f t="shared" si="2"/>
        <v>Rojo</v>
      </c>
      <c r="G113" s="56"/>
      <c r="H113" s="56"/>
      <c r="I113" s="56"/>
      <c r="J113" s="56"/>
      <c r="K113" s="62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ht="15.75" customHeight="1">
      <c r="A114" s="59">
        <v>21901.0</v>
      </c>
      <c r="B114" s="63" t="s">
        <v>147</v>
      </c>
      <c r="C114" s="60">
        <v>0.1300849687946462</v>
      </c>
      <c r="D114" s="61" t="str">
        <f t="shared" si="1"/>
        <v>Rojo</v>
      </c>
      <c r="E114" s="60">
        <v>0.4053875334980684</v>
      </c>
      <c r="F114" s="61" t="str">
        <f t="shared" si="2"/>
        <v>Rojo</v>
      </c>
      <c r="G114" s="56"/>
      <c r="H114" s="56"/>
      <c r="I114" s="56"/>
      <c r="J114" s="56"/>
      <c r="K114" s="62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5.75" customHeight="1">
      <c r="A115" s="59">
        <v>21902.0</v>
      </c>
      <c r="B115" s="63" t="s">
        <v>148</v>
      </c>
      <c r="C115" s="60">
        <v>0.03443015907605143</v>
      </c>
      <c r="D115" s="61" t="str">
        <f t="shared" si="1"/>
        <v>Rojo</v>
      </c>
      <c r="E115" s="60">
        <v>0.4305476416587528</v>
      </c>
      <c r="F115" s="61" t="str">
        <f t="shared" si="2"/>
        <v>Rojo</v>
      </c>
      <c r="G115" s="56"/>
      <c r="H115" s="56"/>
      <c r="I115" s="56"/>
      <c r="J115" s="56"/>
      <c r="K115" s="62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ht="15.75" customHeight="1">
      <c r="A116" s="59">
        <v>22001.0</v>
      </c>
      <c r="B116" s="63" t="s">
        <v>149</v>
      </c>
      <c r="C116" s="60">
        <v>0.07138945761276243</v>
      </c>
      <c r="D116" s="61" t="str">
        <f t="shared" si="1"/>
        <v>Rojo</v>
      </c>
      <c r="E116" s="60">
        <v>0.4357081680977091</v>
      </c>
      <c r="F116" s="61" t="str">
        <f t="shared" si="2"/>
        <v>Rojo</v>
      </c>
      <c r="G116" s="56"/>
      <c r="H116" s="56"/>
      <c r="I116" s="56"/>
      <c r="J116" s="56"/>
      <c r="K116" s="62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ht="15.75" customHeight="1">
      <c r="A117" s="59">
        <v>22002.0</v>
      </c>
      <c r="B117" s="63" t="s">
        <v>150</v>
      </c>
      <c r="C117" s="60">
        <v>0.03825253825253825</v>
      </c>
      <c r="D117" s="61" t="str">
        <f t="shared" si="1"/>
        <v>Rojo</v>
      </c>
      <c r="E117" s="60">
        <v>0.1793337296012104</v>
      </c>
      <c r="F117" s="61" t="str">
        <f t="shared" si="2"/>
        <v>Rojo</v>
      </c>
      <c r="G117" s="56"/>
      <c r="H117" s="56"/>
      <c r="I117" s="56"/>
      <c r="J117" s="56"/>
      <c r="K117" s="62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ht="15.75" customHeight="1">
      <c r="A118" s="59">
        <v>30101.0</v>
      </c>
      <c r="B118" s="63" t="s">
        <v>26</v>
      </c>
      <c r="C118" s="60">
        <v>0.15397778743697002</v>
      </c>
      <c r="D118" s="61" t="str">
        <f t="shared" si="1"/>
        <v>Rojo</v>
      </c>
      <c r="E118" s="60">
        <v>0.3975861750927242</v>
      </c>
      <c r="F118" s="61" t="str">
        <f t="shared" si="2"/>
        <v>Rojo</v>
      </c>
      <c r="G118" s="56"/>
      <c r="H118" s="56"/>
      <c r="I118" s="56"/>
      <c r="J118" s="56"/>
      <c r="K118" s="62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ht="15.75" customHeight="1">
      <c r="A119" s="59">
        <v>30201.0</v>
      </c>
      <c r="B119" s="63" t="s">
        <v>151</v>
      </c>
      <c r="C119" s="60">
        <v>0.061813263317022714</v>
      </c>
      <c r="D119" s="61" t="str">
        <f t="shared" si="1"/>
        <v>Rojo</v>
      </c>
      <c r="E119" s="60">
        <v>0.19622313398364263</v>
      </c>
      <c r="F119" s="61" t="str">
        <f t="shared" si="2"/>
        <v>Rojo</v>
      </c>
      <c r="G119" s="56"/>
      <c r="H119" s="56"/>
      <c r="I119" s="56"/>
      <c r="J119" s="56"/>
      <c r="K119" s="62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ht="15.75" customHeight="1">
      <c r="A120" s="59">
        <v>30202.0</v>
      </c>
      <c r="B120" s="63" t="s">
        <v>152</v>
      </c>
      <c r="C120" s="60">
        <v>0.04226324754845542</v>
      </c>
      <c r="D120" s="61" t="str">
        <f t="shared" si="1"/>
        <v>Rojo</v>
      </c>
      <c r="E120" s="60">
        <v>0.46414593234554097</v>
      </c>
      <c r="F120" s="61" t="str">
        <f t="shared" si="2"/>
        <v>Rojo</v>
      </c>
      <c r="G120" s="56"/>
      <c r="H120" s="56"/>
      <c r="I120" s="56"/>
      <c r="J120" s="56"/>
      <c r="K120" s="62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ht="15.75" customHeight="1">
      <c r="A121" s="59">
        <v>30203.0</v>
      </c>
      <c r="B121" s="63" t="s">
        <v>153</v>
      </c>
      <c r="C121" s="60">
        <v>0.007910236685470964</v>
      </c>
      <c r="D121" s="61" t="str">
        <f t="shared" si="1"/>
        <v>Rojo</v>
      </c>
      <c r="E121" s="60">
        <v>0.18216600109997846</v>
      </c>
      <c r="F121" s="61" t="str">
        <f t="shared" si="2"/>
        <v>Rojo</v>
      </c>
      <c r="G121" s="56"/>
      <c r="H121" s="56"/>
      <c r="I121" s="56"/>
      <c r="J121" s="56"/>
      <c r="K121" s="62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ht="15.75" customHeight="1">
      <c r="A122" s="59">
        <v>30301.0</v>
      </c>
      <c r="B122" s="63" t="s">
        <v>403</v>
      </c>
      <c r="C122" s="60">
        <v>0.015690474162234958</v>
      </c>
      <c r="D122" s="61" t="str">
        <f t="shared" si="1"/>
        <v>Rojo</v>
      </c>
      <c r="E122" s="60">
        <v>0.15448095405827003</v>
      </c>
      <c r="F122" s="61" t="str">
        <f t="shared" si="2"/>
        <v>Rojo</v>
      </c>
      <c r="G122" s="56"/>
      <c r="H122" s="56"/>
      <c r="I122" s="56"/>
      <c r="J122" s="56"/>
      <c r="K122" s="62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5.75" customHeight="1">
      <c r="A123" s="59">
        <v>30302.0</v>
      </c>
      <c r="B123" s="63" t="s">
        <v>155</v>
      </c>
      <c r="C123" s="60">
        <v>0.023747221108640987</v>
      </c>
      <c r="D123" s="61" t="str">
        <f t="shared" si="1"/>
        <v>Rojo</v>
      </c>
      <c r="E123" s="60">
        <v>0.2503152998811702</v>
      </c>
      <c r="F123" s="61" t="str">
        <f t="shared" si="2"/>
        <v>Rojo</v>
      </c>
      <c r="G123" s="56"/>
      <c r="H123" s="56"/>
      <c r="I123" s="56"/>
      <c r="J123" s="56"/>
      <c r="K123" s="62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5.75" customHeight="1">
      <c r="A124" s="59">
        <v>30303.0</v>
      </c>
      <c r="B124" s="63" t="s">
        <v>156</v>
      </c>
      <c r="C124" s="60">
        <v>0.01777966398685655</v>
      </c>
      <c r="D124" s="61" t="str">
        <f t="shared" si="1"/>
        <v>Rojo</v>
      </c>
      <c r="E124" s="60">
        <v>0.16998293968229897</v>
      </c>
      <c r="F124" s="61" t="str">
        <f t="shared" si="2"/>
        <v>Rojo</v>
      </c>
      <c r="G124" s="56"/>
      <c r="H124" s="56"/>
      <c r="I124" s="56"/>
      <c r="J124" s="56"/>
      <c r="K124" s="62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5.75" customHeight="1">
      <c r="A125" s="59">
        <v>30401.0</v>
      </c>
      <c r="B125" s="63" t="s">
        <v>157</v>
      </c>
      <c r="C125" s="60">
        <v>0.11635944700460829</v>
      </c>
      <c r="D125" s="61" t="str">
        <f t="shared" si="1"/>
        <v>Rojo</v>
      </c>
      <c r="E125" s="60">
        <v>0.19145990454330167</v>
      </c>
      <c r="F125" s="61" t="str">
        <f t="shared" si="2"/>
        <v>Rojo</v>
      </c>
      <c r="G125" s="56"/>
      <c r="H125" s="56"/>
      <c r="I125" s="56"/>
      <c r="J125" s="56"/>
      <c r="K125" s="62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ht="15.75" customHeight="1">
      <c r="A126" s="59">
        <v>30402.0</v>
      </c>
      <c r="B126" s="63" t="s">
        <v>158</v>
      </c>
      <c r="C126" s="60">
        <v>0.05465944713593616</v>
      </c>
      <c r="D126" s="61" t="str">
        <f t="shared" si="1"/>
        <v>Rojo</v>
      </c>
      <c r="E126" s="60">
        <v>0.35847840103159256</v>
      </c>
      <c r="F126" s="61" t="str">
        <f t="shared" si="2"/>
        <v>Rojo</v>
      </c>
      <c r="G126" s="56"/>
      <c r="H126" s="56"/>
      <c r="I126" s="56"/>
      <c r="J126" s="56"/>
      <c r="K126" s="62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5.75" customHeight="1">
      <c r="A127" s="59">
        <v>30403.0</v>
      </c>
      <c r="B127" s="63" t="s">
        <v>159</v>
      </c>
      <c r="C127" s="60">
        <v>0.06973358348968105</v>
      </c>
      <c r="D127" s="61" t="str">
        <f t="shared" si="1"/>
        <v>Rojo</v>
      </c>
      <c r="E127" s="60">
        <v>0.18019057442518138</v>
      </c>
      <c r="F127" s="61" t="str">
        <f t="shared" si="2"/>
        <v>Rojo</v>
      </c>
      <c r="G127" s="56"/>
      <c r="H127" s="56"/>
      <c r="I127" s="56"/>
      <c r="J127" s="56"/>
      <c r="K127" s="62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5.75" customHeight="1">
      <c r="A128" s="59">
        <v>30404.0</v>
      </c>
      <c r="B128" s="63" t="s">
        <v>160</v>
      </c>
      <c r="C128" s="60">
        <v>0.06208924247665168</v>
      </c>
      <c r="D128" s="61" t="str">
        <f t="shared" si="1"/>
        <v>Rojo</v>
      </c>
      <c r="E128" s="60">
        <v>0.2711818961818962</v>
      </c>
      <c r="F128" s="61" t="str">
        <f t="shared" si="2"/>
        <v>Rojo</v>
      </c>
      <c r="G128" s="56"/>
      <c r="H128" s="56"/>
      <c r="I128" s="56"/>
      <c r="J128" s="56"/>
      <c r="K128" s="62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5.75" customHeight="1">
      <c r="A129" s="59">
        <v>30501.0</v>
      </c>
      <c r="B129" s="63" t="s">
        <v>161</v>
      </c>
      <c r="C129" s="60">
        <v>0.19023953071533323</v>
      </c>
      <c r="D129" s="61" t="str">
        <f t="shared" si="1"/>
        <v>Rojo</v>
      </c>
      <c r="E129" s="60">
        <v>0.23422542389223291</v>
      </c>
      <c r="F129" s="61" t="str">
        <f t="shared" si="2"/>
        <v>Rojo</v>
      </c>
      <c r="G129" s="56"/>
      <c r="H129" s="56"/>
      <c r="I129" s="56"/>
      <c r="J129" s="56"/>
      <c r="K129" s="62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5.75" customHeight="1">
      <c r="A130" s="59">
        <v>30502.0</v>
      </c>
      <c r="B130" s="63" t="s">
        <v>162</v>
      </c>
      <c r="C130" s="60">
        <v>0.025692976274371622</v>
      </c>
      <c r="D130" s="61" t="str">
        <f t="shared" si="1"/>
        <v>Rojo</v>
      </c>
      <c r="E130" s="60">
        <v>0.4507042253521127</v>
      </c>
      <c r="F130" s="61" t="str">
        <f t="shared" si="2"/>
        <v>Rojo</v>
      </c>
      <c r="G130" s="56"/>
      <c r="H130" s="56"/>
      <c r="I130" s="56"/>
      <c r="J130" s="56"/>
      <c r="K130" s="62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5.75" customHeight="1">
      <c r="A131" s="59">
        <v>30601.0</v>
      </c>
      <c r="B131" s="63" t="s">
        <v>163</v>
      </c>
      <c r="C131" s="60">
        <v>0.04421917032422484</v>
      </c>
      <c r="D131" s="61" t="str">
        <f t="shared" si="1"/>
        <v>Rojo</v>
      </c>
      <c r="E131" s="60">
        <v>0.2491782375783469</v>
      </c>
      <c r="F131" s="61" t="str">
        <f t="shared" si="2"/>
        <v>Rojo</v>
      </c>
      <c r="G131" s="56"/>
      <c r="H131" s="56"/>
      <c r="I131" s="56"/>
      <c r="J131" s="56"/>
      <c r="K131" s="62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ht="15.75" customHeight="1">
      <c r="A132" s="59">
        <v>30602.0</v>
      </c>
      <c r="B132" s="63" t="s">
        <v>164</v>
      </c>
      <c r="C132" s="60">
        <v>0.04058219178082191</v>
      </c>
      <c r="D132" s="61" t="str">
        <f t="shared" si="1"/>
        <v>Rojo</v>
      </c>
      <c r="E132" s="60">
        <v>0.4226381360501745</v>
      </c>
      <c r="F132" s="61" t="str">
        <f t="shared" si="2"/>
        <v>Rojo</v>
      </c>
      <c r="G132" s="56"/>
      <c r="H132" s="56"/>
      <c r="I132" s="56"/>
      <c r="J132" s="56"/>
      <c r="K132" s="62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5.75" customHeight="1">
      <c r="A133" s="59">
        <v>30701.0</v>
      </c>
      <c r="B133" s="63" t="s">
        <v>165</v>
      </c>
      <c r="C133" s="60">
        <v>0.04788732394366198</v>
      </c>
      <c r="D133" s="61" t="str">
        <f t="shared" si="1"/>
        <v>Rojo</v>
      </c>
      <c r="E133" s="60">
        <v>0.29627039627039625</v>
      </c>
      <c r="F133" s="61" t="str">
        <f t="shared" si="2"/>
        <v>Rojo</v>
      </c>
      <c r="G133" s="56"/>
      <c r="H133" s="56"/>
      <c r="I133" s="56"/>
      <c r="J133" s="56"/>
      <c r="K133" s="62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5.75" customHeight="1">
      <c r="A134" s="59">
        <v>30702.0</v>
      </c>
      <c r="B134" s="63" t="s">
        <v>404</v>
      </c>
      <c r="C134" s="60">
        <v>0.14282632146709817</v>
      </c>
      <c r="D134" s="61" t="str">
        <f t="shared" si="1"/>
        <v>Rojo</v>
      </c>
      <c r="E134" s="60">
        <v>0.1800629740947474</v>
      </c>
      <c r="F134" s="61" t="str">
        <f t="shared" si="2"/>
        <v>Rojo</v>
      </c>
      <c r="G134" s="56"/>
      <c r="H134" s="56"/>
      <c r="I134" s="56"/>
      <c r="J134" s="56"/>
      <c r="K134" s="62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ht="15.75" customHeight="1">
      <c r="A135" s="59">
        <v>30703.0</v>
      </c>
      <c r="B135" s="63" t="s">
        <v>167</v>
      </c>
      <c r="C135" s="60">
        <v>0.020571924280447382</v>
      </c>
      <c r="D135" s="61" t="str">
        <f t="shared" si="1"/>
        <v>Rojo</v>
      </c>
      <c r="E135" s="60">
        <v>0.21560354691075514</v>
      </c>
      <c r="F135" s="61" t="str">
        <f t="shared" si="2"/>
        <v>Rojo</v>
      </c>
      <c r="G135" s="56"/>
      <c r="H135" s="56"/>
      <c r="I135" s="56"/>
      <c r="J135" s="56"/>
      <c r="K135" s="62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5.75" customHeight="1">
      <c r="A136" s="59">
        <v>30801.0</v>
      </c>
      <c r="B136" s="63" t="s">
        <v>168</v>
      </c>
      <c r="C136" s="60">
        <v>0.11007025761124123</v>
      </c>
      <c r="D136" s="61" t="str">
        <f t="shared" si="1"/>
        <v>Rojo</v>
      </c>
      <c r="E136" s="60">
        <v>0.3045740733558288</v>
      </c>
      <c r="F136" s="61" t="str">
        <f t="shared" si="2"/>
        <v>Rojo</v>
      </c>
      <c r="G136" s="56"/>
      <c r="H136" s="56"/>
      <c r="I136" s="56"/>
      <c r="J136" s="56"/>
      <c r="K136" s="62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5.75" customHeight="1">
      <c r="A137" s="59">
        <v>30802.0</v>
      </c>
      <c r="B137" s="63" t="s">
        <v>169</v>
      </c>
      <c r="C137" s="60">
        <v>0.049369903632320224</v>
      </c>
      <c r="D137" s="61" t="str">
        <f t="shared" si="1"/>
        <v>Rojo</v>
      </c>
      <c r="E137" s="60">
        <v>0.24056861673045377</v>
      </c>
      <c r="F137" s="61" t="str">
        <f t="shared" si="2"/>
        <v>Rojo</v>
      </c>
      <c r="G137" s="56"/>
      <c r="H137" s="56"/>
      <c r="I137" s="56"/>
      <c r="J137" s="56"/>
      <c r="K137" s="62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ht="15.75" customHeight="1">
      <c r="A138" s="59">
        <v>30803.0</v>
      </c>
      <c r="B138" s="63" t="s">
        <v>170</v>
      </c>
      <c r="C138" s="60">
        <v>0.07135416666666666</v>
      </c>
      <c r="D138" s="61" t="str">
        <f t="shared" si="1"/>
        <v>Rojo</v>
      </c>
      <c r="E138" s="60">
        <v>0.21595644575883857</v>
      </c>
      <c r="F138" s="61" t="str">
        <f t="shared" si="2"/>
        <v>Rojo</v>
      </c>
      <c r="G138" s="56"/>
      <c r="H138" s="56"/>
      <c r="I138" s="56"/>
      <c r="J138" s="56"/>
      <c r="K138" s="62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ht="15.75" customHeight="1">
      <c r="A139" s="59">
        <v>30901.0</v>
      </c>
      <c r="B139" s="63" t="s">
        <v>171</v>
      </c>
      <c r="C139" s="60">
        <v>0.12494359721084153</v>
      </c>
      <c r="D139" s="61" t="str">
        <f t="shared" si="1"/>
        <v>Rojo</v>
      </c>
      <c r="E139" s="60">
        <v>0.2569347690291769</v>
      </c>
      <c r="F139" s="61" t="str">
        <f t="shared" si="2"/>
        <v>Rojo</v>
      </c>
      <c r="G139" s="56"/>
      <c r="H139" s="56"/>
      <c r="I139" s="56"/>
      <c r="J139" s="56"/>
      <c r="K139" s="62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ht="15.75" customHeight="1">
      <c r="A140" s="59">
        <v>30902.0</v>
      </c>
      <c r="B140" s="63" t="s">
        <v>405</v>
      </c>
      <c r="C140" s="60">
        <v>0.052890197817045626</v>
      </c>
      <c r="D140" s="61" t="str">
        <f t="shared" si="1"/>
        <v>Rojo</v>
      </c>
      <c r="E140" s="60">
        <v>0.222176986355352</v>
      </c>
      <c r="F140" s="61" t="str">
        <f t="shared" si="2"/>
        <v>Rojo</v>
      </c>
      <c r="G140" s="56"/>
      <c r="H140" s="56"/>
      <c r="I140" s="56"/>
      <c r="J140" s="56"/>
      <c r="K140" s="62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ht="15.75" customHeight="1">
      <c r="A141" s="59">
        <v>30903.0</v>
      </c>
      <c r="B141" s="63" t="s">
        <v>173</v>
      </c>
      <c r="C141" s="60">
        <v>0.14588156174850633</v>
      </c>
      <c r="D141" s="61" t="str">
        <f t="shared" si="1"/>
        <v>Rojo</v>
      </c>
      <c r="E141" s="60">
        <v>0.3646161905084924</v>
      </c>
      <c r="F141" s="61" t="str">
        <f t="shared" si="2"/>
        <v>Rojo</v>
      </c>
      <c r="G141" s="56"/>
      <c r="H141" s="56"/>
      <c r="I141" s="56"/>
      <c r="J141" s="56"/>
      <c r="K141" s="62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ht="15.75" customHeight="1">
      <c r="A142" s="59">
        <v>30904.0</v>
      </c>
      <c r="B142" s="63" t="s">
        <v>174</v>
      </c>
      <c r="C142" s="60">
        <v>0.07991974070072543</v>
      </c>
      <c r="D142" s="61" t="str">
        <f t="shared" si="1"/>
        <v>Rojo</v>
      </c>
      <c r="E142" s="60">
        <v>0.24307160626663932</v>
      </c>
      <c r="F142" s="61" t="str">
        <f t="shared" si="2"/>
        <v>Rojo</v>
      </c>
      <c r="G142" s="56"/>
      <c r="H142" s="56"/>
      <c r="I142" s="56"/>
      <c r="J142" s="56"/>
      <c r="K142" s="62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ht="15.75" customHeight="1">
      <c r="A143" s="59">
        <v>30905.0</v>
      </c>
      <c r="B143" s="63" t="s">
        <v>175</v>
      </c>
      <c r="C143" s="60">
        <v>0.1470159320944806</v>
      </c>
      <c r="D143" s="61" t="str">
        <f t="shared" si="1"/>
        <v>Rojo</v>
      </c>
      <c r="E143" s="60">
        <v>0.36211487257512354</v>
      </c>
      <c r="F143" s="61" t="str">
        <f t="shared" si="2"/>
        <v>Rojo</v>
      </c>
      <c r="G143" s="56"/>
      <c r="H143" s="56"/>
      <c r="I143" s="56"/>
      <c r="J143" s="56"/>
      <c r="K143" s="62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ht="15.75" customHeight="1">
      <c r="A144" s="59">
        <v>31001.0</v>
      </c>
      <c r="B144" s="63" t="s">
        <v>176</v>
      </c>
      <c r="C144" s="60">
        <v>0.11048916301816963</v>
      </c>
      <c r="D144" s="61" t="str">
        <f t="shared" si="1"/>
        <v>Rojo</v>
      </c>
      <c r="E144" s="60">
        <v>0.3099461317874077</v>
      </c>
      <c r="F144" s="61" t="str">
        <f t="shared" si="2"/>
        <v>Rojo</v>
      </c>
      <c r="G144" s="56"/>
      <c r="H144" s="56"/>
      <c r="I144" s="56"/>
      <c r="J144" s="56"/>
      <c r="K144" s="62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5.75" customHeight="1">
      <c r="A145" s="59">
        <v>31002.0</v>
      </c>
      <c r="B145" s="63" t="s">
        <v>177</v>
      </c>
      <c r="C145" s="60">
        <v>0.06493401028419593</v>
      </c>
      <c r="D145" s="61" t="str">
        <f t="shared" si="1"/>
        <v>Rojo</v>
      </c>
      <c r="E145" s="60">
        <v>0.21581659041177642</v>
      </c>
      <c r="F145" s="61" t="str">
        <f t="shared" si="2"/>
        <v>Rojo</v>
      </c>
      <c r="G145" s="56"/>
      <c r="H145" s="56"/>
      <c r="I145" s="56"/>
      <c r="J145" s="56"/>
      <c r="K145" s="62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ht="15.75" customHeight="1">
      <c r="A146" s="59">
        <v>31003.0</v>
      </c>
      <c r="B146" s="63" t="s">
        <v>178</v>
      </c>
      <c r="C146" s="60">
        <v>0.03570969503385023</v>
      </c>
      <c r="D146" s="61" t="str">
        <f t="shared" si="1"/>
        <v>Rojo</v>
      </c>
      <c r="E146" s="60">
        <v>0.21118514407285546</v>
      </c>
      <c r="F146" s="61" t="str">
        <f t="shared" si="2"/>
        <v>Rojo</v>
      </c>
      <c r="G146" s="56"/>
      <c r="H146" s="56"/>
      <c r="I146" s="56"/>
      <c r="J146" s="56"/>
      <c r="K146" s="62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5.75" customHeight="1">
      <c r="A147" s="59">
        <v>31101.0</v>
      </c>
      <c r="B147" s="63" t="s">
        <v>179</v>
      </c>
      <c r="C147" s="60">
        <v>0.035077530634763925</v>
      </c>
      <c r="D147" s="61" t="str">
        <f t="shared" si="1"/>
        <v>Rojo</v>
      </c>
      <c r="E147" s="60">
        <v>0.3219537507427835</v>
      </c>
      <c r="F147" s="61" t="str">
        <f t="shared" si="2"/>
        <v>Rojo</v>
      </c>
      <c r="G147" s="56"/>
      <c r="H147" s="56"/>
      <c r="I147" s="56"/>
      <c r="J147" s="56"/>
      <c r="K147" s="62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ht="15.75" customHeight="1">
      <c r="A148" s="59">
        <v>31201.0</v>
      </c>
      <c r="B148" s="63" t="s">
        <v>180</v>
      </c>
      <c r="C148" s="60">
        <v>0.034311180219078426</v>
      </c>
      <c r="D148" s="61" t="str">
        <f t="shared" si="1"/>
        <v>Rojo</v>
      </c>
      <c r="E148" s="60">
        <v>0.15048906816653881</v>
      </c>
      <c r="F148" s="61" t="str">
        <f t="shared" si="2"/>
        <v>Rojo</v>
      </c>
      <c r="G148" s="56"/>
      <c r="H148" s="56"/>
      <c r="I148" s="56"/>
      <c r="J148" s="56"/>
      <c r="K148" s="62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ht="15.75" customHeight="1">
      <c r="A149" s="59">
        <v>31202.0</v>
      </c>
      <c r="B149" s="63" t="s">
        <v>181</v>
      </c>
      <c r="C149" s="60">
        <v>0.04796692644472119</v>
      </c>
      <c r="D149" s="61" t="str">
        <f t="shared" si="1"/>
        <v>Rojo</v>
      </c>
      <c r="E149" s="60">
        <v>0.1621119904773376</v>
      </c>
      <c r="F149" s="61" t="str">
        <f t="shared" si="2"/>
        <v>Rojo</v>
      </c>
      <c r="G149" s="56"/>
      <c r="H149" s="56"/>
      <c r="I149" s="56"/>
      <c r="J149" s="56"/>
      <c r="K149" s="62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ht="15.75" customHeight="1">
      <c r="A150" s="59">
        <v>31203.0</v>
      </c>
      <c r="B150" s="63" t="s">
        <v>182</v>
      </c>
      <c r="C150" s="60">
        <v>0.041471058688895536</v>
      </c>
      <c r="D150" s="61" t="str">
        <f t="shared" si="1"/>
        <v>Rojo</v>
      </c>
      <c r="E150" s="60">
        <v>0.20777433780529755</v>
      </c>
      <c r="F150" s="61" t="str">
        <f t="shared" si="2"/>
        <v>Rojo</v>
      </c>
      <c r="G150" s="56"/>
      <c r="H150" s="56"/>
      <c r="I150" s="56"/>
      <c r="J150" s="56"/>
      <c r="K150" s="62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ht="15.75" customHeight="1">
      <c r="A151" s="59">
        <v>31204.0</v>
      </c>
      <c r="B151" s="63" t="s">
        <v>183</v>
      </c>
      <c r="C151" s="60">
        <v>0.023816035192723923</v>
      </c>
      <c r="D151" s="61" t="str">
        <f t="shared" si="1"/>
        <v>Rojo</v>
      </c>
      <c r="E151" s="60">
        <v>0.2062928225795334</v>
      </c>
      <c r="F151" s="61" t="str">
        <f t="shared" si="2"/>
        <v>Rojo</v>
      </c>
      <c r="G151" s="56"/>
      <c r="H151" s="56"/>
      <c r="I151" s="56"/>
      <c r="J151" s="56"/>
      <c r="K151" s="62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ht="15.75" customHeight="1">
      <c r="A152" s="59">
        <v>31205.0</v>
      </c>
      <c r="B152" s="63" t="s">
        <v>184</v>
      </c>
      <c r="C152" s="60">
        <v>0.03694710323619876</v>
      </c>
      <c r="D152" s="61" t="str">
        <f t="shared" si="1"/>
        <v>Rojo</v>
      </c>
      <c r="E152" s="60">
        <v>0.17652999343489081</v>
      </c>
      <c r="F152" s="61" t="str">
        <f t="shared" si="2"/>
        <v>Rojo</v>
      </c>
      <c r="G152" s="56"/>
      <c r="H152" s="56"/>
      <c r="I152" s="56"/>
      <c r="J152" s="56"/>
      <c r="K152" s="62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ht="15.75" customHeight="1">
      <c r="A153" s="59">
        <v>31206.0</v>
      </c>
      <c r="B153" s="63" t="s">
        <v>185</v>
      </c>
      <c r="C153" s="60">
        <v>0.037129638385040735</v>
      </c>
      <c r="D153" s="61" t="str">
        <f t="shared" si="1"/>
        <v>Rojo</v>
      </c>
      <c r="E153" s="60">
        <v>0.15528549371429975</v>
      </c>
      <c r="F153" s="61" t="str">
        <f t="shared" si="2"/>
        <v>Rojo</v>
      </c>
      <c r="G153" s="56"/>
      <c r="H153" s="56"/>
      <c r="I153" s="56"/>
      <c r="J153" s="56"/>
      <c r="K153" s="62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ht="15.75" customHeight="1">
      <c r="A154" s="59">
        <v>31301.0</v>
      </c>
      <c r="B154" s="63" t="s">
        <v>186</v>
      </c>
      <c r="C154" s="60">
        <v>0.028421287533034502</v>
      </c>
      <c r="D154" s="61" t="str">
        <f t="shared" si="1"/>
        <v>Rojo</v>
      </c>
      <c r="E154" s="60">
        <v>0.16970991089147436</v>
      </c>
      <c r="F154" s="61" t="str">
        <f t="shared" si="2"/>
        <v>Rojo</v>
      </c>
      <c r="G154" s="56"/>
      <c r="H154" s="56"/>
      <c r="I154" s="56"/>
      <c r="J154" s="56"/>
      <c r="K154" s="62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ht="15.75" customHeight="1">
      <c r="A155" s="59">
        <v>31302.0</v>
      </c>
      <c r="B155" s="63" t="s">
        <v>187</v>
      </c>
      <c r="C155" s="60">
        <v>0.06454046891678016</v>
      </c>
      <c r="D155" s="61" t="str">
        <f t="shared" si="1"/>
        <v>Rojo</v>
      </c>
      <c r="E155" s="60">
        <v>0.3744131455399061</v>
      </c>
      <c r="F155" s="61" t="str">
        <f t="shared" si="2"/>
        <v>Rojo</v>
      </c>
      <c r="G155" s="56"/>
      <c r="H155" s="56"/>
      <c r="I155" s="56"/>
      <c r="J155" s="56"/>
      <c r="K155" s="62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5.75" customHeight="1">
      <c r="A156" s="59">
        <v>31303.0</v>
      </c>
      <c r="B156" s="63" t="s">
        <v>188</v>
      </c>
      <c r="C156" s="60">
        <v>0.059094639813119514</v>
      </c>
      <c r="D156" s="61" t="str">
        <f t="shared" si="1"/>
        <v>Rojo</v>
      </c>
      <c r="E156" s="60">
        <v>0.2785299806576402</v>
      </c>
      <c r="F156" s="61" t="str">
        <f t="shared" si="2"/>
        <v>Rojo</v>
      </c>
      <c r="G156" s="56"/>
      <c r="H156" s="56"/>
      <c r="I156" s="56"/>
      <c r="J156" s="56"/>
      <c r="K156" s="62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ht="15.75" customHeight="1">
      <c r="A157" s="59">
        <v>31304.0</v>
      </c>
      <c r="B157" s="63" t="s">
        <v>189</v>
      </c>
      <c r="C157" s="60">
        <v>0.03274211935629258</v>
      </c>
      <c r="D157" s="61" t="str">
        <f t="shared" si="1"/>
        <v>Rojo</v>
      </c>
      <c r="E157" s="60">
        <v>0.2962887182070007</v>
      </c>
      <c r="F157" s="61" t="str">
        <f t="shared" si="2"/>
        <v>Rojo</v>
      </c>
      <c r="G157" s="56"/>
      <c r="H157" s="56"/>
      <c r="I157" s="56"/>
      <c r="J157" s="56"/>
      <c r="K157" s="62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ht="15.75" customHeight="1">
      <c r="A158" s="59">
        <v>31401.0</v>
      </c>
      <c r="B158" s="63" t="s">
        <v>190</v>
      </c>
      <c r="C158" s="60">
        <v>0.21121725448953108</v>
      </c>
      <c r="D158" s="61" t="str">
        <f t="shared" si="1"/>
        <v>Rojo</v>
      </c>
      <c r="E158" s="60">
        <v>0.32209229734921246</v>
      </c>
      <c r="F158" s="61" t="str">
        <f t="shared" si="2"/>
        <v>Rojo</v>
      </c>
      <c r="G158" s="56"/>
      <c r="H158" s="56"/>
      <c r="I158" s="56"/>
      <c r="J158" s="56"/>
      <c r="K158" s="62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5.75" customHeight="1">
      <c r="A159" s="59">
        <v>31402.0</v>
      </c>
      <c r="B159" s="63" t="s">
        <v>191</v>
      </c>
      <c r="C159" s="60">
        <v>0.12673302523995733</v>
      </c>
      <c r="D159" s="61" t="str">
        <f t="shared" si="1"/>
        <v>Rojo</v>
      </c>
      <c r="E159" s="60">
        <v>0.5352672827231255</v>
      </c>
      <c r="F159" s="61" t="str">
        <f t="shared" si="2"/>
        <v>Naranja</v>
      </c>
      <c r="G159" s="56"/>
      <c r="H159" s="56"/>
      <c r="I159" s="56"/>
      <c r="J159" s="56"/>
      <c r="K159" s="62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ht="15.75" customHeight="1">
      <c r="A160" s="59">
        <v>31403.0</v>
      </c>
      <c r="B160" s="63" t="s">
        <v>192</v>
      </c>
      <c r="C160" s="60">
        <v>0.18974816577434067</v>
      </c>
      <c r="D160" s="61" t="str">
        <f t="shared" si="1"/>
        <v>Rojo</v>
      </c>
      <c r="E160" s="60">
        <v>0.3461749921457744</v>
      </c>
      <c r="F160" s="61" t="str">
        <f t="shared" si="2"/>
        <v>Rojo</v>
      </c>
      <c r="G160" s="56"/>
      <c r="H160" s="56"/>
      <c r="I160" s="56"/>
      <c r="J160" s="56"/>
      <c r="K160" s="62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5.75" customHeight="1">
      <c r="A161" s="59">
        <v>31404.0</v>
      </c>
      <c r="B161" s="63" t="s">
        <v>193</v>
      </c>
      <c r="C161" s="60">
        <v>0.11483253588516747</v>
      </c>
      <c r="D161" s="61" t="str">
        <f t="shared" si="1"/>
        <v>Rojo</v>
      </c>
      <c r="E161" s="60">
        <v>0.768633540372671</v>
      </c>
      <c r="F161" s="61" t="str">
        <f t="shared" si="2"/>
        <v>Amarillo</v>
      </c>
      <c r="G161" s="56"/>
      <c r="H161" s="56"/>
      <c r="I161" s="56"/>
      <c r="J161" s="56"/>
      <c r="K161" s="62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ht="15.75" customHeight="1">
      <c r="A162" s="59">
        <v>31405.0</v>
      </c>
      <c r="B162" s="63" t="s">
        <v>406</v>
      </c>
      <c r="C162" s="60">
        <v>0.07749019607843137</v>
      </c>
      <c r="D162" s="61" t="str">
        <f t="shared" si="1"/>
        <v>Rojo</v>
      </c>
      <c r="E162" s="60">
        <v>0.5355609232420826</v>
      </c>
      <c r="F162" s="61" t="str">
        <f t="shared" si="2"/>
        <v>Naranja</v>
      </c>
      <c r="G162" s="56"/>
      <c r="H162" s="56"/>
      <c r="I162" s="56"/>
      <c r="J162" s="56"/>
      <c r="K162" s="62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ht="15.75" customHeight="1">
      <c r="A163" s="59">
        <v>31501.0</v>
      </c>
      <c r="B163" s="63" t="s">
        <v>407</v>
      </c>
      <c r="C163" s="60">
        <v>0.04246104111405835</v>
      </c>
      <c r="D163" s="61" t="str">
        <f t="shared" si="1"/>
        <v>Rojo</v>
      </c>
      <c r="E163" s="60">
        <v>0.35012499451778434</v>
      </c>
      <c r="F163" s="61" t="str">
        <f t="shared" si="2"/>
        <v>Rojo</v>
      </c>
      <c r="G163" s="56"/>
      <c r="H163" s="56"/>
      <c r="I163" s="56"/>
      <c r="J163" s="56"/>
      <c r="K163" s="62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5.75" customHeight="1">
      <c r="A164" s="59">
        <v>31601.0</v>
      </c>
      <c r="B164" s="63" t="s">
        <v>196</v>
      </c>
      <c r="C164" s="60">
        <v>0.040734966152874544</v>
      </c>
      <c r="D164" s="61" t="str">
        <f t="shared" si="1"/>
        <v>Rojo</v>
      </c>
      <c r="E164" s="60">
        <v>0.260132061426484</v>
      </c>
      <c r="F164" s="61" t="str">
        <f t="shared" si="2"/>
        <v>Rojo</v>
      </c>
      <c r="G164" s="56"/>
      <c r="H164" s="56"/>
      <c r="I164" s="56"/>
      <c r="J164" s="56"/>
      <c r="K164" s="62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ht="15.75" customHeight="1">
      <c r="A165" s="59">
        <v>31602.0</v>
      </c>
      <c r="B165" s="63" t="s">
        <v>197</v>
      </c>
      <c r="C165" s="60">
        <v>0.023185720803550445</v>
      </c>
      <c r="D165" s="61" t="str">
        <f t="shared" si="1"/>
        <v>Rojo</v>
      </c>
      <c r="E165" s="60">
        <v>0.2582316303487009</v>
      </c>
      <c r="F165" s="61" t="str">
        <f t="shared" si="2"/>
        <v>Rojo</v>
      </c>
      <c r="G165" s="56"/>
      <c r="H165" s="56"/>
      <c r="I165" s="56"/>
      <c r="J165" s="56"/>
      <c r="K165" s="62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ht="15.75" customHeight="1">
      <c r="A166" s="59">
        <v>40101.0</v>
      </c>
      <c r="B166" s="63" t="s">
        <v>28</v>
      </c>
      <c r="C166" s="60">
        <v>0.12432258289639292</v>
      </c>
      <c r="D166" s="61" t="str">
        <f t="shared" si="1"/>
        <v>Rojo</v>
      </c>
      <c r="E166" s="60">
        <v>0.2680806645574802</v>
      </c>
      <c r="F166" s="61" t="str">
        <f t="shared" si="2"/>
        <v>Rojo</v>
      </c>
      <c r="G166" s="56"/>
      <c r="H166" s="56"/>
      <c r="I166" s="56"/>
      <c r="J166" s="56"/>
      <c r="K166" s="62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5.75" customHeight="1">
      <c r="A167" s="59">
        <v>40102.0</v>
      </c>
      <c r="B167" s="63" t="s">
        <v>198</v>
      </c>
      <c r="C167" s="60">
        <v>0.058707325157441176</v>
      </c>
      <c r="D167" s="61" t="str">
        <f t="shared" si="1"/>
        <v>Rojo</v>
      </c>
      <c r="E167" s="60">
        <v>0.2604752970606629</v>
      </c>
      <c r="F167" s="61" t="str">
        <f t="shared" si="2"/>
        <v>Rojo</v>
      </c>
      <c r="G167" s="56"/>
      <c r="H167" s="56"/>
      <c r="I167" s="56"/>
      <c r="J167" s="56"/>
      <c r="K167" s="62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ht="15.75" customHeight="1">
      <c r="A168" s="59">
        <v>40103.0</v>
      </c>
      <c r="B168" s="63" t="s">
        <v>199</v>
      </c>
      <c r="C168" s="60">
        <v>0.08126214378238342</v>
      </c>
      <c r="D168" s="61" t="str">
        <f t="shared" si="1"/>
        <v>Rojo</v>
      </c>
      <c r="E168" s="60">
        <v>0.5360851172926548</v>
      </c>
      <c r="F168" s="61" t="str">
        <f t="shared" si="2"/>
        <v>Naranja</v>
      </c>
      <c r="G168" s="56"/>
      <c r="H168" s="56"/>
      <c r="I168" s="56"/>
      <c r="J168" s="56"/>
      <c r="K168" s="62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ht="15.75" customHeight="1">
      <c r="A169" s="59">
        <v>40104.0</v>
      </c>
      <c r="B169" s="63" t="s">
        <v>408</v>
      </c>
      <c r="C169" s="60">
        <v>0.025446148327504258</v>
      </c>
      <c r="D169" s="61" t="str">
        <f t="shared" si="1"/>
        <v>Rojo</v>
      </c>
      <c r="E169" s="60">
        <v>0.3052869367815453</v>
      </c>
      <c r="F169" s="61" t="str">
        <f t="shared" si="2"/>
        <v>Rojo</v>
      </c>
      <c r="G169" s="56"/>
      <c r="H169" s="56"/>
      <c r="I169" s="56"/>
      <c r="J169" s="56"/>
      <c r="K169" s="62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ht="15.75" customHeight="1">
      <c r="A170" s="59">
        <v>40201.0</v>
      </c>
      <c r="B170" s="63" t="s">
        <v>201</v>
      </c>
      <c r="C170" s="60">
        <v>0.06074186707214597</v>
      </c>
      <c r="D170" s="61" t="str">
        <f t="shared" si="1"/>
        <v>Rojo</v>
      </c>
      <c r="E170" s="60">
        <v>0.22759618507691856</v>
      </c>
      <c r="F170" s="61" t="str">
        <f t="shared" si="2"/>
        <v>Rojo</v>
      </c>
      <c r="G170" s="56"/>
      <c r="H170" s="56"/>
      <c r="I170" s="56"/>
      <c r="J170" s="56"/>
      <c r="K170" s="62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ht="15.75" customHeight="1">
      <c r="A171" s="59">
        <v>40202.0</v>
      </c>
      <c r="B171" s="63" t="s">
        <v>202</v>
      </c>
      <c r="C171" s="60">
        <v>0.03157644824311492</v>
      </c>
      <c r="D171" s="61" t="str">
        <f t="shared" si="1"/>
        <v>Rojo</v>
      </c>
      <c r="E171" s="60">
        <v>0.2794494542002847</v>
      </c>
      <c r="F171" s="61" t="str">
        <f t="shared" si="2"/>
        <v>Rojo</v>
      </c>
      <c r="G171" s="56"/>
      <c r="H171" s="56"/>
      <c r="I171" s="56"/>
      <c r="J171" s="56"/>
      <c r="K171" s="62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ht="15.75" customHeight="1">
      <c r="A172" s="59">
        <v>40301.0</v>
      </c>
      <c r="B172" s="63" t="s">
        <v>203</v>
      </c>
      <c r="C172" s="60">
        <v>0.039016990291262134</v>
      </c>
      <c r="D172" s="61" t="str">
        <f t="shared" si="1"/>
        <v>Rojo</v>
      </c>
      <c r="E172" s="60">
        <v>0.4650579963022334</v>
      </c>
      <c r="F172" s="61" t="str">
        <f t="shared" si="2"/>
        <v>Rojo</v>
      </c>
      <c r="G172" s="56"/>
      <c r="H172" s="56"/>
      <c r="I172" s="56"/>
      <c r="J172" s="56"/>
      <c r="K172" s="62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ht="15.75" customHeight="1">
      <c r="A173" s="59">
        <v>40302.0</v>
      </c>
      <c r="B173" s="63" t="s">
        <v>204</v>
      </c>
      <c r="C173" s="60">
        <v>0.0695970695970696</v>
      </c>
      <c r="D173" s="61" t="str">
        <f t="shared" si="1"/>
        <v>Rojo</v>
      </c>
      <c r="E173" s="60">
        <v>0.3969924812030075</v>
      </c>
      <c r="F173" s="61" t="str">
        <f t="shared" si="2"/>
        <v>Rojo</v>
      </c>
      <c r="G173" s="56"/>
      <c r="H173" s="56"/>
      <c r="I173" s="56"/>
      <c r="J173" s="56"/>
      <c r="K173" s="62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ht="15.75" customHeight="1">
      <c r="A174" s="59">
        <v>40401.0</v>
      </c>
      <c r="B174" s="63" t="s">
        <v>205</v>
      </c>
      <c r="C174" s="60">
        <v>0.08335425558624152</v>
      </c>
      <c r="D174" s="61" t="str">
        <f t="shared" si="1"/>
        <v>Rojo</v>
      </c>
      <c r="E174" s="60">
        <v>0.3503395569680116</v>
      </c>
      <c r="F174" s="61" t="str">
        <f t="shared" si="2"/>
        <v>Rojo</v>
      </c>
      <c r="G174" s="56"/>
      <c r="H174" s="56"/>
      <c r="I174" s="56"/>
      <c r="J174" s="56"/>
      <c r="K174" s="62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ht="15.75" customHeight="1">
      <c r="A175" s="59">
        <v>40402.0</v>
      </c>
      <c r="B175" s="63" t="s">
        <v>206</v>
      </c>
      <c r="C175" s="60">
        <v>0.019367671691792293</v>
      </c>
      <c r="D175" s="61" t="str">
        <f t="shared" si="1"/>
        <v>Rojo</v>
      </c>
      <c r="E175" s="60">
        <v>0.6987098983902271</v>
      </c>
      <c r="F175" s="61" t="str">
        <f t="shared" si="2"/>
        <v>Naranja</v>
      </c>
      <c r="G175" s="56"/>
      <c r="H175" s="56"/>
      <c r="I175" s="56"/>
      <c r="J175" s="56"/>
      <c r="K175" s="62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ht="15.75" customHeight="1">
      <c r="A176" s="59">
        <v>40501.0</v>
      </c>
      <c r="B176" s="63" t="s">
        <v>207</v>
      </c>
      <c r="C176" s="60">
        <v>0.02407932011331445</v>
      </c>
      <c r="D176" s="61" t="str">
        <f t="shared" si="1"/>
        <v>Rojo</v>
      </c>
      <c r="E176" s="60">
        <v>0.2073365231259968</v>
      </c>
      <c r="F176" s="61" t="str">
        <f t="shared" si="2"/>
        <v>Rojo</v>
      </c>
      <c r="G176" s="56"/>
      <c r="H176" s="56"/>
      <c r="I176" s="56"/>
      <c r="J176" s="56"/>
      <c r="K176" s="62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ht="15.75" customHeight="1">
      <c r="A177" s="59">
        <v>40502.0</v>
      </c>
      <c r="B177" s="63" t="s">
        <v>208</v>
      </c>
      <c r="C177" s="60">
        <v>0.08707567185289956</v>
      </c>
      <c r="D177" s="61" t="str">
        <f t="shared" si="1"/>
        <v>Rojo</v>
      </c>
      <c r="E177" s="60">
        <v>0.6598620689655171</v>
      </c>
      <c r="F177" s="61" t="str">
        <f t="shared" si="2"/>
        <v>Naranja</v>
      </c>
      <c r="G177" s="56"/>
      <c r="H177" s="56"/>
      <c r="I177" s="56"/>
      <c r="J177" s="56"/>
      <c r="K177" s="62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5.75" customHeight="1">
      <c r="A178" s="59">
        <v>40503.0</v>
      </c>
      <c r="B178" s="63" t="s">
        <v>209</v>
      </c>
      <c r="C178" s="60">
        <v>0.037654653039268425</v>
      </c>
      <c r="D178" s="61" t="str">
        <f t="shared" si="1"/>
        <v>Rojo</v>
      </c>
      <c r="E178" s="60">
        <v>0.8616666666666667</v>
      </c>
      <c r="F178" s="61" t="str">
        <f t="shared" si="2"/>
        <v>Amarillo</v>
      </c>
      <c r="G178" s="56"/>
      <c r="H178" s="56"/>
      <c r="I178" s="56"/>
      <c r="J178" s="56"/>
      <c r="K178" s="62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ht="15.75" customHeight="1">
      <c r="A179" s="59">
        <v>40504.0</v>
      </c>
      <c r="B179" s="63" t="s">
        <v>210</v>
      </c>
      <c r="C179" s="60">
        <v>0.2122641509433962</v>
      </c>
      <c r="D179" s="61" t="str">
        <f t="shared" si="1"/>
        <v>Rojo</v>
      </c>
      <c r="E179" s="60">
        <v>0.18936877076411962</v>
      </c>
      <c r="F179" s="61" t="str">
        <f t="shared" si="2"/>
        <v>Rojo</v>
      </c>
      <c r="G179" s="56"/>
      <c r="H179" s="56"/>
      <c r="I179" s="56"/>
      <c r="J179" s="56"/>
      <c r="K179" s="62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ht="15.75" customHeight="1">
      <c r="A180" s="59">
        <v>40505.0</v>
      </c>
      <c r="B180" s="63" t="s">
        <v>211</v>
      </c>
      <c r="C180" s="60">
        <v>0.05319750990379173</v>
      </c>
      <c r="D180" s="61" t="str">
        <f t="shared" si="1"/>
        <v>Rojo</v>
      </c>
      <c r="E180" s="60">
        <v>0.21375494071146242</v>
      </c>
      <c r="F180" s="61" t="str">
        <f t="shared" si="2"/>
        <v>Rojo</v>
      </c>
      <c r="G180" s="56"/>
      <c r="H180" s="56"/>
      <c r="I180" s="56"/>
      <c r="J180" s="56"/>
      <c r="K180" s="62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ht="15.75" customHeight="1">
      <c r="A181" s="59">
        <v>40601.0</v>
      </c>
      <c r="B181" s="63" t="s">
        <v>212</v>
      </c>
      <c r="C181" s="60">
        <v>0.0711533104280806</v>
      </c>
      <c r="D181" s="61" t="str">
        <f t="shared" si="1"/>
        <v>Rojo</v>
      </c>
      <c r="E181" s="60">
        <v>0.1385534931218838</v>
      </c>
      <c r="F181" s="61" t="str">
        <f t="shared" si="2"/>
        <v>Rojo</v>
      </c>
      <c r="G181" s="56"/>
      <c r="H181" s="56"/>
      <c r="I181" s="56"/>
      <c r="J181" s="56"/>
      <c r="K181" s="62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ht="15.75" customHeight="1">
      <c r="A182" s="59">
        <v>40602.0</v>
      </c>
      <c r="B182" s="63" t="s">
        <v>213</v>
      </c>
      <c r="C182" s="60">
        <v>0.0684236372565068</v>
      </c>
      <c r="D182" s="61" t="str">
        <f t="shared" si="1"/>
        <v>Rojo</v>
      </c>
      <c r="E182" s="60">
        <v>0.3579234972677596</v>
      </c>
      <c r="F182" s="61" t="str">
        <f t="shared" si="2"/>
        <v>Rojo</v>
      </c>
      <c r="G182" s="56"/>
      <c r="H182" s="56"/>
      <c r="I182" s="56"/>
      <c r="J182" s="56"/>
      <c r="K182" s="62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ht="15.75" customHeight="1">
      <c r="A183" s="59">
        <v>40603.0</v>
      </c>
      <c r="B183" s="63" t="s">
        <v>214</v>
      </c>
      <c r="C183" s="60">
        <v>0.0</v>
      </c>
      <c r="D183" s="61" t="str">
        <f t="shared" si="1"/>
        <v>Rojo</v>
      </c>
      <c r="E183" s="60">
        <v>0.20817843866171004</v>
      </c>
      <c r="F183" s="61" t="str">
        <f t="shared" si="2"/>
        <v>Rojo</v>
      </c>
      <c r="G183" s="56"/>
      <c r="H183" s="56"/>
      <c r="I183" s="56"/>
      <c r="J183" s="56"/>
      <c r="K183" s="62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ht="15.75" customHeight="1">
      <c r="A184" s="59">
        <v>40701.0</v>
      </c>
      <c r="B184" s="63" t="s">
        <v>215</v>
      </c>
      <c r="C184" s="60">
        <v>0.06663647342995169</v>
      </c>
      <c r="D184" s="61" t="str">
        <f t="shared" si="1"/>
        <v>Rojo</v>
      </c>
      <c r="E184" s="60">
        <v>0.19356081489501614</v>
      </c>
      <c r="F184" s="61" t="str">
        <f t="shared" si="2"/>
        <v>Rojo</v>
      </c>
      <c r="G184" s="56"/>
      <c r="H184" s="56"/>
      <c r="I184" s="56"/>
      <c r="J184" s="56"/>
      <c r="K184" s="62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ht="15.75" customHeight="1">
      <c r="A185" s="59">
        <v>40702.0</v>
      </c>
      <c r="B185" s="63" t="s">
        <v>216</v>
      </c>
      <c r="C185" s="60">
        <v>0.04650798621985593</v>
      </c>
      <c r="D185" s="61" t="str">
        <f t="shared" si="1"/>
        <v>Rojo</v>
      </c>
      <c r="E185" s="60">
        <v>0.24216777497244055</v>
      </c>
      <c r="F185" s="61" t="str">
        <f t="shared" si="2"/>
        <v>Rojo</v>
      </c>
      <c r="G185" s="56"/>
      <c r="H185" s="56"/>
      <c r="I185" s="56"/>
      <c r="J185" s="56"/>
      <c r="K185" s="62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ht="15.75" customHeight="1">
      <c r="A186" s="59">
        <v>40801.0</v>
      </c>
      <c r="B186" s="63" t="s">
        <v>409</v>
      </c>
      <c r="C186" s="60">
        <v>0.05847249257248233</v>
      </c>
      <c r="D186" s="61" t="str">
        <f t="shared" si="1"/>
        <v>Rojo</v>
      </c>
      <c r="E186" s="60">
        <v>0.28871794871794876</v>
      </c>
      <c r="F186" s="61" t="str">
        <f t="shared" si="2"/>
        <v>Rojo</v>
      </c>
      <c r="G186" s="56"/>
      <c r="H186" s="56"/>
      <c r="I186" s="56"/>
      <c r="J186" s="56"/>
      <c r="K186" s="62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ht="15.75" customHeight="1">
      <c r="A187" s="59">
        <v>40802.0</v>
      </c>
      <c r="B187" s="63" t="s">
        <v>218</v>
      </c>
      <c r="C187" s="60">
        <v>0.0</v>
      </c>
      <c r="D187" s="61" t="str">
        <f t="shared" si="1"/>
        <v>Rojo</v>
      </c>
      <c r="E187" s="60">
        <v>0.21279949558638084</v>
      </c>
      <c r="F187" s="61" t="str">
        <f t="shared" si="2"/>
        <v>Rojo</v>
      </c>
      <c r="G187" s="56"/>
      <c r="H187" s="56"/>
      <c r="I187" s="56"/>
      <c r="J187" s="56"/>
      <c r="K187" s="62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ht="15.75" customHeight="1">
      <c r="A188" s="59">
        <v>40901.0</v>
      </c>
      <c r="B188" s="63" t="s">
        <v>219</v>
      </c>
      <c r="C188" s="60">
        <v>0.04478982049534197</v>
      </c>
      <c r="D188" s="61" t="str">
        <f t="shared" si="1"/>
        <v>Rojo</v>
      </c>
      <c r="E188" s="60">
        <v>0.29506230153571894</v>
      </c>
      <c r="F188" s="61" t="str">
        <f t="shared" si="2"/>
        <v>Rojo</v>
      </c>
      <c r="G188" s="56"/>
      <c r="H188" s="56"/>
      <c r="I188" s="56"/>
      <c r="J188" s="56"/>
      <c r="K188" s="62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5.75" customHeight="1">
      <c r="A189" s="59">
        <v>40902.0</v>
      </c>
      <c r="B189" s="63" t="s">
        <v>220</v>
      </c>
      <c r="C189" s="60">
        <v>0.04884453781512604</v>
      </c>
      <c r="D189" s="61" t="str">
        <f t="shared" si="1"/>
        <v>Rojo</v>
      </c>
      <c r="E189" s="60">
        <v>0.06163594470046083</v>
      </c>
      <c r="F189" s="61" t="str">
        <f t="shared" si="2"/>
        <v>Rojo</v>
      </c>
      <c r="G189" s="56"/>
      <c r="H189" s="56"/>
      <c r="I189" s="56"/>
      <c r="J189" s="56"/>
      <c r="K189" s="62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ht="15.75" customHeight="1">
      <c r="A190" s="59">
        <v>40903.0</v>
      </c>
      <c r="B190" s="63" t="s">
        <v>410</v>
      </c>
      <c r="C190" s="60">
        <v>0.022935779816513763</v>
      </c>
      <c r="D190" s="61" t="str">
        <f t="shared" si="1"/>
        <v>Rojo</v>
      </c>
      <c r="E190" s="60">
        <v>0.3598862019914652</v>
      </c>
      <c r="F190" s="61" t="str">
        <f t="shared" si="2"/>
        <v>Rojo</v>
      </c>
      <c r="G190" s="56"/>
      <c r="H190" s="56"/>
      <c r="I190" s="56"/>
      <c r="J190" s="56"/>
      <c r="K190" s="62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ht="15.75" customHeight="1">
      <c r="A191" s="59">
        <v>41001.0</v>
      </c>
      <c r="B191" s="63" t="s">
        <v>222</v>
      </c>
      <c r="C191" s="60">
        <v>0.04204042133472289</v>
      </c>
      <c r="D191" s="61" t="str">
        <f t="shared" si="1"/>
        <v>Rojo</v>
      </c>
      <c r="E191" s="60">
        <v>0.33052530993034424</v>
      </c>
      <c r="F191" s="61" t="str">
        <f t="shared" si="2"/>
        <v>Rojo</v>
      </c>
      <c r="G191" s="56"/>
      <c r="H191" s="56"/>
      <c r="I191" s="56"/>
      <c r="J191" s="56"/>
      <c r="K191" s="62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ht="15.75" customHeight="1">
      <c r="A192" s="59">
        <v>41101.0</v>
      </c>
      <c r="B192" s="63" t="s">
        <v>223</v>
      </c>
      <c r="C192" s="60">
        <v>0.12244897959183675</v>
      </c>
      <c r="D192" s="61" t="str">
        <f t="shared" si="1"/>
        <v>Rojo</v>
      </c>
      <c r="E192" s="60">
        <v>0.31222707423580787</v>
      </c>
      <c r="F192" s="61" t="str">
        <f t="shared" si="2"/>
        <v>Rojo</v>
      </c>
      <c r="G192" s="56"/>
      <c r="H192" s="56"/>
      <c r="I192" s="56"/>
      <c r="J192" s="56"/>
      <c r="K192" s="62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ht="15.75" customHeight="1">
      <c r="A193" s="59">
        <v>41201.0</v>
      </c>
      <c r="B193" s="63" t="s">
        <v>411</v>
      </c>
      <c r="C193" s="60">
        <v>0.06081821502496042</v>
      </c>
      <c r="D193" s="61" t="str">
        <f t="shared" si="1"/>
        <v>Rojo</v>
      </c>
      <c r="E193" s="60">
        <v>0.38364779874213834</v>
      </c>
      <c r="F193" s="61" t="str">
        <f t="shared" si="2"/>
        <v>Rojo</v>
      </c>
      <c r="G193" s="56"/>
      <c r="H193" s="56"/>
      <c r="I193" s="56"/>
      <c r="J193" s="56"/>
      <c r="K193" s="62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ht="15.75" customHeight="1">
      <c r="A194" s="59">
        <v>41202.0</v>
      </c>
      <c r="B194" s="63" t="s">
        <v>225</v>
      </c>
      <c r="C194" s="60">
        <v>0.05459508644222021</v>
      </c>
      <c r="D194" s="61" t="str">
        <f t="shared" si="1"/>
        <v>Rojo</v>
      </c>
      <c r="E194" s="60">
        <v>0.5045454545454545</v>
      </c>
      <c r="F194" s="61" t="str">
        <f t="shared" si="2"/>
        <v>Naranja</v>
      </c>
      <c r="G194" s="56"/>
      <c r="H194" s="56"/>
      <c r="I194" s="56"/>
      <c r="J194" s="56"/>
      <c r="K194" s="62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ht="15.75" customHeight="1">
      <c r="A195" s="59">
        <v>41301.0</v>
      </c>
      <c r="B195" s="63" t="s">
        <v>180</v>
      </c>
      <c r="C195" s="60">
        <v>0.023671474435765963</v>
      </c>
      <c r="D195" s="61" t="str">
        <f t="shared" si="1"/>
        <v>Rojo</v>
      </c>
      <c r="E195" s="60">
        <v>0.40335587929240374</v>
      </c>
      <c r="F195" s="61" t="str">
        <f t="shared" si="2"/>
        <v>Rojo</v>
      </c>
      <c r="G195" s="56"/>
      <c r="H195" s="56"/>
      <c r="I195" s="56"/>
      <c r="J195" s="56"/>
      <c r="K195" s="62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ht="15.75" customHeight="1">
      <c r="A196" s="59">
        <v>41401.0</v>
      </c>
      <c r="B196" s="63" t="s">
        <v>227</v>
      </c>
      <c r="C196" s="60">
        <v>0.05537280701754386</v>
      </c>
      <c r="D196" s="61" t="str">
        <f t="shared" si="1"/>
        <v>Rojo</v>
      </c>
      <c r="E196" s="60">
        <v>0.29427449028565333</v>
      </c>
      <c r="F196" s="61" t="str">
        <f t="shared" si="2"/>
        <v>Rojo</v>
      </c>
      <c r="G196" s="56"/>
      <c r="H196" s="56"/>
      <c r="I196" s="56"/>
      <c r="J196" s="56"/>
      <c r="K196" s="62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ht="15.75" customHeight="1">
      <c r="A197" s="59">
        <v>41501.0</v>
      </c>
      <c r="B197" s="63" t="s">
        <v>228</v>
      </c>
      <c r="C197" s="60">
        <v>0.0</v>
      </c>
      <c r="D197" s="61" t="str">
        <f t="shared" si="1"/>
        <v>Rojo</v>
      </c>
      <c r="E197" s="60">
        <v>0.5882352941176471</v>
      </c>
      <c r="F197" s="61" t="str">
        <f t="shared" si="2"/>
        <v>Naranja</v>
      </c>
      <c r="G197" s="56"/>
      <c r="H197" s="56"/>
      <c r="I197" s="56"/>
      <c r="J197" s="56"/>
      <c r="K197" s="62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ht="15.75" customHeight="1">
      <c r="A198" s="59">
        <v>41502.0</v>
      </c>
      <c r="B198" s="63" t="s">
        <v>229</v>
      </c>
      <c r="C198" s="60">
        <v>0.0</v>
      </c>
      <c r="D198" s="61" t="str">
        <f t="shared" si="1"/>
        <v>Rojo</v>
      </c>
      <c r="E198" s="60">
        <v>0.23239436619718307</v>
      </c>
      <c r="F198" s="61" t="str">
        <f t="shared" si="2"/>
        <v>Rojo</v>
      </c>
      <c r="G198" s="56"/>
      <c r="H198" s="56"/>
      <c r="I198" s="56"/>
      <c r="J198" s="56"/>
      <c r="K198" s="62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ht="15.75" customHeight="1">
      <c r="A199" s="59">
        <v>41503.0</v>
      </c>
      <c r="B199" s="63" t="s">
        <v>230</v>
      </c>
      <c r="C199" s="60">
        <v>0.0</v>
      </c>
      <c r="D199" s="61" t="str">
        <f t="shared" si="1"/>
        <v>Rojo</v>
      </c>
      <c r="E199" s="60">
        <v>0.2642857142857143</v>
      </c>
      <c r="F199" s="61" t="str">
        <f t="shared" si="2"/>
        <v>Rojo</v>
      </c>
      <c r="G199" s="56"/>
      <c r="H199" s="56"/>
      <c r="I199" s="56"/>
      <c r="J199" s="56"/>
      <c r="K199" s="62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5.75" customHeight="1">
      <c r="A200" s="59">
        <v>41601.0</v>
      </c>
      <c r="B200" s="63" t="s">
        <v>412</v>
      </c>
      <c r="C200" s="60">
        <v>0.211031175059952</v>
      </c>
      <c r="D200" s="61" t="str">
        <f t="shared" si="1"/>
        <v>Rojo</v>
      </c>
      <c r="E200" s="60">
        <v>0.5121543885693078</v>
      </c>
      <c r="F200" s="61" t="str">
        <f t="shared" si="2"/>
        <v>Naranja</v>
      </c>
      <c r="G200" s="56"/>
      <c r="H200" s="56"/>
      <c r="I200" s="56"/>
      <c r="J200" s="56"/>
      <c r="K200" s="62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ht="15.75" customHeight="1">
      <c r="A201" s="59">
        <v>50101.0</v>
      </c>
      <c r="B201" s="63" t="s">
        <v>30</v>
      </c>
      <c r="C201" s="60">
        <v>0.07091413017664115</v>
      </c>
      <c r="D201" s="61" t="str">
        <f t="shared" si="1"/>
        <v>Rojo</v>
      </c>
      <c r="E201" s="60">
        <v>0.16901509895487124</v>
      </c>
      <c r="F201" s="61" t="str">
        <f t="shared" si="2"/>
        <v>Rojo</v>
      </c>
      <c r="G201" s="56"/>
      <c r="H201" s="56"/>
      <c r="I201" s="56"/>
      <c r="J201" s="56"/>
      <c r="K201" s="62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ht="15.75" customHeight="1">
      <c r="A202" s="59">
        <v>50102.0</v>
      </c>
      <c r="B202" s="63" t="s">
        <v>232</v>
      </c>
      <c r="C202" s="60">
        <v>0.03628990627832012</v>
      </c>
      <c r="D202" s="61" t="str">
        <f t="shared" si="1"/>
        <v>Rojo</v>
      </c>
      <c r="E202" s="60">
        <v>0.16513680472374942</v>
      </c>
      <c r="F202" s="61" t="str">
        <f t="shared" si="2"/>
        <v>Rojo</v>
      </c>
      <c r="G202" s="56"/>
      <c r="H202" s="56"/>
      <c r="I202" s="56"/>
      <c r="J202" s="56"/>
      <c r="K202" s="62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ht="15.75" customHeight="1">
      <c r="A203" s="59">
        <v>50103.0</v>
      </c>
      <c r="B203" s="63" t="s">
        <v>233</v>
      </c>
      <c r="C203" s="60">
        <v>0.040294327273457345</v>
      </c>
      <c r="D203" s="61" t="str">
        <f t="shared" si="1"/>
        <v>Rojo</v>
      </c>
      <c r="E203" s="60">
        <v>0.22041716807059766</v>
      </c>
      <c r="F203" s="61" t="str">
        <f t="shared" si="2"/>
        <v>Rojo</v>
      </c>
      <c r="G203" s="56"/>
      <c r="H203" s="56"/>
      <c r="I203" s="56"/>
      <c r="J203" s="56"/>
      <c r="K203" s="62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ht="15.75" customHeight="1">
      <c r="A204" s="59">
        <v>50104.0</v>
      </c>
      <c r="B204" s="63" t="s">
        <v>413</v>
      </c>
      <c r="C204" s="60">
        <v>0.0</v>
      </c>
      <c r="D204" s="61" t="str">
        <f t="shared" si="1"/>
        <v>Rojo</v>
      </c>
      <c r="E204" s="60">
        <v>0.09832593787817667</v>
      </c>
      <c r="F204" s="61" t="str">
        <f t="shared" si="2"/>
        <v>Rojo</v>
      </c>
      <c r="G204" s="56"/>
      <c r="H204" s="56"/>
      <c r="I204" s="56"/>
      <c r="J204" s="56"/>
      <c r="K204" s="62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t="15.75" customHeight="1">
      <c r="A205" s="59">
        <v>50201.0</v>
      </c>
      <c r="B205" s="63" t="s">
        <v>235</v>
      </c>
      <c r="C205" s="60">
        <v>0.052718687018934646</v>
      </c>
      <c r="D205" s="61" t="str">
        <f t="shared" si="1"/>
        <v>Rojo</v>
      </c>
      <c r="E205" s="60">
        <v>0.25671166084764346</v>
      </c>
      <c r="F205" s="61" t="str">
        <f t="shared" si="2"/>
        <v>Rojo</v>
      </c>
      <c r="G205" s="56"/>
      <c r="H205" s="56"/>
      <c r="I205" s="56"/>
      <c r="J205" s="56"/>
      <c r="K205" s="62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t="15.75" customHeight="1">
      <c r="A206" s="59">
        <v>50202.0</v>
      </c>
      <c r="B206" s="63" t="s">
        <v>236</v>
      </c>
      <c r="C206" s="60">
        <v>0.02967875904603989</v>
      </c>
      <c r="D206" s="61" t="str">
        <f t="shared" si="1"/>
        <v>Rojo</v>
      </c>
      <c r="E206" s="60">
        <v>0.23457500911585774</v>
      </c>
      <c r="F206" s="61" t="str">
        <f t="shared" si="2"/>
        <v>Rojo</v>
      </c>
      <c r="G206" s="56"/>
      <c r="H206" s="56"/>
      <c r="I206" s="56"/>
      <c r="J206" s="56"/>
      <c r="K206" s="62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ht="15.75" customHeight="1">
      <c r="A207" s="59">
        <v>50203.0</v>
      </c>
      <c r="B207" s="63" t="s">
        <v>237</v>
      </c>
      <c r="C207" s="60">
        <v>0.0988380215138591</v>
      </c>
      <c r="D207" s="61" t="str">
        <f t="shared" si="1"/>
        <v>Rojo</v>
      </c>
      <c r="E207" s="60">
        <v>0.2195072767889495</v>
      </c>
      <c r="F207" s="61" t="str">
        <f t="shared" si="2"/>
        <v>Rojo</v>
      </c>
      <c r="G207" s="56"/>
      <c r="H207" s="56"/>
      <c r="I207" s="56"/>
      <c r="J207" s="56"/>
      <c r="K207" s="62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ht="15.75" customHeight="1">
      <c r="A208" s="59">
        <v>50204.0</v>
      </c>
      <c r="B208" s="63" t="s">
        <v>414</v>
      </c>
      <c r="C208" s="60">
        <v>0.04332153119868637</v>
      </c>
      <c r="D208" s="61" t="str">
        <f t="shared" si="1"/>
        <v>Rojo</v>
      </c>
      <c r="E208" s="60">
        <v>0.12101105230386051</v>
      </c>
      <c r="F208" s="61" t="str">
        <f t="shared" si="2"/>
        <v>Rojo</v>
      </c>
      <c r="G208" s="56"/>
      <c r="H208" s="56"/>
      <c r="I208" s="56"/>
      <c r="J208" s="56"/>
      <c r="K208" s="62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ht="15.75" customHeight="1">
      <c r="A209" s="59">
        <v>50301.0</v>
      </c>
      <c r="B209" s="63" t="s">
        <v>239</v>
      </c>
      <c r="C209" s="60">
        <v>0.02199818081201936</v>
      </c>
      <c r="D209" s="61" t="str">
        <f t="shared" si="1"/>
        <v>Rojo</v>
      </c>
      <c r="E209" s="60">
        <v>0.3233789803662762</v>
      </c>
      <c r="F209" s="61" t="str">
        <f t="shared" si="2"/>
        <v>Rojo</v>
      </c>
      <c r="G209" s="56"/>
      <c r="H209" s="56"/>
      <c r="I209" s="56"/>
      <c r="J209" s="56"/>
      <c r="K209" s="62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ht="15.75" customHeight="1">
      <c r="A210" s="59">
        <v>50302.0</v>
      </c>
      <c r="B210" s="63" t="s">
        <v>240</v>
      </c>
      <c r="C210" s="60">
        <v>0.04320987654320988</v>
      </c>
      <c r="D210" s="61" t="str">
        <f t="shared" si="1"/>
        <v>Rojo</v>
      </c>
      <c r="E210" s="60">
        <v>0.28323797414706503</v>
      </c>
      <c r="F210" s="61" t="str">
        <f t="shared" si="2"/>
        <v>Rojo</v>
      </c>
      <c r="G210" s="56"/>
      <c r="H210" s="56"/>
      <c r="I210" s="56"/>
      <c r="J210" s="56"/>
      <c r="K210" s="62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ht="15.75" customHeight="1">
      <c r="A211" s="59">
        <v>50303.0</v>
      </c>
      <c r="B211" s="63" t="s">
        <v>241</v>
      </c>
      <c r="C211" s="60">
        <v>0.03015846050756439</v>
      </c>
      <c r="D211" s="61" t="str">
        <f t="shared" si="1"/>
        <v>Rojo</v>
      </c>
      <c r="E211" s="60">
        <v>0.256422965716646</v>
      </c>
      <c r="F211" s="61" t="str">
        <f t="shared" si="2"/>
        <v>Rojo</v>
      </c>
      <c r="G211" s="56"/>
      <c r="H211" s="56"/>
      <c r="I211" s="56"/>
      <c r="J211" s="56"/>
      <c r="K211" s="62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ht="15.75" customHeight="1">
      <c r="A212" s="59">
        <v>50401.0</v>
      </c>
      <c r="B212" s="63" t="s">
        <v>242</v>
      </c>
      <c r="C212" s="60">
        <v>0.03569204738621764</v>
      </c>
      <c r="D212" s="61" t="str">
        <f t="shared" si="1"/>
        <v>Rojo</v>
      </c>
      <c r="E212" s="60">
        <v>0.10234498328791526</v>
      </c>
      <c r="F212" s="61" t="str">
        <f t="shared" si="2"/>
        <v>Rojo</v>
      </c>
      <c r="G212" s="56"/>
      <c r="H212" s="56"/>
      <c r="I212" s="56"/>
      <c r="J212" s="56"/>
      <c r="K212" s="62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ht="15.75" customHeight="1">
      <c r="A213" s="59">
        <v>50402.0</v>
      </c>
      <c r="B213" s="63" t="s">
        <v>243</v>
      </c>
      <c r="C213" s="60">
        <v>0.029881083270644062</v>
      </c>
      <c r="D213" s="61" t="str">
        <f t="shared" si="1"/>
        <v>Rojo</v>
      </c>
      <c r="E213" s="60">
        <v>0.25337354509187426</v>
      </c>
      <c r="F213" s="61" t="str">
        <f t="shared" si="2"/>
        <v>Rojo</v>
      </c>
      <c r="G213" s="56"/>
      <c r="H213" s="56"/>
      <c r="I213" s="56"/>
      <c r="J213" s="56"/>
      <c r="K213" s="62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ht="15.75" customHeight="1">
      <c r="A214" s="59">
        <v>50403.0</v>
      </c>
      <c r="B214" s="63" t="s">
        <v>244</v>
      </c>
      <c r="C214" s="60">
        <v>0.049306170652494825</v>
      </c>
      <c r="D214" s="61" t="str">
        <f t="shared" si="1"/>
        <v>Rojo</v>
      </c>
      <c r="E214" s="60">
        <v>0.3235100076646196</v>
      </c>
      <c r="F214" s="61" t="str">
        <f t="shared" si="2"/>
        <v>Rojo</v>
      </c>
      <c r="G214" s="56"/>
      <c r="H214" s="56"/>
      <c r="I214" s="56"/>
      <c r="J214" s="56"/>
      <c r="K214" s="62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ht="15.75" customHeight="1">
      <c r="A215" s="59">
        <v>50404.0</v>
      </c>
      <c r="B215" s="63" t="s">
        <v>245</v>
      </c>
      <c r="C215" s="60">
        <v>0.028505004163687075</v>
      </c>
      <c r="D215" s="61" t="str">
        <f t="shared" si="1"/>
        <v>Rojo</v>
      </c>
      <c r="E215" s="60">
        <v>0.21734812964517516</v>
      </c>
      <c r="F215" s="61" t="str">
        <f t="shared" si="2"/>
        <v>Rojo</v>
      </c>
      <c r="G215" s="56"/>
      <c r="H215" s="56"/>
      <c r="I215" s="56"/>
      <c r="J215" s="56"/>
      <c r="K215" s="62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ht="15.75" customHeight="1">
      <c r="A216" s="59">
        <v>50405.0</v>
      </c>
      <c r="B216" s="63" t="s">
        <v>246</v>
      </c>
      <c r="C216" s="60">
        <v>0.016036655211912946</v>
      </c>
      <c r="D216" s="61" t="str">
        <f t="shared" si="1"/>
        <v>Rojo</v>
      </c>
      <c r="E216" s="60">
        <v>0.27579707065221665</v>
      </c>
      <c r="F216" s="61" t="str">
        <f t="shared" si="2"/>
        <v>Rojo</v>
      </c>
      <c r="G216" s="56"/>
      <c r="H216" s="56"/>
      <c r="I216" s="56"/>
      <c r="J216" s="56"/>
      <c r="K216" s="62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ht="15.75" customHeight="1">
      <c r="A217" s="59">
        <v>50501.0</v>
      </c>
      <c r="B217" s="63" t="s">
        <v>322</v>
      </c>
      <c r="C217" s="60">
        <v>0.04736281092413168</v>
      </c>
      <c r="D217" s="61" t="str">
        <f t="shared" si="1"/>
        <v>Rojo</v>
      </c>
      <c r="E217" s="60">
        <v>0.4013587722346413</v>
      </c>
      <c r="F217" s="61" t="str">
        <f t="shared" si="2"/>
        <v>Rojo</v>
      </c>
      <c r="G217" s="56"/>
      <c r="H217" s="56"/>
      <c r="I217" s="56"/>
      <c r="J217" s="56"/>
      <c r="K217" s="62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ht="15.75" customHeight="1">
      <c r="A218" s="59">
        <v>50502.0</v>
      </c>
      <c r="B218" s="63" t="s">
        <v>248</v>
      </c>
      <c r="C218" s="60">
        <v>0.06343779677113011</v>
      </c>
      <c r="D218" s="61" t="str">
        <f t="shared" si="1"/>
        <v>Rojo</v>
      </c>
      <c r="E218" s="60">
        <v>0.4613662709357637</v>
      </c>
      <c r="F218" s="61" t="str">
        <f t="shared" si="2"/>
        <v>Rojo</v>
      </c>
      <c r="G218" s="56"/>
      <c r="H218" s="56"/>
      <c r="I218" s="56"/>
      <c r="J218" s="56"/>
      <c r="K218" s="62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ht="15.75" customHeight="1">
      <c r="A219" s="59">
        <v>50601.0</v>
      </c>
      <c r="B219" s="63" t="s">
        <v>249</v>
      </c>
      <c r="C219" s="60">
        <v>0.026564049632100385</v>
      </c>
      <c r="D219" s="61" t="str">
        <f t="shared" si="1"/>
        <v>Rojo</v>
      </c>
      <c r="E219" s="60">
        <v>0.29666377440347075</v>
      </c>
      <c r="F219" s="61" t="str">
        <f t="shared" si="2"/>
        <v>Rojo</v>
      </c>
      <c r="G219" s="56"/>
      <c r="H219" s="56"/>
      <c r="I219" s="56"/>
      <c r="J219" s="56"/>
      <c r="K219" s="62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ht="15.75" customHeight="1">
      <c r="A220" s="59">
        <v>50602.0</v>
      </c>
      <c r="B220" s="63" t="s">
        <v>250</v>
      </c>
      <c r="C220" s="60">
        <v>0.05144869961332699</v>
      </c>
      <c r="D220" s="61" t="str">
        <f t="shared" si="1"/>
        <v>Rojo</v>
      </c>
      <c r="E220" s="60">
        <v>0.3579095572655292</v>
      </c>
      <c r="F220" s="61" t="str">
        <f t="shared" si="2"/>
        <v>Rojo</v>
      </c>
      <c r="G220" s="56"/>
      <c r="H220" s="56"/>
      <c r="I220" s="56"/>
      <c r="J220" s="56"/>
      <c r="K220" s="62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ht="15.75" customHeight="1">
      <c r="A221" s="59">
        <v>50701.0</v>
      </c>
      <c r="B221" s="63" t="s">
        <v>415</v>
      </c>
      <c r="C221" s="60">
        <v>0.06837185254737893</v>
      </c>
      <c r="D221" s="61" t="str">
        <f t="shared" si="1"/>
        <v>Rojo</v>
      </c>
      <c r="E221" s="60">
        <v>0.306951729167251</v>
      </c>
      <c r="F221" s="61" t="str">
        <f t="shared" si="2"/>
        <v>Rojo</v>
      </c>
      <c r="G221" s="56"/>
      <c r="H221" s="56"/>
      <c r="I221" s="56"/>
      <c r="J221" s="56"/>
      <c r="K221" s="62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ht="15.75" customHeight="1">
      <c r="A222" s="59">
        <v>50702.0</v>
      </c>
      <c r="B222" s="63" t="s">
        <v>252</v>
      </c>
      <c r="C222" s="60">
        <v>0.09598426265092931</v>
      </c>
      <c r="D222" s="61" t="str">
        <f t="shared" si="1"/>
        <v>Rojo</v>
      </c>
      <c r="E222" s="60">
        <v>0.3438700679353939</v>
      </c>
      <c r="F222" s="61" t="str">
        <f t="shared" si="2"/>
        <v>Rojo</v>
      </c>
      <c r="G222" s="56"/>
      <c r="H222" s="56"/>
      <c r="I222" s="56"/>
      <c r="J222" s="56"/>
      <c r="K222" s="62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ht="15.75" customHeight="1">
      <c r="A223" s="59">
        <v>50801.0</v>
      </c>
      <c r="B223" s="63" t="s">
        <v>253</v>
      </c>
      <c r="C223" s="60">
        <v>0.05575075680667686</v>
      </c>
      <c r="D223" s="61" t="str">
        <f t="shared" si="1"/>
        <v>Rojo</v>
      </c>
      <c r="E223" s="60">
        <v>0.2231799753216993</v>
      </c>
      <c r="F223" s="61" t="str">
        <f t="shared" si="2"/>
        <v>Rojo</v>
      </c>
      <c r="G223" s="56"/>
      <c r="H223" s="56"/>
      <c r="I223" s="56"/>
      <c r="J223" s="56"/>
      <c r="K223" s="62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ht="15.75" customHeight="1">
      <c r="A224" s="59">
        <v>50802.0</v>
      </c>
      <c r="B224" s="63" t="s">
        <v>254</v>
      </c>
      <c r="C224" s="60">
        <v>0.03424320146756578</v>
      </c>
      <c r="D224" s="61" t="str">
        <f t="shared" si="1"/>
        <v>Rojo</v>
      </c>
      <c r="E224" s="60">
        <v>0.06891571236975137</v>
      </c>
      <c r="F224" s="61" t="str">
        <f t="shared" si="2"/>
        <v>Rojo</v>
      </c>
      <c r="G224" s="56"/>
      <c r="H224" s="56"/>
      <c r="I224" s="56"/>
      <c r="J224" s="56"/>
      <c r="K224" s="62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ht="15.75" customHeight="1">
      <c r="A225" s="59">
        <v>50901.0</v>
      </c>
      <c r="B225" s="63" t="s">
        <v>416</v>
      </c>
      <c r="C225" s="60">
        <v>0.03271852647311869</v>
      </c>
      <c r="D225" s="61" t="str">
        <f t="shared" si="1"/>
        <v>Rojo</v>
      </c>
      <c r="E225" s="60">
        <v>0.18225622204938752</v>
      </c>
      <c r="F225" s="61" t="str">
        <f t="shared" si="2"/>
        <v>Rojo</v>
      </c>
      <c r="G225" s="56"/>
      <c r="H225" s="56"/>
      <c r="I225" s="56"/>
      <c r="J225" s="56"/>
      <c r="K225" s="62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ht="15.75" customHeight="1">
      <c r="A226" s="59">
        <v>50902.0</v>
      </c>
      <c r="B226" s="63" t="s">
        <v>256</v>
      </c>
      <c r="C226" s="60">
        <v>0.06797853309481217</v>
      </c>
      <c r="D226" s="61" t="str">
        <f t="shared" si="1"/>
        <v>Rojo</v>
      </c>
      <c r="E226" s="60">
        <v>0.19966386554621854</v>
      </c>
      <c r="F226" s="61" t="str">
        <f t="shared" si="2"/>
        <v>Rojo</v>
      </c>
      <c r="G226" s="56"/>
      <c r="H226" s="56"/>
      <c r="I226" s="56"/>
      <c r="J226" s="56"/>
      <c r="K226" s="62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ht="15.75" customHeight="1">
      <c r="A227" s="59">
        <v>51001.0</v>
      </c>
      <c r="B227" s="63" t="s">
        <v>417</v>
      </c>
      <c r="C227" s="60">
        <v>0.04244464850525456</v>
      </c>
      <c r="D227" s="61" t="str">
        <f t="shared" si="1"/>
        <v>Rojo</v>
      </c>
      <c r="E227" s="60">
        <v>0.190139183769757</v>
      </c>
      <c r="F227" s="61" t="str">
        <f t="shared" si="2"/>
        <v>Rojo</v>
      </c>
      <c r="G227" s="56"/>
      <c r="H227" s="56"/>
      <c r="I227" s="56"/>
      <c r="J227" s="56"/>
      <c r="K227" s="62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ht="15.75" customHeight="1">
      <c r="A228" s="59">
        <v>51002.0</v>
      </c>
      <c r="B228" s="63" t="s">
        <v>258</v>
      </c>
      <c r="C228" s="60">
        <v>0.023168316831683168</v>
      </c>
      <c r="D228" s="61" t="str">
        <f t="shared" si="1"/>
        <v>Rojo</v>
      </c>
      <c r="E228" s="60">
        <v>0.2954545454545455</v>
      </c>
      <c r="F228" s="61" t="str">
        <f t="shared" si="2"/>
        <v>Rojo</v>
      </c>
      <c r="G228" s="56"/>
      <c r="H228" s="56"/>
      <c r="I228" s="56"/>
      <c r="J228" s="56"/>
      <c r="K228" s="62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ht="15.75" customHeight="1">
      <c r="A229" s="59">
        <v>51003.0</v>
      </c>
      <c r="B229" s="63" t="s">
        <v>259</v>
      </c>
      <c r="C229" s="60">
        <v>0.020223298925637248</v>
      </c>
      <c r="D229" s="61" t="str">
        <f t="shared" si="1"/>
        <v>Rojo</v>
      </c>
      <c r="E229" s="60">
        <v>0.07366707366707366</v>
      </c>
      <c r="F229" s="61" t="str">
        <f t="shared" si="2"/>
        <v>Rojo</v>
      </c>
      <c r="G229" s="56"/>
      <c r="H229" s="56"/>
      <c r="I229" s="56"/>
      <c r="J229" s="56"/>
      <c r="K229" s="62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ht="15.75" customHeight="1">
      <c r="A230" s="59">
        <v>51101.0</v>
      </c>
      <c r="B230" s="63" t="s">
        <v>260</v>
      </c>
      <c r="C230" s="60">
        <v>0.041436059900505105</v>
      </c>
      <c r="D230" s="61" t="str">
        <f t="shared" si="1"/>
        <v>Rojo</v>
      </c>
      <c r="E230" s="60">
        <v>0.3479381443298969</v>
      </c>
      <c r="F230" s="61" t="str">
        <f t="shared" si="2"/>
        <v>Rojo</v>
      </c>
      <c r="G230" s="56"/>
      <c r="H230" s="56"/>
      <c r="I230" s="56"/>
      <c r="J230" s="56"/>
      <c r="K230" s="62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ht="15.75" customHeight="1">
      <c r="A231" s="59">
        <v>51102.0</v>
      </c>
      <c r="B231" s="63" t="s">
        <v>261</v>
      </c>
      <c r="C231" s="60">
        <v>0.07262915001197877</v>
      </c>
      <c r="D231" s="61" t="str">
        <f t="shared" si="1"/>
        <v>Rojo</v>
      </c>
      <c r="E231" s="60">
        <v>0.15666262045730422</v>
      </c>
      <c r="F231" s="61" t="str">
        <f t="shared" si="2"/>
        <v>Rojo</v>
      </c>
      <c r="G231" s="56"/>
      <c r="H231" s="56"/>
      <c r="I231" s="56"/>
      <c r="J231" s="56"/>
      <c r="K231" s="62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ht="15.75" customHeight="1">
      <c r="A232" s="59">
        <v>51103.0</v>
      </c>
      <c r="B232" s="63" t="s">
        <v>262</v>
      </c>
      <c r="C232" s="60">
        <v>0.021181759034719347</v>
      </c>
      <c r="D232" s="61" t="str">
        <f t="shared" si="1"/>
        <v>Rojo</v>
      </c>
      <c r="E232" s="60">
        <v>0.2658825470301955</v>
      </c>
      <c r="F232" s="61" t="str">
        <f t="shared" si="2"/>
        <v>Rojo</v>
      </c>
      <c r="G232" s="56"/>
      <c r="H232" s="56"/>
      <c r="I232" s="56"/>
      <c r="J232" s="56"/>
      <c r="K232" s="62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ht="15.75" customHeight="1">
      <c r="A233" s="59">
        <v>51201.0</v>
      </c>
      <c r="B233" s="63" t="s">
        <v>263</v>
      </c>
      <c r="C233" s="60">
        <v>0.04752358837600705</v>
      </c>
      <c r="D233" s="61" t="str">
        <f t="shared" si="1"/>
        <v>Rojo</v>
      </c>
      <c r="E233" s="60">
        <v>0.20491193324406187</v>
      </c>
      <c r="F233" s="61" t="str">
        <f t="shared" si="2"/>
        <v>Rojo</v>
      </c>
      <c r="G233" s="56"/>
      <c r="H233" s="56"/>
      <c r="I233" s="56"/>
      <c r="J233" s="56"/>
      <c r="K233" s="62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ht="15.75" customHeight="1">
      <c r="A234" s="59">
        <v>51202.0</v>
      </c>
      <c r="B234" s="63" t="s">
        <v>264</v>
      </c>
      <c r="C234" s="60">
        <v>0.035915964137561894</v>
      </c>
      <c r="D234" s="61" t="str">
        <f t="shared" si="1"/>
        <v>Rojo</v>
      </c>
      <c r="E234" s="60">
        <v>0.2721374045801527</v>
      </c>
      <c r="F234" s="61" t="str">
        <f t="shared" si="2"/>
        <v>Rojo</v>
      </c>
      <c r="G234" s="56"/>
      <c r="H234" s="56"/>
      <c r="I234" s="56"/>
      <c r="J234" s="56"/>
      <c r="K234" s="62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ht="15.75" customHeight="1">
      <c r="A235" s="59">
        <v>51203.0</v>
      </c>
      <c r="B235" s="63" t="s">
        <v>265</v>
      </c>
      <c r="C235" s="60">
        <v>0.008153336184773312</v>
      </c>
      <c r="D235" s="61" t="str">
        <f t="shared" si="1"/>
        <v>Rojo</v>
      </c>
      <c r="E235" s="60">
        <v>0.053437787211694156</v>
      </c>
      <c r="F235" s="61" t="str">
        <f t="shared" si="2"/>
        <v>Rojo</v>
      </c>
      <c r="G235" s="56"/>
      <c r="H235" s="56"/>
      <c r="I235" s="56"/>
      <c r="J235" s="56"/>
      <c r="K235" s="62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ht="15.75" customHeight="1">
      <c r="A236" s="59">
        <v>51204.0</v>
      </c>
      <c r="B236" s="63" t="s">
        <v>266</v>
      </c>
      <c r="C236" s="60">
        <v>0.04011210369591872</v>
      </c>
      <c r="D236" s="61" t="str">
        <f t="shared" si="1"/>
        <v>Rojo</v>
      </c>
      <c r="E236" s="60">
        <v>0.3189300411522633</v>
      </c>
      <c r="F236" s="61" t="str">
        <f t="shared" si="2"/>
        <v>Rojo</v>
      </c>
      <c r="G236" s="56"/>
      <c r="H236" s="56"/>
      <c r="I236" s="56"/>
      <c r="J236" s="56"/>
      <c r="K236" s="62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ht="15.75" customHeight="1">
      <c r="A237" s="59">
        <v>51301.0</v>
      </c>
      <c r="B237" s="63" t="s">
        <v>267</v>
      </c>
      <c r="C237" s="60">
        <v>0.016955634880163183</v>
      </c>
      <c r="D237" s="61" t="str">
        <f t="shared" si="1"/>
        <v>Rojo</v>
      </c>
      <c r="E237" s="60">
        <v>0.3628670559363628</v>
      </c>
      <c r="F237" s="61" t="str">
        <f t="shared" si="2"/>
        <v>Rojo</v>
      </c>
      <c r="G237" s="56"/>
      <c r="H237" s="56"/>
      <c r="I237" s="56"/>
      <c r="J237" s="56"/>
      <c r="K237" s="62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ht="15.75" customHeight="1">
      <c r="A238" s="59">
        <v>51302.0</v>
      </c>
      <c r="B238" s="63" t="s">
        <v>268</v>
      </c>
      <c r="C238" s="60">
        <v>0.03275778210116732</v>
      </c>
      <c r="D238" s="61" t="str">
        <f t="shared" si="1"/>
        <v>Rojo</v>
      </c>
      <c r="E238" s="60">
        <v>0.25914315569487983</v>
      </c>
      <c r="F238" s="61" t="str">
        <f t="shared" si="2"/>
        <v>Rojo</v>
      </c>
      <c r="G238" s="56"/>
      <c r="H238" s="56"/>
      <c r="I238" s="56"/>
      <c r="J238" s="56"/>
      <c r="K238" s="62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ht="15.75" customHeight="1">
      <c r="A239" s="59">
        <v>51401.0</v>
      </c>
      <c r="B239" s="63" t="s">
        <v>269</v>
      </c>
      <c r="C239" s="60">
        <v>0.025279498682617675</v>
      </c>
      <c r="D239" s="61" t="str">
        <f t="shared" si="1"/>
        <v>Rojo</v>
      </c>
      <c r="E239" s="60">
        <v>0.5537918871252204</v>
      </c>
      <c r="F239" s="61" t="str">
        <f t="shared" si="2"/>
        <v>Naranja</v>
      </c>
      <c r="G239" s="56"/>
      <c r="H239" s="56"/>
      <c r="I239" s="56"/>
      <c r="J239" s="56"/>
      <c r="K239" s="62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ht="15.75" customHeight="1">
      <c r="A240" s="59">
        <v>51402.0</v>
      </c>
      <c r="B240" s="63" t="s">
        <v>270</v>
      </c>
      <c r="C240" s="60">
        <v>0.1810810810810811</v>
      </c>
      <c r="D240" s="61" t="str">
        <f t="shared" si="1"/>
        <v>Rojo</v>
      </c>
      <c r="E240" s="60">
        <v>0.15929850200949944</v>
      </c>
      <c r="F240" s="61" t="str">
        <f t="shared" si="2"/>
        <v>Rojo</v>
      </c>
      <c r="G240" s="56"/>
      <c r="H240" s="56"/>
      <c r="I240" s="56"/>
      <c r="J240" s="56"/>
      <c r="K240" s="62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ht="15.75" customHeight="1">
      <c r="A241" s="59">
        <v>51501.0</v>
      </c>
      <c r="B241" s="63" t="s">
        <v>271</v>
      </c>
      <c r="C241" s="60">
        <v>0.07202712866087838</v>
      </c>
      <c r="D241" s="61" t="str">
        <f t="shared" si="1"/>
        <v>Rojo</v>
      </c>
      <c r="E241" s="60">
        <v>0.297370213334615</v>
      </c>
      <c r="F241" s="61" t="str">
        <f t="shared" si="2"/>
        <v>Rojo</v>
      </c>
      <c r="G241" s="56"/>
      <c r="H241" s="56"/>
      <c r="I241" s="56"/>
      <c r="J241" s="56"/>
      <c r="K241" s="62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ht="15.75" customHeight="1">
      <c r="A242" s="59">
        <v>51601.0</v>
      </c>
      <c r="B242" s="63" t="s">
        <v>272</v>
      </c>
      <c r="C242" s="60">
        <v>0.0</v>
      </c>
      <c r="D242" s="61" t="str">
        <f t="shared" si="1"/>
        <v>Rojo</v>
      </c>
      <c r="E242" s="60">
        <v>0.34595034595034596</v>
      </c>
      <c r="F242" s="61" t="str">
        <f t="shared" si="2"/>
        <v>Rojo</v>
      </c>
      <c r="G242" s="56"/>
      <c r="H242" s="56"/>
      <c r="I242" s="56"/>
      <c r="J242" s="56"/>
      <c r="K242" s="62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ht="15.75" customHeight="1">
      <c r="A243" s="59">
        <v>60101.0</v>
      </c>
      <c r="B243" s="63" t="s">
        <v>32</v>
      </c>
      <c r="C243" s="60">
        <v>0.09862942580597023</v>
      </c>
      <c r="D243" s="61" t="str">
        <f t="shared" si="1"/>
        <v>Rojo</v>
      </c>
      <c r="E243" s="60">
        <v>0.3062222444540654</v>
      </c>
      <c r="F243" s="61" t="str">
        <f t="shared" si="2"/>
        <v>Rojo</v>
      </c>
      <c r="G243" s="56"/>
      <c r="H243" s="56"/>
      <c r="I243" s="56"/>
      <c r="J243" s="56"/>
      <c r="K243" s="62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ht="15.75" customHeight="1">
      <c r="A244" s="59">
        <v>60201.0</v>
      </c>
      <c r="B244" s="63" t="s">
        <v>273</v>
      </c>
      <c r="C244" s="60">
        <v>0.021803085285904154</v>
      </c>
      <c r="D244" s="61" t="str">
        <f t="shared" si="1"/>
        <v>Rojo</v>
      </c>
      <c r="E244" s="60">
        <v>0.4808624031007752</v>
      </c>
      <c r="F244" s="61" t="str">
        <f t="shared" si="2"/>
        <v>Rojo</v>
      </c>
      <c r="G244" s="56"/>
      <c r="H244" s="56"/>
      <c r="I244" s="56"/>
      <c r="J244" s="56"/>
      <c r="K244" s="62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ht="15.75" customHeight="1">
      <c r="A245" s="59">
        <v>60202.0</v>
      </c>
      <c r="B245" s="63" t="s">
        <v>274</v>
      </c>
      <c r="C245" s="60">
        <v>0.14136886102403343</v>
      </c>
      <c r="D245" s="61" t="str">
        <f t="shared" si="1"/>
        <v>Rojo</v>
      </c>
      <c r="E245" s="60">
        <v>0.3238434876685433</v>
      </c>
      <c r="F245" s="61" t="str">
        <f t="shared" si="2"/>
        <v>Rojo</v>
      </c>
      <c r="G245" s="56"/>
      <c r="H245" s="56"/>
      <c r="I245" s="56"/>
      <c r="J245" s="56"/>
      <c r="K245" s="62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ht="15.75" customHeight="1">
      <c r="A246" s="59">
        <v>60301.0</v>
      </c>
      <c r="B246" s="63" t="s">
        <v>275</v>
      </c>
      <c r="C246" s="60">
        <v>0.08601791903060314</v>
      </c>
      <c r="D246" s="61" t="str">
        <f t="shared" si="1"/>
        <v>Rojo</v>
      </c>
      <c r="E246" s="60">
        <v>0.26809670381108847</v>
      </c>
      <c r="F246" s="61" t="str">
        <f t="shared" si="2"/>
        <v>Rojo</v>
      </c>
      <c r="G246" s="56"/>
      <c r="H246" s="56"/>
      <c r="I246" s="56"/>
      <c r="J246" s="56"/>
      <c r="K246" s="62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ht="15.75" customHeight="1">
      <c r="A247" s="59">
        <v>60302.0</v>
      </c>
      <c r="B247" s="63" t="s">
        <v>276</v>
      </c>
      <c r="C247" s="60">
        <v>0.028285282366915025</v>
      </c>
      <c r="D247" s="61" t="str">
        <f t="shared" si="1"/>
        <v>Rojo</v>
      </c>
      <c r="E247" s="60">
        <v>0.35256381662983316</v>
      </c>
      <c r="F247" s="61" t="str">
        <f t="shared" si="2"/>
        <v>Rojo</v>
      </c>
      <c r="G247" s="56"/>
      <c r="H247" s="56"/>
      <c r="I247" s="56"/>
      <c r="J247" s="56"/>
      <c r="K247" s="62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ht="15.75" customHeight="1">
      <c r="A248" s="59">
        <v>60303.0</v>
      </c>
      <c r="B248" s="63" t="s">
        <v>277</v>
      </c>
      <c r="C248" s="60">
        <v>0.10057559845785019</v>
      </c>
      <c r="D248" s="61" t="str">
        <f t="shared" si="1"/>
        <v>Rojo</v>
      </c>
      <c r="E248" s="60">
        <v>0.2752030578117535</v>
      </c>
      <c r="F248" s="61" t="str">
        <f t="shared" si="2"/>
        <v>Rojo</v>
      </c>
      <c r="G248" s="56"/>
      <c r="H248" s="56"/>
      <c r="I248" s="56"/>
      <c r="J248" s="56"/>
      <c r="K248" s="62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ht="15.75" customHeight="1">
      <c r="A249" s="59">
        <v>60401.0</v>
      </c>
      <c r="B249" s="63" t="s">
        <v>278</v>
      </c>
      <c r="C249" s="60">
        <v>0.03940095486474299</v>
      </c>
      <c r="D249" s="61" t="str">
        <f t="shared" si="1"/>
        <v>Rojo</v>
      </c>
      <c r="E249" s="60">
        <v>0.2600505132423477</v>
      </c>
      <c r="F249" s="61" t="str">
        <f t="shared" si="2"/>
        <v>Rojo</v>
      </c>
      <c r="G249" s="56"/>
      <c r="H249" s="56"/>
      <c r="I249" s="56"/>
      <c r="J249" s="56"/>
      <c r="K249" s="62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ht="15.75" customHeight="1">
      <c r="A250" s="59">
        <v>60402.0</v>
      </c>
      <c r="B250" s="63" t="s">
        <v>279</v>
      </c>
      <c r="C250" s="60">
        <v>0.029981024667931695</v>
      </c>
      <c r="D250" s="61" t="str">
        <f t="shared" si="1"/>
        <v>Rojo</v>
      </c>
      <c r="E250" s="60">
        <v>0.5619591638308217</v>
      </c>
      <c r="F250" s="61" t="str">
        <f t="shared" si="2"/>
        <v>Naranja</v>
      </c>
      <c r="G250" s="56"/>
      <c r="H250" s="56"/>
      <c r="I250" s="56"/>
      <c r="J250" s="56"/>
      <c r="K250" s="62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ht="15.75" customHeight="1">
      <c r="A251" s="59">
        <v>60501.0</v>
      </c>
      <c r="B251" s="63" t="s">
        <v>362</v>
      </c>
      <c r="C251" s="60">
        <v>0.10542484738491997</v>
      </c>
      <c r="D251" s="61" t="str">
        <f t="shared" si="1"/>
        <v>Rojo</v>
      </c>
      <c r="E251" s="60">
        <v>0.25254025158566856</v>
      </c>
      <c r="F251" s="61" t="str">
        <f t="shared" si="2"/>
        <v>Rojo</v>
      </c>
      <c r="G251" s="56"/>
      <c r="H251" s="56"/>
      <c r="I251" s="56"/>
      <c r="J251" s="56"/>
      <c r="K251" s="62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ht="15.75" customHeight="1">
      <c r="A252" s="59">
        <v>60502.0</v>
      </c>
      <c r="B252" s="63" t="s">
        <v>281</v>
      </c>
      <c r="C252" s="60">
        <v>0.03612770309327247</v>
      </c>
      <c r="D252" s="61" t="str">
        <f t="shared" si="1"/>
        <v>Rojo</v>
      </c>
      <c r="E252" s="60">
        <v>0.42355576049008636</v>
      </c>
      <c r="F252" s="61" t="str">
        <f t="shared" si="2"/>
        <v>Rojo</v>
      </c>
      <c r="G252" s="56"/>
      <c r="H252" s="56"/>
      <c r="I252" s="56"/>
      <c r="J252" s="56"/>
      <c r="K252" s="62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ht="15.75" customHeight="1">
      <c r="A253" s="59">
        <v>60601.0</v>
      </c>
      <c r="B253" s="63" t="s">
        <v>185</v>
      </c>
      <c r="C253" s="60">
        <v>0.0503620547966446</v>
      </c>
      <c r="D253" s="61" t="str">
        <f t="shared" si="1"/>
        <v>Rojo</v>
      </c>
      <c r="E253" s="60">
        <v>0.31926206943365487</v>
      </c>
      <c r="F253" s="61" t="str">
        <f t="shared" si="2"/>
        <v>Rojo</v>
      </c>
      <c r="G253" s="56"/>
      <c r="H253" s="56"/>
      <c r="I253" s="56"/>
      <c r="J253" s="56"/>
      <c r="K253" s="62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ht="15.75" customHeight="1">
      <c r="A254" s="59">
        <v>70101.0</v>
      </c>
      <c r="B254" s="63" t="s">
        <v>282</v>
      </c>
      <c r="C254" s="60">
        <v>0.12142661974506583</v>
      </c>
      <c r="D254" s="61" t="str">
        <f t="shared" si="1"/>
        <v>Rojo</v>
      </c>
      <c r="E254" s="60">
        <v>0.31427960050041454</v>
      </c>
      <c r="F254" s="61" t="str">
        <f t="shared" si="2"/>
        <v>Rojo</v>
      </c>
      <c r="G254" s="56"/>
      <c r="H254" s="56"/>
      <c r="I254" s="56"/>
      <c r="J254" s="56"/>
      <c r="K254" s="62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ht="15.75" customHeight="1">
      <c r="A255" s="59">
        <v>70102.0</v>
      </c>
      <c r="B255" s="63" t="s">
        <v>283</v>
      </c>
      <c r="C255" s="60">
        <v>0.07569401402707551</v>
      </c>
      <c r="D255" s="61" t="str">
        <f t="shared" si="1"/>
        <v>Rojo</v>
      </c>
      <c r="E255" s="60">
        <v>0.23613073493586983</v>
      </c>
      <c r="F255" s="61" t="str">
        <f t="shared" si="2"/>
        <v>Rojo</v>
      </c>
      <c r="G255" s="56"/>
      <c r="H255" s="56"/>
      <c r="I255" s="56"/>
      <c r="J255" s="56"/>
      <c r="K255" s="62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ht="15.75" customHeight="1">
      <c r="A256" s="59">
        <v>70103.0</v>
      </c>
      <c r="B256" s="63" t="s">
        <v>284</v>
      </c>
      <c r="C256" s="60">
        <v>0.06665655538794517</v>
      </c>
      <c r="D256" s="61" t="str">
        <f t="shared" si="1"/>
        <v>Rojo</v>
      </c>
      <c r="E256" s="60">
        <v>0.2092549680499965</v>
      </c>
      <c r="F256" s="61" t="str">
        <f t="shared" si="2"/>
        <v>Rojo</v>
      </c>
      <c r="G256" s="56"/>
      <c r="H256" s="56"/>
      <c r="I256" s="56"/>
      <c r="J256" s="56"/>
      <c r="K256" s="62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ht="15.75" customHeight="1">
      <c r="A257" s="59">
        <v>70104.0</v>
      </c>
      <c r="B257" s="63" t="s">
        <v>285</v>
      </c>
      <c r="C257" s="60">
        <v>0.09498815169638708</v>
      </c>
      <c r="D257" s="61" t="str">
        <f t="shared" si="1"/>
        <v>Rojo</v>
      </c>
      <c r="E257" s="60">
        <v>0.25838236415025717</v>
      </c>
      <c r="F257" s="61" t="str">
        <f t="shared" si="2"/>
        <v>Rojo</v>
      </c>
      <c r="G257" s="56"/>
      <c r="H257" s="56"/>
      <c r="I257" s="56"/>
      <c r="J257" s="56"/>
      <c r="K257" s="62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ht="15.75" customHeight="1">
      <c r="A258" s="59">
        <v>70105.0</v>
      </c>
      <c r="B258" s="63" t="s">
        <v>286</v>
      </c>
      <c r="C258" s="60">
        <v>0.09362302766965815</v>
      </c>
      <c r="D258" s="61" t="str">
        <f t="shared" si="1"/>
        <v>Rojo</v>
      </c>
      <c r="E258" s="60">
        <v>0.2507746482951946</v>
      </c>
      <c r="F258" s="61" t="str">
        <f t="shared" si="2"/>
        <v>Rojo</v>
      </c>
      <c r="G258" s="56"/>
      <c r="H258" s="56"/>
      <c r="I258" s="56"/>
      <c r="J258" s="56"/>
      <c r="K258" s="62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ht="15.75" customHeight="1">
      <c r="A259" s="59">
        <v>70201.0</v>
      </c>
      <c r="B259" s="63" t="s">
        <v>287</v>
      </c>
      <c r="C259" s="60">
        <v>0.07634916609094758</v>
      </c>
      <c r="D259" s="61" t="str">
        <f t="shared" si="1"/>
        <v>Rojo</v>
      </c>
      <c r="E259" s="60">
        <v>0.23632784110067473</v>
      </c>
      <c r="F259" s="61" t="str">
        <f t="shared" si="2"/>
        <v>Rojo</v>
      </c>
      <c r="G259" s="56"/>
      <c r="H259" s="56"/>
      <c r="I259" s="56"/>
      <c r="J259" s="56"/>
      <c r="K259" s="62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ht="15.75" customHeight="1">
      <c r="A260" s="59">
        <v>70202.0</v>
      </c>
      <c r="B260" s="63" t="s">
        <v>288</v>
      </c>
      <c r="C260" s="60">
        <v>0.08337541024993689</v>
      </c>
      <c r="D260" s="61" t="str">
        <f t="shared" si="1"/>
        <v>Rojo</v>
      </c>
      <c r="E260" s="60">
        <v>0.13170160643440937</v>
      </c>
      <c r="F260" s="61" t="str">
        <f t="shared" si="2"/>
        <v>Rojo</v>
      </c>
      <c r="G260" s="56"/>
      <c r="H260" s="56"/>
      <c r="I260" s="56"/>
      <c r="J260" s="56"/>
      <c r="K260" s="62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ht="15.75" customHeight="1">
      <c r="A261" s="59">
        <v>70301.0</v>
      </c>
      <c r="B261" s="63" t="s">
        <v>346</v>
      </c>
      <c r="C261" s="60">
        <v>0.05749169959252716</v>
      </c>
      <c r="D261" s="61" t="str">
        <f t="shared" si="1"/>
        <v>Rojo</v>
      </c>
      <c r="E261" s="60">
        <v>0.14136666512763163</v>
      </c>
      <c r="F261" s="61" t="str">
        <f t="shared" si="2"/>
        <v>Rojo</v>
      </c>
      <c r="G261" s="56"/>
      <c r="H261" s="56"/>
      <c r="I261" s="56"/>
      <c r="J261" s="56"/>
      <c r="K261" s="62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ht="15.75" customHeight="1">
      <c r="A262" s="59">
        <v>70302.0</v>
      </c>
      <c r="B262" s="63" t="s">
        <v>418</v>
      </c>
      <c r="C262" s="60">
        <v>0.04027607321482772</v>
      </c>
      <c r="D262" s="61" t="str">
        <f t="shared" si="1"/>
        <v>Rojo</v>
      </c>
      <c r="E262" s="60">
        <v>0.1872584800343495</v>
      </c>
      <c r="F262" s="61" t="str">
        <f t="shared" si="2"/>
        <v>Rojo</v>
      </c>
      <c r="G262" s="56"/>
      <c r="H262" s="56"/>
      <c r="I262" s="56"/>
      <c r="J262" s="56"/>
      <c r="K262" s="62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ht="15.75" customHeight="1">
      <c r="A263" s="59">
        <v>70303.0</v>
      </c>
      <c r="B263" s="63" t="s">
        <v>291</v>
      </c>
      <c r="C263" s="60">
        <v>0.04067379543686334</v>
      </c>
      <c r="D263" s="61" t="str">
        <f t="shared" si="1"/>
        <v>Rojo</v>
      </c>
      <c r="E263" s="60">
        <v>0.09549474847982312</v>
      </c>
      <c r="F263" s="61" t="str">
        <f t="shared" si="2"/>
        <v>Rojo</v>
      </c>
      <c r="G263" s="56"/>
      <c r="H263" s="56"/>
      <c r="I263" s="56"/>
      <c r="J263" s="56"/>
      <c r="K263" s="62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ht="15.75" customHeight="1">
      <c r="A264" s="59">
        <v>70401.0</v>
      </c>
      <c r="B264" s="63" t="s">
        <v>292</v>
      </c>
      <c r="C264" s="60">
        <v>0.051068224023325635</v>
      </c>
      <c r="D264" s="61" t="str">
        <f t="shared" si="1"/>
        <v>Rojo</v>
      </c>
      <c r="E264" s="60">
        <v>0.2820183271853249</v>
      </c>
      <c r="F264" s="61" t="str">
        <f t="shared" si="2"/>
        <v>Rojo</v>
      </c>
      <c r="G264" s="56"/>
      <c r="H264" s="56"/>
      <c r="I264" s="56"/>
      <c r="J264" s="56"/>
      <c r="K264" s="62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ht="15.75" customHeight="1">
      <c r="A265" s="59">
        <v>70402.0</v>
      </c>
      <c r="B265" s="63" t="s">
        <v>293</v>
      </c>
      <c r="C265" s="60">
        <v>0.08966175238459359</v>
      </c>
      <c r="D265" s="61" t="str">
        <f t="shared" si="1"/>
        <v>Rojo</v>
      </c>
      <c r="E265" s="60">
        <v>0.20137773494663955</v>
      </c>
      <c r="F265" s="61" t="str">
        <f t="shared" si="2"/>
        <v>Rojo</v>
      </c>
      <c r="G265" s="56"/>
      <c r="H265" s="56"/>
      <c r="I265" s="56"/>
      <c r="J265" s="56"/>
      <c r="K265" s="62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ht="15.75" customHeight="1">
      <c r="A266" s="59">
        <v>70403.0</v>
      </c>
      <c r="B266" s="63" t="s">
        <v>294</v>
      </c>
      <c r="C266" s="60">
        <v>0.0641659372950841</v>
      </c>
      <c r="D266" s="61" t="str">
        <f t="shared" si="1"/>
        <v>Rojo</v>
      </c>
      <c r="E266" s="60">
        <v>0.23412812410226946</v>
      </c>
      <c r="F266" s="61" t="str">
        <f t="shared" si="2"/>
        <v>Rojo</v>
      </c>
      <c r="G266" s="56"/>
      <c r="H266" s="56"/>
      <c r="I266" s="56"/>
      <c r="J266" s="56"/>
      <c r="K266" s="62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ht="15.75" customHeight="1">
      <c r="A267" s="59">
        <v>70404.0</v>
      </c>
      <c r="B267" s="63" t="s">
        <v>295</v>
      </c>
      <c r="C267" s="60">
        <v>0.02629482071713148</v>
      </c>
      <c r="D267" s="61" t="str">
        <f t="shared" si="1"/>
        <v>Rojo</v>
      </c>
      <c r="E267" s="60">
        <v>0.31506849315068486</v>
      </c>
      <c r="F267" s="61" t="str">
        <f t="shared" si="2"/>
        <v>Rojo</v>
      </c>
      <c r="G267" s="56"/>
      <c r="H267" s="56"/>
      <c r="I267" s="56"/>
      <c r="J267" s="56"/>
      <c r="K267" s="62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ht="15.75" customHeight="1">
      <c r="A268" s="59">
        <v>70501.0</v>
      </c>
      <c r="B268" s="63" t="s">
        <v>419</v>
      </c>
      <c r="C268" s="60">
        <v>0.04790709751358708</v>
      </c>
      <c r="D268" s="61" t="str">
        <f t="shared" si="1"/>
        <v>Rojo</v>
      </c>
      <c r="E268" s="60">
        <v>0.17090957934325715</v>
      </c>
      <c r="F268" s="61" t="str">
        <f t="shared" si="2"/>
        <v>Rojo</v>
      </c>
      <c r="G268" s="56"/>
      <c r="H268" s="56"/>
      <c r="I268" s="56"/>
      <c r="J268" s="56"/>
      <c r="K268" s="62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ht="15.75" customHeight="1">
      <c r="A269" s="59">
        <v>70502.0</v>
      </c>
      <c r="B269" s="63" t="s">
        <v>297</v>
      </c>
      <c r="C269" s="60">
        <v>0.06140447151683106</v>
      </c>
      <c r="D269" s="61" t="str">
        <f t="shared" si="1"/>
        <v>Rojo</v>
      </c>
      <c r="E269" s="60">
        <v>0.11393117944101852</v>
      </c>
      <c r="F269" s="61" t="str">
        <f t="shared" si="2"/>
        <v>Rojo</v>
      </c>
      <c r="G269" s="56"/>
      <c r="H269" s="56"/>
      <c r="I269" s="56"/>
      <c r="J269" s="56"/>
      <c r="K269" s="62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ht="15.75" customHeight="1">
      <c r="A270" s="59">
        <v>70503.0</v>
      </c>
      <c r="B270" s="63" t="s">
        <v>298</v>
      </c>
      <c r="C270" s="60">
        <v>0.08237237410583059</v>
      </c>
      <c r="D270" s="61" t="str">
        <f t="shared" si="1"/>
        <v>Rojo</v>
      </c>
      <c r="E270" s="60">
        <v>0.17343277281362135</v>
      </c>
      <c r="F270" s="61" t="str">
        <f t="shared" si="2"/>
        <v>Rojo</v>
      </c>
      <c r="G270" s="56"/>
      <c r="H270" s="56"/>
      <c r="I270" s="56"/>
      <c r="J270" s="56"/>
      <c r="K270" s="62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ht="15.75" customHeight="1">
      <c r="A271" s="59">
        <v>70601.0</v>
      </c>
      <c r="B271" s="63" t="s">
        <v>299</v>
      </c>
      <c r="C271" s="60">
        <v>0.09901903295951525</v>
      </c>
      <c r="D271" s="61" t="str">
        <f t="shared" si="1"/>
        <v>Rojo</v>
      </c>
      <c r="E271" s="60">
        <v>0.20123652359747704</v>
      </c>
      <c r="F271" s="61" t="str">
        <f t="shared" si="2"/>
        <v>Rojo</v>
      </c>
      <c r="G271" s="56"/>
      <c r="H271" s="56"/>
      <c r="I271" s="56"/>
      <c r="J271" s="56"/>
      <c r="K271" s="62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ht="15.75" customHeight="1">
      <c r="A272" s="59">
        <v>70602.0</v>
      </c>
      <c r="B272" s="63" t="s">
        <v>342</v>
      </c>
      <c r="C272" s="60">
        <v>0.03480820815585035</v>
      </c>
      <c r="D272" s="61" t="str">
        <f t="shared" si="1"/>
        <v>Rojo</v>
      </c>
      <c r="E272" s="60">
        <v>0.24563779681284625</v>
      </c>
      <c r="F272" s="61" t="str">
        <f t="shared" si="2"/>
        <v>Rojo</v>
      </c>
      <c r="G272" s="56"/>
      <c r="H272" s="56"/>
      <c r="I272" s="56"/>
      <c r="J272" s="56"/>
      <c r="K272" s="62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ht="15.75" customHeight="1">
      <c r="A273" s="59">
        <v>70603.0</v>
      </c>
      <c r="B273" s="63" t="s">
        <v>301</v>
      </c>
      <c r="C273" s="60">
        <v>0.07071361582402592</v>
      </c>
      <c r="D273" s="61" t="str">
        <f t="shared" si="1"/>
        <v>Rojo</v>
      </c>
      <c r="E273" s="60">
        <v>0.37904750289651806</v>
      </c>
      <c r="F273" s="61" t="str">
        <f t="shared" si="2"/>
        <v>Rojo</v>
      </c>
      <c r="G273" s="56"/>
      <c r="H273" s="56"/>
      <c r="I273" s="56"/>
      <c r="J273" s="56"/>
      <c r="K273" s="62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ht="15.75" customHeight="1">
      <c r="A274" s="59">
        <v>70701.0</v>
      </c>
      <c r="B274" s="63" t="s">
        <v>302</v>
      </c>
      <c r="C274" s="60">
        <v>0.023728065334951993</v>
      </c>
      <c r="D274" s="61" t="str">
        <f t="shared" si="1"/>
        <v>Rojo</v>
      </c>
      <c r="E274" s="60">
        <v>0.15372619583145897</v>
      </c>
      <c r="F274" s="61" t="str">
        <f t="shared" si="2"/>
        <v>Rojo</v>
      </c>
      <c r="G274" s="56"/>
      <c r="H274" s="56"/>
      <c r="I274" s="56"/>
      <c r="J274" s="56"/>
      <c r="K274" s="62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ht="15.75" customHeight="1">
      <c r="A275" s="59">
        <v>70702.0</v>
      </c>
      <c r="B275" s="63" t="s">
        <v>420</v>
      </c>
      <c r="C275" s="60">
        <v>0.04788389675849483</v>
      </c>
      <c r="D275" s="61" t="str">
        <f t="shared" si="1"/>
        <v>Rojo</v>
      </c>
      <c r="E275" s="60">
        <v>0.2956777220962589</v>
      </c>
      <c r="F275" s="61" t="str">
        <f t="shared" si="2"/>
        <v>Rojo</v>
      </c>
      <c r="G275" s="56"/>
      <c r="H275" s="56"/>
      <c r="I275" s="56"/>
      <c r="J275" s="56"/>
      <c r="K275" s="62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ht="15.75" customHeight="1">
      <c r="A276" s="59">
        <v>70703.0</v>
      </c>
      <c r="B276" s="63" t="s">
        <v>304</v>
      </c>
      <c r="C276" s="60">
        <v>0.04142014287668904</v>
      </c>
      <c r="D276" s="61" t="str">
        <f t="shared" si="1"/>
        <v>Rojo</v>
      </c>
      <c r="E276" s="60">
        <v>0.20831009878188414</v>
      </c>
      <c r="F276" s="61" t="str">
        <f t="shared" si="2"/>
        <v>Rojo</v>
      </c>
      <c r="G276" s="56"/>
      <c r="H276" s="56"/>
      <c r="I276" s="56"/>
      <c r="J276" s="56"/>
      <c r="K276" s="62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ht="15.75" customHeight="1">
      <c r="A277" s="59">
        <v>70704.0</v>
      </c>
      <c r="B277" s="63" t="s">
        <v>305</v>
      </c>
      <c r="C277" s="60">
        <v>0.08609141055949567</v>
      </c>
      <c r="D277" s="61" t="str">
        <f t="shared" si="1"/>
        <v>Rojo</v>
      </c>
      <c r="E277" s="60">
        <v>0.210734400059677</v>
      </c>
      <c r="F277" s="61" t="str">
        <f t="shared" si="2"/>
        <v>Rojo</v>
      </c>
      <c r="G277" s="56"/>
      <c r="H277" s="56"/>
      <c r="I277" s="56"/>
      <c r="J277" s="56"/>
      <c r="K277" s="62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ht="15.75" customHeight="1">
      <c r="A278" s="59">
        <v>70705.0</v>
      </c>
      <c r="B278" s="63" t="s">
        <v>421</v>
      </c>
      <c r="C278" s="60">
        <v>0.03972727905405254</v>
      </c>
      <c r="D278" s="61" t="str">
        <f t="shared" si="1"/>
        <v>Rojo</v>
      </c>
      <c r="E278" s="60">
        <v>0.2706558837743143</v>
      </c>
      <c r="F278" s="61" t="str">
        <f t="shared" si="2"/>
        <v>Rojo</v>
      </c>
      <c r="G278" s="56"/>
      <c r="H278" s="56"/>
      <c r="I278" s="56"/>
      <c r="J278" s="56"/>
      <c r="K278" s="62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ht="15.75" customHeight="1">
      <c r="A279" s="59">
        <v>70706.0</v>
      </c>
      <c r="B279" s="63" t="s">
        <v>307</v>
      </c>
      <c r="C279" s="60">
        <v>0.13887827878923986</v>
      </c>
      <c r="D279" s="61" t="str">
        <f t="shared" si="1"/>
        <v>Rojo</v>
      </c>
      <c r="E279" s="60">
        <v>0.24824306920758377</v>
      </c>
      <c r="F279" s="61" t="str">
        <f t="shared" si="2"/>
        <v>Rojo</v>
      </c>
      <c r="G279" s="56"/>
      <c r="H279" s="56"/>
      <c r="I279" s="56"/>
      <c r="J279" s="56"/>
      <c r="K279" s="62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ht="15.75" customHeight="1">
      <c r="A280" s="59">
        <v>70707.0</v>
      </c>
      <c r="B280" s="63" t="s">
        <v>308</v>
      </c>
      <c r="C280" s="60">
        <v>0.10690192008303062</v>
      </c>
      <c r="D280" s="61" t="str">
        <f t="shared" si="1"/>
        <v>Rojo</v>
      </c>
      <c r="E280" s="60">
        <v>0.16670601196096946</v>
      </c>
      <c r="F280" s="61" t="str">
        <f t="shared" si="2"/>
        <v>Rojo</v>
      </c>
      <c r="G280" s="56"/>
      <c r="H280" s="56"/>
      <c r="I280" s="56"/>
      <c r="J280" s="56"/>
      <c r="K280" s="62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ht="15.75" customHeight="1">
      <c r="A281" s="59">
        <v>70801.0</v>
      </c>
      <c r="B281" s="63" t="s">
        <v>309</v>
      </c>
      <c r="C281" s="60">
        <v>0.029317330871416115</v>
      </c>
      <c r="D281" s="61" t="str">
        <f t="shared" si="1"/>
        <v>Rojo</v>
      </c>
      <c r="E281" s="60">
        <v>0.23267661131438222</v>
      </c>
      <c r="F281" s="61" t="str">
        <f t="shared" si="2"/>
        <v>Rojo</v>
      </c>
      <c r="G281" s="56"/>
      <c r="H281" s="56"/>
      <c r="I281" s="56"/>
      <c r="J281" s="56"/>
      <c r="K281" s="62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ht="15.75" customHeight="1">
      <c r="A282" s="59">
        <v>70802.0</v>
      </c>
      <c r="B282" s="63" t="s">
        <v>310</v>
      </c>
      <c r="C282" s="60">
        <v>0.0</v>
      </c>
      <c r="D282" s="61" t="str">
        <f t="shared" si="1"/>
        <v>Rojo</v>
      </c>
      <c r="E282" s="60">
        <v>0.279379956741168</v>
      </c>
      <c r="F282" s="61" t="str">
        <f t="shared" si="2"/>
        <v>Rojo</v>
      </c>
      <c r="G282" s="56"/>
      <c r="H282" s="56"/>
      <c r="I282" s="56"/>
      <c r="J282" s="56"/>
      <c r="K282" s="62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ht="15.75" customHeight="1">
      <c r="A283" s="59">
        <v>70803.0</v>
      </c>
      <c r="B283" s="63" t="s">
        <v>422</v>
      </c>
      <c r="C283" s="60">
        <v>0.0749034749034749</v>
      </c>
      <c r="D283" s="61" t="str">
        <f t="shared" si="1"/>
        <v>Rojo</v>
      </c>
      <c r="E283" s="60">
        <v>0.24903846153846157</v>
      </c>
      <c r="F283" s="61" t="str">
        <f t="shared" si="2"/>
        <v>Rojo</v>
      </c>
      <c r="G283" s="56"/>
      <c r="H283" s="56"/>
      <c r="I283" s="56"/>
      <c r="J283" s="56"/>
      <c r="K283" s="62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ht="15.75" customHeight="1">
      <c r="A284" s="59">
        <v>70804.0</v>
      </c>
      <c r="B284" s="63" t="s">
        <v>312</v>
      </c>
      <c r="C284" s="60">
        <v>0.06414414414414414</v>
      </c>
      <c r="D284" s="61" t="str">
        <f t="shared" si="1"/>
        <v>Rojo</v>
      </c>
      <c r="E284" s="60">
        <v>0.17813765182186234</v>
      </c>
      <c r="F284" s="61" t="str">
        <f t="shared" si="2"/>
        <v>Rojo</v>
      </c>
      <c r="G284" s="56"/>
      <c r="H284" s="56"/>
      <c r="I284" s="56"/>
      <c r="J284" s="56"/>
      <c r="K284" s="62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ht="15.75" customHeight="1">
      <c r="A285" s="59">
        <v>70805.0</v>
      </c>
      <c r="B285" s="63" t="s">
        <v>313</v>
      </c>
      <c r="C285" s="60">
        <v>0.09814814814814815</v>
      </c>
      <c r="D285" s="61" t="str">
        <f t="shared" si="1"/>
        <v>Rojo</v>
      </c>
      <c r="E285" s="60">
        <v>0.05740378343118069</v>
      </c>
      <c r="F285" s="61" t="str">
        <f t="shared" si="2"/>
        <v>Rojo</v>
      </c>
      <c r="G285" s="56"/>
      <c r="H285" s="56"/>
      <c r="I285" s="56"/>
      <c r="J285" s="56"/>
      <c r="K285" s="62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ht="15.75" customHeight="1">
      <c r="A286" s="59">
        <v>70901.0</v>
      </c>
      <c r="B286" s="63" t="s">
        <v>314</v>
      </c>
      <c r="C286" s="60">
        <v>0.047090716818864335</v>
      </c>
      <c r="D286" s="61" t="str">
        <f t="shared" si="1"/>
        <v>Rojo</v>
      </c>
      <c r="E286" s="60">
        <v>0.24029850746268655</v>
      </c>
      <c r="F286" s="61" t="str">
        <f t="shared" si="2"/>
        <v>Rojo</v>
      </c>
      <c r="G286" s="56"/>
      <c r="H286" s="56"/>
      <c r="I286" s="56"/>
      <c r="J286" s="56"/>
      <c r="K286" s="62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ht="15.75" customHeight="1">
      <c r="A287" s="59">
        <v>70902.0</v>
      </c>
      <c r="B287" s="63" t="s">
        <v>423</v>
      </c>
      <c r="C287" s="60">
        <v>0.017975528364849832</v>
      </c>
      <c r="D287" s="61" t="str">
        <f t="shared" si="1"/>
        <v>Rojo</v>
      </c>
      <c r="E287" s="60">
        <v>0.10742574257425744</v>
      </c>
      <c r="F287" s="61" t="str">
        <f t="shared" si="2"/>
        <v>Rojo</v>
      </c>
      <c r="G287" s="56"/>
      <c r="H287" s="56"/>
      <c r="I287" s="56"/>
      <c r="J287" s="56"/>
      <c r="K287" s="62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ht="15.75" customHeight="1">
      <c r="A288" s="59">
        <v>70903.0</v>
      </c>
      <c r="B288" s="63" t="s">
        <v>316</v>
      </c>
      <c r="C288" s="60">
        <v>0.027480544747081715</v>
      </c>
      <c r="D288" s="61" t="str">
        <f t="shared" si="1"/>
        <v>Rojo</v>
      </c>
      <c r="E288" s="60">
        <v>0.08617507823156544</v>
      </c>
      <c r="F288" s="61" t="str">
        <f t="shared" si="2"/>
        <v>Rojo</v>
      </c>
      <c r="G288" s="56"/>
      <c r="H288" s="56"/>
      <c r="I288" s="56"/>
      <c r="J288" s="56"/>
      <c r="K288" s="62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ht="15.75" customHeight="1">
      <c r="A289" s="59">
        <v>70904.0</v>
      </c>
      <c r="B289" s="63" t="s">
        <v>317</v>
      </c>
      <c r="C289" s="60">
        <v>0.03687943262411347</v>
      </c>
      <c r="D289" s="61" t="str">
        <f t="shared" si="1"/>
        <v>Rojo</v>
      </c>
      <c r="E289" s="60">
        <v>0.06397677212655187</v>
      </c>
      <c r="F289" s="61" t="str">
        <f t="shared" si="2"/>
        <v>Rojo</v>
      </c>
      <c r="G289" s="56"/>
      <c r="H289" s="56"/>
      <c r="I289" s="56"/>
      <c r="J289" s="56"/>
      <c r="K289" s="62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ht="15.75" customHeight="1">
      <c r="A290" s="59">
        <v>71001.0</v>
      </c>
      <c r="B290" s="63" t="s">
        <v>318</v>
      </c>
      <c r="C290" s="60">
        <v>0.08957569706995748</v>
      </c>
      <c r="D290" s="61" t="str">
        <f t="shared" si="1"/>
        <v>Rojo</v>
      </c>
      <c r="E290" s="60">
        <v>0.30348187353338446</v>
      </c>
      <c r="F290" s="61" t="str">
        <f t="shared" si="2"/>
        <v>Rojo</v>
      </c>
      <c r="G290" s="56"/>
      <c r="H290" s="56"/>
      <c r="I290" s="56"/>
      <c r="J290" s="56"/>
      <c r="K290" s="62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ht="15.75" customHeight="1">
      <c r="A291" s="59">
        <v>71002.0</v>
      </c>
      <c r="B291" s="63" t="s">
        <v>319</v>
      </c>
      <c r="C291" s="60">
        <v>0.03982540167298568</v>
      </c>
      <c r="D291" s="61" t="str">
        <f t="shared" si="1"/>
        <v>Rojo</v>
      </c>
      <c r="E291" s="60">
        <v>0.20987549957497967</v>
      </c>
      <c r="F291" s="61" t="str">
        <f t="shared" si="2"/>
        <v>Rojo</v>
      </c>
      <c r="G291" s="56"/>
      <c r="H291" s="56"/>
      <c r="I291" s="56"/>
      <c r="J291" s="56"/>
      <c r="K291" s="62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ht="15.75" customHeight="1">
      <c r="A292" s="59">
        <v>71003.0</v>
      </c>
      <c r="B292" s="63" t="s">
        <v>320</v>
      </c>
      <c r="C292" s="60">
        <v>0.07735607255520505</v>
      </c>
      <c r="D292" s="61" t="str">
        <f t="shared" si="1"/>
        <v>Rojo</v>
      </c>
      <c r="E292" s="60">
        <v>0.25400728710704334</v>
      </c>
      <c r="F292" s="61" t="str">
        <f t="shared" si="2"/>
        <v>Rojo</v>
      </c>
      <c r="G292" s="56"/>
      <c r="H292" s="56"/>
      <c r="I292" s="56"/>
      <c r="J292" s="56"/>
      <c r="K292" s="62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ht="15.75" customHeight="1">
      <c r="A293" s="59">
        <v>71004.0</v>
      </c>
      <c r="B293" s="63" t="s">
        <v>321</v>
      </c>
      <c r="C293" s="60">
        <v>0.027352342813580652</v>
      </c>
      <c r="D293" s="61" t="str">
        <f t="shared" si="1"/>
        <v>Rojo</v>
      </c>
      <c r="E293" s="60">
        <v>0.17488871374177148</v>
      </c>
      <c r="F293" s="61" t="str">
        <f t="shared" si="2"/>
        <v>Rojo</v>
      </c>
      <c r="G293" s="56"/>
      <c r="H293" s="56"/>
      <c r="I293" s="56"/>
      <c r="J293" s="56"/>
      <c r="K293" s="62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ht="15.75" customHeight="1">
      <c r="A294" s="59">
        <v>71005.0</v>
      </c>
      <c r="B294" s="63" t="s">
        <v>322</v>
      </c>
      <c r="C294" s="60">
        <v>0.05046961966604824</v>
      </c>
      <c r="D294" s="61" t="str">
        <f t="shared" si="1"/>
        <v>Rojo</v>
      </c>
      <c r="E294" s="60">
        <v>0.28254067584480597</v>
      </c>
      <c r="F294" s="61" t="str">
        <f t="shared" si="2"/>
        <v>Rojo</v>
      </c>
      <c r="G294" s="56"/>
      <c r="H294" s="56"/>
      <c r="I294" s="56"/>
      <c r="J294" s="56"/>
      <c r="K294" s="62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ht="15.75" customHeight="1">
      <c r="A295" s="59">
        <v>71101.0</v>
      </c>
      <c r="B295" s="63" t="s">
        <v>323</v>
      </c>
      <c r="C295" s="60">
        <v>0.11278200374976034</v>
      </c>
      <c r="D295" s="61" t="str">
        <f t="shared" si="1"/>
        <v>Rojo</v>
      </c>
      <c r="E295" s="60">
        <v>0.15305875307738373</v>
      </c>
      <c r="F295" s="61" t="str">
        <f t="shared" si="2"/>
        <v>Rojo</v>
      </c>
      <c r="G295" s="56"/>
      <c r="H295" s="56"/>
      <c r="I295" s="56"/>
      <c r="J295" s="56"/>
      <c r="K295" s="62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ht="15.75" customHeight="1">
      <c r="A296" s="59">
        <v>71102.0</v>
      </c>
      <c r="B296" s="63" t="s">
        <v>324</v>
      </c>
      <c r="C296" s="60">
        <v>0.04337019083874911</v>
      </c>
      <c r="D296" s="61" t="str">
        <f t="shared" si="1"/>
        <v>Rojo</v>
      </c>
      <c r="E296" s="60">
        <v>0.136332871370097</v>
      </c>
      <c r="F296" s="61" t="str">
        <f t="shared" si="2"/>
        <v>Rojo</v>
      </c>
      <c r="G296" s="56"/>
      <c r="H296" s="56"/>
      <c r="I296" s="56"/>
      <c r="J296" s="56"/>
      <c r="K296" s="62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ht="15.75" customHeight="1">
      <c r="A297" s="59">
        <v>71103.0</v>
      </c>
      <c r="B297" s="63" t="s">
        <v>326</v>
      </c>
      <c r="C297" s="60">
        <v>0.03907322011022382</v>
      </c>
      <c r="D297" s="61" t="str">
        <f t="shared" si="1"/>
        <v>Rojo</v>
      </c>
      <c r="E297" s="60">
        <v>0.20740881619542711</v>
      </c>
      <c r="F297" s="61" t="str">
        <f t="shared" si="2"/>
        <v>Rojo</v>
      </c>
      <c r="G297" s="56"/>
      <c r="H297" s="56"/>
      <c r="I297" s="56"/>
      <c r="J297" s="56"/>
      <c r="K297" s="62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ht="15.75" customHeight="1">
      <c r="A298" s="59">
        <v>71104.0</v>
      </c>
      <c r="B298" s="63" t="s">
        <v>327</v>
      </c>
      <c r="C298" s="60">
        <v>0.10212418300653596</v>
      </c>
      <c r="D298" s="61" t="str">
        <f t="shared" si="1"/>
        <v>Rojo</v>
      </c>
      <c r="E298" s="60">
        <v>0.17988770375551283</v>
      </c>
      <c r="F298" s="61" t="str">
        <f t="shared" si="2"/>
        <v>Rojo</v>
      </c>
      <c r="G298" s="56"/>
      <c r="H298" s="56"/>
      <c r="I298" s="56"/>
      <c r="J298" s="56"/>
      <c r="K298" s="62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ht="15.75" customHeight="1">
      <c r="A299" s="59">
        <v>71105.0</v>
      </c>
      <c r="B299" s="63" t="s">
        <v>325</v>
      </c>
      <c r="C299" s="60">
        <v>0.11776865395033217</v>
      </c>
      <c r="D299" s="61" t="str">
        <f t="shared" si="1"/>
        <v>Rojo</v>
      </c>
      <c r="E299" s="60">
        <v>0.31816578483245145</v>
      </c>
      <c r="F299" s="61" t="str">
        <f t="shared" si="2"/>
        <v>Rojo</v>
      </c>
      <c r="G299" s="56"/>
      <c r="H299" s="56"/>
      <c r="I299" s="56"/>
      <c r="J299" s="56"/>
      <c r="K299" s="62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ht="15.75" customHeight="1">
      <c r="A300" s="59">
        <v>71106.0</v>
      </c>
      <c r="B300" s="63" t="s">
        <v>328</v>
      </c>
      <c r="C300" s="60">
        <v>0.052627952906594</v>
      </c>
      <c r="D300" s="61" t="str">
        <f t="shared" si="1"/>
        <v>Rojo</v>
      </c>
      <c r="E300" s="60">
        <v>0.14710928118030536</v>
      </c>
      <c r="F300" s="61" t="str">
        <f t="shared" si="2"/>
        <v>Rojo</v>
      </c>
      <c r="G300" s="56"/>
      <c r="H300" s="56"/>
      <c r="I300" s="56"/>
      <c r="J300" s="56"/>
      <c r="K300" s="62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ht="15.75" customHeight="1">
      <c r="A301" s="59">
        <v>71201.0</v>
      </c>
      <c r="B301" s="63" t="s">
        <v>329</v>
      </c>
      <c r="C301" s="60">
        <v>0.06790456655511173</v>
      </c>
      <c r="D301" s="61" t="str">
        <f t="shared" si="1"/>
        <v>Rojo</v>
      </c>
      <c r="E301" s="60">
        <v>0.2065173527037934</v>
      </c>
      <c r="F301" s="61" t="str">
        <f t="shared" si="2"/>
        <v>Rojo</v>
      </c>
      <c r="G301" s="56"/>
      <c r="H301" s="56"/>
      <c r="I301" s="56"/>
      <c r="J301" s="56"/>
      <c r="K301" s="62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ht="15.75" customHeight="1">
      <c r="A302" s="59">
        <v>71301.0</v>
      </c>
      <c r="B302" s="63" t="s">
        <v>330</v>
      </c>
      <c r="C302" s="60">
        <v>0.026141435496615198</v>
      </c>
      <c r="D302" s="61" t="str">
        <f t="shared" si="1"/>
        <v>Rojo</v>
      </c>
      <c r="E302" s="60">
        <v>0.22181655916595677</v>
      </c>
      <c r="F302" s="61" t="str">
        <f t="shared" si="2"/>
        <v>Rojo</v>
      </c>
      <c r="G302" s="56"/>
      <c r="H302" s="56"/>
      <c r="I302" s="56"/>
      <c r="J302" s="56"/>
      <c r="K302" s="62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ht="15.75" customHeight="1">
      <c r="A303" s="59">
        <v>71302.0</v>
      </c>
      <c r="B303" s="63" t="s">
        <v>331</v>
      </c>
      <c r="C303" s="60">
        <v>0.013649425287356323</v>
      </c>
      <c r="D303" s="61" t="str">
        <f t="shared" si="1"/>
        <v>Rojo</v>
      </c>
      <c r="E303" s="60">
        <v>0.12459902971819409</v>
      </c>
      <c r="F303" s="61" t="str">
        <f t="shared" si="2"/>
        <v>Rojo</v>
      </c>
      <c r="G303" s="56"/>
      <c r="H303" s="56"/>
      <c r="I303" s="56"/>
      <c r="J303" s="56"/>
      <c r="K303" s="62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ht="15.75" customHeight="1">
      <c r="A304" s="59">
        <v>71401.0</v>
      </c>
      <c r="B304" s="63" t="s">
        <v>424</v>
      </c>
      <c r="C304" s="60">
        <v>0.06765064925569886</v>
      </c>
      <c r="D304" s="61" t="str">
        <f t="shared" si="1"/>
        <v>Rojo</v>
      </c>
      <c r="E304" s="60">
        <v>0.14834209822622338</v>
      </c>
      <c r="F304" s="61" t="str">
        <f t="shared" si="2"/>
        <v>Rojo</v>
      </c>
      <c r="G304" s="56"/>
      <c r="H304" s="56"/>
      <c r="I304" s="56"/>
      <c r="J304" s="56"/>
      <c r="K304" s="62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ht="15.75" customHeight="1">
      <c r="A305" s="59">
        <v>71402.0</v>
      </c>
      <c r="B305" s="63" t="s">
        <v>333</v>
      </c>
      <c r="C305" s="60">
        <v>0.10509672619047619</v>
      </c>
      <c r="D305" s="61" t="str">
        <f t="shared" si="1"/>
        <v>Rojo</v>
      </c>
      <c r="E305" s="60">
        <v>0.26132179675994105</v>
      </c>
      <c r="F305" s="61" t="str">
        <f t="shared" si="2"/>
        <v>Rojo</v>
      </c>
      <c r="G305" s="56"/>
      <c r="H305" s="56"/>
      <c r="I305" s="56"/>
      <c r="J305" s="56"/>
      <c r="K305" s="62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ht="15.75" customHeight="1">
      <c r="A306" s="59">
        <v>71403.0</v>
      </c>
      <c r="B306" s="63" t="s">
        <v>334</v>
      </c>
      <c r="C306" s="60">
        <v>0.055979295329124844</v>
      </c>
      <c r="D306" s="61" t="str">
        <f t="shared" si="1"/>
        <v>Rojo</v>
      </c>
      <c r="E306" s="60">
        <v>0.2211719612811018</v>
      </c>
      <c r="F306" s="61" t="str">
        <f t="shared" si="2"/>
        <v>Rojo</v>
      </c>
      <c r="G306" s="56"/>
      <c r="H306" s="56"/>
      <c r="I306" s="56"/>
      <c r="J306" s="56"/>
      <c r="K306" s="62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ht="15.75" customHeight="1">
      <c r="A307" s="59">
        <v>71501.0</v>
      </c>
      <c r="B307" s="63" t="s">
        <v>335</v>
      </c>
      <c r="C307" s="60">
        <v>0.10045302553085611</v>
      </c>
      <c r="D307" s="61" t="str">
        <f t="shared" si="1"/>
        <v>Rojo</v>
      </c>
      <c r="E307" s="60">
        <v>0.16902181882386036</v>
      </c>
      <c r="F307" s="61" t="str">
        <f t="shared" si="2"/>
        <v>Rojo</v>
      </c>
      <c r="G307" s="56"/>
      <c r="H307" s="56"/>
      <c r="I307" s="56"/>
      <c r="J307" s="56"/>
      <c r="K307" s="62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ht="15.75" customHeight="1">
      <c r="A308" s="59">
        <v>71502.0</v>
      </c>
      <c r="B308" s="63" t="s">
        <v>336</v>
      </c>
      <c r="C308" s="60">
        <v>0.11325648414985591</v>
      </c>
      <c r="D308" s="61" t="str">
        <f t="shared" si="1"/>
        <v>Rojo</v>
      </c>
      <c r="E308" s="60">
        <v>0.3712442396313364</v>
      </c>
      <c r="F308" s="61" t="str">
        <f t="shared" si="2"/>
        <v>Rojo</v>
      </c>
      <c r="G308" s="56"/>
      <c r="H308" s="56"/>
      <c r="I308" s="56"/>
      <c r="J308" s="56"/>
      <c r="K308" s="62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ht="15.75" customHeight="1">
      <c r="A309" s="59">
        <v>71503.0</v>
      </c>
      <c r="B309" s="63" t="s">
        <v>281</v>
      </c>
      <c r="C309" s="60">
        <v>0.03127053669222344</v>
      </c>
      <c r="D309" s="61" t="str">
        <f t="shared" si="1"/>
        <v>Rojo</v>
      </c>
      <c r="E309" s="60">
        <v>0.20142844061899093</v>
      </c>
      <c r="F309" s="61" t="str">
        <f t="shared" si="2"/>
        <v>Rojo</v>
      </c>
      <c r="G309" s="56"/>
      <c r="H309" s="56"/>
      <c r="I309" s="56"/>
      <c r="J309" s="56"/>
      <c r="K309" s="62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ht="15.75" customHeight="1">
      <c r="A310" s="59">
        <v>80101.0</v>
      </c>
      <c r="B310" s="63" t="s">
        <v>337</v>
      </c>
      <c r="C310" s="60">
        <v>0.1292411608666936</v>
      </c>
      <c r="D310" s="61" t="str">
        <f t="shared" si="1"/>
        <v>Rojo</v>
      </c>
      <c r="E310" s="60">
        <v>0.33654887170807174</v>
      </c>
      <c r="F310" s="61" t="str">
        <f t="shared" si="2"/>
        <v>Rojo</v>
      </c>
      <c r="G310" s="56"/>
      <c r="H310" s="56"/>
      <c r="I310" s="56"/>
      <c r="J310" s="56"/>
      <c r="K310" s="62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ht="15.75" customHeight="1">
      <c r="A311" s="59">
        <v>80102.0</v>
      </c>
      <c r="B311" s="63" t="s">
        <v>324</v>
      </c>
      <c r="C311" s="60">
        <v>0.05320661705455752</v>
      </c>
      <c r="D311" s="61" t="str">
        <f t="shared" si="1"/>
        <v>Rojo</v>
      </c>
      <c r="E311" s="60">
        <v>0.18476753704539</v>
      </c>
      <c r="F311" s="61" t="str">
        <f t="shared" si="2"/>
        <v>Rojo</v>
      </c>
      <c r="G311" s="56"/>
      <c r="H311" s="56"/>
      <c r="I311" s="56"/>
      <c r="J311" s="56"/>
      <c r="K311" s="62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ht="15.75" customHeight="1">
      <c r="A312" s="59">
        <v>80201.0</v>
      </c>
      <c r="B312" s="63" t="s">
        <v>338</v>
      </c>
      <c r="C312" s="60">
        <v>0.13443827476367656</v>
      </c>
      <c r="D312" s="61" t="str">
        <f t="shared" si="1"/>
        <v>Rojo</v>
      </c>
      <c r="E312" s="60">
        <v>0.2408852835386852</v>
      </c>
      <c r="F312" s="61" t="str">
        <f t="shared" si="2"/>
        <v>Rojo</v>
      </c>
      <c r="G312" s="56"/>
      <c r="H312" s="56"/>
      <c r="I312" s="56"/>
      <c r="J312" s="56"/>
      <c r="K312" s="62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ht="15.75" customHeight="1">
      <c r="A313" s="59">
        <v>80202.0</v>
      </c>
      <c r="B313" s="63" t="s">
        <v>339</v>
      </c>
      <c r="C313" s="60">
        <v>0.09803290855766317</v>
      </c>
      <c r="D313" s="61" t="str">
        <f t="shared" si="1"/>
        <v>Rojo</v>
      </c>
      <c r="E313" s="60">
        <v>0.2045726285114316</v>
      </c>
      <c r="F313" s="61" t="str">
        <f t="shared" si="2"/>
        <v>Rojo</v>
      </c>
      <c r="G313" s="56"/>
      <c r="H313" s="56"/>
      <c r="I313" s="56"/>
      <c r="J313" s="56"/>
      <c r="K313" s="62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ht="15.75" customHeight="1">
      <c r="A314" s="59">
        <v>80301.0</v>
      </c>
      <c r="B314" s="63" t="s">
        <v>340</v>
      </c>
      <c r="C314" s="60">
        <v>0.08036970062286516</v>
      </c>
      <c r="D314" s="61" t="str">
        <f t="shared" si="1"/>
        <v>Rojo</v>
      </c>
      <c r="E314" s="60">
        <v>0.34902310612023574</v>
      </c>
      <c r="F314" s="61" t="str">
        <f t="shared" si="2"/>
        <v>Rojo</v>
      </c>
      <c r="G314" s="56"/>
      <c r="H314" s="56"/>
      <c r="I314" s="56"/>
      <c r="J314" s="56"/>
      <c r="K314" s="62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ht="15.75" customHeight="1">
      <c r="A315" s="59">
        <v>80302.0</v>
      </c>
      <c r="B315" s="63" t="s">
        <v>341</v>
      </c>
      <c r="C315" s="60">
        <v>0.06691586369315163</v>
      </c>
      <c r="D315" s="61" t="str">
        <f t="shared" si="1"/>
        <v>Rojo</v>
      </c>
      <c r="E315" s="60">
        <v>0.22871216631065358</v>
      </c>
      <c r="F315" s="61" t="str">
        <f t="shared" si="2"/>
        <v>Rojo</v>
      </c>
      <c r="G315" s="56"/>
      <c r="H315" s="56"/>
      <c r="I315" s="56"/>
      <c r="J315" s="56"/>
      <c r="K315" s="62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ht="15.75" customHeight="1">
      <c r="A316" s="59">
        <v>80303.0</v>
      </c>
      <c r="B316" s="63" t="s">
        <v>342</v>
      </c>
      <c r="C316" s="60">
        <v>0.05538638444666851</v>
      </c>
      <c r="D316" s="61" t="str">
        <f t="shared" si="1"/>
        <v>Rojo</v>
      </c>
      <c r="E316" s="60">
        <v>0.2583449220785081</v>
      </c>
      <c r="F316" s="61" t="str">
        <f t="shared" si="2"/>
        <v>Rojo</v>
      </c>
      <c r="G316" s="56"/>
      <c r="H316" s="56"/>
      <c r="I316" s="56"/>
      <c r="J316" s="56"/>
      <c r="K316" s="62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ht="15.75" customHeight="1">
      <c r="A317" s="59">
        <v>80304.0</v>
      </c>
      <c r="B317" s="63" t="s">
        <v>425</v>
      </c>
      <c r="C317" s="60">
        <v>0.08299671207139503</v>
      </c>
      <c r="D317" s="61" t="str">
        <f t="shared" si="1"/>
        <v>Rojo</v>
      </c>
      <c r="E317" s="60">
        <v>0.19136855000248318</v>
      </c>
      <c r="F317" s="61" t="str">
        <f t="shared" si="2"/>
        <v>Rojo</v>
      </c>
      <c r="G317" s="56"/>
      <c r="H317" s="56"/>
      <c r="I317" s="56"/>
      <c r="J317" s="56"/>
      <c r="K317" s="62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ht="15.75" customHeight="1">
      <c r="A318" s="59">
        <v>80401.0</v>
      </c>
      <c r="B318" s="63" t="s">
        <v>426</v>
      </c>
      <c r="C318" s="60">
        <v>0.10607473730025493</v>
      </c>
      <c r="D318" s="61" t="str">
        <f t="shared" si="1"/>
        <v>Rojo</v>
      </c>
      <c r="E318" s="60">
        <v>0.3456700681320714</v>
      </c>
      <c r="F318" s="61" t="str">
        <f t="shared" si="2"/>
        <v>Rojo</v>
      </c>
      <c r="G318" s="56"/>
      <c r="H318" s="56"/>
      <c r="I318" s="56"/>
      <c r="J318" s="56"/>
      <c r="K318" s="62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ht="15.75" customHeight="1">
      <c r="A319" s="59">
        <v>80402.0</v>
      </c>
      <c r="B319" s="63" t="s">
        <v>345</v>
      </c>
      <c r="C319" s="60">
        <v>0.03036677947498399</v>
      </c>
      <c r="D319" s="61" t="str">
        <f t="shared" si="1"/>
        <v>Rojo</v>
      </c>
      <c r="E319" s="60">
        <v>0.13121245028629452</v>
      </c>
      <c r="F319" s="61" t="str">
        <f t="shared" si="2"/>
        <v>Rojo</v>
      </c>
      <c r="G319" s="56"/>
      <c r="H319" s="56"/>
      <c r="I319" s="56"/>
      <c r="J319" s="56"/>
      <c r="K319" s="62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ht="15.75" customHeight="1">
      <c r="A320" s="59">
        <v>80501.0</v>
      </c>
      <c r="B320" s="63" t="s">
        <v>346</v>
      </c>
      <c r="C320" s="60">
        <v>0.08834767548844508</v>
      </c>
      <c r="D320" s="61" t="str">
        <f t="shared" si="1"/>
        <v>Rojo</v>
      </c>
      <c r="E320" s="60">
        <v>0.265102293777923</v>
      </c>
      <c r="F320" s="61" t="str">
        <f t="shared" si="2"/>
        <v>Rojo</v>
      </c>
      <c r="G320" s="56"/>
      <c r="H320" s="56"/>
      <c r="I320" s="56"/>
      <c r="J320" s="56"/>
      <c r="K320" s="62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ht="15.75" customHeight="1">
      <c r="A321" s="59">
        <v>80601.0</v>
      </c>
      <c r="B321" s="63" t="s">
        <v>347</v>
      </c>
      <c r="C321" s="60">
        <v>0.04238130290761869</v>
      </c>
      <c r="D321" s="61" t="str">
        <f t="shared" si="1"/>
        <v>Rojo</v>
      </c>
      <c r="E321" s="60">
        <v>0.4107363937998316</v>
      </c>
      <c r="F321" s="61" t="str">
        <f t="shared" si="2"/>
        <v>Rojo</v>
      </c>
      <c r="G321" s="56"/>
      <c r="H321" s="56"/>
      <c r="I321" s="56"/>
      <c r="J321" s="56"/>
      <c r="K321" s="62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ht="15.75" customHeight="1">
      <c r="A322" s="59">
        <v>80602.0</v>
      </c>
      <c r="B322" s="63" t="s">
        <v>348</v>
      </c>
      <c r="C322" s="60">
        <v>0.04353501934147095</v>
      </c>
      <c r="D322" s="61" t="str">
        <f t="shared" si="1"/>
        <v>Rojo</v>
      </c>
      <c r="E322" s="60">
        <v>0.1446298958050936</v>
      </c>
      <c r="F322" s="61" t="str">
        <f t="shared" si="2"/>
        <v>Rojo</v>
      </c>
      <c r="G322" s="56"/>
      <c r="H322" s="56"/>
      <c r="I322" s="56"/>
      <c r="J322" s="56"/>
      <c r="K322" s="62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ht="15.75" customHeight="1">
      <c r="A323" s="59">
        <v>80701.0</v>
      </c>
      <c r="B323" s="63" t="s">
        <v>349</v>
      </c>
      <c r="C323" s="60">
        <v>0.027713027713027718</v>
      </c>
      <c r="D323" s="61" t="str">
        <f t="shared" si="1"/>
        <v>Rojo</v>
      </c>
      <c r="E323" s="60">
        <v>0.10618225612203934</v>
      </c>
      <c r="F323" s="61" t="str">
        <f t="shared" si="2"/>
        <v>Rojo</v>
      </c>
      <c r="G323" s="56"/>
      <c r="H323" s="56"/>
      <c r="I323" s="56"/>
      <c r="J323" s="56"/>
      <c r="K323" s="62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ht="15.75" customHeight="1">
      <c r="A324" s="59">
        <v>80702.0</v>
      </c>
      <c r="B324" s="63" t="s">
        <v>325</v>
      </c>
      <c r="C324" s="60">
        <v>0.0725732037401575</v>
      </c>
      <c r="D324" s="61" t="str">
        <f t="shared" si="1"/>
        <v>Rojo</v>
      </c>
      <c r="E324" s="60">
        <v>0.22012621916236377</v>
      </c>
      <c r="F324" s="61" t="str">
        <f t="shared" si="2"/>
        <v>Rojo</v>
      </c>
      <c r="G324" s="56"/>
      <c r="H324" s="56"/>
      <c r="I324" s="56"/>
      <c r="J324" s="56"/>
      <c r="K324" s="62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ht="15.75" customHeight="1">
      <c r="A325" s="59">
        <v>80703.0</v>
      </c>
      <c r="B325" s="63" t="s">
        <v>350</v>
      </c>
      <c r="C325" s="60">
        <v>0.03924731182795699</v>
      </c>
      <c r="D325" s="61" t="str">
        <f t="shared" si="1"/>
        <v>Rojo</v>
      </c>
      <c r="E325" s="60">
        <v>0.354679802955665</v>
      </c>
      <c r="F325" s="61" t="str">
        <f t="shared" si="2"/>
        <v>Rojo</v>
      </c>
      <c r="G325" s="56"/>
      <c r="H325" s="56"/>
      <c r="I325" s="56"/>
      <c r="J325" s="56"/>
      <c r="K325" s="62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ht="15.75" customHeight="1">
      <c r="A326" s="59">
        <v>80801.0</v>
      </c>
      <c r="B326" s="63" t="s">
        <v>351</v>
      </c>
      <c r="C326" s="60">
        <v>0.05921089660606743</v>
      </c>
      <c r="D326" s="61" t="str">
        <f t="shared" si="1"/>
        <v>Rojo</v>
      </c>
      <c r="E326" s="60">
        <v>0.2038493038493039</v>
      </c>
      <c r="F326" s="61" t="str">
        <f t="shared" si="2"/>
        <v>Rojo</v>
      </c>
      <c r="G326" s="56"/>
      <c r="H326" s="56"/>
      <c r="I326" s="56"/>
      <c r="J326" s="56"/>
      <c r="K326" s="62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ht="15.75" customHeight="1">
      <c r="A327" s="59">
        <v>80802.0</v>
      </c>
      <c r="B327" s="63" t="s">
        <v>352</v>
      </c>
      <c r="C327" s="60">
        <v>0.07352506939112975</v>
      </c>
      <c r="D327" s="61" t="str">
        <f t="shared" si="1"/>
        <v>Rojo</v>
      </c>
      <c r="E327" s="60">
        <v>0.2662337662337662</v>
      </c>
      <c r="F327" s="61" t="str">
        <f t="shared" si="2"/>
        <v>Rojo</v>
      </c>
      <c r="G327" s="56"/>
      <c r="H327" s="56"/>
      <c r="I327" s="56"/>
      <c r="J327" s="56"/>
      <c r="K327" s="62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ht="15.75" customHeight="1">
      <c r="A328" s="59">
        <v>80803.0</v>
      </c>
      <c r="B328" s="63" t="s">
        <v>353</v>
      </c>
      <c r="C328" s="60">
        <v>0.031587158715871595</v>
      </c>
      <c r="D328" s="61" t="str">
        <f t="shared" si="1"/>
        <v>Rojo</v>
      </c>
      <c r="E328" s="60">
        <v>0.26307026307026304</v>
      </c>
      <c r="F328" s="61" t="str">
        <f t="shared" si="2"/>
        <v>Rojo</v>
      </c>
      <c r="G328" s="56"/>
      <c r="H328" s="56"/>
      <c r="I328" s="56"/>
      <c r="J328" s="56"/>
      <c r="K328" s="62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ht="15.75" customHeight="1">
      <c r="A329" s="59">
        <v>80901.0</v>
      </c>
      <c r="B329" s="63" t="s">
        <v>427</v>
      </c>
      <c r="C329" s="60">
        <v>0.04836046237320123</v>
      </c>
      <c r="D329" s="61" t="str">
        <f t="shared" si="1"/>
        <v>Rojo</v>
      </c>
      <c r="E329" s="60">
        <v>0.3224198956780924</v>
      </c>
      <c r="F329" s="61" t="str">
        <f t="shared" si="2"/>
        <v>Rojo</v>
      </c>
      <c r="G329" s="56"/>
      <c r="H329" s="56"/>
      <c r="I329" s="56"/>
      <c r="J329" s="56"/>
      <c r="K329" s="62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ht="15.75" customHeight="1">
      <c r="A330" s="59">
        <v>90101.0</v>
      </c>
      <c r="B330" s="63" t="s">
        <v>355</v>
      </c>
      <c r="C330" s="60">
        <v>0.06280646684887388</v>
      </c>
      <c r="D330" s="61" t="str">
        <f t="shared" si="1"/>
        <v>Rojo</v>
      </c>
      <c r="E330" s="60">
        <v>0.28356564149135094</v>
      </c>
      <c r="F330" s="61" t="str">
        <f t="shared" si="2"/>
        <v>Rojo</v>
      </c>
      <c r="G330" s="56"/>
      <c r="H330" s="56"/>
      <c r="I330" s="56"/>
      <c r="J330" s="56"/>
      <c r="K330" s="62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ht="15.75" customHeight="1">
      <c r="A331" s="59">
        <v>90102.0</v>
      </c>
      <c r="B331" s="63" t="s">
        <v>356</v>
      </c>
      <c r="C331" s="60">
        <v>0.056548288606781294</v>
      </c>
      <c r="D331" s="61" t="str">
        <f t="shared" si="1"/>
        <v>Rojo</v>
      </c>
      <c r="E331" s="60">
        <v>0.4788397930625054</v>
      </c>
      <c r="F331" s="61" t="str">
        <f t="shared" si="2"/>
        <v>Rojo</v>
      </c>
      <c r="G331" s="56"/>
      <c r="H331" s="56"/>
      <c r="I331" s="56"/>
      <c r="J331" s="56"/>
      <c r="K331" s="62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ht="15.75" customHeight="1">
      <c r="A332" s="59">
        <v>90103.0</v>
      </c>
      <c r="B332" s="63" t="s">
        <v>357</v>
      </c>
      <c r="C332" s="60">
        <v>0.016824290691886512</v>
      </c>
      <c r="D332" s="61" t="str">
        <f t="shared" si="1"/>
        <v>Rojo</v>
      </c>
      <c r="E332" s="60">
        <v>0.33108522378908645</v>
      </c>
      <c r="F332" s="61" t="str">
        <f t="shared" si="2"/>
        <v>Rojo</v>
      </c>
      <c r="G332" s="56"/>
      <c r="H332" s="56"/>
      <c r="I332" s="56"/>
      <c r="J332" s="56"/>
      <c r="K332" s="62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ht="15.75" customHeight="1">
      <c r="A333" s="59">
        <v>90104.0</v>
      </c>
      <c r="B333" s="63" t="s">
        <v>358</v>
      </c>
      <c r="C333" s="60">
        <v>0.02421726344923024</v>
      </c>
      <c r="D333" s="61" t="str">
        <f t="shared" si="1"/>
        <v>Rojo</v>
      </c>
      <c r="E333" s="60">
        <v>0.321133412042503</v>
      </c>
      <c r="F333" s="61" t="str">
        <f t="shared" si="2"/>
        <v>Rojo</v>
      </c>
      <c r="G333" s="56"/>
      <c r="H333" s="56"/>
      <c r="I333" s="56"/>
      <c r="J333" s="56"/>
      <c r="K333" s="62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ht="15.75" customHeight="1">
      <c r="A334" s="59">
        <v>90201.0</v>
      </c>
      <c r="B334" s="63" t="s">
        <v>359</v>
      </c>
      <c r="C334" s="60">
        <v>0.022194030847299193</v>
      </c>
      <c r="D334" s="61" t="str">
        <f t="shared" si="1"/>
        <v>Rojo</v>
      </c>
      <c r="E334" s="60">
        <v>0.21788467110982326</v>
      </c>
      <c r="F334" s="61" t="str">
        <f t="shared" si="2"/>
        <v>Rojo</v>
      </c>
      <c r="G334" s="56"/>
      <c r="H334" s="56"/>
      <c r="I334" s="56"/>
      <c r="J334" s="56"/>
      <c r="K334" s="62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ht="15.75" customHeight="1">
      <c r="A335" s="59">
        <v>90202.0</v>
      </c>
      <c r="B335" s="63" t="s">
        <v>322</v>
      </c>
      <c r="C335" s="60">
        <v>0.038693524524866275</v>
      </c>
      <c r="D335" s="61" t="str">
        <f t="shared" si="1"/>
        <v>Rojo</v>
      </c>
      <c r="E335" s="60">
        <v>0.11258064516129032</v>
      </c>
      <c r="F335" s="61" t="str">
        <f t="shared" si="2"/>
        <v>Rojo</v>
      </c>
      <c r="G335" s="56"/>
      <c r="H335" s="56"/>
      <c r="I335" s="56"/>
      <c r="J335" s="56"/>
      <c r="K335" s="62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ht="15.75" customHeight="1">
      <c r="A336" s="59">
        <v>90203.0</v>
      </c>
      <c r="B336" s="63" t="s">
        <v>360</v>
      </c>
      <c r="C336" s="60">
        <v>0.026984339445857316</v>
      </c>
      <c r="D336" s="61" t="str">
        <f t="shared" si="1"/>
        <v>Rojo</v>
      </c>
      <c r="E336" s="60">
        <v>0.2018276446381022</v>
      </c>
      <c r="F336" s="61" t="str">
        <f t="shared" si="2"/>
        <v>Rojo</v>
      </c>
      <c r="G336" s="56"/>
      <c r="H336" s="56"/>
      <c r="I336" s="56"/>
      <c r="J336" s="56"/>
      <c r="K336" s="62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ht="15.75" customHeight="1">
      <c r="A337" s="59">
        <v>90301.0</v>
      </c>
      <c r="B337" s="63" t="s">
        <v>361</v>
      </c>
      <c r="C337" s="60">
        <v>0.0526641707792085</v>
      </c>
      <c r="D337" s="61" t="str">
        <f t="shared" si="1"/>
        <v>Rojo</v>
      </c>
      <c r="E337" s="60">
        <v>0.3751148310707359</v>
      </c>
      <c r="F337" s="61" t="str">
        <f t="shared" si="2"/>
        <v>Rojo</v>
      </c>
      <c r="G337" s="56"/>
      <c r="H337" s="56"/>
      <c r="I337" s="56"/>
      <c r="J337" s="56"/>
      <c r="K337" s="62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ht="15.75" customHeight="1">
      <c r="A338" s="59">
        <v>90302.0</v>
      </c>
      <c r="B338" s="63" t="s">
        <v>362</v>
      </c>
      <c r="C338" s="60">
        <v>0.06731078904991948</v>
      </c>
      <c r="D338" s="61" t="str">
        <f t="shared" si="1"/>
        <v>Rojo</v>
      </c>
      <c r="E338" s="60">
        <v>0.20676804619826758</v>
      </c>
      <c r="F338" s="61" t="str">
        <f t="shared" si="2"/>
        <v>Rojo</v>
      </c>
      <c r="G338" s="56"/>
      <c r="H338" s="56"/>
      <c r="I338" s="56"/>
      <c r="J338" s="56"/>
      <c r="K338" s="62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ht="15.75" customHeight="1">
      <c r="A339" s="59">
        <v>90303.0</v>
      </c>
      <c r="B339" s="63" t="s">
        <v>363</v>
      </c>
      <c r="C339" s="60">
        <v>0.0562173373176689</v>
      </c>
      <c r="D339" s="61" t="str">
        <f t="shared" si="1"/>
        <v>Rojo</v>
      </c>
      <c r="E339" s="60">
        <v>0.12463274180279706</v>
      </c>
      <c r="F339" s="61" t="str">
        <f t="shared" si="2"/>
        <v>Rojo</v>
      </c>
      <c r="G339" s="56"/>
      <c r="H339" s="56"/>
      <c r="I339" s="56"/>
      <c r="J339" s="56"/>
      <c r="K339" s="62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ht="15.75" customHeight="1">
      <c r="A340" s="59">
        <v>90401.0</v>
      </c>
      <c r="B340" s="63" t="s">
        <v>342</v>
      </c>
      <c r="C340" s="60">
        <v>0.05040853067442183</v>
      </c>
      <c r="D340" s="61" t="str">
        <f t="shared" si="1"/>
        <v>Rojo</v>
      </c>
      <c r="E340" s="60">
        <v>0.08741393981588923</v>
      </c>
      <c r="F340" s="61" t="str">
        <f t="shared" si="2"/>
        <v>Rojo</v>
      </c>
      <c r="G340" s="56"/>
      <c r="H340" s="56"/>
      <c r="I340" s="56"/>
      <c r="J340" s="56"/>
      <c r="K340" s="62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ht="15.75" customHeight="1">
      <c r="A341" s="59">
        <v>90402.0</v>
      </c>
      <c r="B341" s="63" t="s">
        <v>365</v>
      </c>
      <c r="C341" s="60">
        <v>0.009836949198221262</v>
      </c>
      <c r="D341" s="61" t="str">
        <f t="shared" si="1"/>
        <v>Rojo</v>
      </c>
      <c r="E341" s="60">
        <v>0.23138780804150452</v>
      </c>
      <c r="F341" s="61" t="str">
        <f t="shared" si="2"/>
        <v>Rojo</v>
      </c>
      <c r="G341" s="56"/>
      <c r="H341" s="56"/>
      <c r="I341" s="56"/>
      <c r="J341" s="56"/>
      <c r="K341" s="62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ht="15.75" customHeight="1">
      <c r="A342" s="59">
        <v>90501.0</v>
      </c>
      <c r="B342" s="63" t="s">
        <v>366</v>
      </c>
      <c r="C342" s="60">
        <v>0.10228013029315959</v>
      </c>
      <c r="D342" s="61" t="str">
        <f t="shared" si="1"/>
        <v>Rojo</v>
      </c>
      <c r="E342" s="60">
        <v>0.15505490344566453</v>
      </c>
      <c r="F342" s="61" t="str">
        <f t="shared" si="2"/>
        <v>Rojo</v>
      </c>
      <c r="G342" s="56"/>
      <c r="H342" s="56"/>
      <c r="I342" s="56"/>
      <c r="J342" s="56"/>
      <c r="K342" s="62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ht="15.75" customHeight="1">
      <c r="A343" s="59">
        <v>90502.0</v>
      </c>
      <c r="B343" s="63" t="s">
        <v>428</v>
      </c>
      <c r="C343" s="60">
        <v>0.07230018303843808</v>
      </c>
      <c r="D343" s="61" t="str">
        <f t="shared" si="1"/>
        <v>Rojo</v>
      </c>
      <c r="E343" s="60">
        <v>0.22651022523796058</v>
      </c>
      <c r="F343" s="61" t="str">
        <f t="shared" si="2"/>
        <v>Rojo</v>
      </c>
      <c r="G343" s="56"/>
      <c r="H343" s="56"/>
      <c r="I343" s="56"/>
      <c r="J343" s="56"/>
      <c r="K343" s="62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ht="15.75" customHeight="1">
      <c r="A344" s="59">
        <v>90503.0</v>
      </c>
      <c r="B344" s="63" t="s">
        <v>368</v>
      </c>
      <c r="C344" s="60">
        <v>0.03675213675213675</v>
      </c>
      <c r="D344" s="61" t="str">
        <f t="shared" si="1"/>
        <v>Rojo</v>
      </c>
      <c r="E344" s="60">
        <v>0.10810810810810811</v>
      </c>
      <c r="F344" s="61" t="str">
        <f t="shared" si="2"/>
        <v>Rojo</v>
      </c>
      <c r="G344" s="56"/>
      <c r="H344" s="56"/>
      <c r="I344" s="56"/>
      <c r="J344" s="56"/>
      <c r="K344" s="62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ht="15.75" customHeight="1">
      <c r="A345" s="64"/>
      <c r="B345" s="64"/>
      <c r="C345" s="64"/>
      <c r="D345" s="64"/>
      <c r="E345" s="64"/>
      <c r="F345" s="64"/>
      <c r="G345" s="56"/>
      <c r="H345" s="56"/>
      <c r="I345" s="56"/>
      <c r="J345" s="56"/>
      <c r="K345" s="64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ht="15.75" customHeight="1">
      <c r="A346" s="64"/>
      <c r="B346" s="64"/>
      <c r="C346" s="64"/>
      <c r="D346" s="64"/>
      <c r="E346" s="64"/>
      <c r="F346" s="64"/>
      <c r="G346" s="56"/>
      <c r="H346" s="56"/>
      <c r="I346" s="56"/>
      <c r="J346" s="56"/>
      <c r="K346" s="64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ht="15.75" customHeight="1">
      <c r="A347" s="64"/>
      <c r="B347" s="64"/>
      <c r="C347" s="64"/>
      <c r="D347" s="64"/>
      <c r="E347" s="64"/>
      <c r="F347" s="64"/>
      <c r="G347" s="56"/>
      <c r="H347" s="56"/>
      <c r="I347" s="56"/>
      <c r="J347" s="56"/>
      <c r="K347" s="64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ht="15.75" customHeight="1">
      <c r="A348" s="64"/>
      <c r="B348" s="64"/>
      <c r="C348" s="64"/>
      <c r="D348" s="64"/>
      <c r="E348" s="64"/>
      <c r="F348" s="64"/>
      <c r="G348" s="56"/>
      <c r="H348" s="56"/>
      <c r="I348" s="56"/>
      <c r="J348" s="56"/>
      <c r="K348" s="64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ht="15.75" customHeight="1">
      <c r="A349" s="64"/>
      <c r="B349" s="64"/>
      <c r="C349" s="64"/>
      <c r="D349" s="64"/>
      <c r="E349" s="64"/>
      <c r="F349" s="64"/>
      <c r="G349" s="56"/>
      <c r="H349" s="56"/>
      <c r="I349" s="56"/>
      <c r="J349" s="56"/>
      <c r="K349" s="64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ht="15.75" customHeight="1">
      <c r="A350" s="64"/>
      <c r="B350" s="64"/>
      <c r="C350" s="64"/>
      <c r="D350" s="64"/>
      <c r="E350" s="64"/>
      <c r="F350" s="64"/>
      <c r="G350" s="56"/>
      <c r="H350" s="56"/>
      <c r="I350" s="56"/>
      <c r="J350" s="56"/>
      <c r="K350" s="64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ht="15.75" customHeight="1">
      <c r="A351" s="64"/>
      <c r="B351" s="64"/>
      <c r="C351" s="64"/>
      <c r="D351" s="64"/>
      <c r="E351" s="64"/>
      <c r="F351" s="64"/>
      <c r="G351" s="56"/>
      <c r="H351" s="56"/>
      <c r="I351" s="56"/>
      <c r="J351" s="56"/>
      <c r="K351" s="64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ht="15.75" customHeight="1">
      <c r="A352" s="64"/>
      <c r="B352" s="64"/>
      <c r="C352" s="64"/>
      <c r="D352" s="64"/>
      <c r="E352" s="64"/>
      <c r="F352" s="64"/>
      <c r="G352" s="56"/>
      <c r="H352" s="56"/>
      <c r="I352" s="56"/>
      <c r="J352" s="56"/>
      <c r="K352" s="64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ht="15.75" customHeight="1">
      <c r="A353" s="64"/>
      <c r="B353" s="64"/>
      <c r="C353" s="64"/>
      <c r="D353" s="64"/>
      <c r="E353" s="64"/>
      <c r="F353" s="64"/>
      <c r="G353" s="56"/>
      <c r="H353" s="56"/>
      <c r="I353" s="56"/>
      <c r="J353" s="56"/>
      <c r="K353" s="64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ht="15.75" customHeight="1">
      <c r="A354" s="64"/>
      <c r="B354" s="64"/>
      <c r="C354" s="64"/>
      <c r="D354" s="64"/>
      <c r="E354" s="64"/>
      <c r="F354" s="64"/>
      <c r="G354" s="56"/>
      <c r="H354" s="56"/>
      <c r="I354" s="56"/>
      <c r="J354" s="56"/>
      <c r="K354" s="64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ht="15.75" customHeight="1">
      <c r="A355" s="64"/>
      <c r="B355" s="64"/>
      <c r="C355" s="64"/>
      <c r="D355" s="64"/>
      <c r="E355" s="64"/>
      <c r="F355" s="64"/>
      <c r="G355" s="56"/>
      <c r="H355" s="56"/>
      <c r="I355" s="56"/>
      <c r="J355" s="56"/>
      <c r="K355" s="64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ht="15.75" customHeight="1">
      <c r="A356" s="64"/>
      <c r="B356" s="64"/>
      <c r="C356" s="64"/>
      <c r="D356" s="64"/>
      <c r="E356" s="64"/>
      <c r="F356" s="64"/>
      <c r="G356" s="56"/>
      <c r="H356" s="56"/>
      <c r="I356" s="56"/>
      <c r="J356" s="56"/>
      <c r="K356" s="64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ht="15.75" customHeight="1">
      <c r="A357" s="64"/>
      <c r="B357" s="64"/>
      <c r="C357" s="64"/>
      <c r="D357" s="64"/>
      <c r="E357" s="64"/>
      <c r="F357" s="64"/>
      <c r="G357" s="56"/>
      <c r="H357" s="56"/>
      <c r="I357" s="56"/>
      <c r="J357" s="56"/>
      <c r="K357" s="64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ht="15.75" customHeight="1">
      <c r="A358" s="64"/>
      <c r="B358" s="64"/>
      <c r="C358" s="64"/>
      <c r="D358" s="64"/>
      <c r="E358" s="64"/>
      <c r="F358" s="64"/>
      <c r="G358" s="56"/>
      <c r="H358" s="56"/>
      <c r="I358" s="56"/>
      <c r="J358" s="56"/>
      <c r="K358" s="64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ht="15.75" customHeight="1">
      <c r="A359" s="64"/>
      <c r="B359" s="64"/>
      <c r="C359" s="64"/>
      <c r="D359" s="64"/>
      <c r="E359" s="64"/>
      <c r="F359" s="64"/>
      <c r="G359" s="56"/>
      <c r="H359" s="56"/>
      <c r="I359" s="56"/>
      <c r="J359" s="56"/>
      <c r="K359" s="64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ht="15.75" customHeight="1">
      <c r="A360" s="64"/>
      <c r="B360" s="64"/>
      <c r="C360" s="64"/>
      <c r="D360" s="64"/>
      <c r="E360" s="64"/>
      <c r="F360" s="64"/>
      <c r="G360" s="56"/>
      <c r="H360" s="56"/>
      <c r="I360" s="56"/>
      <c r="J360" s="56"/>
      <c r="K360" s="64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ht="15.75" customHeight="1">
      <c r="A361" s="64"/>
      <c r="B361" s="64"/>
      <c r="C361" s="64"/>
      <c r="D361" s="64"/>
      <c r="E361" s="64"/>
      <c r="F361" s="64"/>
      <c r="G361" s="56"/>
      <c r="H361" s="56"/>
      <c r="I361" s="56"/>
      <c r="J361" s="56"/>
      <c r="K361" s="64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ht="15.75" customHeight="1">
      <c r="A362" s="64"/>
      <c r="B362" s="64"/>
      <c r="C362" s="64"/>
      <c r="D362" s="64"/>
      <c r="E362" s="64"/>
      <c r="F362" s="64"/>
      <c r="G362" s="56"/>
      <c r="H362" s="56"/>
      <c r="I362" s="56"/>
      <c r="J362" s="56"/>
      <c r="K362" s="64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ht="15.75" customHeight="1">
      <c r="A363" s="64"/>
      <c r="B363" s="64"/>
      <c r="C363" s="64"/>
      <c r="D363" s="64"/>
      <c r="E363" s="64"/>
      <c r="F363" s="64"/>
      <c r="G363" s="56"/>
      <c r="H363" s="56"/>
      <c r="I363" s="56"/>
      <c r="J363" s="56"/>
      <c r="K363" s="64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ht="15.75" customHeight="1">
      <c r="A364" s="64"/>
      <c r="B364" s="64"/>
      <c r="C364" s="64"/>
      <c r="D364" s="64"/>
      <c r="E364" s="64"/>
      <c r="F364" s="64"/>
      <c r="G364" s="56"/>
      <c r="H364" s="56"/>
      <c r="I364" s="56"/>
      <c r="J364" s="56"/>
      <c r="K364" s="64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ht="15.75" customHeight="1">
      <c r="A365" s="64"/>
      <c r="B365" s="64"/>
      <c r="C365" s="64"/>
      <c r="D365" s="64"/>
      <c r="E365" s="64"/>
      <c r="F365" s="64"/>
      <c r="G365" s="56"/>
      <c r="H365" s="56"/>
      <c r="I365" s="56"/>
      <c r="J365" s="56"/>
      <c r="K365" s="64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ht="15.75" customHeight="1">
      <c r="A366" s="64"/>
      <c r="B366" s="64"/>
      <c r="C366" s="64"/>
      <c r="D366" s="64"/>
      <c r="E366" s="64"/>
      <c r="F366" s="64"/>
      <c r="G366" s="56"/>
      <c r="H366" s="56"/>
      <c r="I366" s="56"/>
      <c r="J366" s="56"/>
      <c r="K366" s="64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ht="15.75" customHeight="1">
      <c r="A367" s="64"/>
      <c r="B367" s="64"/>
      <c r="C367" s="64"/>
      <c r="D367" s="64"/>
      <c r="E367" s="64"/>
      <c r="F367" s="64"/>
      <c r="G367" s="56"/>
      <c r="H367" s="56"/>
      <c r="I367" s="56"/>
      <c r="J367" s="56"/>
      <c r="K367" s="64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ht="15.75" customHeight="1">
      <c r="A368" s="64"/>
      <c r="B368" s="64"/>
      <c r="C368" s="64"/>
      <c r="D368" s="64"/>
      <c r="E368" s="64"/>
      <c r="F368" s="64"/>
      <c r="G368" s="56"/>
      <c r="H368" s="56"/>
      <c r="I368" s="56"/>
      <c r="J368" s="56"/>
      <c r="K368" s="64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ht="15.75" customHeight="1">
      <c r="A369" s="64"/>
      <c r="B369" s="64"/>
      <c r="C369" s="64"/>
      <c r="D369" s="64"/>
      <c r="E369" s="64"/>
      <c r="F369" s="64"/>
      <c r="G369" s="56"/>
      <c r="H369" s="56"/>
      <c r="I369" s="56"/>
      <c r="J369" s="56"/>
      <c r="K369" s="64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ht="15.75" customHeight="1">
      <c r="A370" s="64"/>
      <c r="B370" s="64"/>
      <c r="C370" s="64"/>
      <c r="D370" s="64"/>
      <c r="E370" s="64"/>
      <c r="F370" s="64"/>
      <c r="G370" s="56"/>
      <c r="H370" s="56"/>
      <c r="I370" s="56"/>
      <c r="J370" s="56"/>
      <c r="K370" s="64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ht="15.75" customHeight="1">
      <c r="A371" s="64"/>
      <c r="B371" s="64"/>
      <c r="C371" s="64"/>
      <c r="D371" s="64"/>
      <c r="E371" s="64"/>
      <c r="F371" s="64"/>
      <c r="G371" s="56"/>
      <c r="H371" s="56"/>
      <c r="I371" s="56"/>
      <c r="J371" s="56"/>
      <c r="K371" s="64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ht="15.75" customHeight="1">
      <c r="A372" s="64"/>
      <c r="B372" s="64"/>
      <c r="C372" s="64"/>
      <c r="D372" s="64"/>
      <c r="E372" s="64"/>
      <c r="F372" s="64"/>
      <c r="G372" s="56"/>
      <c r="H372" s="56"/>
      <c r="I372" s="56"/>
      <c r="J372" s="56"/>
      <c r="K372" s="64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ht="15.75" customHeight="1">
      <c r="A373" s="64"/>
      <c r="B373" s="64"/>
      <c r="C373" s="64"/>
      <c r="D373" s="64"/>
      <c r="E373" s="64"/>
      <c r="F373" s="64"/>
      <c r="G373" s="56"/>
      <c r="H373" s="56"/>
      <c r="I373" s="56"/>
      <c r="J373" s="56"/>
      <c r="K373" s="64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ht="15.75" customHeight="1">
      <c r="A374" s="64"/>
      <c r="B374" s="64"/>
      <c r="C374" s="64"/>
      <c r="D374" s="64"/>
      <c r="E374" s="64"/>
      <c r="F374" s="64"/>
      <c r="G374" s="56"/>
      <c r="H374" s="56"/>
      <c r="I374" s="56"/>
      <c r="J374" s="56"/>
      <c r="K374" s="64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ht="15.75" customHeight="1">
      <c r="A375" s="64"/>
      <c r="B375" s="64"/>
      <c r="C375" s="64"/>
      <c r="D375" s="64"/>
      <c r="E375" s="64"/>
      <c r="F375" s="64"/>
      <c r="G375" s="56"/>
      <c r="H375" s="56"/>
      <c r="I375" s="56"/>
      <c r="J375" s="56"/>
      <c r="K375" s="64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ht="15.75" customHeight="1">
      <c r="A376" s="64"/>
      <c r="B376" s="64"/>
      <c r="C376" s="64"/>
      <c r="D376" s="64"/>
      <c r="E376" s="64"/>
      <c r="F376" s="64"/>
      <c r="G376" s="56"/>
      <c r="H376" s="56"/>
      <c r="I376" s="56"/>
      <c r="J376" s="56"/>
      <c r="K376" s="64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ht="15.75" customHeight="1">
      <c r="A377" s="64"/>
      <c r="B377" s="64"/>
      <c r="C377" s="64"/>
      <c r="D377" s="64"/>
      <c r="E377" s="64"/>
      <c r="F377" s="64"/>
      <c r="G377" s="56"/>
      <c r="H377" s="56"/>
      <c r="I377" s="56"/>
      <c r="J377" s="56"/>
      <c r="K377" s="64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ht="15.75" customHeight="1">
      <c r="A378" s="64"/>
      <c r="B378" s="64"/>
      <c r="C378" s="64"/>
      <c r="D378" s="64"/>
      <c r="E378" s="64"/>
      <c r="F378" s="64"/>
      <c r="G378" s="56"/>
      <c r="H378" s="56"/>
      <c r="I378" s="56"/>
      <c r="J378" s="56"/>
      <c r="K378" s="64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ht="15.75" customHeight="1">
      <c r="A379" s="64"/>
      <c r="B379" s="64"/>
      <c r="C379" s="64"/>
      <c r="D379" s="64"/>
      <c r="E379" s="64"/>
      <c r="F379" s="64"/>
      <c r="G379" s="56"/>
      <c r="H379" s="56"/>
      <c r="I379" s="56"/>
      <c r="J379" s="56"/>
      <c r="K379" s="64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ht="15.75" customHeight="1">
      <c r="A380" s="64"/>
      <c r="B380" s="64"/>
      <c r="C380" s="64"/>
      <c r="D380" s="64"/>
      <c r="E380" s="64"/>
      <c r="F380" s="64"/>
      <c r="G380" s="56"/>
      <c r="H380" s="56"/>
      <c r="I380" s="56"/>
      <c r="J380" s="56"/>
      <c r="K380" s="64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ht="15.75" customHeight="1">
      <c r="A381" s="64"/>
      <c r="B381" s="64"/>
      <c r="C381" s="64"/>
      <c r="D381" s="64"/>
      <c r="E381" s="64"/>
      <c r="F381" s="64"/>
      <c r="G381" s="56"/>
      <c r="H381" s="56"/>
      <c r="I381" s="56"/>
      <c r="J381" s="56"/>
      <c r="K381" s="64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ht="15.75" customHeight="1">
      <c r="A382" s="64"/>
      <c r="B382" s="64"/>
      <c r="C382" s="64"/>
      <c r="D382" s="64"/>
      <c r="E382" s="64"/>
      <c r="F382" s="64"/>
      <c r="G382" s="56"/>
      <c r="H382" s="56"/>
      <c r="I382" s="56"/>
      <c r="J382" s="56"/>
      <c r="K382" s="64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ht="15.75" customHeight="1">
      <c r="A383" s="64"/>
      <c r="B383" s="64"/>
      <c r="C383" s="64"/>
      <c r="D383" s="64"/>
      <c r="E383" s="64"/>
      <c r="F383" s="64"/>
      <c r="G383" s="56"/>
      <c r="H383" s="56"/>
      <c r="I383" s="56"/>
      <c r="J383" s="56"/>
      <c r="K383" s="64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ht="15.75" customHeight="1">
      <c r="A384" s="64"/>
      <c r="B384" s="64"/>
      <c r="C384" s="64"/>
      <c r="D384" s="64"/>
      <c r="E384" s="64"/>
      <c r="F384" s="64"/>
      <c r="G384" s="56"/>
      <c r="H384" s="56"/>
      <c r="I384" s="56"/>
      <c r="J384" s="56"/>
      <c r="K384" s="64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ht="15.75" customHeight="1">
      <c r="A385" s="64"/>
      <c r="B385" s="64"/>
      <c r="C385" s="64"/>
      <c r="D385" s="64"/>
      <c r="E385" s="64"/>
      <c r="F385" s="64"/>
      <c r="G385" s="56"/>
      <c r="H385" s="56"/>
      <c r="I385" s="56"/>
      <c r="J385" s="56"/>
      <c r="K385" s="64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ht="15.75" customHeight="1">
      <c r="A386" s="64"/>
      <c r="B386" s="64"/>
      <c r="C386" s="64"/>
      <c r="D386" s="64"/>
      <c r="E386" s="64"/>
      <c r="F386" s="64"/>
      <c r="G386" s="56"/>
      <c r="H386" s="56"/>
      <c r="I386" s="56"/>
      <c r="J386" s="56"/>
      <c r="K386" s="64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ht="15.75" customHeight="1">
      <c r="A387" s="64"/>
      <c r="B387" s="64"/>
      <c r="C387" s="64"/>
      <c r="D387" s="64"/>
      <c r="E387" s="64"/>
      <c r="F387" s="64"/>
      <c r="G387" s="56"/>
      <c r="H387" s="56"/>
      <c r="I387" s="56"/>
      <c r="J387" s="56"/>
      <c r="K387" s="64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ht="15.75" customHeight="1">
      <c r="A388" s="64"/>
      <c r="B388" s="64"/>
      <c r="C388" s="64"/>
      <c r="D388" s="64"/>
      <c r="E388" s="64"/>
      <c r="F388" s="64"/>
      <c r="G388" s="56"/>
      <c r="H388" s="56"/>
      <c r="I388" s="56"/>
      <c r="J388" s="56"/>
      <c r="K388" s="64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ht="15.75" customHeight="1">
      <c r="A389" s="64"/>
      <c r="B389" s="64"/>
      <c r="C389" s="64"/>
      <c r="D389" s="64"/>
      <c r="E389" s="64"/>
      <c r="F389" s="64"/>
      <c r="G389" s="56"/>
      <c r="H389" s="56"/>
      <c r="I389" s="56"/>
      <c r="J389" s="56"/>
      <c r="K389" s="64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ht="15.75" customHeight="1">
      <c r="A390" s="64"/>
      <c r="B390" s="64"/>
      <c r="C390" s="64"/>
      <c r="D390" s="64"/>
      <c r="E390" s="64"/>
      <c r="F390" s="64"/>
      <c r="G390" s="56"/>
      <c r="H390" s="56"/>
      <c r="I390" s="56"/>
      <c r="J390" s="56"/>
      <c r="K390" s="64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ht="15.75" customHeight="1">
      <c r="A391" s="64"/>
      <c r="B391" s="64"/>
      <c r="C391" s="64"/>
      <c r="D391" s="64"/>
      <c r="E391" s="64"/>
      <c r="F391" s="64"/>
      <c r="G391" s="56"/>
      <c r="H391" s="56"/>
      <c r="I391" s="56"/>
      <c r="J391" s="56"/>
      <c r="K391" s="64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ht="15.75" customHeight="1">
      <c r="A392" s="64"/>
      <c r="B392" s="64"/>
      <c r="C392" s="64"/>
      <c r="D392" s="64"/>
      <c r="E392" s="64"/>
      <c r="F392" s="64"/>
      <c r="G392" s="56"/>
      <c r="H392" s="56"/>
      <c r="I392" s="56"/>
      <c r="J392" s="56"/>
      <c r="K392" s="64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ht="15.75" customHeight="1">
      <c r="A393" s="64"/>
      <c r="B393" s="64"/>
      <c r="C393" s="64"/>
      <c r="D393" s="64"/>
      <c r="E393" s="64"/>
      <c r="F393" s="64"/>
      <c r="G393" s="56"/>
      <c r="H393" s="56"/>
      <c r="I393" s="56"/>
      <c r="J393" s="56"/>
      <c r="K393" s="64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ht="15.75" customHeight="1">
      <c r="A394" s="64"/>
      <c r="B394" s="64"/>
      <c r="C394" s="64"/>
      <c r="D394" s="64"/>
      <c r="E394" s="64"/>
      <c r="F394" s="64"/>
      <c r="G394" s="56"/>
      <c r="H394" s="56"/>
      <c r="I394" s="56"/>
      <c r="J394" s="56"/>
      <c r="K394" s="64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ht="15.75" customHeight="1">
      <c r="A395" s="64"/>
      <c r="B395" s="64"/>
      <c r="C395" s="64"/>
      <c r="D395" s="64"/>
      <c r="E395" s="64"/>
      <c r="F395" s="64"/>
      <c r="G395" s="56"/>
      <c r="H395" s="56"/>
      <c r="I395" s="56"/>
      <c r="J395" s="56"/>
      <c r="K395" s="64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ht="15.75" customHeight="1">
      <c r="A396" s="64"/>
      <c r="B396" s="64"/>
      <c r="C396" s="64"/>
      <c r="D396" s="64"/>
      <c r="E396" s="64"/>
      <c r="F396" s="64"/>
      <c r="G396" s="56"/>
      <c r="H396" s="56"/>
      <c r="I396" s="56"/>
      <c r="J396" s="56"/>
      <c r="K396" s="64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ht="15.75" customHeight="1">
      <c r="A397" s="64"/>
      <c r="B397" s="64"/>
      <c r="C397" s="64"/>
      <c r="D397" s="64"/>
      <c r="E397" s="64"/>
      <c r="F397" s="64"/>
      <c r="G397" s="56"/>
      <c r="H397" s="56"/>
      <c r="I397" s="56"/>
      <c r="J397" s="56"/>
      <c r="K397" s="64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ht="15.75" customHeight="1">
      <c r="A398" s="64"/>
      <c r="B398" s="64"/>
      <c r="C398" s="64"/>
      <c r="D398" s="64"/>
      <c r="E398" s="64"/>
      <c r="F398" s="64"/>
      <c r="G398" s="56"/>
      <c r="H398" s="56"/>
      <c r="I398" s="56"/>
      <c r="J398" s="56"/>
      <c r="K398" s="64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ht="15.75" customHeight="1">
      <c r="A399" s="64"/>
      <c r="B399" s="64"/>
      <c r="C399" s="64"/>
      <c r="D399" s="64"/>
      <c r="E399" s="64"/>
      <c r="F399" s="64"/>
      <c r="G399" s="56"/>
      <c r="H399" s="56"/>
      <c r="I399" s="56"/>
      <c r="J399" s="56"/>
      <c r="K399" s="64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ht="15.75" customHeight="1">
      <c r="A400" s="64"/>
      <c r="B400" s="64"/>
      <c r="C400" s="64"/>
      <c r="D400" s="64"/>
      <c r="E400" s="64"/>
      <c r="F400" s="64"/>
      <c r="G400" s="56"/>
      <c r="H400" s="56"/>
      <c r="I400" s="56"/>
      <c r="J400" s="56"/>
      <c r="K400" s="64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ht="15.75" customHeight="1">
      <c r="A401" s="64"/>
      <c r="B401" s="64"/>
      <c r="C401" s="64"/>
      <c r="D401" s="64"/>
      <c r="E401" s="64"/>
      <c r="F401" s="64"/>
      <c r="G401" s="56"/>
      <c r="H401" s="56"/>
      <c r="I401" s="56"/>
      <c r="J401" s="56"/>
      <c r="K401" s="64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ht="15.75" customHeight="1">
      <c r="A402" s="64"/>
      <c r="B402" s="64"/>
      <c r="C402" s="64"/>
      <c r="D402" s="64"/>
      <c r="E402" s="64"/>
      <c r="F402" s="64"/>
      <c r="G402" s="56"/>
      <c r="H402" s="56"/>
      <c r="I402" s="56"/>
      <c r="J402" s="56"/>
      <c r="K402" s="64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ht="15.75" customHeight="1">
      <c r="A403" s="64"/>
      <c r="B403" s="64"/>
      <c r="C403" s="64"/>
      <c r="D403" s="64"/>
      <c r="E403" s="64"/>
      <c r="F403" s="64"/>
      <c r="G403" s="56"/>
      <c r="H403" s="56"/>
      <c r="I403" s="56"/>
      <c r="J403" s="56"/>
      <c r="K403" s="64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ht="15.75" customHeight="1">
      <c r="A404" s="64"/>
      <c r="B404" s="64"/>
      <c r="C404" s="64"/>
      <c r="D404" s="64"/>
      <c r="E404" s="64"/>
      <c r="F404" s="64"/>
      <c r="G404" s="56"/>
      <c r="H404" s="56"/>
      <c r="I404" s="56"/>
      <c r="J404" s="56"/>
      <c r="K404" s="64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ht="15.75" customHeight="1">
      <c r="A405" s="64"/>
      <c r="B405" s="64"/>
      <c r="C405" s="64"/>
      <c r="D405" s="64"/>
      <c r="E405" s="64"/>
      <c r="F405" s="64"/>
      <c r="G405" s="56"/>
      <c r="H405" s="56"/>
      <c r="I405" s="56"/>
      <c r="J405" s="56"/>
      <c r="K405" s="64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ht="15.75" customHeight="1">
      <c r="A406" s="64"/>
      <c r="B406" s="64"/>
      <c r="C406" s="64"/>
      <c r="D406" s="64"/>
      <c r="E406" s="64"/>
      <c r="F406" s="64"/>
      <c r="G406" s="56"/>
      <c r="H406" s="56"/>
      <c r="I406" s="56"/>
      <c r="J406" s="56"/>
      <c r="K406" s="64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ht="15.75" customHeight="1">
      <c r="A407" s="64"/>
      <c r="B407" s="64"/>
      <c r="C407" s="64"/>
      <c r="D407" s="64"/>
      <c r="E407" s="64"/>
      <c r="F407" s="64"/>
      <c r="G407" s="56"/>
      <c r="H407" s="56"/>
      <c r="I407" s="56"/>
      <c r="J407" s="56"/>
      <c r="K407" s="64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ht="15.75" customHeight="1">
      <c r="A408" s="64"/>
      <c r="B408" s="64"/>
      <c r="C408" s="64"/>
      <c r="D408" s="64"/>
      <c r="E408" s="64"/>
      <c r="F408" s="64"/>
      <c r="G408" s="56"/>
      <c r="H408" s="56"/>
      <c r="I408" s="56"/>
      <c r="J408" s="56"/>
      <c r="K408" s="64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ht="15.75" customHeight="1">
      <c r="A409" s="64"/>
      <c r="B409" s="64"/>
      <c r="C409" s="64"/>
      <c r="D409" s="64"/>
      <c r="E409" s="64"/>
      <c r="F409" s="64"/>
      <c r="G409" s="56"/>
      <c r="H409" s="56"/>
      <c r="I409" s="56"/>
      <c r="J409" s="56"/>
      <c r="K409" s="64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ht="15.75" customHeight="1">
      <c r="A410" s="64"/>
      <c r="B410" s="64"/>
      <c r="C410" s="64"/>
      <c r="D410" s="64"/>
      <c r="E410" s="64"/>
      <c r="F410" s="64"/>
      <c r="G410" s="56"/>
      <c r="H410" s="56"/>
      <c r="I410" s="56"/>
      <c r="J410" s="56"/>
      <c r="K410" s="64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ht="15.75" customHeight="1">
      <c r="A411" s="64"/>
      <c r="B411" s="64"/>
      <c r="C411" s="64"/>
      <c r="D411" s="64"/>
      <c r="E411" s="64"/>
      <c r="F411" s="64"/>
      <c r="G411" s="56"/>
      <c r="H411" s="56"/>
      <c r="I411" s="56"/>
      <c r="J411" s="56"/>
      <c r="K411" s="64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ht="15.75" customHeight="1">
      <c r="A412" s="64"/>
      <c r="B412" s="64"/>
      <c r="C412" s="64"/>
      <c r="D412" s="64"/>
      <c r="E412" s="64"/>
      <c r="F412" s="64"/>
      <c r="G412" s="56"/>
      <c r="H412" s="56"/>
      <c r="I412" s="56"/>
      <c r="J412" s="56"/>
      <c r="K412" s="64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ht="15.75" customHeight="1">
      <c r="A413" s="64"/>
      <c r="B413" s="64"/>
      <c r="C413" s="64"/>
      <c r="D413" s="64"/>
      <c r="E413" s="64"/>
      <c r="F413" s="64"/>
      <c r="G413" s="56"/>
      <c r="H413" s="56"/>
      <c r="I413" s="56"/>
      <c r="J413" s="56"/>
      <c r="K413" s="64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ht="15.75" customHeight="1">
      <c r="A414" s="64"/>
      <c r="B414" s="64"/>
      <c r="C414" s="64"/>
      <c r="D414" s="64"/>
      <c r="E414" s="64"/>
      <c r="F414" s="64"/>
      <c r="G414" s="56"/>
      <c r="H414" s="56"/>
      <c r="I414" s="56"/>
      <c r="J414" s="56"/>
      <c r="K414" s="64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ht="15.75" customHeight="1">
      <c r="A415" s="64"/>
      <c r="B415" s="64"/>
      <c r="C415" s="64"/>
      <c r="D415" s="64"/>
      <c r="E415" s="64"/>
      <c r="F415" s="64"/>
      <c r="G415" s="56"/>
      <c r="H415" s="56"/>
      <c r="I415" s="56"/>
      <c r="J415" s="56"/>
      <c r="K415" s="64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ht="15.75" customHeight="1">
      <c r="A416" s="64"/>
      <c r="B416" s="64"/>
      <c r="C416" s="64"/>
      <c r="D416" s="64"/>
      <c r="E416" s="64"/>
      <c r="F416" s="64"/>
      <c r="G416" s="56"/>
      <c r="H416" s="56"/>
      <c r="I416" s="56"/>
      <c r="J416" s="56"/>
      <c r="K416" s="64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ht="15.75" customHeight="1">
      <c r="A417" s="64"/>
      <c r="B417" s="64"/>
      <c r="C417" s="64"/>
      <c r="D417" s="64"/>
      <c r="E417" s="64"/>
      <c r="F417" s="64"/>
      <c r="G417" s="56"/>
      <c r="H417" s="56"/>
      <c r="I417" s="56"/>
      <c r="J417" s="56"/>
      <c r="K417" s="64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ht="15.75" customHeight="1">
      <c r="A418" s="64"/>
      <c r="B418" s="64"/>
      <c r="C418" s="64"/>
      <c r="D418" s="64"/>
      <c r="E418" s="64"/>
      <c r="F418" s="64"/>
      <c r="G418" s="56"/>
      <c r="H418" s="56"/>
      <c r="I418" s="56"/>
      <c r="J418" s="56"/>
      <c r="K418" s="64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ht="15.75" customHeight="1">
      <c r="A419" s="64"/>
      <c r="B419" s="64"/>
      <c r="C419" s="64"/>
      <c r="D419" s="64"/>
      <c r="E419" s="64"/>
      <c r="F419" s="64"/>
      <c r="G419" s="56"/>
      <c r="H419" s="56"/>
      <c r="I419" s="56"/>
      <c r="J419" s="56"/>
      <c r="K419" s="64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ht="15.75" customHeight="1">
      <c r="A420" s="64"/>
      <c r="B420" s="64"/>
      <c r="C420" s="64"/>
      <c r="D420" s="64"/>
      <c r="E420" s="64"/>
      <c r="F420" s="64"/>
      <c r="G420" s="56"/>
      <c r="H420" s="56"/>
      <c r="I420" s="56"/>
      <c r="J420" s="56"/>
      <c r="K420" s="64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ht="15.75" customHeight="1">
      <c r="A421" s="64"/>
      <c r="B421" s="64"/>
      <c r="C421" s="64"/>
      <c r="D421" s="64"/>
      <c r="E421" s="64"/>
      <c r="F421" s="64"/>
      <c r="G421" s="56"/>
      <c r="H421" s="56"/>
      <c r="I421" s="56"/>
      <c r="J421" s="56"/>
      <c r="K421" s="64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ht="15.75" customHeight="1">
      <c r="A422" s="64"/>
      <c r="B422" s="64"/>
      <c r="C422" s="64"/>
      <c r="D422" s="64"/>
      <c r="E422" s="64"/>
      <c r="F422" s="64"/>
      <c r="G422" s="56"/>
      <c r="H422" s="56"/>
      <c r="I422" s="56"/>
      <c r="J422" s="56"/>
      <c r="K422" s="64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ht="15.75" customHeight="1">
      <c r="A423" s="64"/>
      <c r="B423" s="64"/>
      <c r="C423" s="64"/>
      <c r="D423" s="64"/>
      <c r="E423" s="64"/>
      <c r="F423" s="64"/>
      <c r="G423" s="56"/>
      <c r="H423" s="56"/>
      <c r="I423" s="56"/>
      <c r="J423" s="56"/>
      <c r="K423" s="64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ht="15.75" customHeight="1">
      <c r="A424" s="64"/>
      <c r="B424" s="64"/>
      <c r="C424" s="64"/>
      <c r="D424" s="64"/>
      <c r="E424" s="64"/>
      <c r="F424" s="64"/>
      <c r="G424" s="56"/>
      <c r="H424" s="56"/>
      <c r="I424" s="56"/>
      <c r="J424" s="56"/>
      <c r="K424" s="64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ht="15.75" customHeight="1">
      <c r="A425" s="64"/>
      <c r="B425" s="64"/>
      <c r="C425" s="64"/>
      <c r="D425" s="64"/>
      <c r="E425" s="64"/>
      <c r="F425" s="64"/>
      <c r="G425" s="56"/>
      <c r="H425" s="56"/>
      <c r="I425" s="56"/>
      <c r="J425" s="56"/>
      <c r="K425" s="64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ht="15.75" customHeight="1">
      <c r="A426" s="64"/>
      <c r="B426" s="64"/>
      <c r="C426" s="64"/>
      <c r="D426" s="64"/>
      <c r="E426" s="64"/>
      <c r="F426" s="64"/>
      <c r="G426" s="56"/>
      <c r="H426" s="56"/>
      <c r="I426" s="56"/>
      <c r="J426" s="56"/>
      <c r="K426" s="64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ht="15.75" customHeight="1">
      <c r="A427" s="64"/>
      <c r="B427" s="64"/>
      <c r="C427" s="64"/>
      <c r="D427" s="64"/>
      <c r="E427" s="64"/>
      <c r="F427" s="64"/>
      <c r="G427" s="56"/>
      <c r="H427" s="56"/>
      <c r="I427" s="56"/>
      <c r="J427" s="56"/>
      <c r="K427" s="64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ht="15.75" customHeight="1">
      <c r="A428" s="64"/>
      <c r="B428" s="64"/>
      <c r="C428" s="64"/>
      <c r="D428" s="64"/>
      <c r="E428" s="64"/>
      <c r="F428" s="64"/>
      <c r="G428" s="56"/>
      <c r="H428" s="56"/>
      <c r="I428" s="56"/>
      <c r="J428" s="56"/>
      <c r="K428" s="64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ht="15.75" customHeight="1">
      <c r="A429" s="64"/>
      <c r="B429" s="64"/>
      <c r="C429" s="64"/>
      <c r="D429" s="64"/>
      <c r="E429" s="64"/>
      <c r="F429" s="64"/>
      <c r="G429" s="56"/>
      <c r="H429" s="56"/>
      <c r="I429" s="56"/>
      <c r="J429" s="56"/>
      <c r="K429" s="64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ht="15.75" customHeight="1">
      <c r="A430" s="64"/>
      <c r="B430" s="64"/>
      <c r="C430" s="64"/>
      <c r="D430" s="64"/>
      <c r="E430" s="64"/>
      <c r="F430" s="64"/>
      <c r="G430" s="56"/>
      <c r="H430" s="56"/>
      <c r="I430" s="56"/>
      <c r="J430" s="56"/>
      <c r="K430" s="64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ht="15.75" customHeight="1">
      <c r="A431" s="64"/>
      <c r="B431" s="64"/>
      <c r="C431" s="64"/>
      <c r="D431" s="64"/>
      <c r="E431" s="64"/>
      <c r="F431" s="64"/>
      <c r="G431" s="56"/>
      <c r="H431" s="56"/>
      <c r="I431" s="56"/>
      <c r="J431" s="56"/>
      <c r="K431" s="64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ht="15.75" customHeight="1">
      <c r="A432" s="64"/>
      <c r="B432" s="64"/>
      <c r="C432" s="64"/>
      <c r="D432" s="64"/>
      <c r="E432" s="64"/>
      <c r="F432" s="64"/>
      <c r="G432" s="56"/>
      <c r="H432" s="56"/>
      <c r="I432" s="56"/>
      <c r="J432" s="56"/>
      <c r="K432" s="64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ht="15.75" customHeight="1">
      <c r="A433" s="64"/>
      <c r="B433" s="64"/>
      <c r="C433" s="64"/>
      <c r="D433" s="64"/>
      <c r="E433" s="64"/>
      <c r="F433" s="64"/>
      <c r="G433" s="56"/>
      <c r="H433" s="56"/>
      <c r="I433" s="56"/>
      <c r="J433" s="56"/>
      <c r="K433" s="64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ht="15.75" customHeight="1">
      <c r="A434" s="64"/>
      <c r="B434" s="64"/>
      <c r="C434" s="64"/>
      <c r="D434" s="64"/>
      <c r="E434" s="64"/>
      <c r="F434" s="64"/>
      <c r="G434" s="56"/>
      <c r="H434" s="56"/>
      <c r="I434" s="56"/>
      <c r="J434" s="56"/>
      <c r="K434" s="64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ht="15.75" customHeight="1">
      <c r="A435" s="64"/>
      <c r="B435" s="64"/>
      <c r="C435" s="64"/>
      <c r="D435" s="64"/>
      <c r="E435" s="64"/>
      <c r="F435" s="64"/>
      <c r="G435" s="56"/>
      <c r="H435" s="56"/>
      <c r="I435" s="56"/>
      <c r="J435" s="56"/>
      <c r="K435" s="64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ht="15.75" customHeight="1">
      <c r="A436" s="64"/>
      <c r="B436" s="64"/>
      <c r="C436" s="64"/>
      <c r="D436" s="64"/>
      <c r="E436" s="64"/>
      <c r="F436" s="64"/>
      <c r="G436" s="56"/>
      <c r="H436" s="56"/>
      <c r="I436" s="56"/>
      <c r="J436" s="56"/>
      <c r="K436" s="64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ht="15.75" customHeight="1">
      <c r="A437" s="64"/>
      <c r="B437" s="64"/>
      <c r="C437" s="64"/>
      <c r="D437" s="64"/>
      <c r="E437" s="64"/>
      <c r="F437" s="64"/>
      <c r="G437" s="56"/>
      <c r="H437" s="56"/>
      <c r="I437" s="56"/>
      <c r="J437" s="56"/>
      <c r="K437" s="64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ht="15.75" customHeight="1">
      <c r="A438" s="64"/>
      <c r="B438" s="64"/>
      <c r="C438" s="64"/>
      <c r="D438" s="64"/>
      <c r="E438" s="64"/>
      <c r="F438" s="64"/>
      <c r="G438" s="56"/>
      <c r="H438" s="56"/>
      <c r="I438" s="56"/>
      <c r="J438" s="56"/>
      <c r="K438" s="64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ht="15.75" customHeight="1">
      <c r="A439" s="64"/>
      <c r="B439" s="64"/>
      <c r="C439" s="64"/>
      <c r="D439" s="64"/>
      <c r="E439" s="64"/>
      <c r="F439" s="64"/>
      <c r="G439" s="56"/>
      <c r="H439" s="56"/>
      <c r="I439" s="56"/>
      <c r="J439" s="56"/>
      <c r="K439" s="64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ht="15.75" customHeight="1">
      <c r="A440" s="64"/>
      <c r="B440" s="64"/>
      <c r="C440" s="64"/>
      <c r="D440" s="64"/>
      <c r="E440" s="64"/>
      <c r="F440" s="64"/>
      <c r="G440" s="56"/>
      <c r="H440" s="56"/>
      <c r="I440" s="56"/>
      <c r="J440" s="56"/>
      <c r="K440" s="64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ht="15.75" customHeight="1">
      <c r="A441" s="64"/>
      <c r="B441" s="64"/>
      <c r="C441" s="64"/>
      <c r="D441" s="64"/>
      <c r="E441" s="64"/>
      <c r="F441" s="64"/>
      <c r="G441" s="56"/>
      <c r="H441" s="56"/>
      <c r="I441" s="56"/>
      <c r="J441" s="56"/>
      <c r="K441" s="64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ht="15.75" customHeight="1">
      <c r="A442" s="64"/>
      <c r="B442" s="64"/>
      <c r="C442" s="64"/>
      <c r="D442" s="64"/>
      <c r="E442" s="64"/>
      <c r="F442" s="64"/>
      <c r="G442" s="56"/>
      <c r="H442" s="56"/>
      <c r="I442" s="56"/>
      <c r="J442" s="56"/>
      <c r="K442" s="64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ht="15.75" customHeight="1">
      <c r="A443" s="64"/>
      <c r="B443" s="64"/>
      <c r="C443" s="64"/>
      <c r="D443" s="64"/>
      <c r="E443" s="64"/>
      <c r="F443" s="64"/>
      <c r="G443" s="56"/>
      <c r="H443" s="56"/>
      <c r="I443" s="56"/>
      <c r="J443" s="56"/>
      <c r="K443" s="64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ht="15.75" customHeight="1">
      <c r="A444" s="64"/>
      <c r="B444" s="64"/>
      <c r="C444" s="64"/>
      <c r="D444" s="64"/>
      <c r="E444" s="64"/>
      <c r="F444" s="64"/>
      <c r="G444" s="56"/>
      <c r="H444" s="56"/>
      <c r="I444" s="56"/>
      <c r="J444" s="56"/>
      <c r="K444" s="64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ht="15.75" customHeight="1">
      <c r="A445" s="64"/>
      <c r="B445" s="64"/>
      <c r="C445" s="64"/>
      <c r="D445" s="64"/>
      <c r="E445" s="64"/>
      <c r="F445" s="64"/>
      <c r="G445" s="56"/>
      <c r="H445" s="56"/>
      <c r="I445" s="56"/>
      <c r="J445" s="56"/>
      <c r="K445" s="64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ht="15.75" customHeight="1">
      <c r="A446" s="64"/>
      <c r="B446" s="64"/>
      <c r="C446" s="64"/>
      <c r="D446" s="64"/>
      <c r="E446" s="64"/>
      <c r="F446" s="64"/>
      <c r="G446" s="56"/>
      <c r="H446" s="56"/>
      <c r="I446" s="56"/>
      <c r="J446" s="56"/>
      <c r="K446" s="64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ht="15.75" customHeight="1">
      <c r="A447" s="64"/>
      <c r="B447" s="64"/>
      <c r="C447" s="64"/>
      <c r="D447" s="64"/>
      <c r="E447" s="64"/>
      <c r="F447" s="64"/>
      <c r="G447" s="56"/>
      <c r="H447" s="56"/>
      <c r="I447" s="56"/>
      <c r="J447" s="56"/>
      <c r="K447" s="64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ht="15.75" customHeight="1">
      <c r="A448" s="64"/>
      <c r="B448" s="64"/>
      <c r="C448" s="64"/>
      <c r="D448" s="64"/>
      <c r="E448" s="64"/>
      <c r="F448" s="64"/>
      <c r="G448" s="56"/>
      <c r="H448" s="56"/>
      <c r="I448" s="56"/>
      <c r="J448" s="56"/>
      <c r="K448" s="64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ht="15.75" customHeight="1">
      <c r="A449" s="64"/>
      <c r="B449" s="64"/>
      <c r="C449" s="64"/>
      <c r="D449" s="64"/>
      <c r="E449" s="64"/>
      <c r="F449" s="64"/>
      <c r="G449" s="56"/>
      <c r="H449" s="56"/>
      <c r="I449" s="56"/>
      <c r="J449" s="56"/>
      <c r="K449" s="64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ht="15.75" customHeight="1">
      <c r="A450" s="64"/>
      <c r="B450" s="64"/>
      <c r="C450" s="64"/>
      <c r="D450" s="64"/>
      <c r="E450" s="64"/>
      <c r="F450" s="64"/>
      <c r="G450" s="56"/>
      <c r="H450" s="56"/>
      <c r="I450" s="56"/>
      <c r="J450" s="56"/>
      <c r="K450" s="64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ht="15.75" customHeight="1">
      <c r="A451" s="64"/>
      <c r="B451" s="64"/>
      <c r="C451" s="64"/>
      <c r="D451" s="64"/>
      <c r="E451" s="64"/>
      <c r="F451" s="64"/>
      <c r="G451" s="56"/>
      <c r="H451" s="56"/>
      <c r="I451" s="56"/>
      <c r="J451" s="56"/>
      <c r="K451" s="64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ht="15.75" customHeight="1">
      <c r="A452" s="64"/>
      <c r="B452" s="64"/>
      <c r="C452" s="64"/>
      <c r="D452" s="64"/>
      <c r="E452" s="64"/>
      <c r="F452" s="64"/>
      <c r="G452" s="56"/>
      <c r="H452" s="56"/>
      <c r="I452" s="56"/>
      <c r="J452" s="56"/>
      <c r="K452" s="64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ht="15.75" customHeight="1">
      <c r="A453" s="64"/>
      <c r="B453" s="64"/>
      <c r="C453" s="64"/>
      <c r="D453" s="64"/>
      <c r="E453" s="64"/>
      <c r="F453" s="64"/>
      <c r="G453" s="56"/>
      <c r="H453" s="56"/>
      <c r="I453" s="56"/>
      <c r="J453" s="56"/>
      <c r="K453" s="64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ht="15.75" customHeight="1">
      <c r="A454" s="64"/>
      <c r="B454" s="64"/>
      <c r="C454" s="64"/>
      <c r="D454" s="64"/>
      <c r="E454" s="64"/>
      <c r="F454" s="64"/>
      <c r="G454" s="56"/>
      <c r="H454" s="56"/>
      <c r="I454" s="56"/>
      <c r="J454" s="56"/>
      <c r="K454" s="64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ht="15.75" customHeight="1">
      <c r="A455" s="64"/>
      <c r="B455" s="64"/>
      <c r="C455" s="64"/>
      <c r="D455" s="64"/>
      <c r="E455" s="64"/>
      <c r="F455" s="64"/>
      <c r="G455" s="56"/>
      <c r="H455" s="56"/>
      <c r="I455" s="56"/>
      <c r="J455" s="56"/>
      <c r="K455" s="64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ht="15.75" customHeight="1">
      <c r="A456" s="64"/>
      <c r="B456" s="64"/>
      <c r="C456" s="64"/>
      <c r="D456" s="64"/>
      <c r="E456" s="64"/>
      <c r="F456" s="64"/>
      <c r="G456" s="56"/>
      <c r="H456" s="56"/>
      <c r="I456" s="56"/>
      <c r="J456" s="56"/>
      <c r="K456" s="64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ht="15.75" customHeight="1">
      <c r="A457" s="64"/>
      <c r="B457" s="64"/>
      <c r="C457" s="64"/>
      <c r="D457" s="64"/>
      <c r="E457" s="64"/>
      <c r="F457" s="64"/>
      <c r="G457" s="56"/>
      <c r="H457" s="56"/>
      <c r="I457" s="56"/>
      <c r="J457" s="56"/>
      <c r="K457" s="64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ht="15.75" customHeight="1">
      <c r="A458" s="64"/>
      <c r="B458" s="64"/>
      <c r="C458" s="64"/>
      <c r="D458" s="64"/>
      <c r="E458" s="64"/>
      <c r="F458" s="64"/>
      <c r="G458" s="56"/>
      <c r="H458" s="56"/>
      <c r="I458" s="56"/>
      <c r="J458" s="56"/>
      <c r="K458" s="64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ht="15.75" customHeight="1">
      <c r="A459" s="64"/>
      <c r="B459" s="64"/>
      <c r="C459" s="64"/>
      <c r="D459" s="64"/>
      <c r="E459" s="64"/>
      <c r="F459" s="64"/>
      <c r="G459" s="56"/>
      <c r="H459" s="56"/>
      <c r="I459" s="56"/>
      <c r="J459" s="56"/>
      <c r="K459" s="64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ht="15.75" customHeight="1">
      <c r="A460" s="64"/>
      <c r="B460" s="64"/>
      <c r="C460" s="64"/>
      <c r="D460" s="64"/>
      <c r="E460" s="64"/>
      <c r="F460" s="64"/>
      <c r="G460" s="56"/>
      <c r="H460" s="56"/>
      <c r="I460" s="56"/>
      <c r="J460" s="56"/>
      <c r="K460" s="64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ht="15.75" customHeight="1">
      <c r="A461" s="64"/>
      <c r="B461" s="64"/>
      <c r="C461" s="64"/>
      <c r="D461" s="64"/>
      <c r="E461" s="64"/>
      <c r="F461" s="64"/>
      <c r="G461" s="56"/>
      <c r="H461" s="56"/>
      <c r="I461" s="56"/>
      <c r="J461" s="56"/>
      <c r="K461" s="64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ht="15.75" customHeight="1">
      <c r="A462" s="64"/>
      <c r="B462" s="64"/>
      <c r="C462" s="64"/>
      <c r="D462" s="64"/>
      <c r="E462" s="64"/>
      <c r="F462" s="64"/>
      <c r="G462" s="56"/>
      <c r="H462" s="56"/>
      <c r="I462" s="56"/>
      <c r="J462" s="56"/>
      <c r="K462" s="64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ht="15.75" customHeight="1">
      <c r="A463" s="64"/>
      <c r="B463" s="64"/>
      <c r="C463" s="64"/>
      <c r="D463" s="64"/>
      <c r="E463" s="64"/>
      <c r="F463" s="64"/>
      <c r="G463" s="56"/>
      <c r="H463" s="56"/>
      <c r="I463" s="56"/>
      <c r="J463" s="56"/>
      <c r="K463" s="64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ht="15.75" customHeight="1">
      <c r="A464" s="64"/>
      <c r="B464" s="64"/>
      <c r="C464" s="64"/>
      <c r="D464" s="64"/>
      <c r="E464" s="64"/>
      <c r="F464" s="64"/>
      <c r="G464" s="56"/>
      <c r="H464" s="56"/>
      <c r="I464" s="56"/>
      <c r="J464" s="56"/>
      <c r="K464" s="64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ht="15.75" customHeight="1">
      <c r="A465" s="64"/>
      <c r="B465" s="64"/>
      <c r="C465" s="64"/>
      <c r="D465" s="64"/>
      <c r="E465" s="64"/>
      <c r="F465" s="64"/>
      <c r="G465" s="56"/>
      <c r="H465" s="56"/>
      <c r="I465" s="56"/>
      <c r="J465" s="56"/>
      <c r="K465" s="64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ht="15.75" customHeight="1">
      <c r="A466" s="64"/>
      <c r="B466" s="64"/>
      <c r="C466" s="64"/>
      <c r="D466" s="64"/>
      <c r="E466" s="64"/>
      <c r="F466" s="64"/>
      <c r="G466" s="56"/>
      <c r="H466" s="56"/>
      <c r="I466" s="56"/>
      <c r="J466" s="56"/>
      <c r="K466" s="64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ht="15.75" customHeight="1">
      <c r="A467" s="64"/>
      <c r="B467" s="64"/>
      <c r="C467" s="64"/>
      <c r="D467" s="64"/>
      <c r="E467" s="64"/>
      <c r="F467" s="64"/>
      <c r="G467" s="56"/>
      <c r="H467" s="56"/>
      <c r="I467" s="56"/>
      <c r="J467" s="56"/>
      <c r="K467" s="64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ht="15.75" customHeight="1">
      <c r="A468" s="64"/>
      <c r="B468" s="64"/>
      <c r="C468" s="64"/>
      <c r="D468" s="64"/>
      <c r="E468" s="64"/>
      <c r="F468" s="64"/>
      <c r="G468" s="56"/>
      <c r="H468" s="56"/>
      <c r="I468" s="56"/>
      <c r="J468" s="56"/>
      <c r="K468" s="64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ht="15.75" customHeight="1">
      <c r="A469" s="64"/>
      <c r="B469" s="64"/>
      <c r="C469" s="64"/>
      <c r="D469" s="64"/>
      <c r="E469" s="64"/>
      <c r="F469" s="64"/>
      <c r="G469" s="56"/>
      <c r="H469" s="56"/>
      <c r="I469" s="56"/>
      <c r="J469" s="56"/>
      <c r="K469" s="64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ht="15.75" customHeight="1">
      <c r="A470" s="64"/>
      <c r="B470" s="64"/>
      <c r="C470" s="64"/>
      <c r="D470" s="64"/>
      <c r="E470" s="64"/>
      <c r="F470" s="64"/>
      <c r="G470" s="56"/>
      <c r="H470" s="56"/>
      <c r="I470" s="56"/>
      <c r="J470" s="56"/>
      <c r="K470" s="64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ht="15.75" customHeight="1">
      <c r="A471" s="64"/>
      <c r="B471" s="64"/>
      <c r="C471" s="64"/>
      <c r="D471" s="64"/>
      <c r="E471" s="64"/>
      <c r="F471" s="64"/>
      <c r="G471" s="56"/>
      <c r="H471" s="56"/>
      <c r="I471" s="56"/>
      <c r="J471" s="56"/>
      <c r="K471" s="64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ht="15.75" customHeight="1">
      <c r="A472" s="64"/>
      <c r="B472" s="64"/>
      <c r="C472" s="64"/>
      <c r="D472" s="64"/>
      <c r="E472" s="64"/>
      <c r="F472" s="64"/>
      <c r="G472" s="56"/>
      <c r="H472" s="56"/>
      <c r="I472" s="56"/>
      <c r="J472" s="56"/>
      <c r="K472" s="64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ht="15.75" customHeight="1">
      <c r="A473" s="64"/>
      <c r="B473" s="64"/>
      <c r="C473" s="64"/>
      <c r="D473" s="64"/>
      <c r="E473" s="64"/>
      <c r="F473" s="64"/>
      <c r="G473" s="56"/>
      <c r="H473" s="56"/>
      <c r="I473" s="56"/>
      <c r="J473" s="56"/>
      <c r="K473" s="64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ht="15.75" customHeight="1">
      <c r="A474" s="64"/>
      <c r="B474" s="64"/>
      <c r="C474" s="64"/>
      <c r="D474" s="64"/>
      <c r="E474" s="64"/>
      <c r="F474" s="64"/>
      <c r="G474" s="56"/>
      <c r="H474" s="56"/>
      <c r="I474" s="56"/>
      <c r="J474" s="56"/>
      <c r="K474" s="64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ht="15.75" customHeight="1">
      <c r="A475" s="64"/>
      <c r="B475" s="64"/>
      <c r="C475" s="64"/>
      <c r="D475" s="64"/>
      <c r="E475" s="64"/>
      <c r="F475" s="64"/>
      <c r="G475" s="56"/>
      <c r="H475" s="56"/>
      <c r="I475" s="56"/>
      <c r="J475" s="56"/>
      <c r="K475" s="64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ht="15.75" customHeight="1">
      <c r="A476" s="64"/>
      <c r="B476" s="64"/>
      <c r="C476" s="64"/>
      <c r="D476" s="64"/>
      <c r="E476" s="64"/>
      <c r="F476" s="64"/>
      <c r="G476" s="56"/>
      <c r="H476" s="56"/>
      <c r="I476" s="56"/>
      <c r="J476" s="56"/>
      <c r="K476" s="64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ht="15.75" customHeight="1">
      <c r="A477" s="64"/>
      <c r="B477" s="64"/>
      <c r="C477" s="64"/>
      <c r="D477" s="64"/>
      <c r="E477" s="64"/>
      <c r="F477" s="64"/>
      <c r="G477" s="56"/>
      <c r="H477" s="56"/>
      <c r="I477" s="56"/>
      <c r="J477" s="56"/>
      <c r="K477" s="64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ht="15.75" customHeight="1">
      <c r="A478" s="64"/>
      <c r="B478" s="64"/>
      <c r="C478" s="64"/>
      <c r="D478" s="64"/>
      <c r="E478" s="64"/>
      <c r="F478" s="64"/>
      <c r="G478" s="56"/>
      <c r="H478" s="56"/>
      <c r="I478" s="56"/>
      <c r="J478" s="56"/>
      <c r="K478" s="64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ht="15.75" customHeight="1">
      <c r="A479" s="64"/>
      <c r="B479" s="64"/>
      <c r="C479" s="64"/>
      <c r="D479" s="64"/>
      <c r="E479" s="64"/>
      <c r="F479" s="64"/>
      <c r="G479" s="56"/>
      <c r="H479" s="56"/>
      <c r="I479" s="56"/>
      <c r="J479" s="56"/>
      <c r="K479" s="64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ht="15.75" customHeight="1">
      <c r="A480" s="64"/>
      <c r="B480" s="64"/>
      <c r="C480" s="64"/>
      <c r="D480" s="64"/>
      <c r="E480" s="64"/>
      <c r="F480" s="64"/>
      <c r="G480" s="56"/>
      <c r="H480" s="56"/>
      <c r="I480" s="56"/>
      <c r="J480" s="56"/>
      <c r="K480" s="64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ht="15.75" customHeight="1">
      <c r="A481" s="64"/>
      <c r="B481" s="64"/>
      <c r="C481" s="64"/>
      <c r="D481" s="64"/>
      <c r="E481" s="64"/>
      <c r="F481" s="64"/>
      <c r="G481" s="56"/>
      <c r="H481" s="56"/>
      <c r="I481" s="56"/>
      <c r="J481" s="56"/>
      <c r="K481" s="64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ht="15.75" customHeight="1">
      <c r="A482" s="64"/>
      <c r="B482" s="64"/>
      <c r="C482" s="64"/>
      <c r="D482" s="64"/>
      <c r="E482" s="64"/>
      <c r="F482" s="64"/>
      <c r="G482" s="56"/>
      <c r="H482" s="56"/>
      <c r="I482" s="56"/>
      <c r="J482" s="56"/>
      <c r="K482" s="64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ht="15.75" customHeight="1">
      <c r="A483" s="64"/>
      <c r="B483" s="64"/>
      <c r="C483" s="64"/>
      <c r="D483" s="64"/>
      <c r="E483" s="64"/>
      <c r="F483" s="64"/>
      <c r="G483" s="56"/>
      <c r="H483" s="56"/>
      <c r="I483" s="56"/>
      <c r="J483" s="56"/>
      <c r="K483" s="64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ht="15.75" customHeight="1">
      <c r="A484" s="64"/>
      <c r="B484" s="64"/>
      <c r="C484" s="64"/>
      <c r="D484" s="64"/>
      <c r="E484" s="64"/>
      <c r="F484" s="64"/>
      <c r="G484" s="56"/>
      <c r="H484" s="56"/>
      <c r="I484" s="56"/>
      <c r="J484" s="56"/>
      <c r="K484" s="64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ht="15.75" customHeight="1">
      <c r="A485" s="64"/>
      <c r="B485" s="64"/>
      <c r="C485" s="64"/>
      <c r="D485" s="64"/>
      <c r="E485" s="64"/>
      <c r="F485" s="64"/>
      <c r="G485" s="56"/>
      <c r="H485" s="56"/>
      <c r="I485" s="56"/>
      <c r="J485" s="56"/>
      <c r="K485" s="64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ht="15.75" customHeight="1">
      <c r="A486" s="64"/>
      <c r="B486" s="64"/>
      <c r="C486" s="64"/>
      <c r="D486" s="64"/>
      <c r="E486" s="64"/>
      <c r="F486" s="64"/>
      <c r="G486" s="56"/>
      <c r="H486" s="56"/>
      <c r="I486" s="56"/>
      <c r="J486" s="56"/>
      <c r="K486" s="64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ht="15.75" customHeight="1">
      <c r="A487" s="64"/>
      <c r="B487" s="64"/>
      <c r="C487" s="64"/>
      <c r="D487" s="64"/>
      <c r="E487" s="64"/>
      <c r="F487" s="64"/>
      <c r="G487" s="56"/>
      <c r="H487" s="56"/>
      <c r="I487" s="56"/>
      <c r="J487" s="56"/>
      <c r="K487" s="64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ht="15.75" customHeight="1">
      <c r="A488" s="64"/>
      <c r="B488" s="64"/>
      <c r="C488" s="64"/>
      <c r="D488" s="64"/>
      <c r="E488" s="64"/>
      <c r="F488" s="64"/>
      <c r="G488" s="56"/>
      <c r="H488" s="56"/>
      <c r="I488" s="56"/>
      <c r="J488" s="56"/>
      <c r="K488" s="64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ht="15.75" customHeight="1">
      <c r="A489" s="64"/>
      <c r="B489" s="64"/>
      <c r="C489" s="64"/>
      <c r="D489" s="64"/>
      <c r="E489" s="64"/>
      <c r="F489" s="64"/>
      <c r="G489" s="56"/>
      <c r="H489" s="56"/>
      <c r="I489" s="56"/>
      <c r="J489" s="56"/>
      <c r="K489" s="64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ht="15.75" customHeight="1">
      <c r="A490" s="64"/>
      <c r="B490" s="64"/>
      <c r="C490" s="64"/>
      <c r="D490" s="64"/>
      <c r="E490" s="64"/>
      <c r="F490" s="64"/>
      <c r="G490" s="56"/>
      <c r="H490" s="56"/>
      <c r="I490" s="56"/>
      <c r="J490" s="56"/>
      <c r="K490" s="64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ht="15.75" customHeight="1">
      <c r="A491" s="64"/>
      <c r="B491" s="64"/>
      <c r="C491" s="64"/>
      <c r="D491" s="64"/>
      <c r="E491" s="64"/>
      <c r="F491" s="64"/>
      <c r="G491" s="56"/>
      <c r="H491" s="56"/>
      <c r="I491" s="56"/>
      <c r="J491" s="56"/>
      <c r="K491" s="64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ht="15.75" customHeight="1">
      <c r="A492" s="64"/>
      <c r="B492" s="64"/>
      <c r="C492" s="64"/>
      <c r="D492" s="64"/>
      <c r="E492" s="64"/>
      <c r="F492" s="64"/>
      <c r="G492" s="56"/>
      <c r="H492" s="56"/>
      <c r="I492" s="56"/>
      <c r="J492" s="56"/>
      <c r="K492" s="64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ht="15.75" customHeight="1">
      <c r="A493" s="64"/>
      <c r="B493" s="64"/>
      <c r="C493" s="64"/>
      <c r="D493" s="64"/>
      <c r="E493" s="64"/>
      <c r="F493" s="64"/>
      <c r="G493" s="56"/>
      <c r="H493" s="56"/>
      <c r="I493" s="56"/>
      <c r="J493" s="56"/>
      <c r="K493" s="64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ht="15.75" customHeight="1">
      <c r="A494" s="64"/>
      <c r="B494" s="64"/>
      <c r="C494" s="64"/>
      <c r="D494" s="64"/>
      <c r="E494" s="64"/>
      <c r="F494" s="64"/>
      <c r="G494" s="56"/>
      <c r="H494" s="56"/>
      <c r="I494" s="56"/>
      <c r="J494" s="56"/>
      <c r="K494" s="64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ht="15.75" customHeight="1">
      <c r="A495" s="64"/>
      <c r="B495" s="64"/>
      <c r="C495" s="64"/>
      <c r="D495" s="64"/>
      <c r="E495" s="64"/>
      <c r="F495" s="64"/>
      <c r="G495" s="56"/>
      <c r="H495" s="56"/>
      <c r="I495" s="56"/>
      <c r="J495" s="56"/>
      <c r="K495" s="64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ht="15.75" customHeight="1">
      <c r="A496" s="64"/>
      <c r="B496" s="64"/>
      <c r="C496" s="64"/>
      <c r="D496" s="64"/>
      <c r="E496" s="64"/>
      <c r="F496" s="64"/>
      <c r="G496" s="56"/>
      <c r="H496" s="56"/>
      <c r="I496" s="56"/>
      <c r="J496" s="56"/>
      <c r="K496" s="64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ht="15.75" customHeight="1">
      <c r="A497" s="64"/>
      <c r="B497" s="64"/>
      <c r="C497" s="64"/>
      <c r="D497" s="64"/>
      <c r="E497" s="64"/>
      <c r="F497" s="64"/>
      <c r="G497" s="56"/>
      <c r="H497" s="56"/>
      <c r="I497" s="56"/>
      <c r="J497" s="56"/>
      <c r="K497" s="64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ht="15.75" customHeight="1">
      <c r="A498" s="64"/>
      <c r="B498" s="64"/>
      <c r="C498" s="64"/>
      <c r="D498" s="64"/>
      <c r="E498" s="64"/>
      <c r="F498" s="64"/>
      <c r="G498" s="56"/>
      <c r="H498" s="56"/>
      <c r="I498" s="56"/>
      <c r="J498" s="56"/>
      <c r="K498" s="64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ht="15.75" customHeight="1">
      <c r="A499" s="64"/>
      <c r="B499" s="64"/>
      <c r="C499" s="64"/>
      <c r="D499" s="64"/>
      <c r="E499" s="64"/>
      <c r="F499" s="64"/>
      <c r="G499" s="56"/>
      <c r="H499" s="56"/>
      <c r="I499" s="56"/>
      <c r="J499" s="56"/>
      <c r="K499" s="64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ht="15.75" customHeight="1">
      <c r="A500" s="64"/>
      <c r="B500" s="64"/>
      <c r="C500" s="64"/>
      <c r="D500" s="64"/>
      <c r="E500" s="64"/>
      <c r="F500" s="64"/>
      <c r="G500" s="56"/>
      <c r="H500" s="56"/>
      <c r="I500" s="56"/>
      <c r="J500" s="56"/>
      <c r="K500" s="64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ht="15.75" customHeight="1">
      <c r="A501" s="64"/>
      <c r="B501" s="64"/>
      <c r="C501" s="64"/>
      <c r="D501" s="64"/>
      <c r="E501" s="64"/>
      <c r="F501" s="64"/>
      <c r="G501" s="56"/>
      <c r="H501" s="56"/>
      <c r="I501" s="56"/>
      <c r="J501" s="56"/>
      <c r="K501" s="64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ht="15.75" customHeight="1">
      <c r="A502" s="64"/>
      <c r="B502" s="64"/>
      <c r="C502" s="64"/>
      <c r="D502" s="64"/>
      <c r="E502" s="64"/>
      <c r="F502" s="64"/>
      <c r="G502" s="56"/>
      <c r="H502" s="56"/>
      <c r="I502" s="56"/>
      <c r="J502" s="56"/>
      <c r="K502" s="64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ht="15.75" customHeight="1">
      <c r="A503" s="64"/>
      <c r="B503" s="64"/>
      <c r="C503" s="64"/>
      <c r="D503" s="64"/>
      <c r="E503" s="64"/>
      <c r="F503" s="64"/>
      <c r="G503" s="56"/>
      <c r="H503" s="56"/>
      <c r="I503" s="56"/>
      <c r="J503" s="56"/>
      <c r="K503" s="64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ht="15.75" customHeight="1">
      <c r="A504" s="64"/>
      <c r="B504" s="64"/>
      <c r="C504" s="64"/>
      <c r="D504" s="64"/>
      <c r="E504" s="64"/>
      <c r="F504" s="64"/>
      <c r="G504" s="56"/>
      <c r="H504" s="56"/>
      <c r="I504" s="56"/>
      <c r="J504" s="56"/>
      <c r="K504" s="64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ht="15.75" customHeight="1">
      <c r="A505" s="64"/>
      <c r="B505" s="64"/>
      <c r="C505" s="64"/>
      <c r="D505" s="64"/>
      <c r="E505" s="64"/>
      <c r="F505" s="64"/>
      <c r="G505" s="56"/>
      <c r="H505" s="56"/>
      <c r="I505" s="56"/>
      <c r="J505" s="56"/>
      <c r="K505" s="64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ht="15.75" customHeight="1">
      <c r="A506" s="64"/>
      <c r="B506" s="64"/>
      <c r="C506" s="64"/>
      <c r="D506" s="64"/>
      <c r="E506" s="64"/>
      <c r="F506" s="64"/>
      <c r="G506" s="56"/>
      <c r="H506" s="56"/>
      <c r="I506" s="56"/>
      <c r="J506" s="56"/>
      <c r="K506" s="64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ht="15.75" customHeight="1">
      <c r="A507" s="64"/>
      <c r="B507" s="64"/>
      <c r="C507" s="64"/>
      <c r="D507" s="64"/>
      <c r="E507" s="64"/>
      <c r="F507" s="64"/>
      <c r="G507" s="56"/>
      <c r="H507" s="56"/>
      <c r="I507" s="56"/>
      <c r="J507" s="56"/>
      <c r="K507" s="64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ht="15.75" customHeight="1">
      <c r="A508" s="64"/>
      <c r="B508" s="64"/>
      <c r="C508" s="64"/>
      <c r="D508" s="64"/>
      <c r="E508" s="64"/>
      <c r="F508" s="64"/>
      <c r="G508" s="56"/>
      <c r="H508" s="56"/>
      <c r="I508" s="56"/>
      <c r="J508" s="56"/>
      <c r="K508" s="64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ht="15.75" customHeight="1">
      <c r="A509" s="64"/>
      <c r="B509" s="64"/>
      <c r="C509" s="64"/>
      <c r="D509" s="64"/>
      <c r="E509" s="64"/>
      <c r="F509" s="64"/>
      <c r="G509" s="56"/>
      <c r="H509" s="56"/>
      <c r="I509" s="56"/>
      <c r="J509" s="56"/>
      <c r="K509" s="64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ht="15.75" customHeight="1">
      <c r="A510" s="64"/>
      <c r="B510" s="64"/>
      <c r="C510" s="64"/>
      <c r="D510" s="64"/>
      <c r="E510" s="64"/>
      <c r="F510" s="64"/>
      <c r="G510" s="56"/>
      <c r="H510" s="56"/>
      <c r="I510" s="56"/>
      <c r="J510" s="56"/>
      <c r="K510" s="64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ht="15.75" customHeight="1">
      <c r="A511" s="64"/>
      <c r="B511" s="64"/>
      <c r="C511" s="64"/>
      <c r="D511" s="64"/>
      <c r="E511" s="64"/>
      <c r="F511" s="64"/>
      <c r="G511" s="56"/>
      <c r="H511" s="56"/>
      <c r="I511" s="56"/>
      <c r="J511" s="56"/>
      <c r="K511" s="64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ht="15.75" customHeight="1">
      <c r="A512" s="64"/>
      <c r="B512" s="64"/>
      <c r="C512" s="64"/>
      <c r="D512" s="64"/>
      <c r="E512" s="64"/>
      <c r="F512" s="64"/>
      <c r="G512" s="56"/>
      <c r="H512" s="56"/>
      <c r="I512" s="56"/>
      <c r="J512" s="56"/>
      <c r="K512" s="64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ht="15.75" customHeight="1">
      <c r="A513" s="64"/>
      <c r="B513" s="64"/>
      <c r="C513" s="64"/>
      <c r="D513" s="64"/>
      <c r="E513" s="64"/>
      <c r="F513" s="64"/>
      <c r="G513" s="56"/>
      <c r="H513" s="56"/>
      <c r="I513" s="56"/>
      <c r="J513" s="56"/>
      <c r="K513" s="64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ht="15.75" customHeight="1">
      <c r="A514" s="64"/>
      <c r="B514" s="64"/>
      <c r="C514" s="64"/>
      <c r="D514" s="64"/>
      <c r="E514" s="64"/>
      <c r="F514" s="64"/>
      <c r="G514" s="56"/>
      <c r="H514" s="56"/>
      <c r="I514" s="56"/>
      <c r="J514" s="56"/>
      <c r="K514" s="64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ht="15.75" customHeight="1">
      <c r="A515" s="64"/>
      <c r="B515" s="64"/>
      <c r="C515" s="64"/>
      <c r="D515" s="64"/>
      <c r="E515" s="64"/>
      <c r="F515" s="64"/>
      <c r="G515" s="56"/>
      <c r="H515" s="56"/>
      <c r="I515" s="56"/>
      <c r="J515" s="56"/>
      <c r="K515" s="64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ht="15.75" customHeight="1">
      <c r="A516" s="64"/>
      <c r="B516" s="64"/>
      <c r="C516" s="64"/>
      <c r="D516" s="64"/>
      <c r="E516" s="64"/>
      <c r="F516" s="64"/>
      <c r="G516" s="56"/>
      <c r="H516" s="56"/>
      <c r="I516" s="56"/>
      <c r="J516" s="56"/>
      <c r="K516" s="64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ht="15.75" customHeight="1">
      <c r="A517" s="64"/>
      <c r="B517" s="64"/>
      <c r="C517" s="64"/>
      <c r="D517" s="64"/>
      <c r="E517" s="64"/>
      <c r="F517" s="64"/>
      <c r="G517" s="56"/>
      <c r="H517" s="56"/>
      <c r="I517" s="56"/>
      <c r="J517" s="56"/>
      <c r="K517" s="64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ht="15.75" customHeight="1">
      <c r="A518" s="64"/>
      <c r="B518" s="64"/>
      <c r="C518" s="64"/>
      <c r="D518" s="64"/>
      <c r="E518" s="64"/>
      <c r="F518" s="64"/>
      <c r="G518" s="56"/>
      <c r="H518" s="56"/>
      <c r="I518" s="56"/>
      <c r="J518" s="56"/>
      <c r="K518" s="64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ht="15.75" customHeight="1">
      <c r="A519" s="64"/>
      <c r="B519" s="64"/>
      <c r="C519" s="64"/>
      <c r="D519" s="64"/>
      <c r="E519" s="64"/>
      <c r="F519" s="64"/>
      <c r="G519" s="56"/>
      <c r="H519" s="56"/>
      <c r="I519" s="56"/>
      <c r="J519" s="56"/>
      <c r="K519" s="64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ht="15.75" customHeight="1">
      <c r="A520" s="64"/>
      <c r="B520" s="64"/>
      <c r="C520" s="64"/>
      <c r="D520" s="64"/>
      <c r="E520" s="64"/>
      <c r="F520" s="64"/>
      <c r="G520" s="56"/>
      <c r="H520" s="56"/>
      <c r="I520" s="56"/>
      <c r="J520" s="56"/>
      <c r="K520" s="64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ht="15.75" customHeight="1">
      <c r="A521" s="64"/>
      <c r="B521" s="64"/>
      <c r="C521" s="64"/>
      <c r="D521" s="64"/>
      <c r="E521" s="64"/>
      <c r="F521" s="64"/>
      <c r="G521" s="56"/>
      <c r="H521" s="56"/>
      <c r="I521" s="56"/>
      <c r="J521" s="56"/>
      <c r="K521" s="64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ht="15.75" customHeight="1">
      <c r="A522" s="64"/>
      <c r="B522" s="64"/>
      <c r="C522" s="64"/>
      <c r="D522" s="64"/>
      <c r="E522" s="64"/>
      <c r="F522" s="64"/>
      <c r="G522" s="56"/>
      <c r="H522" s="56"/>
      <c r="I522" s="56"/>
      <c r="J522" s="56"/>
      <c r="K522" s="64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ht="15.75" customHeight="1">
      <c r="A523" s="64"/>
      <c r="B523" s="64"/>
      <c r="C523" s="64"/>
      <c r="D523" s="64"/>
      <c r="E523" s="64"/>
      <c r="F523" s="64"/>
      <c r="G523" s="56"/>
      <c r="H523" s="56"/>
      <c r="I523" s="56"/>
      <c r="J523" s="56"/>
      <c r="K523" s="64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ht="15.75" customHeight="1">
      <c r="A524" s="64"/>
      <c r="B524" s="64"/>
      <c r="C524" s="64"/>
      <c r="D524" s="64"/>
      <c r="E524" s="64"/>
      <c r="F524" s="64"/>
      <c r="G524" s="56"/>
      <c r="H524" s="56"/>
      <c r="I524" s="56"/>
      <c r="J524" s="56"/>
      <c r="K524" s="64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ht="15.75" customHeight="1">
      <c r="A525" s="64"/>
      <c r="B525" s="64"/>
      <c r="C525" s="64"/>
      <c r="D525" s="64"/>
      <c r="E525" s="64"/>
      <c r="F525" s="64"/>
      <c r="G525" s="56"/>
      <c r="H525" s="56"/>
      <c r="I525" s="56"/>
      <c r="J525" s="56"/>
      <c r="K525" s="64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ht="15.75" customHeight="1">
      <c r="A526" s="64"/>
      <c r="B526" s="64"/>
      <c r="C526" s="64"/>
      <c r="D526" s="64"/>
      <c r="E526" s="64"/>
      <c r="F526" s="64"/>
      <c r="G526" s="56"/>
      <c r="H526" s="56"/>
      <c r="I526" s="56"/>
      <c r="J526" s="56"/>
      <c r="K526" s="64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ht="15.75" customHeight="1">
      <c r="A527" s="64"/>
      <c r="B527" s="64"/>
      <c r="C527" s="64"/>
      <c r="D527" s="64"/>
      <c r="E527" s="64"/>
      <c r="F527" s="64"/>
      <c r="G527" s="56"/>
      <c r="H527" s="56"/>
      <c r="I527" s="56"/>
      <c r="J527" s="56"/>
      <c r="K527" s="64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ht="15.75" customHeight="1">
      <c r="A528" s="64"/>
      <c r="B528" s="64"/>
      <c r="C528" s="64"/>
      <c r="D528" s="64"/>
      <c r="E528" s="64"/>
      <c r="F528" s="64"/>
      <c r="G528" s="56"/>
      <c r="H528" s="56"/>
      <c r="I528" s="56"/>
      <c r="J528" s="56"/>
      <c r="K528" s="64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ht="15.75" customHeight="1">
      <c r="A529" s="64"/>
      <c r="B529" s="64"/>
      <c r="C529" s="64"/>
      <c r="D529" s="64"/>
      <c r="E529" s="64"/>
      <c r="F529" s="64"/>
      <c r="G529" s="56"/>
      <c r="H529" s="56"/>
      <c r="I529" s="56"/>
      <c r="J529" s="56"/>
      <c r="K529" s="64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ht="15.75" customHeight="1">
      <c r="A530" s="64"/>
      <c r="B530" s="64"/>
      <c r="C530" s="64"/>
      <c r="D530" s="64"/>
      <c r="E530" s="64"/>
      <c r="F530" s="64"/>
      <c r="G530" s="56"/>
      <c r="H530" s="56"/>
      <c r="I530" s="56"/>
      <c r="J530" s="56"/>
      <c r="K530" s="64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ht="15.75" customHeight="1">
      <c r="A531" s="64"/>
      <c r="B531" s="64"/>
      <c r="C531" s="64"/>
      <c r="D531" s="64"/>
      <c r="E531" s="64"/>
      <c r="F531" s="64"/>
      <c r="G531" s="56"/>
      <c r="H531" s="56"/>
      <c r="I531" s="56"/>
      <c r="J531" s="56"/>
      <c r="K531" s="64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ht="15.75" customHeight="1">
      <c r="A532" s="64"/>
      <c r="B532" s="64"/>
      <c r="C532" s="64"/>
      <c r="D532" s="64"/>
      <c r="E532" s="64"/>
      <c r="F532" s="64"/>
      <c r="G532" s="56"/>
      <c r="H532" s="56"/>
      <c r="I532" s="56"/>
      <c r="J532" s="56"/>
      <c r="K532" s="64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ht="15.75" customHeight="1">
      <c r="A533" s="64"/>
      <c r="B533" s="64"/>
      <c r="C533" s="64"/>
      <c r="D533" s="64"/>
      <c r="E533" s="64"/>
      <c r="F533" s="64"/>
      <c r="G533" s="56"/>
      <c r="H533" s="56"/>
      <c r="I533" s="56"/>
      <c r="J533" s="56"/>
      <c r="K533" s="64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ht="15.75" customHeight="1">
      <c r="A534" s="64"/>
      <c r="B534" s="64"/>
      <c r="C534" s="64"/>
      <c r="D534" s="64"/>
      <c r="E534" s="64"/>
      <c r="F534" s="64"/>
      <c r="G534" s="56"/>
      <c r="H534" s="56"/>
      <c r="I534" s="56"/>
      <c r="J534" s="56"/>
      <c r="K534" s="64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ht="15.75" customHeight="1">
      <c r="A535" s="64"/>
      <c r="B535" s="64"/>
      <c r="C535" s="64"/>
      <c r="D535" s="64"/>
      <c r="E535" s="64"/>
      <c r="F535" s="64"/>
      <c r="G535" s="56"/>
      <c r="H535" s="56"/>
      <c r="I535" s="56"/>
      <c r="J535" s="56"/>
      <c r="K535" s="64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ht="15.75" customHeight="1">
      <c r="A536" s="64"/>
      <c r="B536" s="64"/>
      <c r="C536" s="64"/>
      <c r="D536" s="64"/>
      <c r="E536" s="64"/>
      <c r="F536" s="64"/>
      <c r="G536" s="56"/>
      <c r="H536" s="56"/>
      <c r="I536" s="56"/>
      <c r="J536" s="56"/>
      <c r="K536" s="64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ht="15.75" customHeight="1">
      <c r="A537" s="64"/>
      <c r="B537" s="64"/>
      <c r="C537" s="64"/>
      <c r="D537" s="64"/>
      <c r="E537" s="64"/>
      <c r="F537" s="64"/>
      <c r="G537" s="56"/>
      <c r="H537" s="56"/>
      <c r="I537" s="56"/>
      <c r="J537" s="56"/>
      <c r="K537" s="64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ht="15.75" customHeight="1">
      <c r="A538" s="64"/>
      <c r="B538" s="64"/>
      <c r="C538" s="64"/>
      <c r="D538" s="64"/>
      <c r="E538" s="64"/>
      <c r="F538" s="64"/>
      <c r="G538" s="56"/>
      <c r="H538" s="56"/>
      <c r="I538" s="56"/>
      <c r="J538" s="56"/>
      <c r="K538" s="64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ht="15.75" customHeight="1">
      <c r="A539" s="64"/>
      <c r="B539" s="64"/>
      <c r="C539" s="64"/>
      <c r="D539" s="64"/>
      <c r="E539" s="64"/>
      <c r="F539" s="64"/>
      <c r="G539" s="56"/>
      <c r="H539" s="56"/>
      <c r="I539" s="56"/>
      <c r="J539" s="56"/>
      <c r="K539" s="64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ht="15.75" customHeight="1">
      <c r="A540" s="64"/>
      <c r="B540" s="64"/>
      <c r="C540" s="64"/>
      <c r="D540" s="64"/>
      <c r="E540" s="64"/>
      <c r="F540" s="64"/>
      <c r="G540" s="56"/>
      <c r="H540" s="56"/>
      <c r="I540" s="56"/>
      <c r="J540" s="56"/>
      <c r="K540" s="64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ht="15.75" customHeight="1">
      <c r="A541" s="64"/>
      <c r="B541" s="64"/>
      <c r="C541" s="64"/>
      <c r="D541" s="64"/>
      <c r="E541" s="64"/>
      <c r="F541" s="64"/>
      <c r="G541" s="56"/>
      <c r="H541" s="56"/>
      <c r="I541" s="56"/>
      <c r="J541" s="56"/>
      <c r="K541" s="64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ht="15.75" customHeight="1">
      <c r="A542" s="64"/>
      <c r="B542" s="64"/>
      <c r="C542" s="64"/>
      <c r="D542" s="64"/>
      <c r="E542" s="64"/>
      <c r="F542" s="64"/>
      <c r="G542" s="56"/>
      <c r="H542" s="56"/>
      <c r="I542" s="56"/>
      <c r="J542" s="56"/>
      <c r="K542" s="64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ht="15.75" customHeight="1">
      <c r="A543" s="64"/>
      <c r="B543" s="64"/>
      <c r="C543" s="64"/>
      <c r="D543" s="64"/>
      <c r="E543" s="64"/>
      <c r="F543" s="64"/>
      <c r="G543" s="56"/>
      <c r="H543" s="56"/>
      <c r="I543" s="56"/>
      <c r="J543" s="56"/>
      <c r="K543" s="64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ht="15.75" customHeight="1">
      <c r="A544" s="64"/>
      <c r="B544" s="64"/>
      <c r="C544" s="64"/>
      <c r="D544" s="64"/>
      <c r="E544" s="64"/>
      <c r="F544" s="64"/>
      <c r="G544" s="56"/>
      <c r="H544" s="56"/>
      <c r="I544" s="56"/>
      <c r="J544" s="56"/>
      <c r="K544" s="64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ht="15.7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ht="15.7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ht="15.7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ht="15.7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ht="15.7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ht="15.7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ht="15.7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ht="15.7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ht="15.7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ht="15.7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ht="15.7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ht="15.7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ht="15.7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ht="15.7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ht="15.7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ht="15.7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ht="15.7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ht="15.7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ht="15.7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ht="15.7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ht="15.7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ht="15.7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ht="15.7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ht="15.7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ht="15.7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ht="15.7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ht="15.7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ht="15.7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ht="15.7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ht="15.7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ht="15.7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ht="15.7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ht="15.7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ht="15.7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ht="15.7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ht="15.7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ht="15.7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ht="15.7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ht="15.7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ht="15.7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ht="15.7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ht="15.7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ht="15.7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ht="15.7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ht="15.7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ht="15.7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ht="15.7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ht="15.7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ht="15.7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ht="15.7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ht="15.7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ht="15.7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ht="15.7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ht="15.7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ht="15.7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ht="15.7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ht="15.7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ht="15.7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ht="15.7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ht="15.7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ht="15.7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ht="15.7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ht="15.7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ht="15.7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ht="15.7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ht="15.7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ht="15.7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ht="15.7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ht="15.7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ht="15.7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ht="15.7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ht="15.7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ht="15.7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ht="15.7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ht="15.7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ht="15.7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ht="15.7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ht="15.7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ht="15.7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ht="15.7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ht="15.7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ht="15.7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ht="15.7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ht="15.7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ht="15.7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ht="15.7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ht="15.7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ht="15.7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ht="15.7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ht="15.7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ht="15.7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ht="15.7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ht="15.7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ht="15.7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ht="15.7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ht="15.7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ht="15.7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ht="15.7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ht="15.7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ht="15.7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ht="15.7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ht="15.7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ht="15.7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ht="15.7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ht="15.7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ht="15.7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ht="15.7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ht="15.7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ht="15.7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ht="15.7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ht="15.7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ht="15.7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ht="15.7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ht="15.7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ht="15.7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ht="15.7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ht="15.7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ht="15.7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ht="15.7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ht="15.7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ht="15.7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ht="15.7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ht="15.7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ht="15.7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ht="15.7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ht="15.7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ht="15.7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ht="15.7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ht="15.7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ht="15.7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ht="15.7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ht="15.7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ht="15.7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ht="15.7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ht="15.7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ht="15.7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ht="15.7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ht="15.7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ht="15.7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ht="15.7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ht="15.7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ht="15.7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ht="15.7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ht="15.7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ht="15.7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ht="15.7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ht="15.7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ht="15.7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ht="15.7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ht="15.7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ht="15.7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ht="15.7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ht="15.7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ht="15.7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ht="15.7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ht="15.7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ht="15.7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ht="15.7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ht="15.7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ht="15.7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ht="15.7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ht="15.7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ht="15.7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ht="15.7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ht="15.7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ht="15.7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ht="15.7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ht="15.7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ht="15.7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ht="15.7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ht="15.7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ht="15.7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ht="15.7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ht="15.7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ht="15.7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ht="15.7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ht="15.7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ht="15.7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ht="15.7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ht="15.7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ht="15.7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ht="15.7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ht="15.7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ht="15.7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ht="15.7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ht="15.7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ht="15.7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ht="15.7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ht="15.7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ht="15.7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ht="15.7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ht="15.7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ht="15.7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ht="15.7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ht="15.7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ht="15.7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ht="15.7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ht="15.7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ht="15.7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ht="15.7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ht="15.7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ht="15.7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ht="15.7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ht="15.7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ht="15.7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ht="15.7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ht="15.7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ht="15.7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ht="15.7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ht="15.7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ht="15.7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ht="15.7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ht="15.7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ht="15.7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ht="15.7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ht="15.7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ht="15.7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ht="15.7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ht="15.7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ht="15.7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ht="15.7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ht="15.7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ht="15.7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ht="15.7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ht="15.7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ht="15.7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ht="15.7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ht="15.7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ht="15.7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ht="15.7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ht="15.7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ht="15.7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ht="15.7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ht="15.7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ht="15.7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ht="15.7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ht="15.7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ht="15.7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ht="15.7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ht="15.7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ht="15.7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ht="15.7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ht="15.7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ht="15.7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ht="15.7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ht="15.7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ht="15.7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ht="15.7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ht="15.7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ht="15.7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ht="15.7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ht="15.7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ht="15.7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ht="15.7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ht="15.7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ht="15.7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ht="15.7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ht="15.7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ht="15.7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ht="15.7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ht="15.7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ht="15.7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ht="15.7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ht="15.7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ht="15.7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ht="15.7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ht="15.7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ht="15.7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ht="15.7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ht="15.7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ht="15.7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ht="15.7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ht="15.7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ht="15.7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ht="15.7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ht="15.7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ht="15.7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ht="15.7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ht="15.7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ht="15.7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ht="15.7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ht="15.7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ht="15.7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ht="15.7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ht="15.7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ht="15.7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ht="15.7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ht="15.7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ht="15.7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ht="15.7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ht="15.7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ht="15.7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ht="15.7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ht="15.7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ht="15.7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ht="15.7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ht="15.7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ht="15.7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ht="15.7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ht="15.7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ht="15.7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ht="15.7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ht="15.7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ht="15.7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ht="15.7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ht="15.7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ht="15.7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ht="15.7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ht="15.7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ht="15.7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ht="15.7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ht="15.7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ht="15.7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ht="15.7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ht="15.7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ht="15.7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ht="15.7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ht="15.7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ht="15.7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ht="15.7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ht="15.7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ht="15.7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ht="15.7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ht="15.7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ht="15.7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ht="15.7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ht="15.7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ht="15.7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ht="15.7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ht="15.7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ht="15.7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ht="15.7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ht="15.7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ht="15.7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ht="15.7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ht="15.7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ht="15.7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ht="15.7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ht="15.7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ht="15.7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ht="15.7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ht="15.7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ht="15.7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ht="15.7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ht="15.7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ht="15.7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ht="15.7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ht="15.7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ht="15.7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ht="15.7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ht="15.7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ht="15.7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ht="15.7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ht="15.7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ht="15.7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ht="15.7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ht="15.7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ht="15.7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ht="15.7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ht="15.7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ht="15.7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ht="15.7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ht="15.7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ht="15.7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ht="15.7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ht="15.7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ht="15.7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ht="15.7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ht="15.7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ht="15.7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ht="15.7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ht="15.7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ht="15.7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ht="15.7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ht="15.7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ht="15.7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ht="15.7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ht="15.7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ht="15.7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ht="15.7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ht="15.7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ht="15.7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ht="15.7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ht="15.7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ht="15.7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ht="15.7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ht="15.7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ht="15.7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ht="15.7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ht="15.7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ht="15.7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ht="15.7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ht="15.7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ht="15.7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ht="15.7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ht="15.7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ht="15.7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ht="15.7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ht="15.7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ht="15.7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ht="15.7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ht="15.7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ht="15.7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ht="15.7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ht="15.7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ht="15.7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ht="15.7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ht="15.7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ht="15.7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ht="15.7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ht="15.7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ht="15.7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ht="15.7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ht="15.7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ht="15.7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ht="15.7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ht="15.7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ht="15.7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ht="15.7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ht="15.7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ht="15.7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ht="15.7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ht="15.7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ht="15.7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ht="15.7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ht="15.7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ht="15.7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ht="15.7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ht="15.7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ht="15.7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ht="15.7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ht="15.7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ht="15.7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ht="15.7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ht="15.7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ht="15.7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ht="15.7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ht="15.7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ht="15.7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ht="15.7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ht="15.7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ht="15.7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ht="15.7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ht="15.7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ht="15.7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ht="15.7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ht="15.7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ht="15.7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ht="15.7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ht="15.7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ht="15.7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ht="15.7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ht="15.7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ht="15.7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ht="15.7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ht="15.7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autoFilter ref="$A$1:$F$344"/>
  <conditionalFormatting sqref="D1 D2:F1000 F1">
    <cfRule type="cellIs" dxfId="0" priority="1" operator="equal">
      <formula>"Verde"</formula>
    </cfRule>
  </conditionalFormatting>
  <conditionalFormatting sqref="D1 D2:F1000 F1">
    <cfRule type="cellIs" dxfId="1" priority="2" operator="equal">
      <formula>"Amarillo"</formula>
    </cfRule>
  </conditionalFormatting>
  <conditionalFormatting sqref="D1 D2:F1000 F1">
    <cfRule type="cellIs" dxfId="2" priority="3" operator="equal">
      <formula>"Naranja"</formula>
    </cfRule>
  </conditionalFormatting>
  <conditionalFormatting sqref="D1 D2:F1000 F1">
    <cfRule type="cellIs" dxfId="3" priority="4" operator="equal">
      <formula>"Rojo"</formula>
    </cfRule>
  </conditionalFormatting>
  <conditionalFormatting sqref="K2:K1000">
    <cfRule type="cellIs" dxfId="0" priority="5" operator="equal">
      <formula>"Verde"</formula>
    </cfRule>
  </conditionalFormatting>
  <conditionalFormatting sqref="K2:K1000">
    <cfRule type="cellIs" dxfId="1" priority="6" operator="equal">
      <formula>"Amarillo"</formula>
    </cfRule>
  </conditionalFormatting>
  <conditionalFormatting sqref="K2:K1000">
    <cfRule type="cellIs" dxfId="2" priority="7" operator="equal">
      <formula>"Naranja"</formula>
    </cfRule>
  </conditionalFormatting>
  <conditionalFormatting sqref="K2:K1000">
    <cfRule type="cellIs" dxfId="3" priority="8" operator="equal">
      <formula>"Rojo"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2026-05-20T18:29:25Z</dcterms:created>
  <dc:creator>Oriana</dc:creator>
</cp:coreProperties>
</file>