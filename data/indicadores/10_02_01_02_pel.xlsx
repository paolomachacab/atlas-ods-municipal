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RUNA\Downloads\"/>
    </mc:Choice>
  </mc:AlternateContent>
  <xr:revisionPtr revIDLastSave="0" documentId="13_ncr:1_{C2188C2D-6476-4EDF-9396-0ECE7931DCD1}" xr6:coauthVersionLast="47" xr6:coauthVersionMax="47" xr10:uidLastSave="{00000000-0000-0000-0000-000000000000}"/>
  <bookViews>
    <workbookView xWindow="-108" yWindow="-108" windowWidth="23256" windowHeight="12576" firstSheet="2" activeTab="5" xr2:uid="{00000000-000D-0000-FFFF-FFFF00000000}"/>
  </bookViews>
  <sheets>
    <sheet name="Datos crudos 2012" sheetId="1" r:id="rId1"/>
    <sheet name="Datos crudos 2024" sheetId="2" r:id="rId2"/>
    <sheet name="Indicador_MUN" sheetId="3" r:id="rId3"/>
    <sheet name="Absoluto_MUN" sheetId="4" r:id="rId4"/>
    <sheet name="Indicador_DEP" sheetId="5" r:id="rId5"/>
    <sheet name="Absoluto_DEP" sheetId="6" r:id="rId6"/>
    <sheet name="Umbral" sheetId="7" r:id="rId7"/>
    <sheet name="Map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Je1PZCHzIxDk3YfV2ssl3VI1m18fAkbRhVQ/xL8mkqE="/>
    </ext>
  </extLst>
</workbook>
</file>

<file path=xl/calcChain.xml><?xml version="1.0" encoding="utf-8"?>
<calcChain xmlns="http://schemas.openxmlformats.org/spreadsheetml/2006/main">
  <c r="L346" i="2" l="1"/>
  <c r="K346" i="2"/>
  <c r="J346" i="2"/>
  <c r="M346" i="2" s="1"/>
  <c r="I346" i="2"/>
  <c r="E346" i="2"/>
  <c r="D346" i="2"/>
  <c r="G346" i="2" s="1"/>
  <c r="C346" i="2"/>
  <c r="F346" i="2" s="1"/>
  <c r="H346" i="2" s="1"/>
  <c r="K345" i="2"/>
  <c r="J345" i="2"/>
  <c r="I345" i="2"/>
  <c r="E345" i="2"/>
  <c r="F345" i="2" s="1"/>
  <c r="H345" i="2" s="1"/>
  <c r="D345" i="2"/>
  <c r="G345" i="2" s="1"/>
  <c r="C345" i="2"/>
  <c r="N344" i="2"/>
  <c r="O344" i="2" s="1"/>
  <c r="M344" i="2"/>
  <c r="L344" i="2"/>
  <c r="G344" i="2"/>
  <c r="H344" i="2" s="1"/>
  <c r="F344" i="2"/>
  <c r="M343" i="2"/>
  <c r="N343" i="2" s="1"/>
  <c r="L343" i="2"/>
  <c r="G343" i="2"/>
  <c r="F343" i="2"/>
  <c r="H343" i="2" s="1"/>
  <c r="M342" i="2"/>
  <c r="L342" i="2"/>
  <c r="N342" i="2" s="1"/>
  <c r="G342" i="2"/>
  <c r="F342" i="2"/>
  <c r="H342" i="2" s="1"/>
  <c r="M341" i="2"/>
  <c r="L341" i="2"/>
  <c r="N341" i="2" s="1"/>
  <c r="O341" i="2" s="1"/>
  <c r="H341" i="2"/>
  <c r="G341" i="2"/>
  <c r="F341" i="2"/>
  <c r="N340" i="2"/>
  <c r="O340" i="2" s="1"/>
  <c r="M340" i="2"/>
  <c r="L340" i="2"/>
  <c r="G340" i="2"/>
  <c r="H340" i="2" s="1"/>
  <c r="F340" i="2"/>
  <c r="M339" i="2"/>
  <c r="N339" i="2" s="1"/>
  <c r="L339" i="2"/>
  <c r="G339" i="2"/>
  <c r="F339" i="2"/>
  <c r="H339" i="2" s="1"/>
  <c r="M338" i="2"/>
  <c r="L338" i="2"/>
  <c r="N338" i="2" s="1"/>
  <c r="G338" i="2"/>
  <c r="F338" i="2"/>
  <c r="H338" i="2" s="1"/>
  <c r="M337" i="2"/>
  <c r="L337" i="2"/>
  <c r="N337" i="2" s="1"/>
  <c r="H337" i="2"/>
  <c r="O337" i="2" s="1"/>
  <c r="G337" i="2"/>
  <c r="F337" i="2"/>
  <c r="N336" i="2"/>
  <c r="M336" i="2"/>
  <c r="L336" i="2"/>
  <c r="G336" i="2"/>
  <c r="H336" i="2" s="1"/>
  <c r="F336" i="2"/>
  <c r="M335" i="2"/>
  <c r="N335" i="2" s="1"/>
  <c r="O335" i="2" s="1"/>
  <c r="L335" i="2"/>
  <c r="G335" i="2"/>
  <c r="F335" i="2"/>
  <c r="H335" i="2" s="1"/>
  <c r="M334" i="2"/>
  <c r="L334" i="2"/>
  <c r="N334" i="2" s="1"/>
  <c r="O334" i="2" s="1"/>
  <c r="G334" i="2"/>
  <c r="F334" i="2"/>
  <c r="H334" i="2" s="1"/>
  <c r="O333" i="2"/>
  <c r="M333" i="2"/>
  <c r="L333" i="2"/>
  <c r="N333" i="2" s="1"/>
  <c r="H333" i="2"/>
  <c r="G333" i="2"/>
  <c r="F333" i="2"/>
  <c r="N332" i="2"/>
  <c r="M332" i="2"/>
  <c r="L332" i="2"/>
  <c r="G332" i="2"/>
  <c r="H332" i="2" s="1"/>
  <c r="F332" i="2"/>
  <c r="M331" i="2"/>
  <c r="N331" i="2" s="1"/>
  <c r="L331" i="2"/>
  <c r="G331" i="2"/>
  <c r="F331" i="2"/>
  <c r="H331" i="2" s="1"/>
  <c r="M330" i="2"/>
  <c r="L330" i="2"/>
  <c r="N330" i="2" s="1"/>
  <c r="O330" i="2" s="1"/>
  <c r="G330" i="2"/>
  <c r="F330" i="2"/>
  <c r="H330" i="2" s="1"/>
  <c r="M329" i="2"/>
  <c r="L329" i="2"/>
  <c r="N329" i="2" s="1"/>
  <c r="O329" i="2" s="1"/>
  <c r="H329" i="2"/>
  <c r="G329" i="2"/>
  <c r="F329" i="2"/>
  <c r="N328" i="2"/>
  <c r="O328" i="2" s="1"/>
  <c r="M328" i="2"/>
  <c r="L328" i="2"/>
  <c r="G328" i="2"/>
  <c r="H328" i="2" s="1"/>
  <c r="F328" i="2"/>
  <c r="M327" i="2"/>
  <c r="N327" i="2" s="1"/>
  <c r="L327" i="2"/>
  <c r="G327" i="2"/>
  <c r="F327" i="2"/>
  <c r="H327" i="2" s="1"/>
  <c r="M326" i="2"/>
  <c r="L326" i="2"/>
  <c r="N326" i="2" s="1"/>
  <c r="G326" i="2"/>
  <c r="F326" i="2"/>
  <c r="H326" i="2" s="1"/>
  <c r="M325" i="2"/>
  <c r="L325" i="2"/>
  <c r="N325" i="2" s="1"/>
  <c r="H325" i="2"/>
  <c r="G325" i="2"/>
  <c r="F325" i="2"/>
  <c r="N324" i="2"/>
  <c r="O324" i="2" s="1"/>
  <c r="M324" i="2"/>
  <c r="L324" i="2"/>
  <c r="G324" i="2"/>
  <c r="H324" i="2" s="1"/>
  <c r="F324" i="2"/>
  <c r="M323" i="2"/>
  <c r="N323" i="2" s="1"/>
  <c r="O323" i="2" s="1"/>
  <c r="L323" i="2"/>
  <c r="G323" i="2"/>
  <c r="F323" i="2"/>
  <c r="H323" i="2" s="1"/>
  <c r="M322" i="2"/>
  <c r="L322" i="2"/>
  <c r="N322" i="2" s="1"/>
  <c r="G322" i="2"/>
  <c r="F322" i="2"/>
  <c r="H322" i="2" s="1"/>
  <c r="O321" i="2"/>
  <c r="M321" i="2"/>
  <c r="L321" i="2"/>
  <c r="N321" i="2" s="1"/>
  <c r="H321" i="2"/>
  <c r="G321" i="2"/>
  <c r="F321" i="2"/>
  <c r="N320" i="2"/>
  <c r="M320" i="2"/>
  <c r="L320" i="2"/>
  <c r="G320" i="2"/>
  <c r="H320" i="2" s="1"/>
  <c r="F320" i="2"/>
  <c r="M319" i="2"/>
  <c r="N319" i="2" s="1"/>
  <c r="O319" i="2" s="1"/>
  <c r="L319" i="2"/>
  <c r="G319" i="2"/>
  <c r="F319" i="2"/>
  <c r="H319" i="2" s="1"/>
  <c r="M318" i="2"/>
  <c r="L318" i="2"/>
  <c r="N318" i="2" s="1"/>
  <c r="O318" i="2" s="1"/>
  <c r="G318" i="2"/>
  <c r="F318" i="2"/>
  <c r="H318" i="2" s="1"/>
  <c r="O317" i="2"/>
  <c r="M317" i="2"/>
  <c r="L317" i="2"/>
  <c r="N317" i="2" s="1"/>
  <c r="H317" i="2"/>
  <c r="G317" i="2"/>
  <c r="F317" i="2"/>
  <c r="N316" i="2"/>
  <c r="M316" i="2"/>
  <c r="L316" i="2"/>
  <c r="G316" i="2"/>
  <c r="H316" i="2" s="1"/>
  <c r="F316" i="2"/>
  <c r="M315" i="2"/>
  <c r="N315" i="2" s="1"/>
  <c r="L315" i="2"/>
  <c r="G315" i="2"/>
  <c r="F315" i="2"/>
  <c r="H315" i="2" s="1"/>
  <c r="M314" i="2"/>
  <c r="L314" i="2"/>
  <c r="N314" i="2" s="1"/>
  <c r="O314" i="2" s="1"/>
  <c r="G314" i="2"/>
  <c r="F314" i="2"/>
  <c r="H314" i="2" s="1"/>
  <c r="M313" i="2"/>
  <c r="L313" i="2"/>
  <c r="N313" i="2" s="1"/>
  <c r="O313" i="2" s="1"/>
  <c r="H313" i="2"/>
  <c r="G313" i="2"/>
  <c r="F313" i="2"/>
  <c r="N312" i="2"/>
  <c r="O312" i="2" s="1"/>
  <c r="M312" i="2"/>
  <c r="L312" i="2"/>
  <c r="G312" i="2"/>
  <c r="H312" i="2" s="1"/>
  <c r="F312" i="2"/>
  <c r="M311" i="2"/>
  <c r="N311" i="2" s="1"/>
  <c r="L311" i="2"/>
  <c r="G311" i="2"/>
  <c r="F311" i="2"/>
  <c r="H311" i="2" s="1"/>
  <c r="M310" i="2"/>
  <c r="L310" i="2"/>
  <c r="N310" i="2" s="1"/>
  <c r="G310" i="2"/>
  <c r="F310" i="2"/>
  <c r="H310" i="2" s="1"/>
  <c r="M309" i="2"/>
  <c r="L309" i="2"/>
  <c r="N309" i="2" s="1"/>
  <c r="O309" i="2" s="1"/>
  <c r="H309" i="2"/>
  <c r="G309" i="2"/>
  <c r="F309" i="2"/>
  <c r="N308" i="2"/>
  <c r="O308" i="2" s="1"/>
  <c r="M308" i="2"/>
  <c r="L308" i="2"/>
  <c r="G308" i="2"/>
  <c r="H308" i="2" s="1"/>
  <c r="F308" i="2"/>
  <c r="M307" i="2"/>
  <c r="N307" i="2" s="1"/>
  <c r="L307" i="2"/>
  <c r="G307" i="2"/>
  <c r="F307" i="2"/>
  <c r="H307" i="2" s="1"/>
  <c r="M306" i="2"/>
  <c r="L306" i="2"/>
  <c r="N306" i="2" s="1"/>
  <c r="G306" i="2"/>
  <c r="F306" i="2"/>
  <c r="H306" i="2" s="1"/>
  <c r="M305" i="2"/>
  <c r="L305" i="2"/>
  <c r="N305" i="2" s="1"/>
  <c r="H305" i="2"/>
  <c r="O305" i="2" s="1"/>
  <c r="G305" i="2"/>
  <c r="F305" i="2"/>
  <c r="N304" i="2"/>
  <c r="M304" i="2"/>
  <c r="L304" i="2"/>
  <c r="G304" i="2"/>
  <c r="H304" i="2" s="1"/>
  <c r="F304" i="2"/>
  <c r="M303" i="2"/>
  <c r="N303" i="2" s="1"/>
  <c r="O303" i="2" s="1"/>
  <c r="L303" i="2"/>
  <c r="G303" i="2"/>
  <c r="F303" i="2"/>
  <c r="H303" i="2" s="1"/>
  <c r="M302" i="2"/>
  <c r="L302" i="2"/>
  <c r="N302" i="2" s="1"/>
  <c r="O302" i="2" s="1"/>
  <c r="G302" i="2"/>
  <c r="F302" i="2"/>
  <c r="H302" i="2" s="1"/>
  <c r="O301" i="2"/>
  <c r="M301" i="2"/>
  <c r="L301" i="2"/>
  <c r="N301" i="2" s="1"/>
  <c r="H301" i="2"/>
  <c r="G301" i="2"/>
  <c r="F301" i="2"/>
  <c r="N300" i="2"/>
  <c r="M300" i="2"/>
  <c r="L300" i="2"/>
  <c r="G300" i="2"/>
  <c r="H300" i="2" s="1"/>
  <c r="F300" i="2"/>
  <c r="M299" i="2"/>
  <c r="N299" i="2" s="1"/>
  <c r="L299" i="2"/>
  <c r="G299" i="2"/>
  <c r="F299" i="2"/>
  <c r="H299" i="2" s="1"/>
  <c r="M298" i="2"/>
  <c r="L298" i="2"/>
  <c r="N298" i="2" s="1"/>
  <c r="O298" i="2" s="1"/>
  <c r="G298" i="2"/>
  <c r="F298" i="2"/>
  <c r="H298" i="2" s="1"/>
  <c r="M297" i="2"/>
  <c r="L297" i="2"/>
  <c r="N297" i="2" s="1"/>
  <c r="O297" i="2" s="1"/>
  <c r="H297" i="2"/>
  <c r="G297" i="2"/>
  <c r="F297" i="2"/>
  <c r="N296" i="2"/>
  <c r="O296" i="2" s="1"/>
  <c r="M296" i="2"/>
  <c r="L296" i="2"/>
  <c r="G296" i="2"/>
  <c r="H296" i="2" s="1"/>
  <c r="F296" i="2"/>
  <c r="M295" i="2"/>
  <c r="N295" i="2" s="1"/>
  <c r="L295" i="2"/>
  <c r="G295" i="2"/>
  <c r="F295" i="2"/>
  <c r="H295" i="2" s="1"/>
  <c r="M294" i="2"/>
  <c r="L294" i="2"/>
  <c r="N294" i="2" s="1"/>
  <c r="G294" i="2"/>
  <c r="F294" i="2"/>
  <c r="H294" i="2" s="1"/>
  <c r="M293" i="2"/>
  <c r="L293" i="2"/>
  <c r="N293" i="2" s="1"/>
  <c r="H293" i="2"/>
  <c r="G293" i="2"/>
  <c r="F293" i="2"/>
  <c r="N292" i="2"/>
  <c r="O292" i="2" s="1"/>
  <c r="M292" i="2"/>
  <c r="L292" i="2"/>
  <c r="G292" i="2"/>
  <c r="H292" i="2" s="1"/>
  <c r="F292" i="2"/>
  <c r="M291" i="2"/>
  <c r="N291" i="2" s="1"/>
  <c r="O291" i="2" s="1"/>
  <c r="L291" i="2"/>
  <c r="G291" i="2"/>
  <c r="F291" i="2"/>
  <c r="H291" i="2" s="1"/>
  <c r="M290" i="2"/>
  <c r="L290" i="2"/>
  <c r="N290" i="2" s="1"/>
  <c r="G290" i="2"/>
  <c r="F290" i="2"/>
  <c r="H290" i="2" s="1"/>
  <c r="O289" i="2"/>
  <c r="M289" i="2"/>
  <c r="L289" i="2"/>
  <c r="N289" i="2" s="1"/>
  <c r="H289" i="2"/>
  <c r="G289" i="2"/>
  <c r="F289" i="2"/>
  <c r="N288" i="2"/>
  <c r="M288" i="2"/>
  <c r="L288" i="2"/>
  <c r="G288" i="2"/>
  <c r="H288" i="2" s="1"/>
  <c r="F288" i="2"/>
  <c r="M287" i="2"/>
  <c r="N287" i="2" s="1"/>
  <c r="O287" i="2" s="1"/>
  <c r="L287" i="2"/>
  <c r="G287" i="2"/>
  <c r="F287" i="2"/>
  <c r="H287" i="2" s="1"/>
  <c r="M286" i="2"/>
  <c r="L286" i="2"/>
  <c r="N286" i="2" s="1"/>
  <c r="O286" i="2" s="1"/>
  <c r="G286" i="2"/>
  <c r="F286" i="2"/>
  <c r="H286" i="2" s="1"/>
  <c r="O285" i="2"/>
  <c r="M285" i="2"/>
  <c r="L285" i="2"/>
  <c r="N285" i="2" s="1"/>
  <c r="H285" i="2"/>
  <c r="G285" i="2"/>
  <c r="F285" i="2"/>
  <c r="N284" i="2"/>
  <c r="M284" i="2"/>
  <c r="L284" i="2"/>
  <c r="G284" i="2"/>
  <c r="H284" i="2" s="1"/>
  <c r="F284" i="2"/>
  <c r="M283" i="2"/>
  <c r="N283" i="2" s="1"/>
  <c r="L283" i="2"/>
  <c r="G283" i="2"/>
  <c r="F283" i="2"/>
  <c r="H283" i="2" s="1"/>
  <c r="M282" i="2"/>
  <c r="L282" i="2"/>
  <c r="N282" i="2" s="1"/>
  <c r="O282" i="2" s="1"/>
  <c r="G282" i="2"/>
  <c r="F282" i="2"/>
  <c r="H282" i="2" s="1"/>
  <c r="M281" i="2"/>
  <c r="L281" i="2"/>
  <c r="N281" i="2" s="1"/>
  <c r="O281" i="2" s="1"/>
  <c r="H281" i="2"/>
  <c r="G281" i="2"/>
  <c r="F281" i="2"/>
  <c r="N280" i="2"/>
  <c r="O280" i="2" s="1"/>
  <c r="M280" i="2"/>
  <c r="L280" i="2"/>
  <c r="G280" i="2"/>
  <c r="H280" i="2" s="1"/>
  <c r="F280" i="2"/>
  <c r="M279" i="2"/>
  <c r="N279" i="2" s="1"/>
  <c r="L279" i="2"/>
  <c r="G279" i="2"/>
  <c r="F279" i="2"/>
  <c r="H279" i="2" s="1"/>
  <c r="M278" i="2"/>
  <c r="L278" i="2"/>
  <c r="N278" i="2" s="1"/>
  <c r="G278" i="2"/>
  <c r="F278" i="2"/>
  <c r="H278" i="2" s="1"/>
  <c r="M277" i="2"/>
  <c r="L277" i="2"/>
  <c r="N277" i="2" s="1"/>
  <c r="O277" i="2" s="1"/>
  <c r="H277" i="2"/>
  <c r="G277" i="2"/>
  <c r="F277" i="2"/>
  <c r="N276" i="2"/>
  <c r="O276" i="2" s="1"/>
  <c r="M276" i="2"/>
  <c r="L276" i="2"/>
  <c r="G276" i="2"/>
  <c r="H276" i="2" s="1"/>
  <c r="F276" i="2"/>
  <c r="M275" i="2"/>
  <c r="N275" i="2" s="1"/>
  <c r="L275" i="2"/>
  <c r="G275" i="2"/>
  <c r="F275" i="2"/>
  <c r="H275" i="2" s="1"/>
  <c r="M274" i="2"/>
  <c r="L274" i="2"/>
  <c r="N274" i="2" s="1"/>
  <c r="G274" i="2"/>
  <c r="F274" i="2"/>
  <c r="H274" i="2" s="1"/>
  <c r="M273" i="2"/>
  <c r="L273" i="2"/>
  <c r="N273" i="2" s="1"/>
  <c r="H273" i="2"/>
  <c r="O273" i="2" s="1"/>
  <c r="G273" i="2"/>
  <c r="F273" i="2"/>
  <c r="N272" i="2"/>
  <c r="M272" i="2"/>
  <c r="L272" i="2"/>
  <c r="G272" i="2"/>
  <c r="H272" i="2" s="1"/>
  <c r="F272" i="2"/>
  <c r="M271" i="2"/>
  <c r="N271" i="2" s="1"/>
  <c r="O271" i="2" s="1"/>
  <c r="L271" i="2"/>
  <c r="G271" i="2"/>
  <c r="F271" i="2"/>
  <c r="H271" i="2" s="1"/>
  <c r="M270" i="2"/>
  <c r="L270" i="2"/>
  <c r="N270" i="2" s="1"/>
  <c r="O270" i="2" s="1"/>
  <c r="G270" i="2"/>
  <c r="F270" i="2"/>
  <c r="H270" i="2" s="1"/>
  <c r="O269" i="2"/>
  <c r="M269" i="2"/>
  <c r="L269" i="2"/>
  <c r="N269" i="2" s="1"/>
  <c r="H269" i="2"/>
  <c r="G269" i="2"/>
  <c r="F269" i="2"/>
  <c r="N268" i="2"/>
  <c r="M268" i="2"/>
  <c r="L268" i="2"/>
  <c r="G268" i="2"/>
  <c r="H268" i="2" s="1"/>
  <c r="F268" i="2"/>
  <c r="M267" i="2"/>
  <c r="N267" i="2" s="1"/>
  <c r="L267" i="2"/>
  <c r="G267" i="2"/>
  <c r="F267" i="2"/>
  <c r="H267" i="2" s="1"/>
  <c r="M266" i="2"/>
  <c r="L266" i="2"/>
  <c r="N266" i="2" s="1"/>
  <c r="O266" i="2" s="1"/>
  <c r="G266" i="2"/>
  <c r="F266" i="2"/>
  <c r="H266" i="2" s="1"/>
  <c r="M265" i="2"/>
  <c r="L265" i="2"/>
  <c r="N265" i="2" s="1"/>
  <c r="O265" i="2" s="1"/>
  <c r="H265" i="2"/>
  <c r="G265" i="2"/>
  <c r="F265" i="2"/>
  <c r="N264" i="2"/>
  <c r="M264" i="2"/>
  <c r="L264" i="2"/>
  <c r="G264" i="2"/>
  <c r="H264" i="2" s="1"/>
  <c r="F264" i="2"/>
  <c r="M263" i="2"/>
  <c r="N263" i="2" s="1"/>
  <c r="L263" i="2"/>
  <c r="G263" i="2"/>
  <c r="F263" i="2"/>
  <c r="H263" i="2" s="1"/>
  <c r="M262" i="2"/>
  <c r="L262" i="2"/>
  <c r="N262" i="2" s="1"/>
  <c r="G262" i="2"/>
  <c r="F262" i="2"/>
  <c r="H262" i="2" s="1"/>
  <c r="M261" i="2"/>
  <c r="L261" i="2"/>
  <c r="N261" i="2" s="1"/>
  <c r="H261" i="2"/>
  <c r="G261" i="2"/>
  <c r="F261" i="2"/>
  <c r="N260" i="2"/>
  <c r="O260" i="2" s="1"/>
  <c r="M260" i="2"/>
  <c r="L260" i="2"/>
  <c r="G260" i="2"/>
  <c r="H260" i="2" s="1"/>
  <c r="F260" i="2"/>
  <c r="M259" i="2"/>
  <c r="N259" i="2" s="1"/>
  <c r="O259" i="2" s="1"/>
  <c r="L259" i="2"/>
  <c r="G259" i="2"/>
  <c r="F259" i="2"/>
  <c r="H259" i="2" s="1"/>
  <c r="M258" i="2"/>
  <c r="L258" i="2"/>
  <c r="N258" i="2" s="1"/>
  <c r="G258" i="2"/>
  <c r="F258" i="2"/>
  <c r="H258" i="2" s="1"/>
  <c r="O257" i="2"/>
  <c r="M257" i="2"/>
  <c r="L257" i="2"/>
  <c r="N257" i="2" s="1"/>
  <c r="H257" i="2"/>
  <c r="G257" i="2"/>
  <c r="F257" i="2"/>
  <c r="N256" i="2"/>
  <c r="M256" i="2"/>
  <c r="L256" i="2"/>
  <c r="G256" i="2"/>
  <c r="H256" i="2" s="1"/>
  <c r="F256" i="2"/>
  <c r="M255" i="2"/>
  <c r="N255" i="2" s="1"/>
  <c r="L255" i="2"/>
  <c r="G255" i="2"/>
  <c r="F255" i="2"/>
  <c r="M254" i="2"/>
  <c r="L254" i="2"/>
  <c r="N254" i="2" s="1"/>
  <c r="O254" i="2" s="1"/>
  <c r="G254" i="2"/>
  <c r="F254" i="2"/>
  <c r="H254" i="2" s="1"/>
  <c r="O253" i="2"/>
  <c r="M253" i="2"/>
  <c r="L253" i="2"/>
  <c r="N253" i="2" s="1"/>
  <c r="H253" i="2"/>
  <c r="G253" i="2"/>
  <c r="F253" i="2"/>
  <c r="N252" i="2"/>
  <c r="M252" i="2"/>
  <c r="L252" i="2"/>
  <c r="H252" i="2"/>
  <c r="O252" i="2" s="1"/>
  <c r="G252" i="2"/>
  <c r="F252" i="2"/>
  <c r="N251" i="2"/>
  <c r="M251" i="2"/>
  <c r="L251" i="2"/>
  <c r="G251" i="2"/>
  <c r="F251" i="2"/>
  <c r="H251" i="2" s="1"/>
  <c r="M250" i="2"/>
  <c r="L250" i="2"/>
  <c r="G250" i="2"/>
  <c r="F250" i="2"/>
  <c r="H250" i="2" s="1"/>
  <c r="M249" i="2"/>
  <c r="L249" i="2"/>
  <c r="N249" i="2" s="1"/>
  <c r="O249" i="2" s="1"/>
  <c r="H249" i="2"/>
  <c r="G249" i="2"/>
  <c r="F249" i="2"/>
  <c r="N248" i="2"/>
  <c r="M248" i="2"/>
  <c r="L248" i="2"/>
  <c r="H248" i="2"/>
  <c r="O248" i="2" s="1"/>
  <c r="G248" i="2"/>
  <c r="F248" i="2"/>
  <c r="M247" i="2"/>
  <c r="L247" i="2"/>
  <c r="G247" i="2"/>
  <c r="F247" i="2"/>
  <c r="M246" i="2"/>
  <c r="L246" i="2"/>
  <c r="G246" i="2"/>
  <c r="F246" i="2"/>
  <c r="H246" i="2" s="1"/>
  <c r="M245" i="2"/>
  <c r="L245" i="2"/>
  <c r="N245" i="2" s="1"/>
  <c r="O245" i="2" s="1"/>
  <c r="H245" i="2"/>
  <c r="G245" i="2"/>
  <c r="F245" i="2"/>
  <c r="N244" i="2"/>
  <c r="M244" i="2"/>
  <c r="L244" i="2"/>
  <c r="H244" i="2"/>
  <c r="O244" i="2" s="1"/>
  <c r="G244" i="2"/>
  <c r="F244" i="2"/>
  <c r="N243" i="2"/>
  <c r="M243" i="2"/>
  <c r="L243" i="2"/>
  <c r="G243" i="2"/>
  <c r="F243" i="2"/>
  <c r="H243" i="2" s="1"/>
  <c r="M242" i="2"/>
  <c r="L242" i="2"/>
  <c r="H242" i="2"/>
  <c r="G242" i="2"/>
  <c r="F242" i="2"/>
  <c r="N241" i="2"/>
  <c r="O241" i="2" s="1"/>
  <c r="M241" i="2"/>
  <c r="L241" i="2"/>
  <c r="G241" i="2"/>
  <c r="H241" i="2" s="1"/>
  <c r="F241" i="2"/>
  <c r="M240" i="2"/>
  <c r="N240" i="2" s="1"/>
  <c r="L240" i="2"/>
  <c r="G240" i="2"/>
  <c r="F240" i="2"/>
  <c r="H240" i="2" s="1"/>
  <c r="N239" i="2"/>
  <c r="M239" i="2"/>
  <c r="L239" i="2"/>
  <c r="G239" i="2"/>
  <c r="F239" i="2"/>
  <c r="M238" i="2"/>
  <c r="L238" i="2"/>
  <c r="N238" i="2" s="1"/>
  <c r="H238" i="2"/>
  <c r="G238" i="2"/>
  <c r="F238" i="2"/>
  <c r="N237" i="2"/>
  <c r="M237" i="2"/>
  <c r="L237" i="2"/>
  <c r="G237" i="2"/>
  <c r="H237" i="2" s="1"/>
  <c r="F237" i="2"/>
  <c r="M236" i="2"/>
  <c r="N236" i="2" s="1"/>
  <c r="L236" i="2"/>
  <c r="G236" i="2"/>
  <c r="F236" i="2"/>
  <c r="M235" i="2"/>
  <c r="L235" i="2"/>
  <c r="N235" i="2" s="1"/>
  <c r="O235" i="2" s="1"/>
  <c r="G235" i="2"/>
  <c r="F235" i="2"/>
  <c r="H235" i="2" s="1"/>
  <c r="M234" i="2"/>
  <c r="L234" i="2"/>
  <c r="N234" i="2" s="1"/>
  <c r="O234" i="2" s="1"/>
  <c r="H234" i="2"/>
  <c r="G234" i="2"/>
  <c r="F234" i="2"/>
  <c r="N233" i="2"/>
  <c r="M233" i="2"/>
  <c r="L233" i="2"/>
  <c r="H233" i="2"/>
  <c r="O233" i="2" s="1"/>
  <c r="G233" i="2"/>
  <c r="F233" i="2"/>
  <c r="M232" i="2"/>
  <c r="N232" i="2" s="1"/>
  <c r="O232" i="2" s="1"/>
  <c r="L232" i="2"/>
  <c r="G232" i="2"/>
  <c r="F232" i="2"/>
  <c r="H232" i="2" s="1"/>
  <c r="M231" i="2"/>
  <c r="L231" i="2"/>
  <c r="G231" i="2"/>
  <c r="F231" i="2"/>
  <c r="H231" i="2" s="1"/>
  <c r="M230" i="2"/>
  <c r="L230" i="2"/>
  <c r="N230" i="2" s="1"/>
  <c r="H230" i="2"/>
  <c r="O230" i="2" s="1"/>
  <c r="G230" i="2"/>
  <c r="F230" i="2"/>
  <c r="N229" i="2"/>
  <c r="M229" i="2"/>
  <c r="L229" i="2"/>
  <c r="G229" i="2"/>
  <c r="H229" i="2" s="1"/>
  <c r="F229" i="2"/>
  <c r="M228" i="2"/>
  <c r="N228" i="2" s="1"/>
  <c r="L228" i="2"/>
  <c r="G228" i="2"/>
  <c r="F228" i="2"/>
  <c r="M227" i="2"/>
  <c r="L227" i="2"/>
  <c r="N227" i="2" s="1"/>
  <c r="O227" i="2" s="1"/>
  <c r="G227" i="2"/>
  <c r="F227" i="2"/>
  <c r="H227" i="2" s="1"/>
  <c r="M226" i="2"/>
  <c r="L226" i="2"/>
  <c r="N226" i="2" s="1"/>
  <c r="O226" i="2" s="1"/>
  <c r="H226" i="2"/>
  <c r="G226" i="2"/>
  <c r="F226" i="2"/>
  <c r="N225" i="2"/>
  <c r="M225" i="2"/>
  <c r="L225" i="2"/>
  <c r="H225" i="2"/>
  <c r="O225" i="2" s="1"/>
  <c r="G225" i="2"/>
  <c r="F225" i="2"/>
  <c r="M224" i="2"/>
  <c r="N224" i="2" s="1"/>
  <c r="O224" i="2" s="1"/>
  <c r="L224" i="2"/>
  <c r="G224" i="2"/>
  <c r="F224" i="2"/>
  <c r="H224" i="2" s="1"/>
  <c r="M223" i="2"/>
  <c r="L223" i="2"/>
  <c r="G223" i="2"/>
  <c r="F223" i="2"/>
  <c r="H223" i="2" s="1"/>
  <c r="M222" i="2"/>
  <c r="L222" i="2"/>
  <c r="N222" i="2" s="1"/>
  <c r="H222" i="2"/>
  <c r="O222" i="2" s="1"/>
  <c r="G222" i="2"/>
  <c r="F222" i="2"/>
  <c r="N221" i="2"/>
  <c r="M221" i="2"/>
  <c r="L221" i="2"/>
  <c r="G221" i="2"/>
  <c r="H221" i="2" s="1"/>
  <c r="F221" i="2"/>
  <c r="M220" i="2"/>
  <c r="N220" i="2" s="1"/>
  <c r="L220" i="2"/>
  <c r="G220" i="2"/>
  <c r="F220" i="2"/>
  <c r="M219" i="2"/>
  <c r="L219" i="2"/>
  <c r="N219" i="2" s="1"/>
  <c r="O219" i="2" s="1"/>
  <c r="G219" i="2"/>
  <c r="F219" i="2"/>
  <c r="H219" i="2" s="1"/>
  <c r="M218" i="2"/>
  <c r="L218" i="2"/>
  <c r="N218" i="2" s="1"/>
  <c r="O218" i="2" s="1"/>
  <c r="H218" i="2"/>
  <c r="G218" i="2"/>
  <c r="F218" i="2"/>
  <c r="N217" i="2"/>
  <c r="M217" i="2"/>
  <c r="L217" i="2"/>
  <c r="H217" i="2"/>
  <c r="O217" i="2" s="1"/>
  <c r="G217" i="2"/>
  <c r="F217" i="2"/>
  <c r="M216" i="2"/>
  <c r="N216" i="2" s="1"/>
  <c r="O216" i="2" s="1"/>
  <c r="L216" i="2"/>
  <c r="G216" i="2"/>
  <c r="F216" i="2"/>
  <c r="H216" i="2" s="1"/>
  <c r="M215" i="2"/>
  <c r="L215" i="2"/>
  <c r="G215" i="2"/>
  <c r="F215" i="2"/>
  <c r="H215" i="2" s="1"/>
  <c r="M214" i="2"/>
  <c r="L214" i="2"/>
  <c r="N214" i="2" s="1"/>
  <c r="H214" i="2"/>
  <c r="O214" i="2" s="1"/>
  <c r="G214" i="2"/>
  <c r="F214" i="2"/>
  <c r="N213" i="2"/>
  <c r="M213" i="2"/>
  <c r="L213" i="2"/>
  <c r="G213" i="2"/>
  <c r="H213" i="2" s="1"/>
  <c r="F213" i="2"/>
  <c r="M212" i="2"/>
  <c r="N212" i="2" s="1"/>
  <c r="L212" i="2"/>
  <c r="G212" i="2"/>
  <c r="F212" i="2"/>
  <c r="M211" i="2"/>
  <c r="L211" i="2"/>
  <c r="N211" i="2" s="1"/>
  <c r="O211" i="2" s="1"/>
  <c r="G211" i="2"/>
  <c r="F211" i="2"/>
  <c r="H211" i="2" s="1"/>
  <c r="M210" i="2"/>
  <c r="L210" i="2"/>
  <c r="N210" i="2" s="1"/>
  <c r="O210" i="2" s="1"/>
  <c r="H210" i="2"/>
  <c r="G210" i="2"/>
  <c r="F210" i="2"/>
  <c r="N209" i="2"/>
  <c r="M209" i="2"/>
  <c r="L209" i="2"/>
  <c r="H209" i="2"/>
  <c r="O209" i="2" s="1"/>
  <c r="G209" i="2"/>
  <c r="F209" i="2"/>
  <c r="M208" i="2"/>
  <c r="N208" i="2" s="1"/>
  <c r="O208" i="2" s="1"/>
  <c r="L208" i="2"/>
  <c r="G208" i="2"/>
  <c r="F208" i="2"/>
  <c r="H208" i="2" s="1"/>
  <c r="M207" i="2"/>
  <c r="L207" i="2"/>
  <c r="G207" i="2"/>
  <c r="F207" i="2"/>
  <c r="H207" i="2" s="1"/>
  <c r="O206" i="2"/>
  <c r="M206" i="2"/>
  <c r="L206" i="2"/>
  <c r="N206" i="2" s="1"/>
  <c r="H206" i="2"/>
  <c r="G206" i="2"/>
  <c r="F206" i="2"/>
  <c r="N205" i="2"/>
  <c r="M205" i="2"/>
  <c r="L205" i="2"/>
  <c r="G205" i="2"/>
  <c r="H205" i="2" s="1"/>
  <c r="F205" i="2"/>
  <c r="M204" i="2"/>
  <c r="N204" i="2" s="1"/>
  <c r="L204" i="2"/>
  <c r="G204" i="2"/>
  <c r="F204" i="2"/>
  <c r="M203" i="2"/>
  <c r="L203" i="2"/>
  <c r="N203" i="2" s="1"/>
  <c r="O203" i="2" s="1"/>
  <c r="G203" i="2"/>
  <c r="F203" i="2"/>
  <c r="H203" i="2" s="1"/>
  <c r="M202" i="2"/>
  <c r="L202" i="2"/>
  <c r="N202" i="2" s="1"/>
  <c r="O202" i="2" s="1"/>
  <c r="H202" i="2"/>
  <c r="G202" i="2"/>
  <c r="F202" i="2"/>
  <c r="N201" i="2"/>
  <c r="M201" i="2"/>
  <c r="L201" i="2"/>
  <c r="H201" i="2"/>
  <c r="O201" i="2" s="1"/>
  <c r="G201" i="2"/>
  <c r="F201" i="2"/>
  <c r="M200" i="2"/>
  <c r="N200" i="2" s="1"/>
  <c r="O200" i="2" s="1"/>
  <c r="L200" i="2"/>
  <c r="G200" i="2"/>
  <c r="F200" i="2"/>
  <c r="H200" i="2" s="1"/>
  <c r="M199" i="2"/>
  <c r="L199" i="2"/>
  <c r="G199" i="2"/>
  <c r="F199" i="2"/>
  <c r="H199" i="2" s="1"/>
  <c r="O198" i="2"/>
  <c r="M198" i="2"/>
  <c r="L198" i="2"/>
  <c r="N198" i="2" s="1"/>
  <c r="H198" i="2"/>
  <c r="G198" i="2"/>
  <c r="F198" i="2"/>
  <c r="N197" i="2"/>
  <c r="M197" i="2"/>
  <c r="L197" i="2"/>
  <c r="G197" i="2"/>
  <c r="H197" i="2" s="1"/>
  <c r="F197" i="2"/>
  <c r="M196" i="2"/>
  <c r="N196" i="2" s="1"/>
  <c r="L196" i="2"/>
  <c r="G196" i="2"/>
  <c r="F196" i="2"/>
  <c r="M195" i="2"/>
  <c r="L195" i="2"/>
  <c r="N195" i="2" s="1"/>
  <c r="O195" i="2" s="1"/>
  <c r="G195" i="2"/>
  <c r="F195" i="2"/>
  <c r="H195" i="2" s="1"/>
  <c r="M194" i="2"/>
  <c r="L194" i="2"/>
  <c r="N194" i="2" s="1"/>
  <c r="O194" i="2" s="1"/>
  <c r="H194" i="2"/>
  <c r="G194" i="2"/>
  <c r="F194" i="2"/>
  <c r="N193" i="2"/>
  <c r="M193" i="2"/>
  <c r="L193" i="2"/>
  <c r="H193" i="2"/>
  <c r="O193" i="2" s="1"/>
  <c r="G193" i="2"/>
  <c r="F193" i="2"/>
  <c r="M192" i="2"/>
  <c r="N192" i="2" s="1"/>
  <c r="O192" i="2" s="1"/>
  <c r="L192" i="2"/>
  <c r="G192" i="2"/>
  <c r="F192" i="2"/>
  <c r="H192" i="2" s="1"/>
  <c r="M191" i="2"/>
  <c r="L191" i="2"/>
  <c r="G191" i="2"/>
  <c r="F191" i="2"/>
  <c r="H191" i="2" s="1"/>
  <c r="O190" i="2"/>
  <c r="M190" i="2"/>
  <c r="L190" i="2"/>
  <c r="N190" i="2" s="1"/>
  <c r="H190" i="2"/>
  <c r="G190" i="2"/>
  <c r="F190" i="2"/>
  <c r="N189" i="2"/>
  <c r="M189" i="2"/>
  <c r="L189" i="2"/>
  <c r="G189" i="2"/>
  <c r="H189" i="2" s="1"/>
  <c r="F189" i="2"/>
  <c r="M188" i="2"/>
  <c r="N188" i="2" s="1"/>
  <c r="L188" i="2"/>
  <c r="G188" i="2"/>
  <c r="F188" i="2"/>
  <c r="M187" i="2"/>
  <c r="L187" i="2"/>
  <c r="N187" i="2" s="1"/>
  <c r="O187" i="2" s="1"/>
  <c r="G187" i="2"/>
  <c r="F187" i="2"/>
  <c r="H187" i="2" s="1"/>
  <c r="M186" i="2"/>
  <c r="L186" i="2"/>
  <c r="N186" i="2" s="1"/>
  <c r="O186" i="2" s="1"/>
  <c r="H186" i="2"/>
  <c r="G186" i="2"/>
  <c r="F186" i="2"/>
  <c r="N185" i="2"/>
  <c r="M185" i="2"/>
  <c r="L185" i="2"/>
  <c r="H185" i="2"/>
  <c r="O185" i="2" s="1"/>
  <c r="G185" i="2"/>
  <c r="F185" i="2"/>
  <c r="M184" i="2"/>
  <c r="N184" i="2" s="1"/>
  <c r="O184" i="2" s="1"/>
  <c r="L184" i="2"/>
  <c r="G184" i="2"/>
  <c r="F184" i="2"/>
  <c r="H184" i="2" s="1"/>
  <c r="M183" i="2"/>
  <c r="L183" i="2"/>
  <c r="G183" i="2"/>
  <c r="F183" i="2"/>
  <c r="H183" i="2" s="1"/>
  <c r="O182" i="2"/>
  <c r="M182" i="2"/>
  <c r="L182" i="2"/>
  <c r="N182" i="2" s="1"/>
  <c r="H182" i="2"/>
  <c r="G182" i="2"/>
  <c r="F182" i="2"/>
  <c r="N181" i="2"/>
  <c r="M181" i="2"/>
  <c r="L181" i="2"/>
  <c r="G181" i="2"/>
  <c r="H181" i="2" s="1"/>
  <c r="F181" i="2"/>
  <c r="M180" i="2"/>
  <c r="N180" i="2" s="1"/>
  <c r="L180" i="2"/>
  <c r="G180" i="2"/>
  <c r="F180" i="2"/>
  <c r="M179" i="2"/>
  <c r="L179" i="2"/>
  <c r="N179" i="2" s="1"/>
  <c r="O179" i="2" s="1"/>
  <c r="G179" i="2"/>
  <c r="F179" i="2"/>
  <c r="H179" i="2" s="1"/>
  <c r="M178" i="2"/>
  <c r="L178" i="2"/>
  <c r="N178" i="2" s="1"/>
  <c r="O178" i="2" s="1"/>
  <c r="H178" i="2"/>
  <c r="G178" i="2"/>
  <c r="F178" i="2"/>
  <c r="N177" i="2"/>
  <c r="M177" i="2"/>
  <c r="L177" i="2"/>
  <c r="H177" i="2"/>
  <c r="O177" i="2" s="1"/>
  <c r="G177" i="2"/>
  <c r="F177" i="2"/>
  <c r="M176" i="2"/>
  <c r="N176" i="2" s="1"/>
  <c r="O176" i="2" s="1"/>
  <c r="L176" i="2"/>
  <c r="G176" i="2"/>
  <c r="F176" i="2"/>
  <c r="H176" i="2" s="1"/>
  <c r="M175" i="2"/>
  <c r="L175" i="2"/>
  <c r="G175" i="2"/>
  <c r="F175" i="2"/>
  <c r="H175" i="2" s="1"/>
  <c r="O174" i="2"/>
  <c r="M174" i="2"/>
  <c r="L174" i="2"/>
  <c r="N174" i="2" s="1"/>
  <c r="H174" i="2"/>
  <c r="G174" i="2"/>
  <c r="F174" i="2"/>
  <c r="N173" i="2"/>
  <c r="M173" i="2"/>
  <c r="L173" i="2"/>
  <c r="G173" i="2"/>
  <c r="H173" i="2" s="1"/>
  <c r="F173" i="2"/>
  <c r="M172" i="2"/>
  <c r="N172" i="2" s="1"/>
  <c r="L172" i="2"/>
  <c r="G172" i="2"/>
  <c r="F172" i="2"/>
  <c r="M171" i="2"/>
  <c r="L171" i="2"/>
  <c r="N171" i="2" s="1"/>
  <c r="O171" i="2" s="1"/>
  <c r="G171" i="2"/>
  <c r="F171" i="2"/>
  <c r="H171" i="2" s="1"/>
  <c r="M170" i="2"/>
  <c r="L170" i="2"/>
  <c r="N170" i="2" s="1"/>
  <c r="O170" i="2" s="1"/>
  <c r="H170" i="2"/>
  <c r="G170" i="2"/>
  <c r="F170" i="2"/>
  <c r="N169" i="2"/>
  <c r="M169" i="2"/>
  <c r="L169" i="2"/>
  <c r="H169" i="2"/>
  <c r="O169" i="2" s="1"/>
  <c r="G169" i="2"/>
  <c r="F169" i="2"/>
  <c r="M168" i="2"/>
  <c r="N168" i="2" s="1"/>
  <c r="O168" i="2" s="1"/>
  <c r="L168" i="2"/>
  <c r="G168" i="2"/>
  <c r="F168" i="2"/>
  <c r="H168" i="2" s="1"/>
  <c r="M167" i="2"/>
  <c r="L167" i="2"/>
  <c r="G167" i="2"/>
  <c r="F167" i="2"/>
  <c r="H167" i="2" s="1"/>
  <c r="M166" i="2"/>
  <c r="L166" i="2"/>
  <c r="N166" i="2" s="1"/>
  <c r="O166" i="2" s="1"/>
  <c r="G166" i="2"/>
  <c r="H166" i="2" s="1"/>
  <c r="F166" i="2"/>
  <c r="M165" i="2"/>
  <c r="N165" i="2" s="1"/>
  <c r="O165" i="2" s="1"/>
  <c r="L165" i="2"/>
  <c r="H165" i="2"/>
  <c r="G165" i="2"/>
  <c r="F165" i="2"/>
  <c r="M164" i="2"/>
  <c r="N164" i="2" s="1"/>
  <c r="O164" i="2" s="1"/>
  <c r="L164" i="2"/>
  <c r="G164" i="2"/>
  <c r="F164" i="2"/>
  <c r="H164" i="2" s="1"/>
  <c r="O163" i="2"/>
  <c r="M163" i="2"/>
  <c r="L163" i="2"/>
  <c r="N163" i="2" s="1"/>
  <c r="H163" i="2"/>
  <c r="G163" i="2"/>
  <c r="F163" i="2"/>
  <c r="N162" i="2"/>
  <c r="O162" i="2" s="1"/>
  <c r="M162" i="2"/>
  <c r="L162" i="2"/>
  <c r="G162" i="2"/>
  <c r="H162" i="2" s="1"/>
  <c r="F162" i="2"/>
  <c r="M161" i="2"/>
  <c r="N161" i="2" s="1"/>
  <c r="L161" i="2"/>
  <c r="G161" i="2"/>
  <c r="F161" i="2"/>
  <c r="H161" i="2" s="1"/>
  <c r="N160" i="2"/>
  <c r="M160" i="2"/>
  <c r="L160" i="2"/>
  <c r="G160" i="2"/>
  <c r="F160" i="2"/>
  <c r="M159" i="2"/>
  <c r="L159" i="2"/>
  <c r="N159" i="2" s="1"/>
  <c r="H159" i="2"/>
  <c r="G159" i="2"/>
  <c r="F159" i="2"/>
  <c r="N158" i="2"/>
  <c r="O158" i="2" s="1"/>
  <c r="M158" i="2"/>
  <c r="L158" i="2"/>
  <c r="G158" i="2"/>
  <c r="H158" i="2" s="1"/>
  <c r="F158" i="2"/>
  <c r="M157" i="2"/>
  <c r="N157" i="2" s="1"/>
  <c r="O157" i="2" s="1"/>
  <c r="L157" i="2"/>
  <c r="G157" i="2"/>
  <c r="F157" i="2"/>
  <c r="H157" i="2" s="1"/>
  <c r="M156" i="2"/>
  <c r="L156" i="2"/>
  <c r="N156" i="2" s="1"/>
  <c r="G156" i="2"/>
  <c r="F156" i="2"/>
  <c r="M155" i="2"/>
  <c r="L155" i="2"/>
  <c r="N155" i="2" s="1"/>
  <c r="O155" i="2" s="1"/>
  <c r="G155" i="2"/>
  <c r="F155" i="2"/>
  <c r="H155" i="2" s="1"/>
  <c r="O154" i="2"/>
  <c r="M154" i="2"/>
  <c r="L154" i="2"/>
  <c r="N154" i="2" s="1"/>
  <c r="H154" i="2"/>
  <c r="G154" i="2"/>
  <c r="F154" i="2"/>
  <c r="N153" i="2"/>
  <c r="M153" i="2"/>
  <c r="L153" i="2"/>
  <c r="G153" i="2"/>
  <c r="H153" i="2" s="1"/>
  <c r="F153" i="2"/>
  <c r="M152" i="2"/>
  <c r="L152" i="2"/>
  <c r="G152" i="2"/>
  <c r="F152" i="2"/>
  <c r="H152" i="2" s="1"/>
  <c r="M151" i="2"/>
  <c r="L151" i="2"/>
  <c r="G151" i="2"/>
  <c r="F151" i="2"/>
  <c r="H151" i="2" s="1"/>
  <c r="M150" i="2"/>
  <c r="L150" i="2"/>
  <c r="N150" i="2" s="1"/>
  <c r="G150" i="2"/>
  <c r="H150" i="2" s="1"/>
  <c r="F150" i="2"/>
  <c r="M149" i="2"/>
  <c r="N149" i="2" s="1"/>
  <c r="O149" i="2" s="1"/>
  <c r="L149" i="2"/>
  <c r="H149" i="2"/>
  <c r="G149" i="2"/>
  <c r="F149" i="2"/>
  <c r="M148" i="2"/>
  <c r="N148" i="2" s="1"/>
  <c r="O148" i="2" s="1"/>
  <c r="L148" i="2"/>
  <c r="G148" i="2"/>
  <c r="F148" i="2"/>
  <c r="H148" i="2" s="1"/>
  <c r="O147" i="2"/>
  <c r="M147" i="2"/>
  <c r="L147" i="2"/>
  <c r="N147" i="2" s="1"/>
  <c r="H147" i="2"/>
  <c r="G147" i="2"/>
  <c r="F147" i="2"/>
  <c r="N146" i="2"/>
  <c r="O146" i="2" s="1"/>
  <c r="M146" i="2"/>
  <c r="L146" i="2"/>
  <c r="G146" i="2"/>
  <c r="H146" i="2" s="1"/>
  <c r="F146" i="2"/>
  <c r="M145" i="2"/>
  <c r="N145" i="2" s="1"/>
  <c r="O145" i="2" s="1"/>
  <c r="L145" i="2"/>
  <c r="G145" i="2"/>
  <c r="F145" i="2"/>
  <c r="H145" i="2" s="1"/>
  <c r="N144" i="2"/>
  <c r="M144" i="2"/>
  <c r="L144" i="2"/>
  <c r="G144" i="2"/>
  <c r="F144" i="2"/>
  <c r="H144" i="2" s="1"/>
  <c r="M143" i="2"/>
  <c r="L143" i="2"/>
  <c r="N143" i="2" s="1"/>
  <c r="H143" i="2"/>
  <c r="G143" i="2"/>
  <c r="F143" i="2"/>
  <c r="N142" i="2"/>
  <c r="M142" i="2"/>
  <c r="L142" i="2"/>
  <c r="G142" i="2"/>
  <c r="H142" i="2" s="1"/>
  <c r="F142" i="2"/>
  <c r="N141" i="2"/>
  <c r="M141" i="2"/>
  <c r="L141" i="2"/>
  <c r="G141" i="2"/>
  <c r="F141" i="2"/>
  <c r="H141" i="2" s="1"/>
  <c r="M140" i="2"/>
  <c r="L140" i="2"/>
  <c r="N140" i="2" s="1"/>
  <c r="G140" i="2"/>
  <c r="F140" i="2"/>
  <c r="M139" i="2"/>
  <c r="L139" i="2"/>
  <c r="N139" i="2" s="1"/>
  <c r="G139" i="2"/>
  <c r="F139" i="2"/>
  <c r="H139" i="2" s="1"/>
  <c r="M138" i="2"/>
  <c r="L138" i="2"/>
  <c r="N138" i="2" s="1"/>
  <c r="O138" i="2" s="1"/>
  <c r="H138" i="2"/>
  <c r="G138" i="2"/>
  <c r="F138" i="2"/>
  <c r="N137" i="2"/>
  <c r="M137" i="2"/>
  <c r="L137" i="2"/>
  <c r="G137" i="2"/>
  <c r="H137" i="2" s="1"/>
  <c r="F137" i="2"/>
  <c r="M136" i="2"/>
  <c r="L136" i="2"/>
  <c r="N136" i="2" s="1"/>
  <c r="O136" i="2" s="1"/>
  <c r="G136" i="2"/>
  <c r="F136" i="2"/>
  <c r="H136" i="2" s="1"/>
  <c r="N135" i="2"/>
  <c r="M135" i="2"/>
  <c r="L135" i="2"/>
  <c r="G135" i="2"/>
  <c r="H135" i="2" s="1"/>
  <c r="F135" i="2"/>
  <c r="M134" i="2"/>
  <c r="N134" i="2" s="1"/>
  <c r="L134" i="2"/>
  <c r="G134" i="2"/>
  <c r="F134" i="2"/>
  <c r="M133" i="2"/>
  <c r="L133" i="2"/>
  <c r="N133" i="2" s="1"/>
  <c r="O133" i="2" s="1"/>
  <c r="G133" i="2"/>
  <c r="F133" i="2"/>
  <c r="H133" i="2" s="1"/>
  <c r="M132" i="2"/>
  <c r="L132" i="2"/>
  <c r="N132" i="2" s="1"/>
  <c r="O132" i="2" s="1"/>
  <c r="H132" i="2"/>
  <c r="G132" i="2"/>
  <c r="F132" i="2"/>
  <c r="N131" i="2"/>
  <c r="M131" i="2"/>
  <c r="L131" i="2"/>
  <c r="H131" i="2"/>
  <c r="O131" i="2" s="1"/>
  <c r="G131" i="2"/>
  <c r="F131" i="2"/>
  <c r="M130" i="2"/>
  <c r="N130" i="2" s="1"/>
  <c r="O130" i="2" s="1"/>
  <c r="L130" i="2"/>
  <c r="G130" i="2"/>
  <c r="F130" i="2"/>
  <c r="H130" i="2" s="1"/>
  <c r="M129" i="2"/>
  <c r="L129" i="2"/>
  <c r="G129" i="2"/>
  <c r="F129" i="2"/>
  <c r="H129" i="2" s="1"/>
  <c r="O128" i="2"/>
  <c r="M128" i="2"/>
  <c r="L128" i="2"/>
  <c r="N128" i="2" s="1"/>
  <c r="H128" i="2"/>
  <c r="G128" i="2"/>
  <c r="F128" i="2"/>
  <c r="N127" i="2"/>
  <c r="M127" i="2"/>
  <c r="L127" i="2"/>
  <c r="G127" i="2"/>
  <c r="H127" i="2" s="1"/>
  <c r="F127" i="2"/>
  <c r="M126" i="2"/>
  <c r="N126" i="2" s="1"/>
  <c r="L126" i="2"/>
  <c r="G126" i="2"/>
  <c r="F126" i="2"/>
  <c r="M125" i="2"/>
  <c r="L125" i="2"/>
  <c r="N125" i="2" s="1"/>
  <c r="O125" i="2" s="1"/>
  <c r="G125" i="2"/>
  <c r="F125" i="2"/>
  <c r="H125" i="2" s="1"/>
  <c r="M124" i="2"/>
  <c r="L124" i="2"/>
  <c r="N124" i="2" s="1"/>
  <c r="O124" i="2" s="1"/>
  <c r="H124" i="2"/>
  <c r="G124" i="2"/>
  <c r="F124" i="2"/>
  <c r="N123" i="2"/>
  <c r="M123" i="2"/>
  <c r="L123" i="2"/>
  <c r="H123" i="2"/>
  <c r="O123" i="2" s="1"/>
  <c r="G123" i="2"/>
  <c r="F123" i="2"/>
  <c r="M122" i="2"/>
  <c r="N122" i="2" s="1"/>
  <c r="O122" i="2" s="1"/>
  <c r="L122" i="2"/>
  <c r="G122" i="2"/>
  <c r="F122" i="2"/>
  <c r="H122" i="2" s="1"/>
  <c r="M121" i="2"/>
  <c r="L121" i="2"/>
  <c r="G121" i="2"/>
  <c r="F121" i="2"/>
  <c r="H121" i="2" s="1"/>
  <c r="O120" i="2"/>
  <c r="M120" i="2"/>
  <c r="L120" i="2"/>
  <c r="N120" i="2" s="1"/>
  <c r="H120" i="2"/>
  <c r="G120" i="2"/>
  <c r="F120" i="2"/>
  <c r="N119" i="2"/>
  <c r="O119" i="2" s="1"/>
  <c r="M119" i="2"/>
  <c r="L119" i="2"/>
  <c r="G119" i="2"/>
  <c r="H119" i="2" s="1"/>
  <c r="F119" i="2"/>
  <c r="M118" i="2"/>
  <c r="N118" i="2" s="1"/>
  <c r="L118" i="2"/>
  <c r="G118" i="2"/>
  <c r="F118" i="2"/>
  <c r="M117" i="2"/>
  <c r="L117" i="2"/>
  <c r="N117" i="2" s="1"/>
  <c r="O117" i="2" s="1"/>
  <c r="G117" i="2"/>
  <c r="F117" i="2"/>
  <c r="H117" i="2" s="1"/>
  <c r="M116" i="2"/>
  <c r="L116" i="2"/>
  <c r="N116" i="2" s="1"/>
  <c r="O116" i="2" s="1"/>
  <c r="H116" i="2"/>
  <c r="G116" i="2"/>
  <c r="F116" i="2"/>
  <c r="N115" i="2"/>
  <c r="M115" i="2"/>
  <c r="L115" i="2"/>
  <c r="H115" i="2"/>
  <c r="O115" i="2" s="1"/>
  <c r="G115" i="2"/>
  <c r="F115" i="2"/>
  <c r="M114" i="2"/>
  <c r="N114" i="2" s="1"/>
  <c r="O114" i="2" s="1"/>
  <c r="L114" i="2"/>
  <c r="G114" i="2"/>
  <c r="F114" i="2"/>
  <c r="H114" i="2" s="1"/>
  <c r="M113" i="2"/>
  <c r="L113" i="2"/>
  <c r="G113" i="2"/>
  <c r="F113" i="2"/>
  <c r="H113" i="2" s="1"/>
  <c r="O112" i="2"/>
  <c r="M112" i="2"/>
  <c r="L112" i="2"/>
  <c r="N112" i="2" s="1"/>
  <c r="H112" i="2"/>
  <c r="G112" i="2"/>
  <c r="F112" i="2"/>
  <c r="N111" i="2"/>
  <c r="O111" i="2" s="1"/>
  <c r="M111" i="2"/>
  <c r="L111" i="2"/>
  <c r="G111" i="2"/>
  <c r="H111" i="2" s="1"/>
  <c r="F111" i="2"/>
  <c r="M110" i="2"/>
  <c r="N110" i="2" s="1"/>
  <c r="L110" i="2"/>
  <c r="G110" i="2"/>
  <c r="F110" i="2"/>
  <c r="M109" i="2"/>
  <c r="L109" i="2"/>
  <c r="N109" i="2" s="1"/>
  <c r="O109" i="2" s="1"/>
  <c r="G109" i="2"/>
  <c r="F109" i="2"/>
  <c r="H109" i="2" s="1"/>
  <c r="M108" i="2"/>
  <c r="L108" i="2"/>
  <c r="N108" i="2" s="1"/>
  <c r="O108" i="2" s="1"/>
  <c r="H108" i="2"/>
  <c r="G108" i="2"/>
  <c r="F108" i="2"/>
  <c r="N107" i="2"/>
  <c r="M107" i="2"/>
  <c r="L107" i="2"/>
  <c r="H107" i="2"/>
  <c r="O107" i="2" s="1"/>
  <c r="G107" i="2"/>
  <c r="F107" i="2"/>
  <c r="M106" i="2"/>
  <c r="N106" i="2" s="1"/>
  <c r="O106" i="2" s="1"/>
  <c r="L106" i="2"/>
  <c r="G106" i="2"/>
  <c r="F106" i="2"/>
  <c r="H106" i="2" s="1"/>
  <c r="M105" i="2"/>
  <c r="L105" i="2"/>
  <c r="G105" i="2"/>
  <c r="F105" i="2"/>
  <c r="H105" i="2" s="1"/>
  <c r="O104" i="2"/>
  <c r="M104" i="2"/>
  <c r="L104" i="2"/>
  <c r="N104" i="2" s="1"/>
  <c r="H104" i="2"/>
  <c r="G104" i="2"/>
  <c r="F104" i="2"/>
  <c r="N103" i="2"/>
  <c r="M103" i="2"/>
  <c r="L103" i="2"/>
  <c r="G103" i="2"/>
  <c r="H103" i="2" s="1"/>
  <c r="F103" i="2"/>
  <c r="M102" i="2"/>
  <c r="N102" i="2" s="1"/>
  <c r="L102" i="2"/>
  <c r="G102" i="2"/>
  <c r="F102" i="2"/>
  <c r="M101" i="2"/>
  <c r="L101" i="2"/>
  <c r="N101" i="2" s="1"/>
  <c r="O101" i="2" s="1"/>
  <c r="G101" i="2"/>
  <c r="F101" i="2"/>
  <c r="H101" i="2" s="1"/>
  <c r="M100" i="2"/>
  <c r="L100" i="2"/>
  <c r="N100" i="2" s="1"/>
  <c r="O100" i="2" s="1"/>
  <c r="H100" i="2"/>
  <c r="G100" i="2"/>
  <c r="F100" i="2"/>
  <c r="N99" i="2"/>
  <c r="M99" i="2"/>
  <c r="L99" i="2"/>
  <c r="H99" i="2"/>
  <c r="O99" i="2" s="1"/>
  <c r="G99" i="2"/>
  <c r="F99" i="2"/>
  <c r="M98" i="2"/>
  <c r="N98" i="2" s="1"/>
  <c r="O98" i="2" s="1"/>
  <c r="L98" i="2"/>
  <c r="G98" i="2"/>
  <c r="F98" i="2"/>
  <c r="H98" i="2" s="1"/>
  <c r="M97" i="2"/>
  <c r="L97" i="2"/>
  <c r="G97" i="2"/>
  <c r="F97" i="2"/>
  <c r="H97" i="2" s="1"/>
  <c r="O96" i="2"/>
  <c r="M96" i="2"/>
  <c r="L96" i="2"/>
  <c r="N96" i="2" s="1"/>
  <c r="H96" i="2"/>
  <c r="G96" i="2"/>
  <c r="F96" i="2"/>
  <c r="N95" i="2"/>
  <c r="M95" i="2"/>
  <c r="L95" i="2"/>
  <c r="G95" i="2"/>
  <c r="H95" i="2" s="1"/>
  <c r="F95" i="2"/>
  <c r="M94" i="2"/>
  <c r="N94" i="2" s="1"/>
  <c r="L94" i="2"/>
  <c r="G94" i="2"/>
  <c r="F94" i="2"/>
  <c r="M93" i="2"/>
  <c r="L93" i="2"/>
  <c r="N93" i="2" s="1"/>
  <c r="O93" i="2" s="1"/>
  <c r="G93" i="2"/>
  <c r="F93" i="2"/>
  <c r="H93" i="2" s="1"/>
  <c r="M92" i="2"/>
  <c r="L92" i="2"/>
  <c r="N92" i="2" s="1"/>
  <c r="O92" i="2" s="1"/>
  <c r="H92" i="2"/>
  <c r="G92" i="2"/>
  <c r="F92" i="2"/>
  <c r="N91" i="2"/>
  <c r="M91" i="2"/>
  <c r="L91" i="2"/>
  <c r="H91" i="2"/>
  <c r="O91" i="2" s="1"/>
  <c r="G91" i="2"/>
  <c r="F91" i="2"/>
  <c r="M90" i="2"/>
  <c r="N90" i="2" s="1"/>
  <c r="O90" i="2" s="1"/>
  <c r="L90" i="2"/>
  <c r="G90" i="2"/>
  <c r="F90" i="2"/>
  <c r="H90" i="2" s="1"/>
  <c r="M89" i="2"/>
  <c r="L89" i="2"/>
  <c r="G89" i="2"/>
  <c r="F89" i="2"/>
  <c r="H89" i="2" s="1"/>
  <c r="O88" i="2"/>
  <c r="M88" i="2"/>
  <c r="L88" i="2"/>
  <c r="N88" i="2" s="1"/>
  <c r="H88" i="2"/>
  <c r="G88" i="2"/>
  <c r="F88" i="2"/>
  <c r="N87" i="2"/>
  <c r="O87" i="2" s="1"/>
  <c r="M87" i="2"/>
  <c r="L87" i="2"/>
  <c r="G87" i="2"/>
  <c r="H87" i="2" s="1"/>
  <c r="F87" i="2"/>
  <c r="M86" i="2"/>
  <c r="N86" i="2" s="1"/>
  <c r="L86" i="2"/>
  <c r="G86" i="2"/>
  <c r="F86" i="2"/>
  <c r="M85" i="2"/>
  <c r="L85" i="2"/>
  <c r="N85" i="2" s="1"/>
  <c r="O85" i="2" s="1"/>
  <c r="G85" i="2"/>
  <c r="F85" i="2"/>
  <c r="H85" i="2" s="1"/>
  <c r="M84" i="2"/>
  <c r="L84" i="2"/>
  <c r="N84" i="2" s="1"/>
  <c r="O84" i="2" s="1"/>
  <c r="H84" i="2"/>
  <c r="G84" i="2"/>
  <c r="F84" i="2"/>
  <c r="N83" i="2"/>
  <c r="M83" i="2"/>
  <c r="L83" i="2"/>
  <c r="H83" i="2"/>
  <c r="O83" i="2" s="1"/>
  <c r="G83" i="2"/>
  <c r="F83" i="2"/>
  <c r="M82" i="2"/>
  <c r="N82" i="2" s="1"/>
  <c r="O82" i="2" s="1"/>
  <c r="L82" i="2"/>
  <c r="G82" i="2"/>
  <c r="F82" i="2"/>
  <c r="H82" i="2" s="1"/>
  <c r="M81" i="2"/>
  <c r="L81" i="2"/>
  <c r="G81" i="2"/>
  <c r="F81" i="2"/>
  <c r="H81" i="2" s="1"/>
  <c r="O80" i="2"/>
  <c r="M80" i="2"/>
  <c r="L80" i="2"/>
  <c r="N80" i="2" s="1"/>
  <c r="H80" i="2"/>
  <c r="G80" i="2"/>
  <c r="F80" i="2"/>
  <c r="N79" i="2"/>
  <c r="O79" i="2" s="1"/>
  <c r="M79" i="2"/>
  <c r="L79" i="2"/>
  <c r="G79" i="2"/>
  <c r="H79" i="2" s="1"/>
  <c r="F79" i="2"/>
  <c r="M78" i="2"/>
  <c r="N78" i="2" s="1"/>
  <c r="L78" i="2"/>
  <c r="G78" i="2"/>
  <c r="F78" i="2"/>
  <c r="M77" i="2"/>
  <c r="L77" i="2"/>
  <c r="N77" i="2" s="1"/>
  <c r="O77" i="2" s="1"/>
  <c r="G77" i="2"/>
  <c r="F77" i="2"/>
  <c r="H77" i="2" s="1"/>
  <c r="M76" i="2"/>
  <c r="L76" i="2"/>
  <c r="N76" i="2" s="1"/>
  <c r="O76" i="2" s="1"/>
  <c r="H76" i="2"/>
  <c r="G76" i="2"/>
  <c r="F76" i="2"/>
  <c r="N75" i="2"/>
  <c r="M75" i="2"/>
  <c r="L75" i="2"/>
  <c r="H75" i="2"/>
  <c r="O75" i="2" s="1"/>
  <c r="G75" i="2"/>
  <c r="F75" i="2"/>
  <c r="M74" i="2"/>
  <c r="N74" i="2" s="1"/>
  <c r="O74" i="2" s="1"/>
  <c r="L74" i="2"/>
  <c r="G74" i="2"/>
  <c r="F74" i="2"/>
  <c r="H74" i="2" s="1"/>
  <c r="M73" i="2"/>
  <c r="L73" i="2"/>
  <c r="G73" i="2"/>
  <c r="F73" i="2"/>
  <c r="H73" i="2" s="1"/>
  <c r="O72" i="2"/>
  <c r="M72" i="2"/>
  <c r="L72" i="2"/>
  <c r="N72" i="2" s="1"/>
  <c r="H72" i="2"/>
  <c r="G72" i="2"/>
  <c r="F72" i="2"/>
  <c r="N71" i="2"/>
  <c r="M71" i="2"/>
  <c r="L71" i="2"/>
  <c r="G71" i="2"/>
  <c r="H71" i="2" s="1"/>
  <c r="F71" i="2"/>
  <c r="M70" i="2"/>
  <c r="N70" i="2" s="1"/>
  <c r="L70" i="2"/>
  <c r="G70" i="2"/>
  <c r="F70" i="2"/>
  <c r="M69" i="2"/>
  <c r="L69" i="2"/>
  <c r="N69" i="2" s="1"/>
  <c r="O69" i="2" s="1"/>
  <c r="G69" i="2"/>
  <c r="F69" i="2"/>
  <c r="H69" i="2" s="1"/>
  <c r="M68" i="2"/>
  <c r="L68" i="2"/>
  <c r="N68" i="2" s="1"/>
  <c r="O68" i="2" s="1"/>
  <c r="H68" i="2"/>
  <c r="G68" i="2"/>
  <c r="F68" i="2"/>
  <c r="N67" i="2"/>
  <c r="M67" i="2"/>
  <c r="L67" i="2"/>
  <c r="H67" i="2"/>
  <c r="O67" i="2" s="1"/>
  <c r="G67" i="2"/>
  <c r="F67" i="2"/>
  <c r="M66" i="2"/>
  <c r="N66" i="2" s="1"/>
  <c r="O66" i="2" s="1"/>
  <c r="L66" i="2"/>
  <c r="G66" i="2"/>
  <c r="F66" i="2"/>
  <c r="H66" i="2" s="1"/>
  <c r="M65" i="2"/>
  <c r="L65" i="2"/>
  <c r="G65" i="2"/>
  <c r="F65" i="2"/>
  <c r="H65" i="2" s="1"/>
  <c r="O64" i="2"/>
  <c r="M64" i="2"/>
  <c r="L64" i="2"/>
  <c r="N64" i="2" s="1"/>
  <c r="H64" i="2"/>
  <c r="G64" i="2"/>
  <c r="F64" i="2"/>
  <c r="N63" i="2"/>
  <c r="M63" i="2"/>
  <c r="L63" i="2"/>
  <c r="G63" i="2"/>
  <c r="H63" i="2" s="1"/>
  <c r="F63" i="2"/>
  <c r="M62" i="2"/>
  <c r="N62" i="2" s="1"/>
  <c r="L62" i="2"/>
  <c r="G62" i="2"/>
  <c r="F62" i="2"/>
  <c r="M61" i="2"/>
  <c r="L61" i="2"/>
  <c r="N61" i="2" s="1"/>
  <c r="O61" i="2" s="1"/>
  <c r="G61" i="2"/>
  <c r="F61" i="2"/>
  <c r="H61" i="2" s="1"/>
  <c r="M60" i="2"/>
  <c r="L60" i="2"/>
  <c r="N60" i="2" s="1"/>
  <c r="O60" i="2" s="1"/>
  <c r="H60" i="2"/>
  <c r="G60" i="2"/>
  <c r="F60" i="2"/>
  <c r="N59" i="2"/>
  <c r="M59" i="2"/>
  <c r="L59" i="2"/>
  <c r="H59" i="2"/>
  <c r="O59" i="2" s="1"/>
  <c r="G59" i="2"/>
  <c r="F59" i="2"/>
  <c r="M58" i="2"/>
  <c r="N58" i="2" s="1"/>
  <c r="O58" i="2" s="1"/>
  <c r="L58" i="2"/>
  <c r="G58" i="2"/>
  <c r="F58" i="2"/>
  <c r="H58" i="2" s="1"/>
  <c r="M57" i="2"/>
  <c r="L57" i="2"/>
  <c r="G57" i="2"/>
  <c r="F57" i="2"/>
  <c r="H57" i="2" s="1"/>
  <c r="O56" i="2"/>
  <c r="M56" i="2"/>
  <c r="L56" i="2"/>
  <c r="N56" i="2" s="1"/>
  <c r="H56" i="2"/>
  <c r="G56" i="2"/>
  <c r="F56" i="2"/>
  <c r="N55" i="2"/>
  <c r="O55" i="2" s="1"/>
  <c r="M55" i="2"/>
  <c r="L55" i="2"/>
  <c r="G55" i="2"/>
  <c r="H55" i="2" s="1"/>
  <c r="F55" i="2"/>
  <c r="M54" i="2"/>
  <c r="N54" i="2" s="1"/>
  <c r="L54" i="2"/>
  <c r="G54" i="2"/>
  <c r="F54" i="2"/>
  <c r="M53" i="2"/>
  <c r="L53" i="2"/>
  <c r="N53" i="2" s="1"/>
  <c r="O53" i="2" s="1"/>
  <c r="G53" i="2"/>
  <c r="F53" i="2"/>
  <c r="H53" i="2" s="1"/>
  <c r="M52" i="2"/>
  <c r="L52" i="2"/>
  <c r="N52" i="2" s="1"/>
  <c r="O52" i="2" s="1"/>
  <c r="H52" i="2"/>
  <c r="G52" i="2"/>
  <c r="F52" i="2"/>
  <c r="N51" i="2"/>
  <c r="M51" i="2"/>
  <c r="L51" i="2"/>
  <c r="H51" i="2"/>
  <c r="O51" i="2" s="1"/>
  <c r="G51" i="2"/>
  <c r="F51" i="2"/>
  <c r="M50" i="2"/>
  <c r="N50" i="2" s="1"/>
  <c r="O50" i="2" s="1"/>
  <c r="L50" i="2"/>
  <c r="G50" i="2"/>
  <c r="F50" i="2"/>
  <c r="H50" i="2" s="1"/>
  <c r="M49" i="2"/>
  <c r="L49" i="2"/>
  <c r="G49" i="2"/>
  <c r="F49" i="2"/>
  <c r="H49" i="2" s="1"/>
  <c r="O48" i="2"/>
  <c r="M48" i="2"/>
  <c r="L48" i="2"/>
  <c r="N48" i="2" s="1"/>
  <c r="H48" i="2"/>
  <c r="G48" i="2"/>
  <c r="F48" i="2"/>
  <c r="N47" i="2"/>
  <c r="O47" i="2" s="1"/>
  <c r="M47" i="2"/>
  <c r="L47" i="2"/>
  <c r="G47" i="2"/>
  <c r="H47" i="2" s="1"/>
  <c r="F47" i="2"/>
  <c r="M46" i="2"/>
  <c r="N46" i="2" s="1"/>
  <c r="L46" i="2"/>
  <c r="G46" i="2"/>
  <c r="F46" i="2"/>
  <c r="M45" i="2"/>
  <c r="L45" i="2"/>
  <c r="N45" i="2" s="1"/>
  <c r="O45" i="2" s="1"/>
  <c r="G45" i="2"/>
  <c r="F45" i="2"/>
  <c r="H45" i="2" s="1"/>
  <c r="M44" i="2"/>
  <c r="L44" i="2"/>
  <c r="N44" i="2" s="1"/>
  <c r="O44" i="2" s="1"/>
  <c r="H44" i="2"/>
  <c r="G44" i="2"/>
  <c r="F44" i="2"/>
  <c r="N43" i="2"/>
  <c r="M43" i="2"/>
  <c r="L43" i="2"/>
  <c r="H43" i="2"/>
  <c r="O43" i="2" s="1"/>
  <c r="G43" i="2"/>
  <c r="F43" i="2"/>
  <c r="M42" i="2"/>
  <c r="N42" i="2" s="1"/>
  <c r="O42" i="2" s="1"/>
  <c r="L42" i="2"/>
  <c r="G42" i="2"/>
  <c r="F42" i="2"/>
  <c r="H42" i="2" s="1"/>
  <c r="M41" i="2"/>
  <c r="L41" i="2"/>
  <c r="G41" i="2"/>
  <c r="F41" i="2"/>
  <c r="H41" i="2" s="1"/>
  <c r="O40" i="2"/>
  <c r="M40" i="2"/>
  <c r="L40" i="2"/>
  <c r="N40" i="2" s="1"/>
  <c r="H40" i="2"/>
  <c r="G40" i="2"/>
  <c r="F40" i="2"/>
  <c r="N39" i="2"/>
  <c r="M39" i="2"/>
  <c r="L39" i="2"/>
  <c r="G39" i="2"/>
  <c r="H39" i="2" s="1"/>
  <c r="F39" i="2"/>
  <c r="M38" i="2"/>
  <c r="N38" i="2" s="1"/>
  <c r="L38" i="2"/>
  <c r="G38" i="2"/>
  <c r="F38" i="2"/>
  <c r="M37" i="2"/>
  <c r="L37" i="2"/>
  <c r="N37" i="2" s="1"/>
  <c r="O37" i="2" s="1"/>
  <c r="G37" i="2"/>
  <c r="F37" i="2"/>
  <c r="H37" i="2" s="1"/>
  <c r="M36" i="2"/>
  <c r="L36" i="2"/>
  <c r="N36" i="2" s="1"/>
  <c r="O36" i="2" s="1"/>
  <c r="G36" i="2"/>
  <c r="F36" i="2"/>
  <c r="H36" i="2" s="1"/>
  <c r="O35" i="2"/>
  <c r="M35" i="2"/>
  <c r="L35" i="2"/>
  <c r="N35" i="2" s="1"/>
  <c r="H35" i="2"/>
  <c r="G35" i="2"/>
  <c r="F35" i="2"/>
  <c r="N34" i="2"/>
  <c r="M34" i="2"/>
  <c r="L34" i="2"/>
  <c r="G34" i="2"/>
  <c r="H34" i="2" s="1"/>
  <c r="F34" i="2"/>
  <c r="M33" i="2"/>
  <c r="L33" i="2"/>
  <c r="N33" i="2" s="1"/>
  <c r="O33" i="2" s="1"/>
  <c r="G33" i="2"/>
  <c r="F33" i="2"/>
  <c r="H33" i="2" s="1"/>
  <c r="M32" i="2"/>
  <c r="L32" i="2"/>
  <c r="G32" i="2"/>
  <c r="F32" i="2"/>
  <c r="H32" i="2" s="1"/>
  <c r="M31" i="2"/>
  <c r="L31" i="2"/>
  <c r="N31" i="2" s="1"/>
  <c r="G31" i="2"/>
  <c r="H31" i="2" s="1"/>
  <c r="F31" i="2"/>
  <c r="M30" i="2"/>
  <c r="N30" i="2" s="1"/>
  <c r="O30" i="2" s="1"/>
  <c r="L30" i="2"/>
  <c r="H30" i="2"/>
  <c r="G30" i="2"/>
  <c r="F30" i="2"/>
  <c r="M29" i="2"/>
  <c r="N29" i="2" s="1"/>
  <c r="O29" i="2" s="1"/>
  <c r="L29" i="2"/>
  <c r="G29" i="2"/>
  <c r="F29" i="2"/>
  <c r="H29" i="2" s="1"/>
  <c r="O28" i="2"/>
  <c r="M28" i="2"/>
  <c r="L28" i="2"/>
  <c r="N28" i="2" s="1"/>
  <c r="H28" i="2"/>
  <c r="G28" i="2"/>
  <c r="F28" i="2"/>
  <c r="N27" i="2"/>
  <c r="M27" i="2"/>
  <c r="L27" i="2"/>
  <c r="G27" i="2"/>
  <c r="H27" i="2" s="1"/>
  <c r="F27" i="2"/>
  <c r="M26" i="2"/>
  <c r="N26" i="2" s="1"/>
  <c r="O26" i="2" s="1"/>
  <c r="L26" i="2"/>
  <c r="G26" i="2"/>
  <c r="F26" i="2"/>
  <c r="H26" i="2" s="1"/>
  <c r="N25" i="2"/>
  <c r="M25" i="2"/>
  <c r="L25" i="2"/>
  <c r="G25" i="2"/>
  <c r="F25" i="2"/>
  <c r="H25" i="2" s="1"/>
  <c r="M24" i="2"/>
  <c r="L24" i="2"/>
  <c r="N24" i="2" s="1"/>
  <c r="O24" i="2" s="1"/>
  <c r="H24" i="2"/>
  <c r="G24" i="2"/>
  <c r="F24" i="2"/>
  <c r="N23" i="2"/>
  <c r="M23" i="2"/>
  <c r="L23" i="2"/>
  <c r="G23" i="2"/>
  <c r="H23" i="2" s="1"/>
  <c r="F23" i="2"/>
  <c r="M22" i="2"/>
  <c r="N22" i="2" s="1"/>
  <c r="L22" i="2"/>
  <c r="G22" i="2"/>
  <c r="F22" i="2"/>
  <c r="H22" i="2" s="1"/>
  <c r="M21" i="2"/>
  <c r="L21" i="2"/>
  <c r="N21" i="2" s="1"/>
  <c r="G21" i="2"/>
  <c r="F21" i="2"/>
  <c r="M20" i="2"/>
  <c r="L20" i="2"/>
  <c r="N20" i="2" s="1"/>
  <c r="O20" i="2" s="1"/>
  <c r="G20" i="2"/>
  <c r="F20" i="2"/>
  <c r="H20" i="2" s="1"/>
  <c r="M19" i="2"/>
  <c r="L19" i="2"/>
  <c r="N19" i="2" s="1"/>
  <c r="O19" i="2" s="1"/>
  <c r="H19" i="2"/>
  <c r="G19" i="2"/>
  <c r="F19" i="2"/>
  <c r="N18" i="2"/>
  <c r="O18" i="2" s="1"/>
  <c r="M18" i="2"/>
  <c r="L18" i="2"/>
  <c r="G18" i="2"/>
  <c r="H18" i="2" s="1"/>
  <c r="F18" i="2"/>
  <c r="M17" i="2"/>
  <c r="L17" i="2"/>
  <c r="N17" i="2" s="1"/>
  <c r="O17" i="2" s="1"/>
  <c r="G17" i="2"/>
  <c r="F17" i="2"/>
  <c r="H17" i="2" s="1"/>
  <c r="M16" i="2"/>
  <c r="L16" i="2"/>
  <c r="G16" i="2"/>
  <c r="F16" i="2"/>
  <c r="H16" i="2" s="1"/>
  <c r="M15" i="2"/>
  <c r="L15" i="2"/>
  <c r="N15" i="2" s="1"/>
  <c r="G15" i="2"/>
  <c r="H15" i="2" s="1"/>
  <c r="F15" i="2"/>
  <c r="M14" i="2"/>
  <c r="N14" i="2" s="1"/>
  <c r="O14" i="2" s="1"/>
  <c r="L14" i="2"/>
  <c r="H14" i="2"/>
  <c r="G14" i="2"/>
  <c r="F14" i="2"/>
  <c r="M13" i="2"/>
  <c r="N13" i="2" s="1"/>
  <c r="O13" i="2" s="1"/>
  <c r="L13" i="2"/>
  <c r="G13" i="2"/>
  <c r="F13" i="2"/>
  <c r="H13" i="2" s="1"/>
  <c r="W12" i="2"/>
  <c r="V12" i="2"/>
  <c r="U12" i="2"/>
  <c r="N12" i="2"/>
  <c r="M12" i="2"/>
  <c r="L12" i="2"/>
  <c r="G12" i="2"/>
  <c r="H12" i="2" s="1"/>
  <c r="F12" i="2"/>
  <c r="AB11" i="2"/>
  <c r="AC11" i="2" s="1"/>
  <c r="AA11" i="2"/>
  <c r="V11" i="2"/>
  <c r="U11" i="2"/>
  <c r="M11" i="2"/>
  <c r="L11" i="2"/>
  <c r="N11" i="2" s="1"/>
  <c r="G11" i="2"/>
  <c r="F11" i="2"/>
  <c r="AB10" i="2"/>
  <c r="AA10" i="2"/>
  <c r="AC10" i="2" s="1"/>
  <c r="AD10" i="2" s="1"/>
  <c r="V10" i="2"/>
  <c r="U10" i="2"/>
  <c r="W10" i="2" s="1"/>
  <c r="O10" i="2"/>
  <c r="M10" i="2"/>
  <c r="L10" i="2"/>
  <c r="N10" i="2" s="1"/>
  <c r="H10" i="2"/>
  <c r="G10" i="2"/>
  <c r="F10" i="2"/>
  <c r="AC9" i="2"/>
  <c r="AB9" i="2"/>
  <c r="AA9" i="2"/>
  <c r="V9" i="2"/>
  <c r="W9" i="2" s="1"/>
  <c r="U9" i="2"/>
  <c r="M9" i="2"/>
  <c r="L9" i="2"/>
  <c r="N9" i="2" s="1"/>
  <c r="O9" i="2" s="1"/>
  <c r="G9" i="2"/>
  <c r="F9" i="2"/>
  <c r="H9" i="2" s="1"/>
  <c r="AB8" i="2"/>
  <c r="AA8" i="2"/>
  <c r="V8" i="2"/>
  <c r="U8" i="2"/>
  <c r="W8" i="2" s="1"/>
  <c r="M8" i="2"/>
  <c r="L8" i="2"/>
  <c r="N8" i="2" s="1"/>
  <c r="G8" i="2"/>
  <c r="H8" i="2" s="1"/>
  <c r="F8" i="2"/>
  <c r="AB7" i="2"/>
  <c r="AC7" i="2" s="1"/>
  <c r="AD7" i="2" s="1"/>
  <c r="AA7" i="2"/>
  <c r="W7" i="2"/>
  <c r="V7" i="2"/>
  <c r="U7" i="2"/>
  <c r="M7" i="2"/>
  <c r="N7" i="2" s="1"/>
  <c r="O7" i="2" s="1"/>
  <c r="L7" i="2"/>
  <c r="G7" i="2"/>
  <c r="F7" i="2"/>
  <c r="H7" i="2" s="1"/>
  <c r="AD6" i="2"/>
  <c r="AB6" i="2"/>
  <c r="AA6" i="2"/>
  <c r="AC6" i="2" s="1"/>
  <c r="W6" i="2"/>
  <c r="V6" i="2"/>
  <c r="U6" i="2"/>
  <c r="N6" i="2"/>
  <c r="M6" i="2"/>
  <c r="L6" i="2"/>
  <c r="G6" i="2"/>
  <c r="H6" i="2" s="1"/>
  <c r="F6" i="2"/>
  <c r="AB5" i="2"/>
  <c r="AC5" i="2" s="1"/>
  <c r="AD5" i="2" s="1"/>
  <c r="AA5" i="2"/>
  <c r="V5" i="2"/>
  <c r="W5" i="2" s="1"/>
  <c r="U5" i="2"/>
  <c r="N5" i="2"/>
  <c r="M5" i="2"/>
  <c r="L5" i="2"/>
  <c r="G5" i="2"/>
  <c r="F5" i="2"/>
  <c r="H5" i="2" s="1"/>
  <c r="AB4" i="2"/>
  <c r="AA4" i="2"/>
  <c r="AC4" i="2" s="1"/>
  <c r="AD4" i="2" s="1"/>
  <c r="W4" i="2"/>
  <c r="V4" i="2"/>
  <c r="U4" i="2"/>
  <c r="N4" i="2"/>
  <c r="M4" i="2"/>
  <c r="L4" i="2"/>
  <c r="G4" i="2"/>
  <c r="H4" i="2" s="1"/>
  <c r="F4" i="2"/>
  <c r="AB3" i="2"/>
  <c r="AC3" i="2" s="1"/>
  <c r="AA3" i="2"/>
  <c r="V3" i="2"/>
  <c r="W3" i="2" s="1"/>
  <c r="U3" i="2"/>
  <c r="M3" i="2"/>
  <c r="L3" i="2"/>
  <c r="N3" i="2" s="1"/>
  <c r="G3" i="2"/>
  <c r="F3" i="2"/>
  <c r="AB2" i="2"/>
  <c r="AA2" i="2"/>
  <c r="AC2" i="2" s="1"/>
  <c r="AD2" i="2" s="1"/>
  <c r="V2" i="2"/>
  <c r="U2" i="2"/>
  <c r="W2" i="2" s="1"/>
  <c r="M2" i="2"/>
  <c r="L2" i="2"/>
  <c r="N2" i="2" s="1"/>
  <c r="O2" i="2" s="1"/>
  <c r="H2" i="2"/>
  <c r="G2" i="2"/>
  <c r="F2" i="2"/>
  <c r="K346" i="1"/>
  <c r="J346" i="1"/>
  <c r="I346" i="1"/>
  <c r="L346" i="1" s="1"/>
  <c r="E346" i="1"/>
  <c r="F346" i="1" s="1"/>
  <c r="H346" i="1" s="1"/>
  <c r="D346" i="1"/>
  <c r="C346" i="1"/>
  <c r="G346" i="1" s="1"/>
  <c r="L345" i="1"/>
  <c r="N345" i="1" s="1"/>
  <c r="K345" i="1"/>
  <c r="J345" i="1"/>
  <c r="M345" i="1" s="1"/>
  <c r="I345" i="1"/>
  <c r="H345" i="1"/>
  <c r="F345" i="1"/>
  <c r="E345" i="1"/>
  <c r="D345" i="1"/>
  <c r="G345" i="1" s="1"/>
  <c r="C345" i="1"/>
  <c r="M344" i="1"/>
  <c r="L344" i="1"/>
  <c r="N344" i="1" s="1"/>
  <c r="G344" i="1"/>
  <c r="F344" i="1"/>
  <c r="H344" i="1" s="1"/>
  <c r="O343" i="1"/>
  <c r="M343" i="1"/>
  <c r="L343" i="1"/>
  <c r="N343" i="1" s="1"/>
  <c r="H343" i="1"/>
  <c r="G343" i="1"/>
  <c r="F343" i="1"/>
  <c r="N342" i="1"/>
  <c r="O342" i="1" s="1"/>
  <c r="M342" i="1"/>
  <c r="L342" i="1"/>
  <c r="G342" i="1"/>
  <c r="H342" i="1" s="1"/>
  <c r="F342" i="1"/>
  <c r="M341" i="1"/>
  <c r="L341" i="1"/>
  <c r="N341" i="1" s="1"/>
  <c r="O341" i="1" s="1"/>
  <c r="G341" i="1"/>
  <c r="F341" i="1"/>
  <c r="H341" i="1" s="1"/>
  <c r="M340" i="1"/>
  <c r="L340" i="1"/>
  <c r="G340" i="1"/>
  <c r="F340" i="1"/>
  <c r="H340" i="1" s="1"/>
  <c r="M339" i="1"/>
  <c r="L339" i="1"/>
  <c r="N339" i="1" s="1"/>
  <c r="O339" i="1" s="1"/>
  <c r="G339" i="1"/>
  <c r="F339" i="1"/>
  <c r="H339" i="1" s="1"/>
  <c r="O338" i="1"/>
  <c r="M338" i="1"/>
  <c r="L338" i="1"/>
  <c r="N338" i="1" s="1"/>
  <c r="H338" i="1"/>
  <c r="G338" i="1"/>
  <c r="F338" i="1"/>
  <c r="N337" i="1"/>
  <c r="M337" i="1"/>
  <c r="L337" i="1"/>
  <c r="G337" i="1"/>
  <c r="H337" i="1" s="1"/>
  <c r="F337" i="1"/>
  <c r="M336" i="1"/>
  <c r="N336" i="1" s="1"/>
  <c r="O336" i="1" s="1"/>
  <c r="L336" i="1"/>
  <c r="G336" i="1"/>
  <c r="F336" i="1"/>
  <c r="H336" i="1" s="1"/>
  <c r="M335" i="1"/>
  <c r="L335" i="1"/>
  <c r="N335" i="1" s="1"/>
  <c r="O335" i="1" s="1"/>
  <c r="G335" i="1"/>
  <c r="F335" i="1"/>
  <c r="H335" i="1" s="1"/>
  <c r="M334" i="1"/>
  <c r="L334" i="1"/>
  <c r="N334" i="1" s="1"/>
  <c r="O334" i="1" s="1"/>
  <c r="H334" i="1"/>
  <c r="G334" i="1"/>
  <c r="F334" i="1"/>
  <c r="N333" i="1"/>
  <c r="O333" i="1" s="1"/>
  <c r="M333" i="1"/>
  <c r="L333" i="1"/>
  <c r="G333" i="1"/>
  <c r="H333" i="1" s="1"/>
  <c r="F333" i="1"/>
  <c r="M332" i="1"/>
  <c r="N332" i="1" s="1"/>
  <c r="L332" i="1"/>
  <c r="G332" i="1"/>
  <c r="F332" i="1"/>
  <c r="H332" i="1" s="1"/>
  <c r="M331" i="1"/>
  <c r="L331" i="1"/>
  <c r="N331" i="1" s="1"/>
  <c r="G331" i="1"/>
  <c r="F331" i="1"/>
  <c r="H331" i="1" s="1"/>
  <c r="M330" i="1"/>
  <c r="L330" i="1"/>
  <c r="N330" i="1" s="1"/>
  <c r="H330" i="1"/>
  <c r="G330" i="1"/>
  <c r="F330" i="1"/>
  <c r="N329" i="1"/>
  <c r="O329" i="1" s="1"/>
  <c r="M329" i="1"/>
  <c r="L329" i="1"/>
  <c r="G329" i="1"/>
  <c r="H329" i="1" s="1"/>
  <c r="F329" i="1"/>
  <c r="M328" i="1"/>
  <c r="N328" i="1" s="1"/>
  <c r="O328" i="1" s="1"/>
  <c r="L328" i="1"/>
  <c r="G328" i="1"/>
  <c r="F328" i="1"/>
  <c r="H328" i="1" s="1"/>
  <c r="M327" i="1"/>
  <c r="L327" i="1"/>
  <c r="N327" i="1" s="1"/>
  <c r="G327" i="1"/>
  <c r="F327" i="1"/>
  <c r="H327" i="1" s="1"/>
  <c r="O326" i="1"/>
  <c r="M326" i="1"/>
  <c r="L326" i="1"/>
  <c r="N326" i="1" s="1"/>
  <c r="H326" i="1"/>
  <c r="G326" i="1"/>
  <c r="F326" i="1"/>
  <c r="N325" i="1"/>
  <c r="M325" i="1"/>
  <c r="L325" i="1"/>
  <c r="G325" i="1"/>
  <c r="H325" i="1" s="1"/>
  <c r="F325" i="1"/>
  <c r="M324" i="1"/>
  <c r="N324" i="1" s="1"/>
  <c r="O324" i="1" s="1"/>
  <c r="L324" i="1"/>
  <c r="G324" i="1"/>
  <c r="F324" i="1"/>
  <c r="H324" i="1" s="1"/>
  <c r="M323" i="1"/>
  <c r="L323" i="1"/>
  <c r="N323" i="1" s="1"/>
  <c r="O323" i="1" s="1"/>
  <c r="G323" i="1"/>
  <c r="F323" i="1"/>
  <c r="H323" i="1" s="1"/>
  <c r="O322" i="1"/>
  <c r="M322" i="1"/>
  <c r="L322" i="1"/>
  <c r="N322" i="1" s="1"/>
  <c r="H322" i="1"/>
  <c r="G322" i="1"/>
  <c r="F322" i="1"/>
  <c r="N321" i="1"/>
  <c r="M321" i="1"/>
  <c r="L321" i="1"/>
  <c r="G321" i="1"/>
  <c r="H321" i="1" s="1"/>
  <c r="F321" i="1"/>
  <c r="M320" i="1"/>
  <c r="N320" i="1" s="1"/>
  <c r="O320" i="1" s="1"/>
  <c r="L320" i="1"/>
  <c r="G320" i="1"/>
  <c r="F320" i="1"/>
  <c r="H320" i="1" s="1"/>
  <c r="M319" i="1"/>
  <c r="L319" i="1"/>
  <c r="N319" i="1" s="1"/>
  <c r="O319" i="1" s="1"/>
  <c r="G319" i="1"/>
  <c r="F319" i="1"/>
  <c r="H319" i="1" s="1"/>
  <c r="M318" i="1"/>
  <c r="L318" i="1"/>
  <c r="N318" i="1" s="1"/>
  <c r="O318" i="1" s="1"/>
  <c r="H318" i="1"/>
  <c r="G318" i="1"/>
  <c r="F318" i="1"/>
  <c r="N317" i="1"/>
  <c r="O317" i="1" s="1"/>
  <c r="M317" i="1"/>
  <c r="L317" i="1"/>
  <c r="G317" i="1"/>
  <c r="H317" i="1" s="1"/>
  <c r="F317" i="1"/>
  <c r="M316" i="1"/>
  <c r="N316" i="1" s="1"/>
  <c r="L316" i="1"/>
  <c r="G316" i="1"/>
  <c r="F316" i="1"/>
  <c r="H316" i="1" s="1"/>
  <c r="M315" i="1"/>
  <c r="L315" i="1"/>
  <c r="N315" i="1" s="1"/>
  <c r="G315" i="1"/>
  <c r="F315" i="1"/>
  <c r="H315" i="1" s="1"/>
  <c r="M314" i="1"/>
  <c r="L314" i="1"/>
  <c r="N314" i="1" s="1"/>
  <c r="H314" i="1"/>
  <c r="G314" i="1"/>
  <c r="F314" i="1"/>
  <c r="N313" i="1"/>
  <c r="O313" i="1" s="1"/>
  <c r="M313" i="1"/>
  <c r="L313" i="1"/>
  <c r="G313" i="1"/>
  <c r="H313" i="1" s="1"/>
  <c r="F313" i="1"/>
  <c r="M312" i="1"/>
  <c r="N312" i="1" s="1"/>
  <c r="O312" i="1" s="1"/>
  <c r="L312" i="1"/>
  <c r="G312" i="1"/>
  <c r="F312" i="1"/>
  <c r="H312" i="1" s="1"/>
  <c r="M311" i="1"/>
  <c r="L311" i="1"/>
  <c r="N311" i="1" s="1"/>
  <c r="G311" i="1"/>
  <c r="F311" i="1"/>
  <c r="H311" i="1" s="1"/>
  <c r="O310" i="1"/>
  <c r="M310" i="1"/>
  <c r="L310" i="1"/>
  <c r="N310" i="1" s="1"/>
  <c r="H310" i="1"/>
  <c r="G310" i="1"/>
  <c r="F310" i="1"/>
  <c r="N309" i="1"/>
  <c r="M309" i="1"/>
  <c r="L309" i="1"/>
  <c r="G309" i="1"/>
  <c r="H309" i="1" s="1"/>
  <c r="F309" i="1"/>
  <c r="M308" i="1"/>
  <c r="N308" i="1" s="1"/>
  <c r="O308" i="1" s="1"/>
  <c r="L308" i="1"/>
  <c r="G308" i="1"/>
  <c r="F308" i="1"/>
  <c r="H308" i="1" s="1"/>
  <c r="M307" i="1"/>
  <c r="L307" i="1"/>
  <c r="N307" i="1" s="1"/>
  <c r="G307" i="1"/>
  <c r="F307" i="1"/>
  <c r="M306" i="1"/>
  <c r="L306" i="1"/>
  <c r="N306" i="1" s="1"/>
  <c r="O306" i="1" s="1"/>
  <c r="G306" i="1"/>
  <c r="F306" i="1"/>
  <c r="H306" i="1" s="1"/>
  <c r="O305" i="1"/>
  <c r="M305" i="1"/>
  <c r="L305" i="1"/>
  <c r="N305" i="1" s="1"/>
  <c r="H305" i="1"/>
  <c r="G305" i="1"/>
  <c r="F305" i="1"/>
  <c r="N304" i="1"/>
  <c r="M304" i="1"/>
  <c r="L304" i="1"/>
  <c r="G304" i="1"/>
  <c r="H304" i="1" s="1"/>
  <c r="F304" i="1"/>
  <c r="M303" i="1"/>
  <c r="L303" i="1"/>
  <c r="N303" i="1" s="1"/>
  <c r="G303" i="1"/>
  <c r="F303" i="1"/>
  <c r="M302" i="1"/>
  <c r="L302" i="1"/>
  <c r="G302" i="1"/>
  <c r="F302" i="1"/>
  <c r="H302" i="1" s="1"/>
  <c r="M301" i="1"/>
  <c r="L301" i="1"/>
  <c r="N301" i="1" s="1"/>
  <c r="O301" i="1" s="1"/>
  <c r="H301" i="1"/>
  <c r="G301" i="1"/>
  <c r="F301" i="1"/>
  <c r="N300" i="1"/>
  <c r="M300" i="1"/>
  <c r="L300" i="1"/>
  <c r="H300" i="1"/>
  <c r="O300" i="1" s="1"/>
  <c r="G300" i="1"/>
  <c r="F300" i="1"/>
  <c r="M299" i="1"/>
  <c r="N299" i="1" s="1"/>
  <c r="O299" i="1" s="1"/>
  <c r="L299" i="1"/>
  <c r="G299" i="1"/>
  <c r="F299" i="1"/>
  <c r="H299" i="1" s="1"/>
  <c r="M298" i="1"/>
  <c r="L298" i="1"/>
  <c r="H298" i="1"/>
  <c r="G298" i="1"/>
  <c r="F298" i="1"/>
  <c r="N297" i="1"/>
  <c r="O297" i="1" s="1"/>
  <c r="M297" i="1"/>
  <c r="L297" i="1"/>
  <c r="G297" i="1"/>
  <c r="H297" i="1" s="1"/>
  <c r="F297" i="1"/>
  <c r="M296" i="1"/>
  <c r="N296" i="1" s="1"/>
  <c r="L296" i="1"/>
  <c r="G296" i="1"/>
  <c r="F296" i="1"/>
  <c r="H296" i="1" s="1"/>
  <c r="N295" i="1"/>
  <c r="M295" i="1"/>
  <c r="L295" i="1"/>
  <c r="G295" i="1"/>
  <c r="F295" i="1"/>
  <c r="H295" i="1" s="1"/>
  <c r="M294" i="1"/>
  <c r="L294" i="1"/>
  <c r="N294" i="1" s="1"/>
  <c r="H294" i="1"/>
  <c r="G294" i="1"/>
  <c r="F294" i="1"/>
  <c r="N293" i="1"/>
  <c r="O293" i="1" s="1"/>
  <c r="M293" i="1"/>
  <c r="L293" i="1"/>
  <c r="G293" i="1"/>
  <c r="H293" i="1" s="1"/>
  <c r="F293" i="1"/>
  <c r="M292" i="1"/>
  <c r="N292" i="1" s="1"/>
  <c r="O292" i="1" s="1"/>
  <c r="L292" i="1"/>
  <c r="G292" i="1"/>
  <c r="F292" i="1"/>
  <c r="H292" i="1" s="1"/>
  <c r="M291" i="1"/>
  <c r="L291" i="1"/>
  <c r="N291" i="1" s="1"/>
  <c r="G291" i="1"/>
  <c r="F291" i="1"/>
  <c r="M290" i="1"/>
  <c r="L290" i="1"/>
  <c r="N290" i="1" s="1"/>
  <c r="G290" i="1"/>
  <c r="F290" i="1"/>
  <c r="H290" i="1" s="1"/>
  <c r="O289" i="1"/>
  <c r="M289" i="1"/>
  <c r="L289" i="1"/>
  <c r="N289" i="1" s="1"/>
  <c r="H289" i="1"/>
  <c r="G289" i="1"/>
  <c r="F289" i="1"/>
  <c r="N288" i="1"/>
  <c r="O288" i="1" s="1"/>
  <c r="M288" i="1"/>
  <c r="L288" i="1"/>
  <c r="G288" i="1"/>
  <c r="H288" i="1" s="1"/>
  <c r="F288" i="1"/>
  <c r="M287" i="1"/>
  <c r="L287" i="1"/>
  <c r="N287" i="1" s="1"/>
  <c r="G287" i="1"/>
  <c r="F287" i="1"/>
  <c r="M286" i="1"/>
  <c r="L286" i="1"/>
  <c r="G286" i="1"/>
  <c r="F286" i="1"/>
  <c r="H286" i="1" s="1"/>
  <c r="M285" i="1"/>
  <c r="L285" i="1"/>
  <c r="N285" i="1" s="1"/>
  <c r="O285" i="1" s="1"/>
  <c r="H285" i="1"/>
  <c r="G285" i="1"/>
  <c r="F285" i="1"/>
  <c r="N284" i="1"/>
  <c r="M284" i="1"/>
  <c r="L284" i="1"/>
  <c r="H284" i="1"/>
  <c r="O284" i="1" s="1"/>
  <c r="G284" i="1"/>
  <c r="F284" i="1"/>
  <c r="M283" i="1"/>
  <c r="N283" i="1" s="1"/>
  <c r="O283" i="1" s="1"/>
  <c r="L283" i="1"/>
  <c r="G283" i="1"/>
  <c r="F283" i="1"/>
  <c r="H283" i="1" s="1"/>
  <c r="M282" i="1"/>
  <c r="L282" i="1"/>
  <c r="H282" i="1"/>
  <c r="G282" i="1"/>
  <c r="F282" i="1"/>
  <c r="N281" i="1"/>
  <c r="M281" i="1"/>
  <c r="L281" i="1"/>
  <c r="G281" i="1"/>
  <c r="H281" i="1" s="1"/>
  <c r="F281" i="1"/>
  <c r="M280" i="1"/>
  <c r="N280" i="1" s="1"/>
  <c r="O280" i="1" s="1"/>
  <c r="L280" i="1"/>
  <c r="G280" i="1"/>
  <c r="F280" i="1"/>
  <c r="H280" i="1" s="1"/>
  <c r="N279" i="1"/>
  <c r="M279" i="1"/>
  <c r="L279" i="1"/>
  <c r="G279" i="1"/>
  <c r="F279" i="1"/>
  <c r="H279" i="1" s="1"/>
  <c r="M278" i="1"/>
  <c r="L278" i="1"/>
  <c r="N278" i="1" s="1"/>
  <c r="O278" i="1" s="1"/>
  <c r="H278" i="1"/>
  <c r="G278" i="1"/>
  <c r="F278" i="1"/>
  <c r="N277" i="1"/>
  <c r="O277" i="1" s="1"/>
  <c r="M277" i="1"/>
  <c r="L277" i="1"/>
  <c r="G277" i="1"/>
  <c r="H277" i="1" s="1"/>
  <c r="F277" i="1"/>
  <c r="M276" i="1"/>
  <c r="N276" i="1" s="1"/>
  <c r="L276" i="1"/>
  <c r="G276" i="1"/>
  <c r="F276" i="1"/>
  <c r="H276" i="1" s="1"/>
  <c r="M275" i="1"/>
  <c r="L275" i="1"/>
  <c r="N275" i="1" s="1"/>
  <c r="G275" i="1"/>
  <c r="F275" i="1"/>
  <c r="M274" i="1"/>
  <c r="L274" i="1"/>
  <c r="N274" i="1" s="1"/>
  <c r="G274" i="1"/>
  <c r="F274" i="1"/>
  <c r="H274" i="1" s="1"/>
  <c r="M273" i="1"/>
  <c r="L273" i="1"/>
  <c r="N273" i="1" s="1"/>
  <c r="O273" i="1" s="1"/>
  <c r="H273" i="1"/>
  <c r="G273" i="1"/>
  <c r="F273" i="1"/>
  <c r="N272" i="1"/>
  <c r="O272" i="1" s="1"/>
  <c r="M272" i="1"/>
  <c r="L272" i="1"/>
  <c r="G272" i="1"/>
  <c r="H272" i="1" s="1"/>
  <c r="F272" i="1"/>
  <c r="M271" i="1"/>
  <c r="L271" i="1"/>
  <c r="N271" i="1" s="1"/>
  <c r="G271" i="1"/>
  <c r="F271" i="1"/>
  <c r="M270" i="1"/>
  <c r="L270" i="1"/>
  <c r="G270" i="1"/>
  <c r="F270" i="1"/>
  <c r="H270" i="1" s="1"/>
  <c r="M269" i="1"/>
  <c r="L269" i="1"/>
  <c r="N269" i="1" s="1"/>
  <c r="O269" i="1" s="1"/>
  <c r="H269" i="1"/>
  <c r="G269" i="1"/>
  <c r="F269" i="1"/>
  <c r="N268" i="1"/>
  <c r="M268" i="1"/>
  <c r="L268" i="1"/>
  <c r="H268" i="1"/>
  <c r="O268" i="1" s="1"/>
  <c r="G268" i="1"/>
  <c r="F268" i="1"/>
  <c r="M267" i="1"/>
  <c r="L267" i="1"/>
  <c r="G267" i="1"/>
  <c r="F267" i="1"/>
  <c r="H267" i="1" s="1"/>
  <c r="M266" i="1"/>
  <c r="L266" i="1"/>
  <c r="G266" i="1"/>
  <c r="F266" i="1"/>
  <c r="H266" i="1" s="1"/>
  <c r="M265" i="1"/>
  <c r="L265" i="1"/>
  <c r="N265" i="1" s="1"/>
  <c r="G265" i="1"/>
  <c r="F265" i="1"/>
  <c r="H265" i="1" s="1"/>
  <c r="M264" i="1"/>
  <c r="L264" i="1"/>
  <c r="N264" i="1" s="1"/>
  <c r="O264" i="1" s="1"/>
  <c r="H264" i="1"/>
  <c r="G264" i="1"/>
  <c r="F264" i="1"/>
  <c r="N263" i="1"/>
  <c r="M263" i="1"/>
  <c r="L263" i="1"/>
  <c r="H263" i="1"/>
  <c r="O263" i="1" s="1"/>
  <c r="G263" i="1"/>
  <c r="F263" i="1"/>
  <c r="N262" i="1"/>
  <c r="M262" i="1"/>
  <c r="L262" i="1"/>
  <c r="G262" i="1"/>
  <c r="F262" i="1"/>
  <c r="M261" i="1"/>
  <c r="L261" i="1"/>
  <c r="N261" i="1" s="1"/>
  <c r="O261" i="1" s="1"/>
  <c r="G261" i="1"/>
  <c r="F261" i="1"/>
  <c r="H261" i="1" s="1"/>
  <c r="M260" i="1"/>
  <c r="L260" i="1"/>
  <c r="N260" i="1" s="1"/>
  <c r="O260" i="1" s="1"/>
  <c r="H260" i="1"/>
  <c r="G260" i="1"/>
  <c r="F260" i="1"/>
  <c r="N259" i="1"/>
  <c r="M259" i="1"/>
  <c r="L259" i="1"/>
  <c r="H259" i="1"/>
  <c r="O259" i="1" s="1"/>
  <c r="G259" i="1"/>
  <c r="F259" i="1"/>
  <c r="N258" i="1"/>
  <c r="M258" i="1"/>
  <c r="L258" i="1"/>
  <c r="G258" i="1"/>
  <c r="F258" i="1"/>
  <c r="H258" i="1" s="1"/>
  <c r="M257" i="1"/>
  <c r="L257" i="1"/>
  <c r="N257" i="1" s="1"/>
  <c r="O257" i="1" s="1"/>
  <c r="G257" i="1"/>
  <c r="F257" i="1"/>
  <c r="H257" i="1" s="1"/>
  <c r="M256" i="1"/>
  <c r="L256" i="1"/>
  <c r="N256" i="1" s="1"/>
  <c r="O256" i="1" s="1"/>
  <c r="H256" i="1"/>
  <c r="G256" i="1"/>
  <c r="F256" i="1"/>
  <c r="N255" i="1"/>
  <c r="M255" i="1"/>
  <c r="L255" i="1"/>
  <c r="H255" i="1"/>
  <c r="O255" i="1" s="1"/>
  <c r="G255" i="1"/>
  <c r="F255" i="1"/>
  <c r="N254" i="1"/>
  <c r="M254" i="1"/>
  <c r="L254" i="1"/>
  <c r="G254" i="1"/>
  <c r="F254" i="1"/>
  <c r="H254" i="1" s="1"/>
  <c r="M253" i="1"/>
  <c r="L253" i="1"/>
  <c r="G253" i="1"/>
  <c r="F253" i="1"/>
  <c r="H253" i="1" s="1"/>
  <c r="M252" i="1"/>
  <c r="L252" i="1"/>
  <c r="N252" i="1" s="1"/>
  <c r="O252" i="1" s="1"/>
  <c r="H252" i="1"/>
  <c r="G252" i="1"/>
  <c r="F252" i="1"/>
  <c r="N251" i="1"/>
  <c r="M251" i="1"/>
  <c r="L251" i="1"/>
  <c r="H251" i="1"/>
  <c r="O251" i="1" s="1"/>
  <c r="G251" i="1"/>
  <c r="F251" i="1"/>
  <c r="N250" i="1"/>
  <c r="M250" i="1"/>
  <c r="L250" i="1"/>
  <c r="G250" i="1"/>
  <c r="F250" i="1"/>
  <c r="H250" i="1" s="1"/>
  <c r="M249" i="1"/>
  <c r="L249" i="1"/>
  <c r="N249" i="1" s="1"/>
  <c r="G249" i="1"/>
  <c r="F249" i="1"/>
  <c r="H249" i="1" s="1"/>
  <c r="M248" i="1"/>
  <c r="L248" i="1"/>
  <c r="N248" i="1" s="1"/>
  <c r="O248" i="1" s="1"/>
  <c r="H248" i="1"/>
  <c r="G248" i="1"/>
  <c r="F248" i="1"/>
  <c r="N247" i="1"/>
  <c r="M247" i="1"/>
  <c r="L247" i="1"/>
  <c r="H247" i="1"/>
  <c r="O247" i="1" s="1"/>
  <c r="G247" i="1"/>
  <c r="F247" i="1"/>
  <c r="N246" i="1"/>
  <c r="M246" i="1"/>
  <c r="L246" i="1"/>
  <c r="G246" i="1"/>
  <c r="F246" i="1"/>
  <c r="M245" i="1"/>
  <c r="L245" i="1"/>
  <c r="N245" i="1" s="1"/>
  <c r="O245" i="1" s="1"/>
  <c r="G245" i="1"/>
  <c r="F245" i="1"/>
  <c r="H245" i="1" s="1"/>
  <c r="M244" i="1"/>
  <c r="L244" i="1"/>
  <c r="N244" i="1" s="1"/>
  <c r="O244" i="1" s="1"/>
  <c r="H244" i="1"/>
  <c r="G244" i="1"/>
  <c r="F244" i="1"/>
  <c r="N243" i="1"/>
  <c r="M243" i="1"/>
  <c r="L243" i="1"/>
  <c r="H243" i="1"/>
  <c r="O243" i="1" s="1"/>
  <c r="G243" i="1"/>
  <c r="F243" i="1"/>
  <c r="N242" i="1"/>
  <c r="M242" i="1"/>
  <c r="L242" i="1"/>
  <c r="G242" i="1"/>
  <c r="F242" i="1"/>
  <c r="H242" i="1" s="1"/>
  <c r="M241" i="1"/>
  <c r="L241" i="1"/>
  <c r="N241" i="1" s="1"/>
  <c r="O241" i="1" s="1"/>
  <c r="G241" i="1"/>
  <c r="F241" i="1"/>
  <c r="H241" i="1" s="1"/>
  <c r="M240" i="1"/>
  <c r="L240" i="1"/>
  <c r="N240" i="1" s="1"/>
  <c r="O240" i="1" s="1"/>
  <c r="H240" i="1"/>
  <c r="G240" i="1"/>
  <c r="F240" i="1"/>
  <c r="N239" i="1"/>
  <c r="M239" i="1"/>
  <c r="L239" i="1"/>
  <c r="H239" i="1"/>
  <c r="O239" i="1" s="1"/>
  <c r="G239" i="1"/>
  <c r="F239" i="1"/>
  <c r="N238" i="1"/>
  <c r="M238" i="1"/>
  <c r="L238" i="1"/>
  <c r="G238" i="1"/>
  <c r="F238" i="1"/>
  <c r="H238" i="1" s="1"/>
  <c r="M237" i="1"/>
  <c r="L237" i="1"/>
  <c r="G237" i="1"/>
  <c r="F237" i="1"/>
  <c r="H237" i="1" s="1"/>
  <c r="M236" i="1"/>
  <c r="L236" i="1"/>
  <c r="N236" i="1" s="1"/>
  <c r="O236" i="1" s="1"/>
  <c r="H236" i="1"/>
  <c r="G236" i="1"/>
  <c r="F236" i="1"/>
  <c r="N235" i="1"/>
  <c r="M235" i="1"/>
  <c r="L235" i="1"/>
  <c r="H235" i="1"/>
  <c r="O235" i="1" s="1"/>
  <c r="G235" i="1"/>
  <c r="F235" i="1"/>
  <c r="N234" i="1"/>
  <c r="O234" i="1" s="1"/>
  <c r="M234" i="1"/>
  <c r="L234" i="1"/>
  <c r="G234" i="1"/>
  <c r="F234" i="1"/>
  <c r="H234" i="1" s="1"/>
  <c r="M233" i="1"/>
  <c r="L233" i="1"/>
  <c r="N233" i="1" s="1"/>
  <c r="G233" i="1"/>
  <c r="F233" i="1"/>
  <c r="H233" i="1" s="1"/>
  <c r="M232" i="1"/>
  <c r="L232" i="1"/>
  <c r="N232" i="1" s="1"/>
  <c r="O232" i="1" s="1"/>
  <c r="H232" i="1"/>
  <c r="G232" i="1"/>
  <c r="F232" i="1"/>
  <c r="N231" i="1"/>
  <c r="M231" i="1"/>
  <c r="L231" i="1"/>
  <c r="H231" i="1"/>
  <c r="O231" i="1" s="1"/>
  <c r="G231" i="1"/>
  <c r="F231" i="1"/>
  <c r="N230" i="1"/>
  <c r="M230" i="1"/>
  <c r="L230" i="1"/>
  <c r="G230" i="1"/>
  <c r="F230" i="1"/>
  <c r="M229" i="1"/>
  <c r="L229" i="1"/>
  <c r="N229" i="1" s="1"/>
  <c r="O229" i="1" s="1"/>
  <c r="G229" i="1"/>
  <c r="F229" i="1"/>
  <c r="H229" i="1" s="1"/>
  <c r="M228" i="1"/>
  <c r="L228" i="1"/>
  <c r="N228" i="1" s="1"/>
  <c r="O228" i="1" s="1"/>
  <c r="H228" i="1"/>
  <c r="G228" i="1"/>
  <c r="F228" i="1"/>
  <c r="N227" i="1"/>
  <c r="M227" i="1"/>
  <c r="L227" i="1"/>
  <c r="H227" i="1"/>
  <c r="O227" i="1" s="1"/>
  <c r="G227" i="1"/>
  <c r="F227" i="1"/>
  <c r="N226" i="1"/>
  <c r="M226" i="1"/>
  <c r="L226" i="1"/>
  <c r="G226" i="1"/>
  <c r="F226" i="1"/>
  <c r="H226" i="1" s="1"/>
  <c r="M225" i="1"/>
  <c r="L225" i="1"/>
  <c r="N225" i="1" s="1"/>
  <c r="O225" i="1" s="1"/>
  <c r="G225" i="1"/>
  <c r="F225" i="1"/>
  <c r="H225" i="1" s="1"/>
  <c r="M224" i="1"/>
  <c r="L224" i="1"/>
  <c r="N224" i="1" s="1"/>
  <c r="O224" i="1" s="1"/>
  <c r="H224" i="1"/>
  <c r="G224" i="1"/>
  <c r="F224" i="1"/>
  <c r="O223" i="1"/>
  <c r="N223" i="1"/>
  <c r="M223" i="1"/>
  <c r="L223" i="1"/>
  <c r="H223" i="1"/>
  <c r="G223" i="1"/>
  <c r="F223" i="1"/>
  <c r="N222" i="1"/>
  <c r="M222" i="1"/>
  <c r="L222" i="1"/>
  <c r="G222" i="1"/>
  <c r="F222" i="1"/>
  <c r="H222" i="1" s="1"/>
  <c r="M221" i="1"/>
  <c r="L221" i="1"/>
  <c r="G221" i="1"/>
  <c r="F221" i="1"/>
  <c r="H221" i="1" s="1"/>
  <c r="M220" i="1"/>
  <c r="L220" i="1"/>
  <c r="N220" i="1" s="1"/>
  <c r="O220" i="1" s="1"/>
  <c r="H220" i="1"/>
  <c r="G220" i="1"/>
  <c r="F220" i="1"/>
  <c r="N219" i="1"/>
  <c r="M219" i="1"/>
  <c r="L219" i="1"/>
  <c r="H219" i="1"/>
  <c r="O219" i="1" s="1"/>
  <c r="G219" i="1"/>
  <c r="F219" i="1"/>
  <c r="N218" i="1"/>
  <c r="M218" i="1"/>
  <c r="L218" i="1"/>
  <c r="G218" i="1"/>
  <c r="F218" i="1"/>
  <c r="H218" i="1" s="1"/>
  <c r="M217" i="1"/>
  <c r="L217" i="1"/>
  <c r="N217" i="1" s="1"/>
  <c r="G217" i="1"/>
  <c r="F217" i="1"/>
  <c r="H217" i="1" s="1"/>
  <c r="M216" i="1"/>
  <c r="L216" i="1"/>
  <c r="N216" i="1" s="1"/>
  <c r="O216" i="1" s="1"/>
  <c r="H216" i="1"/>
  <c r="G216" i="1"/>
  <c r="F216" i="1"/>
  <c r="N215" i="1"/>
  <c r="M215" i="1"/>
  <c r="L215" i="1"/>
  <c r="H215" i="1"/>
  <c r="O215" i="1" s="1"/>
  <c r="G215" i="1"/>
  <c r="F215" i="1"/>
  <c r="N214" i="1"/>
  <c r="M214" i="1"/>
  <c r="L214" i="1"/>
  <c r="G214" i="1"/>
  <c r="F214" i="1"/>
  <c r="M213" i="1"/>
  <c r="L213" i="1"/>
  <c r="N213" i="1" s="1"/>
  <c r="O213" i="1" s="1"/>
  <c r="G213" i="1"/>
  <c r="F213" i="1"/>
  <c r="H213" i="1" s="1"/>
  <c r="M212" i="1"/>
  <c r="L212" i="1"/>
  <c r="N212" i="1" s="1"/>
  <c r="O212" i="1" s="1"/>
  <c r="H212" i="1"/>
  <c r="G212" i="1"/>
  <c r="F212" i="1"/>
  <c r="N211" i="1"/>
  <c r="M211" i="1"/>
  <c r="L211" i="1"/>
  <c r="H211" i="1"/>
  <c r="O211" i="1" s="1"/>
  <c r="G211" i="1"/>
  <c r="F211" i="1"/>
  <c r="N210" i="1"/>
  <c r="M210" i="1"/>
  <c r="L210" i="1"/>
  <c r="G210" i="1"/>
  <c r="F210" i="1"/>
  <c r="H210" i="1" s="1"/>
  <c r="M209" i="1"/>
  <c r="L209" i="1"/>
  <c r="N209" i="1" s="1"/>
  <c r="O209" i="1" s="1"/>
  <c r="G209" i="1"/>
  <c r="F209" i="1"/>
  <c r="H209" i="1" s="1"/>
  <c r="M208" i="1"/>
  <c r="L208" i="1"/>
  <c r="N208" i="1" s="1"/>
  <c r="O208" i="1" s="1"/>
  <c r="H208" i="1"/>
  <c r="G208" i="1"/>
  <c r="F208" i="1"/>
  <c r="N207" i="1"/>
  <c r="M207" i="1"/>
  <c r="L207" i="1"/>
  <c r="H207" i="1"/>
  <c r="O207" i="1" s="1"/>
  <c r="G207" i="1"/>
  <c r="F207" i="1"/>
  <c r="N206" i="1"/>
  <c r="M206" i="1"/>
  <c r="L206" i="1"/>
  <c r="G206" i="1"/>
  <c r="F206" i="1"/>
  <c r="H206" i="1" s="1"/>
  <c r="M205" i="1"/>
  <c r="L205" i="1"/>
  <c r="G205" i="1"/>
  <c r="F205" i="1"/>
  <c r="H205" i="1" s="1"/>
  <c r="M204" i="1"/>
  <c r="L204" i="1"/>
  <c r="N204" i="1" s="1"/>
  <c r="O204" i="1" s="1"/>
  <c r="H204" i="1"/>
  <c r="G204" i="1"/>
  <c r="F204" i="1"/>
  <c r="N203" i="1"/>
  <c r="M203" i="1"/>
  <c r="L203" i="1"/>
  <c r="H203" i="1"/>
  <c r="O203" i="1" s="1"/>
  <c r="G203" i="1"/>
  <c r="F203" i="1"/>
  <c r="N202" i="1"/>
  <c r="O202" i="1" s="1"/>
  <c r="M202" i="1"/>
  <c r="L202" i="1"/>
  <c r="G202" i="1"/>
  <c r="F202" i="1"/>
  <c r="H202" i="1" s="1"/>
  <c r="M201" i="1"/>
  <c r="L201" i="1"/>
  <c r="N201" i="1" s="1"/>
  <c r="G201" i="1"/>
  <c r="F201" i="1"/>
  <c r="H201" i="1" s="1"/>
  <c r="M200" i="1"/>
  <c r="L200" i="1"/>
  <c r="N200" i="1" s="1"/>
  <c r="O200" i="1" s="1"/>
  <c r="H200" i="1"/>
  <c r="G200" i="1"/>
  <c r="F200" i="1"/>
  <c r="N199" i="1"/>
  <c r="M199" i="1"/>
  <c r="L199" i="1"/>
  <c r="H199" i="1"/>
  <c r="O199" i="1" s="1"/>
  <c r="G199" i="1"/>
  <c r="F199" i="1"/>
  <c r="N198" i="1"/>
  <c r="M198" i="1"/>
  <c r="L198" i="1"/>
  <c r="G198" i="1"/>
  <c r="F198" i="1"/>
  <c r="M197" i="1"/>
  <c r="L197" i="1"/>
  <c r="N197" i="1" s="1"/>
  <c r="O197" i="1" s="1"/>
  <c r="G197" i="1"/>
  <c r="F197" i="1"/>
  <c r="H197" i="1" s="1"/>
  <c r="M196" i="1"/>
  <c r="L196" i="1"/>
  <c r="N196" i="1" s="1"/>
  <c r="O196" i="1" s="1"/>
  <c r="H196" i="1"/>
  <c r="G196" i="1"/>
  <c r="F196" i="1"/>
  <c r="N195" i="1"/>
  <c r="M195" i="1"/>
  <c r="L195" i="1"/>
  <c r="H195" i="1"/>
  <c r="O195" i="1" s="1"/>
  <c r="G195" i="1"/>
  <c r="F195" i="1"/>
  <c r="N194" i="1"/>
  <c r="M194" i="1"/>
  <c r="L194" i="1"/>
  <c r="G194" i="1"/>
  <c r="F194" i="1"/>
  <c r="H194" i="1" s="1"/>
  <c r="M193" i="1"/>
  <c r="L193" i="1"/>
  <c r="N193" i="1" s="1"/>
  <c r="O193" i="1" s="1"/>
  <c r="G193" i="1"/>
  <c r="F193" i="1"/>
  <c r="H193" i="1" s="1"/>
  <c r="M192" i="1"/>
  <c r="L192" i="1"/>
  <c r="N192" i="1" s="1"/>
  <c r="O192" i="1" s="1"/>
  <c r="H192" i="1"/>
  <c r="G192" i="1"/>
  <c r="F192" i="1"/>
  <c r="N191" i="1"/>
  <c r="M191" i="1"/>
  <c r="L191" i="1"/>
  <c r="H191" i="1"/>
  <c r="O191" i="1" s="1"/>
  <c r="G191" i="1"/>
  <c r="F191" i="1"/>
  <c r="N190" i="1"/>
  <c r="M190" i="1"/>
  <c r="L190" i="1"/>
  <c r="G190" i="1"/>
  <c r="F190" i="1"/>
  <c r="H190" i="1" s="1"/>
  <c r="M189" i="1"/>
  <c r="L189" i="1"/>
  <c r="G189" i="1"/>
  <c r="F189" i="1"/>
  <c r="H189" i="1" s="1"/>
  <c r="M188" i="1"/>
  <c r="L188" i="1"/>
  <c r="N188" i="1" s="1"/>
  <c r="H188" i="1"/>
  <c r="G188" i="1"/>
  <c r="F188" i="1"/>
  <c r="N187" i="1"/>
  <c r="O187" i="1" s="1"/>
  <c r="M187" i="1"/>
  <c r="L187" i="1"/>
  <c r="G187" i="1"/>
  <c r="H187" i="1" s="1"/>
  <c r="F187" i="1"/>
  <c r="N186" i="1"/>
  <c r="M186" i="1"/>
  <c r="L186" i="1"/>
  <c r="G186" i="1"/>
  <c r="F186" i="1"/>
  <c r="H186" i="1" s="1"/>
  <c r="M185" i="1"/>
  <c r="L185" i="1"/>
  <c r="N185" i="1" s="1"/>
  <c r="G185" i="1"/>
  <c r="F185" i="1"/>
  <c r="H185" i="1" s="1"/>
  <c r="M184" i="1"/>
  <c r="L184" i="1"/>
  <c r="N184" i="1" s="1"/>
  <c r="O184" i="1" s="1"/>
  <c r="H184" i="1"/>
  <c r="G184" i="1"/>
  <c r="F184" i="1"/>
  <c r="N183" i="1"/>
  <c r="O183" i="1" s="1"/>
  <c r="M183" i="1"/>
  <c r="L183" i="1"/>
  <c r="G183" i="1"/>
  <c r="H183" i="1" s="1"/>
  <c r="F183" i="1"/>
  <c r="M182" i="1"/>
  <c r="N182" i="1" s="1"/>
  <c r="O182" i="1" s="1"/>
  <c r="L182" i="1"/>
  <c r="G182" i="1"/>
  <c r="F182" i="1"/>
  <c r="H182" i="1" s="1"/>
  <c r="M181" i="1"/>
  <c r="L181" i="1"/>
  <c r="N181" i="1" s="1"/>
  <c r="O181" i="1" s="1"/>
  <c r="G181" i="1"/>
  <c r="F181" i="1"/>
  <c r="H181" i="1" s="1"/>
  <c r="O180" i="1"/>
  <c r="M180" i="1"/>
  <c r="L180" i="1"/>
  <c r="N180" i="1" s="1"/>
  <c r="H180" i="1"/>
  <c r="G180" i="1"/>
  <c r="F180" i="1"/>
  <c r="N179" i="1"/>
  <c r="O179" i="1" s="1"/>
  <c r="M179" i="1"/>
  <c r="L179" i="1"/>
  <c r="G179" i="1"/>
  <c r="H179" i="1" s="1"/>
  <c r="F179" i="1"/>
  <c r="M178" i="1"/>
  <c r="N178" i="1" s="1"/>
  <c r="O178" i="1" s="1"/>
  <c r="L178" i="1"/>
  <c r="H178" i="1"/>
  <c r="G178" i="1"/>
  <c r="F178" i="1"/>
  <c r="M177" i="1"/>
  <c r="N177" i="1" s="1"/>
  <c r="O177" i="1" s="1"/>
  <c r="L177" i="1"/>
  <c r="G177" i="1"/>
  <c r="F177" i="1"/>
  <c r="H177" i="1" s="1"/>
  <c r="O176" i="1"/>
  <c r="M176" i="1"/>
  <c r="L176" i="1"/>
  <c r="N176" i="1" s="1"/>
  <c r="H176" i="1"/>
  <c r="G176" i="1"/>
  <c r="F176" i="1"/>
  <c r="N175" i="1"/>
  <c r="O175" i="1" s="1"/>
  <c r="M175" i="1"/>
  <c r="L175" i="1"/>
  <c r="G175" i="1"/>
  <c r="H175" i="1" s="1"/>
  <c r="F175" i="1"/>
  <c r="M174" i="1"/>
  <c r="N174" i="1" s="1"/>
  <c r="O174" i="1" s="1"/>
  <c r="L174" i="1"/>
  <c r="G174" i="1"/>
  <c r="F174" i="1"/>
  <c r="H174" i="1" s="1"/>
  <c r="N173" i="1"/>
  <c r="M173" i="1"/>
  <c r="L173" i="1"/>
  <c r="G173" i="1"/>
  <c r="F173" i="1"/>
  <c r="H173" i="1" s="1"/>
  <c r="M172" i="1"/>
  <c r="L172" i="1"/>
  <c r="N172" i="1" s="1"/>
  <c r="O172" i="1" s="1"/>
  <c r="H172" i="1"/>
  <c r="G172" i="1"/>
  <c r="F172" i="1"/>
  <c r="N171" i="1"/>
  <c r="M171" i="1"/>
  <c r="L171" i="1"/>
  <c r="G171" i="1"/>
  <c r="H171" i="1" s="1"/>
  <c r="F171" i="1"/>
  <c r="M170" i="1"/>
  <c r="N170" i="1" s="1"/>
  <c r="O170" i="1" s="1"/>
  <c r="L170" i="1"/>
  <c r="G170" i="1"/>
  <c r="F170" i="1"/>
  <c r="H170" i="1" s="1"/>
  <c r="M169" i="1"/>
  <c r="L169" i="1"/>
  <c r="N169" i="1" s="1"/>
  <c r="G169" i="1"/>
  <c r="F169" i="1"/>
  <c r="M168" i="1"/>
  <c r="L168" i="1"/>
  <c r="N168" i="1" s="1"/>
  <c r="O168" i="1" s="1"/>
  <c r="G168" i="1"/>
  <c r="F168" i="1"/>
  <c r="H168" i="1" s="1"/>
  <c r="M167" i="1"/>
  <c r="L167" i="1"/>
  <c r="N167" i="1" s="1"/>
  <c r="O167" i="1" s="1"/>
  <c r="H167" i="1"/>
  <c r="G167" i="1"/>
  <c r="F167" i="1"/>
  <c r="N166" i="1"/>
  <c r="O166" i="1" s="1"/>
  <c r="M166" i="1"/>
  <c r="L166" i="1"/>
  <c r="G166" i="1"/>
  <c r="H166" i="1" s="1"/>
  <c r="F166" i="1"/>
  <c r="M165" i="1"/>
  <c r="L165" i="1"/>
  <c r="N165" i="1" s="1"/>
  <c r="O165" i="1" s="1"/>
  <c r="G165" i="1"/>
  <c r="F165" i="1"/>
  <c r="H165" i="1" s="1"/>
  <c r="M164" i="1"/>
  <c r="L164" i="1"/>
  <c r="G164" i="1"/>
  <c r="F164" i="1"/>
  <c r="H164" i="1" s="1"/>
  <c r="M163" i="1"/>
  <c r="L163" i="1"/>
  <c r="N163" i="1" s="1"/>
  <c r="G163" i="1"/>
  <c r="H163" i="1" s="1"/>
  <c r="F163" i="1"/>
  <c r="M162" i="1"/>
  <c r="N162" i="1" s="1"/>
  <c r="O162" i="1" s="1"/>
  <c r="L162" i="1"/>
  <c r="H162" i="1"/>
  <c r="G162" i="1"/>
  <c r="F162" i="1"/>
  <c r="M161" i="1"/>
  <c r="N161" i="1" s="1"/>
  <c r="O161" i="1" s="1"/>
  <c r="L161" i="1"/>
  <c r="G161" i="1"/>
  <c r="F161" i="1"/>
  <c r="H161" i="1" s="1"/>
  <c r="O160" i="1"/>
  <c r="M160" i="1"/>
  <c r="L160" i="1"/>
  <c r="N160" i="1" s="1"/>
  <c r="H160" i="1"/>
  <c r="G160" i="1"/>
  <c r="F160" i="1"/>
  <c r="N159" i="1"/>
  <c r="O159" i="1" s="1"/>
  <c r="M159" i="1"/>
  <c r="L159" i="1"/>
  <c r="G159" i="1"/>
  <c r="H159" i="1" s="1"/>
  <c r="F159" i="1"/>
  <c r="N158" i="1"/>
  <c r="M158" i="1"/>
  <c r="L158" i="1"/>
  <c r="G158" i="1"/>
  <c r="F158" i="1"/>
  <c r="H158" i="1" s="1"/>
  <c r="N157" i="1"/>
  <c r="M157" i="1"/>
  <c r="L157" i="1"/>
  <c r="G157" i="1"/>
  <c r="F157" i="1"/>
  <c r="H157" i="1" s="1"/>
  <c r="M156" i="1"/>
  <c r="L156" i="1"/>
  <c r="H156" i="1"/>
  <c r="G156" i="1"/>
  <c r="F156" i="1"/>
  <c r="N155" i="1"/>
  <c r="O155" i="1" s="1"/>
  <c r="M155" i="1"/>
  <c r="L155" i="1"/>
  <c r="G155" i="1"/>
  <c r="H155" i="1" s="1"/>
  <c r="F155" i="1"/>
  <c r="M154" i="1"/>
  <c r="N154" i="1" s="1"/>
  <c r="O154" i="1" s="1"/>
  <c r="L154" i="1"/>
  <c r="G154" i="1"/>
  <c r="F154" i="1"/>
  <c r="H154" i="1" s="1"/>
  <c r="M153" i="1"/>
  <c r="L153" i="1"/>
  <c r="N153" i="1" s="1"/>
  <c r="G153" i="1"/>
  <c r="F153" i="1"/>
  <c r="M152" i="1"/>
  <c r="L152" i="1"/>
  <c r="N152" i="1" s="1"/>
  <c r="G152" i="1"/>
  <c r="F152" i="1"/>
  <c r="H152" i="1" s="1"/>
  <c r="M151" i="1"/>
  <c r="L151" i="1"/>
  <c r="N151" i="1" s="1"/>
  <c r="O151" i="1" s="1"/>
  <c r="H151" i="1"/>
  <c r="G151" i="1"/>
  <c r="F151" i="1"/>
  <c r="N150" i="1"/>
  <c r="M150" i="1"/>
  <c r="L150" i="1"/>
  <c r="G150" i="1"/>
  <c r="H150" i="1" s="1"/>
  <c r="F150" i="1"/>
  <c r="M149" i="1"/>
  <c r="L149" i="1"/>
  <c r="N149" i="1" s="1"/>
  <c r="O149" i="1" s="1"/>
  <c r="G149" i="1"/>
  <c r="F149" i="1"/>
  <c r="H149" i="1" s="1"/>
  <c r="M148" i="1"/>
  <c r="L148" i="1"/>
  <c r="G148" i="1"/>
  <c r="F148" i="1"/>
  <c r="H148" i="1" s="1"/>
  <c r="M147" i="1"/>
  <c r="L147" i="1"/>
  <c r="N147" i="1" s="1"/>
  <c r="G147" i="1"/>
  <c r="H147" i="1" s="1"/>
  <c r="F147" i="1"/>
  <c r="M146" i="1"/>
  <c r="N146" i="1" s="1"/>
  <c r="O146" i="1" s="1"/>
  <c r="L146" i="1"/>
  <c r="H146" i="1"/>
  <c r="G146" i="1"/>
  <c r="F146" i="1"/>
  <c r="M145" i="1"/>
  <c r="N145" i="1" s="1"/>
  <c r="L145" i="1"/>
  <c r="G145" i="1"/>
  <c r="F145" i="1"/>
  <c r="O144" i="1"/>
  <c r="M144" i="1"/>
  <c r="L144" i="1"/>
  <c r="N144" i="1" s="1"/>
  <c r="H144" i="1"/>
  <c r="G144" i="1"/>
  <c r="F144" i="1"/>
  <c r="N143" i="1"/>
  <c r="M143" i="1"/>
  <c r="L143" i="1"/>
  <c r="H143" i="1"/>
  <c r="O143" i="1" s="1"/>
  <c r="G143" i="1"/>
  <c r="F143" i="1"/>
  <c r="N142" i="1"/>
  <c r="M142" i="1"/>
  <c r="L142" i="1"/>
  <c r="G142" i="1"/>
  <c r="F142" i="1"/>
  <c r="H142" i="1" s="1"/>
  <c r="N141" i="1"/>
  <c r="M141" i="1"/>
  <c r="L141" i="1"/>
  <c r="G141" i="1"/>
  <c r="F141" i="1"/>
  <c r="H141" i="1" s="1"/>
  <c r="M140" i="1"/>
  <c r="L140" i="1"/>
  <c r="H140" i="1"/>
  <c r="G140" i="1"/>
  <c r="F140" i="1"/>
  <c r="N139" i="1"/>
  <c r="M139" i="1"/>
  <c r="L139" i="1"/>
  <c r="G139" i="1"/>
  <c r="H139" i="1" s="1"/>
  <c r="F139" i="1"/>
  <c r="M138" i="1"/>
  <c r="N138" i="1" s="1"/>
  <c r="O138" i="1" s="1"/>
  <c r="L138" i="1"/>
  <c r="G138" i="1"/>
  <c r="F138" i="1"/>
  <c r="H138" i="1" s="1"/>
  <c r="M137" i="1"/>
  <c r="L137" i="1"/>
  <c r="N137" i="1" s="1"/>
  <c r="G137" i="1"/>
  <c r="F137" i="1"/>
  <c r="M136" i="1"/>
  <c r="L136" i="1"/>
  <c r="N136" i="1" s="1"/>
  <c r="O136" i="1" s="1"/>
  <c r="G136" i="1"/>
  <c r="F136" i="1"/>
  <c r="H136" i="1" s="1"/>
  <c r="M135" i="1"/>
  <c r="L135" i="1"/>
  <c r="N135" i="1" s="1"/>
  <c r="O135" i="1" s="1"/>
  <c r="H135" i="1"/>
  <c r="G135" i="1"/>
  <c r="F135" i="1"/>
  <c r="N134" i="1"/>
  <c r="O134" i="1" s="1"/>
  <c r="M134" i="1"/>
  <c r="L134" i="1"/>
  <c r="G134" i="1"/>
  <c r="H134" i="1" s="1"/>
  <c r="F134" i="1"/>
  <c r="M133" i="1"/>
  <c r="L133" i="1"/>
  <c r="N133" i="1" s="1"/>
  <c r="O133" i="1" s="1"/>
  <c r="G133" i="1"/>
  <c r="F133" i="1"/>
  <c r="H133" i="1" s="1"/>
  <c r="M132" i="1"/>
  <c r="L132" i="1"/>
  <c r="G132" i="1"/>
  <c r="F132" i="1"/>
  <c r="H132" i="1" s="1"/>
  <c r="M131" i="1"/>
  <c r="L131" i="1"/>
  <c r="N131" i="1" s="1"/>
  <c r="G131" i="1"/>
  <c r="H131" i="1" s="1"/>
  <c r="F131" i="1"/>
  <c r="M130" i="1"/>
  <c r="N130" i="1" s="1"/>
  <c r="O130" i="1" s="1"/>
  <c r="L130" i="1"/>
  <c r="H130" i="1"/>
  <c r="G130" i="1"/>
  <c r="F130" i="1"/>
  <c r="M129" i="1"/>
  <c r="N129" i="1" s="1"/>
  <c r="L129" i="1"/>
  <c r="G129" i="1"/>
  <c r="F129" i="1"/>
  <c r="O128" i="1"/>
  <c r="M128" i="1"/>
  <c r="L128" i="1"/>
  <c r="N128" i="1" s="1"/>
  <c r="H128" i="1"/>
  <c r="G128" i="1"/>
  <c r="F128" i="1"/>
  <c r="N127" i="1"/>
  <c r="M127" i="1"/>
  <c r="L127" i="1"/>
  <c r="H127" i="1"/>
  <c r="O127" i="1" s="1"/>
  <c r="G127" i="1"/>
  <c r="F127" i="1"/>
  <c r="N126" i="1"/>
  <c r="M126" i="1"/>
  <c r="L126" i="1"/>
  <c r="G126" i="1"/>
  <c r="F126" i="1"/>
  <c r="H126" i="1" s="1"/>
  <c r="N125" i="1"/>
  <c r="M125" i="1"/>
  <c r="L125" i="1"/>
  <c r="G125" i="1"/>
  <c r="F125" i="1"/>
  <c r="H125" i="1" s="1"/>
  <c r="M124" i="1"/>
  <c r="L124" i="1"/>
  <c r="H124" i="1"/>
  <c r="G124" i="1"/>
  <c r="F124" i="1"/>
  <c r="N123" i="1"/>
  <c r="M123" i="1"/>
  <c r="L123" i="1"/>
  <c r="G123" i="1"/>
  <c r="H123" i="1" s="1"/>
  <c r="F123" i="1"/>
  <c r="M122" i="1"/>
  <c r="N122" i="1" s="1"/>
  <c r="O122" i="1" s="1"/>
  <c r="L122" i="1"/>
  <c r="G122" i="1"/>
  <c r="F122" i="1"/>
  <c r="H122" i="1" s="1"/>
  <c r="M121" i="1"/>
  <c r="L121" i="1"/>
  <c r="N121" i="1" s="1"/>
  <c r="G121" i="1"/>
  <c r="F121" i="1"/>
  <c r="M120" i="1"/>
  <c r="L120" i="1"/>
  <c r="N120" i="1" s="1"/>
  <c r="O120" i="1" s="1"/>
  <c r="G120" i="1"/>
  <c r="F120" i="1"/>
  <c r="H120" i="1" s="1"/>
  <c r="M119" i="1"/>
  <c r="L119" i="1"/>
  <c r="N119" i="1" s="1"/>
  <c r="O119" i="1" s="1"/>
  <c r="H119" i="1"/>
  <c r="G119" i="1"/>
  <c r="F119" i="1"/>
  <c r="N118" i="1"/>
  <c r="O118" i="1" s="1"/>
  <c r="M118" i="1"/>
  <c r="L118" i="1"/>
  <c r="G118" i="1"/>
  <c r="H118" i="1" s="1"/>
  <c r="F118" i="1"/>
  <c r="M117" i="1"/>
  <c r="L117" i="1"/>
  <c r="N117" i="1" s="1"/>
  <c r="G117" i="1"/>
  <c r="F117" i="1"/>
  <c r="H117" i="1" s="1"/>
  <c r="M116" i="1"/>
  <c r="L116" i="1"/>
  <c r="N116" i="1" s="1"/>
  <c r="O116" i="1" s="1"/>
  <c r="H116" i="1"/>
  <c r="G116" i="1"/>
  <c r="F116" i="1"/>
  <c r="N115" i="1"/>
  <c r="M115" i="1"/>
  <c r="L115" i="1"/>
  <c r="G115" i="1"/>
  <c r="H115" i="1" s="1"/>
  <c r="F115" i="1"/>
  <c r="M114" i="1"/>
  <c r="N114" i="1" s="1"/>
  <c r="O114" i="1" s="1"/>
  <c r="L114" i="1"/>
  <c r="G114" i="1"/>
  <c r="F114" i="1"/>
  <c r="H114" i="1" s="1"/>
  <c r="M113" i="1"/>
  <c r="L113" i="1"/>
  <c r="N113" i="1" s="1"/>
  <c r="O113" i="1" s="1"/>
  <c r="G113" i="1"/>
  <c r="F113" i="1"/>
  <c r="H113" i="1" s="1"/>
  <c r="M112" i="1"/>
  <c r="L112" i="1"/>
  <c r="N112" i="1" s="1"/>
  <c r="O112" i="1" s="1"/>
  <c r="H112" i="1"/>
  <c r="G112" i="1"/>
  <c r="F112" i="1"/>
  <c r="N111" i="1"/>
  <c r="O111" i="1" s="1"/>
  <c r="M111" i="1"/>
  <c r="L111" i="1"/>
  <c r="G111" i="1"/>
  <c r="H111" i="1" s="1"/>
  <c r="F111" i="1"/>
  <c r="M110" i="1"/>
  <c r="N110" i="1" s="1"/>
  <c r="O110" i="1" s="1"/>
  <c r="L110" i="1"/>
  <c r="G110" i="1"/>
  <c r="F110" i="1"/>
  <c r="H110" i="1" s="1"/>
  <c r="M109" i="1"/>
  <c r="L109" i="1"/>
  <c r="N109" i="1" s="1"/>
  <c r="G109" i="1"/>
  <c r="F109" i="1"/>
  <c r="H109" i="1" s="1"/>
  <c r="M108" i="1"/>
  <c r="L108" i="1"/>
  <c r="N108" i="1" s="1"/>
  <c r="O108" i="1" s="1"/>
  <c r="H108" i="1"/>
  <c r="G108" i="1"/>
  <c r="F108" i="1"/>
  <c r="N107" i="1"/>
  <c r="M107" i="1"/>
  <c r="L107" i="1"/>
  <c r="G107" i="1"/>
  <c r="H107" i="1" s="1"/>
  <c r="F107" i="1"/>
  <c r="M106" i="1"/>
  <c r="N106" i="1" s="1"/>
  <c r="L106" i="1"/>
  <c r="G106" i="1"/>
  <c r="F106" i="1"/>
  <c r="H106" i="1" s="1"/>
  <c r="M105" i="1"/>
  <c r="L105" i="1"/>
  <c r="N105" i="1" s="1"/>
  <c r="O105" i="1" s="1"/>
  <c r="G105" i="1"/>
  <c r="F105" i="1"/>
  <c r="H105" i="1" s="1"/>
  <c r="M104" i="1"/>
  <c r="L104" i="1"/>
  <c r="N104" i="1" s="1"/>
  <c r="O104" i="1" s="1"/>
  <c r="H104" i="1"/>
  <c r="G104" i="1"/>
  <c r="F104" i="1"/>
  <c r="N103" i="1"/>
  <c r="O103" i="1" s="1"/>
  <c r="M103" i="1"/>
  <c r="L103" i="1"/>
  <c r="G103" i="1"/>
  <c r="H103" i="1" s="1"/>
  <c r="F103" i="1"/>
  <c r="M102" i="1"/>
  <c r="N102" i="1" s="1"/>
  <c r="O102" i="1" s="1"/>
  <c r="L102" i="1"/>
  <c r="G102" i="1"/>
  <c r="F102" i="1"/>
  <c r="H102" i="1" s="1"/>
  <c r="M101" i="1"/>
  <c r="L101" i="1"/>
  <c r="N101" i="1" s="1"/>
  <c r="G101" i="1"/>
  <c r="F101" i="1"/>
  <c r="H101" i="1" s="1"/>
  <c r="M100" i="1"/>
  <c r="L100" i="1"/>
  <c r="N100" i="1" s="1"/>
  <c r="O100" i="1" s="1"/>
  <c r="H100" i="1"/>
  <c r="G100" i="1"/>
  <c r="F100" i="1"/>
  <c r="N99" i="1"/>
  <c r="M99" i="1"/>
  <c r="L99" i="1"/>
  <c r="G99" i="1"/>
  <c r="H99" i="1" s="1"/>
  <c r="F99" i="1"/>
  <c r="M98" i="1"/>
  <c r="N98" i="1" s="1"/>
  <c r="L98" i="1"/>
  <c r="G98" i="1"/>
  <c r="F98" i="1"/>
  <c r="H98" i="1" s="1"/>
  <c r="M97" i="1"/>
  <c r="L97" i="1"/>
  <c r="N97" i="1" s="1"/>
  <c r="O97" i="1" s="1"/>
  <c r="G97" i="1"/>
  <c r="F97" i="1"/>
  <c r="H97" i="1" s="1"/>
  <c r="M96" i="1"/>
  <c r="L96" i="1"/>
  <c r="N96" i="1" s="1"/>
  <c r="O96" i="1" s="1"/>
  <c r="H96" i="1"/>
  <c r="G96" i="1"/>
  <c r="F96" i="1"/>
  <c r="N95" i="1"/>
  <c r="O95" i="1" s="1"/>
  <c r="M95" i="1"/>
  <c r="L95" i="1"/>
  <c r="G95" i="1"/>
  <c r="H95" i="1" s="1"/>
  <c r="F95" i="1"/>
  <c r="M94" i="1"/>
  <c r="N94" i="1" s="1"/>
  <c r="O94" i="1" s="1"/>
  <c r="L94" i="1"/>
  <c r="G94" i="1"/>
  <c r="F94" i="1"/>
  <c r="H94" i="1" s="1"/>
  <c r="M93" i="1"/>
  <c r="L93" i="1"/>
  <c r="N93" i="1" s="1"/>
  <c r="G93" i="1"/>
  <c r="F93" i="1"/>
  <c r="H93" i="1" s="1"/>
  <c r="M92" i="1"/>
  <c r="L92" i="1"/>
  <c r="N92" i="1" s="1"/>
  <c r="O92" i="1" s="1"/>
  <c r="H92" i="1"/>
  <c r="G92" i="1"/>
  <c r="F92" i="1"/>
  <c r="N91" i="1"/>
  <c r="M91" i="1"/>
  <c r="L91" i="1"/>
  <c r="G91" i="1"/>
  <c r="H91" i="1" s="1"/>
  <c r="F91" i="1"/>
  <c r="M90" i="1"/>
  <c r="N90" i="1" s="1"/>
  <c r="L90" i="1"/>
  <c r="G90" i="1"/>
  <c r="F90" i="1"/>
  <c r="H90" i="1" s="1"/>
  <c r="M89" i="1"/>
  <c r="L89" i="1"/>
  <c r="N89" i="1" s="1"/>
  <c r="O89" i="1" s="1"/>
  <c r="G89" i="1"/>
  <c r="F89" i="1"/>
  <c r="H89" i="1" s="1"/>
  <c r="M88" i="1"/>
  <c r="L88" i="1"/>
  <c r="N88" i="1" s="1"/>
  <c r="O88" i="1" s="1"/>
  <c r="H88" i="1"/>
  <c r="G88" i="1"/>
  <c r="F88" i="1"/>
  <c r="N87" i="1"/>
  <c r="O87" i="1" s="1"/>
  <c r="M87" i="1"/>
  <c r="L87" i="1"/>
  <c r="G87" i="1"/>
  <c r="H87" i="1" s="1"/>
  <c r="F87" i="1"/>
  <c r="M86" i="1"/>
  <c r="N86" i="1" s="1"/>
  <c r="O86" i="1" s="1"/>
  <c r="L86" i="1"/>
  <c r="G86" i="1"/>
  <c r="F86" i="1"/>
  <c r="H86" i="1" s="1"/>
  <c r="M85" i="1"/>
  <c r="L85" i="1"/>
  <c r="N85" i="1" s="1"/>
  <c r="G85" i="1"/>
  <c r="F85" i="1"/>
  <c r="H85" i="1" s="1"/>
  <c r="M84" i="1"/>
  <c r="L84" i="1"/>
  <c r="N84" i="1" s="1"/>
  <c r="O84" i="1" s="1"/>
  <c r="H84" i="1"/>
  <c r="G84" i="1"/>
  <c r="F84" i="1"/>
  <c r="N83" i="1"/>
  <c r="M83" i="1"/>
  <c r="L83" i="1"/>
  <c r="G83" i="1"/>
  <c r="H83" i="1" s="1"/>
  <c r="F83" i="1"/>
  <c r="M82" i="1"/>
  <c r="N82" i="1" s="1"/>
  <c r="L82" i="1"/>
  <c r="G82" i="1"/>
  <c r="F82" i="1"/>
  <c r="H82" i="1" s="1"/>
  <c r="M81" i="1"/>
  <c r="L81" i="1"/>
  <c r="N81" i="1" s="1"/>
  <c r="O81" i="1" s="1"/>
  <c r="G81" i="1"/>
  <c r="F81" i="1"/>
  <c r="H81" i="1" s="1"/>
  <c r="M80" i="1"/>
  <c r="L80" i="1"/>
  <c r="N80" i="1" s="1"/>
  <c r="O80" i="1" s="1"/>
  <c r="H80" i="1"/>
  <c r="G80" i="1"/>
  <c r="F80" i="1"/>
  <c r="N79" i="1"/>
  <c r="O79" i="1" s="1"/>
  <c r="M79" i="1"/>
  <c r="L79" i="1"/>
  <c r="G79" i="1"/>
  <c r="H79" i="1" s="1"/>
  <c r="F79" i="1"/>
  <c r="M78" i="1"/>
  <c r="N78" i="1" s="1"/>
  <c r="O78" i="1" s="1"/>
  <c r="L78" i="1"/>
  <c r="G78" i="1"/>
  <c r="F78" i="1"/>
  <c r="H78" i="1" s="1"/>
  <c r="M77" i="1"/>
  <c r="L77" i="1"/>
  <c r="N77" i="1" s="1"/>
  <c r="G77" i="1"/>
  <c r="F77" i="1"/>
  <c r="H77" i="1" s="1"/>
  <c r="M76" i="1"/>
  <c r="L76" i="1"/>
  <c r="N76" i="1" s="1"/>
  <c r="O76" i="1" s="1"/>
  <c r="H76" i="1"/>
  <c r="G76" i="1"/>
  <c r="F76" i="1"/>
  <c r="N75" i="1"/>
  <c r="M75" i="1"/>
  <c r="L75" i="1"/>
  <c r="G75" i="1"/>
  <c r="H75" i="1" s="1"/>
  <c r="F75" i="1"/>
  <c r="M74" i="1"/>
  <c r="N74" i="1" s="1"/>
  <c r="L74" i="1"/>
  <c r="G74" i="1"/>
  <c r="F74" i="1"/>
  <c r="H74" i="1" s="1"/>
  <c r="M73" i="1"/>
  <c r="L73" i="1"/>
  <c r="N73" i="1" s="1"/>
  <c r="O73" i="1" s="1"/>
  <c r="G73" i="1"/>
  <c r="F73" i="1"/>
  <c r="H73" i="1" s="1"/>
  <c r="M72" i="1"/>
  <c r="L72" i="1"/>
  <c r="N72" i="1" s="1"/>
  <c r="O72" i="1" s="1"/>
  <c r="H72" i="1"/>
  <c r="G72" i="1"/>
  <c r="F72" i="1"/>
  <c r="N71" i="1"/>
  <c r="O71" i="1" s="1"/>
  <c r="M71" i="1"/>
  <c r="L71" i="1"/>
  <c r="G71" i="1"/>
  <c r="H71" i="1" s="1"/>
  <c r="F71" i="1"/>
  <c r="M70" i="1"/>
  <c r="N70" i="1" s="1"/>
  <c r="O70" i="1" s="1"/>
  <c r="L70" i="1"/>
  <c r="G70" i="1"/>
  <c r="F70" i="1"/>
  <c r="H70" i="1" s="1"/>
  <c r="M69" i="1"/>
  <c r="L69" i="1"/>
  <c r="N69" i="1" s="1"/>
  <c r="G69" i="1"/>
  <c r="F69" i="1"/>
  <c r="H69" i="1" s="1"/>
  <c r="M68" i="1"/>
  <c r="L68" i="1"/>
  <c r="N68" i="1" s="1"/>
  <c r="O68" i="1" s="1"/>
  <c r="H68" i="1"/>
  <c r="G68" i="1"/>
  <c r="F68" i="1"/>
  <c r="N67" i="1"/>
  <c r="M67" i="1"/>
  <c r="L67" i="1"/>
  <c r="G67" i="1"/>
  <c r="H67" i="1" s="1"/>
  <c r="F67" i="1"/>
  <c r="M66" i="1"/>
  <c r="N66" i="1" s="1"/>
  <c r="L66" i="1"/>
  <c r="G66" i="1"/>
  <c r="F66" i="1"/>
  <c r="H66" i="1" s="1"/>
  <c r="M65" i="1"/>
  <c r="L65" i="1"/>
  <c r="N65" i="1" s="1"/>
  <c r="O65" i="1" s="1"/>
  <c r="G65" i="1"/>
  <c r="F65" i="1"/>
  <c r="H65" i="1" s="1"/>
  <c r="M64" i="1"/>
  <c r="L64" i="1"/>
  <c r="N64" i="1" s="1"/>
  <c r="O64" i="1" s="1"/>
  <c r="H64" i="1"/>
  <c r="G64" i="1"/>
  <c r="F64" i="1"/>
  <c r="N63" i="1"/>
  <c r="O63" i="1" s="1"/>
  <c r="M63" i="1"/>
  <c r="L63" i="1"/>
  <c r="G63" i="1"/>
  <c r="H63" i="1" s="1"/>
  <c r="F63" i="1"/>
  <c r="M62" i="1"/>
  <c r="N62" i="1" s="1"/>
  <c r="O62" i="1" s="1"/>
  <c r="L62" i="1"/>
  <c r="G62" i="1"/>
  <c r="F62" i="1"/>
  <c r="H62" i="1" s="1"/>
  <c r="M61" i="1"/>
  <c r="L61" i="1"/>
  <c r="N61" i="1" s="1"/>
  <c r="G61" i="1"/>
  <c r="F61" i="1"/>
  <c r="H61" i="1" s="1"/>
  <c r="M60" i="1"/>
  <c r="L60" i="1"/>
  <c r="N60" i="1" s="1"/>
  <c r="O60" i="1" s="1"/>
  <c r="H60" i="1"/>
  <c r="G60" i="1"/>
  <c r="F60" i="1"/>
  <c r="N59" i="1"/>
  <c r="M59" i="1"/>
  <c r="L59" i="1"/>
  <c r="G59" i="1"/>
  <c r="H59" i="1" s="1"/>
  <c r="F59" i="1"/>
  <c r="M58" i="1"/>
  <c r="N58" i="1" s="1"/>
  <c r="L58" i="1"/>
  <c r="G58" i="1"/>
  <c r="F58" i="1"/>
  <c r="H58" i="1" s="1"/>
  <c r="M57" i="1"/>
  <c r="L57" i="1"/>
  <c r="N57" i="1" s="1"/>
  <c r="O57" i="1" s="1"/>
  <c r="G57" i="1"/>
  <c r="F57" i="1"/>
  <c r="H57" i="1" s="1"/>
  <c r="M56" i="1"/>
  <c r="L56" i="1"/>
  <c r="N56" i="1" s="1"/>
  <c r="O56" i="1" s="1"/>
  <c r="H56" i="1"/>
  <c r="G56" i="1"/>
  <c r="F56" i="1"/>
  <c r="N55" i="1"/>
  <c r="O55" i="1" s="1"/>
  <c r="M55" i="1"/>
  <c r="L55" i="1"/>
  <c r="G55" i="1"/>
  <c r="H55" i="1" s="1"/>
  <c r="F55" i="1"/>
  <c r="M54" i="1"/>
  <c r="N54" i="1" s="1"/>
  <c r="O54" i="1" s="1"/>
  <c r="L54" i="1"/>
  <c r="G54" i="1"/>
  <c r="F54" i="1"/>
  <c r="H54" i="1" s="1"/>
  <c r="M53" i="1"/>
  <c r="L53" i="1"/>
  <c r="N53" i="1" s="1"/>
  <c r="G53" i="1"/>
  <c r="F53" i="1"/>
  <c r="H53" i="1" s="1"/>
  <c r="M52" i="1"/>
  <c r="L52" i="1"/>
  <c r="N52" i="1" s="1"/>
  <c r="O52" i="1" s="1"/>
  <c r="H52" i="1"/>
  <c r="G52" i="1"/>
  <c r="F52" i="1"/>
  <c r="N51" i="1"/>
  <c r="M51" i="1"/>
  <c r="L51" i="1"/>
  <c r="G51" i="1"/>
  <c r="H51" i="1" s="1"/>
  <c r="F51" i="1"/>
  <c r="M50" i="1"/>
  <c r="N50" i="1" s="1"/>
  <c r="L50" i="1"/>
  <c r="G50" i="1"/>
  <c r="F50" i="1"/>
  <c r="H50" i="1" s="1"/>
  <c r="M49" i="1"/>
  <c r="L49" i="1"/>
  <c r="N49" i="1" s="1"/>
  <c r="O49" i="1" s="1"/>
  <c r="G49" i="1"/>
  <c r="F49" i="1"/>
  <c r="H49" i="1" s="1"/>
  <c r="M48" i="1"/>
  <c r="L48" i="1"/>
  <c r="N48" i="1" s="1"/>
  <c r="O48" i="1" s="1"/>
  <c r="H48" i="1"/>
  <c r="G48" i="1"/>
  <c r="F48" i="1"/>
  <c r="N47" i="1"/>
  <c r="O47" i="1" s="1"/>
  <c r="M47" i="1"/>
  <c r="L47" i="1"/>
  <c r="G47" i="1"/>
  <c r="H47" i="1" s="1"/>
  <c r="F47" i="1"/>
  <c r="M46" i="1"/>
  <c r="N46" i="1" s="1"/>
  <c r="O46" i="1" s="1"/>
  <c r="L46" i="1"/>
  <c r="G46" i="1"/>
  <c r="F46" i="1"/>
  <c r="H46" i="1" s="1"/>
  <c r="M45" i="1"/>
  <c r="L45" i="1"/>
  <c r="N45" i="1" s="1"/>
  <c r="G45" i="1"/>
  <c r="F45" i="1"/>
  <c r="H45" i="1" s="1"/>
  <c r="M44" i="1"/>
  <c r="L44" i="1"/>
  <c r="N44" i="1" s="1"/>
  <c r="O44" i="1" s="1"/>
  <c r="H44" i="1"/>
  <c r="G44" i="1"/>
  <c r="F44" i="1"/>
  <c r="N43" i="1"/>
  <c r="M43" i="1"/>
  <c r="L43" i="1"/>
  <c r="G43" i="1"/>
  <c r="H43" i="1" s="1"/>
  <c r="F43" i="1"/>
  <c r="M42" i="1"/>
  <c r="N42" i="1" s="1"/>
  <c r="L42" i="1"/>
  <c r="G42" i="1"/>
  <c r="F42" i="1"/>
  <c r="H42" i="1" s="1"/>
  <c r="M41" i="1"/>
  <c r="L41" i="1"/>
  <c r="N41" i="1" s="1"/>
  <c r="O41" i="1" s="1"/>
  <c r="G41" i="1"/>
  <c r="F41" i="1"/>
  <c r="H41" i="1" s="1"/>
  <c r="M40" i="1"/>
  <c r="L40" i="1"/>
  <c r="N40" i="1" s="1"/>
  <c r="O40" i="1" s="1"/>
  <c r="H40" i="1"/>
  <c r="G40" i="1"/>
  <c r="F40" i="1"/>
  <c r="N39" i="1"/>
  <c r="O39" i="1" s="1"/>
  <c r="M39" i="1"/>
  <c r="L39" i="1"/>
  <c r="G39" i="1"/>
  <c r="H39" i="1" s="1"/>
  <c r="F39" i="1"/>
  <c r="M38" i="1"/>
  <c r="N38" i="1" s="1"/>
  <c r="O38" i="1" s="1"/>
  <c r="L38" i="1"/>
  <c r="G38" i="1"/>
  <c r="F38" i="1"/>
  <c r="H38" i="1" s="1"/>
  <c r="M37" i="1"/>
  <c r="L37" i="1"/>
  <c r="N37" i="1" s="1"/>
  <c r="G37" i="1"/>
  <c r="F37" i="1"/>
  <c r="H37" i="1" s="1"/>
  <c r="M36" i="1"/>
  <c r="L36" i="1"/>
  <c r="N36" i="1" s="1"/>
  <c r="O36" i="1" s="1"/>
  <c r="H36" i="1"/>
  <c r="G36" i="1"/>
  <c r="F36" i="1"/>
  <c r="N35" i="1"/>
  <c r="M35" i="1"/>
  <c r="L35" i="1"/>
  <c r="G35" i="1"/>
  <c r="H35" i="1" s="1"/>
  <c r="F35" i="1"/>
  <c r="M34" i="1"/>
  <c r="N34" i="1" s="1"/>
  <c r="L34" i="1"/>
  <c r="G34" i="1"/>
  <c r="F34" i="1"/>
  <c r="H34" i="1" s="1"/>
  <c r="M33" i="1"/>
  <c r="L33" i="1"/>
  <c r="N33" i="1" s="1"/>
  <c r="O33" i="1" s="1"/>
  <c r="G33" i="1"/>
  <c r="F33" i="1"/>
  <c r="H33" i="1" s="1"/>
  <c r="M32" i="1"/>
  <c r="L32" i="1"/>
  <c r="N32" i="1" s="1"/>
  <c r="O32" i="1" s="1"/>
  <c r="H32" i="1"/>
  <c r="G32" i="1"/>
  <c r="F32" i="1"/>
  <c r="N31" i="1"/>
  <c r="O31" i="1" s="1"/>
  <c r="M31" i="1"/>
  <c r="L31" i="1"/>
  <c r="G31" i="1"/>
  <c r="H31" i="1" s="1"/>
  <c r="F31" i="1"/>
  <c r="M30" i="1"/>
  <c r="N30" i="1" s="1"/>
  <c r="O30" i="1" s="1"/>
  <c r="L30" i="1"/>
  <c r="G30" i="1"/>
  <c r="F30" i="1"/>
  <c r="H30" i="1" s="1"/>
  <c r="M29" i="1"/>
  <c r="L29" i="1"/>
  <c r="N29" i="1" s="1"/>
  <c r="G29" i="1"/>
  <c r="F29" i="1"/>
  <c r="H29" i="1" s="1"/>
  <c r="M28" i="1"/>
  <c r="L28" i="1"/>
  <c r="N28" i="1" s="1"/>
  <c r="O28" i="1" s="1"/>
  <c r="H28" i="1"/>
  <c r="G28" i="1"/>
  <c r="F28" i="1"/>
  <c r="N27" i="1"/>
  <c r="M27" i="1"/>
  <c r="L27" i="1"/>
  <c r="G27" i="1"/>
  <c r="H27" i="1" s="1"/>
  <c r="F27" i="1"/>
  <c r="M26" i="1"/>
  <c r="N26" i="1" s="1"/>
  <c r="L26" i="1"/>
  <c r="G26" i="1"/>
  <c r="F26" i="1"/>
  <c r="H26" i="1" s="1"/>
  <c r="M25" i="1"/>
  <c r="L25" i="1"/>
  <c r="N25" i="1" s="1"/>
  <c r="O25" i="1" s="1"/>
  <c r="G25" i="1"/>
  <c r="F25" i="1"/>
  <c r="H25" i="1" s="1"/>
  <c r="M24" i="1"/>
  <c r="L24" i="1"/>
  <c r="N24" i="1" s="1"/>
  <c r="O24" i="1" s="1"/>
  <c r="H24" i="1"/>
  <c r="G24" i="1"/>
  <c r="F24" i="1"/>
  <c r="N23" i="1"/>
  <c r="O23" i="1" s="1"/>
  <c r="M23" i="1"/>
  <c r="L23" i="1"/>
  <c r="G23" i="1"/>
  <c r="H23" i="1" s="1"/>
  <c r="F23" i="1"/>
  <c r="M22" i="1"/>
  <c r="N22" i="1" s="1"/>
  <c r="O22" i="1" s="1"/>
  <c r="L22" i="1"/>
  <c r="G22" i="1"/>
  <c r="F22" i="1"/>
  <c r="H22" i="1" s="1"/>
  <c r="M21" i="1"/>
  <c r="L21" i="1"/>
  <c r="N21" i="1" s="1"/>
  <c r="G21" i="1"/>
  <c r="F21" i="1"/>
  <c r="H21" i="1" s="1"/>
  <c r="M20" i="1"/>
  <c r="L20" i="1"/>
  <c r="N20" i="1" s="1"/>
  <c r="O20" i="1" s="1"/>
  <c r="H20" i="1"/>
  <c r="G20" i="1"/>
  <c r="F20" i="1"/>
  <c r="N19" i="1"/>
  <c r="M19" i="1"/>
  <c r="L19" i="1"/>
  <c r="G19" i="1"/>
  <c r="H19" i="1" s="1"/>
  <c r="F19" i="1"/>
  <c r="M18" i="1"/>
  <c r="N18" i="1" s="1"/>
  <c r="L18" i="1"/>
  <c r="G18" i="1"/>
  <c r="F18" i="1"/>
  <c r="H18" i="1" s="1"/>
  <c r="M17" i="1"/>
  <c r="L17" i="1"/>
  <c r="N17" i="1" s="1"/>
  <c r="O17" i="1" s="1"/>
  <c r="G17" i="1"/>
  <c r="F17" i="1"/>
  <c r="H17" i="1" s="1"/>
  <c r="M16" i="1"/>
  <c r="L16" i="1"/>
  <c r="N16" i="1" s="1"/>
  <c r="O16" i="1" s="1"/>
  <c r="H16" i="1"/>
  <c r="G16" i="1"/>
  <c r="F16" i="1"/>
  <c r="N15" i="1"/>
  <c r="O15" i="1" s="1"/>
  <c r="M15" i="1"/>
  <c r="L15" i="1"/>
  <c r="G15" i="1"/>
  <c r="H15" i="1" s="1"/>
  <c r="F15" i="1"/>
  <c r="M14" i="1"/>
  <c r="N14" i="1" s="1"/>
  <c r="O14" i="1" s="1"/>
  <c r="L14" i="1"/>
  <c r="G14" i="1"/>
  <c r="F14" i="1"/>
  <c r="H14" i="1" s="1"/>
  <c r="M13" i="1"/>
  <c r="L13" i="1"/>
  <c r="N13" i="1" s="1"/>
  <c r="G13" i="1"/>
  <c r="F13" i="1"/>
  <c r="H13" i="1" s="1"/>
  <c r="AB12" i="1"/>
  <c r="AC12" i="1" s="1"/>
  <c r="AD12" i="1" s="1"/>
  <c r="AA12" i="1"/>
  <c r="M12" i="1"/>
  <c r="L12" i="1"/>
  <c r="N12" i="1" s="1"/>
  <c r="O12" i="1" s="1"/>
  <c r="H12" i="1"/>
  <c r="G12" i="1"/>
  <c r="F12" i="1"/>
  <c r="AC11" i="1"/>
  <c r="AD11" i="1" s="1"/>
  <c r="AB11" i="1"/>
  <c r="AA11" i="1"/>
  <c r="N11" i="1"/>
  <c r="M11" i="1"/>
  <c r="L11" i="1"/>
  <c r="G11" i="1"/>
  <c r="H11" i="1" s="1"/>
  <c r="F11" i="1"/>
  <c r="AB10" i="1"/>
  <c r="AC10" i="1" s="1"/>
  <c r="AD10" i="1" s="1"/>
  <c r="AA10" i="1"/>
  <c r="V10" i="1"/>
  <c r="U10" i="1"/>
  <c r="W10" i="1" s="1"/>
  <c r="M10" i="1"/>
  <c r="L10" i="1"/>
  <c r="N10" i="1" s="1"/>
  <c r="O10" i="1" s="1"/>
  <c r="G10" i="1"/>
  <c r="F10" i="1"/>
  <c r="H10" i="1" s="1"/>
  <c r="AB9" i="1"/>
  <c r="AC9" i="1" s="1"/>
  <c r="AD9" i="1" s="1"/>
  <c r="AA9" i="1"/>
  <c r="W9" i="1"/>
  <c r="V9" i="1"/>
  <c r="U9" i="1"/>
  <c r="N9" i="1"/>
  <c r="O9" i="1" s="1"/>
  <c r="M9" i="1"/>
  <c r="L9" i="1"/>
  <c r="G9" i="1"/>
  <c r="H9" i="1" s="1"/>
  <c r="F9" i="1"/>
  <c r="AB8" i="1"/>
  <c r="AC8" i="1" s="1"/>
  <c r="AA8" i="1"/>
  <c r="V8" i="1"/>
  <c r="U8" i="1"/>
  <c r="W8" i="1" s="1"/>
  <c r="M8" i="1"/>
  <c r="L8" i="1"/>
  <c r="N8" i="1" s="1"/>
  <c r="G8" i="1"/>
  <c r="F8" i="1"/>
  <c r="H8" i="1" s="1"/>
  <c r="AB7" i="1"/>
  <c r="AC7" i="1" s="1"/>
  <c r="AD7" i="1" s="1"/>
  <c r="AA7" i="1"/>
  <c r="W7" i="1"/>
  <c r="V7" i="1"/>
  <c r="U7" i="1"/>
  <c r="N7" i="1"/>
  <c r="M7" i="1"/>
  <c r="L7" i="1"/>
  <c r="G7" i="1"/>
  <c r="H7" i="1" s="1"/>
  <c r="F7" i="1"/>
  <c r="AB6" i="1"/>
  <c r="AC6" i="1" s="1"/>
  <c r="AD6" i="1" s="1"/>
  <c r="AA6" i="1"/>
  <c r="V6" i="1"/>
  <c r="U6" i="1"/>
  <c r="W6" i="1" s="1"/>
  <c r="M6" i="1"/>
  <c r="L6" i="1"/>
  <c r="N6" i="1" s="1"/>
  <c r="O6" i="1" s="1"/>
  <c r="G6" i="1"/>
  <c r="F6" i="1"/>
  <c r="H6" i="1" s="1"/>
  <c r="AB5" i="1"/>
  <c r="AC5" i="1" s="1"/>
  <c r="AD5" i="1" s="1"/>
  <c r="AA5" i="1"/>
  <c r="W5" i="1"/>
  <c r="V5" i="1"/>
  <c r="U5" i="1"/>
  <c r="N5" i="1"/>
  <c r="O5" i="1" s="1"/>
  <c r="M5" i="1"/>
  <c r="L5" i="1"/>
  <c r="G5" i="1"/>
  <c r="H5" i="1" s="1"/>
  <c r="F5" i="1"/>
  <c r="AB4" i="1"/>
  <c r="AC4" i="1" s="1"/>
  <c r="AA4" i="1"/>
  <c r="V4" i="1"/>
  <c r="U4" i="1"/>
  <c r="W4" i="1" s="1"/>
  <c r="M4" i="1"/>
  <c r="L4" i="1"/>
  <c r="N4" i="1" s="1"/>
  <c r="G4" i="1"/>
  <c r="F4" i="1"/>
  <c r="H4" i="1" s="1"/>
  <c r="AB3" i="1"/>
  <c r="AC3" i="1" s="1"/>
  <c r="AD3" i="1" s="1"/>
  <c r="AA3" i="1"/>
  <c r="W3" i="1"/>
  <c r="V3" i="1"/>
  <c r="U3" i="1"/>
  <c r="N3" i="1"/>
  <c r="M3" i="1"/>
  <c r="L3" i="1"/>
  <c r="G3" i="1"/>
  <c r="H3" i="1" s="1"/>
  <c r="F3" i="1"/>
  <c r="AB2" i="1"/>
  <c r="AC2" i="1" s="1"/>
  <c r="AD2" i="1" s="1"/>
  <c r="AA2" i="1"/>
  <c r="V2" i="1"/>
  <c r="U2" i="1"/>
  <c r="W2" i="1" s="1"/>
  <c r="M2" i="1"/>
  <c r="L2" i="1"/>
  <c r="N2" i="1" s="1"/>
  <c r="O2" i="1" s="1"/>
  <c r="G2" i="1"/>
  <c r="F2" i="1"/>
  <c r="H2" i="1" s="1"/>
  <c r="O158" i="1" l="1"/>
  <c r="O3" i="1"/>
  <c r="O4" i="1"/>
  <c r="O7" i="1"/>
  <c r="O8" i="1"/>
  <c r="O11" i="1"/>
  <c r="O18" i="1"/>
  <c r="O26" i="1"/>
  <c r="O34" i="1"/>
  <c r="O42" i="1"/>
  <c r="O50" i="1"/>
  <c r="O58" i="1"/>
  <c r="O66" i="1"/>
  <c r="O74" i="1"/>
  <c r="O82" i="1"/>
  <c r="O90" i="1"/>
  <c r="O98" i="1"/>
  <c r="O106" i="1"/>
  <c r="O126" i="1"/>
  <c r="O131" i="1"/>
  <c r="O139" i="1"/>
  <c r="O142" i="1"/>
  <c r="O147" i="1"/>
  <c r="O169" i="1"/>
  <c r="AD4" i="1"/>
  <c r="AD8" i="1"/>
  <c r="O13" i="1"/>
  <c r="O19" i="1"/>
  <c r="O21" i="1"/>
  <c r="O27" i="1"/>
  <c r="O29" i="1"/>
  <c r="O35" i="1"/>
  <c r="O37" i="1"/>
  <c r="O43" i="1"/>
  <c r="O45" i="1"/>
  <c r="O51" i="1"/>
  <c r="O53" i="1"/>
  <c r="O59" i="1"/>
  <c r="O61" i="1"/>
  <c r="O67" i="1"/>
  <c r="O69" i="1"/>
  <c r="O75" i="1"/>
  <c r="O77" i="1"/>
  <c r="O83" i="1"/>
  <c r="O85" i="1"/>
  <c r="O91" i="1"/>
  <c r="O93" i="1"/>
  <c r="O99" i="1"/>
  <c r="O101" i="1"/>
  <c r="O107" i="1"/>
  <c r="O109" i="1"/>
  <c r="O115" i="1"/>
  <c r="O117" i="1"/>
  <c r="O123" i="1"/>
  <c r="O150" i="1"/>
  <c r="O152" i="1"/>
  <c r="O163" i="1"/>
  <c r="O171" i="1"/>
  <c r="O125" i="1"/>
  <c r="O141" i="1"/>
  <c r="O173" i="1"/>
  <c r="O186" i="1"/>
  <c r="O307" i="1"/>
  <c r="N124" i="1"/>
  <c r="O124" i="1" s="1"/>
  <c r="H129" i="1"/>
  <c r="O129" i="1" s="1"/>
  <c r="N140" i="1"/>
  <c r="O140" i="1" s="1"/>
  <c r="H145" i="1"/>
  <c r="O145" i="1" s="1"/>
  <c r="N156" i="1"/>
  <c r="O156" i="1" s="1"/>
  <c r="O190" i="1"/>
  <c r="O206" i="1"/>
  <c r="O222" i="1"/>
  <c r="O238" i="1"/>
  <c r="O254" i="1"/>
  <c r="O294" i="1"/>
  <c r="O314" i="1"/>
  <c r="O185" i="1"/>
  <c r="O194" i="1"/>
  <c r="O201" i="1"/>
  <c r="O210" i="1"/>
  <c r="O217" i="1"/>
  <c r="O226" i="1"/>
  <c r="O233" i="1"/>
  <c r="O242" i="1"/>
  <c r="O249" i="1"/>
  <c r="O258" i="1"/>
  <c r="O265" i="1"/>
  <c r="O274" i="1"/>
  <c r="O279" i="1"/>
  <c r="O157" i="1"/>
  <c r="O218" i="1"/>
  <c r="O250" i="1"/>
  <c r="H121" i="1"/>
  <c r="O121" i="1" s="1"/>
  <c r="N132" i="1"/>
  <c r="O132" i="1" s="1"/>
  <c r="H137" i="1"/>
  <c r="O137" i="1" s="1"/>
  <c r="N148" i="1"/>
  <c r="O148" i="1" s="1"/>
  <c r="H153" i="1"/>
  <c r="O153" i="1" s="1"/>
  <c r="N164" i="1"/>
  <c r="O164" i="1" s="1"/>
  <c r="H169" i="1"/>
  <c r="O188" i="1"/>
  <c r="N189" i="1"/>
  <c r="O189" i="1" s="1"/>
  <c r="H198" i="1"/>
  <c r="O198" i="1" s="1"/>
  <c r="N205" i="1"/>
  <c r="O205" i="1" s="1"/>
  <c r="H214" i="1"/>
  <c r="O214" i="1"/>
  <c r="N221" i="1"/>
  <c r="O221" i="1" s="1"/>
  <c r="H230" i="1"/>
  <c r="O230" i="1" s="1"/>
  <c r="N237" i="1"/>
  <c r="O237" i="1" s="1"/>
  <c r="H246" i="1"/>
  <c r="O246" i="1"/>
  <c r="N253" i="1"/>
  <c r="O253" i="1" s="1"/>
  <c r="H262" i="1"/>
  <c r="O262" i="1" s="1"/>
  <c r="N267" i="1"/>
  <c r="O267" i="1" s="1"/>
  <c r="O276" i="1"/>
  <c r="O281" i="1"/>
  <c r="O290" i="1"/>
  <c r="O295" i="1"/>
  <c r="O296" i="1"/>
  <c r="O304" i="1"/>
  <c r="O330" i="1"/>
  <c r="O78" i="2"/>
  <c r="O345" i="1"/>
  <c r="O5" i="2"/>
  <c r="O8" i="2"/>
  <c r="O25" i="2"/>
  <c r="O31" i="2"/>
  <c r="O134" i="2"/>
  <c r="O141" i="2"/>
  <c r="O243" i="2"/>
  <c r="N266" i="1"/>
  <c r="O266" i="1" s="1"/>
  <c r="H271" i="1"/>
  <c r="O271" i="1" s="1"/>
  <c r="N282" i="1"/>
  <c r="O282" i="1" s="1"/>
  <c r="H287" i="1"/>
  <c r="O287" i="1" s="1"/>
  <c r="N298" i="1"/>
  <c r="O298" i="1" s="1"/>
  <c r="H303" i="1"/>
  <c r="O303" i="1" s="1"/>
  <c r="O309" i="1"/>
  <c r="O315" i="1"/>
  <c r="O325" i="1"/>
  <c r="O331" i="1"/>
  <c r="M346" i="1"/>
  <c r="N346" i="1" s="1"/>
  <c r="O346" i="1" s="1"/>
  <c r="AD3" i="2"/>
  <c r="O6" i="2"/>
  <c r="O12" i="2"/>
  <c r="O15" i="2"/>
  <c r="O22" i="2"/>
  <c r="O27" i="2"/>
  <c r="O39" i="2"/>
  <c r="O71" i="2"/>
  <c r="O103" i="2"/>
  <c r="O135" i="2"/>
  <c r="O142" i="2"/>
  <c r="O153" i="2"/>
  <c r="N270" i="1"/>
  <c r="O270" i="1" s="1"/>
  <c r="H275" i="1"/>
  <c r="O275" i="1" s="1"/>
  <c r="N286" i="1"/>
  <c r="O286" i="1" s="1"/>
  <c r="H291" i="1"/>
  <c r="O291" i="1" s="1"/>
  <c r="N302" i="1"/>
  <c r="O302" i="1" s="1"/>
  <c r="H307" i="1"/>
  <c r="O311" i="1"/>
  <c r="O316" i="1"/>
  <c r="O321" i="1"/>
  <c r="O327" i="1"/>
  <c r="O332" i="1"/>
  <c r="O337" i="1"/>
  <c r="O344" i="1"/>
  <c r="O4" i="2"/>
  <c r="AD9" i="2"/>
  <c r="W11" i="2"/>
  <c r="AD11" i="2" s="1"/>
  <c r="O23" i="2"/>
  <c r="O34" i="2"/>
  <c r="O63" i="2"/>
  <c r="O95" i="2"/>
  <c r="O127" i="2"/>
  <c r="O137" i="2"/>
  <c r="O144" i="2"/>
  <c r="O159" i="2"/>
  <c r="H239" i="2"/>
  <c r="O239" i="2"/>
  <c r="O240" i="2"/>
  <c r="O139" i="2"/>
  <c r="O150" i="2"/>
  <c r="O180" i="2"/>
  <c r="O212" i="2"/>
  <c r="N340" i="1"/>
  <c r="O340" i="1" s="1"/>
  <c r="H3" i="2"/>
  <c r="O3" i="2" s="1"/>
  <c r="AC8" i="2"/>
  <c r="AD8" i="2" s="1"/>
  <c r="H11" i="2"/>
  <c r="O11" i="2" s="1"/>
  <c r="N16" i="2"/>
  <c r="O16" i="2" s="1"/>
  <c r="H21" i="2"/>
  <c r="O21" i="2" s="1"/>
  <c r="N32" i="2"/>
  <c r="O32" i="2" s="1"/>
  <c r="H38" i="2"/>
  <c r="O38" i="2" s="1"/>
  <c r="N41" i="2"/>
  <c r="O41" i="2" s="1"/>
  <c r="H46" i="2"/>
  <c r="O46" i="2" s="1"/>
  <c r="N49" i="2"/>
  <c r="O49" i="2" s="1"/>
  <c r="H54" i="2"/>
  <c r="O54" i="2" s="1"/>
  <c r="N57" i="2"/>
  <c r="O57" i="2" s="1"/>
  <c r="H62" i="2"/>
  <c r="O62" i="2" s="1"/>
  <c r="N65" i="2"/>
  <c r="O65" i="2" s="1"/>
  <c r="H70" i="2"/>
  <c r="O70" i="2" s="1"/>
  <c r="N73" i="2"/>
  <c r="O73" i="2" s="1"/>
  <c r="H78" i="2"/>
  <c r="N81" i="2"/>
  <c r="O81" i="2" s="1"/>
  <c r="H86" i="2"/>
  <c r="O86" i="2" s="1"/>
  <c r="N89" i="2"/>
  <c r="O89" i="2" s="1"/>
  <c r="H94" i="2"/>
  <c r="O94" i="2" s="1"/>
  <c r="N97" i="2"/>
  <c r="O97" i="2" s="1"/>
  <c r="H102" i="2"/>
  <c r="O102" i="2" s="1"/>
  <c r="N105" i="2"/>
  <c r="O105" i="2" s="1"/>
  <c r="H110" i="2"/>
  <c r="O110" i="2" s="1"/>
  <c r="N113" i="2"/>
  <c r="O113" i="2" s="1"/>
  <c r="H118" i="2"/>
  <c r="O118" i="2" s="1"/>
  <c r="N121" i="2"/>
  <c r="O121" i="2" s="1"/>
  <c r="H126" i="2"/>
  <c r="O126" i="2" s="1"/>
  <c r="N129" i="2"/>
  <c r="O129" i="2" s="1"/>
  <c r="H134" i="2"/>
  <c r="O143" i="2"/>
  <c r="N152" i="2"/>
  <c r="O152" i="2" s="1"/>
  <c r="H160" i="2"/>
  <c r="O160" i="2"/>
  <c r="O161" i="2"/>
  <c r="O173" i="2"/>
  <c r="O181" i="2"/>
  <c r="O189" i="2"/>
  <c r="O197" i="2"/>
  <c r="O205" i="2"/>
  <c r="O213" i="2"/>
  <c r="O221" i="2"/>
  <c r="O229" i="2"/>
  <c r="O237" i="2"/>
  <c r="N247" i="2"/>
  <c r="O264" i="2"/>
  <c r="O238" i="2"/>
  <c r="O251" i="2"/>
  <c r="O261" i="2"/>
  <c r="O293" i="2"/>
  <c r="O325" i="2"/>
  <c r="L345" i="2"/>
  <c r="M345" i="2"/>
  <c r="H140" i="2"/>
  <c r="O140" i="2" s="1"/>
  <c r="N151" i="2"/>
  <c r="O151" i="2" s="1"/>
  <c r="H156" i="2"/>
  <c r="O156" i="2" s="1"/>
  <c r="N167" i="2"/>
  <c r="O167" i="2" s="1"/>
  <c r="H172" i="2"/>
  <c r="O172" i="2" s="1"/>
  <c r="N175" i="2"/>
  <c r="O175" i="2" s="1"/>
  <c r="H180" i="2"/>
  <c r="N183" i="2"/>
  <c r="O183" i="2" s="1"/>
  <c r="H188" i="2"/>
  <c r="O188" i="2" s="1"/>
  <c r="N191" i="2"/>
  <c r="O191" i="2" s="1"/>
  <c r="H196" i="2"/>
  <c r="O196" i="2" s="1"/>
  <c r="N199" i="2"/>
  <c r="O199" i="2" s="1"/>
  <c r="H204" i="2"/>
  <c r="O204" i="2" s="1"/>
  <c r="N207" i="2"/>
  <c r="O207" i="2" s="1"/>
  <c r="H212" i="2"/>
  <c r="N215" i="2"/>
  <c r="O215" i="2" s="1"/>
  <c r="H220" i="2"/>
  <c r="O220" i="2" s="1"/>
  <c r="N223" i="2"/>
  <c r="O223" i="2" s="1"/>
  <c r="H228" i="2"/>
  <c r="O228" i="2" s="1"/>
  <c r="N231" i="2"/>
  <c r="O231" i="2" s="1"/>
  <c r="H236" i="2"/>
  <c r="O236" i="2" s="1"/>
  <c r="O275" i="2"/>
  <c r="O307" i="2"/>
  <c r="O339" i="2"/>
  <c r="N242" i="2"/>
  <c r="O242" i="2" s="1"/>
  <c r="H247" i="2"/>
  <c r="N250" i="2"/>
  <c r="O250" i="2" s="1"/>
  <c r="H255" i="2"/>
  <c r="O255" i="2" s="1"/>
  <c r="O256" i="2"/>
  <c r="O262" i="2"/>
  <c r="O267" i="2"/>
  <c r="O272" i="2"/>
  <c r="O278" i="2"/>
  <c r="O283" i="2"/>
  <c r="O288" i="2"/>
  <c r="O294" i="2"/>
  <c r="O299" i="2"/>
  <c r="O304" i="2"/>
  <c r="O310" i="2"/>
  <c r="O315" i="2"/>
  <c r="O320" i="2"/>
  <c r="O326" i="2"/>
  <c r="O331" i="2"/>
  <c r="O336" i="2"/>
  <c r="O342" i="2"/>
  <c r="N246" i="2"/>
  <c r="O246" i="2" s="1"/>
  <c r="O258" i="2"/>
  <c r="O263" i="2"/>
  <c r="O268" i="2"/>
  <c r="O274" i="2"/>
  <c r="O279" i="2"/>
  <c r="O284" i="2"/>
  <c r="O290" i="2"/>
  <c r="O295" i="2"/>
  <c r="O300" i="2"/>
  <c r="O306" i="2"/>
  <c r="O311" i="2"/>
  <c r="O316" i="2"/>
  <c r="O322" i="2"/>
  <c r="O327" i="2"/>
  <c r="O332" i="2"/>
  <c r="O338" i="2"/>
  <c r="O343" i="2"/>
  <c r="N346" i="2"/>
  <c r="O346" i="2" s="1"/>
  <c r="N345" i="2" l="1"/>
  <c r="O345" i="2" s="1"/>
  <c r="O247" i="2"/>
</calcChain>
</file>

<file path=xl/sharedStrings.xml><?xml version="1.0" encoding="utf-8"?>
<sst xmlns="http://schemas.openxmlformats.org/spreadsheetml/2006/main" count="1828" uniqueCount="377">
  <si>
    <t xml:space="preserve">id </t>
  </si>
  <si>
    <t>Municipio</t>
  </si>
  <si>
    <t>Cantidad de personas pobres con jefe de hogar indígena</t>
  </si>
  <si>
    <t>Suma de privaciones de personas con jefe de hogar indígena</t>
  </si>
  <si>
    <t>Cantidad de personas con jefe de hogar indígena</t>
  </si>
  <si>
    <t>H de jefe de hogar indígena</t>
  </si>
  <si>
    <t>A de jefe de hogar indígena</t>
  </si>
  <si>
    <t>IPM de jefe de hogar indígena</t>
  </si>
  <si>
    <t>Cantidad de personas pobres con jefe de hogar no indígena</t>
  </si>
  <si>
    <t>Suma de privaciones de personas con jefe de hogar no indígena</t>
  </si>
  <si>
    <t>Cantidad de personas con jefe de hogar no indígena</t>
  </si>
  <si>
    <t>H de jefe de hogar no indígena</t>
  </si>
  <si>
    <t>A de jefe de hogar no indígena</t>
  </si>
  <si>
    <t>IPM de jefe de hogar no indígena</t>
  </si>
  <si>
    <t>brecha etnica 2012</t>
  </si>
  <si>
    <t>idep</t>
  </si>
  <si>
    <t>Sucre</t>
  </si>
  <si>
    <t>Yotala</t>
  </si>
  <si>
    <t>Poroma</t>
  </si>
  <si>
    <t>Villa Azurduy</t>
  </si>
  <si>
    <t>Tarvita</t>
  </si>
  <si>
    <t>Zudañez</t>
  </si>
  <si>
    <t>Presto</t>
  </si>
  <si>
    <t>Villa Mojocoya</t>
  </si>
  <si>
    <t>Icla</t>
  </si>
  <si>
    <t>Padilla</t>
  </si>
  <si>
    <t>Tomina</t>
  </si>
  <si>
    <t>Sopachuy</t>
  </si>
  <si>
    <t>Villa Alcalá</t>
  </si>
  <si>
    <t>El Villar</t>
  </si>
  <si>
    <t>Monteagudo</t>
  </si>
  <si>
    <t>San Pablo de 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</si>
  <si>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</si>
  <si>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</si>
  <si>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</si>
  <si>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</si>
  <si>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</si>
  <si>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</si>
  <si>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</si>
  <si>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</si>
  <si>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</si>
  <si>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</si>
  <si>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Guzman</t>
  </si>
  <si>
    <t>Huacaya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</si>
  <si>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</si>
  <si>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</si>
  <si>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</si>
  <si>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</si>
  <si>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</si>
  <si>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</si>
  <si>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</si>
  <si>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</si>
  <si>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</si>
  <si>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</si>
  <si>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</si>
  <si>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</si>
  <si>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</si>
  <si>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</si>
  <si>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</si>
  <si>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</si>
  <si>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</si>
  <si>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</si>
  <si>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</si>
  <si>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</si>
  <si>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</si>
  <si>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</si>
  <si>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</si>
  <si>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</si>
  <si>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</si>
  <si>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</si>
  <si>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</si>
  <si>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</si>
  <si>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</si>
  <si>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</si>
  <si>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</si>
  <si>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</si>
  <si>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</si>
  <si>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</si>
  <si>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</si>
  <si>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</si>
  <si>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</si>
  <si>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</si>
  <si>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</si>
  <si>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</si>
  <si>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</si>
  <si>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</si>
  <si>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</si>
  <si>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</si>
  <si>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</si>
  <si>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</si>
  <si>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</si>
  <si>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</si>
  <si>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</si>
  <si>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</si>
  <si>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</si>
  <si>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</si>
  <si>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</si>
  <si>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</si>
  <si>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</si>
  <si>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</si>
  <si>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</si>
  <si>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</si>
  <si>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</si>
  <si>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</si>
  <si>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</si>
  <si>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</si>
  <si>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</si>
  <si>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</si>
  <si>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</si>
  <si>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</si>
  <si>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</si>
  <si>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</si>
  <si>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</si>
  <si>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</si>
  <si>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</si>
  <si>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</si>
  <si>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</si>
  <si>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</si>
  <si>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</si>
  <si>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</si>
  <si>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General Juan José Pérez (Charazani)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</si>
  <si>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</si>
  <si>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</si>
  <si>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</si>
  <si>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</si>
  <si>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</si>
  <si>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</si>
  <si>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</si>
  <si>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</si>
  <si>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</si>
  <si>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</si>
  <si>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</si>
  <si>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Cochabamba</t>
  </si>
  <si>
    <t>Aiquile</t>
  </si>
  <si>
    <t>Pasorapa</t>
  </si>
  <si>
    <t>Omereque</t>
  </si>
  <si>
    <t>Independencia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</si>
  <si>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</si>
  <si>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</si>
  <si>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</si>
  <si>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</si>
  <si>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</si>
  <si>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</si>
  <si>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</si>
  <si>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</si>
  <si>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</si>
  <si>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</si>
  <si>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</si>
  <si>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</si>
  <si>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</si>
  <si>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</si>
  <si>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</si>
  <si>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</si>
  <si>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</si>
  <si>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</si>
  <si>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</si>
  <si>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</si>
  <si>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</si>
  <si>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</si>
  <si>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</si>
  <si>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</si>
  <si>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</si>
  <si>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</si>
  <si>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</si>
  <si>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</si>
  <si>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</si>
  <si>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</si>
  <si>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</si>
  <si>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</si>
  <si>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</si>
  <si>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</si>
  <si>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</si>
  <si>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</si>
  <si>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</si>
  <si>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</si>
  <si>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</si>
  <si>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</si>
  <si>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</si>
  <si>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</si>
  <si>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</si>
  <si>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Oruro</t>
  </si>
  <si>
    <t>Caracollo</t>
  </si>
  <si>
    <t>El Choro</t>
  </si>
  <si>
    <t>Soracachi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</si>
  <si>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</si>
  <si>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</si>
  <si>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</si>
  <si>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</si>
  <si>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</si>
  <si>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</si>
  <si>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</si>
  <si>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</si>
  <si>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</si>
  <si>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</si>
  <si>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</si>
  <si>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</si>
  <si>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</si>
  <si>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</si>
  <si>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</si>
  <si>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</si>
  <si>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Garcí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</si>
  <si>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</si>
  <si>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</si>
  <si>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</si>
  <si>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</si>
  <si>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</si>
  <si>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</si>
  <si>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</si>
  <si>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</si>
  <si>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</si>
  <si>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Santiago de Huari</t>
  </si>
  <si>
    <t>La Rivera</t>
  </si>
  <si>
    <t>Todos Santos</t>
  </si>
  <si>
    <t>Carangas</t>
  </si>
  <si>
    <t>Huayllamarca (Santiago de Huayllamarca)</t>
  </si>
  <si>
    <t>Potosí</t>
  </si>
  <si>
    <t>Tinguipaya</t>
  </si>
  <si>
    <t>Yocalla</t>
  </si>
  <si>
    <t>Belén de Urmiri</t>
  </si>
  <si>
    <t>Uncía</t>
  </si>
  <si>
    <t>Chayanta</t>
  </si>
  <si>
    <t>Llallagua</t>
  </si>
  <si>
    <t>Chuquihuta -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</si>
  <si>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</si>
  <si>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</si>
  <si>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</si>
  <si>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</si>
  <si>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</si>
  <si>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</si>
  <si>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</si>
  <si>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</si>
  <si>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 de Buena Vista</t>
  </si>
  <si>
    <t>Toro Toro</t>
  </si>
  <si>
    <t>Cotagaita</t>
  </si>
  <si>
    <t>Vitichi</t>
  </si>
  <si>
    <t>Sacaca (Villa de Sacaca)</t>
  </si>
  <si>
    <t>Caripuyo</t>
  </si>
  <si>
    <t>Tupiza</t>
  </si>
  <si>
    <t>Atocha</t>
  </si>
  <si>
    <t>Colcha ''K'' (Villa Martin)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</si>
  <si>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</si>
  <si>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</si>
  <si>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</si>
  <si>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</si>
  <si>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</si>
  <si>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</si>
  <si>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</si>
  <si>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</si>
  <si>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</si>
  <si>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</si>
  <si>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</si>
  <si>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</si>
  <si>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</si>
  <si>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</si>
  <si>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</si>
  <si>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</si>
  <si>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</si>
  <si>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Tarija</t>
  </si>
  <si>
    <t>Padcaya</t>
  </si>
  <si>
    <t>Bermejo</t>
  </si>
  <si>
    <t>Yacuiba</t>
  </si>
  <si>
    <t>Caraparí</t>
  </si>
  <si>
    <t>Villa 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</si>
  <si>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</si>
  <si>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</si>
  <si>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</si>
  <si>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</si>
  <si>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</si>
  <si>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</si>
  <si>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</si>
  <si>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</si>
  <si>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</si>
  <si>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</si>
  <si>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</si>
  <si>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</si>
  <si>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</si>
  <si>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</si>
  <si>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</si>
  <si>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</si>
  <si>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</si>
  <si>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</si>
  <si>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</si>
  <si>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</si>
  <si>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</si>
  <si>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</si>
  <si>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</si>
  <si>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</si>
  <si>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</si>
  <si>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</si>
  <si>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</si>
  <si>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</si>
  <si>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</si>
  <si>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</si>
  <si>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</si>
  <si>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</si>
  <si>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</si>
  <si>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</si>
  <si>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</si>
  <si>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</si>
  <si>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Samaipata</t>
  </si>
  <si>
    <t>Pampa Grande</t>
  </si>
  <si>
    <t>Mairana</t>
  </si>
  <si>
    <t>Quirusillas</t>
  </si>
  <si>
    <t>Montero</t>
  </si>
  <si>
    <t>General Saavedra</t>
  </si>
  <si>
    <t>Mineros</t>
  </si>
  <si>
    <t>Fernández Alonso</t>
  </si>
  <si>
    <t>San Pedro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</si>
  <si>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</si>
  <si>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</si>
  <si>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</si>
  <si>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</si>
  <si>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</si>
  <si>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</si>
  <si>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</si>
  <si>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</si>
  <si>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</si>
  <si>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Suarez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</si>
  <si>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</si>
  <si>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</si>
  <si>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</si>
  <si>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</si>
  <si>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</si>
  <si>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</si>
  <si>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</si>
  <si>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</si>
  <si>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</si>
  <si>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</si>
  <si>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</si>
  <si>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</si>
  <si>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</si>
  <si>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</si>
  <si>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</si>
  <si>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</si>
  <si>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</si>
  <si>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</si>
  <si>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</si>
  <si>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</si>
  <si>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</si>
  <si>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Indigena Multiétnico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</si>
  <si>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</si>
  <si>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</si>
  <si>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</si>
  <si>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</si>
  <si>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</si>
  <si>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</si>
  <si>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</si>
  <si>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San Lorenzo</t>
  </si>
  <si>
    <t>Sena</t>
  </si>
  <si>
    <t>Santa Rosa del Abuná</t>
  </si>
  <si>
    <t>Ingavi</t>
  </si>
  <si>
    <t>Nueva Esperanza</t>
  </si>
  <si>
    <t>Villa Nueva (Loma Alta)</t>
  </si>
  <si>
    <t>Santos Mercado</t>
  </si>
  <si>
    <t>Gran Chaco</t>
  </si>
  <si>
    <t>Bolivia</t>
  </si>
  <si>
    <t>brecha etnica 2024</t>
  </si>
  <si>
    <t>brecha 2012</t>
  </si>
  <si>
    <t>brecha 2024</t>
  </si>
  <si>
    <t>id_departamento</t>
  </si>
  <si>
    <t>Departamento</t>
  </si>
  <si>
    <t>Chuquisaca</t>
  </si>
  <si>
    <t>La Paz</t>
  </si>
  <si>
    <t>Santa Cruz</t>
  </si>
  <si>
    <t>Beni</t>
  </si>
  <si>
    <t>Pando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</si>
  <si>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</si>
  <si>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</si>
  <si>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</si>
  <si>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</si>
  <si>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</si>
  <si>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</si>
  <si>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</si>
  <si>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</si>
  <si>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</si>
  <si>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</si>
  <si>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 xml:space="preserve">Brecha de pobreza multidimensional según autoidentificación indígena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</si>
</sst>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000"/>
    <numFmt numFmtId="166" formatCode="0.000"/>
    <numFmt numFmtId="167" formatCode="0.0"/>
  </numFmts>
  <fonts count="6">
    <font>
      <sz val="10"/>
      <color rgb="FF000000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b/>
      <sz val="11"/>
      <color theme="1"/>
      <name val="Calibri"/>
    </font>
    <font>
      <b/>
      <sz val="9"/>
      <color theme="1"/>
      <name val="Play"/>
    </font>
  </fonts>
  <fills count="7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1" fontId="1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wrapText="1"/>
    </xf>
    <xf numFmtId="165" fontId="1" fillId="0" borderId="0" xfId="0" applyNumberFormat="1" applyFont="1" applyAlignment="1">
      <alignment wrapText="1"/>
    </xf>
    <xf numFmtId="165" fontId="1" fillId="0" borderId="1" xfId="0" applyNumberFormat="1" applyFont="1" applyBorder="1" applyAlignment="1">
      <alignment wrapText="1"/>
    </xf>
    <xf numFmtId="0" fontId="2" fillId="0" borderId="0" xfId="0" applyFont="1" applyAlignment="1">
      <alignment wrapText="1"/>
    </xf>
    <xf numFmtId="1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/>
    <xf numFmtId="4" fontId="3" fillId="0" borderId="1" xfId="0" applyNumberFormat="1" applyFont="1" applyBorder="1"/>
    <xf numFmtId="4" fontId="1" fillId="0" borderId="1" xfId="0" applyNumberFormat="1" applyFont="1" applyBorder="1"/>
    <xf numFmtId="4" fontId="1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1" fontId="1" fillId="0" borderId="0" xfId="0" applyNumberFormat="1" applyFont="1" applyAlignment="1">
      <alignment horizontal="right"/>
    </xf>
    <xf numFmtId="166" fontId="1" fillId="0" borderId="1" xfId="0" applyNumberFormat="1" applyFont="1" applyBorder="1" applyAlignment="1">
      <alignment horizontal="right"/>
    </xf>
    <xf numFmtId="166" fontId="3" fillId="0" borderId="1" xfId="0" applyNumberFormat="1" applyFont="1" applyBorder="1"/>
    <xf numFmtId="2" fontId="2" fillId="0" borderId="1" xfId="0" applyNumberFormat="1" applyFont="1" applyBorder="1"/>
    <xf numFmtId="1" fontId="2" fillId="0" borderId="1" xfId="0" applyNumberFormat="1" applyFont="1" applyBorder="1"/>
    <xf numFmtId="4" fontId="2" fillId="0" borderId="1" xfId="0" applyNumberFormat="1" applyFont="1" applyBorder="1"/>
    <xf numFmtId="2" fontId="2" fillId="0" borderId="0" xfId="0" applyNumberFormat="1" applyFont="1"/>
    <xf numFmtId="1" fontId="3" fillId="0" borderId="0" xfId="0" applyNumberFormat="1" applyFont="1"/>
    <xf numFmtId="4" fontId="3" fillId="0" borderId="0" xfId="0" applyNumberFormat="1" applyFont="1"/>
    <xf numFmtId="1" fontId="2" fillId="0" borderId="0" xfId="0" applyNumberFormat="1" applyFont="1"/>
    <xf numFmtId="0" fontId="2" fillId="0" borderId="1" xfId="0" applyFont="1" applyBorder="1"/>
    <xf numFmtId="1" fontId="1" fillId="0" borderId="1" xfId="0" applyNumberFormat="1" applyFont="1" applyBorder="1"/>
    <xf numFmtId="4" fontId="1" fillId="0" borderId="2" xfId="0" applyNumberFormat="1" applyFont="1" applyBorder="1" applyAlignment="1">
      <alignment horizontal="right"/>
    </xf>
    <xf numFmtId="2" fontId="2" fillId="0" borderId="2" xfId="0" applyNumberFormat="1" applyFont="1" applyBorder="1"/>
    <xf numFmtId="49" fontId="3" fillId="0" borderId="0" xfId="0" applyNumberFormat="1" applyFont="1"/>
    <xf numFmtId="4" fontId="1" fillId="0" borderId="3" xfId="0" applyNumberFormat="1" applyFont="1" applyBorder="1" applyAlignment="1">
      <alignment horizontal="right"/>
    </xf>
    <xf numFmtId="2" fontId="2" fillId="0" borderId="3" xfId="0" applyNumberFormat="1" applyFont="1" applyBorder="1"/>
    <xf numFmtId="4" fontId="1" fillId="0" borderId="0" xfId="0" applyNumberFormat="1" applyFont="1" applyAlignment="1">
      <alignment horizontal="right"/>
    </xf>
    <xf numFmtId="4" fontId="2" fillId="0" borderId="0" xfId="0" applyNumberFormat="1" applyFont="1"/>
    <xf numFmtId="2" fontId="3" fillId="0" borderId="1" xfId="0" applyNumberFormat="1" applyFont="1" applyBorder="1"/>
    <xf numFmtId="3" fontId="1" fillId="0" borderId="1" xfId="0" applyNumberFormat="1" applyFont="1" applyBorder="1"/>
    <xf numFmtId="3" fontId="1" fillId="0" borderId="1" xfId="0" applyNumberFormat="1" applyFont="1" applyBorder="1" applyAlignment="1">
      <alignment horizontal="right"/>
    </xf>
    <xf numFmtId="3" fontId="3" fillId="0" borderId="0" xfId="0" applyNumberFormat="1" applyFont="1"/>
    <xf numFmtId="0" fontId="4" fillId="2" borderId="1" xfId="0" applyFont="1" applyFill="1" applyBorder="1"/>
    <xf numFmtId="0" fontId="5" fillId="3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wrapText="1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1" fontId="3" fillId="0" borderId="1" xfId="0" applyNumberFormat="1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167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/>
    <xf numFmtId="49" fontId="1" fillId="0" borderId="5" xfId="0" applyNumberFormat="1" applyFont="1" applyBorder="1"/>
    <xf numFmtId="4" fontId="1" fillId="0" borderId="4" xfId="0" applyNumberFormat="1" applyFont="1" applyBorder="1"/>
    <xf numFmtId="4" fontId="3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000"/>
  <sheetViews>
    <sheetView workbookViewId="0"/>
  </sheetViews>
  <sheetFormatPr baseColWidth="10" defaultColWidth="12.6640625" defaultRowHeight="15" customHeight="1"/>
  <cols>
    <col min="1" max="5" width="12.6640625" customWidth="1"/>
    <col min="6" max="7" width="11.6640625" customWidth="1"/>
    <col min="8" max="8" width="11.77734375" customWidth="1"/>
    <col min="9" max="11" width="12.6640625" customWidth="1"/>
    <col min="14" max="14" width="10.6640625" customWidth="1"/>
    <col min="27" max="27" width="9.88671875" customWidth="1"/>
    <col min="28" max="28" width="9.77734375" customWidth="1"/>
    <col min="29" max="29" width="11.77734375" customWidth="1"/>
  </cols>
  <sheetData>
    <row r="1" spans="1:33" ht="57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/>
      <c r="Q1" s="6" t="s">
        <v>15</v>
      </c>
      <c r="R1" s="1" t="s">
        <v>2</v>
      </c>
      <c r="S1" s="1" t="s">
        <v>3</v>
      </c>
      <c r="T1" s="1" t="s">
        <v>4</v>
      </c>
      <c r="U1" s="3" t="s">
        <v>5</v>
      </c>
      <c r="V1" s="3" t="s">
        <v>6</v>
      </c>
      <c r="W1" s="3" t="s">
        <v>7</v>
      </c>
      <c r="X1" s="1" t="s">
        <v>8</v>
      </c>
      <c r="Y1" s="1" t="s">
        <v>9</v>
      </c>
      <c r="Z1" s="1" t="s">
        <v>10</v>
      </c>
      <c r="AA1" s="3" t="s">
        <v>11</v>
      </c>
      <c r="AB1" s="3" t="s">
        <v>12</v>
      </c>
      <c r="AC1" s="3" t="s">
        <v>13</v>
      </c>
      <c r="AD1" s="4" t="s">
        <v>14</v>
      </c>
      <c r="AE1" s="7"/>
      <c r="AF1" s="7"/>
      <c r="AG1" s="7"/>
    </row>
    <row r="2" spans="1:33" ht="15.75" customHeight="1">
      <c r="A2" s="8">
        <v>10101</v>
      </c>
      <c r="B2" s="9" t="s">
        <v>16</v>
      </c>
      <c r="C2" s="8">
        <v>35337</v>
      </c>
      <c r="D2" s="8">
        <v>15905.333753019571</v>
      </c>
      <c r="E2" s="8">
        <v>140821</v>
      </c>
      <c r="F2" s="10">
        <f t="shared" ref="F2:F256" si="0">C2/E2</f>
        <v>0.25093558489145795</v>
      </c>
      <c r="G2" s="10">
        <f t="shared" ref="G2:G256" si="1">D2/C2</f>
        <v>0.45010424634291457</v>
      </c>
      <c r="H2" s="10">
        <f t="shared" ref="H2:H256" si="2">F2*G2</f>
        <v>0.11294717231818814</v>
      </c>
      <c r="I2" s="8">
        <v>5253</v>
      </c>
      <c r="J2" s="8">
        <v>2054.4444964826107</v>
      </c>
      <c r="K2" s="8">
        <v>113458</v>
      </c>
      <c r="L2" s="11">
        <f t="shared" ref="L2:L256" si="3">I2/K2</f>
        <v>4.6299071021875936E-2</v>
      </c>
      <c r="M2" s="12">
        <f t="shared" ref="M2:M256" si="4">J2/I2</f>
        <v>0.39109927593424915</v>
      </c>
      <c r="N2" s="13">
        <f t="shared" ref="N2:N256" si="5">L2*M2</f>
        <v>1.8107533153084054E-2</v>
      </c>
      <c r="O2" s="14">
        <f t="shared" ref="O2:O256" si="6">N2/H2</f>
        <v>0.16031860542796569</v>
      </c>
      <c r="P2" s="15"/>
      <c r="Q2" s="8">
        <v>1</v>
      </c>
      <c r="R2" s="8">
        <v>202135</v>
      </c>
      <c r="S2" s="8">
        <v>105996.11398014426</v>
      </c>
      <c r="T2" s="8">
        <v>375711</v>
      </c>
      <c r="U2" s="16">
        <f t="shared" ref="U2:U10" si="7">R2/T2</f>
        <v>0.53800660614142248</v>
      </c>
      <c r="V2" s="17">
        <f t="shared" ref="V2:V10" si="8">S2/R2</f>
        <v>0.52438278368488511</v>
      </c>
      <c r="W2" s="17">
        <f t="shared" ref="W2:W10" si="9">U2*V2</f>
        <v>0.28212140176929673</v>
      </c>
      <c r="X2" s="8">
        <v>40963</v>
      </c>
      <c r="Y2" s="8">
        <v>19258.778294533491</v>
      </c>
      <c r="Z2" s="8">
        <v>189503</v>
      </c>
      <c r="AA2" s="18">
        <f t="shared" ref="AA2:AA12" si="10">X2/Z2</f>
        <v>0.21616016632982063</v>
      </c>
      <c r="AB2" s="18">
        <f t="shared" ref="AB2:AB12" si="11">Y2/X2</f>
        <v>0.47015058209929672</v>
      </c>
      <c r="AC2" s="18">
        <f t="shared" ref="AC2:AC12" si="12">AB2*AA2</f>
        <v>0.10162782802664597</v>
      </c>
      <c r="AD2" s="18">
        <f t="shared" ref="AD2:AD12" si="13">AC2/W2</f>
        <v>0.36022729005774462</v>
      </c>
    </row>
    <row r="3" spans="1:33" ht="15.75" customHeight="1">
      <c r="A3" s="8">
        <v>10102</v>
      </c>
      <c r="B3" s="9" t="s">
        <v>17</v>
      </c>
      <c r="C3" s="8">
        <v>2734</v>
      </c>
      <c r="D3" s="8">
        <v>1208.5555867254734</v>
      </c>
      <c r="E3" s="8">
        <v>7846</v>
      </c>
      <c r="F3" s="10">
        <f t="shared" si="0"/>
        <v>0.34845781289829214</v>
      </c>
      <c r="G3" s="10">
        <f t="shared" si="1"/>
        <v>0.4420466666881761</v>
      </c>
      <c r="H3" s="10">
        <f t="shared" si="2"/>
        <v>0.15403461467314217</v>
      </c>
      <c r="I3" s="8">
        <v>245</v>
      </c>
      <c r="J3" s="8">
        <v>93.444446742534637</v>
      </c>
      <c r="K3" s="8">
        <v>1238</v>
      </c>
      <c r="L3" s="11">
        <f t="shared" si="3"/>
        <v>0.19789983844911146</v>
      </c>
      <c r="M3" s="12">
        <f t="shared" si="4"/>
        <v>0.38140590507156996</v>
      </c>
      <c r="N3" s="13">
        <f t="shared" si="5"/>
        <v>7.5480166997200837E-2</v>
      </c>
      <c r="O3" s="14">
        <f t="shared" si="6"/>
        <v>0.49002081225293403</v>
      </c>
      <c r="P3" s="15"/>
      <c r="Q3" s="8">
        <v>2</v>
      </c>
      <c r="R3" s="8">
        <v>606490</v>
      </c>
      <c r="S3" s="8">
        <v>263249.78439170122</v>
      </c>
      <c r="T3" s="8">
        <v>1795716</v>
      </c>
      <c r="U3" s="16">
        <f t="shared" si="7"/>
        <v>0.33774271655428811</v>
      </c>
      <c r="V3" s="17">
        <f t="shared" si="8"/>
        <v>0.434054616550481</v>
      </c>
      <c r="W3" s="17">
        <f t="shared" si="9"/>
        <v>0.14659878532668932</v>
      </c>
      <c r="X3" s="8">
        <v>74464</v>
      </c>
      <c r="Y3" s="8">
        <v>30254.556301236153</v>
      </c>
      <c r="Z3" s="8">
        <v>876386</v>
      </c>
      <c r="AA3" s="18">
        <f t="shared" si="10"/>
        <v>8.4967126357563899E-2</v>
      </c>
      <c r="AB3" s="18">
        <f t="shared" si="11"/>
        <v>0.40629775866507511</v>
      </c>
      <c r="AC3" s="18">
        <f t="shared" si="12"/>
        <v>3.4521952999290437E-2</v>
      </c>
      <c r="AD3" s="18">
        <f t="shared" si="13"/>
        <v>0.23548594159467073</v>
      </c>
    </row>
    <row r="4" spans="1:33" ht="15.75" customHeight="1">
      <c r="A4" s="8">
        <v>10103</v>
      </c>
      <c r="B4" s="9" t="s">
        <v>18</v>
      </c>
      <c r="C4" s="8">
        <v>15027</v>
      </c>
      <c r="D4" s="8">
        <v>8707.7780206501484</v>
      </c>
      <c r="E4" s="8">
        <v>16004</v>
      </c>
      <c r="F4" s="10">
        <f t="shared" si="0"/>
        <v>0.93895276180954756</v>
      </c>
      <c r="G4" s="10">
        <f t="shared" si="1"/>
        <v>0.57947547884808337</v>
      </c>
      <c r="H4" s="10">
        <f t="shared" si="2"/>
        <v>0.54410010126531794</v>
      </c>
      <c r="I4" s="8">
        <v>225</v>
      </c>
      <c r="J4" s="8">
        <v>112.11111438274384</v>
      </c>
      <c r="K4" s="8">
        <v>311</v>
      </c>
      <c r="L4" s="11">
        <f t="shared" si="3"/>
        <v>0.72347266881028938</v>
      </c>
      <c r="M4" s="12">
        <f t="shared" si="4"/>
        <v>0.4982716194788615</v>
      </c>
      <c r="N4" s="13">
        <f t="shared" si="5"/>
        <v>0.36048589833679689</v>
      </c>
      <c r="O4" s="14">
        <f t="shared" si="6"/>
        <v>0.66253598831994009</v>
      </c>
      <c r="P4" s="15"/>
      <c r="Q4" s="8">
        <v>3</v>
      </c>
      <c r="R4" s="8">
        <v>474675</v>
      </c>
      <c r="S4" s="8">
        <v>213474.78328868747</v>
      </c>
      <c r="T4" s="8">
        <v>1128232</v>
      </c>
      <c r="U4" s="16">
        <f t="shared" si="7"/>
        <v>0.42072463819498118</v>
      </c>
      <c r="V4" s="17">
        <f t="shared" si="8"/>
        <v>0.44972830523766255</v>
      </c>
      <c r="W4" s="17">
        <f t="shared" si="9"/>
        <v>0.18921177850715765</v>
      </c>
      <c r="X4" s="8">
        <v>81558</v>
      </c>
      <c r="Y4" s="8">
        <v>32099.889699727297</v>
      </c>
      <c r="Z4" s="8">
        <v>603248</v>
      </c>
      <c r="AA4" s="18">
        <f t="shared" si="10"/>
        <v>0.1351981274699626</v>
      </c>
      <c r="AB4" s="18">
        <f t="shared" si="11"/>
        <v>0.39358358100648982</v>
      </c>
      <c r="AC4" s="18">
        <f t="shared" si="12"/>
        <v>5.3211763154999758E-2</v>
      </c>
      <c r="AD4" s="18">
        <f t="shared" si="13"/>
        <v>0.28122859779042153</v>
      </c>
    </row>
    <row r="5" spans="1:33" ht="15.75" customHeight="1">
      <c r="A5" s="8">
        <v>10201</v>
      </c>
      <c r="B5" s="9" t="s">
        <v>19</v>
      </c>
      <c r="C5" s="8">
        <v>7299</v>
      </c>
      <c r="D5" s="8">
        <v>4475.2223427295685</v>
      </c>
      <c r="E5" s="8">
        <v>8111</v>
      </c>
      <c r="F5" s="10">
        <f t="shared" si="0"/>
        <v>0.89988903957588462</v>
      </c>
      <c r="G5" s="10">
        <f t="shared" si="1"/>
        <v>0.61312814669537863</v>
      </c>
      <c r="H5" s="10">
        <f t="shared" si="2"/>
        <v>0.55174729906664632</v>
      </c>
      <c r="I5" s="8">
        <v>1595</v>
      </c>
      <c r="J5" s="8">
        <v>831.33335664868355</v>
      </c>
      <c r="K5" s="8">
        <v>2258</v>
      </c>
      <c r="L5" s="11">
        <f t="shared" si="3"/>
        <v>0.70637732506643047</v>
      </c>
      <c r="M5" s="12">
        <f t="shared" si="4"/>
        <v>0.52121213582989567</v>
      </c>
      <c r="N5" s="13">
        <f t="shared" si="5"/>
        <v>0.36817243429968272</v>
      </c>
      <c r="O5" s="14">
        <f t="shared" si="6"/>
        <v>0.66728452485856327</v>
      </c>
      <c r="P5" s="15"/>
      <c r="Q5" s="8">
        <v>4</v>
      </c>
      <c r="R5" s="8">
        <v>127038</v>
      </c>
      <c r="S5" s="8">
        <v>55939.334710776806</v>
      </c>
      <c r="T5" s="8">
        <v>309642</v>
      </c>
      <c r="U5" s="16">
        <f t="shared" si="7"/>
        <v>0.41027380006588254</v>
      </c>
      <c r="V5" s="17">
        <f t="shared" si="8"/>
        <v>0.44033544853332707</v>
      </c>
      <c r="W5" s="17">
        <f t="shared" si="9"/>
        <v>0.18065809777348293</v>
      </c>
      <c r="X5" s="8">
        <v>17657</v>
      </c>
      <c r="Y5" s="8">
        <v>7142.3335102796555</v>
      </c>
      <c r="Z5" s="8">
        <v>176156</v>
      </c>
      <c r="AA5" s="18">
        <f t="shared" si="10"/>
        <v>0.10023501896046685</v>
      </c>
      <c r="AB5" s="18">
        <f t="shared" si="11"/>
        <v>0.40450436145889196</v>
      </c>
      <c r="AC5" s="18">
        <f t="shared" si="12"/>
        <v>4.0545502340423575E-2</v>
      </c>
      <c r="AD5" s="18">
        <f t="shared" si="13"/>
        <v>0.22443224433405309</v>
      </c>
    </row>
    <row r="6" spans="1:33" ht="15.75" customHeight="1">
      <c r="A6" s="8">
        <v>10202</v>
      </c>
      <c r="B6" s="9" t="s">
        <v>20</v>
      </c>
      <c r="C6" s="8">
        <v>11112</v>
      </c>
      <c r="D6" s="8">
        <v>6243.3335061967373</v>
      </c>
      <c r="E6" s="8">
        <v>13578</v>
      </c>
      <c r="F6" s="10">
        <f t="shared" si="0"/>
        <v>0.81838267786124619</v>
      </c>
      <c r="G6" s="10">
        <f t="shared" si="1"/>
        <v>0.56185506715233413</v>
      </c>
      <c r="H6" s="10">
        <f t="shared" si="2"/>
        <v>0.45981245442603752</v>
      </c>
      <c r="I6" s="8">
        <v>273</v>
      </c>
      <c r="J6" s="8">
        <v>130.66666999459267</v>
      </c>
      <c r="K6" s="8">
        <v>519</v>
      </c>
      <c r="L6" s="11">
        <f t="shared" si="3"/>
        <v>0.52601156069364163</v>
      </c>
      <c r="M6" s="12">
        <f t="shared" si="4"/>
        <v>0.47863249082268378</v>
      </c>
      <c r="N6" s="13">
        <f t="shared" si="5"/>
        <v>0.25176622349632499</v>
      </c>
      <c r="O6" s="14">
        <f t="shared" si="6"/>
        <v>0.54754111393218574</v>
      </c>
      <c r="P6" s="15"/>
      <c r="Q6" s="8">
        <v>5</v>
      </c>
      <c r="R6" s="8">
        <v>360790</v>
      </c>
      <c r="S6" s="8">
        <v>173343.33793896437</v>
      </c>
      <c r="T6" s="8">
        <v>650359</v>
      </c>
      <c r="U6" s="16">
        <f t="shared" si="7"/>
        <v>0.55475514292875161</v>
      </c>
      <c r="V6" s="17">
        <f t="shared" si="8"/>
        <v>0.48045494037796049</v>
      </c>
      <c r="W6" s="17">
        <f t="shared" si="9"/>
        <v>0.26653484912020031</v>
      </c>
      <c r="X6" s="8">
        <v>23437</v>
      </c>
      <c r="Y6" s="8">
        <v>9819.3335815370083</v>
      </c>
      <c r="Z6" s="8">
        <v>163121</v>
      </c>
      <c r="AA6" s="18">
        <f t="shared" si="10"/>
        <v>0.14367861893931499</v>
      </c>
      <c r="AB6" s="18">
        <f t="shared" si="11"/>
        <v>0.41896717077855561</v>
      </c>
      <c r="AC6" s="18">
        <f t="shared" si="12"/>
        <v>6.0196624478374997E-2</v>
      </c>
      <c r="AD6" s="18">
        <f t="shared" si="13"/>
        <v>0.22584898251420729</v>
      </c>
    </row>
    <row r="7" spans="1:33" ht="15.75" customHeight="1">
      <c r="A7" s="8">
        <v>10301</v>
      </c>
      <c r="B7" s="9" t="s">
        <v>21</v>
      </c>
      <c r="C7" s="8">
        <v>6490</v>
      </c>
      <c r="D7" s="8">
        <v>3305.1111986935139</v>
      </c>
      <c r="E7" s="8">
        <v>10221</v>
      </c>
      <c r="F7" s="10">
        <f t="shared" si="0"/>
        <v>0.63496722434204089</v>
      </c>
      <c r="G7" s="10">
        <f t="shared" si="1"/>
        <v>0.50926212614692046</v>
      </c>
      <c r="H7" s="10">
        <f t="shared" si="2"/>
        <v>0.32336475870203635</v>
      </c>
      <c r="I7" s="8">
        <v>162</v>
      </c>
      <c r="J7" s="8">
        <v>76.555557787418365</v>
      </c>
      <c r="K7" s="8">
        <v>747</v>
      </c>
      <c r="L7" s="11">
        <f t="shared" si="3"/>
        <v>0.21686746987951808</v>
      </c>
      <c r="M7" s="12">
        <f t="shared" si="4"/>
        <v>0.47256517152727384</v>
      </c>
      <c r="N7" s="13">
        <f t="shared" si="5"/>
        <v>0.10248401310230035</v>
      </c>
      <c r="O7" s="14">
        <f t="shared" si="6"/>
        <v>0.3169300622419835</v>
      </c>
      <c r="P7" s="15"/>
      <c r="Q7" s="8">
        <v>6</v>
      </c>
      <c r="R7" s="8">
        <v>37955</v>
      </c>
      <c r="S7" s="8">
        <v>16432.333756089211</v>
      </c>
      <c r="T7" s="8">
        <v>144232</v>
      </c>
      <c r="U7" s="16">
        <f t="shared" si="7"/>
        <v>0.26315242109933995</v>
      </c>
      <c r="V7" s="17">
        <f t="shared" si="8"/>
        <v>0.43294253078880807</v>
      </c>
      <c r="W7" s="17">
        <f t="shared" si="9"/>
        <v>0.11392987517395037</v>
      </c>
      <c r="X7" s="8">
        <v>48588</v>
      </c>
      <c r="Y7" s="8">
        <v>20270.222739875317</v>
      </c>
      <c r="Z7" s="8">
        <v>319078</v>
      </c>
      <c r="AA7" s="18">
        <f t="shared" si="10"/>
        <v>0.15227624593359618</v>
      </c>
      <c r="AB7" s="18">
        <f t="shared" si="11"/>
        <v>0.41718578126029715</v>
      </c>
      <c r="AC7" s="18">
        <f t="shared" si="12"/>
        <v>6.3527484627192474E-2</v>
      </c>
      <c r="AD7" s="18">
        <f t="shared" si="13"/>
        <v>0.5576016346037197</v>
      </c>
    </row>
    <row r="8" spans="1:33" ht="15.75" customHeight="1">
      <c r="A8" s="8">
        <v>10302</v>
      </c>
      <c r="B8" s="9" t="s">
        <v>22</v>
      </c>
      <c r="C8" s="8">
        <v>8983</v>
      </c>
      <c r="D8" s="8">
        <v>5220.4445829689503</v>
      </c>
      <c r="E8" s="8">
        <v>11005</v>
      </c>
      <c r="F8" s="10">
        <f t="shared" si="0"/>
        <v>0.8162653339391186</v>
      </c>
      <c r="G8" s="10">
        <f t="shared" si="1"/>
        <v>0.58114712044628192</v>
      </c>
      <c r="H8" s="10">
        <f t="shared" si="2"/>
        <v>0.4743702483388415</v>
      </c>
      <c r="I8" s="8">
        <v>303</v>
      </c>
      <c r="J8" s="8">
        <v>161.22222557663918</v>
      </c>
      <c r="K8" s="8">
        <v>832</v>
      </c>
      <c r="L8" s="11">
        <f t="shared" si="3"/>
        <v>0.36418269230769229</v>
      </c>
      <c r="M8" s="12">
        <f t="shared" si="4"/>
        <v>0.53208655305821506</v>
      </c>
      <c r="N8" s="13">
        <f t="shared" si="5"/>
        <v>0.19377671343346053</v>
      </c>
      <c r="O8" s="14">
        <f t="shared" si="6"/>
        <v>0.40849255220375097</v>
      </c>
      <c r="P8" s="15"/>
      <c r="Q8" s="8">
        <v>7</v>
      </c>
      <c r="R8" s="8">
        <v>296311</v>
      </c>
      <c r="S8" s="8">
        <v>124207.55873927474</v>
      </c>
      <c r="T8" s="8">
        <v>931077</v>
      </c>
      <c r="U8" s="16">
        <f t="shared" si="7"/>
        <v>0.31824542975500414</v>
      </c>
      <c r="V8" s="17">
        <f t="shared" si="8"/>
        <v>0.41917970895199552</v>
      </c>
      <c r="W8" s="17">
        <f t="shared" si="9"/>
        <v>0.13340202662000536</v>
      </c>
      <c r="X8" s="8">
        <v>306683</v>
      </c>
      <c r="Y8" s="8">
        <v>120492.22526192665</v>
      </c>
      <c r="Z8" s="8">
        <v>1652092</v>
      </c>
      <c r="AA8" s="18">
        <f t="shared" si="10"/>
        <v>0.18563312454754335</v>
      </c>
      <c r="AB8" s="18">
        <f t="shared" si="11"/>
        <v>0.39288850461853658</v>
      </c>
      <c r="AC8" s="18">
        <f t="shared" si="12"/>
        <v>7.2933120711150864E-2</v>
      </c>
      <c r="AD8" s="18">
        <f t="shared" si="13"/>
        <v>0.54671673706202606</v>
      </c>
    </row>
    <row r="9" spans="1:33" ht="15.75" customHeight="1">
      <c r="A9" s="8">
        <v>10303</v>
      </c>
      <c r="B9" s="9" t="s">
        <v>23</v>
      </c>
      <c r="C9" s="8">
        <v>5037</v>
      </c>
      <c r="D9" s="8">
        <v>2588.0000752210617</v>
      </c>
      <c r="E9" s="8">
        <v>7487</v>
      </c>
      <c r="F9" s="10">
        <f t="shared" si="0"/>
        <v>0.67276612795512225</v>
      </c>
      <c r="G9" s="10">
        <f t="shared" si="1"/>
        <v>0.51379791050646451</v>
      </c>
      <c r="H9" s="10">
        <f t="shared" si="2"/>
        <v>0.34566583080286656</v>
      </c>
      <c r="I9" s="8">
        <v>248</v>
      </c>
      <c r="J9" s="8">
        <v>118.11111417412758</v>
      </c>
      <c r="K9" s="8">
        <v>451</v>
      </c>
      <c r="L9" s="11">
        <f t="shared" si="3"/>
        <v>0.54988913525498895</v>
      </c>
      <c r="M9" s="12">
        <f t="shared" si="4"/>
        <v>0.47625449263761122</v>
      </c>
      <c r="N9" s="13">
        <f t="shared" si="5"/>
        <v>0.26188717111779952</v>
      </c>
      <c r="O9" s="14">
        <f t="shared" si="6"/>
        <v>0.75763106382115608</v>
      </c>
      <c r="P9" s="15"/>
      <c r="Q9" s="8">
        <v>8</v>
      </c>
      <c r="R9" s="8">
        <v>86110</v>
      </c>
      <c r="S9" s="8">
        <v>41234.556595802307</v>
      </c>
      <c r="T9" s="8">
        <v>146328</v>
      </c>
      <c r="U9" s="16">
        <f t="shared" si="7"/>
        <v>0.58847247280083104</v>
      </c>
      <c r="V9" s="17">
        <f t="shared" si="8"/>
        <v>0.4788590941331124</v>
      </c>
      <c r="W9" s="17">
        <f t="shared" si="9"/>
        <v>0.28179539524767855</v>
      </c>
      <c r="X9" s="8">
        <v>123206</v>
      </c>
      <c r="Y9" s="8">
        <v>52191.445780456066</v>
      </c>
      <c r="Z9" s="8">
        <v>262074</v>
      </c>
      <c r="AA9" s="18">
        <f t="shared" si="10"/>
        <v>0.47011912665888261</v>
      </c>
      <c r="AB9" s="18">
        <f t="shared" si="11"/>
        <v>0.42361123468383088</v>
      </c>
      <c r="AC9" s="18">
        <f t="shared" si="12"/>
        <v>0.19914774369245353</v>
      </c>
      <c r="AD9" s="18">
        <f t="shared" si="13"/>
        <v>0.70671042554622487</v>
      </c>
    </row>
    <row r="10" spans="1:33" ht="15.75" customHeight="1">
      <c r="A10" s="8">
        <v>10304</v>
      </c>
      <c r="B10" s="9" t="s">
        <v>24</v>
      </c>
      <c r="C10" s="8">
        <v>4533</v>
      </c>
      <c r="D10" s="8">
        <v>2307.4445077478886</v>
      </c>
      <c r="E10" s="8">
        <v>7428</v>
      </c>
      <c r="F10" s="10">
        <f t="shared" si="0"/>
        <v>0.61025848142164785</v>
      </c>
      <c r="G10" s="10">
        <f t="shared" si="1"/>
        <v>0.50903254086650973</v>
      </c>
      <c r="H10" s="10">
        <f t="shared" si="2"/>
        <v>0.31064142538339912</v>
      </c>
      <c r="I10" s="8">
        <v>33</v>
      </c>
      <c r="J10" s="8">
        <v>14.333333820104599</v>
      </c>
      <c r="K10" s="8">
        <v>175</v>
      </c>
      <c r="L10" s="11">
        <f t="shared" si="3"/>
        <v>0.18857142857142858</v>
      </c>
      <c r="M10" s="12">
        <f t="shared" si="4"/>
        <v>0.43434344909407874</v>
      </c>
      <c r="N10" s="13">
        <f t="shared" si="5"/>
        <v>8.1904764686311998E-2</v>
      </c>
      <c r="O10" s="14">
        <f t="shared" si="6"/>
        <v>0.26366336873848584</v>
      </c>
      <c r="P10" s="15"/>
      <c r="Q10" s="8">
        <v>9</v>
      </c>
      <c r="R10" s="8">
        <v>18665</v>
      </c>
      <c r="S10" s="8">
        <v>8904.2224576771259</v>
      </c>
      <c r="T10" s="8">
        <v>31864</v>
      </c>
      <c r="U10" s="16">
        <f t="shared" si="7"/>
        <v>0.58577077579713788</v>
      </c>
      <c r="V10" s="17">
        <f t="shared" si="8"/>
        <v>0.47705451152837536</v>
      </c>
      <c r="W10" s="17">
        <f t="shared" si="9"/>
        <v>0.27944459131550109</v>
      </c>
      <c r="X10" s="8">
        <v>34648</v>
      </c>
      <c r="Y10" s="8">
        <v>15801.333744645119</v>
      </c>
      <c r="Z10" s="8">
        <v>72270</v>
      </c>
      <c r="AA10" s="18">
        <f t="shared" si="10"/>
        <v>0.47942438079424382</v>
      </c>
      <c r="AB10" s="18">
        <f t="shared" si="11"/>
        <v>0.45605327131854995</v>
      </c>
      <c r="AC10" s="18">
        <f t="shared" si="12"/>
        <v>0.2186430572110851</v>
      </c>
      <c r="AD10" s="18">
        <f t="shared" si="13"/>
        <v>0.78242007183538831</v>
      </c>
    </row>
    <row r="11" spans="1:33" ht="15.75" customHeight="1">
      <c r="A11" s="8">
        <v>10401</v>
      </c>
      <c r="B11" s="9" t="s">
        <v>25</v>
      </c>
      <c r="C11" s="8">
        <v>2855</v>
      </c>
      <c r="D11" s="8">
        <v>1523.4444888532162</v>
      </c>
      <c r="E11" s="8">
        <v>4105</v>
      </c>
      <c r="F11" s="10">
        <f t="shared" si="0"/>
        <v>0.69549330085261873</v>
      </c>
      <c r="G11" s="10">
        <f t="shared" si="1"/>
        <v>0.53360577543019827</v>
      </c>
      <c r="H11" s="10">
        <f t="shared" si="2"/>
        <v>0.37111924210796982</v>
      </c>
      <c r="I11" s="8">
        <v>3223</v>
      </c>
      <c r="J11" s="8">
        <v>1623.4444898664951</v>
      </c>
      <c r="K11" s="8">
        <v>5994</v>
      </c>
      <c r="L11" s="11">
        <f t="shared" si="3"/>
        <v>0.53770437103770441</v>
      </c>
      <c r="M11" s="12">
        <f t="shared" si="4"/>
        <v>0.50370601609261412</v>
      </c>
      <c r="N11" s="13">
        <f t="shared" si="5"/>
        <v>0.27084492657098691</v>
      </c>
      <c r="O11" s="14">
        <f t="shared" si="6"/>
        <v>0.7298056684761981</v>
      </c>
      <c r="P11" s="15"/>
      <c r="Q11" s="8">
        <v>10</v>
      </c>
      <c r="R11" s="19">
        <v>13770</v>
      </c>
      <c r="S11" s="19">
        <v>5932.4445997476578</v>
      </c>
      <c r="T11" s="19">
        <v>48451</v>
      </c>
      <c r="U11" s="20">
        <v>0.28420466037852676</v>
      </c>
      <c r="V11" s="20">
        <v>0.43082386345298895</v>
      </c>
      <c r="W11" s="20">
        <v>0.12244214979562151</v>
      </c>
      <c r="X11" s="19">
        <v>13017</v>
      </c>
      <c r="Y11" s="19">
        <v>5255.333466976881</v>
      </c>
      <c r="Z11" s="19">
        <v>90519</v>
      </c>
      <c r="AA11" s="18">
        <f t="shared" si="10"/>
        <v>0.14380406323534287</v>
      </c>
      <c r="AB11" s="18">
        <f t="shared" si="11"/>
        <v>0.40372846792478151</v>
      </c>
      <c r="AC11" s="18">
        <f t="shared" si="12"/>
        <v>5.8057794131363374E-2</v>
      </c>
      <c r="AD11" s="18">
        <f t="shared" si="13"/>
        <v>0.4741650994226459</v>
      </c>
    </row>
    <row r="12" spans="1:33" ht="15.75" customHeight="1">
      <c r="A12" s="8">
        <v>10402</v>
      </c>
      <c r="B12" s="9" t="s">
        <v>26</v>
      </c>
      <c r="C12" s="8">
        <v>5201</v>
      </c>
      <c r="D12" s="8">
        <v>2532.0000703632832</v>
      </c>
      <c r="E12" s="8">
        <v>7651</v>
      </c>
      <c r="F12" s="10">
        <f t="shared" si="0"/>
        <v>0.67978042086001833</v>
      </c>
      <c r="G12" s="10">
        <f t="shared" si="1"/>
        <v>0.4868294694026693</v>
      </c>
      <c r="H12" s="10">
        <f t="shared" si="2"/>
        <v>0.33093714159760595</v>
      </c>
      <c r="I12" s="8">
        <v>234</v>
      </c>
      <c r="J12" s="8">
        <v>106.44444710016251</v>
      </c>
      <c r="K12" s="8">
        <v>675</v>
      </c>
      <c r="L12" s="11">
        <f t="shared" si="3"/>
        <v>0.34666666666666668</v>
      </c>
      <c r="M12" s="12">
        <f t="shared" si="4"/>
        <v>0.45489079957334405</v>
      </c>
      <c r="N12" s="13">
        <f t="shared" si="5"/>
        <v>0.15769547718542595</v>
      </c>
      <c r="O12" s="14">
        <f t="shared" si="6"/>
        <v>0.47651187299239894</v>
      </c>
      <c r="P12" s="15"/>
      <c r="Q12" s="8">
        <v>11</v>
      </c>
      <c r="R12" s="19">
        <v>2210169</v>
      </c>
      <c r="S12" s="19">
        <v>1002782.0258591175</v>
      </c>
      <c r="T12" s="19">
        <v>5513161</v>
      </c>
      <c r="U12" s="20">
        <v>0.40088961668269801</v>
      </c>
      <c r="V12" s="20">
        <v>0.4537128273263798</v>
      </c>
      <c r="W12" s="20">
        <v>0.18188876143089555</v>
      </c>
      <c r="X12" s="19">
        <v>751204</v>
      </c>
      <c r="Y12" s="19">
        <v>307330.11891421676</v>
      </c>
      <c r="Z12" s="19">
        <v>4313928</v>
      </c>
      <c r="AA12" s="18">
        <f t="shared" si="10"/>
        <v>0.17413457062797524</v>
      </c>
      <c r="AB12" s="18">
        <f t="shared" si="11"/>
        <v>0.4091167231726891</v>
      </c>
      <c r="AC12" s="18">
        <f t="shared" si="12"/>
        <v>7.124136492640043E-2</v>
      </c>
      <c r="AD12" s="18">
        <f t="shared" si="13"/>
        <v>0.39167546343135085</v>
      </c>
    </row>
    <row r="13" spans="1:33" ht="15.75" customHeight="1">
      <c r="A13" s="8">
        <v>10403</v>
      </c>
      <c r="B13" s="9" t="s">
        <v>27</v>
      </c>
      <c r="C13" s="8">
        <v>4642</v>
      </c>
      <c r="D13" s="8">
        <v>2515.1111846864223</v>
      </c>
      <c r="E13" s="8">
        <v>6371</v>
      </c>
      <c r="F13" s="10">
        <f t="shared" si="0"/>
        <v>0.72861403233401345</v>
      </c>
      <c r="G13" s="10">
        <f t="shared" si="1"/>
        <v>0.54181628278466665</v>
      </c>
      <c r="H13" s="10">
        <f t="shared" si="2"/>
        <v>0.39477494658396206</v>
      </c>
      <c r="I13" s="8">
        <v>332</v>
      </c>
      <c r="J13" s="8">
        <v>166.1111159324646</v>
      </c>
      <c r="K13" s="8">
        <v>799</v>
      </c>
      <c r="L13" s="11">
        <f t="shared" si="3"/>
        <v>0.41551939924906134</v>
      </c>
      <c r="M13" s="12">
        <f t="shared" si="4"/>
        <v>0.50033468654356805</v>
      </c>
      <c r="N13" s="13">
        <f t="shared" si="5"/>
        <v>0.20789876837605081</v>
      </c>
      <c r="O13" s="14">
        <f t="shared" si="6"/>
        <v>0.52662604396511314</v>
      </c>
      <c r="P13" s="15"/>
      <c r="Q13" s="15"/>
      <c r="AD13" s="21"/>
    </row>
    <row r="14" spans="1:33" ht="15.75" customHeight="1">
      <c r="A14" s="8">
        <v>10404</v>
      </c>
      <c r="B14" s="9" t="s">
        <v>28</v>
      </c>
      <c r="C14" s="8">
        <v>1481</v>
      </c>
      <c r="D14" s="8">
        <v>719.44446277618408</v>
      </c>
      <c r="E14" s="8">
        <v>2443</v>
      </c>
      <c r="F14" s="10">
        <f t="shared" si="0"/>
        <v>0.60622185837085552</v>
      </c>
      <c r="G14" s="10">
        <f t="shared" si="1"/>
        <v>0.48578289181376372</v>
      </c>
      <c r="H14" s="10">
        <f t="shared" si="2"/>
        <v>0.29449220744010812</v>
      </c>
      <c r="I14" s="8">
        <v>1312</v>
      </c>
      <c r="J14" s="8">
        <v>622.22223928570747</v>
      </c>
      <c r="K14" s="8">
        <v>2391</v>
      </c>
      <c r="L14" s="11">
        <f t="shared" si="3"/>
        <v>0.54872438310330407</v>
      </c>
      <c r="M14" s="12">
        <f t="shared" si="4"/>
        <v>0.47425475555313068</v>
      </c>
      <c r="N14" s="13">
        <f t="shared" si="5"/>
        <v>0.26023514817469989</v>
      </c>
      <c r="O14" s="14">
        <f t="shared" si="6"/>
        <v>0.88367414009630385</v>
      </c>
      <c r="P14" s="15"/>
      <c r="Q14" s="15"/>
      <c r="AD14" s="21"/>
    </row>
    <row r="15" spans="1:33" ht="15.75" customHeight="1">
      <c r="A15" s="8">
        <v>10405</v>
      </c>
      <c r="B15" s="9" t="s">
        <v>29</v>
      </c>
      <c r="C15" s="8">
        <v>1848</v>
      </c>
      <c r="D15" s="8">
        <v>929.22224688529968</v>
      </c>
      <c r="E15" s="8">
        <v>2636</v>
      </c>
      <c r="F15" s="10">
        <f t="shared" si="0"/>
        <v>0.70106221547799696</v>
      </c>
      <c r="G15" s="10">
        <f t="shared" si="1"/>
        <v>0.50282589117169896</v>
      </c>
      <c r="H15" s="10">
        <f t="shared" si="2"/>
        <v>0.35251223326452946</v>
      </c>
      <c r="I15" s="8">
        <v>1089</v>
      </c>
      <c r="J15" s="8">
        <v>530.66668239235878</v>
      </c>
      <c r="K15" s="8">
        <v>1672</v>
      </c>
      <c r="L15" s="11">
        <f t="shared" si="3"/>
        <v>0.65131578947368418</v>
      </c>
      <c r="M15" s="12">
        <f t="shared" si="4"/>
        <v>0.48729722901043049</v>
      </c>
      <c r="N15" s="13">
        <f t="shared" si="5"/>
        <v>0.31738437942126724</v>
      </c>
      <c r="O15" s="14">
        <f t="shared" si="6"/>
        <v>0.90034997220393809</v>
      </c>
      <c r="P15" s="15"/>
      <c r="Q15" s="15"/>
      <c r="AD15" s="21"/>
    </row>
    <row r="16" spans="1:33" ht="15.75" customHeight="1">
      <c r="A16" s="8">
        <v>10501</v>
      </c>
      <c r="B16" s="9" t="s">
        <v>30</v>
      </c>
      <c r="C16" s="8">
        <v>4577</v>
      </c>
      <c r="D16" s="8">
        <v>2271.2222845554352</v>
      </c>
      <c r="E16" s="8">
        <v>9046</v>
      </c>
      <c r="F16" s="10">
        <f t="shared" si="0"/>
        <v>0.50596948927702856</v>
      </c>
      <c r="G16" s="10">
        <f t="shared" si="1"/>
        <v>0.49622510040538237</v>
      </c>
      <c r="H16" s="10">
        <f t="shared" si="2"/>
        <v>0.25107476061855355</v>
      </c>
      <c r="I16" s="8">
        <v>5552</v>
      </c>
      <c r="J16" s="8">
        <v>2670.111184835434</v>
      </c>
      <c r="K16" s="8">
        <v>14270</v>
      </c>
      <c r="L16" s="11">
        <f t="shared" si="3"/>
        <v>0.38906797477224947</v>
      </c>
      <c r="M16" s="12">
        <f t="shared" si="4"/>
        <v>0.48092780706690091</v>
      </c>
      <c r="N16" s="13">
        <f t="shared" si="5"/>
        <v>0.18711360790717826</v>
      </c>
      <c r="O16" s="14">
        <f t="shared" si="6"/>
        <v>0.74525056778387788</v>
      </c>
      <c r="P16" s="15"/>
      <c r="Q16" s="15"/>
      <c r="AD16" s="21"/>
    </row>
    <row r="17" spans="1:30" ht="15.75" customHeight="1">
      <c r="A17" s="8">
        <v>10502</v>
      </c>
      <c r="B17" s="9" t="s">
        <v>31</v>
      </c>
      <c r="C17" s="8">
        <v>2990</v>
      </c>
      <c r="D17" s="8">
        <v>1560.4444872438908</v>
      </c>
      <c r="E17" s="8">
        <v>3741</v>
      </c>
      <c r="F17" s="10">
        <f t="shared" si="0"/>
        <v>0.79925153702218654</v>
      </c>
      <c r="G17" s="10">
        <f t="shared" si="1"/>
        <v>0.52188778837588323</v>
      </c>
      <c r="H17" s="10">
        <f t="shared" si="2"/>
        <v>0.41711961701253431</v>
      </c>
      <c r="I17" s="8">
        <v>2513</v>
      </c>
      <c r="J17" s="8">
        <v>1218.7778107225895</v>
      </c>
      <c r="K17" s="8">
        <v>4291</v>
      </c>
      <c r="L17" s="11">
        <f t="shared" si="3"/>
        <v>0.58564437194127239</v>
      </c>
      <c r="M17" s="12">
        <f t="shared" si="4"/>
        <v>0.48498918055017487</v>
      </c>
      <c r="N17" s="13">
        <f t="shared" si="5"/>
        <v>0.28403118404161953</v>
      </c>
      <c r="O17" s="14">
        <f t="shared" si="6"/>
        <v>0.68093461073801398</v>
      </c>
      <c r="P17" s="15"/>
      <c r="Q17" s="15"/>
      <c r="AD17" s="21"/>
    </row>
    <row r="18" spans="1:30" ht="15.75" customHeight="1">
      <c r="A18" s="8">
        <v>10601</v>
      </c>
      <c r="B18" s="9" t="s">
        <v>32</v>
      </c>
      <c r="C18" s="8">
        <v>11280</v>
      </c>
      <c r="D18" s="8">
        <v>5741.5557136237621</v>
      </c>
      <c r="E18" s="8">
        <v>16147</v>
      </c>
      <c r="F18" s="10">
        <f t="shared" si="0"/>
        <v>0.6985817798971945</v>
      </c>
      <c r="G18" s="10">
        <f t="shared" si="1"/>
        <v>0.5090031661013974</v>
      </c>
      <c r="H18" s="10">
        <f t="shared" si="2"/>
        <v>0.35558033774842152</v>
      </c>
      <c r="I18" s="8">
        <v>202</v>
      </c>
      <c r="J18" s="8">
        <v>98.444446980953217</v>
      </c>
      <c r="K18" s="8">
        <v>566</v>
      </c>
      <c r="L18" s="11">
        <f t="shared" si="3"/>
        <v>0.35689045936395758</v>
      </c>
      <c r="M18" s="12">
        <f t="shared" si="4"/>
        <v>0.48734874743046147</v>
      </c>
      <c r="N18" s="13">
        <f t="shared" si="5"/>
        <v>0.17393011834090674</v>
      </c>
      <c r="O18" s="14">
        <f t="shared" si="6"/>
        <v>0.48914436451197968</v>
      </c>
      <c r="P18" s="15"/>
      <c r="Q18" s="15"/>
      <c r="AD18" s="21"/>
    </row>
    <row r="19" spans="1:30" ht="15.75" customHeight="1">
      <c r="A19" s="8">
        <v>10602</v>
      </c>
      <c r="B19" s="9" t="s">
        <v>33</v>
      </c>
      <c r="C19" s="8">
        <v>6015</v>
      </c>
      <c r="D19" s="8">
        <v>3036.4445307254791</v>
      </c>
      <c r="E19" s="8">
        <v>9348</v>
      </c>
      <c r="F19" s="10">
        <f t="shared" si="0"/>
        <v>0.64345314505776641</v>
      </c>
      <c r="G19" s="10">
        <f t="shared" si="1"/>
        <v>0.50481205830847531</v>
      </c>
      <c r="H19" s="10">
        <f t="shared" si="2"/>
        <v>0.32482290658167301</v>
      </c>
      <c r="I19" s="8">
        <v>246</v>
      </c>
      <c r="J19" s="8">
        <v>105.22222539782524</v>
      </c>
      <c r="K19" s="8">
        <v>535</v>
      </c>
      <c r="L19" s="11">
        <f t="shared" si="3"/>
        <v>0.45981308411214955</v>
      </c>
      <c r="M19" s="12">
        <f t="shared" si="4"/>
        <v>0.42773262356839531</v>
      </c>
      <c r="N19" s="13">
        <f t="shared" si="5"/>
        <v>0.19667705681836495</v>
      </c>
      <c r="O19" s="14">
        <f t="shared" si="6"/>
        <v>0.60549010809652593</v>
      </c>
      <c r="P19" s="15"/>
      <c r="Q19" s="15"/>
      <c r="AD19" s="21"/>
    </row>
    <row r="20" spans="1:30" ht="15.75" customHeight="1">
      <c r="A20" s="8">
        <v>10701</v>
      </c>
      <c r="B20" s="9" t="s">
        <v>34</v>
      </c>
      <c r="C20" s="8">
        <v>4397</v>
      </c>
      <c r="D20" s="8">
        <v>2165.7778347432613</v>
      </c>
      <c r="E20" s="8">
        <v>8628</v>
      </c>
      <c r="F20" s="10">
        <f t="shared" si="0"/>
        <v>0.50961984237366709</v>
      </c>
      <c r="G20" s="10">
        <f t="shared" si="1"/>
        <v>0.49255807021679809</v>
      </c>
      <c r="H20" s="10">
        <f t="shared" si="2"/>
        <v>0.2510173661037623</v>
      </c>
      <c r="I20" s="8">
        <v>1825</v>
      </c>
      <c r="J20" s="8">
        <v>804.66668882966042</v>
      </c>
      <c r="K20" s="8">
        <v>6384</v>
      </c>
      <c r="L20" s="11">
        <f t="shared" si="3"/>
        <v>0.28587092731829572</v>
      </c>
      <c r="M20" s="12">
        <f t="shared" si="4"/>
        <v>0.44091325415323857</v>
      </c>
      <c r="N20" s="13">
        <f t="shared" si="5"/>
        <v>0.12604428083171371</v>
      </c>
      <c r="O20" s="14">
        <f t="shared" si="6"/>
        <v>0.50213370807026614</v>
      </c>
      <c r="P20" s="15"/>
      <c r="Q20" s="15"/>
      <c r="AD20" s="21"/>
    </row>
    <row r="21" spans="1:30" ht="15.75" customHeight="1">
      <c r="A21" s="8">
        <v>10702</v>
      </c>
      <c r="B21" s="9" t="s">
        <v>35</v>
      </c>
      <c r="C21" s="8">
        <v>22719</v>
      </c>
      <c r="D21" s="8">
        <v>12494.778117120266</v>
      </c>
      <c r="E21" s="8">
        <v>31075</v>
      </c>
      <c r="F21" s="10">
        <f t="shared" si="0"/>
        <v>0.7311021721641191</v>
      </c>
      <c r="G21" s="10">
        <f t="shared" si="1"/>
        <v>0.54997042638849714</v>
      </c>
      <c r="H21" s="10">
        <f t="shared" si="2"/>
        <v>0.40208457335865705</v>
      </c>
      <c r="I21" s="8">
        <v>587</v>
      </c>
      <c r="J21" s="8">
        <v>251.22222766280174</v>
      </c>
      <c r="K21" s="8">
        <v>1138</v>
      </c>
      <c r="L21" s="11">
        <f t="shared" si="3"/>
        <v>0.51581722319859402</v>
      </c>
      <c r="M21" s="12">
        <f t="shared" si="4"/>
        <v>0.42797653775605066</v>
      </c>
      <c r="N21" s="13">
        <f t="shared" si="5"/>
        <v>0.2207576692994743</v>
      </c>
      <c r="O21" s="14">
        <f t="shared" si="6"/>
        <v>0.5490329247288972</v>
      </c>
      <c r="P21" s="15"/>
      <c r="Q21" s="15"/>
      <c r="AD21" s="21"/>
    </row>
    <row r="22" spans="1:30" ht="15.75" customHeight="1">
      <c r="A22" s="8">
        <v>10703</v>
      </c>
      <c r="B22" s="9" t="s">
        <v>36</v>
      </c>
      <c r="C22" s="8">
        <v>8497</v>
      </c>
      <c r="D22" s="8">
        <v>5183.8890160918236</v>
      </c>
      <c r="E22" s="8">
        <v>9812</v>
      </c>
      <c r="F22" s="10">
        <f t="shared" si="0"/>
        <v>0.86598043212392983</v>
      </c>
      <c r="G22" s="10">
        <f t="shared" si="1"/>
        <v>0.61008461999433017</v>
      </c>
      <c r="H22" s="10">
        <f t="shared" si="2"/>
        <v>0.52832134285485355</v>
      </c>
      <c r="I22" s="8">
        <v>1639</v>
      </c>
      <c r="J22" s="8">
        <v>758.22224214673042</v>
      </c>
      <c r="K22" s="8">
        <v>3043</v>
      </c>
      <c r="L22" s="11">
        <f t="shared" si="3"/>
        <v>0.53861321064738743</v>
      </c>
      <c r="M22" s="12">
        <f t="shared" si="4"/>
        <v>0.46261271637994533</v>
      </c>
      <c r="N22" s="13">
        <f t="shared" si="5"/>
        <v>0.24916932045571158</v>
      </c>
      <c r="O22" s="14">
        <f t="shared" si="6"/>
        <v>0.47162455922998026</v>
      </c>
      <c r="P22" s="15"/>
      <c r="Q22" s="15"/>
      <c r="AD22" s="21"/>
    </row>
    <row r="23" spans="1:30" ht="15.75" customHeight="1">
      <c r="A23" s="8">
        <v>10704</v>
      </c>
      <c r="B23" s="9" t="s">
        <v>37</v>
      </c>
      <c r="C23" s="8">
        <v>10850</v>
      </c>
      <c r="D23" s="8">
        <v>6008.3334932923317</v>
      </c>
      <c r="E23" s="8">
        <v>14148</v>
      </c>
      <c r="F23" s="10">
        <f t="shared" si="0"/>
        <v>0.76689284704551886</v>
      </c>
      <c r="G23" s="10">
        <f t="shared" si="1"/>
        <v>0.5537634556029799</v>
      </c>
      <c r="H23" s="10">
        <f t="shared" si="2"/>
        <v>0.42467723305713406</v>
      </c>
      <c r="I23" s="8">
        <v>729</v>
      </c>
      <c r="J23" s="8">
        <v>331.66667515039444</v>
      </c>
      <c r="K23" s="8">
        <v>1537</v>
      </c>
      <c r="L23" s="11">
        <f t="shared" si="3"/>
        <v>0.47430058555627846</v>
      </c>
      <c r="M23" s="12">
        <f t="shared" si="4"/>
        <v>0.45496114561096629</v>
      </c>
      <c r="N23" s="13">
        <f t="shared" si="5"/>
        <v>0.21578833776863657</v>
      </c>
      <c r="O23" s="14">
        <f t="shared" si="6"/>
        <v>0.50812316030043791</v>
      </c>
      <c r="P23" s="15"/>
      <c r="Q23" s="15"/>
      <c r="AD23" s="21"/>
    </row>
    <row r="24" spans="1:30" ht="15.75" customHeight="1">
      <c r="A24" s="8">
        <v>10801</v>
      </c>
      <c r="B24" s="9" t="s">
        <v>38</v>
      </c>
      <c r="C24" s="8">
        <v>3923</v>
      </c>
      <c r="D24" s="8">
        <v>1961.1111647486687</v>
      </c>
      <c r="E24" s="8">
        <v>6608</v>
      </c>
      <c r="F24" s="10">
        <f t="shared" si="0"/>
        <v>0.5936743341404358</v>
      </c>
      <c r="G24" s="10">
        <f t="shared" si="1"/>
        <v>0.4999008831885467</v>
      </c>
      <c r="H24" s="10">
        <f t="shared" si="2"/>
        <v>0.29677832396317622</v>
      </c>
      <c r="I24" s="8">
        <v>1936</v>
      </c>
      <c r="J24" s="8">
        <v>946.77780351042747</v>
      </c>
      <c r="K24" s="8">
        <v>4299</v>
      </c>
      <c r="L24" s="11">
        <f t="shared" si="3"/>
        <v>0.45033728774133519</v>
      </c>
      <c r="M24" s="12">
        <f t="shared" si="4"/>
        <v>0.48903812164794808</v>
      </c>
      <c r="N24" s="13">
        <f t="shared" si="5"/>
        <v>0.22023210130505408</v>
      </c>
      <c r="O24" s="14">
        <f t="shared" si="6"/>
        <v>0.74207610031647775</v>
      </c>
      <c r="P24" s="15"/>
      <c r="Q24" s="15"/>
      <c r="AD24" s="21"/>
    </row>
    <row r="25" spans="1:30" ht="15.75" customHeight="1">
      <c r="A25" s="8">
        <v>10901</v>
      </c>
      <c r="B25" s="9" t="s">
        <v>39</v>
      </c>
      <c r="C25" s="8">
        <v>902</v>
      </c>
      <c r="D25" s="8">
        <v>441.00001201033592</v>
      </c>
      <c r="E25" s="8">
        <v>1349</v>
      </c>
      <c r="F25" s="10">
        <f t="shared" si="0"/>
        <v>0.66864343958487771</v>
      </c>
      <c r="G25" s="10">
        <f t="shared" si="1"/>
        <v>0.48891353881411964</v>
      </c>
      <c r="H25" s="10">
        <f t="shared" si="2"/>
        <v>0.32690883025228756</v>
      </c>
      <c r="I25" s="8">
        <v>1147</v>
      </c>
      <c r="J25" s="8">
        <v>550.44445931911469</v>
      </c>
      <c r="K25" s="8">
        <v>2024</v>
      </c>
      <c r="L25" s="11">
        <f t="shared" si="3"/>
        <v>0.56669960474308301</v>
      </c>
      <c r="M25" s="12">
        <f t="shared" si="4"/>
        <v>0.47989926706112873</v>
      </c>
      <c r="N25" s="13">
        <f t="shared" si="5"/>
        <v>0.27195872496003687</v>
      </c>
      <c r="O25" s="14">
        <f t="shared" si="6"/>
        <v>0.83190999995367609</v>
      </c>
      <c r="P25" s="15"/>
      <c r="Q25" s="15"/>
      <c r="AD25" s="21"/>
    </row>
    <row r="26" spans="1:30" ht="15.75" customHeight="1">
      <c r="A26" s="8">
        <v>10902</v>
      </c>
      <c r="B26" s="9" t="s">
        <v>40</v>
      </c>
      <c r="C26" s="8">
        <v>6202</v>
      </c>
      <c r="D26" s="8">
        <v>3456.888980537653</v>
      </c>
      <c r="E26" s="8">
        <v>8278</v>
      </c>
      <c r="F26" s="10">
        <f t="shared" si="0"/>
        <v>0.74921478618023674</v>
      </c>
      <c r="G26" s="10">
        <f t="shared" si="1"/>
        <v>0.55738293784870252</v>
      </c>
      <c r="H26" s="10">
        <f t="shared" si="2"/>
        <v>0.41759953860082782</v>
      </c>
      <c r="I26" s="8">
        <v>5492</v>
      </c>
      <c r="J26" s="8">
        <v>2795.3334063887596</v>
      </c>
      <c r="K26" s="8">
        <v>9266</v>
      </c>
      <c r="L26" s="11">
        <f t="shared" si="3"/>
        <v>0.59270451111590761</v>
      </c>
      <c r="M26" s="12">
        <f t="shared" si="4"/>
        <v>0.50898277610865983</v>
      </c>
      <c r="N26" s="13">
        <f t="shared" si="5"/>
        <v>0.30167638747990067</v>
      </c>
      <c r="O26" s="14">
        <f t="shared" si="6"/>
        <v>0.72240594060680952</v>
      </c>
      <c r="P26" s="15"/>
      <c r="Q26" s="15"/>
      <c r="AD26" s="21"/>
    </row>
    <row r="27" spans="1:30" ht="15.75" customHeight="1">
      <c r="A27" s="8">
        <v>10903</v>
      </c>
      <c r="B27" s="9" t="s">
        <v>41</v>
      </c>
      <c r="C27" s="8">
        <v>397</v>
      </c>
      <c r="D27" s="8">
        <v>182.55556082725525</v>
      </c>
      <c r="E27" s="8">
        <v>820</v>
      </c>
      <c r="F27" s="10">
        <f t="shared" si="0"/>
        <v>0.48414634146341462</v>
      </c>
      <c r="G27" s="10">
        <f t="shared" si="1"/>
        <v>0.45983768470341374</v>
      </c>
      <c r="H27" s="10">
        <f t="shared" si="2"/>
        <v>0.22262873271616493</v>
      </c>
      <c r="I27" s="8">
        <v>1511</v>
      </c>
      <c r="J27" s="8">
        <v>696.33335161209106</v>
      </c>
      <c r="K27" s="8">
        <v>3117</v>
      </c>
      <c r="L27" s="11">
        <f t="shared" si="3"/>
        <v>0.48476098812961183</v>
      </c>
      <c r="M27" s="12">
        <f t="shared" si="4"/>
        <v>0.46084272111984848</v>
      </c>
      <c r="N27" s="13">
        <f t="shared" si="5"/>
        <v>0.22339857286239687</v>
      </c>
      <c r="O27" s="14">
        <f t="shared" si="6"/>
        <v>1.0034579550305101</v>
      </c>
      <c r="P27" s="15"/>
      <c r="Q27" s="15"/>
      <c r="AD27" s="21"/>
    </row>
    <row r="28" spans="1:30" ht="15.75" customHeight="1">
      <c r="A28" s="8">
        <v>11001</v>
      </c>
      <c r="B28" s="9" t="s">
        <v>42</v>
      </c>
      <c r="C28" s="8">
        <v>3493</v>
      </c>
      <c r="D28" s="8">
        <v>1745.7778271734715</v>
      </c>
      <c r="E28" s="8">
        <v>5366</v>
      </c>
      <c r="F28" s="10">
        <f t="shared" si="0"/>
        <v>0.65095042862467389</v>
      </c>
      <c r="G28" s="10">
        <f t="shared" si="1"/>
        <v>0.49979325140952519</v>
      </c>
      <c r="H28" s="10">
        <f t="shared" si="2"/>
        <v>0.32534063122874984</v>
      </c>
      <c r="I28" s="8">
        <v>1500</v>
      </c>
      <c r="J28" s="8">
        <v>689.5555739402771</v>
      </c>
      <c r="K28" s="8">
        <v>3979</v>
      </c>
      <c r="L28" s="11">
        <f t="shared" si="3"/>
        <v>0.37697914048755971</v>
      </c>
      <c r="M28" s="12">
        <f t="shared" si="4"/>
        <v>0.45970371596018472</v>
      </c>
      <c r="N28" s="13">
        <f t="shared" si="5"/>
        <v>0.17329871172160771</v>
      </c>
      <c r="O28" s="14">
        <f t="shared" si="6"/>
        <v>0.53266851750760846</v>
      </c>
      <c r="P28" s="15"/>
      <c r="Q28" s="15"/>
      <c r="AD28" s="21"/>
    </row>
    <row r="29" spans="1:30" ht="15.75" customHeight="1">
      <c r="A29" s="8">
        <v>11002</v>
      </c>
      <c r="B29" s="9" t="s">
        <v>43</v>
      </c>
      <c r="C29" s="8">
        <v>1313</v>
      </c>
      <c r="D29" s="8">
        <v>609.55557066202164</v>
      </c>
      <c r="E29" s="8">
        <v>2000</v>
      </c>
      <c r="F29" s="10">
        <f t="shared" si="0"/>
        <v>0.65649999999999997</v>
      </c>
      <c r="G29" s="10">
        <f t="shared" si="1"/>
        <v>0.46424643614776973</v>
      </c>
      <c r="H29" s="10">
        <f t="shared" si="2"/>
        <v>0.3047777853310108</v>
      </c>
      <c r="I29" s="8">
        <v>246</v>
      </c>
      <c r="J29" s="8">
        <v>115.00000283122063</v>
      </c>
      <c r="K29" s="8">
        <v>429</v>
      </c>
      <c r="L29" s="11">
        <f t="shared" si="3"/>
        <v>0.57342657342657344</v>
      </c>
      <c r="M29" s="12">
        <f t="shared" si="4"/>
        <v>0.46747968630577491</v>
      </c>
      <c r="N29" s="13">
        <f t="shared" si="5"/>
        <v>0.26806527466484997</v>
      </c>
      <c r="O29" s="14">
        <f t="shared" si="6"/>
        <v>0.87954335114585736</v>
      </c>
      <c r="P29" s="15"/>
      <c r="Q29" s="15"/>
      <c r="AD29" s="21"/>
    </row>
    <row r="30" spans="1:30" ht="15.75" customHeight="1">
      <c r="A30" s="8">
        <v>11003</v>
      </c>
      <c r="B30" s="9" t="s">
        <v>44</v>
      </c>
      <c r="C30" s="8">
        <v>2001</v>
      </c>
      <c r="D30" s="8">
        <v>956.33335927128792</v>
      </c>
      <c r="E30" s="8">
        <v>3638</v>
      </c>
      <c r="F30" s="10">
        <f t="shared" si="0"/>
        <v>0.55002748763056619</v>
      </c>
      <c r="G30" s="10">
        <f t="shared" si="1"/>
        <v>0.47792771577775506</v>
      </c>
      <c r="H30" s="10">
        <f t="shared" si="2"/>
        <v>0.26287338077825395</v>
      </c>
      <c r="I30" s="8">
        <v>1311</v>
      </c>
      <c r="J30" s="8">
        <v>585.88890501856804</v>
      </c>
      <c r="K30" s="8">
        <v>3105</v>
      </c>
      <c r="L30" s="11">
        <f t="shared" si="3"/>
        <v>0.42222222222222222</v>
      </c>
      <c r="M30" s="12">
        <f t="shared" si="4"/>
        <v>0.44690229215756527</v>
      </c>
      <c r="N30" s="13">
        <f t="shared" si="5"/>
        <v>0.18869207891097201</v>
      </c>
      <c r="O30" s="14">
        <f t="shared" si="6"/>
        <v>0.71780595795716051</v>
      </c>
      <c r="P30" s="15"/>
      <c r="Q30" s="15"/>
      <c r="AD30" s="21"/>
    </row>
    <row r="31" spans="1:30" ht="15.75" customHeight="1">
      <c r="A31" s="8">
        <v>20101</v>
      </c>
      <c r="B31" s="9" t="s">
        <v>45</v>
      </c>
      <c r="C31" s="8">
        <v>22280</v>
      </c>
      <c r="D31" s="8">
        <v>8858.2224441468716</v>
      </c>
      <c r="E31" s="8">
        <v>258589</v>
      </c>
      <c r="F31" s="10">
        <f t="shared" si="0"/>
        <v>8.6159890791951702E-2</v>
      </c>
      <c r="G31" s="10">
        <f t="shared" si="1"/>
        <v>0.397586285643935</v>
      </c>
      <c r="H31" s="10">
        <f t="shared" si="2"/>
        <v>3.4255990951459155E-2</v>
      </c>
      <c r="I31" s="8">
        <v>11510</v>
      </c>
      <c r="J31" s="8">
        <v>4323.555665910244</v>
      </c>
      <c r="K31" s="8">
        <v>489599</v>
      </c>
      <c r="L31" s="11">
        <f t="shared" si="3"/>
        <v>2.3509034944924314E-2</v>
      </c>
      <c r="M31" s="12">
        <f t="shared" si="4"/>
        <v>0.37563472336318365</v>
      </c>
      <c r="N31" s="13">
        <f t="shared" si="5"/>
        <v>8.8308098380720616E-3</v>
      </c>
      <c r="O31" s="14">
        <f t="shared" si="6"/>
        <v>0.25778877191395067</v>
      </c>
      <c r="P31" s="15"/>
      <c r="Q31" s="15"/>
      <c r="AD31" s="21"/>
    </row>
    <row r="32" spans="1:30" ht="15.75" customHeight="1">
      <c r="A32" s="8">
        <v>20102</v>
      </c>
      <c r="B32" s="9" t="s">
        <v>46</v>
      </c>
      <c r="C32" s="8">
        <v>8121</v>
      </c>
      <c r="D32" s="8">
        <v>3517.5556438863277</v>
      </c>
      <c r="E32" s="8">
        <v>15528</v>
      </c>
      <c r="F32" s="10">
        <f t="shared" si="0"/>
        <v>0.52299072642967548</v>
      </c>
      <c r="G32" s="10">
        <f t="shared" si="1"/>
        <v>0.43314316511345002</v>
      </c>
      <c r="H32" s="10">
        <f t="shared" si="2"/>
        <v>0.2265298585707321</v>
      </c>
      <c r="I32" s="8">
        <v>370</v>
      </c>
      <c r="J32" s="8">
        <v>151.0000034570694</v>
      </c>
      <c r="K32" s="8">
        <v>958</v>
      </c>
      <c r="L32" s="11">
        <f t="shared" si="3"/>
        <v>0.38622129436325681</v>
      </c>
      <c r="M32" s="12">
        <f t="shared" si="4"/>
        <v>0.40810811745153891</v>
      </c>
      <c r="N32" s="13">
        <f t="shared" si="5"/>
        <v>0.15762004536228538</v>
      </c>
      <c r="O32" s="14">
        <f t="shared" si="6"/>
        <v>0.69580251520383929</v>
      </c>
      <c r="P32" s="15"/>
      <c r="Q32" s="15"/>
      <c r="AD32" s="21"/>
    </row>
    <row r="33" spans="1:30" ht="15.75" customHeight="1">
      <c r="A33" s="8">
        <v>20103</v>
      </c>
      <c r="B33" s="9" t="s">
        <v>47</v>
      </c>
      <c r="C33" s="8">
        <v>5778</v>
      </c>
      <c r="D33" s="8">
        <v>2484.4445078372955</v>
      </c>
      <c r="E33" s="8">
        <v>12787</v>
      </c>
      <c r="F33" s="10">
        <f t="shared" si="0"/>
        <v>0.45186517556893718</v>
      </c>
      <c r="G33" s="10">
        <f t="shared" si="1"/>
        <v>0.42998347314594937</v>
      </c>
      <c r="H33" s="10">
        <f t="shared" si="2"/>
        <v>0.1942945575848358</v>
      </c>
      <c r="I33" s="8">
        <v>372</v>
      </c>
      <c r="J33" s="8">
        <v>151.55555945634842</v>
      </c>
      <c r="K33" s="8">
        <v>2958</v>
      </c>
      <c r="L33" s="11">
        <f t="shared" si="3"/>
        <v>0.12576064908722109</v>
      </c>
      <c r="M33" s="12">
        <f t="shared" si="4"/>
        <v>0.40740741789340973</v>
      </c>
      <c r="N33" s="13">
        <f t="shared" si="5"/>
        <v>5.1235821317223942E-2</v>
      </c>
      <c r="O33" s="14">
        <f t="shared" si="6"/>
        <v>0.26370178328259447</v>
      </c>
      <c r="P33" s="15"/>
      <c r="Q33" s="15"/>
      <c r="AD33" s="21"/>
    </row>
    <row r="34" spans="1:30" ht="15.75" customHeight="1">
      <c r="A34" s="8">
        <v>20104</v>
      </c>
      <c r="B34" s="9" t="s">
        <v>48</v>
      </c>
      <c r="C34" s="8">
        <v>8856</v>
      </c>
      <c r="D34" s="8">
        <v>3665.888978600502</v>
      </c>
      <c r="E34" s="8">
        <v>18136</v>
      </c>
      <c r="F34" s="10">
        <f t="shared" si="0"/>
        <v>0.48831054256726952</v>
      </c>
      <c r="G34" s="10">
        <f t="shared" si="1"/>
        <v>0.41394410327467279</v>
      </c>
      <c r="H34" s="10">
        <f t="shared" si="2"/>
        <v>0.20213326966257733</v>
      </c>
      <c r="I34" s="8">
        <v>1627</v>
      </c>
      <c r="J34" s="8">
        <v>675.00001695752144</v>
      </c>
      <c r="K34" s="8">
        <v>4106</v>
      </c>
      <c r="L34" s="11">
        <f t="shared" si="3"/>
        <v>0.39624939113492452</v>
      </c>
      <c r="M34" s="12">
        <f t="shared" si="4"/>
        <v>0.4148740116518263</v>
      </c>
      <c r="N34" s="13">
        <f t="shared" si="5"/>
        <v>0.16439357451473977</v>
      </c>
      <c r="O34" s="14">
        <f t="shared" si="6"/>
        <v>0.81329300609030497</v>
      </c>
      <c r="P34" s="15"/>
      <c r="Q34" s="15"/>
      <c r="AD34" s="21"/>
    </row>
    <row r="35" spans="1:30" ht="15.75" customHeight="1">
      <c r="A35" s="8">
        <v>20105</v>
      </c>
      <c r="B35" s="9" t="s">
        <v>49</v>
      </c>
      <c r="C35" s="8">
        <v>91475</v>
      </c>
      <c r="D35" s="8">
        <v>36117.77868154645</v>
      </c>
      <c r="E35" s="8">
        <v>573615</v>
      </c>
      <c r="F35" s="10">
        <f t="shared" si="0"/>
        <v>0.159471073803858</v>
      </c>
      <c r="G35" s="10">
        <f t="shared" si="1"/>
        <v>0.394837700809472</v>
      </c>
      <c r="H35" s="10">
        <f t="shared" si="2"/>
        <v>6.296519212633292E-2</v>
      </c>
      <c r="I35" s="8">
        <v>22513</v>
      </c>
      <c r="J35" s="8">
        <v>8621.8891037106514</v>
      </c>
      <c r="K35" s="8">
        <v>266070</v>
      </c>
      <c r="L35" s="11">
        <f t="shared" si="3"/>
        <v>8.4613071748036228E-2</v>
      </c>
      <c r="M35" s="12">
        <f t="shared" si="4"/>
        <v>0.38297379752634708</v>
      </c>
      <c r="N35" s="13">
        <f t="shared" si="5"/>
        <v>3.2404589407714707E-2</v>
      </c>
      <c r="O35" s="14">
        <f t="shared" si="6"/>
        <v>0.51464290528484957</v>
      </c>
      <c r="P35" s="15"/>
      <c r="Q35" s="15"/>
      <c r="AD35" s="21"/>
    </row>
    <row r="36" spans="1:30" ht="15.75" customHeight="1">
      <c r="A36" s="8">
        <v>20201</v>
      </c>
      <c r="B36" s="9" t="s">
        <v>50</v>
      </c>
      <c r="C36" s="8">
        <v>17138</v>
      </c>
      <c r="D36" s="8">
        <v>7239.0001817941666</v>
      </c>
      <c r="E36" s="8">
        <v>44174</v>
      </c>
      <c r="F36" s="10">
        <f t="shared" si="0"/>
        <v>0.38796577172092178</v>
      </c>
      <c r="G36" s="10">
        <f t="shared" si="1"/>
        <v>0.42239468909990469</v>
      </c>
      <c r="H36" s="10">
        <f t="shared" si="2"/>
        <v>0.16387468152746335</v>
      </c>
      <c r="I36" s="8">
        <v>368</v>
      </c>
      <c r="J36" s="8">
        <v>152.88889279961586</v>
      </c>
      <c r="K36" s="8">
        <v>1493</v>
      </c>
      <c r="L36" s="11">
        <f t="shared" si="3"/>
        <v>0.24648359008707302</v>
      </c>
      <c r="M36" s="12">
        <f t="shared" si="4"/>
        <v>0.41545894782504311</v>
      </c>
      <c r="N36" s="13">
        <f t="shared" si="5"/>
        <v>0.10240381299371458</v>
      </c>
      <c r="O36" s="14">
        <f t="shared" si="6"/>
        <v>0.62489099621257227</v>
      </c>
      <c r="P36" s="15"/>
      <c r="Q36" s="15"/>
      <c r="AD36" s="21"/>
    </row>
    <row r="37" spans="1:30" ht="15.75" customHeight="1">
      <c r="A37" s="8">
        <v>20202</v>
      </c>
      <c r="B37" s="9" t="s">
        <v>51</v>
      </c>
      <c r="C37" s="8">
        <v>7103</v>
      </c>
      <c r="D37" s="8">
        <v>3009.3334078490734</v>
      </c>
      <c r="E37" s="8">
        <v>12809</v>
      </c>
      <c r="F37" s="10">
        <f t="shared" si="0"/>
        <v>0.55453196970879848</v>
      </c>
      <c r="G37" s="10">
        <f t="shared" si="1"/>
        <v>0.42367075993933173</v>
      </c>
      <c r="H37" s="10">
        <f t="shared" si="2"/>
        <v>0.23493898101718114</v>
      </c>
      <c r="I37" s="8">
        <v>98</v>
      </c>
      <c r="J37" s="8">
        <v>39.777778595685959</v>
      </c>
      <c r="K37" s="8">
        <v>274</v>
      </c>
      <c r="L37" s="11">
        <f t="shared" si="3"/>
        <v>0.35766423357664234</v>
      </c>
      <c r="M37" s="12">
        <f t="shared" si="4"/>
        <v>0.40589569995597918</v>
      </c>
      <c r="N37" s="13">
        <f t="shared" si="5"/>
        <v>0.14517437443681008</v>
      </c>
      <c r="O37" s="14">
        <f t="shared" si="6"/>
        <v>0.61792374261720939</v>
      </c>
      <c r="P37" s="15"/>
      <c r="Q37" s="15"/>
      <c r="AD37" s="21"/>
    </row>
    <row r="38" spans="1:30" ht="15.75" customHeight="1">
      <c r="A38" s="8">
        <v>20203</v>
      </c>
      <c r="B38" s="9" t="s">
        <v>52</v>
      </c>
      <c r="C38" s="8">
        <v>3275</v>
      </c>
      <c r="D38" s="8">
        <v>1388.0000337958336</v>
      </c>
      <c r="E38" s="8">
        <v>7672</v>
      </c>
      <c r="F38" s="10">
        <f t="shared" si="0"/>
        <v>0.42687695516162671</v>
      </c>
      <c r="G38" s="10">
        <f t="shared" si="1"/>
        <v>0.42381680421246826</v>
      </c>
      <c r="H38" s="10">
        <f t="shared" si="2"/>
        <v>0.18091762692854974</v>
      </c>
      <c r="I38" s="8">
        <v>101</v>
      </c>
      <c r="J38" s="8">
        <v>39.000000715255737</v>
      </c>
      <c r="K38" s="8">
        <v>227</v>
      </c>
      <c r="L38" s="11">
        <f t="shared" si="3"/>
        <v>0.44493392070484583</v>
      </c>
      <c r="M38" s="12">
        <f t="shared" si="4"/>
        <v>0.38613862094312612</v>
      </c>
      <c r="N38" s="13">
        <f t="shared" si="5"/>
        <v>0.1718061705517874</v>
      </c>
      <c r="O38" s="14">
        <f t="shared" si="6"/>
        <v>0.94963754206017337</v>
      </c>
      <c r="P38" s="15"/>
      <c r="Q38" s="15"/>
      <c r="AD38" s="21"/>
    </row>
    <row r="39" spans="1:30" ht="15.75" customHeight="1">
      <c r="A39" s="8">
        <v>20204</v>
      </c>
      <c r="B39" s="9" t="s">
        <v>53</v>
      </c>
      <c r="C39" s="8">
        <v>3129</v>
      </c>
      <c r="D39" s="8">
        <v>1283.7778084874153</v>
      </c>
      <c r="E39" s="8">
        <v>8108</v>
      </c>
      <c r="F39" s="10">
        <f t="shared" si="0"/>
        <v>0.38591514553527378</v>
      </c>
      <c r="G39" s="10">
        <f t="shared" si="1"/>
        <v>0.41028373553448877</v>
      </c>
      <c r="H39" s="10">
        <f t="shared" si="2"/>
        <v>0.15833470750954801</v>
      </c>
      <c r="I39" s="8">
        <v>108</v>
      </c>
      <c r="J39" s="8">
        <v>42.555556565523148</v>
      </c>
      <c r="K39" s="8">
        <v>414</v>
      </c>
      <c r="L39" s="11">
        <f t="shared" si="3"/>
        <v>0.2608695652173913</v>
      </c>
      <c r="M39" s="12">
        <f t="shared" si="4"/>
        <v>0.39403293116225135</v>
      </c>
      <c r="N39" s="13">
        <f t="shared" si="5"/>
        <v>0.10279119943363078</v>
      </c>
      <c r="O39" s="14">
        <f t="shared" si="6"/>
        <v>0.64920194094167383</v>
      </c>
      <c r="P39" s="15"/>
      <c r="Q39" s="15"/>
      <c r="AD39" s="21"/>
    </row>
    <row r="40" spans="1:30" ht="15.75" customHeight="1">
      <c r="A40" s="8">
        <v>20205</v>
      </c>
      <c r="B40" s="9" t="s">
        <v>54</v>
      </c>
      <c r="C40" s="8">
        <v>776</v>
      </c>
      <c r="D40" s="8">
        <v>302.77778488397598</v>
      </c>
      <c r="E40" s="8">
        <v>3650</v>
      </c>
      <c r="F40" s="10">
        <f t="shared" si="0"/>
        <v>0.21260273972602739</v>
      </c>
      <c r="G40" s="10">
        <f t="shared" si="1"/>
        <v>0.39017755784017522</v>
      </c>
      <c r="H40" s="10">
        <f t="shared" si="2"/>
        <v>8.2952817776431764E-2</v>
      </c>
      <c r="I40" s="8">
        <v>32</v>
      </c>
      <c r="J40" s="8">
        <v>12.666666865348816</v>
      </c>
      <c r="K40" s="8">
        <v>231</v>
      </c>
      <c r="L40" s="11">
        <f t="shared" si="3"/>
        <v>0.13852813852813853</v>
      </c>
      <c r="M40" s="12">
        <f t="shared" si="4"/>
        <v>0.3958333395421505</v>
      </c>
      <c r="N40" s="13">
        <f t="shared" si="5"/>
        <v>5.4834055694150716E-2</v>
      </c>
      <c r="O40" s="14">
        <f t="shared" si="6"/>
        <v>0.6610270412023298</v>
      </c>
      <c r="P40" s="15"/>
      <c r="Q40" s="15"/>
      <c r="AD40" s="21"/>
    </row>
    <row r="41" spans="1:30" ht="15.75" customHeight="1">
      <c r="A41" s="8">
        <v>20206</v>
      </c>
      <c r="B41" s="9" t="s">
        <v>55</v>
      </c>
      <c r="C41" s="8">
        <v>1750</v>
      </c>
      <c r="D41" s="8">
        <v>701.66668409109116</v>
      </c>
      <c r="E41" s="8">
        <v>4719</v>
      </c>
      <c r="F41" s="10">
        <f t="shared" si="0"/>
        <v>0.37084127993218902</v>
      </c>
      <c r="G41" s="10">
        <f t="shared" si="1"/>
        <v>0.40095239090919493</v>
      </c>
      <c r="H41" s="10">
        <f t="shared" si="2"/>
        <v>0.14868969783663724</v>
      </c>
      <c r="I41" s="8">
        <v>58</v>
      </c>
      <c r="J41" s="8">
        <v>22.222222805023193</v>
      </c>
      <c r="K41" s="8">
        <v>141</v>
      </c>
      <c r="L41" s="11">
        <f t="shared" si="3"/>
        <v>0.41134751773049644</v>
      </c>
      <c r="M41" s="12">
        <f t="shared" si="4"/>
        <v>0.38314177250039988</v>
      </c>
      <c r="N41" s="13">
        <f t="shared" si="5"/>
        <v>0.15760441705690206</v>
      </c>
      <c r="O41" s="14">
        <f t="shared" si="6"/>
        <v>1.0599551909108005</v>
      </c>
      <c r="P41" s="15"/>
      <c r="Q41" s="15"/>
      <c r="AD41" s="21"/>
    </row>
    <row r="42" spans="1:30" ht="15.75" customHeight="1">
      <c r="A42" s="8">
        <v>20301</v>
      </c>
      <c r="B42" s="9" t="s">
        <v>56</v>
      </c>
      <c r="C42" s="8">
        <v>6122</v>
      </c>
      <c r="D42" s="8">
        <v>2839.1111823618412</v>
      </c>
      <c r="E42" s="8">
        <v>9322</v>
      </c>
      <c r="F42" s="10">
        <f t="shared" si="0"/>
        <v>0.65672602445827077</v>
      </c>
      <c r="G42" s="10">
        <f t="shared" si="1"/>
        <v>0.46375550185590347</v>
      </c>
      <c r="H42" s="10">
        <f t="shared" si="2"/>
        <v>0.30456030705447767</v>
      </c>
      <c r="I42" s="8">
        <v>463</v>
      </c>
      <c r="J42" s="8">
        <v>207.88889408111572</v>
      </c>
      <c r="K42" s="8">
        <v>1027</v>
      </c>
      <c r="L42" s="11">
        <f t="shared" si="3"/>
        <v>0.45082765335929892</v>
      </c>
      <c r="M42" s="12">
        <f t="shared" si="4"/>
        <v>0.44900409088793891</v>
      </c>
      <c r="N42" s="13">
        <f t="shared" si="5"/>
        <v>0.20242346064373487</v>
      </c>
      <c r="O42" s="14">
        <f t="shared" si="6"/>
        <v>0.66464163567948709</v>
      </c>
      <c r="P42" s="15"/>
      <c r="Q42" s="15"/>
      <c r="AD42" s="21"/>
    </row>
    <row r="43" spans="1:30" ht="15.75" customHeight="1">
      <c r="A43" s="8">
        <v>20302</v>
      </c>
      <c r="B43" s="9" t="s">
        <v>57</v>
      </c>
      <c r="C43" s="8">
        <v>10028</v>
      </c>
      <c r="D43" s="8">
        <v>4524.6667785942554</v>
      </c>
      <c r="E43" s="8">
        <v>14121</v>
      </c>
      <c r="F43" s="10">
        <f t="shared" si="0"/>
        <v>0.71014800651511933</v>
      </c>
      <c r="G43" s="10">
        <f t="shared" si="1"/>
        <v>0.45120330859535857</v>
      </c>
      <c r="H43" s="10">
        <f t="shared" si="2"/>
        <v>0.32042113013202012</v>
      </c>
      <c r="I43" s="8">
        <v>323</v>
      </c>
      <c r="J43" s="8">
        <v>139.33333709836006</v>
      </c>
      <c r="K43" s="8">
        <v>508</v>
      </c>
      <c r="L43" s="11">
        <f t="shared" si="3"/>
        <v>0.63582677165354329</v>
      </c>
      <c r="M43" s="12">
        <f t="shared" si="4"/>
        <v>0.43137256067603735</v>
      </c>
      <c r="N43" s="13">
        <f t="shared" si="5"/>
        <v>0.27427822263456703</v>
      </c>
      <c r="O43" s="14">
        <f t="shared" si="6"/>
        <v>0.85599293193166981</v>
      </c>
      <c r="P43" s="15"/>
      <c r="Q43" s="15"/>
      <c r="AD43" s="21"/>
    </row>
    <row r="44" spans="1:30" ht="15.75" customHeight="1">
      <c r="A44" s="8">
        <v>20303</v>
      </c>
      <c r="B44" s="9" t="s">
        <v>58</v>
      </c>
      <c r="C44" s="8">
        <v>7600</v>
      </c>
      <c r="D44" s="8">
        <v>3412.6667493879795</v>
      </c>
      <c r="E44" s="8">
        <v>9469</v>
      </c>
      <c r="F44" s="10">
        <f t="shared" si="0"/>
        <v>0.80261907276375544</v>
      </c>
      <c r="G44" s="10">
        <f t="shared" si="1"/>
        <v>0.44903509860368152</v>
      </c>
      <c r="H44" s="10">
        <f t="shared" si="2"/>
        <v>0.36040413447966835</v>
      </c>
      <c r="I44" s="8">
        <v>239</v>
      </c>
      <c r="J44" s="8">
        <v>103.55555778741837</v>
      </c>
      <c r="K44" s="8">
        <v>335</v>
      </c>
      <c r="L44" s="11">
        <f t="shared" si="3"/>
        <v>0.71343283582089556</v>
      </c>
      <c r="M44" s="12">
        <f t="shared" si="4"/>
        <v>0.43328685266702244</v>
      </c>
      <c r="N44" s="13">
        <f t="shared" si="5"/>
        <v>0.3091210680221444</v>
      </c>
      <c r="O44" s="14">
        <f t="shared" si="6"/>
        <v>0.85770677539101037</v>
      </c>
      <c r="P44" s="15"/>
      <c r="Q44" s="15"/>
      <c r="AD44" s="21"/>
    </row>
    <row r="45" spans="1:30" ht="15.75" customHeight="1">
      <c r="A45" s="8">
        <v>20304</v>
      </c>
      <c r="B45" s="9" t="s">
        <v>59</v>
      </c>
      <c r="C45" s="8">
        <v>2408</v>
      </c>
      <c r="D45" s="8">
        <v>1080.4444708824158</v>
      </c>
      <c r="E45" s="8">
        <v>3802</v>
      </c>
      <c r="F45" s="10">
        <f t="shared" si="0"/>
        <v>0.63335086796422935</v>
      </c>
      <c r="G45" s="10">
        <f t="shared" si="1"/>
        <v>0.44868956431994012</v>
      </c>
      <c r="H45" s="10">
        <f t="shared" si="2"/>
        <v>0.28417792500852596</v>
      </c>
      <c r="I45" s="8">
        <v>8</v>
      </c>
      <c r="J45" s="8">
        <v>3.1111111640930176</v>
      </c>
      <c r="K45" s="8">
        <v>44</v>
      </c>
      <c r="L45" s="11">
        <f t="shared" si="3"/>
        <v>0.18181818181818182</v>
      </c>
      <c r="M45" s="12">
        <f t="shared" si="4"/>
        <v>0.3888888955116272</v>
      </c>
      <c r="N45" s="13">
        <f t="shared" si="5"/>
        <v>7.0707071911204941E-2</v>
      </c>
      <c r="O45" s="14">
        <f t="shared" si="6"/>
        <v>0.24881268279048618</v>
      </c>
      <c r="P45" s="15"/>
      <c r="Q45" s="15"/>
      <c r="AD45" s="21"/>
    </row>
    <row r="46" spans="1:30" ht="15.75" customHeight="1">
      <c r="A46" s="8">
        <v>20305</v>
      </c>
      <c r="B46" s="9" t="s">
        <v>60</v>
      </c>
      <c r="C46" s="8">
        <v>1897</v>
      </c>
      <c r="D46" s="8">
        <v>864.66668879985809</v>
      </c>
      <c r="E46" s="8">
        <v>2658</v>
      </c>
      <c r="F46" s="10">
        <f t="shared" si="0"/>
        <v>0.71369450714823179</v>
      </c>
      <c r="G46" s="10">
        <f t="shared" si="1"/>
        <v>0.45580742688447973</v>
      </c>
      <c r="H46" s="10">
        <f t="shared" si="2"/>
        <v>0.32530725688482248</v>
      </c>
      <c r="I46" s="8">
        <v>190</v>
      </c>
      <c r="J46" s="8">
        <v>83.444446384906769</v>
      </c>
      <c r="K46" s="8">
        <v>361</v>
      </c>
      <c r="L46" s="11">
        <f t="shared" si="3"/>
        <v>0.52631578947368418</v>
      </c>
      <c r="M46" s="12">
        <f t="shared" si="4"/>
        <v>0.43918129676266721</v>
      </c>
      <c r="N46" s="13">
        <f t="shared" si="5"/>
        <v>0.23114805092771956</v>
      </c>
      <c r="O46" s="14">
        <f t="shared" si="6"/>
        <v>0.71055301114773251</v>
      </c>
      <c r="P46" s="15"/>
      <c r="Q46" s="15"/>
      <c r="AD46" s="21"/>
    </row>
    <row r="47" spans="1:30" ht="15.75" customHeight="1">
      <c r="A47" s="8">
        <v>20306</v>
      </c>
      <c r="B47" s="9" t="s">
        <v>61</v>
      </c>
      <c r="C47" s="8">
        <v>3166</v>
      </c>
      <c r="D47" s="8">
        <v>1381.8889236748219</v>
      </c>
      <c r="E47" s="8">
        <v>4702</v>
      </c>
      <c r="F47" s="10">
        <f t="shared" si="0"/>
        <v>0.67333049766056996</v>
      </c>
      <c r="G47" s="10">
        <f t="shared" si="1"/>
        <v>0.43647786597435939</v>
      </c>
      <c r="H47" s="10">
        <f t="shared" si="2"/>
        <v>0.29389385871433898</v>
      </c>
      <c r="I47" s="8">
        <v>161</v>
      </c>
      <c r="J47" s="8">
        <v>66.222223788499832</v>
      </c>
      <c r="K47" s="8">
        <v>299</v>
      </c>
      <c r="L47" s="11">
        <f t="shared" si="3"/>
        <v>0.53846153846153844</v>
      </c>
      <c r="M47" s="12">
        <f t="shared" si="4"/>
        <v>0.41131816017701761</v>
      </c>
      <c r="N47" s="13">
        <f t="shared" si="5"/>
        <v>0.22147900932608638</v>
      </c>
      <c r="O47" s="14">
        <f t="shared" si="6"/>
        <v>0.75360203270310966</v>
      </c>
      <c r="P47" s="15"/>
      <c r="Q47" s="15"/>
      <c r="AD47" s="21"/>
    </row>
    <row r="48" spans="1:30" ht="15.75" customHeight="1">
      <c r="A48" s="8">
        <v>20307</v>
      </c>
      <c r="B48" s="9" t="s">
        <v>62</v>
      </c>
      <c r="C48" s="8">
        <v>366</v>
      </c>
      <c r="D48" s="8">
        <v>149.66667050123215</v>
      </c>
      <c r="E48" s="8">
        <v>578</v>
      </c>
      <c r="F48" s="10">
        <f t="shared" si="0"/>
        <v>0.63321799307958482</v>
      </c>
      <c r="G48" s="10">
        <f t="shared" si="1"/>
        <v>0.40892532923833919</v>
      </c>
      <c r="H48" s="10">
        <f t="shared" si="2"/>
        <v>0.25893887629970963</v>
      </c>
      <c r="I48" s="8">
        <v>20</v>
      </c>
      <c r="J48" s="8">
        <v>7.4444445967674255</v>
      </c>
      <c r="K48" s="8">
        <v>22</v>
      </c>
      <c r="L48" s="11">
        <f t="shared" si="3"/>
        <v>0.90909090909090906</v>
      </c>
      <c r="M48" s="12">
        <f t="shared" si="4"/>
        <v>0.37222222983837128</v>
      </c>
      <c r="N48" s="13">
        <f t="shared" si="5"/>
        <v>0.33838384530761023</v>
      </c>
      <c r="O48" s="14">
        <f t="shared" si="6"/>
        <v>1.3068097388201638</v>
      </c>
      <c r="P48" s="15"/>
      <c r="Q48" s="15"/>
      <c r="AD48" s="21"/>
    </row>
    <row r="49" spans="1:30" ht="15.75" customHeight="1">
      <c r="A49" s="8">
        <v>20308</v>
      </c>
      <c r="B49" s="9" t="s">
        <v>63</v>
      </c>
      <c r="C49" s="8">
        <v>6365</v>
      </c>
      <c r="D49" s="8">
        <v>3067.888966023922</v>
      </c>
      <c r="E49" s="8">
        <v>7030</v>
      </c>
      <c r="F49" s="10">
        <f t="shared" si="0"/>
        <v>0.90540540540540537</v>
      </c>
      <c r="G49" s="10">
        <f t="shared" si="1"/>
        <v>0.48199355318521947</v>
      </c>
      <c r="H49" s="10">
        <f t="shared" si="2"/>
        <v>0.43639956842445543</v>
      </c>
      <c r="I49" s="8">
        <v>156</v>
      </c>
      <c r="J49" s="8">
        <v>72.222223818302155</v>
      </c>
      <c r="K49" s="8">
        <v>212</v>
      </c>
      <c r="L49" s="11">
        <f t="shared" si="3"/>
        <v>0.73584905660377353</v>
      </c>
      <c r="M49" s="12">
        <f t="shared" si="4"/>
        <v>0.46296297319424456</v>
      </c>
      <c r="N49" s="13">
        <f t="shared" si="5"/>
        <v>0.34067086706746297</v>
      </c>
      <c r="O49" s="14">
        <f t="shared" si="6"/>
        <v>0.78063978912123067</v>
      </c>
      <c r="P49" s="15"/>
      <c r="Q49" s="15"/>
      <c r="AD49" s="21"/>
    </row>
    <row r="50" spans="1:30" ht="15.75" customHeight="1">
      <c r="A50" s="8">
        <v>20401</v>
      </c>
      <c r="B50" s="9" t="s">
        <v>64</v>
      </c>
      <c r="C50" s="8">
        <v>7088</v>
      </c>
      <c r="D50" s="8">
        <v>3109.1111887991428</v>
      </c>
      <c r="E50" s="8">
        <v>10851</v>
      </c>
      <c r="F50" s="10">
        <f t="shared" si="0"/>
        <v>0.65321168555893461</v>
      </c>
      <c r="G50" s="10">
        <f t="shared" si="1"/>
        <v>0.43864435507888583</v>
      </c>
      <c r="H50" s="10">
        <f t="shared" si="2"/>
        <v>0.28652761854199083</v>
      </c>
      <c r="I50" s="8">
        <v>223</v>
      </c>
      <c r="J50" s="8">
        <v>103.88889139890671</v>
      </c>
      <c r="K50" s="8">
        <v>384</v>
      </c>
      <c r="L50" s="11">
        <f t="shared" si="3"/>
        <v>0.58072916666666663</v>
      </c>
      <c r="M50" s="12">
        <f t="shared" si="4"/>
        <v>0.4658694681565323</v>
      </c>
      <c r="N50" s="13">
        <f t="shared" si="5"/>
        <v>0.27054398801798618</v>
      </c>
      <c r="O50" s="14">
        <f t="shared" si="6"/>
        <v>0.9442160912608073</v>
      </c>
      <c r="P50" s="15"/>
      <c r="Q50" s="15"/>
      <c r="AD50" s="21"/>
    </row>
    <row r="51" spans="1:30" ht="15.75" customHeight="1">
      <c r="A51" s="8">
        <v>20402</v>
      </c>
      <c r="B51" s="9" t="s">
        <v>65</v>
      </c>
      <c r="C51" s="8">
        <v>9433</v>
      </c>
      <c r="D51" s="8">
        <v>4098.2223260104656</v>
      </c>
      <c r="E51" s="8">
        <v>15164</v>
      </c>
      <c r="F51" s="10">
        <f t="shared" si="0"/>
        <v>0.62206541809548932</v>
      </c>
      <c r="G51" s="10">
        <f t="shared" si="1"/>
        <v>0.43445588105697719</v>
      </c>
      <c r="H51" s="10">
        <f t="shared" si="2"/>
        <v>0.27025997929375267</v>
      </c>
      <c r="I51" s="8">
        <v>170</v>
      </c>
      <c r="J51" s="8">
        <v>66.666668325662613</v>
      </c>
      <c r="K51" s="8">
        <v>405</v>
      </c>
      <c r="L51" s="11">
        <f t="shared" si="3"/>
        <v>0.41975308641975306</v>
      </c>
      <c r="M51" s="12">
        <f t="shared" si="4"/>
        <v>0.39215687250389775</v>
      </c>
      <c r="N51" s="13">
        <f t="shared" si="5"/>
        <v>0.16460905759422867</v>
      </c>
      <c r="O51" s="14">
        <f t="shared" si="6"/>
        <v>0.60907670467668751</v>
      </c>
      <c r="P51" s="15"/>
      <c r="Q51" s="15"/>
      <c r="AD51" s="21"/>
    </row>
    <row r="52" spans="1:30" ht="15.75" customHeight="1">
      <c r="A52" s="8">
        <v>20403</v>
      </c>
      <c r="B52" s="9" t="s">
        <v>66</v>
      </c>
      <c r="C52" s="8">
        <v>8626</v>
      </c>
      <c r="D52" s="8">
        <v>3956.0001037716866</v>
      </c>
      <c r="E52" s="8">
        <v>13926</v>
      </c>
      <c r="F52" s="10">
        <f t="shared" si="0"/>
        <v>0.619416917995117</v>
      </c>
      <c r="G52" s="10">
        <f t="shared" si="1"/>
        <v>0.45861350611774709</v>
      </c>
      <c r="H52" s="10">
        <f t="shared" si="2"/>
        <v>0.28407296451038966</v>
      </c>
      <c r="I52" s="8">
        <v>156</v>
      </c>
      <c r="J52" s="8">
        <v>60.333334773778915</v>
      </c>
      <c r="K52" s="8">
        <v>409</v>
      </c>
      <c r="L52" s="11">
        <f t="shared" si="3"/>
        <v>0.38141809290953543</v>
      </c>
      <c r="M52" s="12">
        <f t="shared" si="4"/>
        <v>0.3867521459857623</v>
      </c>
      <c r="N52" s="13">
        <f t="shared" si="5"/>
        <v>0.14751426595055969</v>
      </c>
      <c r="O52" s="14">
        <f t="shared" si="6"/>
        <v>0.51928301661795251</v>
      </c>
      <c r="P52" s="15"/>
      <c r="Q52" s="15"/>
      <c r="AD52" s="21"/>
    </row>
    <row r="53" spans="1:30" ht="15.75" customHeight="1">
      <c r="A53" s="8">
        <v>20404</v>
      </c>
      <c r="B53" s="9" t="s">
        <v>67</v>
      </c>
      <c r="C53" s="8">
        <v>3621</v>
      </c>
      <c r="D53" s="8">
        <v>1607.6667072176933</v>
      </c>
      <c r="E53" s="8">
        <v>5192</v>
      </c>
      <c r="F53" s="10">
        <f t="shared" si="0"/>
        <v>0.69741910631741144</v>
      </c>
      <c r="G53" s="10">
        <f t="shared" si="1"/>
        <v>0.44398417763537512</v>
      </c>
      <c r="H53" s="10">
        <f t="shared" si="2"/>
        <v>0.30964304838553419</v>
      </c>
      <c r="I53" s="8">
        <v>83</v>
      </c>
      <c r="J53" s="8">
        <v>36.222223103046417</v>
      </c>
      <c r="K53" s="8">
        <v>144</v>
      </c>
      <c r="L53" s="11">
        <f t="shared" si="3"/>
        <v>0.57638888888888884</v>
      </c>
      <c r="M53" s="12">
        <f t="shared" si="4"/>
        <v>0.43641232654272794</v>
      </c>
      <c r="N53" s="13">
        <f t="shared" si="5"/>
        <v>0.25154321599337787</v>
      </c>
      <c r="O53" s="14">
        <f t="shared" si="6"/>
        <v>0.81236513238360619</v>
      </c>
      <c r="P53" s="15"/>
      <c r="Q53" s="15"/>
      <c r="AD53" s="21"/>
    </row>
    <row r="54" spans="1:30" ht="15.75" customHeight="1">
      <c r="A54" s="8">
        <v>20405</v>
      </c>
      <c r="B54" s="9" t="s">
        <v>68</v>
      </c>
      <c r="C54" s="8">
        <v>3715</v>
      </c>
      <c r="D54" s="8">
        <v>1549.0000374019146</v>
      </c>
      <c r="E54" s="8">
        <v>7044</v>
      </c>
      <c r="F54" s="10">
        <f t="shared" si="0"/>
        <v>0.52739920499716075</v>
      </c>
      <c r="G54" s="10">
        <f t="shared" si="1"/>
        <v>0.41695828732218426</v>
      </c>
      <c r="H54" s="10">
        <f t="shared" si="2"/>
        <v>0.2199034692506977</v>
      </c>
      <c r="I54" s="8">
        <v>31</v>
      </c>
      <c r="J54" s="8">
        <v>13.444444745779037</v>
      </c>
      <c r="K54" s="8">
        <v>104</v>
      </c>
      <c r="L54" s="11">
        <f t="shared" si="3"/>
        <v>0.29807692307692307</v>
      </c>
      <c r="M54" s="12">
        <f t="shared" si="4"/>
        <v>0.43369176599287218</v>
      </c>
      <c r="N54" s="13">
        <f t="shared" si="5"/>
        <v>0.12927350717095229</v>
      </c>
      <c r="O54" s="14">
        <f t="shared" si="6"/>
        <v>0.58786479181724927</v>
      </c>
      <c r="P54" s="15"/>
      <c r="Q54" s="15"/>
      <c r="AD54" s="21"/>
    </row>
    <row r="55" spans="1:30" ht="15.75" customHeight="1">
      <c r="A55" s="8">
        <v>20501</v>
      </c>
      <c r="B55" s="9" t="s">
        <v>69</v>
      </c>
      <c r="C55" s="8">
        <v>5925</v>
      </c>
      <c r="D55" s="8">
        <v>2613.7778455615044</v>
      </c>
      <c r="E55" s="8">
        <v>11039</v>
      </c>
      <c r="F55" s="10">
        <f t="shared" si="0"/>
        <v>0.53673339976447143</v>
      </c>
      <c r="G55" s="10">
        <f t="shared" si="1"/>
        <v>0.44114394017915687</v>
      </c>
      <c r="H55" s="10">
        <f t="shared" si="2"/>
        <v>0.23677668679785346</v>
      </c>
      <c r="I55" s="8">
        <v>138</v>
      </c>
      <c r="J55" s="8">
        <v>55.666667938232422</v>
      </c>
      <c r="K55" s="8">
        <v>407</v>
      </c>
      <c r="L55" s="11">
        <f t="shared" si="3"/>
        <v>0.33906633906633904</v>
      </c>
      <c r="M55" s="12">
        <f t="shared" si="4"/>
        <v>0.4033816517263219</v>
      </c>
      <c r="N55" s="13">
        <f t="shared" si="5"/>
        <v>0.13677313989737694</v>
      </c>
      <c r="O55" s="14">
        <f t="shared" si="6"/>
        <v>0.57764614306874773</v>
      </c>
      <c r="P55" s="15"/>
      <c r="Q55" s="15"/>
      <c r="AD55" s="21"/>
    </row>
    <row r="56" spans="1:30" ht="15.75" customHeight="1">
      <c r="A56" s="8">
        <v>20502</v>
      </c>
      <c r="B56" s="9" t="s">
        <v>70</v>
      </c>
      <c r="C56" s="8">
        <v>5380</v>
      </c>
      <c r="D56" s="8">
        <v>2459.7778415977955</v>
      </c>
      <c r="E56" s="8">
        <v>7867</v>
      </c>
      <c r="F56" s="10">
        <f t="shared" si="0"/>
        <v>0.6838693275708656</v>
      </c>
      <c r="G56" s="10">
        <f t="shared" si="1"/>
        <v>0.45720777724866085</v>
      </c>
      <c r="H56" s="10">
        <f t="shared" si="2"/>
        <v>0.3126703751872118</v>
      </c>
      <c r="I56" s="8">
        <v>108</v>
      </c>
      <c r="J56" s="8">
        <v>41.888889878988266</v>
      </c>
      <c r="K56" s="8">
        <v>384</v>
      </c>
      <c r="L56" s="11">
        <f t="shared" si="3"/>
        <v>0.28125</v>
      </c>
      <c r="M56" s="12">
        <f t="shared" si="4"/>
        <v>0.38786009147211359</v>
      </c>
      <c r="N56" s="13">
        <f t="shared" si="5"/>
        <v>0.10908565072653195</v>
      </c>
      <c r="O56" s="14">
        <f t="shared" si="6"/>
        <v>0.34888387062962639</v>
      </c>
      <c r="P56" s="15"/>
      <c r="Q56" s="15"/>
      <c r="AD56" s="21"/>
    </row>
    <row r="57" spans="1:30" ht="15.75" customHeight="1">
      <c r="A57" s="8">
        <v>20503</v>
      </c>
      <c r="B57" s="9" t="s">
        <v>71</v>
      </c>
      <c r="C57" s="8">
        <v>3508</v>
      </c>
      <c r="D57" s="8">
        <v>1594.0000414252281</v>
      </c>
      <c r="E57" s="8">
        <v>5228</v>
      </c>
      <c r="F57" s="10">
        <f t="shared" si="0"/>
        <v>0.6710022953328233</v>
      </c>
      <c r="G57" s="10">
        <f t="shared" si="1"/>
        <v>0.45438997760126232</v>
      </c>
      <c r="H57" s="10">
        <f t="shared" si="2"/>
        <v>0.30489671794667716</v>
      </c>
      <c r="I57" s="8">
        <v>91</v>
      </c>
      <c r="J57" s="8">
        <v>34.666667550802231</v>
      </c>
      <c r="K57" s="8">
        <v>208</v>
      </c>
      <c r="L57" s="11">
        <f t="shared" si="3"/>
        <v>0.4375</v>
      </c>
      <c r="M57" s="12">
        <f t="shared" si="4"/>
        <v>0.38095239066815639</v>
      </c>
      <c r="N57" s="13">
        <f t="shared" si="5"/>
        <v>0.16666667091731843</v>
      </c>
      <c r="O57" s="14">
        <f t="shared" si="6"/>
        <v>0.54663320759807743</v>
      </c>
      <c r="P57" s="15"/>
      <c r="Q57" s="15"/>
      <c r="AD57" s="21"/>
    </row>
    <row r="58" spans="1:30" ht="15.75" customHeight="1">
      <c r="A58" s="8">
        <v>20601</v>
      </c>
      <c r="B58" s="9" t="s">
        <v>72</v>
      </c>
      <c r="C58" s="8">
        <v>11340</v>
      </c>
      <c r="D58" s="8">
        <v>5025.2223510742188</v>
      </c>
      <c r="E58" s="8">
        <v>21496</v>
      </c>
      <c r="F58" s="10">
        <f t="shared" si="0"/>
        <v>0.52754000744324525</v>
      </c>
      <c r="G58" s="10">
        <f t="shared" si="1"/>
        <v>0.44314130080019565</v>
      </c>
      <c r="H58" s="10">
        <f t="shared" si="2"/>
        <v>0.23377476512254458</v>
      </c>
      <c r="I58" s="8">
        <v>910</v>
      </c>
      <c r="J58" s="8">
        <v>399.22223174571991</v>
      </c>
      <c r="K58" s="8">
        <v>1849</v>
      </c>
      <c r="L58" s="11">
        <f t="shared" si="3"/>
        <v>0.49215792320173068</v>
      </c>
      <c r="M58" s="12">
        <f t="shared" si="4"/>
        <v>0.43870574917112076</v>
      </c>
      <c r="N58" s="13">
        <f t="shared" si="5"/>
        <v>0.21591251040871817</v>
      </c>
      <c r="O58" s="14">
        <f t="shared" si="6"/>
        <v>0.92359203225180009</v>
      </c>
      <c r="P58" s="15"/>
      <c r="Q58" s="15"/>
      <c r="AD58" s="21"/>
    </row>
    <row r="59" spans="1:30" ht="15.75" customHeight="1">
      <c r="A59" s="8">
        <v>20602</v>
      </c>
      <c r="B59" s="9" t="s">
        <v>73</v>
      </c>
      <c r="C59" s="8">
        <v>5365</v>
      </c>
      <c r="D59" s="8">
        <v>2490.2222867310047</v>
      </c>
      <c r="E59" s="8">
        <v>11277</v>
      </c>
      <c r="F59" s="10">
        <f t="shared" si="0"/>
        <v>0.47574709585882768</v>
      </c>
      <c r="G59" s="10">
        <f t="shared" si="1"/>
        <v>0.46416072446057871</v>
      </c>
      <c r="H59" s="10">
        <f t="shared" si="2"/>
        <v>0.22082311667384985</v>
      </c>
      <c r="I59" s="8">
        <v>885</v>
      </c>
      <c r="J59" s="8">
        <v>373.66667565703392</v>
      </c>
      <c r="K59" s="8">
        <v>3145</v>
      </c>
      <c r="L59" s="11">
        <f t="shared" si="3"/>
        <v>0.28139904610492844</v>
      </c>
      <c r="M59" s="12">
        <f t="shared" si="4"/>
        <v>0.42222223238082929</v>
      </c>
      <c r="N59" s="13">
        <f t="shared" si="5"/>
        <v>0.11881293343625879</v>
      </c>
      <c r="O59" s="14">
        <f t="shared" si="6"/>
        <v>0.53804572286579255</v>
      </c>
      <c r="P59" s="15"/>
      <c r="Q59" s="15"/>
      <c r="AD59" s="21"/>
    </row>
    <row r="60" spans="1:30" ht="15.75" customHeight="1">
      <c r="A60" s="8">
        <v>20603</v>
      </c>
      <c r="B60" s="9" t="s">
        <v>74</v>
      </c>
      <c r="C60" s="8">
        <v>3984</v>
      </c>
      <c r="D60" s="8">
        <v>1804.0000458955765</v>
      </c>
      <c r="E60" s="8">
        <v>6860</v>
      </c>
      <c r="F60" s="10">
        <f t="shared" si="0"/>
        <v>0.58075801749271139</v>
      </c>
      <c r="G60" s="10">
        <f t="shared" si="1"/>
        <v>0.45281125649989368</v>
      </c>
      <c r="H60" s="10">
        <f t="shared" si="2"/>
        <v>0.26297376762326186</v>
      </c>
      <c r="I60" s="8">
        <v>494</v>
      </c>
      <c r="J60" s="8">
        <v>203.11111581325531</v>
      </c>
      <c r="K60" s="8">
        <v>1043</v>
      </c>
      <c r="L60" s="11">
        <f t="shared" si="3"/>
        <v>0.47363374880153403</v>
      </c>
      <c r="M60" s="12">
        <f t="shared" si="4"/>
        <v>0.41115610488513221</v>
      </c>
      <c r="N60" s="13">
        <f t="shared" si="5"/>
        <v>0.19473740729938188</v>
      </c>
      <c r="O60" s="14">
        <f t="shared" si="6"/>
        <v>0.74052027721017455</v>
      </c>
      <c r="P60" s="15"/>
      <c r="Q60" s="15"/>
      <c r="AD60" s="21"/>
    </row>
    <row r="61" spans="1:30" ht="15.75" customHeight="1">
      <c r="A61" s="8">
        <v>20604</v>
      </c>
      <c r="B61" s="9" t="s">
        <v>75</v>
      </c>
      <c r="C61" s="8">
        <v>1432</v>
      </c>
      <c r="D61" s="8">
        <v>628.00001567602158</v>
      </c>
      <c r="E61" s="8">
        <v>2456</v>
      </c>
      <c r="F61" s="10">
        <f t="shared" si="0"/>
        <v>0.58306188925081437</v>
      </c>
      <c r="G61" s="10">
        <f t="shared" si="1"/>
        <v>0.43854749698046197</v>
      </c>
      <c r="H61" s="10">
        <f t="shared" si="2"/>
        <v>0.25570033211564397</v>
      </c>
      <c r="I61" s="8">
        <v>55</v>
      </c>
      <c r="J61" s="8">
        <v>21.111111640930176</v>
      </c>
      <c r="K61" s="8">
        <v>168</v>
      </c>
      <c r="L61" s="11">
        <f t="shared" si="3"/>
        <v>0.32738095238095238</v>
      </c>
      <c r="M61" s="12">
        <f t="shared" si="4"/>
        <v>0.38383839347145776</v>
      </c>
      <c r="N61" s="13">
        <f t="shared" si="5"/>
        <v>0.12566137881506056</v>
      </c>
      <c r="O61" s="14">
        <f t="shared" si="6"/>
        <v>0.49144002972287298</v>
      </c>
      <c r="P61" s="15"/>
      <c r="Q61" s="15"/>
      <c r="AD61" s="21"/>
    </row>
    <row r="62" spans="1:30" ht="15.75" customHeight="1">
      <c r="A62" s="8">
        <v>20605</v>
      </c>
      <c r="B62" s="9" t="s">
        <v>76</v>
      </c>
      <c r="C62" s="8">
        <v>1773</v>
      </c>
      <c r="D62" s="8">
        <v>725.44446259737015</v>
      </c>
      <c r="E62" s="8">
        <v>3621</v>
      </c>
      <c r="F62" s="10">
        <f t="shared" si="0"/>
        <v>0.4896437448218724</v>
      </c>
      <c r="G62" s="10">
        <f t="shared" si="1"/>
        <v>0.40916213344465319</v>
      </c>
      <c r="H62" s="10">
        <f t="shared" si="2"/>
        <v>0.20034367925914667</v>
      </c>
      <c r="I62" s="8">
        <v>15</v>
      </c>
      <c r="J62" s="8">
        <v>6.5555556118488312</v>
      </c>
      <c r="K62" s="8">
        <v>58</v>
      </c>
      <c r="L62" s="11">
        <f t="shared" si="3"/>
        <v>0.25862068965517243</v>
      </c>
      <c r="M62" s="12">
        <f t="shared" si="4"/>
        <v>0.43703704078992206</v>
      </c>
      <c r="N62" s="13">
        <f t="shared" si="5"/>
        <v>0.11302682089394536</v>
      </c>
      <c r="O62" s="14">
        <f t="shared" si="6"/>
        <v>0.56416464603180205</v>
      </c>
      <c r="P62" s="15"/>
      <c r="Q62" s="15"/>
      <c r="AD62" s="21"/>
    </row>
    <row r="63" spans="1:30" ht="15.75" customHeight="1">
      <c r="A63" s="8">
        <v>20606</v>
      </c>
      <c r="B63" s="9" t="s">
        <v>77</v>
      </c>
      <c r="C63" s="8">
        <v>1723</v>
      </c>
      <c r="D63" s="8">
        <v>704.22223964333534</v>
      </c>
      <c r="E63" s="8">
        <v>5430</v>
      </c>
      <c r="F63" s="10">
        <f t="shared" si="0"/>
        <v>0.3173112338858195</v>
      </c>
      <c r="G63" s="10">
        <f t="shared" si="1"/>
        <v>0.40871865330431534</v>
      </c>
      <c r="H63" s="10">
        <f t="shared" si="2"/>
        <v>0.12969102019214276</v>
      </c>
      <c r="I63" s="8">
        <v>1153</v>
      </c>
      <c r="J63" s="8">
        <v>445.7777886390686</v>
      </c>
      <c r="K63" s="8">
        <v>4354</v>
      </c>
      <c r="L63" s="11">
        <f t="shared" si="3"/>
        <v>0.26481396417087738</v>
      </c>
      <c r="M63" s="12">
        <f t="shared" si="4"/>
        <v>0.38662427462191551</v>
      </c>
      <c r="N63" s="13">
        <f t="shared" si="5"/>
        <v>0.10238350680731939</v>
      </c>
      <c r="O63" s="14">
        <f t="shared" si="6"/>
        <v>0.7894417566893519</v>
      </c>
      <c r="P63" s="15"/>
      <c r="Q63" s="15"/>
      <c r="AD63" s="21"/>
    </row>
    <row r="64" spans="1:30" ht="15.75" customHeight="1">
      <c r="A64" s="8">
        <v>20607</v>
      </c>
      <c r="B64" s="9" t="s">
        <v>78</v>
      </c>
      <c r="C64" s="8">
        <v>3124</v>
      </c>
      <c r="D64" s="8">
        <v>1247.5555857121944</v>
      </c>
      <c r="E64" s="8">
        <v>9995</v>
      </c>
      <c r="F64" s="10">
        <f t="shared" si="0"/>
        <v>0.31255627813906955</v>
      </c>
      <c r="G64" s="10">
        <f t="shared" si="1"/>
        <v>0.39934557801286635</v>
      </c>
      <c r="H64" s="10">
        <f t="shared" si="2"/>
        <v>0.12481796755499695</v>
      </c>
      <c r="I64" s="8">
        <v>675</v>
      </c>
      <c r="J64" s="8">
        <v>261.22222816944122</v>
      </c>
      <c r="K64" s="8">
        <v>3149</v>
      </c>
      <c r="L64" s="11">
        <f t="shared" si="3"/>
        <v>0.21435376309939663</v>
      </c>
      <c r="M64" s="12">
        <f t="shared" si="4"/>
        <v>0.38699589358435738</v>
      </c>
      <c r="N64" s="13">
        <f t="shared" si="5"/>
        <v>8.2954026093820646E-2</v>
      </c>
      <c r="O64" s="14">
        <f t="shared" si="6"/>
        <v>0.66460003891082164</v>
      </c>
      <c r="P64" s="15"/>
      <c r="Q64" s="15"/>
      <c r="AD64" s="21"/>
    </row>
    <row r="65" spans="1:30" ht="15.75" customHeight="1">
      <c r="A65" s="8">
        <v>20608</v>
      </c>
      <c r="B65" s="9" t="s">
        <v>79</v>
      </c>
      <c r="C65" s="8">
        <v>4268</v>
      </c>
      <c r="D65" s="8">
        <v>2012.4444946348667</v>
      </c>
      <c r="E65" s="8">
        <v>6867</v>
      </c>
      <c r="F65" s="10">
        <f t="shared" si="0"/>
        <v>0.62152322702781415</v>
      </c>
      <c r="G65" s="10">
        <f t="shared" si="1"/>
        <v>0.47151932863984691</v>
      </c>
      <c r="H65" s="10">
        <f t="shared" si="2"/>
        <v>0.2930602147422261</v>
      </c>
      <c r="I65" s="8">
        <v>968</v>
      </c>
      <c r="J65" s="8">
        <v>421.22223263978958</v>
      </c>
      <c r="K65" s="8">
        <v>2183</v>
      </c>
      <c r="L65" s="11">
        <f t="shared" si="3"/>
        <v>0.44342647732478241</v>
      </c>
      <c r="M65" s="12">
        <f t="shared" si="4"/>
        <v>0.43514693454523717</v>
      </c>
      <c r="N65" s="13">
        <f t="shared" si="5"/>
        <v>0.19295567230407218</v>
      </c>
      <c r="O65" s="14">
        <f t="shared" si="6"/>
        <v>0.65841647073723319</v>
      </c>
      <c r="P65" s="15"/>
      <c r="Q65" s="15"/>
      <c r="AD65" s="21"/>
    </row>
    <row r="66" spans="1:30" ht="15.75" customHeight="1">
      <c r="A66" s="8">
        <v>20701</v>
      </c>
      <c r="B66" s="9" t="s">
        <v>80</v>
      </c>
      <c r="C66" s="8">
        <v>8641</v>
      </c>
      <c r="D66" s="8">
        <v>4329.2223381102085</v>
      </c>
      <c r="E66" s="8">
        <v>14546</v>
      </c>
      <c r="F66" s="10">
        <f t="shared" si="0"/>
        <v>0.5940464732572529</v>
      </c>
      <c r="G66" s="10">
        <f t="shared" si="1"/>
        <v>0.50100941304365332</v>
      </c>
      <c r="H66" s="10">
        <f t="shared" si="2"/>
        <v>0.29762287488726857</v>
      </c>
      <c r="I66" s="8">
        <v>1380</v>
      </c>
      <c r="J66" s="8">
        <v>623.00001594424248</v>
      </c>
      <c r="K66" s="8">
        <v>3959</v>
      </c>
      <c r="L66" s="11">
        <f t="shared" si="3"/>
        <v>0.34857287193735792</v>
      </c>
      <c r="M66" s="12">
        <f t="shared" si="4"/>
        <v>0.45144928691611774</v>
      </c>
      <c r="N66" s="13">
        <f t="shared" si="5"/>
        <v>0.15736297447442346</v>
      </c>
      <c r="O66" s="14">
        <f t="shared" si="6"/>
        <v>0.52873279493059211</v>
      </c>
      <c r="P66" s="15"/>
      <c r="Q66" s="15"/>
      <c r="AD66" s="21"/>
    </row>
    <row r="67" spans="1:30" ht="15.75" customHeight="1">
      <c r="A67" s="8">
        <v>20702</v>
      </c>
      <c r="B67" s="9" t="s">
        <v>81</v>
      </c>
      <c r="C67" s="8">
        <v>4141</v>
      </c>
      <c r="D67" s="8">
        <v>1938.1111621558666</v>
      </c>
      <c r="E67" s="8">
        <v>5694</v>
      </c>
      <c r="F67" s="10">
        <f t="shared" si="0"/>
        <v>0.72725676150333685</v>
      </c>
      <c r="G67" s="10">
        <f t="shared" si="1"/>
        <v>0.46802974212892218</v>
      </c>
      <c r="H67" s="10">
        <f t="shared" si="2"/>
        <v>0.34037779454792177</v>
      </c>
      <c r="I67" s="8">
        <v>153</v>
      </c>
      <c r="J67" s="8">
        <v>60.77777898311615</v>
      </c>
      <c r="K67" s="8">
        <v>298</v>
      </c>
      <c r="L67" s="11">
        <f t="shared" si="3"/>
        <v>0.51342281879194629</v>
      </c>
      <c r="M67" s="12">
        <f t="shared" si="4"/>
        <v>0.39724038551056307</v>
      </c>
      <c r="N67" s="13">
        <f t="shared" si="5"/>
        <v>0.2039522784668327</v>
      </c>
      <c r="O67" s="14">
        <f t="shared" si="6"/>
        <v>0.59919384205927761</v>
      </c>
      <c r="P67" s="15"/>
      <c r="Q67" s="15"/>
      <c r="AD67" s="21"/>
    </row>
    <row r="68" spans="1:30" ht="15.75" customHeight="1">
      <c r="A68" s="8">
        <v>20801</v>
      </c>
      <c r="B68" s="9" t="s">
        <v>82</v>
      </c>
      <c r="C68" s="8">
        <v>20048</v>
      </c>
      <c r="D68" s="8">
        <v>8366.2224276065826</v>
      </c>
      <c r="E68" s="8">
        <v>60535</v>
      </c>
      <c r="F68" s="10">
        <f t="shared" si="0"/>
        <v>0.33118030891219957</v>
      </c>
      <c r="G68" s="10">
        <f t="shared" si="1"/>
        <v>0.41730957839218791</v>
      </c>
      <c r="H68" s="10">
        <f t="shared" si="2"/>
        <v>0.13820471508394455</v>
      </c>
      <c r="I68" s="8">
        <v>3988</v>
      </c>
      <c r="J68" s="8">
        <v>1637.8889275789261</v>
      </c>
      <c r="K68" s="8">
        <v>18223</v>
      </c>
      <c r="L68" s="11">
        <f t="shared" si="3"/>
        <v>0.21884431762058937</v>
      </c>
      <c r="M68" s="12">
        <f t="shared" si="4"/>
        <v>0.41070434492952007</v>
      </c>
      <c r="N68" s="13">
        <f t="shared" si="5"/>
        <v>8.9880312109911986E-2</v>
      </c>
      <c r="O68" s="14">
        <f t="shared" si="6"/>
        <v>0.65034186464129917</v>
      </c>
      <c r="P68" s="15"/>
      <c r="Q68" s="15"/>
      <c r="AD68" s="21"/>
    </row>
    <row r="69" spans="1:30" ht="15.75" customHeight="1">
      <c r="A69" s="8">
        <v>20802</v>
      </c>
      <c r="B69" s="9" t="s">
        <v>83</v>
      </c>
      <c r="C69" s="8">
        <v>2387</v>
      </c>
      <c r="D69" s="8">
        <v>961.44446751475334</v>
      </c>
      <c r="E69" s="8">
        <v>6366</v>
      </c>
      <c r="F69" s="10">
        <f t="shared" si="0"/>
        <v>0.37496072887213322</v>
      </c>
      <c r="G69" s="10">
        <f t="shared" si="1"/>
        <v>0.40278360599696411</v>
      </c>
      <c r="H69" s="10">
        <f t="shared" si="2"/>
        <v>0.15102803448236779</v>
      </c>
      <c r="I69" s="8">
        <v>220</v>
      </c>
      <c r="J69" s="8">
        <v>90.777780115604401</v>
      </c>
      <c r="K69" s="8">
        <v>638</v>
      </c>
      <c r="L69" s="11">
        <f t="shared" si="3"/>
        <v>0.34482758620689657</v>
      </c>
      <c r="M69" s="12">
        <f t="shared" si="4"/>
        <v>0.41262627325274726</v>
      </c>
      <c r="N69" s="13">
        <f t="shared" si="5"/>
        <v>0.14228492181129215</v>
      </c>
      <c r="O69" s="14">
        <f t="shared" si="6"/>
        <v>0.94210933949420905</v>
      </c>
      <c r="P69" s="15"/>
      <c r="Q69" s="15"/>
      <c r="AD69" s="21"/>
    </row>
    <row r="70" spans="1:30" ht="15.75" customHeight="1">
      <c r="A70" s="8">
        <v>20803</v>
      </c>
      <c r="B70" s="9" t="s">
        <v>84</v>
      </c>
      <c r="C70" s="8">
        <v>5594</v>
      </c>
      <c r="D70" s="8">
        <v>2432.5556155145168</v>
      </c>
      <c r="E70" s="8">
        <v>11642</v>
      </c>
      <c r="F70" s="10">
        <f t="shared" si="0"/>
        <v>0.48050163202198937</v>
      </c>
      <c r="G70" s="10">
        <f t="shared" si="1"/>
        <v>0.43485084295933446</v>
      </c>
      <c r="H70" s="10">
        <f t="shared" si="2"/>
        <v>0.20894653972809801</v>
      </c>
      <c r="I70" s="8">
        <v>121</v>
      </c>
      <c r="J70" s="8">
        <v>48.444445431232452</v>
      </c>
      <c r="K70" s="8">
        <v>449</v>
      </c>
      <c r="L70" s="11">
        <f t="shared" si="3"/>
        <v>0.26948775055679286</v>
      </c>
      <c r="M70" s="12">
        <f t="shared" si="4"/>
        <v>0.40036731761349137</v>
      </c>
      <c r="N70" s="13">
        <f t="shared" si="5"/>
        <v>0.10789408782011682</v>
      </c>
      <c r="O70" s="14">
        <f t="shared" si="6"/>
        <v>0.51637173776851875</v>
      </c>
      <c r="P70" s="15"/>
      <c r="Q70" s="15"/>
      <c r="AD70" s="21"/>
    </row>
    <row r="71" spans="1:30" ht="15.75" customHeight="1">
      <c r="A71" s="8">
        <v>20804</v>
      </c>
      <c r="B71" s="9" t="s">
        <v>85</v>
      </c>
      <c r="C71" s="8">
        <v>1617</v>
      </c>
      <c r="D71" s="8">
        <v>630.00001484155655</v>
      </c>
      <c r="E71" s="8">
        <v>5988</v>
      </c>
      <c r="F71" s="10">
        <f t="shared" si="0"/>
        <v>0.27004008016032066</v>
      </c>
      <c r="G71" s="10">
        <f t="shared" si="1"/>
        <v>0.38961039878884141</v>
      </c>
      <c r="H71" s="10">
        <f t="shared" si="2"/>
        <v>0.10521042332023323</v>
      </c>
      <c r="I71" s="8">
        <v>129</v>
      </c>
      <c r="J71" s="8">
        <v>48.333334594964981</v>
      </c>
      <c r="K71" s="8">
        <v>765</v>
      </c>
      <c r="L71" s="11">
        <f t="shared" si="3"/>
        <v>0.16862745098039217</v>
      </c>
      <c r="M71" s="12">
        <f t="shared" si="4"/>
        <v>0.37467701236406964</v>
      </c>
      <c r="N71" s="13">
        <f t="shared" si="5"/>
        <v>6.3180829535901942E-2</v>
      </c>
      <c r="O71" s="14">
        <f t="shared" si="6"/>
        <v>0.60051872753706059</v>
      </c>
      <c r="P71" s="15"/>
      <c r="Q71" s="15"/>
      <c r="AD71" s="21"/>
    </row>
    <row r="72" spans="1:30" ht="15.75" customHeight="1">
      <c r="A72" s="8">
        <v>20805</v>
      </c>
      <c r="B72" s="9" t="s">
        <v>86</v>
      </c>
      <c r="C72" s="8">
        <v>3999</v>
      </c>
      <c r="D72" s="8">
        <v>1716.3333764970303</v>
      </c>
      <c r="E72" s="8">
        <v>5905</v>
      </c>
      <c r="F72" s="10">
        <f t="shared" si="0"/>
        <v>0.67722269263336154</v>
      </c>
      <c r="G72" s="10">
        <f t="shared" si="1"/>
        <v>0.42919064178470373</v>
      </c>
      <c r="H72" s="10">
        <f t="shared" si="2"/>
        <v>0.29065764208247757</v>
      </c>
      <c r="I72" s="8">
        <v>105</v>
      </c>
      <c r="J72" s="8">
        <v>44.666667908430099</v>
      </c>
      <c r="K72" s="8">
        <v>176</v>
      </c>
      <c r="L72" s="11">
        <f t="shared" si="3"/>
        <v>0.59659090909090906</v>
      </c>
      <c r="M72" s="12">
        <f t="shared" si="4"/>
        <v>0.42539683722314381</v>
      </c>
      <c r="N72" s="13">
        <f t="shared" si="5"/>
        <v>0.25378788584335282</v>
      </c>
      <c r="O72" s="14">
        <f t="shared" si="6"/>
        <v>0.87315056994557705</v>
      </c>
      <c r="P72" s="15"/>
      <c r="Q72" s="15"/>
      <c r="AD72" s="21"/>
    </row>
    <row r="73" spans="1:30" ht="15.75" customHeight="1">
      <c r="A73" s="8">
        <v>20806</v>
      </c>
      <c r="B73" s="9" t="s">
        <v>87</v>
      </c>
      <c r="C73" s="8">
        <v>6746</v>
      </c>
      <c r="D73" s="8">
        <v>2847.444512784481</v>
      </c>
      <c r="E73" s="8">
        <v>14518</v>
      </c>
      <c r="F73" s="10">
        <f t="shared" si="0"/>
        <v>0.4646645543463287</v>
      </c>
      <c r="G73" s="10">
        <f t="shared" si="1"/>
        <v>0.42209376115986968</v>
      </c>
      <c r="H73" s="10">
        <f t="shared" si="2"/>
        <v>0.19613200942171655</v>
      </c>
      <c r="I73" s="8">
        <v>141</v>
      </c>
      <c r="J73" s="8">
        <v>58.222223371267319</v>
      </c>
      <c r="K73" s="8">
        <v>452</v>
      </c>
      <c r="L73" s="11">
        <f t="shared" si="3"/>
        <v>0.31194690265486724</v>
      </c>
      <c r="M73" s="12">
        <f t="shared" si="4"/>
        <v>0.41292357000898805</v>
      </c>
      <c r="N73" s="13">
        <f t="shared" si="5"/>
        <v>0.12881022869749406</v>
      </c>
      <c r="O73" s="14">
        <f t="shared" si="6"/>
        <v>0.65675270995939561</v>
      </c>
      <c r="P73" s="15"/>
      <c r="Q73" s="15"/>
      <c r="AD73" s="21"/>
    </row>
    <row r="74" spans="1:30" ht="15.75" customHeight="1">
      <c r="A74" s="8">
        <v>20807</v>
      </c>
      <c r="B74" s="9" t="s">
        <v>88</v>
      </c>
      <c r="C74" s="8">
        <v>2659</v>
      </c>
      <c r="D74" s="8">
        <v>1094.3333603441715</v>
      </c>
      <c r="E74" s="8">
        <v>6476</v>
      </c>
      <c r="F74" s="10">
        <f t="shared" si="0"/>
        <v>0.41059295861642991</v>
      </c>
      <c r="G74" s="10">
        <f t="shared" si="1"/>
        <v>0.41155824006926345</v>
      </c>
      <c r="H74" s="10">
        <f t="shared" si="2"/>
        <v>0.16898291543300981</v>
      </c>
      <c r="I74" s="8">
        <v>40</v>
      </c>
      <c r="J74" s="8">
        <v>16.000000298023224</v>
      </c>
      <c r="K74" s="8">
        <v>91</v>
      </c>
      <c r="L74" s="11">
        <f t="shared" si="3"/>
        <v>0.43956043956043955</v>
      </c>
      <c r="M74" s="12">
        <f t="shared" si="4"/>
        <v>0.40000000745058062</v>
      </c>
      <c r="N74" s="13">
        <f t="shared" si="5"/>
        <v>0.17582417909915632</v>
      </c>
      <c r="O74" s="14">
        <f t="shared" si="6"/>
        <v>1.0404849428039287</v>
      </c>
      <c r="P74" s="15"/>
      <c r="Q74" s="15"/>
      <c r="AD74" s="21"/>
    </row>
    <row r="75" spans="1:30" ht="15.75" customHeight="1">
      <c r="A75" s="8">
        <v>20901</v>
      </c>
      <c r="B75" s="9" t="s">
        <v>89</v>
      </c>
      <c r="C75" s="8">
        <v>4400</v>
      </c>
      <c r="D75" s="8">
        <v>1876.4444909989834</v>
      </c>
      <c r="E75" s="8">
        <v>10585</v>
      </c>
      <c r="F75" s="10">
        <f t="shared" si="0"/>
        <v>0.41568256967406708</v>
      </c>
      <c r="G75" s="10">
        <f t="shared" si="1"/>
        <v>0.42646465704522352</v>
      </c>
      <c r="H75" s="10">
        <f t="shared" si="2"/>
        <v>0.17727392451572824</v>
      </c>
      <c r="I75" s="8">
        <v>179</v>
      </c>
      <c r="J75" s="8">
        <v>72.555557012557983</v>
      </c>
      <c r="K75" s="8">
        <v>465</v>
      </c>
      <c r="L75" s="11">
        <f t="shared" si="3"/>
        <v>0.38494623655913979</v>
      </c>
      <c r="M75" s="12">
        <f t="shared" si="4"/>
        <v>0.40533830733272619</v>
      </c>
      <c r="N75" s="13">
        <f t="shared" si="5"/>
        <v>0.15603345594098492</v>
      </c>
      <c r="O75" s="14">
        <f t="shared" si="6"/>
        <v>0.88018278134944317</v>
      </c>
      <c r="P75" s="15"/>
      <c r="Q75" s="15"/>
      <c r="AD75" s="21"/>
    </row>
    <row r="76" spans="1:30" ht="15.75" customHeight="1">
      <c r="A76" s="8">
        <v>20902</v>
      </c>
      <c r="B76" s="9" t="s">
        <v>90</v>
      </c>
      <c r="C76" s="8">
        <v>7952</v>
      </c>
      <c r="D76" s="8">
        <v>3526.8889776468277</v>
      </c>
      <c r="E76" s="8">
        <v>11746</v>
      </c>
      <c r="F76" s="10">
        <f t="shared" si="0"/>
        <v>0.67699642431466034</v>
      </c>
      <c r="G76" s="10">
        <f t="shared" si="1"/>
        <v>0.44352225574029525</v>
      </c>
      <c r="H76" s="10">
        <f t="shared" si="2"/>
        <v>0.30026298124015222</v>
      </c>
      <c r="I76" s="8">
        <v>369</v>
      </c>
      <c r="J76" s="8">
        <v>155.44444814324379</v>
      </c>
      <c r="K76" s="8">
        <v>649</v>
      </c>
      <c r="L76" s="11">
        <f t="shared" si="3"/>
        <v>0.56856702619414479</v>
      </c>
      <c r="M76" s="12">
        <f t="shared" si="4"/>
        <v>0.4212586670548612</v>
      </c>
      <c r="N76" s="13">
        <f t="shared" si="5"/>
        <v>0.23951378758589179</v>
      </c>
      <c r="O76" s="14">
        <f t="shared" si="6"/>
        <v>0.79768004233038359</v>
      </c>
      <c r="P76" s="15"/>
      <c r="Q76" s="15"/>
      <c r="AD76" s="21"/>
    </row>
    <row r="77" spans="1:30" ht="15.75" customHeight="1">
      <c r="A77" s="8">
        <v>20903</v>
      </c>
      <c r="B77" s="9" t="s">
        <v>91</v>
      </c>
      <c r="C77" s="8">
        <v>4048</v>
      </c>
      <c r="D77" s="8">
        <v>1722.8889319300652</v>
      </c>
      <c r="E77" s="8">
        <v>6879</v>
      </c>
      <c r="F77" s="10">
        <f t="shared" si="0"/>
        <v>0.58845762465474638</v>
      </c>
      <c r="G77" s="10">
        <f t="shared" si="1"/>
        <v>0.42561485472580662</v>
      </c>
      <c r="H77" s="10">
        <f t="shared" si="2"/>
        <v>0.25045630642972311</v>
      </c>
      <c r="I77" s="8">
        <v>193</v>
      </c>
      <c r="J77" s="8">
        <v>79.555557399988174</v>
      </c>
      <c r="K77" s="8">
        <v>339</v>
      </c>
      <c r="L77" s="11">
        <f t="shared" si="3"/>
        <v>0.56932153392330387</v>
      </c>
      <c r="M77" s="12">
        <f t="shared" si="4"/>
        <v>0.41220496062170037</v>
      </c>
      <c r="N77" s="13">
        <f t="shared" si="5"/>
        <v>0.23467716047194151</v>
      </c>
      <c r="O77" s="14">
        <f t="shared" si="6"/>
        <v>0.93699840829438585</v>
      </c>
      <c r="P77" s="15"/>
      <c r="Q77" s="15"/>
      <c r="AD77" s="21"/>
    </row>
    <row r="78" spans="1:30" ht="15.75" customHeight="1">
      <c r="A78" s="8">
        <v>20904</v>
      </c>
      <c r="B78" s="9" t="s">
        <v>92</v>
      </c>
      <c r="C78" s="8">
        <v>2572</v>
      </c>
      <c r="D78" s="8">
        <v>1086.4444721639156</v>
      </c>
      <c r="E78" s="8">
        <v>4838</v>
      </c>
      <c r="F78" s="10">
        <f t="shared" si="0"/>
        <v>0.53162463828028106</v>
      </c>
      <c r="G78" s="10">
        <f t="shared" si="1"/>
        <v>0.42241231421614139</v>
      </c>
      <c r="H78" s="10">
        <f t="shared" si="2"/>
        <v>0.22456479375029259</v>
      </c>
      <c r="I78" s="8">
        <v>98</v>
      </c>
      <c r="J78" s="8">
        <v>43.000001281499863</v>
      </c>
      <c r="K78" s="8">
        <v>168</v>
      </c>
      <c r="L78" s="11">
        <f t="shared" si="3"/>
        <v>0.58333333333333337</v>
      </c>
      <c r="M78" s="12">
        <f t="shared" si="4"/>
        <v>0.43877552328061087</v>
      </c>
      <c r="N78" s="13">
        <f t="shared" si="5"/>
        <v>0.25595238858035635</v>
      </c>
      <c r="O78" s="14">
        <f t="shared" si="6"/>
        <v>1.1397707730846072</v>
      </c>
      <c r="P78" s="15"/>
      <c r="Q78" s="15"/>
      <c r="AD78" s="21"/>
    </row>
    <row r="79" spans="1:30" ht="15.75" customHeight="1">
      <c r="A79" s="8">
        <v>20905</v>
      </c>
      <c r="B79" s="9" t="s">
        <v>93</v>
      </c>
      <c r="C79" s="8">
        <v>4766</v>
      </c>
      <c r="D79" s="8">
        <v>2051.6667194068432</v>
      </c>
      <c r="E79" s="8">
        <v>10336</v>
      </c>
      <c r="F79" s="10">
        <f t="shared" si="0"/>
        <v>0.46110681114551083</v>
      </c>
      <c r="G79" s="10">
        <f t="shared" si="1"/>
        <v>0.4304797984487711</v>
      </c>
      <c r="H79" s="10">
        <f t="shared" si="2"/>
        <v>0.19849716712527507</v>
      </c>
      <c r="I79" s="8">
        <v>260</v>
      </c>
      <c r="J79" s="8">
        <v>96.55555784702301</v>
      </c>
      <c r="K79" s="8">
        <v>905</v>
      </c>
      <c r="L79" s="11">
        <f t="shared" si="3"/>
        <v>0.287292817679558</v>
      </c>
      <c r="M79" s="12">
        <f t="shared" si="4"/>
        <v>0.37136753018085772</v>
      </c>
      <c r="N79" s="13">
        <f t="shared" si="5"/>
        <v>0.10669122414035691</v>
      </c>
      <c r="O79" s="14">
        <f t="shared" si="6"/>
        <v>0.53749494607659665</v>
      </c>
      <c r="P79" s="15"/>
      <c r="Q79" s="15"/>
      <c r="AD79" s="21"/>
    </row>
    <row r="80" spans="1:30" ht="15.75" customHeight="1">
      <c r="A80" s="8">
        <v>21001</v>
      </c>
      <c r="B80" s="9" t="s">
        <v>94</v>
      </c>
      <c r="C80" s="8">
        <v>10938</v>
      </c>
      <c r="D80" s="8">
        <v>5398.0001428425312</v>
      </c>
      <c r="E80" s="8">
        <v>13916</v>
      </c>
      <c r="F80" s="10">
        <f t="shared" si="0"/>
        <v>0.78600172463351536</v>
      </c>
      <c r="G80" s="10">
        <f t="shared" si="1"/>
        <v>0.49350888122531827</v>
      </c>
      <c r="H80" s="10">
        <f t="shared" si="2"/>
        <v>0.38789883176505685</v>
      </c>
      <c r="I80" s="8">
        <v>318</v>
      </c>
      <c r="J80" s="8">
        <v>147.44444808363914</v>
      </c>
      <c r="K80" s="8">
        <v>713</v>
      </c>
      <c r="L80" s="11">
        <f t="shared" si="3"/>
        <v>0.44600280504908835</v>
      </c>
      <c r="M80" s="12">
        <f t="shared" si="4"/>
        <v>0.46366178642653821</v>
      </c>
      <c r="N80" s="13">
        <f t="shared" si="5"/>
        <v>0.20679445734030735</v>
      </c>
      <c r="O80" s="14">
        <f t="shared" si="6"/>
        <v>0.5331144112997972</v>
      </c>
      <c r="P80" s="15"/>
      <c r="Q80" s="15"/>
      <c r="AD80" s="21"/>
    </row>
    <row r="81" spans="1:30" ht="15.75" customHeight="1">
      <c r="A81" s="8">
        <v>21002</v>
      </c>
      <c r="B81" s="9" t="s">
        <v>95</v>
      </c>
      <c r="C81" s="8">
        <v>3044</v>
      </c>
      <c r="D81" s="8">
        <v>1329.555588722229</v>
      </c>
      <c r="E81" s="8">
        <v>6490</v>
      </c>
      <c r="F81" s="10">
        <f t="shared" si="0"/>
        <v>0.46902927580893683</v>
      </c>
      <c r="G81" s="10">
        <f t="shared" si="1"/>
        <v>0.43677910273397796</v>
      </c>
      <c r="H81" s="10">
        <f t="shared" si="2"/>
        <v>0.2048621862437949</v>
      </c>
      <c r="I81" s="8">
        <v>351</v>
      </c>
      <c r="J81" s="8">
        <v>148.0000039935112</v>
      </c>
      <c r="K81" s="8">
        <v>1580</v>
      </c>
      <c r="L81" s="11">
        <f t="shared" si="3"/>
        <v>0.22215189873417721</v>
      </c>
      <c r="M81" s="12">
        <f t="shared" si="4"/>
        <v>0.42165243302994643</v>
      </c>
      <c r="N81" s="13">
        <f t="shared" si="5"/>
        <v>9.3670888603488101E-2</v>
      </c>
      <c r="O81" s="14">
        <f t="shared" si="6"/>
        <v>0.45723854812334996</v>
      </c>
      <c r="P81" s="15"/>
      <c r="Q81" s="15"/>
      <c r="AD81" s="21"/>
    </row>
    <row r="82" spans="1:30" ht="15.75" customHeight="1">
      <c r="A82" s="8">
        <v>21003</v>
      </c>
      <c r="B82" s="9" t="s">
        <v>96</v>
      </c>
      <c r="C82" s="8">
        <v>2636</v>
      </c>
      <c r="D82" s="8">
        <v>1135.1111396253109</v>
      </c>
      <c r="E82" s="8">
        <v>7871</v>
      </c>
      <c r="F82" s="10">
        <f t="shared" si="0"/>
        <v>0.33490026680218526</v>
      </c>
      <c r="G82" s="10">
        <f t="shared" si="1"/>
        <v>0.43061879348456406</v>
      </c>
      <c r="H82" s="10">
        <f t="shared" si="2"/>
        <v>0.14421434882801562</v>
      </c>
      <c r="I82" s="8">
        <v>608</v>
      </c>
      <c r="J82" s="8">
        <v>251.55556190013885</v>
      </c>
      <c r="K82" s="8">
        <v>2353</v>
      </c>
      <c r="L82" s="11">
        <f t="shared" si="3"/>
        <v>0.25839354016149596</v>
      </c>
      <c r="M82" s="12">
        <f t="shared" si="4"/>
        <v>0.41374270049364942</v>
      </c>
      <c r="N82" s="13">
        <f t="shared" si="5"/>
        <v>0.1069084410965316</v>
      </c>
      <c r="O82" s="14">
        <f t="shared" si="6"/>
        <v>0.74131625573559545</v>
      </c>
      <c r="P82" s="15"/>
      <c r="Q82" s="15"/>
      <c r="AD82" s="21"/>
    </row>
    <row r="83" spans="1:30" ht="15.75" customHeight="1">
      <c r="A83" s="8">
        <v>21004</v>
      </c>
      <c r="B83" s="9" t="s">
        <v>97</v>
      </c>
      <c r="C83" s="8">
        <v>8792</v>
      </c>
      <c r="D83" s="8">
        <v>3852.5556542575359</v>
      </c>
      <c r="E83" s="8">
        <v>17077</v>
      </c>
      <c r="F83" s="10">
        <f t="shared" si="0"/>
        <v>0.51484452772735256</v>
      </c>
      <c r="G83" s="10">
        <f t="shared" si="1"/>
        <v>0.43818876868261325</v>
      </c>
      <c r="H83" s="10">
        <f t="shared" si="2"/>
        <v>0.22559908966783015</v>
      </c>
      <c r="I83" s="8">
        <v>554</v>
      </c>
      <c r="J83" s="8">
        <v>231.33333891630173</v>
      </c>
      <c r="K83" s="8">
        <v>2225</v>
      </c>
      <c r="L83" s="11">
        <f t="shared" si="3"/>
        <v>0.24898876404494383</v>
      </c>
      <c r="M83" s="12">
        <f t="shared" si="4"/>
        <v>0.4175692038200392</v>
      </c>
      <c r="N83" s="13">
        <f t="shared" si="5"/>
        <v>0.1039700399623828</v>
      </c>
      <c r="O83" s="14">
        <f t="shared" si="6"/>
        <v>0.46086196586815686</v>
      </c>
      <c r="P83" s="15"/>
      <c r="Q83" s="15"/>
      <c r="AD83" s="21"/>
    </row>
    <row r="84" spans="1:30" ht="15.75" customHeight="1">
      <c r="A84" s="8">
        <v>21005</v>
      </c>
      <c r="B84" s="9" t="s">
        <v>98</v>
      </c>
      <c r="C84" s="8">
        <v>5247</v>
      </c>
      <c r="D84" s="8">
        <v>2520.6667332053185</v>
      </c>
      <c r="E84" s="8">
        <v>7459</v>
      </c>
      <c r="F84" s="10">
        <f t="shared" si="0"/>
        <v>0.70344550207802659</v>
      </c>
      <c r="G84" s="10">
        <f t="shared" si="1"/>
        <v>0.48040151195069913</v>
      </c>
      <c r="H84" s="10">
        <f t="shared" si="2"/>
        <v>0.33793628277320265</v>
      </c>
      <c r="I84" s="8">
        <v>175</v>
      </c>
      <c r="J84" s="8">
        <v>75.222224503755569</v>
      </c>
      <c r="K84" s="8">
        <v>298</v>
      </c>
      <c r="L84" s="11">
        <f t="shared" si="3"/>
        <v>0.58724832214765099</v>
      </c>
      <c r="M84" s="12">
        <f t="shared" si="4"/>
        <v>0.42984128287860324</v>
      </c>
      <c r="N84" s="13">
        <f t="shared" si="5"/>
        <v>0.25242357216025357</v>
      </c>
      <c r="O84" s="14">
        <f t="shared" si="6"/>
        <v>0.74695611281746044</v>
      </c>
      <c r="P84" s="15"/>
      <c r="Q84" s="15"/>
      <c r="AD84" s="21"/>
    </row>
    <row r="85" spans="1:30" ht="15.75" customHeight="1">
      <c r="A85" s="8">
        <v>21006</v>
      </c>
      <c r="B85" s="9" t="s">
        <v>99</v>
      </c>
      <c r="C85" s="8">
        <v>2359</v>
      </c>
      <c r="D85" s="8">
        <v>1094.7778054475784</v>
      </c>
      <c r="E85" s="8">
        <v>4675</v>
      </c>
      <c r="F85" s="10">
        <f t="shared" si="0"/>
        <v>0.50459893048128346</v>
      </c>
      <c r="G85" s="10">
        <f t="shared" si="1"/>
        <v>0.46408554703161442</v>
      </c>
      <c r="H85" s="10">
        <f t="shared" si="2"/>
        <v>0.234177070683974</v>
      </c>
      <c r="I85" s="8">
        <v>167</v>
      </c>
      <c r="J85" s="8">
        <v>80.222224652767181</v>
      </c>
      <c r="K85" s="8">
        <v>784</v>
      </c>
      <c r="L85" s="11">
        <f t="shared" si="3"/>
        <v>0.21301020408163265</v>
      </c>
      <c r="M85" s="12">
        <f t="shared" si="4"/>
        <v>0.48037260271118071</v>
      </c>
      <c r="N85" s="13">
        <f t="shared" si="5"/>
        <v>0.10232426613873365</v>
      </c>
      <c r="O85" s="14">
        <f t="shared" si="6"/>
        <v>0.43695254125380195</v>
      </c>
      <c r="P85" s="15"/>
      <c r="Q85" s="15"/>
      <c r="AD85" s="21"/>
    </row>
    <row r="86" spans="1:30" ht="15.75" customHeight="1">
      <c r="A86" s="8">
        <v>21101</v>
      </c>
      <c r="B86" s="9" t="s">
        <v>100</v>
      </c>
      <c r="C86" s="8">
        <v>4091</v>
      </c>
      <c r="D86" s="8">
        <v>1678.4444862008095</v>
      </c>
      <c r="E86" s="8">
        <v>14048</v>
      </c>
      <c r="F86" s="10">
        <f t="shared" si="0"/>
        <v>0.29121583143507973</v>
      </c>
      <c r="G86" s="10">
        <f t="shared" si="1"/>
        <v>0.41027731268658263</v>
      </c>
      <c r="H86" s="10">
        <f t="shared" si="2"/>
        <v>0.11947924873297334</v>
      </c>
      <c r="I86" s="8">
        <v>773</v>
      </c>
      <c r="J86" s="8">
        <v>317.55556279420853</v>
      </c>
      <c r="K86" s="8">
        <v>3408</v>
      </c>
      <c r="L86" s="11">
        <f t="shared" si="3"/>
        <v>0.22681924882629109</v>
      </c>
      <c r="M86" s="12">
        <f t="shared" si="4"/>
        <v>0.41080926622795411</v>
      </c>
      <c r="N86" s="13">
        <f t="shared" si="5"/>
        <v>9.3179449176704385E-2</v>
      </c>
      <c r="O86" s="14">
        <f t="shared" si="6"/>
        <v>0.77987977129780139</v>
      </c>
      <c r="P86" s="15"/>
      <c r="Q86" s="15"/>
      <c r="AD86" s="21"/>
    </row>
    <row r="87" spans="1:30" ht="15.75" customHeight="1">
      <c r="A87" s="8">
        <v>21102</v>
      </c>
      <c r="B87" s="9" t="s">
        <v>101</v>
      </c>
      <c r="C87" s="8">
        <v>5877</v>
      </c>
      <c r="D87" s="8">
        <v>2604.66673001647</v>
      </c>
      <c r="E87" s="8">
        <v>13636</v>
      </c>
      <c r="F87" s="10">
        <f t="shared" si="0"/>
        <v>0.43099149310648283</v>
      </c>
      <c r="G87" s="10">
        <f t="shared" si="1"/>
        <v>0.44319665305708184</v>
      </c>
      <c r="H87" s="10">
        <f t="shared" si="2"/>
        <v>0.19101398724086754</v>
      </c>
      <c r="I87" s="8">
        <v>917</v>
      </c>
      <c r="J87" s="8">
        <v>395.33334299921989</v>
      </c>
      <c r="K87" s="8">
        <v>3089</v>
      </c>
      <c r="L87" s="11">
        <f t="shared" si="3"/>
        <v>0.2968598251861444</v>
      </c>
      <c r="M87" s="12">
        <f t="shared" si="4"/>
        <v>0.43111596837428562</v>
      </c>
      <c r="N87" s="13">
        <f t="shared" si="5"/>
        <v>0.1279810110065458</v>
      </c>
      <c r="O87" s="14">
        <f t="shared" si="6"/>
        <v>0.67000858342987457</v>
      </c>
      <c r="P87" s="15"/>
      <c r="Q87" s="15"/>
      <c r="AD87" s="21"/>
    </row>
    <row r="88" spans="1:30" ht="15.75" customHeight="1">
      <c r="A88" s="8">
        <v>21103</v>
      </c>
      <c r="B88" s="9" t="s">
        <v>102</v>
      </c>
      <c r="C88" s="8">
        <v>1320</v>
      </c>
      <c r="D88" s="8">
        <v>572.55556908249855</v>
      </c>
      <c r="E88" s="8">
        <v>4751</v>
      </c>
      <c r="F88" s="10">
        <f t="shared" si="0"/>
        <v>0.27783624500105242</v>
      </c>
      <c r="G88" s="10">
        <f t="shared" si="1"/>
        <v>0.43375421900189282</v>
      </c>
      <c r="H88" s="10">
        <f t="shared" si="2"/>
        <v>0.12051264346085004</v>
      </c>
      <c r="I88" s="8">
        <v>234</v>
      </c>
      <c r="J88" s="8">
        <v>100.888891518116</v>
      </c>
      <c r="K88" s="8">
        <v>1445</v>
      </c>
      <c r="L88" s="11">
        <f t="shared" si="3"/>
        <v>0.16193771626297579</v>
      </c>
      <c r="M88" s="12">
        <f t="shared" si="4"/>
        <v>0.43114910905177778</v>
      </c>
      <c r="N88" s="13">
        <f t="shared" si="5"/>
        <v>6.9819302088661592E-2</v>
      </c>
      <c r="O88" s="14">
        <f t="shared" si="6"/>
        <v>0.57935250678774808</v>
      </c>
      <c r="P88" s="15"/>
      <c r="Q88" s="15"/>
      <c r="AD88" s="21"/>
    </row>
    <row r="89" spans="1:30" ht="15.75" customHeight="1">
      <c r="A89" s="8">
        <v>21104</v>
      </c>
      <c r="B89" s="9" t="s">
        <v>103</v>
      </c>
      <c r="C89" s="8">
        <v>9136</v>
      </c>
      <c r="D89" s="8">
        <v>4157.1112078726292</v>
      </c>
      <c r="E89" s="8">
        <v>19499</v>
      </c>
      <c r="F89" s="10">
        <f t="shared" si="0"/>
        <v>0.46853684804348938</v>
      </c>
      <c r="G89" s="10">
        <f t="shared" si="1"/>
        <v>0.45502530734157498</v>
      </c>
      <c r="H89" s="10">
        <f t="shared" si="2"/>
        <v>0.21319612328184157</v>
      </c>
      <c r="I89" s="8">
        <v>1880</v>
      </c>
      <c r="J89" s="8">
        <v>825.55557382106781</v>
      </c>
      <c r="K89" s="8">
        <v>4510</v>
      </c>
      <c r="L89" s="11">
        <f t="shared" si="3"/>
        <v>0.41685144124168516</v>
      </c>
      <c r="M89" s="12">
        <f t="shared" si="4"/>
        <v>0.43912530522397225</v>
      </c>
      <c r="N89" s="13">
        <f t="shared" si="5"/>
        <v>0.18305001636830773</v>
      </c>
      <c r="O89" s="14">
        <f t="shared" si="6"/>
        <v>0.85859917877736824</v>
      </c>
      <c r="P89" s="15"/>
      <c r="Q89" s="15"/>
      <c r="AD89" s="21"/>
    </row>
    <row r="90" spans="1:30" ht="15.75" customHeight="1">
      <c r="A90" s="8">
        <v>21105</v>
      </c>
      <c r="B90" s="9" t="s">
        <v>104</v>
      </c>
      <c r="C90" s="8">
        <v>26353</v>
      </c>
      <c r="D90" s="8">
        <v>12960.333665639162</v>
      </c>
      <c r="E90" s="8">
        <v>33412</v>
      </c>
      <c r="F90" s="10">
        <f t="shared" si="0"/>
        <v>0.78872860050281335</v>
      </c>
      <c r="G90" s="10">
        <f t="shared" si="1"/>
        <v>0.49179727794327638</v>
      </c>
      <c r="H90" s="10">
        <f t="shared" si="2"/>
        <v>0.38789457876329347</v>
      </c>
      <c r="I90" s="8">
        <v>4313</v>
      </c>
      <c r="J90" s="8">
        <v>2035.4444950520992</v>
      </c>
      <c r="K90" s="8">
        <v>6171</v>
      </c>
      <c r="L90" s="11">
        <f t="shared" si="3"/>
        <v>0.69891427645438342</v>
      </c>
      <c r="M90" s="12">
        <f t="shared" si="4"/>
        <v>0.47193241248599566</v>
      </c>
      <c r="N90" s="13">
        <f t="shared" si="5"/>
        <v>0.32984030060802128</v>
      </c>
      <c r="O90" s="14">
        <f t="shared" si="6"/>
        <v>0.85033490712769433</v>
      </c>
      <c r="P90" s="15"/>
      <c r="Q90" s="15"/>
      <c r="AD90" s="21"/>
    </row>
    <row r="91" spans="1:30" ht="15.75" customHeight="1">
      <c r="A91" s="8">
        <v>21201</v>
      </c>
      <c r="B91" s="9" t="s">
        <v>105</v>
      </c>
      <c r="C91" s="8">
        <v>15084</v>
      </c>
      <c r="D91" s="8">
        <v>6662.000168889761</v>
      </c>
      <c r="E91" s="8">
        <v>28917</v>
      </c>
      <c r="F91" s="10">
        <f t="shared" si="0"/>
        <v>0.52163087457205104</v>
      </c>
      <c r="G91" s="10">
        <f t="shared" si="1"/>
        <v>0.44166004832204725</v>
      </c>
      <c r="H91" s="10">
        <f t="shared" si="2"/>
        <v>0.23038351726976383</v>
      </c>
      <c r="I91" s="8">
        <v>434</v>
      </c>
      <c r="J91" s="8">
        <v>182.88889333605766</v>
      </c>
      <c r="K91" s="8">
        <v>951</v>
      </c>
      <c r="L91" s="11">
        <f t="shared" si="3"/>
        <v>0.45636172450052576</v>
      </c>
      <c r="M91" s="12">
        <f t="shared" si="4"/>
        <v>0.42140298003699922</v>
      </c>
      <c r="N91" s="13">
        <f t="shared" si="5"/>
        <v>0.1923121906793456</v>
      </c>
      <c r="O91" s="14">
        <f t="shared" si="6"/>
        <v>0.83474804516575185</v>
      </c>
      <c r="P91" s="15"/>
      <c r="Q91" s="15"/>
      <c r="AD91" s="21"/>
    </row>
    <row r="92" spans="1:30" ht="15.75" customHeight="1">
      <c r="A92" s="8">
        <v>21202</v>
      </c>
      <c r="B92" s="9" t="s">
        <v>106</v>
      </c>
      <c r="C92" s="8">
        <v>12189</v>
      </c>
      <c r="D92" s="8">
        <v>5216.3334615826607</v>
      </c>
      <c r="E92" s="8">
        <v>23313</v>
      </c>
      <c r="F92" s="10">
        <f t="shared" si="0"/>
        <v>0.5228413331617553</v>
      </c>
      <c r="G92" s="10">
        <f t="shared" si="1"/>
        <v>0.42795417684655512</v>
      </c>
      <c r="H92" s="10">
        <f t="shared" si="2"/>
        <v>0.22375213235459446</v>
      </c>
      <c r="I92" s="8">
        <v>532</v>
      </c>
      <c r="J92" s="8">
        <v>213.88889333605766</v>
      </c>
      <c r="K92" s="8">
        <v>1120</v>
      </c>
      <c r="L92" s="11">
        <f t="shared" si="3"/>
        <v>0.47499999999999998</v>
      </c>
      <c r="M92" s="12">
        <f t="shared" si="4"/>
        <v>0.40204679198507082</v>
      </c>
      <c r="N92" s="13">
        <f t="shared" si="5"/>
        <v>0.19097222619290863</v>
      </c>
      <c r="O92" s="14">
        <f t="shared" si="6"/>
        <v>0.8534990222585348</v>
      </c>
      <c r="P92" s="15"/>
      <c r="Q92" s="15"/>
      <c r="AD92" s="21"/>
    </row>
    <row r="93" spans="1:30" ht="15.75" customHeight="1">
      <c r="A93" s="8">
        <v>21203</v>
      </c>
      <c r="B93" s="9" t="s">
        <v>107</v>
      </c>
      <c r="C93" s="8">
        <v>6796</v>
      </c>
      <c r="D93" s="8">
        <v>2961.5556307733059</v>
      </c>
      <c r="E93" s="8">
        <v>16998</v>
      </c>
      <c r="F93" s="10">
        <f t="shared" si="0"/>
        <v>0.39981174255794799</v>
      </c>
      <c r="G93" s="10">
        <f t="shared" si="1"/>
        <v>0.43577922760054533</v>
      </c>
      <c r="H93" s="10">
        <f t="shared" si="2"/>
        <v>0.17422965235753066</v>
      </c>
      <c r="I93" s="8">
        <v>88</v>
      </c>
      <c r="J93" s="8">
        <v>33.555556356906891</v>
      </c>
      <c r="K93" s="8">
        <v>368</v>
      </c>
      <c r="L93" s="11">
        <f t="shared" si="3"/>
        <v>0.2391304347826087</v>
      </c>
      <c r="M93" s="12">
        <f t="shared" si="4"/>
        <v>0.38131314041939651</v>
      </c>
      <c r="N93" s="13">
        <f t="shared" si="5"/>
        <v>9.1183577056812209E-2</v>
      </c>
      <c r="O93" s="14">
        <f t="shared" si="6"/>
        <v>0.52335280374489601</v>
      </c>
      <c r="P93" s="15"/>
      <c r="Q93" s="15"/>
      <c r="AD93" s="21"/>
    </row>
    <row r="94" spans="1:30" ht="15.75" customHeight="1">
      <c r="A94" s="8">
        <v>21204</v>
      </c>
      <c r="B94" s="9" t="s">
        <v>108</v>
      </c>
      <c r="C94" s="8">
        <v>2797</v>
      </c>
      <c r="D94" s="8">
        <v>1119.7778050005436</v>
      </c>
      <c r="E94" s="8">
        <v>6323</v>
      </c>
      <c r="F94" s="10">
        <f t="shared" si="0"/>
        <v>0.44235331330064842</v>
      </c>
      <c r="G94" s="10">
        <f t="shared" si="1"/>
        <v>0.40034959063301523</v>
      </c>
      <c r="H94" s="10">
        <f t="shared" si="2"/>
        <v>0.17709596789507254</v>
      </c>
      <c r="I94" s="8">
        <v>50</v>
      </c>
      <c r="J94" s="8">
        <v>20.111111670732498</v>
      </c>
      <c r="K94" s="8">
        <v>134</v>
      </c>
      <c r="L94" s="11">
        <f t="shared" si="3"/>
        <v>0.37313432835820898</v>
      </c>
      <c r="M94" s="12">
        <f t="shared" si="4"/>
        <v>0.40222223341464997</v>
      </c>
      <c r="N94" s="13">
        <f t="shared" si="5"/>
        <v>0.15008292291591419</v>
      </c>
      <c r="O94" s="14">
        <f t="shared" si="6"/>
        <v>0.84746662896829306</v>
      </c>
      <c r="P94" s="15"/>
      <c r="Q94" s="15"/>
      <c r="AD94" s="21"/>
    </row>
    <row r="95" spans="1:30" ht="15.75" customHeight="1">
      <c r="A95" s="8">
        <v>21301</v>
      </c>
      <c r="B95" s="9" t="s">
        <v>109</v>
      </c>
      <c r="C95" s="8">
        <v>16174</v>
      </c>
      <c r="D95" s="8">
        <v>7048.2224000394344</v>
      </c>
      <c r="E95" s="8">
        <v>29414</v>
      </c>
      <c r="F95" s="10">
        <f t="shared" si="0"/>
        <v>0.54987420956007338</v>
      </c>
      <c r="G95" s="10">
        <f t="shared" si="1"/>
        <v>0.4357748485247579</v>
      </c>
      <c r="H95" s="10">
        <f t="shared" si="2"/>
        <v>0.23962135037871196</v>
      </c>
      <c r="I95" s="8">
        <v>575</v>
      </c>
      <c r="J95" s="8">
        <v>238.33333921432495</v>
      </c>
      <c r="K95" s="8">
        <v>1745</v>
      </c>
      <c r="L95" s="11">
        <f t="shared" si="3"/>
        <v>0.32951289398280803</v>
      </c>
      <c r="M95" s="12">
        <f t="shared" si="4"/>
        <v>0.41449276385099992</v>
      </c>
      <c r="N95" s="13">
        <f t="shared" si="5"/>
        <v>0.13658071015147563</v>
      </c>
      <c r="O95" s="14">
        <f t="shared" si="6"/>
        <v>0.56998556237002784</v>
      </c>
      <c r="P95" s="15"/>
      <c r="Q95" s="15"/>
      <c r="AD95" s="21"/>
    </row>
    <row r="96" spans="1:30" ht="15.75" customHeight="1">
      <c r="A96" s="8">
        <v>21302</v>
      </c>
      <c r="B96" s="9" t="s">
        <v>110</v>
      </c>
      <c r="C96" s="8">
        <v>4835</v>
      </c>
      <c r="D96" s="8">
        <v>2146.1111640930176</v>
      </c>
      <c r="E96" s="8">
        <v>8541</v>
      </c>
      <c r="F96" s="10">
        <f t="shared" si="0"/>
        <v>0.56609296335323733</v>
      </c>
      <c r="G96" s="10">
        <f t="shared" si="1"/>
        <v>0.44386994086722181</v>
      </c>
      <c r="H96" s="10">
        <f t="shared" si="2"/>
        <v>0.25127165016895181</v>
      </c>
      <c r="I96" s="8">
        <v>139</v>
      </c>
      <c r="J96" s="8">
        <v>63.111112594604492</v>
      </c>
      <c r="K96" s="8">
        <v>327</v>
      </c>
      <c r="L96" s="11">
        <f t="shared" si="3"/>
        <v>0.42507645259938837</v>
      </c>
      <c r="M96" s="12">
        <f t="shared" si="4"/>
        <v>0.45403678125614744</v>
      </c>
      <c r="N96" s="13">
        <f t="shared" si="5"/>
        <v>0.19300034432600763</v>
      </c>
      <c r="O96" s="14">
        <f t="shared" si="6"/>
        <v>0.76809438787159912</v>
      </c>
      <c r="P96" s="15"/>
      <c r="Q96" s="15"/>
      <c r="AD96" s="21"/>
    </row>
    <row r="97" spans="1:30" ht="15.75" customHeight="1">
      <c r="A97" s="8">
        <v>21303</v>
      </c>
      <c r="B97" s="9" t="s">
        <v>111</v>
      </c>
      <c r="C97" s="8">
        <v>4557</v>
      </c>
      <c r="D97" s="8">
        <v>2042.3333826065063</v>
      </c>
      <c r="E97" s="8">
        <v>7524</v>
      </c>
      <c r="F97" s="10">
        <f t="shared" si="0"/>
        <v>0.60566188197767146</v>
      </c>
      <c r="G97" s="10">
        <f t="shared" si="1"/>
        <v>0.44817497972493009</v>
      </c>
      <c r="H97" s="10">
        <f t="shared" si="2"/>
        <v>0.27144250167550593</v>
      </c>
      <c r="I97" s="8">
        <v>141</v>
      </c>
      <c r="J97" s="8">
        <v>70.000002145767212</v>
      </c>
      <c r="K97" s="8">
        <v>244</v>
      </c>
      <c r="L97" s="11">
        <f t="shared" si="3"/>
        <v>0.57786885245901642</v>
      </c>
      <c r="M97" s="12">
        <f t="shared" si="4"/>
        <v>0.49645391592742705</v>
      </c>
      <c r="N97" s="13">
        <f t="shared" si="5"/>
        <v>0.28688525469576731</v>
      </c>
      <c r="O97" s="14">
        <f t="shared" si="6"/>
        <v>1.0568914334525339</v>
      </c>
      <c r="P97" s="15"/>
      <c r="Q97" s="15"/>
      <c r="AD97" s="21"/>
    </row>
    <row r="98" spans="1:30" ht="15.75" customHeight="1">
      <c r="A98" s="8">
        <v>21304</v>
      </c>
      <c r="B98" s="9" t="s">
        <v>112</v>
      </c>
      <c r="C98" s="8">
        <v>5732</v>
      </c>
      <c r="D98" s="8">
        <v>2464.8889499604702</v>
      </c>
      <c r="E98" s="8">
        <v>11684</v>
      </c>
      <c r="F98" s="10">
        <f t="shared" si="0"/>
        <v>0.49058541595344063</v>
      </c>
      <c r="G98" s="10">
        <f t="shared" si="1"/>
        <v>0.43002249650392016</v>
      </c>
      <c r="H98" s="10">
        <f t="shared" si="2"/>
        <v>0.21096276531671265</v>
      </c>
      <c r="I98" s="8">
        <v>289</v>
      </c>
      <c r="J98" s="8">
        <v>119.22222477197647</v>
      </c>
      <c r="K98" s="8">
        <v>660</v>
      </c>
      <c r="L98" s="11">
        <f t="shared" si="3"/>
        <v>0.43787878787878787</v>
      </c>
      <c r="M98" s="12">
        <f t="shared" si="4"/>
        <v>0.41253364973002238</v>
      </c>
      <c r="N98" s="13">
        <f t="shared" si="5"/>
        <v>0.18063973450299464</v>
      </c>
      <c r="O98" s="14">
        <f t="shared" si="6"/>
        <v>0.8562635886565344</v>
      </c>
      <c r="P98" s="15"/>
      <c r="Q98" s="15"/>
      <c r="AD98" s="21"/>
    </row>
    <row r="99" spans="1:30" ht="15.75" customHeight="1">
      <c r="A99" s="8">
        <v>21305</v>
      </c>
      <c r="B99" s="9" t="s">
        <v>113</v>
      </c>
      <c r="C99" s="8">
        <v>7149</v>
      </c>
      <c r="D99" s="8">
        <v>3021.6667413115501</v>
      </c>
      <c r="E99" s="8">
        <v>20298</v>
      </c>
      <c r="F99" s="10">
        <f t="shared" si="0"/>
        <v>0.35220218740762638</v>
      </c>
      <c r="G99" s="10">
        <f t="shared" si="1"/>
        <v>0.42266984771458249</v>
      </c>
      <c r="H99" s="10">
        <f t="shared" si="2"/>
        <v>0.14886524491632427</v>
      </c>
      <c r="I99" s="8">
        <v>430</v>
      </c>
      <c r="J99" s="8">
        <v>173.00000441074371</v>
      </c>
      <c r="K99" s="8">
        <v>2017</v>
      </c>
      <c r="L99" s="11">
        <f t="shared" si="3"/>
        <v>0.21318790282597919</v>
      </c>
      <c r="M99" s="12">
        <f t="shared" si="4"/>
        <v>0.40232559165289233</v>
      </c>
      <c r="N99" s="13">
        <f t="shared" si="5"/>
        <v>8.5770949137701391E-2</v>
      </c>
      <c r="O99" s="14">
        <f t="shared" si="6"/>
        <v>0.5761650356059429</v>
      </c>
      <c r="P99" s="15"/>
      <c r="Q99" s="15"/>
      <c r="AD99" s="21"/>
    </row>
    <row r="100" spans="1:30" ht="15.75" customHeight="1">
      <c r="A100" s="8">
        <v>21306</v>
      </c>
      <c r="B100" s="9" t="s">
        <v>114</v>
      </c>
      <c r="C100" s="8">
        <v>4691</v>
      </c>
      <c r="D100" s="8">
        <v>2049.3333839178085</v>
      </c>
      <c r="E100" s="8">
        <v>9251</v>
      </c>
      <c r="F100" s="10">
        <f t="shared" si="0"/>
        <v>0.50708031564155231</v>
      </c>
      <c r="G100" s="10">
        <f t="shared" si="1"/>
        <v>0.43686492942183086</v>
      </c>
      <c r="H100" s="10">
        <f t="shared" si="2"/>
        <v>0.22152560630394647</v>
      </c>
      <c r="I100" s="8">
        <v>276</v>
      </c>
      <c r="J100" s="8">
        <v>110.22222444415092</v>
      </c>
      <c r="K100" s="8">
        <v>611</v>
      </c>
      <c r="L100" s="11">
        <f t="shared" si="3"/>
        <v>0.45171849427168576</v>
      </c>
      <c r="M100" s="12">
        <f t="shared" si="4"/>
        <v>0.39935588566721347</v>
      </c>
      <c r="N100" s="13">
        <f t="shared" si="5"/>
        <v>0.18039643935212915</v>
      </c>
      <c r="O100" s="14">
        <f t="shared" si="6"/>
        <v>0.81433673678615004</v>
      </c>
      <c r="P100" s="15"/>
      <c r="Q100" s="15"/>
      <c r="AD100" s="21"/>
    </row>
    <row r="101" spans="1:30" ht="15.75" customHeight="1">
      <c r="A101" s="8">
        <v>21307</v>
      </c>
      <c r="B101" s="9" t="s">
        <v>115</v>
      </c>
      <c r="C101" s="8">
        <v>1779</v>
      </c>
      <c r="D101" s="8">
        <v>720.66668406128883</v>
      </c>
      <c r="E101" s="8">
        <v>4553</v>
      </c>
      <c r="F101" s="10">
        <f t="shared" si="0"/>
        <v>0.39073138589940698</v>
      </c>
      <c r="G101" s="10">
        <f t="shared" si="1"/>
        <v>0.40509650593664354</v>
      </c>
      <c r="H101" s="10">
        <f t="shared" si="2"/>
        <v>0.15828391918763207</v>
      </c>
      <c r="I101" s="8">
        <v>186</v>
      </c>
      <c r="J101" s="8">
        <v>73.222223401069641</v>
      </c>
      <c r="K101" s="8">
        <v>426</v>
      </c>
      <c r="L101" s="11">
        <f t="shared" si="3"/>
        <v>0.43661971830985913</v>
      </c>
      <c r="M101" s="12">
        <f t="shared" si="4"/>
        <v>0.39366786774768625</v>
      </c>
      <c r="N101" s="13">
        <f t="shared" si="5"/>
        <v>0.17188315352363764</v>
      </c>
      <c r="O101" s="14">
        <f t="shared" si="6"/>
        <v>1.0859167147604227</v>
      </c>
      <c r="P101" s="15"/>
      <c r="Q101" s="15"/>
      <c r="AD101" s="21"/>
    </row>
    <row r="102" spans="1:30" ht="15.75" customHeight="1">
      <c r="A102" s="8">
        <v>21401</v>
      </c>
      <c r="B102" s="9" t="s">
        <v>116</v>
      </c>
      <c r="C102" s="8">
        <v>5864</v>
      </c>
      <c r="D102" s="8">
        <v>2541.7778392732143</v>
      </c>
      <c r="E102" s="8">
        <v>15597</v>
      </c>
      <c r="F102" s="10">
        <f t="shared" si="0"/>
        <v>0.37596973777008397</v>
      </c>
      <c r="G102" s="10">
        <f t="shared" si="1"/>
        <v>0.4334546110629629</v>
      </c>
      <c r="H102" s="10">
        <f t="shared" si="2"/>
        <v>0.1629658164565759</v>
      </c>
      <c r="I102" s="8">
        <v>772</v>
      </c>
      <c r="J102" s="8">
        <v>324.44445219635963</v>
      </c>
      <c r="K102" s="8">
        <v>3130</v>
      </c>
      <c r="L102" s="11">
        <f t="shared" si="3"/>
        <v>0.24664536741214058</v>
      </c>
      <c r="M102" s="12">
        <f t="shared" si="4"/>
        <v>0.42026483445124307</v>
      </c>
      <c r="N102" s="13">
        <f t="shared" si="5"/>
        <v>0.10365637450362929</v>
      </c>
      <c r="O102" s="14">
        <f t="shared" si="6"/>
        <v>0.63606206968717094</v>
      </c>
      <c r="P102" s="15"/>
      <c r="Q102" s="15"/>
      <c r="AD102" s="21"/>
    </row>
    <row r="103" spans="1:30" ht="15.75" customHeight="1">
      <c r="A103" s="8">
        <v>21402</v>
      </c>
      <c r="B103" s="9" t="s">
        <v>117</v>
      </c>
      <c r="C103" s="8">
        <v>3219</v>
      </c>
      <c r="D103" s="8">
        <v>1309.0000350475311</v>
      </c>
      <c r="E103" s="8">
        <v>14447</v>
      </c>
      <c r="F103" s="10">
        <f t="shared" si="0"/>
        <v>0.2228144251401675</v>
      </c>
      <c r="G103" s="10">
        <f t="shared" si="1"/>
        <v>0.4066480382253902</v>
      </c>
      <c r="H103" s="10">
        <f t="shared" si="2"/>
        <v>9.0607048871567175E-2</v>
      </c>
      <c r="I103" s="8">
        <v>364</v>
      </c>
      <c r="J103" s="8">
        <v>140.00000360608101</v>
      </c>
      <c r="K103" s="8">
        <v>2321</v>
      </c>
      <c r="L103" s="11">
        <f t="shared" si="3"/>
        <v>0.15682895303748384</v>
      </c>
      <c r="M103" s="12">
        <f t="shared" si="4"/>
        <v>0.38461539452220056</v>
      </c>
      <c r="N103" s="13">
        <f t="shared" si="5"/>
        <v>6.0318829645015511E-2</v>
      </c>
      <c r="O103" s="14">
        <f t="shared" si="6"/>
        <v>0.66571895229162226</v>
      </c>
      <c r="P103" s="15"/>
      <c r="Q103" s="15"/>
      <c r="AD103" s="21"/>
    </row>
    <row r="104" spans="1:30" ht="15.75" customHeight="1">
      <c r="A104" s="8">
        <v>21501</v>
      </c>
      <c r="B104" s="9" t="s">
        <v>118</v>
      </c>
      <c r="C104" s="8">
        <v>3571</v>
      </c>
      <c r="D104" s="8">
        <v>1677.1111553907394</v>
      </c>
      <c r="E104" s="8">
        <v>5452</v>
      </c>
      <c r="F104" s="10">
        <f t="shared" si="0"/>
        <v>0.65498899486426998</v>
      </c>
      <c r="G104" s="10">
        <f t="shared" si="1"/>
        <v>0.46964748120715188</v>
      </c>
      <c r="H104" s="10">
        <f t="shared" si="2"/>
        <v>0.30761393165640855</v>
      </c>
      <c r="I104" s="8">
        <v>1467</v>
      </c>
      <c r="J104" s="8">
        <v>663.66668391227722</v>
      </c>
      <c r="K104" s="8">
        <v>2886</v>
      </c>
      <c r="L104" s="11">
        <f t="shared" si="3"/>
        <v>0.50831600831600832</v>
      </c>
      <c r="M104" s="12">
        <f t="shared" si="4"/>
        <v>0.45239719421423125</v>
      </c>
      <c r="N104" s="13">
        <f t="shared" si="5"/>
        <v>0.22996073593634</v>
      </c>
      <c r="O104" s="14">
        <f t="shared" si="6"/>
        <v>0.74756281257506962</v>
      </c>
      <c r="P104" s="15"/>
      <c r="Q104" s="15"/>
      <c r="AD104" s="21"/>
    </row>
    <row r="105" spans="1:30" ht="15.75" customHeight="1">
      <c r="A105" s="8">
        <v>21502</v>
      </c>
      <c r="B105" s="9" t="s">
        <v>119</v>
      </c>
      <c r="C105" s="8">
        <v>2542</v>
      </c>
      <c r="D105" s="8">
        <v>1165.6666966378689</v>
      </c>
      <c r="E105" s="8">
        <v>5926</v>
      </c>
      <c r="F105" s="10">
        <f t="shared" si="0"/>
        <v>0.42895713803577457</v>
      </c>
      <c r="G105" s="10">
        <f t="shared" si="1"/>
        <v>0.45856282322496811</v>
      </c>
      <c r="H105" s="10">
        <f t="shared" si="2"/>
        <v>0.19670379626018714</v>
      </c>
      <c r="I105" s="8">
        <v>550</v>
      </c>
      <c r="J105" s="8">
        <v>240.11111691594124</v>
      </c>
      <c r="K105" s="8">
        <v>2288</v>
      </c>
      <c r="L105" s="11">
        <f t="shared" si="3"/>
        <v>0.24038461538461539</v>
      </c>
      <c r="M105" s="12">
        <f t="shared" si="4"/>
        <v>0.43656566711989314</v>
      </c>
      <c r="N105" s="13">
        <f t="shared" si="5"/>
        <v>0.10494366998074355</v>
      </c>
      <c r="O105" s="14">
        <f t="shared" si="6"/>
        <v>0.53351115726272413</v>
      </c>
      <c r="P105" s="15"/>
      <c r="Q105" s="15"/>
      <c r="AD105" s="21"/>
    </row>
    <row r="106" spans="1:30" ht="15.75" customHeight="1">
      <c r="A106" s="8">
        <v>21601</v>
      </c>
      <c r="B106" s="9" t="s">
        <v>120</v>
      </c>
      <c r="C106" s="8">
        <v>9175</v>
      </c>
      <c r="D106" s="8">
        <v>4208.444555670023</v>
      </c>
      <c r="E106" s="8">
        <v>12609</v>
      </c>
      <c r="F106" s="10">
        <f t="shared" si="0"/>
        <v>0.72765484971052419</v>
      </c>
      <c r="G106" s="10">
        <f t="shared" si="1"/>
        <v>0.45868605511389898</v>
      </c>
      <c r="H106" s="10">
        <f t="shared" si="2"/>
        <v>0.33376513249821738</v>
      </c>
      <c r="I106" s="8">
        <v>164</v>
      </c>
      <c r="J106" s="8">
        <v>71.000001728534698</v>
      </c>
      <c r="K106" s="8">
        <v>318</v>
      </c>
      <c r="L106" s="11">
        <f t="shared" si="3"/>
        <v>0.51572327044025157</v>
      </c>
      <c r="M106" s="12">
        <f t="shared" si="4"/>
        <v>0.4329268398081384</v>
      </c>
      <c r="N106" s="13">
        <f t="shared" si="5"/>
        <v>0.22327044568721602</v>
      </c>
      <c r="O106" s="14">
        <f t="shared" si="6"/>
        <v>0.66894478765965315</v>
      </c>
      <c r="P106" s="15"/>
      <c r="Q106" s="15"/>
      <c r="AD106" s="21"/>
    </row>
    <row r="107" spans="1:30" ht="15.75" customHeight="1">
      <c r="A107" s="8">
        <v>21602</v>
      </c>
      <c r="B107" s="9" t="s">
        <v>121</v>
      </c>
      <c r="C107" s="8">
        <v>2288</v>
      </c>
      <c r="D107" s="8">
        <v>1085.0000295937061</v>
      </c>
      <c r="E107" s="8">
        <v>3219</v>
      </c>
      <c r="F107" s="10">
        <f t="shared" si="0"/>
        <v>0.71077974526250387</v>
      </c>
      <c r="G107" s="10">
        <f t="shared" si="1"/>
        <v>0.47421329964759884</v>
      </c>
      <c r="H107" s="10">
        <f t="shared" si="2"/>
        <v>0.33706120832361169</v>
      </c>
      <c r="I107" s="8">
        <v>29</v>
      </c>
      <c r="J107" s="8">
        <v>13.111111372709274</v>
      </c>
      <c r="K107" s="8">
        <v>45</v>
      </c>
      <c r="L107" s="11">
        <f t="shared" si="3"/>
        <v>0.64444444444444449</v>
      </c>
      <c r="M107" s="12">
        <f t="shared" si="4"/>
        <v>0.45210728871411293</v>
      </c>
      <c r="N107" s="13">
        <f t="shared" si="5"/>
        <v>0.29135803050465059</v>
      </c>
      <c r="O107" s="14">
        <f t="shared" si="6"/>
        <v>0.86440688904466989</v>
      </c>
      <c r="P107" s="15"/>
      <c r="Q107" s="15"/>
      <c r="AD107" s="21"/>
    </row>
    <row r="108" spans="1:30" ht="15.75" customHeight="1">
      <c r="A108" s="8">
        <v>21701</v>
      </c>
      <c r="B108" s="9" t="s">
        <v>122</v>
      </c>
      <c r="C108" s="8">
        <v>4514</v>
      </c>
      <c r="D108" s="8">
        <v>1844.0000455677509</v>
      </c>
      <c r="E108" s="8">
        <v>13214</v>
      </c>
      <c r="F108" s="10">
        <f t="shared" si="0"/>
        <v>0.34160738610564551</v>
      </c>
      <c r="G108" s="10">
        <f t="shared" si="1"/>
        <v>0.4085068776180219</v>
      </c>
      <c r="H108" s="10">
        <f t="shared" si="2"/>
        <v>0.13954896666927127</v>
      </c>
      <c r="I108" s="8">
        <v>162</v>
      </c>
      <c r="J108" s="8">
        <v>62.000001609325409</v>
      </c>
      <c r="K108" s="8">
        <v>1273</v>
      </c>
      <c r="L108" s="11">
        <f t="shared" si="3"/>
        <v>0.1272584446190102</v>
      </c>
      <c r="M108" s="12">
        <f t="shared" si="4"/>
        <v>0.38271605931682351</v>
      </c>
      <c r="N108" s="13">
        <f t="shared" si="5"/>
        <v>4.8703850439375806E-2</v>
      </c>
      <c r="O108" s="14">
        <f t="shared" si="6"/>
        <v>0.34900903676917305</v>
      </c>
      <c r="P108" s="15"/>
      <c r="Q108" s="15"/>
      <c r="AD108" s="21"/>
    </row>
    <row r="109" spans="1:30" ht="15.75" customHeight="1">
      <c r="A109" s="8">
        <v>21702</v>
      </c>
      <c r="B109" s="9" t="s">
        <v>123</v>
      </c>
      <c r="C109" s="8">
        <v>2536</v>
      </c>
      <c r="D109" s="8">
        <v>1074.7778041064739</v>
      </c>
      <c r="E109" s="8">
        <v>5563</v>
      </c>
      <c r="F109" s="10">
        <f t="shared" si="0"/>
        <v>0.45586913535861945</v>
      </c>
      <c r="G109" s="10">
        <f t="shared" si="1"/>
        <v>0.42380828237636986</v>
      </c>
      <c r="H109" s="10">
        <f t="shared" si="2"/>
        <v>0.19320111524473738</v>
      </c>
      <c r="I109" s="8">
        <v>120</v>
      </c>
      <c r="J109" s="8">
        <v>49.777779042720795</v>
      </c>
      <c r="K109" s="8">
        <v>380</v>
      </c>
      <c r="L109" s="11">
        <f t="shared" si="3"/>
        <v>0.31578947368421051</v>
      </c>
      <c r="M109" s="12">
        <f t="shared" si="4"/>
        <v>0.41481482535600661</v>
      </c>
      <c r="N109" s="13">
        <f t="shared" si="5"/>
        <v>0.13099415537558104</v>
      </c>
      <c r="O109" s="14">
        <f t="shared" si="6"/>
        <v>0.67801966468798214</v>
      </c>
      <c r="P109" s="15"/>
      <c r="Q109" s="15"/>
      <c r="AD109" s="21"/>
    </row>
    <row r="110" spans="1:30" ht="15.75" customHeight="1">
      <c r="A110" s="8">
        <v>21703</v>
      </c>
      <c r="B110" s="9" t="s">
        <v>124</v>
      </c>
      <c r="C110" s="8">
        <v>3610</v>
      </c>
      <c r="D110" s="8">
        <v>1651.0000430345535</v>
      </c>
      <c r="E110" s="8">
        <v>6027</v>
      </c>
      <c r="F110" s="10">
        <f t="shared" si="0"/>
        <v>0.59897129583540731</v>
      </c>
      <c r="G110" s="10">
        <f t="shared" si="1"/>
        <v>0.45734073214253562</v>
      </c>
      <c r="H110" s="10">
        <f t="shared" si="2"/>
        <v>0.27393397096972849</v>
      </c>
      <c r="I110" s="8">
        <v>116</v>
      </c>
      <c r="J110" s="8">
        <v>54.333334535360336</v>
      </c>
      <c r="K110" s="8">
        <v>218</v>
      </c>
      <c r="L110" s="11">
        <f t="shared" si="3"/>
        <v>0.5321100917431193</v>
      </c>
      <c r="M110" s="12">
        <f t="shared" si="4"/>
        <v>0.4683908149600029</v>
      </c>
      <c r="N110" s="13">
        <f t="shared" si="5"/>
        <v>0.24923547952000155</v>
      </c>
      <c r="O110" s="14">
        <f t="shared" si="6"/>
        <v>0.90983779279987043</v>
      </c>
      <c r="P110" s="15"/>
      <c r="Q110" s="15"/>
      <c r="AD110" s="21"/>
    </row>
    <row r="111" spans="1:30" ht="15.75" customHeight="1">
      <c r="A111" s="8">
        <v>21801</v>
      </c>
      <c r="B111" s="9" t="s">
        <v>125</v>
      </c>
      <c r="C111" s="8">
        <v>5935</v>
      </c>
      <c r="D111" s="8">
        <v>2689.1111747324467</v>
      </c>
      <c r="E111" s="8">
        <v>8536</v>
      </c>
      <c r="F111" s="10">
        <f t="shared" si="0"/>
        <v>0.69529053420805997</v>
      </c>
      <c r="G111" s="10">
        <f t="shared" si="1"/>
        <v>0.4530937109911452</v>
      </c>
      <c r="H111" s="10">
        <f t="shared" si="2"/>
        <v>0.31503176836134567</v>
      </c>
      <c r="I111" s="8">
        <v>169</v>
      </c>
      <c r="J111" s="8">
        <v>75.888890773057938</v>
      </c>
      <c r="K111" s="8">
        <v>273</v>
      </c>
      <c r="L111" s="11">
        <f t="shared" si="3"/>
        <v>0.61904761904761907</v>
      </c>
      <c r="M111" s="12">
        <f t="shared" si="4"/>
        <v>0.44904669096483985</v>
      </c>
      <c r="N111" s="13">
        <f t="shared" si="5"/>
        <v>0.27798128488299612</v>
      </c>
      <c r="O111" s="14">
        <f t="shared" si="6"/>
        <v>0.88239127859685518</v>
      </c>
      <c r="P111" s="15"/>
      <c r="Q111" s="15"/>
      <c r="AD111" s="21"/>
    </row>
    <row r="112" spans="1:30" ht="15.75" customHeight="1">
      <c r="A112" s="8">
        <v>21802</v>
      </c>
      <c r="B112" s="9" t="s">
        <v>126</v>
      </c>
      <c r="C112" s="8">
        <v>3392</v>
      </c>
      <c r="D112" s="8">
        <v>1448.2222573161125</v>
      </c>
      <c r="E112" s="8">
        <v>6627</v>
      </c>
      <c r="F112" s="10">
        <f t="shared" si="0"/>
        <v>0.51184548060962731</v>
      </c>
      <c r="G112" s="10">
        <f t="shared" si="1"/>
        <v>0.42695231642574072</v>
      </c>
      <c r="H112" s="10">
        <f t="shared" si="2"/>
        <v>0.21853361359832693</v>
      </c>
      <c r="I112" s="8">
        <v>238</v>
      </c>
      <c r="J112" s="8">
        <v>104.66666918992996</v>
      </c>
      <c r="K112" s="8">
        <v>359</v>
      </c>
      <c r="L112" s="11">
        <f t="shared" si="3"/>
        <v>0.6629526462395543</v>
      </c>
      <c r="M112" s="12">
        <f t="shared" si="4"/>
        <v>0.4397759209660923</v>
      </c>
      <c r="N112" s="13">
        <f t="shared" si="5"/>
        <v>0.29155061055690801</v>
      </c>
      <c r="O112" s="14">
        <f t="shared" si="6"/>
        <v>1.3341224983941788</v>
      </c>
      <c r="P112" s="15"/>
      <c r="Q112" s="15"/>
      <c r="AD112" s="21"/>
    </row>
    <row r="113" spans="1:30" ht="15.75" customHeight="1">
      <c r="A113" s="8">
        <v>21803</v>
      </c>
      <c r="B113" s="9" t="s">
        <v>127</v>
      </c>
      <c r="C113" s="8">
        <v>1548</v>
      </c>
      <c r="D113" s="8">
        <v>688.33335024118423</v>
      </c>
      <c r="E113" s="8">
        <v>1978</v>
      </c>
      <c r="F113" s="10">
        <f t="shared" si="0"/>
        <v>0.78260869565217395</v>
      </c>
      <c r="G113" s="10">
        <f t="shared" si="1"/>
        <v>0.44465978697750919</v>
      </c>
      <c r="H113" s="10">
        <f t="shared" si="2"/>
        <v>0.34799461589544201</v>
      </c>
      <c r="I113" s="8">
        <v>17</v>
      </c>
      <c r="J113" s="8">
        <v>7.6666669547557831</v>
      </c>
      <c r="K113" s="8">
        <v>22</v>
      </c>
      <c r="L113" s="11">
        <f t="shared" si="3"/>
        <v>0.77272727272727271</v>
      </c>
      <c r="M113" s="12">
        <f t="shared" si="4"/>
        <v>0.45098040910328135</v>
      </c>
      <c r="N113" s="13">
        <f t="shared" si="5"/>
        <v>0.34848486157980829</v>
      </c>
      <c r="O113" s="14">
        <f t="shared" si="6"/>
        <v>1.0014087737625044</v>
      </c>
      <c r="P113" s="15"/>
      <c r="Q113" s="15"/>
      <c r="AD113" s="21"/>
    </row>
    <row r="114" spans="1:30" ht="15.75" customHeight="1">
      <c r="A114" s="8">
        <v>21901</v>
      </c>
      <c r="B114" s="9" t="s">
        <v>128</v>
      </c>
      <c r="C114" s="8">
        <v>2258</v>
      </c>
      <c r="D114" s="8">
        <v>936.33335623145103</v>
      </c>
      <c r="E114" s="8">
        <v>4270</v>
      </c>
      <c r="F114" s="10">
        <f t="shared" si="0"/>
        <v>0.52880562060889935</v>
      </c>
      <c r="G114" s="10">
        <f t="shared" si="1"/>
        <v>0.41467376272429185</v>
      </c>
      <c r="H114" s="10">
        <f t="shared" si="2"/>
        <v>0.21928181644764663</v>
      </c>
      <c r="I114" s="8">
        <v>150</v>
      </c>
      <c r="J114" s="8">
        <v>63.666668087244034</v>
      </c>
      <c r="K114" s="8">
        <v>279</v>
      </c>
      <c r="L114" s="11">
        <f t="shared" si="3"/>
        <v>0.5376344086021505</v>
      </c>
      <c r="M114" s="12">
        <f t="shared" si="4"/>
        <v>0.42444445391496022</v>
      </c>
      <c r="N114" s="13">
        <f t="shared" si="5"/>
        <v>0.22819594296503237</v>
      </c>
      <c r="O114" s="14">
        <f t="shared" si="6"/>
        <v>1.0406514624048364</v>
      </c>
      <c r="P114" s="15"/>
      <c r="Q114" s="15"/>
      <c r="AD114" s="21"/>
    </row>
    <row r="115" spans="1:30" ht="15.75" customHeight="1">
      <c r="A115" s="8">
        <v>21902</v>
      </c>
      <c r="B115" s="9" t="s">
        <v>129</v>
      </c>
      <c r="C115" s="8">
        <v>1472</v>
      </c>
      <c r="D115" s="8">
        <v>621.77779281139374</v>
      </c>
      <c r="E115" s="8">
        <v>2721</v>
      </c>
      <c r="F115" s="10">
        <f t="shared" si="0"/>
        <v>0.54097758177140753</v>
      </c>
      <c r="G115" s="10">
        <f t="shared" si="1"/>
        <v>0.42240339185556641</v>
      </c>
      <c r="H115" s="10">
        <f t="shared" si="2"/>
        <v>0.22851076545806459</v>
      </c>
      <c r="I115" s="8">
        <v>77</v>
      </c>
      <c r="J115" s="8">
        <v>32.888889849185944</v>
      </c>
      <c r="K115" s="8">
        <v>139</v>
      </c>
      <c r="L115" s="11">
        <f t="shared" si="3"/>
        <v>0.5539568345323741</v>
      </c>
      <c r="M115" s="12">
        <f t="shared" si="4"/>
        <v>0.42712843959981744</v>
      </c>
      <c r="N115" s="13">
        <f t="shared" si="5"/>
        <v>0.23661071833946723</v>
      </c>
      <c r="O115" s="14">
        <f t="shared" si="6"/>
        <v>1.035446701450436</v>
      </c>
      <c r="P115" s="15"/>
      <c r="Q115" s="15"/>
      <c r="AD115" s="21"/>
    </row>
    <row r="116" spans="1:30" ht="15.75" customHeight="1">
      <c r="A116" s="8">
        <v>22001</v>
      </c>
      <c r="B116" s="9" t="s">
        <v>130</v>
      </c>
      <c r="C116" s="8">
        <v>19769</v>
      </c>
      <c r="D116" s="8">
        <v>8751.444662630558</v>
      </c>
      <c r="E116" s="8">
        <v>39061</v>
      </c>
      <c r="F116" s="10">
        <f t="shared" si="0"/>
        <v>0.50610583446404345</v>
      </c>
      <c r="G116" s="10">
        <f t="shared" si="1"/>
        <v>0.44268524774295909</v>
      </c>
      <c r="H116" s="10">
        <f t="shared" si="2"/>
        <v>0.22404558671387212</v>
      </c>
      <c r="I116" s="8">
        <v>3257</v>
      </c>
      <c r="J116" s="8">
        <v>1392.8889237344265</v>
      </c>
      <c r="K116" s="8">
        <v>10128</v>
      </c>
      <c r="L116" s="11">
        <f t="shared" si="3"/>
        <v>0.32158372827804105</v>
      </c>
      <c r="M116" s="12">
        <f t="shared" si="4"/>
        <v>0.42766009325588777</v>
      </c>
      <c r="N116" s="13">
        <f t="shared" si="5"/>
        <v>0.13752852722496312</v>
      </c>
      <c r="O116" s="14">
        <f t="shared" si="6"/>
        <v>0.61384171517111985</v>
      </c>
      <c r="P116" s="15"/>
      <c r="Q116" s="15"/>
      <c r="AD116" s="21"/>
    </row>
    <row r="117" spans="1:30" ht="15.75" customHeight="1">
      <c r="A117" s="8">
        <v>22002</v>
      </c>
      <c r="B117" s="9" t="s">
        <v>131</v>
      </c>
      <c r="C117" s="8">
        <v>5713</v>
      </c>
      <c r="D117" s="8">
        <v>2707.0000698566437</v>
      </c>
      <c r="E117" s="8">
        <v>8983</v>
      </c>
      <c r="F117" s="10">
        <f t="shared" si="0"/>
        <v>0.6359790715796505</v>
      </c>
      <c r="G117" s="10">
        <f t="shared" si="1"/>
        <v>0.47383162434038922</v>
      </c>
      <c r="H117" s="10">
        <f t="shared" si="2"/>
        <v>0.30134699653307845</v>
      </c>
      <c r="I117" s="8">
        <v>1134</v>
      </c>
      <c r="J117" s="8">
        <v>517.11112371087074</v>
      </c>
      <c r="K117" s="8">
        <v>1898</v>
      </c>
      <c r="L117" s="11">
        <f t="shared" si="3"/>
        <v>0.59747102212855641</v>
      </c>
      <c r="M117" s="12">
        <f t="shared" si="4"/>
        <v>0.45600628193198478</v>
      </c>
      <c r="N117" s="13">
        <f t="shared" si="5"/>
        <v>0.27245053936294561</v>
      </c>
      <c r="O117" s="14">
        <f t="shared" si="6"/>
        <v>0.90410902546705518</v>
      </c>
      <c r="P117" s="15"/>
      <c r="Q117" s="15"/>
      <c r="AD117" s="21"/>
    </row>
    <row r="118" spans="1:30" ht="15.75" customHeight="1">
      <c r="A118" s="8">
        <v>30101</v>
      </c>
      <c r="B118" s="9" t="s">
        <v>132</v>
      </c>
      <c r="C118" s="8">
        <v>96989</v>
      </c>
      <c r="D118" s="8">
        <v>39293.667650490999</v>
      </c>
      <c r="E118" s="8">
        <v>278930</v>
      </c>
      <c r="F118" s="10">
        <f t="shared" si="0"/>
        <v>0.34771806546445344</v>
      </c>
      <c r="G118" s="10">
        <f t="shared" si="1"/>
        <v>0.40513530039995255</v>
      </c>
      <c r="H118" s="10">
        <f t="shared" si="2"/>
        <v>0.14087286290643172</v>
      </c>
      <c r="I118" s="8">
        <v>39338</v>
      </c>
      <c r="J118" s="8">
        <v>15136.333716869354</v>
      </c>
      <c r="K118" s="8">
        <v>342254</v>
      </c>
      <c r="L118" s="11">
        <f t="shared" si="3"/>
        <v>0.11493802848177084</v>
      </c>
      <c r="M118" s="12">
        <f t="shared" si="4"/>
        <v>0.38477639221285664</v>
      </c>
      <c r="N118" s="13">
        <f t="shared" si="5"/>
        <v>4.4225439927274346E-2</v>
      </c>
      <c r="O118" s="14">
        <f t="shared" si="6"/>
        <v>0.31393867502110073</v>
      </c>
      <c r="P118" s="15"/>
      <c r="Q118" s="15"/>
      <c r="AD118" s="21"/>
    </row>
    <row r="119" spans="1:30" ht="15.75" customHeight="1">
      <c r="A119" s="8">
        <v>30201</v>
      </c>
      <c r="B119" s="9" t="s">
        <v>133</v>
      </c>
      <c r="C119" s="8">
        <v>10808</v>
      </c>
      <c r="D119" s="8">
        <v>5359.6668111979961</v>
      </c>
      <c r="E119" s="8">
        <v>20457</v>
      </c>
      <c r="F119" s="10">
        <f t="shared" si="0"/>
        <v>0.52832771178569682</v>
      </c>
      <c r="G119" s="10">
        <f t="shared" si="1"/>
        <v>0.49589811354533642</v>
      </c>
      <c r="H119" s="10">
        <f t="shared" si="2"/>
        <v>0.26199671560825127</v>
      </c>
      <c r="I119" s="8">
        <v>423</v>
      </c>
      <c r="J119" s="8">
        <v>204.00000575184822</v>
      </c>
      <c r="K119" s="8">
        <v>2595</v>
      </c>
      <c r="L119" s="11">
        <f t="shared" si="3"/>
        <v>0.16300578034682081</v>
      </c>
      <c r="M119" s="12">
        <f t="shared" si="4"/>
        <v>0.48226951714384925</v>
      </c>
      <c r="N119" s="13">
        <f t="shared" si="5"/>
        <v>7.8612718979517618E-2</v>
      </c>
      <c r="O119" s="14">
        <f t="shared" si="6"/>
        <v>0.30005230713297465</v>
      </c>
      <c r="P119" s="15"/>
      <c r="Q119" s="15"/>
      <c r="AD119" s="21"/>
    </row>
    <row r="120" spans="1:30" ht="15.75" customHeight="1">
      <c r="A120" s="8">
        <v>30202</v>
      </c>
      <c r="B120" s="9" t="s">
        <v>134</v>
      </c>
      <c r="C120" s="8">
        <v>1309</v>
      </c>
      <c r="D120" s="8">
        <v>650.22223994135857</v>
      </c>
      <c r="E120" s="8">
        <v>1991</v>
      </c>
      <c r="F120" s="10">
        <f t="shared" si="0"/>
        <v>0.65745856353591159</v>
      </c>
      <c r="G120" s="10">
        <f t="shared" si="1"/>
        <v>0.49673203968018226</v>
      </c>
      <c r="H120" s="10">
        <f t="shared" si="2"/>
        <v>0.32658073327039605</v>
      </c>
      <c r="I120" s="8">
        <v>2228</v>
      </c>
      <c r="J120" s="8">
        <v>1004.1111369132996</v>
      </c>
      <c r="K120" s="8">
        <v>4803</v>
      </c>
      <c r="L120" s="11">
        <f t="shared" si="3"/>
        <v>0.463876743701853</v>
      </c>
      <c r="M120" s="12">
        <f t="shared" si="4"/>
        <v>0.45067824816575386</v>
      </c>
      <c r="N120" s="13">
        <f t="shared" si="5"/>
        <v>0.20905915821638552</v>
      </c>
      <c r="O120" s="14">
        <f t="shared" si="6"/>
        <v>0.64014541250751844</v>
      </c>
      <c r="P120" s="15"/>
      <c r="Q120" s="15"/>
      <c r="AD120" s="21"/>
    </row>
    <row r="121" spans="1:30" ht="15.75" customHeight="1">
      <c r="A121" s="8">
        <v>30203</v>
      </c>
      <c r="B121" s="9" t="s">
        <v>135</v>
      </c>
      <c r="C121" s="8">
        <v>2118</v>
      </c>
      <c r="D121" s="8">
        <v>1025.1111400425434</v>
      </c>
      <c r="E121" s="8">
        <v>5158</v>
      </c>
      <c r="F121" s="10">
        <f t="shared" si="0"/>
        <v>0.41062427297402093</v>
      </c>
      <c r="G121" s="10">
        <f t="shared" si="1"/>
        <v>0.48399959397664938</v>
      </c>
      <c r="H121" s="10">
        <f t="shared" si="2"/>
        <v>0.19874198139638297</v>
      </c>
      <c r="I121" s="8">
        <v>78</v>
      </c>
      <c r="J121" s="8">
        <v>32.88888955116272</v>
      </c>
      <c r="K121" s="8">
        <v>429</v>
      </c>
      <c r="L121" s="11">
        <f t="shared" si="3"/>
        <v>0.18181818181818182</v>
      </c>
      <c r="M121" s="12">
        <f t="shared" si="4"/>
        <v>0.42165243014311177</v>
      </c>
      <c r="N121" s="13">
        <f t="shared" si="5"/>
        <v>7.6664078207838507E-2</v>
      </c>
      <c r="O121" s="14">
        <f t="shared" si="6"/>
        <v>0.38574677412989589</v>
      </c>
      <c r="P121" s="15"/>
      <c r="Q121" s="15"/>
      <c r="AD121" s="21"/>
    </row>
    <row r="122" spans="1:30" ht="15.75" customHeight="1">
      <c r="A122" s="8">
        <v>30301</v>
      </c>
      <c r="B122" s="9" t="s">
        <v>136</v>
      </c>
      <c r="C122" s="8">
        <v>15935</v>
      </c>
      <c r="D122" s="8">
        <v>7941.0002134740353</v>
      </c>
      <c r="E122" s="8">
        <v>22576</v>
      </c>
      <c r="F122" s="10">
        <f t="shared" si="0"/>
        <v>0.70583805811481215</v>
      </c>
      <c r="G122" s="10">
        <f t="shared" si="1"/>
        <v>0.49833700743483123</v>
      </c>
      <c r="H122" s="10">
        <f t="shared" si="2"/>
        <v>0.35174522561454796</v>
      </c>
      <c r="I122" s="8">
        <v>265</v>
      </c>
      <c r="J122" s="8">
        <v>109.22222506999969</v>
      </c>
      <c r="K122" s="8">
        <v>816</v>
      </c>
      <c r="L122" s="11">
        <f t="shared" si="3"/>
        <v>0.32475490196078433</v>
      </c>
      <c r="M122" s="12">
        <f t="shared" si="4"/>
        <v>0.41215933988679132</v>
      </c>
      <c r="N122" s="13">
        <f t="shared" si="5"/>
        <v>0.13385076601715651</v>
      </c>
      <c r="O122" s="14">
        <f t="shared" si="6"/>
        <v>0.38053328451950003</v>
      </c>
      <c r="P122" s="15"/>
      <c r="Q122" s="15"/>
      <c r="AD122" s="21"/>
    </row>
    <row r="123" spans="1:30" ht="15.75" customHeight="1">
      <c r="A123" s="8">
        <v>30302</v>
      </c>
      <c r="B123" s="9" t="s">
        <v>137</v>
      </c>
      <c r="C123" s="8">
        <v>9250</v>
      </c>
      <c r="D123" s="8">
        <v>4785.7779051661491</v>
      </c>
      <c r="E123" s="8">
        <v>12328</v>
      </c>
      <c r="F123" s="10">
        <f t="shared" si="0"/>
        <v>0.750324464633355</v>
      </c>
      <c r="G123" s="10">
        <f t="shared" si="1"/>
        <v>0.51738139515309722</v>
      </c>
      <c r="H123" s="10">
        <f t="shared" si="2"/>
        <v>0.38820391832950596</v>
      </c>
      <c r="I123" s="8">
        <v>256</v>
      </c>
      <c r="J123" s="8">
        <v>119.44444757699966</v>
      </c>
      <c r="K123" s="8">
        <v>393</v>
      </c>
      <c r="L123" s="11">
        <f t="shared" si="3"/>
        <v>0.65139949109414763</v>
      </c>
      <c r="M123" s="12">
        <f t="shared" si="4"/>
        <v>0.46657987334765494</v>
      </c>
      <c r="N123" s="13">
        <f t="shared" si="5"/>
        <v>0.30392989205343429</v>
      </c>
      <c r="O123" s="14">
        <f t="shared" si="6"/>
        <v>0.7829129941843086</v>
      </c>
      <c r="P123" s="15"/>
      <c r="Q123" s="15"/>
      <c r="AD123" s="21"/>
    </row>
    <row r="124" spans="1:30" ht="15.75" customHeight="1">
      <c r="A124" s="8">
        <v>30303</v>
      </c>
      <c r="B124" s="9" t="s">
        <v>138</v>
      </c>
      <c r="C124" s="8">
        <v>14494</v>
      </c>
      <c r="D124" s="8">
        <v>7321.4446415603161</v>
      </c>
      <c r="E124" s="8">
        <v>17253</v>
      </c>
      <c r="F124" s="10">
        <f t="shared" si="0"/>
        <v>0.84008578218280883</v>
      </c>
      <c r="G124" s="10">
        <f t="shared" si="1"/>
        <v>0.50513623855114642</v>
      </c>
      <c r="H124" s="10">
        <f t="shared" si="2"/>
        <v>0.42435777207212177</v>
      </c>
      <c r="I124" s="8">
        <v>243</v>
      </c>
      <c r="J124" s="8">
        <v>115.22222569584846</v>
      </c>
      <c r="K124" s="8">
        <v>303</v>
      </c>
      <c r="L124" s="11">
        <f t="shared" si="3"/>
        <v>0.80198019801980203</v>
      </c>
      <c r="M124" s="12">
        <f t="shared" si="4"/>
        <v>0.47416553784299781</v>
      </c>
      <c r="N124" s="13">
        <f t="shared" si="5"/>
        <v>0.38027137193349331</v>
      </c>
      <c r="O124" s="14">
        <f t="shared" si="6"/>
        <v>0.89611030352205789</v>
      </c>
      <c r="P124" s="15"/>
      <c r="Q124" s="15"/>
      <c r="AD124" s="21"/>
    </row>
    <row r="125" spans="1:30" ht="15.75" customHeight="1">
      <c r="A125" s="8">
        <v>30401</v>
      </c>
      <c r="B125" s="9" t="s">
        <v>139</v>
      </c>
      <c r="C125" s="8">
        <v>2794</v>
      </c>
      <c r="D125" s="8">
        <v>1313.5555914342403</v>
      </c>
      <c r="E125" s="8">
        <v>6363</v>
      </c>
      <c r="F125" s="10">
        <f t="shared" si="0"/>
        <v>0.43910105296243912</v>
      </c>
      <c r="G125" s="10">
        <f t="shared" si="1"/>
        <v>0.47013442785763793</v>
      </c>
      <c r="H125" s="10">
        <f t="shared" si="2"/>
        <v>0.20643652230618267</v>
      </c>
      <c r="I125" s="8">
        <v>155</v>
      </c>
      <c r="J125" s="8">
        <v>65.666667968034744</v>
      </c>
      <c r="K125" s="8">
        <v>1449</v>
      </c>
      <c r="L125" s="11">
        <f t="shared" si="3"/>
        <v>0.1069703243616287</v>
      </c>
      <c r="M125" s="12">
        <f t="shared" si="4"/>
        <v>0.42365592237441768</v>
      </c>
      <c r="N125" s="13">
        <f t="shared" si="5"/>
        <v>4.5318611434116453E-2</v>
      </c>
      <c r="O125" s="14">
        <f t="shared" si="6"/>
        <v>0.21952807055575543</v>
      </c>
      <c r="P125" s="15"/>
      <c r="Q125" s="15"/>
      <c r="AD125" s="21"/>
    </row>
    <row r="126" spans="1:30" ht="15.75" customHeight="1">
      <c r="A126" s="8">
        <v>30402</v>
      </c>
      <c r="B126" s="9" t="s">
        <v>140</v>
      </c>
      <c r="C126" s="8">
        <v>4925</v>
      </c>
      <c r="D126" s="8">
        <v>2418.3333997130394</v>
      </c>
      <c r="E126" s="8">
        <v>6836</v>
      </c>
      <c r="F126" s="10">
        <f t="shared" si="0"/>
        <v>0.72045055588063189</v>
      </c>
      <c r="G126" s="10">
        <f t="shared" si="1"/>
        <v>0.49103216237828212</v>
      </c>
      <c r="H126" s="10">
        <f t="shared" si="2"/>
        <v>0.35376439434070206</v>
      </c>
      <c r="I126" s="8">
        <v>116</v>
      </c>
      <c r="J126" s="8">
        <v>51.111112594604492</v>
      </c>
      <c r="K126" s="8">
        <v>325</v>
      </c>
      <c r="L126" s="11">
        <f t="shared" si="3"/>
        <v>0.3569230769230769</v>
      </c>
      <c r="M126" s="12">
        <f t="shared" si="4"/>
        <v>0.44061303960865944</v>
      </c>
      <c r="N126" s="13">
        <f t="shared" si="5"/>
        <v>0.15726496182955227</v>
      </c>
      <c r="O126" s="14">
        <f t="shared" si="6"/>
        <v>0.4445471741797003</v>
      </c>
      <c r="P126" s="15"/>
      <c r="Q126" s="15"/>
      <c r="AD126" s="21"/>
    </row>
    <row r="127" spans="1:30" ht="15.75" customHeight="1">
      <c r="A127" s="8">
        <v>30403</v>
      </c>
      <c r="B127" s="9" t="s">
        <v>141</v>
      </c>
      <c r="C127" s="8">
        <v>5902</v>
      </c>
      <c r="D127" s="8">
        <v>2644.5556252896786</v>
      </c>
      <c r="E127" s="8">
        <v>14387</v>
      </c>
      <c r="F127" s="10">
        <f t="shared" si="0"/>
        <v>0.41023145895600194</v>
      </c>
      <c r="G127" s="10">
        <f t="shared" si="1"/>
        <v>0.44807787619276152</v>
      </c>
      <c r="H127" s="10">
        <f t="shared" si="2"/>
        <v>0.18381564087646338</v>
      </c>
      <c r="I127" s="8">
        <v>915</v>
      </c>
      <c r="J127" s="8">
        <v>379.88889789581299</v>
      </c>
      <c r="K127" s="8">
        <v>2756</v>
      </c>
      <c r="L127" s="11">
        <f t="shared" si="3"/>
        <v>0.33200290275761973</v>
      </c>
      <c r="M127" s="12">
        <f t="shared" si="4"/>
        <v>0.41517912338340218</v>
      </c>
      <c r="N127" s="13">
        <f t="shared" si="5"/>
        <v>0.13784067412765347</v>
      </c>
      <c r="O127" s="14">
        <f t="shared" si="6"/>
        <v>0.74988544756260311</v>
      </c>
      <c r="P127" s="15"/>
      <c r="Q127" s="15"/>
      <c r="AD127" s="21"/>
    </row>
    <row r="128" spans="1:30" ht="15.75" customHeight="1">
      <c r="A128" s="8">
        <v>30404</v>
      </c>
      <c r="B128" s="9" t="s">
        <v>142</v>
      </c>
      <c r="C128" s="8">
        <v>2547</v>
      </c>
      <c r="D128" s="8">
        <v>1197.1111423373222</v>
      </c>
      <c r="E128" s="8">
        <v>4069</v>
      </c>
      <c r="F128" s="10">
        <f t="shared" si="0"/>
        <v>0.62595232243794541</v>
      </c>
      <c r="G128" s="10">
        <f t="shared" si="1"/>
        <v>0.47000830087841472</v>
      </c>
      <c r="H128" s="10">
        <f t="shared" si="2"/>
        <v>0.29420278749995632</v>
      </c>
      <c r="I128" s="8">
        <v>157</v>
      </c>
      <c r="J128" s="8">
        <v>68.777779102325439</v>
      </c>
      <c r="K128" s="8">
        <v>254</v>
      </c>
      <c r="L128" s="11">
        <f t="shared" si="3"/>
        <v>0.61811023622047245</v>
      </c>
      <c r="M128" s="12">
        <f t="shared" si="4"/>
        <v>0.43807502612946142</v>
      </c>
      <c r="N128" s="13">
        <f t="shared" si="5"/>
        <v>0.27077865788317101</v>
      </c>
      <c r="O128" s="14">
        <f t="shared" si="6"/>
        <v>0.92038100720990357</v>
      </c>
      <c r="P128" s="15"/>
      <c r="Q128" s="15"/>
      <c r="AD128" s="21"/>
    </row>
    <row r="129" spans="1:30" ht="15.75" customHeight="1">
      <c r="A129" s="8">
        <v>30501</v>
      </c>
      <c r="B129" s="9" t="s">
        <v>143</v>
      </c>
      <c r="C129" s="8">
        <v>2564</v>
      </c>
      <c r="D129" s="8">
        <v>1122.1111408174038</v>
      </c>
      <c r="E129" s="8">
        <v>8550</v>
      </c>
      <c r="F129" s="10">
        <f t="shared" si="0"/>
        <v>0.29988304093567253</v>
      </c>
      <c r="G129" s="10">
        <f t="shared" si="1"/>
        <v>0.4376408505528096</v>
      </c>
      <c r="H129" s="10">
        <f t="shared" si="2"/>
        <v>0.13124106910145075</v>
      </c>
      <c r="I129" s="8">
        <v>70</v>
      </c>
      <c r="J129" s="8">
        <v>26.333333969116211</v>
      </c>
      <c r="K129" s="8">
        <v>854</v>
      </c>
      <c r="L129" s="11">
        <f t="shared" si="3"/>
        <v>8.1967213114754092E-2</v>
      </c>
      <c r="M129" s="12">
        <f t="shared" si="4"/>
        <v>0.37619048527308874</v>
      </c>
      <c r="N129" s="13">
        <f t="shared" si="5"/>
        <v>3.0835285678122024E-2</v>
      </c>
      <c r="O129" s="14">
        <f t="shared" si="6"/>
        <v>0.23495149718938985</v>
      </c>
      <c r="P129" s="15"/>
      <c r="Q129" s="15"/>
      <c r="AD129" s="21"/>
    </row>
    <row r="130" spans="1:30" ht="15.75" customHeight="1">
      <c r="A130" s="8">
        <v>30502</v>
      </c>
      <c r="B130" s="9" t="s">
        <v>144</v>
      </c>
      <c r="C130" s="8">
        <v>4624</v>
      </c>
      <c r="D130" s="8">
        <v>2057.3333869874477</v>
      </c>
      <c r="E130" s="8">
        <v>8635</v>
      </c>
      <c r="F130" s="10">
        <f t="shared" si="0"/>
        <v>0.53549507817023745</v>
      </c>
      <c r="G130" s="10">
        <f t="shared" si="1"/>
        <v>0.44492504043846187</v>
      </c>
      <c r="H130" s="10">
        <f t="shared" si="2"/>
        <v>0.2382551693094902</v>
      </c>
      <c r="I130" s="8">
        <v>117</v>
      </c>
      <c r="J130" s="8">
        <v>51.222223550081253</v>
      </c>
      <c r="K130" s="8">
        <v>272</v>
      </c>
      <c r="L130" s="11">
        <f t="shared" si="3"/>
        <v>0.43014705882352944</v>
      </c>
      <c r="M130" s="12">
        <f t="shared" si="4"/>
        <v>0.43779678247932696</v>
      </c>
      <c r="N130" s="13">
        <f t="shared" si="5"/>
        <v>0.18831699834588697</v>
      </c>
      <c r="O130" s="14">
        <f t="shared" si="6"/>
        <v>0.79040047228215971</v>
      </c>
      <c r="P130" s="15"/>
      <c r="Q130" s="15"/>
      <c r="AD130" s="21"/>
    </row>
    <row r="131" spans="1:30" ht="15.75" customHeight="1">
      <c r="A131" s="8">
        <v>30601</v>
      </c>
      <c r="B131" s="9" t="s">
        <v>145</v>
      </c>
      <c r="C131" s="8">
        <v>8380</v>
      </c>
      <c r="D131" s="8">
        <v>4312.4445621371269</v>
      </c>
      <c r="E131" s="8">
        <v>10314</v>
      </c>
      <c r="F131" s="10">
        <f t="shared" si="0"/>
        <v>0.81248788055070775</v>
      </c>
      <c r="G131" s="10">
        <f t="shared" si="1"/>
        <v>0.51461152292805812</v>
      </c>
      <c r="H131" s="10">
        <f t="shared" si="2"/>
        <v>0.41811562557078991</v>
      </c>
      <c r="I131" s="8">
        <v>84</v>
      </c>
      <c r="J131" s="8">
        <v>33.888889908790588</v>
      </c>
      <c r="K131" s="8">
        <v>172</v>
      </c>
      <c r="L131" s="11">
        <f t="shared" si="3"/>
        <v>0.48837209302325579</v>
      </c>
      <c r="M131" s="12">
        <f t="shared" si="4"/>
        <v>0.40343916558084036</v>
      </c>
      <c r="N131" s="13">
        <f t="shared" si="5"/>
        <v>0.19702842970227086</v>
      </c>
      <c r="O131" s="14">
        <f t="shared" si="6"/>
        <v>0.47122952994951528</v>
      </c>
      <c r="P131" s="15"/>
      <c r="Q131" s="15"/>
      <c r="AD131" s="21"/>
    </row>
    <row r="132" spans="1:30" ht="15.75" customHeight="1">
      <c r="A132" s="8">
        <v>30602</v>
      </c>
      <c r="B132" s="9" t="s">
        <v>146</v>
      </c>
      <c r="C132" s="8">
        <v>6975</v>
      </c>
      <c r="D132" s="8">
        <v>3123.5556356012821</v>
      </c>
      <c r="E132" s="8">
        <v>9858</v>
      </c>
      <c r="F132" s="10">
        <f t="shared" si="0"/>
        <v>0.70754716981132071</v>
      </c>
      <c r="G132" s="10">
        <f t="shared" si="1"/>
        <v>0.44782159650197595</v>
      </c>
      <c r="H132" s="10">
        <f t="shared" si="2"/>
        <v>0.3168549031853603</v>
      </c>
      <c r="I132" s="8">
        <v>130</v>
      </c>
      <c r="J132" s="8">
        <v>50.000001162290573</v>
      </c>
      <c r="K132" s="8">
        <v>253</v>
      </c>
      <c r="L132" s="11">
        <f t="shared" si="3"/>
        <v>0.51383399209486169</v>
      </c>
      <c r="M132" s="12">
        <f t="shared" si="4"/>
        <v>0.38461539355608132</v>
      </c>
      <c r="N132" s="13">
        <f t="shared" si="5"/>
        <v>0.19762846309205762</v>
      </c>
      <c r="O132" s="14">
        <f t="shared" si="6"/>
        <v>0.62371912539552798</v>
      </c>
      <c r="P132" s="15"/>
      <c r="Q132" s="15"/>
      <c r="AD132" s="21"/>
    </row>
    <row r="133" spans="1:30" ht="15.75" customHeight="1">
      <c r="A133" s="8">
        <v>30701</v>
      </c>
      <c r="B133" s="9" t="s">
        <v>147</v>
      </c>
      <c r="C133" s="8">
        <v>6110</v>
      </c>
      <c r="D133" s="8">
        <v>2788.6667372584343</v>
      </c>
      <c r="E133" s="8">
        <v>16266</v>
      </c>
      <c r="F133" s="10">
        <f t="shared" si="0"/>
        <v>0.37563014877658918</v>
      </c>
      <c r="G133" s="10">
        <f t="shared" si="1"/>
        <v>0.45641026796373718</v>
      </c>
      <c r="H133" s="10">
        <f t="shared" si="2"/>
        <v>0.17144145685838152</v>
      </c>
      <c r="I133" s="8">
        <v>481</v>
      </c>
      <c r="J133" s="8">
        <v>201.55556041002274</v>
      </c>
      <c r="K133" s="8">
        <v>2915</v>
      </c>
      <c r="L133" s="11">
        <f t="shared" si="3"/>
        <v>0.16500857632933105</v>
      </c>
      <c r="M133" s="12">
        <f t="shared" si="4"/>
        <v>0.41903442912686639</v>
      </c>
      <c r="N133" s="13">
        <f t="shared" si="5"/>
        <v>6.914427458319819E-2</v>
      </c>
      <c r="O133" s="14">
        <f t="shared" si="6"/>
        <v>0.40331128683953332</v>
      </c>
      <c r="P133" s="15"/>
      <c r="Q133" s="15"/>
      <c r="AD133" s="21"/>
    </row>
    <row r="134" spans="1:30" ht="15.75" customHeight="1">
      <c r="A134" s="8">
        <v>30702</v>
      </c>
      <c r="B134" s="9" t="s">
        <v>148</v>
      </c>
      <c r="C134" s="8">
        <v>2022</v>
      </c>
      <c r="D134" s="8">
        <v>890.44446688890457</v>
      </c>
      <c r="E134" s="8">
        <v>5806</v>
      </c>
      <c r="F134" s="10">
        <f t="shared" si="0"/>
        <v>0.34826042025490872</v>
      </c>
      <c r="G134" s="10">
        <f t="shared" si="1"/>
        <v>0.44037807462359274</v>
      </c>
      <c r="H134" s="10">
        <f t="shared" si="2"/>
        <v>0.15336625333945997</v>
      </c>
      <c r="I134" s="8">
        <v>88</v>
      </c>
      <c r="J134" s="8">
        <v>36.444445580244064</v>
      </c>
      <c r="K134" s="8">
        <v>562</v>
      </c>
      <c r="L134" s="11">
        <f t="shared" si="3"/>
        <v>0.15658362989323843</v>
      </c>
      <c r="M134" s="12">
        <f t="shared" si="4"/>
        <v>0.41414142704822798</v>
      </c>
      <c r="N134" s="13">
        <f t="shared" si="5"/>
        <v>6.4847767936377337E-2</v>
      </c>
      <c r="O134" s="14">
        <f t="shared" si="6"/>
        <v>0.42282944601146166</v>
      </c>
      <c r="P134" s="15"/>
      <c r="Q134" s="15"/>
      <c r="AD134" s="21"/>
    </row>
    <row r="135" spans="1:30" ht="15.75" customHeight="1">
      <c r="A135" s="8">
        <v>30703</v>
      </c>
      <c r="B135" s="9" t="s">
        <v>149</v>
      </c>
      <c r="C135" s="8">
        <v>2102</v>
      </c>
      <c r="D135" s="8">
        <v>996.44447183609009</v>
      </c>
      <c r="E135" s="8">
        <v>3633</v>
      </c>
      <c r="F135" s="10">
        <f t="shared" si="0"/>
        <v>0.57858519130195429</v>
      </c>
      <c r="G135" s="10">
        <f t="shared" si="1"/>
        <v>0.47404589525979546</v>
      </c>
      <c r="H135" s="10">
        <f t="shared" si="2"/>
        <v>0.27427593499479497</v>
      </c>
      <c r="I135" s="8">
        <v>34</v>
      </c>
      <c r="J135" s="8">
        <v>13.777778118848801</v>
      </c>
      <c r="K135" s="8">
        <v>84</v>
      </c>
      <c r="L135" s="11">
        <f t="shared" si="3"/>
        <v>0.40476190476190477</v>
      </c>
      <c r="M135" s="12">
        <f t="shared" si="4"/>
        <v>0.40522876820143533</v>
      </c>
      <c r="N135" s="13">
        <f t="shared" si="5"/>
        <v>0.16402116808153336</v>
      </c>
      <c r="O135" s="14">
        <f t="shared" si="6"/>
        <v>0.59801516339611072</v>
      </c>
      <c r="P135" s="15"/>
      <c r="Q135" s="15"/>
      <c r="AD135" s="21"/>
    </row>
    <row r="136" spans="1:30" ht="15.75" customHeight="1">
      <c r="A136" s="8">
        <v>30801</v>
      </c>
      <c r="B136" s="9" t="s">
        <v>150</v>
      </c>
      <c r="C136" s="8">
        <v>2935</v>
      </c>
      <c r="D136" s="8">
        <v>1108.0000285804272</v>
      </c>
      <c r="E136" s="8">
        <v>18749</v>
      </c>
      <c r="F136" s="10">
        <f t="shared" si="0"/>
        <v>0.1565416822230519</v>
      </c>
      <c r="G136" s="10">
        <f t="shared" si="1"/>
        <v>0.37751278656914045</v>
      </c>
      <c r="H136" s="10">
        <f t="shared" si="2"/>
        <v>5.9096486670245196E-2</v>
      </c>
      <c r="I136" s="8">
        <v>426</v>
      </c>
      <c r="J136" s="8">
        <v>172.88889294862747</v>
      </c>
      <c r="K136" s="8">
        <v>3019</v>
      </c>
      <c r="L136" s="11">
        <f t="shared" si="3"/>
        <v>0.14110632659821132</v>
      </c>
      <c r="M136" s="12">
        <f t="shared" si="4"/>
        <v>0.40584247171039312</v>
      </c>
      <c r="N136" s="13">
        <f t="shared" si="5"/>
        <v>5.7266940360592065E-2</v>
      </c>
      <c r="O136" s="14">
        <f t="shared" si="6"/>
        <v>0.96904136924650208</v>
      </c>
      <c r="P136" s="15"/>
      <c r="Q136" s="15"/>
      <c r="AD136" s="21"/>
    </row>
    <row r="137" spans="1:30" ht="15.75" customHeight="1">
      <c r="A137" s="8">
        <v>30802</v>
      </c>
      <c r="B137" s="9" t="s">
        <v>151</v>
      </c>
      <c r="C137" s="8">
        <v>1946</v>
      </c>
      <c r="D137" s="8">
        <v>807.3333535194397</v>
      </c>
      <c r="E137" s="8">
        <v>6796</v>
      </c>
      <c r="F137" s="10">
        <f t="shared" si="0"/>
        <v>0.28634490876986463</v>
      </c>
      <c r="G137" s="10">
        <f t="shared" si="1"/>
        <v>0.41486811588871514</v>
      </c>
      <c r="H137" s="10">
        <f t="shared" si="2"/>
        <v>0.11879537279567975</v>
      </c>
      <c r="I137" s="8">
        <v>41</v>
      </c>
      <c r="J137" s="8">
        <v>15.444444864988327</v>
      </c>
      <c r="K137" s="8">
        <v>238</v>
      </c>
      <c r="L137" s="11">
        <f t="shared" si="3"/>
        <v>0.17226890756302521</v>
      </c>
      <c r="M137" s="12">
        <f t="shared" si="4"/>
        <v>0.37669377719483726</v>
      </c>
      <c r="N137" s="13">
        <f t="shared" si="5"/>
        <v>6.4892625483144228E-2</v>
      </c>
      <c r="O137" s="14">
        <f t="shared" si="6"/>
        <v>0.54625549763419901</v>
      </c>
      <c r="P137" s="15"/>
      <c r="Q137" s="15"/>
      <c r="AD137" s="21"/>
    </row>
    <row r="138" spans="1:30" ht="15.75" customHeight="1">
      <c r="A138" s="8">
        <v>30803</v>
      </c>
      <c r="B138" s="9" t="s">
        <v>152</v>
      </c>
      <c r="C138" s="8">
        <v>1035</v>
      </c>
      <c r="D138" s="8">
        <v>412.00001016259193</v>
      </c>
      <c r="E138" s="8">
        <v>3953</v>
      </c>
      <c r="F138" s="10">
        <f t="shared" si="0"/>
        <v>0.26182646091576017</v>
      </c>
      <c r="G138" s="10">
        <f t="shared" si="1"/>
        <v>0.39806764266917094</v>
      </c>
      <c r="H138" s="10">
        <f t="shared" si="2"/>
        <v>0.10422464208514848</v>
      </c>
      <c r="I138" s="8">
        <v>192</v>
      </c>
      <c r="J138" s="8">
        <v>68.66666841506958</v>
      </c>
      <c r="K138" s="8">
        <v>1177</v>
      </c>
      <c r="L138" s="11">
        <f t="shared" si="3"/>
        <v>0.16312659303313509</v>
      </c>
      <c r="M138" s="12">
        <f t="shared" si="4"/>
        <v>0.35763889799515408</v>
      </c>
      <c r="N138" s="13">
        <f t="shared" si="5"/>
        <v>5.8340414966074415E-2</v>
      </c>
      <c r="O138" s="14">
        <f t="shared" si="6"/>
        <v>0.55975644337940744</v>
      </c>
      <c r="P138" s="15"/>
      <c r="Q138" s="15"/>
      <c r="AD138" s="21"/>
    </row>
    <row r="139" spans="1:30" ht="15.75" customHeight="1">
      <c r="A139" s="8">
        <v>30901</v>
      </c>
      <c r="B139" s="9" t="s">
        <v>153</v>
      </c>
      <c r="C139" s="8">
        <v>15745</v>
      </c>
      <c r="D139" s="8">
        <v>6427.7779437303543</v>
      </c>
      <c r="E139" s="8">
        <v>76611</v>
      </c>
      <c r="F139" s="10">
        <f t="shared" si="0"/>
        <v>0.20551878972993434</v>
      </c>
      <c r="G139" s="10">
        <f t="shared" si="1"/>
        <v>0.40824248610545277</v>
      </c>
      <c r="H139" s="10">
        <f t="shared" si="2"/>
        <v>8.3901501660732195E-2</v>
      </c>
      <c r="I139" s="8">
        <v>5944</v>
      </c>
      <c r="J139" s="8">
        <v>2217.3333900272846</v>
      </c>
      <c r="K139" s="8">
        <v>58248</v>
      </c>
      <c r="L139" s="11">
        <f t="shared" si="3"/>
        <v>0.10204642219475346</v>
      </c>
      <c r="M139" s="12">
        <f t="shared" si="4"/>
        <v>0.37303724596690524</v>
      </c>
      <c r="N139" s="13">
        <f t="shared" si="5"/>
        <v>3.8067116296306908E-2</v>
      </c>
      <c r="O139" s="14">
        <f t="shared" si="6"/>
        <v>0.45371197824607212</v>
      </c>
      <c r="P139" s="15"/>
      <c r="Q139" s="15"/>
      <c r="AD139" s="21"/>
    </row>
    <row r="140" spans="1:30" ht="15.75" customHeight="1">
      <c r="A140" s="8">
        <v>30902</v>
      </c>
      <c r="B140" s="9" t="s">
        <v>154</v>
      </c>
      <c r="C140" s="8">
        <v>9876</v>
      </c>
      <c r="D140" s="8">
        <v>4499.1112277507782</v>
      </c>
      <c r="E140" s="8">
        <v>32092</v>
      </c>
      <c r="F140" s="10">
        <f t="shared" si="0"/>
        <v>0.3077402467904774</v>
      </c>
      <c r="G140" s="10">
        <f t="shared" si="1"/>
        <v>0.45556006761348505</v>
      </c>
      <c r="H140" s="10">
        <f t="shared" si="2"/>
        <v>0.14019416763526046</v>
      </c>
      <c r="I140" s="8">
        <v>1189</v>
      </c>
      <c r="J140" s="8">
        <v>462.66667857766151</v>
      </c>
      <c r="K140" s="8">
        <v>8837</v>
      </c>
      <c r="L140" s="11">
        <f t="shared" si="3"/>
        <v>0.13454792350345141</v>
      </c>
      <c r="M140" s="12">
        <f t="shared" si="4"/>
        <v>0.38912252193243191</v>
      </c>
      <c r="N140" s="13">
        <f t="shared" si="5"/>
        <v>5.2355627314434938E-2</v>
      </c>
      <c r="O140" s="14">
        <f t="shared" si="6"/>
        <v>0.37345082322288342</v>
      </c>
      <c r="P140" s="15"/>
      <c r="Q140" s="15"/>
      <c r="AD140" s="21"/>
    </row>
    <row r="141" spans="1:30" ht="15.75" customHeight="1">
      <c r="A141" s="8">
        <v>30903</v>
      </c>
      <c r="B141" s="9" t="s">
        <v>155</v>
      </c>
      <c r="C141" s="8">
        <v>9224</v>
      </c>
      <c r="D141" s="8">
        <v>3874.777878433466</v>
      </c>
      <c r="E141" s="8">
        <v>29562</v>
      </c>
      <c r="F141" s="10">
        <f t="shared" si="0"/>
        <v>0.31202219065015901</v>
      </c>
      <c r="G141" s="10">
        <f t="shared" si="1"/>
        <v>0.42007565898021099</v>
      </c>
      <c r="H141" s="10">
        <f t="shared" si="2"/>
        <v>0.13107292735381457</v>
      </c>
      <c r="I141" s="8">
        <v>3684</v>
      </c>
      <c r="J141" s="8">
        <v>1388.4444797039032</v>
      </c>
      <c r="K141" s="8">
        <v>23258</v>
      </c>
      <c r="L141" s="11">
        <f t="shared" si="3"/>
        <v>0.15839711067159687</v>
      </c>
      <c r="M141" s="12">
        <f t="shared" si="4"/>
        <v>0.37688503792179784</v>
      </c>
      <c r="N141" s="13">
        <f t="shared" si="5"/>
        <v>5.9697501062167993E-2</v>
      </c>
      <c r="O141" s="14">
        <f t="shared" si="6"/>
        <v>0.45545256573863069</v>
      </c>
      <c r="P141" s="15"/>
      <c r="Q141" s="15"/>
      <c r="AD141" s="21"/>
    </row>
    <row r="142" spans="1:30" ht="15.75" customHeight="1">
      <c r="A142" s="8">
        <v>30904</v>
      </c>
      <c r="B142" s="9" t="s">
        <v>156</v>
      </c>
      <c r="C142" s="8">
        <v>11462</v>
      </c>
      <c r="D142" s="8">
        <v>4716.5556752383709</v>
      </c>
      <c r="E142" s="8">
        <v>36735</v>
      </c>
      <c r="F142" s="10">
        <f t="shared" si="0"/>
        <v>0.31201851095685312</v>
      </c>
      <c r="G142" s="10">
        <f t="shared" si="1"/>
        <v>0.41149499871212447</v>
      </c>
      <c r="H142" s="10">
        <f t="shared" si="2"/>
        <v>0.12839405676434928</v>
      </c>
      <c r="I142" s="8">
        <v>2300</v>
      </c>
      <c r="J142" s="8">
        <v>896.11113351583481</v>
      </c>
      <c r="K142" s="8">
        <v>14669</v>
      </c>
      <c r="L142" s="11">
        <f t="shared" si="3"/>
        <v>0.15679323743949827</v>
      </c>
      <c r="M142" s="12">
        <f t="shared" si="4"/>
        <v>0.38961353631123252</v>
      </c>
      <c r="N142" s="13">
        <f t="shared" si="5"/>
        <v>6.1088767708489665E-2</v>
      </c>
      <c r="O142" s="14">
        <f t="shared" si="6"/>
        <v>0.47579124180654414</v>
      </c>
      <c r="P142" s="15"/>
      <c r="Q142" s="15"/>
      <c r="AD142" s="21"/>
    </row>
    <row r="143" spans="1:30" ht="15.75" customHeight="1">
      <c r="A143" s="8">
        <v>30905</v>
      </c>
      <c r="B143" s="9" t="s">
        <v>157</v>
      </c>
      <c r="C143" s="8">
        <v>3120</v>
      </c>
      <c r="D143" s="8">
        <v>1175.5555844604969</v>
      </c>
      <c r="E143" s="8">
        <v>23376</v>
      </c>
      <c r="F143" s="10">
        <f t="shared" si="0"/>
        <v>0.13347022587268995</v>
      </c>
      <c r="G143" s="10">
        <f t="shared" si="1"/>
        <v>0.37678063604503104</v>
      </c>
      <c r="H143" s="10">
        <f t="shared" si="2"/>
        <v>5.0288996597386074E-2</v>
      </c>
      <c r="I143" s="8">
        <v>2258</v>
      </c>
      <c r="J143" s="8">
        <v>826.66668713092804</v>
      </c>
      <c r="K143" s="8">
        <v>27943</v>
      </c>
      <c r="L143" s="11">
        <f t="shared" si="3"/>
        <v>8.0807357835593882E-2</v>
      </c>
      <c r="M143" s="12">
        <f t="shared" si="4"/>
        <v>0.36610570732104875</v>
      </c>
      <c r="N143" s="13">
        <f t="shared" si="5"/>
        <v>2.958403489714519E-2</v>
      </c>
      <c r="O143" s="14">
        <f t="shared" si="6"/>
        <v>0.58828047682070694</v>
      </c>
      <c r="P143" s="15"/>
      <c r="Q143" s="15"/>
      <c r="AD143" s="21"/>
    </row>
    <row r="144" spans="1:30" ht="15.75" customHeight="1">
      <c r="A144" s="8">
        <v>31001</v>
      </c>
      <c r="B144" s="9" t="s">
        <v>158</v>
      </c>
      <c r="C144" s="8">
        <v>31522</v>
      </c>
      <c r="D144" s="8">
        <v>13050.667000710964</v>
      </c>
      <c r="E144" s="8">
        <v>103444</v>
      </c>
      <c r="F144" s="10">
        <f t="shared" si="0"/>
        <v>0.30472526197749505</v>
      </c>
      <c r="G144" s="10">
        <f t="shared" si="1"/>
        <v>0.41401773366889677</v>
      </c>
      <c r="H144" s="10">
        <f t="shared" si="2"/>
        <v>0.12616166235558335</v>
      </c>
      <c r="I144" s="8">
        <v>8200</v>
      </c>
      <c r="J144" s="8">
        <v>3166.5556348562241</v>
      </c>
      <c r="K144" s="8">
        <v>66292</v>
      </c>
      <c r="L144" s="11">
        <f t="shared" si="3"/>
        <v>0.12369516683762746</v>
      </c>
      <c r="M144" s="12">
        <f t="shared" si="4"/>
        <v>0.38616532132392978</v>
      </c>
      <c r="N144" s="13">
        <f t="shared" si="5"/>
        <v>4.7766783848069511E-2</v>
      </c>
      <c r="O144" s="14">
        <f t="shared" si="6"/>
        <v>0.378615682103491</v>
      </c>
      <c r="P144" s="15"/>
      <c r="Q144" s="15"/>
      <c r="AD144" s="21"/>
    </row>
    <row r="145" spans="1:30" ht="15.75" customHeight="1">
      <c r="A145" s="8">
        <v>31002</v>
      </c>
      <c r="B145" s="9" t="s">
        <v>159</v>
      </c>
      <c r="C145" s="8">
        <v>7505</v>
      </c>
      <c r="D145" s="8">
        <v>3409.1111972033978</v>
      </c>
      <c r="E145" s="8">
        <v>17573</v>
      </c>
      <c r="F145" s="10">
        <f t="shared" si="0"/>
        <v>0.42707562738291699</v>
      </c>
      <c r="G145" s="10">
        <f t="shared" si="1"/>
        <v>0.45424532940751466</v>
      </c>
      <c r="H145" s="10">
        <f t="shared" si="2"/>
        <v>0.19399710904247411</v>
      </c>
      <c r="I145" s="8">
        <v>321</v>
      </c>
      <c r="J145" s="8">
        <v>135.22222545742989</v>
      </c>
      <c r="K145" s="8">
        <v>1160</v>
      </c>
      <c r="L145" s="11">
        <f t="shared" si="3"/>
        <v>0.27672413793103451</v>
      </c>
      <c r="M145" s="12">
        <f t="shared" si="4"/>
        <v>0.42125303880819281</v>
      </c>
      <c r="N145" s="13">
        <f t="shared" si="5"/>
        <v>0.11657088401502579</v>
      </c>
      <c r="O145" s="14">
        <f t="shared" si="6"/>
        <v>0.60088979980368429</v>
      </c>
      <c r="P145" s="15"/>
      <c r="Q145" s="15"/>
      <c r="AD145" s="21"/>
    </row>
    <row r="146" spans="1:30" ht="15.75" customHeight="1">
      <c r="A146" s="8">
        <v>31003</v>
      </c>
      <c r="B146" s="9" t="s">
        <v>160</v>
      </c>
      <c r="C146" s="8">
        <v>37703</v>
      </c>
      <c r="D146" s="8">
        <v>17055.22264868021</v>
      </c>
      <c r="E146" s="8">
        <v>61430</v>
      </c>
      <c r="F146" s="10">
        <f t="shared" si="0"/>
        <v>0.61375549405827767</v>
      </c>
      <c r="G146" s="10">
        <f t="shared" si="1"/>
        <v>0.45235717711270218</v>
      </c>
      <c r="H146" s="10">
        <f t="shared" si="2"/>
        <v>0.27763670272961433</v>
      </c>
      <c r="I146" s="8">
        <v>3181</v>
      </c>
      <c r="J146" s="8">
        <v>1360.888922482729</v>
      </c>
      <c r="K146" s="8">
        <v>7775</v>
      </c>
      <c r="L146" s="11">
        <f t="shared" si="3"/>
        <v>0.40913183279742765</v>
      </c>
      <c r="M146" s="12">
        <f t="shared" si="4"/>
        <v>0.42781795739790285</v>
      </c>
      <c r="N146" s="13">
        <f t="shared" si="5"/>
        <v>0.1750339450138558</v>
      </c>
      <c r="O146" s="14">
        <f t="shared" si="6"/>
        <v>0.63044238493322835</v>
      </c>
      <c r="P146" s="15"/>
      <c r="Q146" s="15"/>
      <c r="AD146" s="21"/>
    </row>
    <row r="147" spans="1:30" ht="15.75" customHeight="1">
      <c r="A147" s="8">
        <v>31101</v>
      </c>
      <c r="B147" s="9" t="s">
        <v>161</v>
      </c>
      <c r="C147" s="8">
        <v>19373</v>
      </c>
      <c r="D147" s="8">
        <v>9824.2224867641926</v>
      </c>
      <c r="E147" s="8">
        <v>23928</v>
      </c>
      <c r="F147" s="10">
        <f t="shared" si="0"/>
        <v>0.80963724506853896</v>
      </c>
      <c r="G147" s="10">
        <f t="shared" si="1"/>
        <v>0.50710899121272868</v>
      </c>
      <c r="H147" s="10">
        <f t="shared" si="2"/>
        <v>0.41057432659495957</v>
      </c>
      <c r="I147" s="8">
        <v>308</v>
      </c>
      <c r="J147" s="8">
        <v>139.66667053103447</v>
      </c>
      <c r="K147" s="8">
        <v>473</v>
      </c>
      <c r="L147" s="11">
        <f t="shared" si="3"/>
        <v>0.65116279069767447</v>
      </c>
      <c r="M147" s="12">
        <f t="shared" si="4"/>
        <v>0.45346321600985218</v>
      </c>
      <c r="N147" s="13">
        <f t="shared" si="5"/>
        <v>0.2952783732157177</v>
      </c>
      <c r="O147" s="14">
        <f t="shared" si="6"/>
        <v>0.71918372408856479</v>
      </c>
      <c r="P147" s="15"/>
      <c r="Q147" s="15"/>
      <c r="AD147" s="21"/>
    </row>
    <row r="148" spans="1:30" ht="15.75" customHeight="1">
      <c r="A148" s="8">
        <v>31201</v>
      </c>
      <c r="B148" s="9" t="s">
        <v>162</v>
      </c>
      <c r="C148" s="8">
        <v>10086</v>
      </c>
      <c r="D148" s="8">
        <v>5138.5556917786598</v>
      </c>
      <c r="E148" s="8">
        <v>13968</v>
      </c>
      <c r="F148" s="10">
        <f t="shared" si="0"/>
        <v>0.72207903780068727</v>
      </c>
      <c r="G148" s="10">
        <f t="shared" si="1"/>
        <v>0.50947409198677973</v>
      </c>
      <c r="H148" s="10">
        <f t="shared" si="2"/>
        <v>0.36788056212619274</v>
      </c>
      <c r="I148" s="8">
        <v>247</v>
      </c>
      <c r="J148" s="8">
        <v>104.88889163732529</v>
      </c>
      <c r="K148" s="8">
        <v>556</v>
      </c>
      <c r="L148" s="11">
        <f t="shared" si="3"/>
        <v>0.44424460431654678</v>
      </c>
      <c r="M148" s="12">
        <f t="shared" si="4"/>
        <v>0.42465138314706596</v>
      </c>
      <c r="N148" s="13">
        <f t="shared" si="5"/>
        <v>0.18864908567864261</v>
      </c>
      <c r="O148" s="14">
        <f t="shared" si="6"/>
        <v>0.51279981901824701</v>
      </c>
      <c r="P148" s="15"/>
      <c r="Q148" s="15"/>
      <c r="AD148" s="21"/>
    </row>
    <row r="149" spans="1:30" ht="15.75" customHeight="1">
      <c r="A149" s="8">
        <v>31202</v>
      </c>
      <c r="B149" s="9" t="s">
        <v>163</v>
      </c>
      <c r="C149" s="8">
        <v>6858</v>
      </c>
      <c r="D149" s="8">
        <v>3502.2223177552223</v>
      </c>
      <c r="E149" s="8">
        <v>9477</v>
      </c>
      <c r="F149" s="10">
        <f t="shared" si="0"/>
        <v>0.72364672364672367</v>
      </c>
      <c r="G149" s="10">
        <f t="shared" si="1"/>
        <v>0.51067692005762944</v>
      </c>
      <c r="H149" s="10">
        <f t="shared" si="2"/>
        <v>0.36954968004170335</v>
      </c>
      <c r="I149" s="8">
        <v>319</v>
      </c>
      <c r="J149" s="8">
        <v>149.11111521720886</v>
      </c>
      <c r="K149" s="8">
        <v>595</v>
      </c>
      <c r="L149" s="11">
        <f t="shared" si="3"/>
        <v>0.53613445378151259</v>
      </c>
      <c r="M149" s="12">
        <f t="shared" si="4"/>
        <v>0.46743296306335069</v>
      </c>
      <c r="N149" s="13">
        <f t="shared" si="5"/>
        <v>0.2506069163314435</v>
      </c>
      <c r="O149" s="14">
        <f t="shared" si="6"/>
        <v>0.67814134300742113</v>
      </c>
      <c r="P149" s="15"/>
      <c r="Q149" s="15"/>
      <c r="AD149" s="21"/>
    </row>
    <row r="150" spans="1:30" ht="15.75" customHeight="1">
      <c r="A150" s="8">
        <v>31203</v>
      </c>
      <c r="B150" s="9" t="s">
        <v>164</v>
      </c>
      <c r="C150" s="8">
        <v>5321</v>
      </c>
      <c r="D150" s="8">
        <v>2373.000059813261</v>
      </c>
      <c r="E150" s="8">
        <v>10204</v>
      </c>
      <c r="F150" s="10">
        <f t="shared" si="0"/>
        <v>0.52146217169737363</v>
      </c>
      <c r="G150" s="10">
        <f t="shared" si="1"/>
        <v>0.4459688140975871</v>
      </c>
      <c r="H150" s="10">
        <f t="shared" si="2"/>
        <v>0.23255586630863007</v>
      </c>
      <c r="I150" s="8">
        <v>122</v>
      </c>
      <c r="J150" s="8">
        <v>53.666668027639389</v>
      </c>
      <c r="K150" s="8">
        <v>334</v>
      </c>
      <c r="L150" s="11">
        <f t="shared" si="3"/>
        <v>0.3652694610778443</v>
      </c>
      <c r="M150" s="12">
        <f t="shared" si="4"/>
        <v>0.43989072153802777</v>
      </c>
      <c r="N150" s="13">
        <f t="shared" si="5"/>
        <v>0.16067864678933949</v>
      </c>
      <c r="O150" s="14">
        <f t="shared" si="6"/>
        <v>0.69092493489757545</v>
      </c>
      <c r="P150" s="15"/>
      <c r="Q150" s="15"/>
      <c r="AD150" s="21"/>
    </row>
    <row r="151" spans="1:30" ht="15.75" customHeight="1">
      <c r="A151" s="8">
        <v>31204</v>
      </c>
      <c r="B151" s="9" t="s">
        <v>165</v>
      </c>
      <c r="C151" s="8">
        <v>9819</v>
      </c>
      <c r="D151" s="8">
        <v>4512.3334506750107</v>
      </c>
      <c r="E151" s="8">
        <v>17220</v>
      </c>
      <c r="F151" s="10">
        <f t="shared" si="0"/>
        <v>0.57020905923344944</v>
      </c>
      <c r="G151" s="10">
        <f t="shared" si="1"/>
        <v>0.4595512221891242</v>
      </c>
      <c r="H151" s="10">
        <f t="shared" si="2"/>
        <v>0.2620402700740424</v>
      </c>
      <c r="I151" s="8">
        <v>1179</v>
      </c>
      <c r="J151" s="8">
        <v>529.00001445412636</v>
      </c>
      <c r="K151" s="8">
        <v>3471</v>
      </c>
      <c r="L151" s="11">
        <f t="shared" si="3"/>
        <v>0.33967156439066554</v>
      </c>
      <c r="M151" s="12">
        <f t="shared" si="4"/>
        <v>0.44868533880757111</v>
      </c>
      <c r="N151" s="13">
        <f t="shared" si="5"/>
        <v>0.15240565095192346</v>
      </c>
      <c r="O151" s="14">
        <f t="shared" si="6"/>
        <v>0.5816115626382905</v>
      </c>
      <c r="P151" s="15"/>
      <c r="Q151" s="15"/>
      <c r="AD151" s="21"/>
    </row>
    <row r="152" spans="1:30" ht="15.75" customHeight="1">
      <c r="A152" s="8">
        <v>31205</v>
      </c>
      <c r="B152" s="9" t="s">
        <v>166</v>
      </c>
      <c r="C152" s="8">
        <v>19911</v>
      </c>
      <c r="D152" s="8">
        <v>8968.778002589941</v>
      </c>
      <c r="E152" s="8">
        <v>39087</v>
      </c>
      <c r="F152" s="10">
        <f t="shared" si="0"/>
        <v>0.50940210300099775</v>
      </c>
      <c r="G152" s="10">
        <f t="shared" si="1"/>
        <v>0.4504433731399699</v>
      </c>
      <c r="H152" s="10">
        <f t="shared" si="2"/>
        <v>0.22945680156036383</v>
      </c>
      <c r="I152" s="8">
        <v>2434</v>
      </c>
      <c r="J152" s="8">
        <v>1049.1111368834972</v>
      </c>
      <c r="K152" s="8">
        <v>6520</v>
      </c>
      <c r="L152" s="11">
        <f t="shared" si="3"/>
        <v>0.37331288343558283</v>
      </c>
      <c r="M152" s="12">
        <f t="shared" si="4"/>
        <v>0.43102347447966199</v>
      </c>
      <c r="N152" s="13">
        <f t="shared" si="5"/>
        <v>0.16090661608642598</v>
      </c>
      <c r="O152" s="14">
        <f t="shared" si="6"/>
        <v>0.7012501481421366</v>
      </c>
      <c r="P152" s="15"/>
      <c r="Q152" s="15"/>
      <c r="AD152" s="21"/>
    </row>
    <row r="153" spans="1:30" ht="15.75" customHeight="1">
      <c r="A153" s="8">
        <v>31206</v>
      </c>
      <c r="B153" s="9" t="s">
        <v>167</v>
      </c>
      <c r="C153" s="8">
        <v>13412</v>
      </c>
      <c r="D153" s="8">
        <v>5946.1112545728683</v>
      </c>
      <c r="E153" s="8">
        <v>25088</v>
      </c>
      <c r="F153" s="10">
        <f t="shared" si="0"/>
        <v>0.5345982142857143</v>
      </c>
      <c r="G153" s="10">
        <f t="shared" si="1"/>
        <v>0.44334262261951002</v>
      </c>
      <c r="H153" s="10">
        <f t="shared" si="2"/>
        <v>0.23701017436913538</v>
      </c>
      <c r="I153" s="8">
        <v>1667</v>
      </c>
      <c r="J153" s="8">
        <v>697.44446137547493</v>
      </c>
      <c r="K153" s="8">
        <v>4496</v>
      </c>
      <c r="L153" s="11">
        <f t="shared" si="3"/>
        <v>0.37077402135231319</v>
      </c>
      <c r="M153" s="12">
        <f t="shared" si="4"/>
        <v>0.41838300022523989</v>
      </c>
      <c r="N153" s="13">
        <f t="shared" si="5"/>
        <v>0.15512554745895796</v>
      </c>
      <c r="O153" s="14">
        <f t="shared" si="6"/>
        <v>0.65451007692756313</v>
      </c>
      <c r="P153" s="15"/>
      <c r="Q153" s="15"/>
      <c r="AD153" s="21"/>
    </row>
    <row r="154" spans="1:30" ht="15.75" customHeight="1">
      <c r="A154" s="8">
        <v>31301</v>
      </c>
      <c r="B154" s="9" t="s">
        <v>168</v>
      </c>
      <c r="C154" s="8">
        <v>10521</v>
      </c>
      <c r="D154" s="8">
        <v>5195.4445815384388</v>
      </c>
      <c r="E154" s="8">
        <v>18426</v>
      </c>
      <c r="F154" s="10">
        <f t="shared" si="0"/>
        <v>0.57098664929990228</v>
      </c>
      <c r="G154" s="10">
        <f t="shared" si="1"/>
        <v>0.49381661263553261</v>
      </c>
      <c r="H154" s="10">
        <f t="shared" si="2"/>
        <v>0.28196269301739058</v>
      </c>
      <c r="I154" s="8">
        <v>246</v>
      </c>
      <c r="J154" s="8">
        <v>106.55555856227875</v>
      </c>
      <c r="K154" s="8">
        <v>1140</v>
      </c>
      <c r="L154" s="11">
        <f t="shared" si="3"/>
        <v>0.21578947368421053</v>
      </c>
      <c r="M154" s="12">
        <f t="shared" si="4"/>
        <v>0.43315267708243393</v>
      </c>
      <c r="N154" s="13">
        <f t="shared" si="5"/>
        <v>9.3469788212525218E-2</v>
      </c>
      <c r="O154" s="14">
        <f t="shared" si="6"/>
        <v>0.33149700484226929</v>
      </c>
      <c r="P154" s="15"/>
      <c r="Q154" s="15"/>
      <c r="AD154" s="21"/>
    </row>
    <row r="155" spans="1:30" ht="15.75" customHeight="1">
      <c r="A155" s="8">
        <v>31302</v>
      </c>
      <c r="B155" s="9" t="s">
        <v>169</v>
      </c>
      <c r="C155" s="8">
        <v>4475</v>
      </c>
      <c r="D155" s="8">
        <v>2462.0000676512718</v>
      </c>
      <c r="E155" s="8">
        <v>5283</v>
      </c>
      <c r="F155" s="10">
        <f t="shared" si="0"/>
        <v>0.84705659663070221</v>
      </c>
      <c r="G155" s="10">
        <f t="shared" si="1"/>
        <v>0.55016761288296578</v>
      </c>
      <c r="H155" s="10">
        <f t="shared" si="2"/>
        <v>0.46602310574508266</v>
      </c>
      <c r="I155" s="8">
        <v>70</v>
      </c>
      <c r="J155" s="8">
        <v>34.111112087965012</v>
      </c>
      <c r="K155" s="8">
        <v>133</v>
      </c>
      <c r="L155" s="11">
        <f t="shared" si="3"/>
        <v>0.52631578947368418</v>
      </c>
      <c r="M155" s="12">
        <f t="shared" si="4"/>
        <v>0.48730160125664301</v>
      </c>
      <c r="N155" s="13">
        <f t="shared" si="5"/>
        <v>0.25647452697718054</v>
      </c>
      <c r="O155" s="14">
        <f t="shared" si="6"/>
        <v>0.55034723346415704</v>
      </c>
      <c r="P155" s="15"/>
      <c r="Q155" s="15"/>
      <c r="AD155" s="21"/>
    </row>
    <row r="156" spans="1:30" ht="15.75" customHeight="1">
      <c r="A156" s="8">
        <v>31303</v>
      </c>
      <c r="B156" s="9" t="s">
        <v>170</v>
      </c>
      <c r="C156" s="8">
        <v>3024</v>
      </c>
      <c r="D156" s="8">
        <v>1615.1111538112164</v>
      </c>
      <c r="E156" s="8">
        <v>3366</v>
      </c>
      <c r="F156" s="10">
        <f t="shared" si="0"/>
        <v>0.89839572192513373</v>
      </c>
      <c r="G156" s="10">
        <f t="shared" si="1"/>
        <v>0.53409760377355042</v>
      </c>
      <c r="H156" s="10">
        <f t="shared" si="2"/>
        <v>0.47983100232062287</v>
      </c>
      <c r="I156" s="8">
        <v>44</v>
      </c>
      <c r="J156" s="8">
        <v>20.666667103767395</v>
      </c>
      <c r="K156" s="8">
        <v>52</v>
      </c>
      <c r="L156" s="11">
        <f t="shared" si="3"/>
        <v>0.84615384615384615</v>
      </c>
      <c r="M156" s="12">
        <f t="shared" si="4"/>
        <v>0.46969697963107715</v>
      </c>
      <c r="N156" s="13">
        <f t="shared" si="5"/>
        <v>0.39743590584168065</v>
      </c>
      <c r="O156" s="14">
        <f t="shared" si="6"/>
        <v>0.82828309117074128</v>
      </c>
      <c r="P156" s="15"/>
      <c r="Q156" s="15"/>
      <c r="AD156" s="21"/>
    </row>
    <row r="157" spans="1:30" ht="15.75" customHeight="1">
      <c r="A157" s="8">
        <v>31304</v>
      </c>
      <c r="B157" s="9" t="s">
        <v>171</v>
      </c>
      <c r="C157" s="8">
        <v>6517</v>
      </c>
      <c r="D157" s="8">
        <v>3910.4445487558842</v>
      </c>
      <c r="E157" s="8">
        <v>6878</v>
      </c>
      <c r="F157" s="10">
        <f t="shared" si="0"/>
        <v>0.9475138121546961</v>
      </c>
      <c r="G157" s="10">
        <f t="shared" si="1"/>
        <v>0.60003752474388283</v>
      </c>
      <c r="H157" s="10">
        <f t="shared" si="2"/>
        <v>0.56854384250594425</v>
      </c>
      <c r="I157" s="8">
        <v>108</v>
      </c>
      <c r="J157" s="8">
        <v>43.44444540143013</v>
      </c>
      <c r="K157" s="8">
        <v>143</v>
      </c>
      <c r="L157" s="11">
        <f t="shared" si="3"/>
        <v>0.75524475524475521</v>
      </c>
      <c r="M157" s="12">
        <f t="shared" si="4"/>
        <v>0.4022633833465753</v>
      </c>
      <c r="N157" s="13">
        <f t="shared" si="5"/>
        <v>0.30380731049951137</v>
      </c>
      <c r="O157" s="14">
        <f t="shared" si="6"/>
        <v>0.53436039191003115</v>
      </c>
      <c r="P157" s="15"/>
      <c r="Q157" s="15"/>
      <c r="AD157" s="21"/>
    </row>
    <row r="158" spans="1:30" ht="15.75" customHeight="1">
      <c r="A158" s="8">
        <v>31401</v>
      </c>
      <c r="B158" s="9" t="s">
        <v>172</v>
      </c>
      <c r="C158" s="8">
        <v>3856</v>
      </c>
      <c r="D158" s="8">
        <v>1493.2222601771355</v>
      </c>
      <c r="E158" s="8">
        <v>22858</v>
      </c>
      <c r="F158" s="10">
        <f t="shared" si="0"/>
        <v>0.16869367398722548</v>
      </c>
      <c r="G158" s="10">
        <f t="shared" si="1"/>
        <v>0.3872464367679293</v>
      </c>
      <c r="H158" s="10">
        <f t="shared" si="2"/>
        <v>6.5326024156843798E-2</v>
      </c>
      <c r="I158" s="8">
        <v>525</v>
      </c>
      <c r="J158" s="8">
        <v>202.88889360427856</v>
      </c>
      <c r="K158" s="8">
        <v>5826</v>
      </c>
      <c r="L158" s="11">
        <f t="shared" si="3"/>
        <v>9.0113285272914526E-2</v>
      </c>
      <c r="M158" s="12">
        <f t="shared" si="4"/>
        <v>0.38645503543672105</v>
      </c>
      <c r="N158" s="13">
        <f t="shared" si="5"/>
        <v>3.4824732853463533E-2</v>
      </c>
      <c r="O158" s="14">
        <f t="shared" si="6"/>
        <v>0.53309126497353454</v>
      </c>
      <c r="P158" s="15"/>
      <c r="Q158" s="15"/>
      <c r="AD158" s="21"/>
    </row>
    <row r="159" spans="1:30" ht="15.75" customHeight="1">
      <c r="A159" s="8">
        <v>31402</v>
      </c>
      <c r="B159" s="9" t="s">
        <v>173</v>
      </c>
      <c r="C159" s="8">
        <v>2268</v>
      </c>
      <c r="D159" s="8">
        <v>893.00002217292786</v>
      </c>
      <c r="E159" s="8">
        <v>7697</v>
      </c>
      <c r="F159" s="10">
        <f t="shared" si="0"/>
        <v>0.2946602572430817</v>
      </c>
      <c r="G159" s="10">
        <f t="shared" si="1"/>
        <v>0.3937389868487336</v>
      </c>
      <c r="H159" s="10">
        <f t="shared" si="2"/>
        <v>0.11601923115147821</v>
      </c>
      <c r="I159" s="8">
        <v>121</v>
      </c>
      <c r="J159" s="8">
        <v>45.55555671453476</v>
      </c>
      <c r="K159" s="8">
        <v>426</v>
      </c>
      <c r="L159" s="11">
        <f t="shared" si="3"/>
        <v>0.284037558685446</v>
      </c>
      <c r="M159" s="12">
        <f t="shared" si="4"/>
        <v>0.37649220425235336</v>
      </c>
      <c r="N159" s="13">
        <f t="shared" si="5"/>
        <v>0.10693792655994074</v>
      </c>
      <c r="O159" s="14">
        <f t="shared" si="6"/>
        <v>0.9217258681909325</v>
      </c>
      <c r="P159" s="15"/>
      <c r="Q159" s="15"/>
      <c r="AD159" s="21"/>
    </row>
    <row r="160" spans="1:30" ht="15.75" customHeight="1">
      <c r="A160" s="8">
        <v>31403</v>
      </c>
      <c r="B160" s="9" t="s">
        <v>174</v>
      </c>
      <c r="C160" s="8">
        <v>2853</v>
      </c>
      <c r="D160" s="8">
        <v>1136.1111390590668</v>
      </c>
      <c r="E160" s="8">
        <v>11768</v>
      </c>
      <c r="F160" s="10">
        <f t="shared" si="0"/>
        <v>0.24243711760707001</v>
      </c>
      <c r="G160" s="10">
        <f t="shared" si="1"/>
        <v>0.39821631232354249</v>
      </c>
      <c r="H160" s="10">
        <f t="shared" si="2"/>
        <v>9.6542414943836391E-2</v>
      </c>
      <c r="I160" s="8">
        <v>276</v>
      </c>
      <c r="J160" s="8">
        <v>109.44444707036018</v>
      </c>
      <c r="K160" s="8">
        <v>1618</v>
      </c>
      <c r="L160" s="11">
        <f t="shared" si="3"/>
        <v>0.17058096415327564</v>
      </c>
      <c r="M160" s="12">
        <f t="shared" si="4"/>
        <v>0.39653785170420358</v>
      </c>
      <c r="N160" s="13">
        <f t="shared" si="5"/>
        <v>6.7641809066971689E-2</v>
      </c>
      <c r="O160" s="14">
        <f t="shared" si="6"/>
        <v>0.7006434333170799</v>
      </c>
      <c r="P160" s="15"/>
      <c r="Q160" s="15"/>
      <c r="AD160" s="21"/>
    </row>
    <row r="161" spans="1:30" ht="15.75" customHeight="1">
      <c r="A161" s="8">
        <v>31404</v>
      </c>
      <c r="B161" s="9" t="s">
        <v>175</v>
      </c>
      <c r="C161" s="8">
        <v>608</v>
      </c>
      <c r="D161" s="8">
        <v>246.00000691413879</v>
      </c>
      <c r="E161" s="8">
        <v>1252</v>
      </c>
      <c r="F161" s="10">
        <f t="shared" si="0"/>
        <v>0.48562300319488816</v>
      </c>
      <c r="G161" s="10">
        <f t="shared" si="1"/>
        <v>0.40460527452983353</v>
      </c>
      <c r="H161" s="10">
        <f t="shared" si="2"/>
        <v>0.19648562852566995</v>
      </c>
      <c r="I161" s="8">
        <v>17</v>
      </c>
      <c r="J161" s="8">
        <v>6.4444445669651031</v>
      </c>
      <c r="K161" s="8">
        <v>44</v>
      </c>
      <c r="L161" s="11">
        <f t="shared" si="3"/>
        <v>0.38636363636363635</v>
      </c>
      <c r="M161" s="12">
        <f t="shared" si="4"/>
        <v>0.37908497452735901</v>
      </c>
      <c r="N161" s="13">
        <f t="shared" si="5"/>
        <v>0.14646464924920688</v>
      </c>
      <c r="O161" s="14">
        <f t="shared" si="6"/>
        <v>0.74542168986202439</v>
      </c>
      <c r="P161" s="15"/>
      <c r="Q161" s="15"/>
      <c r="AD161" s="21"/>
    </row>
    <row r="162" spans="1:30" ht="15.75" customHeight="1">
      <c r="A162" s="8">
        <v>31405</v>
      </c>
      <c r="B162" s="9" t="s">
        <v>176</v>
      </c>
      <c r="C162" s="8">
        <v>1442</v>
      </c>
      <c r="D162" s="8">
        <v>636.11112603545189</v>
      </c>
      <c r="E162" s="8">
        <v>2715</v>
      </c>
      <c r="F162" s="10">
        <f t="shared" si="0"/>
        <v>0.53112338858195207</v>
      </c>
      <c r="G162" s="10">
        <f t="shared" si="1"/>
        <v>0.44113115536439107</v>
      </c>
      <c r="H162" s="10">
        <f t="shared" si="2"/>
        <v>0.23429507404620695</v>
      </c>
      <c r="I162" s="8">
        <v>11</v>
      </c>
      <c r="J162" s="8">
        <v>5.0000002086162567</v>
      </c>
      <c r="K162" s="8">
        <v>43</v>
      </c>
      <c r="L162" s="11">
        <f t="shared" si="3"/>
        <v>0.2558139534883721</v>
      </c>
      <c r="M162" s="12">
        <f t="shared" si="4"/>
        <v>0.45454547351056879</v>
      </c>
      <c r="N162" s="13">
        <f t="shared" si="5"/>
        <v>0.11627907461898272</v>
      </c>
      <c r="O162" s="14">
        <f t="shared" si="6"/>
        <v>0.49629329635863589</v>
      </c>
      <c r="P162" s="15"/>
      <c r="Q162" s="15"/>
      <c r="AD162" s="21"/>
    </row>
    <row r="163" spans="1:30" ht="15.75" customHeight="1">
      <c r="A163" s="8">
        <v>31501</v>
      </c>
      <c r="B163" s="9" t="s">
        <v>177</v>
      </c>
      <c r="C163" s="8">
        <v>5238</v>
      </c>
      <c r="D163" s="8">
        <v>2424.0000660121441</v>
      </c>
      <c r="E163" s="8">
        <v>6928</v>
      </c>
      <c r="F163" s="10">
        <f t="shared" si="0"/>
        <v>0.75606235565819857</v>
      </c>
      <c r="G163" s="10">
        <f t="shared" si="1"/>
        <v>0.46277206300346391</v>
      </c>
      <c r="H163" s="10">
        <f t="shared" si="2"/>
        <v>0.34988453608720321</v>
      </c>
      <c r="I163" s="8">
        <v>117</v>
      </c>
      <c r="J163" s="8">
        <v>48.333334386348724</v>
      </c>
      <c r="K163" s="8">
        <v>243</v>
      </c>
      <c r="L163" s="11">
        <f t="shared" si="3"/>
        <v>0.48148148148148145</v>
      </c>
      <c r="M163" s="12">
        <f t="shared" si="4"/>
        <v>0.41310542210554463</v>
      </c>
      <c r="N163" s="13">
        <f t="shared" si="5"/>
        <v>0.19890261064341036</v>
      </c>
      <c r="O163" s="14">
        <f t="shared" si="6"/>
        <v>0.56848071328833183</v>
      </c>
      <c r="P163" s="15"/>
      <c r="Q163" s="15"/>
      <c r="AD163" s="21"/>
    </row>
    <row r="164" spans="1:30" ht="15.75" customHeight="1">
      <c r="A164" s="8">
        <v>31601</v>
      </c>
      <c r="B164" s="9" t="s">
        <v>178</v>
      </c>
      <c r="C164" s="8">
        <v>8920</v>
      </c>
      <c r="D164" s="8">
        <v>3877.0000981390476</v>
      </c>
      <c r="E164" s="8">
        <v>20556</v>
      </c>
      <c r="F164" s="10">
        <f t="shared" si="0"/>
        <v>0.43393656353376142</v>
      </c>
      <c r="G164" s="10">
        <f t="shared" si="1"/>
        <v>0.43464126660751656</v>
      </c>
      <c r="H164" s="10">
        <f t="shared" si="2"/>
        <v>0.18860673760162716</v>
      </c>
      <c r="I164" s="8">
        <v>157</v>
      </c>
      <c r="J164" s="8">
        <v>62.555557072162628</v>
      </c>
      <c r="K164" s="8">
        <v>529</v>
      </c>
      <c r="L164" s="11">
        <f t="shared" si="3"/>
        <v>0.29678638941398866</v>
      </c>
      <c r="M164" s="12">
        <f t="shared" si="4"/>
        <v>0.39844303867619507</v>
      </c>
      <c r="N164" s="13">
        <f t="shared" si="5"/>
        <v>0.11825247083584617</v>
      </c>
      <c r="O164" s="14">
        <f t="shared" si="6"/>
        <v>0.62697903765038121</v>
      </c>
      <c r="P164" s="15"/>
      <c r="Q164" s="15"/>
      <c r="AD164" s="21"/>
    </row>
    <row r="165" spans="1:30" ht="15.75" customHeight="1">
      <c r="A165" s="8">
        <v>31602</v>
      </c>
      <c r="B165" s="9" t="s">
        <v>179</v>
      </c>
      <c r="C165" s="8">
        <v>8252</v>
      </c>
      <c r="D165" s="8">
        <v>3543.5556438267231</v>
      </c>
      <c r="E165" s="8">
        <v>17802</v>
      </c>
      <c r="F165" s="10">
        <f t="shared" si="0"/>
        <v>0.4635434220874059</v>
      </c>
      <c r="G165" s="10">
        <f t="shared" si="1"/>
        <v>0.42941779493779969</v>
      </c>
      <c r="H165" s="10">
        <f t="shared" si="2"/>
        <v>0.1990537941706956</v>
      </c>
      <c r="I165" s="8">
        <v>676</v>
      </c>
      <c r="J165" s="8">
        <v>281.22222915291786</v>
      </c>
      <c r="K165" s="8">
        <v>2501</v>
      </c>
      <c r="L165" s="11">
        <f t="shared" si="3"/>
        <v>0.27029188324670134</v>
      </c>
      <c r="M165" s="12">
        <f t="shared" si="4"/>
        <v>0.41600921472325125</v>
      </c>
      <c r="N165" s="13">
        <f t="shared" si="5"/>
        <v>0.11244391409552894</v>
      </c>
      <c r="O165" s="14">
        <f t="shared" si="6"/>
        <v>0.56489209142682473</v>
      </c>
      <c r="P165" s="15"/>
      <c r="Q165" s="15"/>
      <c r="AD165" s="21"/>
    </row>
    <row r="166" spans="1:30" ht="15.75" customHeight="1">
      <c r="A166" s="8">
        <v>40101</v>
      </c>
      <c r="B166" s="9" t="s">
        <v>180</v>
      </c>
      <c r="C166" s="8">
        <v>20814</v>
      </c>
      <c r="D166" s="8">
        <v>8466.4446550905704</v>
      </c>
      <c r="E166" s="8">
        <v>115392</v>
      </c>
      <c r="F166" s="10">
        <f t="shared" si="0"/>
        <v>0.18037645590682197</v>
      </c>
      <c r="G166" s="10">
        <f t="shared" si="1"/>
        <v>0.40676682305614348</v>
      </c>
      <c r="H166" s="10">
        <f t="shared" si="2"/>
        <v>7.3371157923344518E-2</v>
      </c>
      <c r="I166" s="8">
        <v>9194</v>
      </c>
      <c r="J166" s="8">
        <v>3598.6667569875717</v>
      </c>
      <c r="K166" s="8">
        <v>144939</v>
      </c>
      <c r="L166" s="11">
        <f t="shared" si="3"/>
        <v>6.3433582403631866E-2</v>
      </c>
      <c r="M166" s="12">
        <f t="shared" si="4"/>
        <v>0.3914147005642345</v>
      </c>
      <c r="N166" s="13">
        <f t="shared" si="5"/>
        <v>2.482883666223426E-2</v>
      </c>
      <c r="O166" s="14">
        <f t="shared" si="6"/>
        <v>0.33840050184535064</v>
      </c>
      <c r="P166" s="15"/>
      <c r="Q166" s="15"/>
      <c r="AD166" s="21"/>
    </row>
    <row r="167" spans="1:30" ht="15.75" customHeight="1">
      <c r="A167" s="8">
        <v>40102</v>
      </c>
      <c r="B167" s="9" t="s">
        <v>181</v>
      </c>
      <c r="C167" s="8">
        <v>11035</v>
      </c>
      <c r="D167" s="8">
        <v>4929.5556846857071</v>
      </c>
      <c r="E167" s="8">
        <v>20383</v>
      </c>
      <c r="F167" s="10">
        <f t="shared" si="0"/>
        <v>0.54138252465289705</v>
      </c>
      <c r="G167" s="10">
        <f t="shared" si="1"/>
        <v>0.44672004392258335</v>
      </c>
      <c r="H167" s="10">
        <f t="shared" si="2"/>
        <v>0.24184642519186123</v>
      </c>
      <c r="I167" s="8">
        <v>736</v>
      </c>
      <c r="J167" s="8">
        <v>308.11111894249916</v>
      </c>
      <c r="K167" s="8">
        <v>2546</v>
      </c>
      <c r="L167" s="11">
        <f t="shared" si="3"/>
        <v>0.28908091123330715</v>
      </c>
      <c r="M167" s="12">
        <f t="shared" si="4"/>
        <v>0.41862923769361299</v>
      </c>
      <c r="N167" s="13">
        <f t="shared" si="5"/>
        <v>0.12101772150137438</v>
      </c>
      <c r="O167" s="14">
        <f t="shared" si="6"/>
        <v>0.50039078065912612</v>
      </c>
      <c r="P167" s="15"/>
      <c r="Q167" s="15"/>
      <c r="AD167" s="21"/>
    </row>
    <row r="168" spans="1:30" ht="15.75" customHeight="1">
      <c r="A168" s="8">
        <v>40103</v>
      </c>
      <c r="B168" s="9" t="s">
        <v>182</v>
      </c>
      <c r="C168" s="8">
        <v>7280</v>
      </c>
      <c r="D168" s="8">
        <v>3565.7778616845608</v>
      </c>
      <c r="E168" s="8">
        <v>8017</v>
      </c>
      <c r="F168" s="10">
        <f t="shared" si="0"/>
        <v>0.90807035050517648</v>
      </c>
      <c r="G168" s="10">
        <f t="shared" si="1"/>
        <v>0.48980465133029683</v>
      </c>
      <c r="H168" s="10">
        <f t="shared" si="2"/>
        <v>0.44477708141256839</v>
      </c>
      <c r="I168" s="8">
        <v>609</v>
      </c>
      <c r="J168" s="8">
        <v>289.77778422832489</v>
      </c>
      <c r="K168" s="8">
        <v>682</v>
      </c>
      <c r="L168" s="11">
        <f t="shared" si="3"/>
        <v>0.89296187683284456</v>
      </c>
      <c r="M168" s="12">
        <f t="shared" si="4"/>
        <v>0.47582558986588652</v>
      </c>
      <c r="N168" s="13">
        <f t="shared" si="5"/>
        <v>0.42489411177173736</v>
      </c>
      <c r="O168" s="14">
        <f t="shared" si="6"/>
        <v>0.95529677568438409</v>
      </c>
      <c r="P168" s="15"/>
      <c r="Q168" s="15"/>
      <c r="AD168" s="21"/>
    </row>
    <row r="169" spans="1:30" ht="15.75" customHeight="1">
      <c r="A169" s="8">
        <v>40104</v>
      </c>
      <c r="B169" s="9" t="s">
        <v>183</v>
      </c>
      <c r="C169" s="8">
        <v>6155</v>
      </c>
      <c r="D169" s="8">
        <v>2696.55562505126</v>
      </c>
      <c r="E169" s="8">
        <v>12216</v>
      </c>
      <c r="F169" s="10">
        <f t="shared" si="0"/>
        <v>0.50384741322855275</v>
      </c>
      <c r="G169" s="10">
        <f t="shared" si="1"/>
        <v>0.43810814379386842</v>
      </c>
      <c r="H169" s="10">
        <f t="shared" si="2"/>
        <v>0.22073965496490344</v>
      </c>
      <c r="I169" s="8">
        <v>257</v>
      </c>
      <c r="J169" s="8">
        <v>101.11111354827881</v>
      </c>
      <c r="K169" s="8">
        <v>559</v>
      </c>
      <c r="L169" s="11">
        <f t="shared" si="3"/>
        <v>0.4597495527728086</v>
      </c>
      <c r="M169" s="12">
        <f t="shared" si="4"/>
        <v>0.39342845738629889</v>
      </c>
      <c r="N169" s="13">
        <f t="shared" si="5"/>
        <v>0.18087855733144689</v>
      </c>
      <c r="O169" s="14">
        <f t="shared" si="6"/>
        <v>0.81942031376376723</v>
      </c>
      <c r="P169" s="15"/>
      <c r="Q169" s="15"/>
      <c r="AD169" s="21"/>
    </row>
    <row r="170" spans="1:30" ht="15.75" customHeight="1">
      <c r="A170" s="8">
        <v>40201</v>
      </c>
      <c r="B170" s="9" t="s">
        <v>184</v>
      </c>
      <c r="C170" s="8">
        <v>12353</v>
      </c>
      <c r="D170" s="8">
        <v>5451.8890253007412</v>
      </c>
      <c r="E170" s="8">
        <v>24247</v>
      </c>
      <c r="F170" s="10">
        <f t="shared" si="0"/>
        <v>0.5094650884645523</v>
      </c>
      <c r="G170" s="10">
        <f t="shared" si="1"/>
        <v>0.44134129566103303</v>
      </c>
      <c r="H170" s="10">
        <f t="shared" si="2"/>
        <v>0.22484798223700833</v>
      </c>
      <c r="I170" s="8">
        <v>949</v>
      </c>
      <c r="J170" s="8">
        <v>385.77778759598732</v>
      </c>
      <c r="K170" s="8">
        <v>3837</v>
      </c>
      <c r="L170" s="11">
        <f t="shared" si="3"/>
        <v>0.2473286421683607</v>
      </c>
      <c r="M170" s="12">
        <f t="shared" si="4"/>
        <v>0.40650978671863786</v>
      </c>
      <c r="N170" s="13">
        <f t="shared" si="5"/>
        <v>0.10054151357727061</v>
      </c>
      <c r="O170" s="14">
        <f t="shared" si="6"/>
        <v>0.44715328364072909</v>
      </c>
      <c r="P170" s="15"/>
      <c r="Q170" s="15"/>
      <c r="AD170" s="21"/>
    </row>
    <row r="171" spans="1:30" ht="15.75" customHeight="1">
      <c r="A171" s="8">
        <v>40202</v>
      </c>
      <c r="B171" s="9" t="s">
        <v>185</v>
      </c>
      <c r="C171" s="8">
        <v>1757</v>
      </c>
      <c r="D171" s="8">
        <v>767.0000182390213</v>
      </c>
      <c r="E171" s="8">
        <v>3567</v>
      </c>
      <c r="F171" s="10">
        <f t="shared" si="0"/>
        <v>0.49257078777684327</v>
      </c>
      <c r="G171" s="10">
        <f t="shared" si="1"/>
        <v>0.43653956644224318</v>
      </c>
      <c r="H171" s="10">
        <f t="shared" si="2"/>
        <v>0.21502663813821735</v>
      </c>
      <c r="I171" s="8">
        <v>215</v>
      </c>
      <c r="J171" s="8">
        <v>94.777779757976532</v>
      </c>
      <c r="K171" s="8">
        <v>412</v>
      </c>
      <c r="L171" s="11">
        <f t="shared" si="3"/>
        <v>0.52184466019417475</v>
      </c>
      <c r="M171" s="12">
        <f t="shared" si="4"/>
        <v>0.44082688259523967</v>
      </c>
      <c r="N171" s="13">
        <f t="shared" si="5"/>
        <v>0.23004315475237022</v>
      </c>
      <c r="O171" s="14">
        <f t="shared" si="6"/>
        <v>1.0698356108069753</v>
      </c>
      <c r="P171" s="15"/>
      <c r="Q171" s="15"/>
      <c r="AD171" s="21"/>
    </row>
    <row r="172" spans="1:30" ht="15.75" customHeight="1">
      <c r="A172" s="8">
        <v>40301</v>
      </c>
      <c r="B172" s="9" t="s">
        <v>186</v>
      </c>
      <c r="C172" s="8">
        <v>6144</v>
      </c>
      <c r="D172" s="8">
        <v>2889.4445176124573</v>
      </c>
      <c r="E172" s="8">
        <v>8501</v>
      </c>
      <c r="F172" s="10">
        <f t="shared" si="0"/>
        <v>0.72273850135278206</v>
      </c>
      <c r="G172" s="10">
        <f t="shared" si="1"/>
        <v>0.4702871936218192</v>
      </c>
      <c r="H172" s="10">
        <f t="shared" si="2"/>
        <v>0.33989466152363923</v>
      </c>
      <c r="I172" s="8">
        <v>282</v>
      </c>
      <c r="J172" s="8">
        <v>132.22222572565079</v>
      </c>
      <c r="K172" s="8">
        <v>487</v>
      </c>
      <c r="L172" s="11">
        <f t="shared" si="3"/>
        <v>0.57905544147843946</v>
      </c>
      <c r="M172" s="12">
        <f t="shared" si="4"/>
        <v>0.4688731408711021</v>
      </c>
      <c r="N172" s="13">
        <f t="shared" si="5"/>
        <v>0.27150354358449857</v>
      </c>
      <c r="O172" s="14">
        <f t="shared" si="6"/>
        <v>0.79878731359720356</v>
      </c>
      <c r="P172" s="15"/>
      <c r="Q172" s="15"/>
      <c r="AD172" s="21"/>
    </row>
    <row r="173" spans="1:30" ht="15.75" customHeight="1">
      <c r="A173" s="8">
        <v>40302</v>
      </c>
      <c r="B173" s="9" t="s">
        <v>187</v>
      </c>
      <c r="C173" s="8">
        <v>1214</v>
      </c>
      <c r="D173" s="8">
        <v>567.7777918279171</v>
      </c>
      <c r="E173" s="8">
        <v>1706</v>
      </c>
      <c r="F173" s="10">
        <f t="shared" si="0"/>
        <v>0.71160609613130132</v>
      </c>
      <c r="G173" s="10">
        <f t="shared" si="1"/>
        <v>0.46769175603617552</v>
      </c>
      <c r="H173" s="10">
        <f t="shared" si="2"/>
        <v>0.33281230470569584</v>
      </c>
      <c r="I173" s="8">
        <v>78</v>
      </c>
      <c r="J173" s="8">
        <v>34.111111700534821</v>
      </c>
      <c r="K173" s="8">
        <v>138</v>
      </c>
      <c r="L173" s="11">
        <f t="shared" si="3"/>
        <v>0.56521739130434778</v>
      </c>
      <c r="M173" s="12">
        <f t="shared" si="4"/>
        <v>0.43732194487865156</v>
      </c>
      <c r="N173" s="13">
        <f t="shared" si="5"/>
        <v>0.2471819688444552</v>
      </c>
      <c r="O173" s="14">
        <f t="shared" si="6"/>
        <v>0.74270682108053943</v>
      </c>
      <c r="P173" s="15"/>
      <c r="Q173" s="15"/>
      <c r="AD173" s="21"/>
    </row>
    <row r="174" spans="1:30" ht="15.75" customHeight="1">
      <c r="A174" s="8">
        <v>40401</v>
      </c>
      <c r="B174" s="9" t="s">
        <v>188</v>
      </c>
      <c r="C174" s="8">
        <v>1706</v>
      </c>
      <c r="D174" s="8">
        <v>734.22224032878876</v>
      </c>
      <c r="E174" s="8">
        <v>3523</v>
      </c>
      <c r="F174" s="10">
        <f t="shared" si="0"/>
        <v>0.48424638092534772</v>
      </c>
      <c r="G174" s="10">
        <f t="shared" si="1"/>
        <v>0.43037645974723843</v>
      </c>
      <c r="H174" s="10">
        <f t="shared" si="2"/>
        <v>0.2084082430680638</v>
      </c>
      <c r="I174" s="8">
        <v>102</v>
      </c>
      <c r="J174" s="8">
        <v>41.111112147569656</v>
      </c>
      <c r="K174" s="8">
        <v>393</v>
      </c>
      <c r="L174" s="11">
        <f t="shared" si="3"/>
        <v>0.25954198473282442</v>
      </c>
      <c r="M174" s="12">
        <f t="shared" si="4"/>
        <v>0.40305011909382016</v>
      </c>
      <c r="N174" s="13">
        <f t="shared" si="5"/>
        <v>0.10460842785641133</v>
      </c>
      <c r="O174" s="14">
        <f t="shared" si="6"/>
        <v>0.50193997279775249</v>
      </c>
      <c r="P174" s="15"/>
      <c r="Q174" s="15"/>
      <c r="AD174" s="21"/>
    </row>
    <row r="175" spans="1:30" ht="15.75" customHeight="1">
      <c r="A175" s="8">
        <v>40402</v>
      </c>
      <c r="B175" s="9" t="s">
        <v>189</v>
      </c>
      <c r="C175" s="8">
        <v>2739</v>
      </c>
      <c r="D175" s="8">
        <v>1206.5555853247643</v>
      </c>
      <c r="E175" s="8">
        <v>4869</v>
      </c>
      <c r="F175" s="10">
        <f t="shared" si="0"/>
        <v>0.56253850893407276</v>
      </c>
      <c r="G175" s="10">
        <f t="shared" si="1"/>
        <v>0.44050952366731078</v>
      </c>
      <c r="H175" s="10">
        <f t="shared" si="2"/>
        <v>0.24780357061506764</v>
      </c>
      <c r="I175" s="8">
        <v>91</v>
      </c>
      <c r="J175" s="8">
        <v>41.111112117767334</v>
      </c>
      <c r="K175" s="8">
        <v>270</v>
      </c>
      <c r="L175" s="11">
        <f t="shared" si="3"/>
        <v>0.33703703703703702</v>
      </c>
      <c r="M175" s="12">
        <f t="shared" si="4"/>
        <v>0.45177046283260808</v>
      </c>
      <c r="N175" s="13">
        <f t="shared" si="5"/>
        <v>0.15226337821395308</v>
      </c>
      <c r="O175" s="14">
        <f t="shared" si="6"/>
        <v>0.61445191381231345</v>
      </c>
      <c r="P175" s="15"/>
      <c r="Q175" s="15"/>
      <c r="AD175" s="21"/>
    </row>
    <row r="176" spans="1:30" ht="15.75" customHeight="1">
      <c r="A176" s="8">
        <v>40501</v>
      </c>
      <c r="B176" s="9" t="s">
        <v>190</v>
      </c>
      <c r="C176" s="8">
        <v>41</v>
      </c>
      <c r="D176" s="8">
        <v>14.888889253139496</v>
      </c>
      <c r="E176" s="8">
        <v>484</v>
      </c>
      <c r="F176" s="10">
        <f t="shared" si="0"/>
        <v>8.4710743801652888E-2</v>
      </c>
      <c r="G176" s="10">
        <f t="shared" si="1"/>
        <v>0.36314364032047552</v>
      </c>
      <c r="H176" s="10">
        <f t="shared" si="2"/>
        <v>3.0762167878387387E-2</v>
      </c>
      <c r="I176" s="8">
        <v>7</v>
      </c>
      <c r="J176" s="8">
        <v>2.4444445073604584</v>
      </c>
      <c r="K176" s="8">
        <v>183</v>
      </c>
      <c r="L176" s="11">
        <f t="shared" si="3"/>
        <v>3.825136612021858E-2</v>
      </c>
      <c r="M176" s="12">
        <f t="shared" si="4"/>
        <v>0.3492063581943512</v>
      </c>
      <c r="N176" s="13">
        <f t="shared" si="5"/>
        <v>1.3357620258800319E-2</v>
      </c>
      <c r="O176" s="14">
        <f t="shared" si="6"/>
        <v>0.43422233152121237</v>
      </c>
      <c r="P176" s="15"/>
      <c r="Q176" s="15"/>
      <c r="AD176" s="21"/>
    </row>
    <row r="177" spans="1:30" ht="15.75" customHeight="1">
      <c r="A177" s="8">
        <v>40502</v>
      </c>
      <c r="B177" s="9" t="s">
        <v>191</v>
      </c>
      <c r="C177" s="8">
        <v>2752</v>
      </c>
      <c r="D177" s="8">
        <v>1254.8889201283455</v>
      </c>
      <c r="E177" s="8">
        <v>3956</v>
      </c>
      <c r="F177" s="10">
        <f t="shared" si="0"/>
        <v>0.69565217391304346</v>
      </c>
      <c r="G177" s="10">
        <f t="shared" si="1"/>
        <v>0.45599161341873018</v>
      </c>
      <c r="H177" s="10">
        <f t="shared" si="2"/>
        <v>0.31721155716085575</v>
      </c>
      <c r="I177" s="8">
        <v>176</v>
      </c>
      <c r="J177" s="8">
        <v>79.555557101964951</v>
      </c>
      <c r="K177" s="8">
        <v>243</v>
      </c>
      <c r="L177" s="11">
        <f t="shared" si="3"/>
        <v>0.72427983539094654</v>
      </c>
      <c r="M177" s="12">
        <f t="shared" si="4"/>
        <v>0.45202021080661903</v>
      </c>
      <c r="N177" s="13">
        <f t="shared" si="5"/>
        <v>0.32738912387639896</v>
      </c>
      <c r="O177" s="14">
        <f t="shared" si="6"/>
        <v>1.0320844763874168</v>
      </c>
      <c r="P177" s="15"/>
      <c r="Q177" s="15"/>
      <c r="AD177" s="21"/>
    </row>
    <row r="178" spans="1:30" ht="15.75" customHeight="1">
      <c r="A178" s="8">
        <v>40503</v>
      </c>
      <c r="B178" s="9" t="s">
        <v>192</v>
      </c>
      <c r="C178" s="8">
        <v>1149</v>
      </c>
      <c r="D178" s="8">
        <v>517.22223588824272</v>
      </c>
      <c r="E178" s="8">
        <v>1823</v>
      </c>
      <c r="F178" s="10">
        <f t="shared" si="0"/>
        <v>0.63027975863960506</v>
      </c>
      <c r="G178" s="10">
        <f t="shared" si="1"/>
        <v>0.45014990068602501</v>
      </c>
      <c r="H178" s="10">
        <f t="shared" si="2"/>
        <v>0.28372037075603002</v>
      </c>
      <c r="I178" s="8">
        <v>85</v>
      </c>
      <c r="J178" s="8">
        <v>40.222222864627838</v>
      </c>
      <c r="K178" s="8">
        <v>130</v>
      </c>
      <c r="L178" s="11">
        <f t="shared" si="3"/>
        <v>0.65384615384615385</v>
      </c>
      <c r="M178" s="12">
        <f t="shared" si="4"/>
        <v>0.47320262193679807</v>
      </c>
      <c r="N178" s="13">
        <f t="shared" si="5"/>
        <v>0.30940171434329106</v>
      </c>
      <c r="O178" s="14">
        <f t="shared" si="6"/>
        <v>1.0905163894958545</v>
      </c>
      <c r="P178" s="15"/>
      <c r="Q178" s="15"/>
      <c r="AD178" s="21"/>
    </row>
    <row r="179" spans="1:30" ht="15.75" customHeight="1">
      <c r="A179" s="8">
        <v>40504</v>
      </c>
      <c r="B179" s="9" t="s">
        <v>193</v>
      </c>
      <c r="C179" s="8">
        <v>291</v>
      </c>
      <c r="D179" s="8">
        <v>120.6666696369648</v>
      </c>
      <c r="E179" s="8">
        <v>453</v>
      </c>
      <c r="F179" s="10">
        <f t="shared" si="0"/>
        <v>0.64238410596026485</v>
      </c>
      <c r="G179" s="10">
        <f t="shared" si="1"/>
        <v>0.4146620949723876</v>
      </c>
      <c r="H179" s="10">
        <f t="shared" si="2"/>
        <v>0.26637233915444763</v>
      </c>
      <c r="I179" s="8">
        <v>21</v>
      </c>
      <c r="J179" s="8">
        <v>9.8888891041278839</v>
      </c>
      <c r="K179" s="8">
        <v>60</v>
      </c>
      <c r="L179" s="11">
        <f t="shared" si="3"/>
        <v>0.35</v>
      </c>
      <c r="M179" s="12">
        <f t="shared" si="4"/>
        <v>0.47089948114894686</v>
      </c>
      <c r="N179" s="13">
        <f t="shared" si="5"/>
        <v>0.16481481840213139</v>
      </c>
      <c r="O179" s="14">
        <f t="shared" si="6"/>
        <v>0.61873848810768861</v>
      </c>
      <c r="P179" s="15"/>
      <c r="Q179" s="15"/>
      <c r="AD179" s="21"/>
    </row>
    <row r="180" spans="1:30" ht="15.75" customHeight="1">
      <c r="A180" s="8">
        <v>40505</v>
      </c>
      <c r="B180" s="9" t="s">
        <v>194</v>
      </c>
      <c r="C180" s="8">
        <v>872</v>
      </c>
      <c r="D180" s="8">
        <v>365.00000953674316</v>
      </c>
      <c r="E180" s="8">
        <v>2542</v>
      </c>
      <c r="F180" s="10">
        <f t="shared" si="0"/>
        <v>0.34303697875688433</v>
      </c>
      <c r="G180" s="10">
        <f t="shared" si="1"/>
        <v>0.41857799258800821</v>
      </c>
      <c r="H180" s="10">
        <f t="shared" si="2"/>
        <v>0.14358772995151187</v>
      </c>
      <c r="I180" s="8">
        <v>82</v>
      </c>
      <c r="J180" s="8">
        <v>34.888889849185944</v>
      </c>
      <c r="K180" s="8">
        <v>146</v>
      </c>
      <c r="L180" s="11">
        <f t="shared" si="3"/>
        <v>0.56164383561643838</v>
      </c>
      <c r="M180" s="12">
        <f t="shared" si="4"/>
        <v>0.42547426645348713</v>
      </c>
      <c r="N180" s="13">
        <f t="shared" si="5"/>
        <v>0.23896499896702703</v>
      </c>
      <c r="O180" s="14">
        <f t="shared" si="6"/>
        <v>1.6642438671307298</v>
      </c>
      <c r="P180" s="15"/>
      <c r="Q180" s="15"/>
      <c r="AD180" s="21"/>
    </row>
    <row r="181" spans="1:30" ht="15.75" customHeight="1">
      <c r="A181" s="8">
        <v>40601</v>
      </c>
      <c r="B181" s="9" t="s">
        <v>195</v>
      </c>
      <c r="C181" s="8">
        <v>2357</v>
      </c>
      <c r="D181" s="8">
        <v>986.44446748495102</v>
      </c>
      <c r="E181" s="8">
        <v>5667</v>
      </c>
      <c r="F181" s="10">
        <f t="shared" si="0"/>
        <v>0.41591671078171871</v>
      </c>
      <c r="G181" s="10">
        <f t="shared" si="1"/>
        <v>0.41851695693039925</v>
      </c>
      <c r="H181" s="10">
        <f t="shared" si="2"/>
        <v>0.17406819613286589</v>
      </c>
      <c r="I181" s="8">
        <v>277</v>
      </c>
      <c r="J181" s="8">
        <v>108.77778035402298</v>
      </c>
      <c r="K181" s="8">
        <v>1558</v>
      </c>
      <c r="L181" s="11">
        <f t="shared" si="3"/>
        <v>0.17779204107830551</v>
      </c>
      <c r="M181" s="12">
        <f t="shared" si="4"/>
        <v>0.3926995680650649</v>
      </c>
      <c r="N181" s="13">
        <f t="shared" si="5"/>
        <v>6.9818857736856851E-2</v>
      </c>
      <c r="O181" s="14">
        <f t="shared" si="6"/>
        <v>0.40110059900640471</v>
      </c>
      <c r="P181" s="15"/>
      <c r="Q181" s="15"/>
      <c r="AD181" s="21"/>
    </row>
    <row r="182" spans="1:30" ht="15.75" customHeight="1">
      <c r="A182" s="8">
        <v>40602</v>
      </c>
      <c r="B182" s="9" t="s">
        <v>196</v>
      </c>
      <c r="C182" s="8">
        <v>1684</v>
      </c>
      <c r="D182" s="8">
        <v>715.77779507637024</v>
      </c>
      <c r="E182" s="8">
        <v>4285</v>
      </c>
      <c r="F182" s="10">
        <f t="shared" si="0"/>
        <v>0.39299883313885647</v>
      </c>
      <c r="G182" s="10">
        <f t="shared" si="1"/>
        <v>0.42504619660116999</v>
      </c>
      <c r="H182" s="10">
        <f t="shared" si="2"/>
        <v>0.16704265929436879</v>
      </c>
      <c r="I182" s="8">
        <v>396</v>
      </c>
      <c r="J182" s="8">
        <v>154.22222611308098</v>
      </c>
      <c r="K182" s="8">
        <v>1648</v>
      </c>
      <c r="L182" s="11">
        <f t="shared" si="3"/>
        <v>0.24029126213592233</v>
      </c>
      <c r="M182" s="12">
        <f t="shared" si="4"/>
        <v>0.38945006594212367</v>
      </c>
      <c r="N182" s="13">
        <f t="shared" si="5"/>
        <v>9.3581447884151084E-2</v>
      </c>
      <c r="O182" s="14">
        <f t="shared" si="6"/>
        <v>0.56022484483582347</v>
      </c>
      <c r="P182" s="15"/>
      <c r="Q182" s="15"/>
      <c r="AD182" s="21"/>
    </row>
    <row r="183" spans="1:30" ht="15.75" customHeight="1">
      <c r="A183" s="8">
        <v>40603</v>
      </c>
      <c r="B183" s="9" t="s">
        <v>197</v>
      </c>
      <c r="C183" s="8">
        <v>857</v>
      </c>
      <c r="D183" s="8">
        <v>357.33334216475487</v>
      </c>
      <c r="E183" s="8">
        <v>2484</v>
      </c>
      <c r="F183" s="10">
        <f t="shared" si="0"/>
        <v>0.34500805152979064</v>
      </c>
      <c r="G183" s="10">
        <f t="shared" si="1"/>
        <v>0.41695839225759029</v>
      </c>
      <c r="H183" s="10">
        <f t="shared" si="2"/>
        <v>0.14385400248178537</v>
      </c>
      <c r="I183" s="8">
        <v>76</v>
      </c>
      <c r="J183" s="8">
        <v>29.333333998918533</v>
      </c>
      <c r="K183" s="8">
        <v>745</v>
      </c>
      <c r="L183" s="11">
        <f t="shared" si="3"/>
        <v>0.10201342281879194</v>
      </c>
      <c r="M183" s="12">
        <f t="shared" si="4"/>
        <v>0.38596492103840174</v>
      </c>
      <c r="N183" s="13">
        <f t="shared" si="5"/>
        <v>3.9373602683112123E-2</v>
      </c>
      <c r="O183" s="14">
        <f t="shared" si="6"/>
        <v>0.27370529845422664</v>
      </c>
      <c r="P183" s="15"/>
      <c r="Q183" s="15"/>
      <c r="AD183" s="21"/>
    </row>
    <row r="184" spans="1:30" ht="15.75" customHeight="1">
      <c r="A184" s="8">
        <v>40701</v>
      </c>
      <c r="B184" s="9" t="s">
        <v>198</v>
      </c>
      <c r="C184" s="8">
        <v>3622</v>
      </c>
      <c r="D184" s="8">
        <v>1474.666702657938</v>
      </c>
      <c r="E184" s="8">
        <v>15430</v>
      </c>
      <c r="F184" s="10">
        <f t="shared" si="0"/>
        <v>0.23473752430330524</v>
      </c>
      <c r="G184" s="10">
        <f t="shared" si="1"/>
        <v>0.40714155236276589</v>
      </c>
      <c r="H184" s="10">
        <f t="shared" si="2"/>
        <v>9.5571400042640184E-2</v>
      </c>
      <c r="I184" s="8">
        <v>869</v>
      </c>
      <c r="J184" s="8">
        <v>323.88889747858047</v>
      </c>
      <c r="K184" s="8">
        <v>8740</v>
      </c>
      <c r="L184" s="11">
        <f t="shared" si="3"/>
        <v>9.9427917620137293E-2</v>
      </c>
      <c r="M184" s="12">
        <f t="shared" si="4"/>
        <v>0.37271449652310756</v>
      </c>
      <c r="N184" s="13">
        <f t="shared" si="5"/>
        <v>3.7058226256130485E-2</v>
      </c>
      <c r="O184" s="14">
        <f t="shared" si="6"/>
        <v>0.38775435161142946</v>
      </c>
      <c r="P184" s="15"/>
      <c r="Q184" s="15"/>
      <c r="AD184" s="21"/>
    </row>
    <row r="185" spans="1:30" ht="15.75" customHeight="1">
      <c r="A185" s="8">
        <v>40702</v>
      </c>
      <c r="B185" s="9" t="s">
        <v>199</v>
      </c>
      <c r="C185" s="8">
        <v>1023</v>
      </c>
      <c r="D185" s="8">
        <v>424.77778795361519</v>
      </c>
      <c r="E185" s="8">
        <v>3823</v>
      </c>
      <c r="F185" s="10">
        <f t="shared" si="0"/>
        <v>0.26759089720115092</v>
      </c>
      <c r="G185" s="10">
        <f t="shared" si="1"/>
        <v>0.41522755420685747</v>
      </c>
      <c r="H185" s="10">
        <f t="shared" si="2"/>
        <v>0.11111111377285252</v>
      </c>
      <c r="I185" s="8">
        <v>115</v>
      </c>
      <c r="J185" s="8">
        <v>41.666667759418488</v>
      </c>
      <c r="K185" s="8">
        <v>917</v>
      </c>
      <c r="L185" s="11">
        <f t="shared" si="3"/>
        <v>0.12540894220283533</v>
      </c>
      <c r="M185" s="12">
        <f t="shared" si="4"/>
        <v>0.3623188500818999</v>
      </c>
      <c r="N185" s="13">
        <f t="shared" si="5"/>
        <v>4.5438023728918746E-2</v>
      </c>
      <c r="O185" s="14">
        <f t="shared" si="6"/>
        <v>0.40894220376378315</v>
      </c>
      <c r="P185" s="15"/>
      <c r="Q185" s="15"/>
      <c r="AD185" s="21"/>
    </row>
    <row r="186" spans="1:30" ht="15.75" customHeight="1">
      <c r="A186" s="8">
        <v>40801</v>
      </c>
      <c r="B186" s="9" t="s">
        <v>200</v>
      </c>
      <c r="C186" s="8">
        <v>5924</v>
      </c>
      <c r="D186" s="8">
        <v>2492.5556167662144</v>
      </c>
      <c r="E186" s="8">
        <v>10575</v>
      </c>
      <c r="F186" s="10">
        <f t="shared" si="0"/>
        <v>0.56018912529550824</v>
      </c>
      <c r="G186" s="10">
        <f t="shared" si="1"/>
        <v>0.42075550586870603</v>
      </c>
      <c r="H186" s="10">
        <f t="shared" si="2"/>
        <v>0.2357026587958595</v>
      </c>
      <c r="I186" s="8">
        <v>523</v>
      </c>
      <c r="J186" s="8">
        <v>224.77778327465057</v>
      </c>
      <c r="K186" s="8">
        <v>1142</v>
      </c>
      <c r="L186" s="11">
        <f t="shared" si="3"/>
        <v>0.45796847635726795</v>
      </c>
      <c r="M186" s="12">
        <f t="shared" si="4"/>
        <v>0.42978543647160722</v>
      </c>
      <c r="N186" s="13">
        <f t="shared" si="5"/>
        <v>0.19682818150144535</v>
      </c>
      <c r="O186" s="14">
        <f t="shared" si="6"/>
        <v>0.8350698397166445</v>
      </c>
      <c r="P186" s="15"/>
      <c r="Q186" s="15"/>
      <c r="AD186" s="21"/>
    </row>
    <row r="187" spans="1:30" ht="15.75" customHeight="1">
      <c r="A187" s="8">
        <v>40802</v>
      </c>
      <c r="B187" s="9" t="s">
        <v>201</v>
      </c>
      <c r="C187" s="8">
        <v>1663</v>
      </c>
      <c r="D187" s="8">
        <v>728.77779564261436</v>
      </c>
      <c r="E187" s="8">
        <v>2837</v>
      </c>
      <c r="F187" s="10">
        <f t="shared" si="0"/>
        <v>0.58618258724004235</v>
      </c>
      <c r="G187" s="10">
        <f t="shared" si="1"/>
        <v>0.43823078511281682</v>
      </c>
      <c r="H187" s="10">
        <f t="shared" si="2"/>
        <v>0.25688325542566598</v>
      </c>
      <c r="I187" s="8">
        <v>66</v>
      </c>
      <c r="J187" s="8">
        <v>28.222222954034805</v>
      </c>
      <c r="K187" s="8">
        <v>95</v>
      </c>
      <c r="L187" s="11">
        <f t="shared" si="3"/>
        <v>0.69473684210526321</v>
      </c>
      <c r="M187" s="12">
        <f t="shared" si="4"/>
        <v>0.42760943869749707</v>
      </c>
      <c r="N187" s="13">
        <f t="shared" si="5"/>
        <v>0.29707603109510322</v>
      </c>
      <c r="O187" s="14">
        <f t="shared" si="6"/>
        <v>1.1564631980501656</v>
      </c>
      <c r="P187" s="15"/>
      <c r="Q187" s="15"/>
      <c r="AD187" s="21"/>
    </row>
    <row r="188" spans="1:30" ht="15.75" customHeight="1">
      <c r="A188" s="8">
        <v>40901</v>
      </c>
      <c r="B188" s="9" t="s">
        <v>202</v>
      </c>
      <c r="C188" s="8">
        <v>3168</v>
      </c>
      <c r="D188" s="8">
        <v>1344.2222555577755</v>
      </c>
      <c r="E188" s="8">
        <v>6637</v>
      </c>
      <c r="F188" s="10">
        <f t="shared" si="0"/>
        <v>0.477324092210336</v>
      </c>
      <c r="G188" s="10">
        <f t="shared" si="1"/>
        <v>0.42431258066848976</v>
      </c>
      <c r="H188" s="10">
        <f t="shared" si="2"/>
        <v>0.20253461738101183</v>
      </c>
      <c r="I188" s="8">
        <v>433</v>
      </c>
      <c r="J188" s="8">
        <v>176.44444873929024</v>
      </c>
      <c r="K188" s="8">
        <v>1167</v>
      </c>
      <c r="L188" s="11">
        <f t="shared" si="3"/>
        <v>0.37103684661525277</v>
      </c>
      <c r="M188" s="12">
        <f t="shared" si="4"/>
        <v>0.40749295320852247</v>
      </c>
      <c r="N188" s="13">
        <f t="shared" si="5"/>
        <v>0.15119490037642694</v>
      </c>
      <c r="O188" s="14">
        <f t="shared" si="6"/>
        <v>0.7465138667726926</v>
      </c>
      <c r="P188" s="15"/>
      <c r="Q188" s="15"/>
      <c r="AD188" s="21"/>
    </row>
    <row r="189" spans="1:30" ht="15.75" customHeight="1">
      <c r="A189" s="8">
        <v>40902</v>
      </c>
      <c r="B189" s="9" t="s">
        <v>203</v>
      </c>
      <c r="C189" s="8">
        <v>410</v>
      </c>
      <c r="D189" s="8">
        <v>174.22222688794136</v>
      </c>
      <c r="E189" s="8">
        <v>745</v>
      </c>
      <c r="F189" s="10">
        <f t="shared" si="0"/>
        <v>0.55033557046979864</v>
      </c>
      <c r="G189" s="10">
        <f t="shared" si="1"/>
        <v>0.42493226070229601</v>
      </c>
      <c r="H189" s="10">
        <f t="shared" si="2"/>
        <v>0.23385533810461928</v>
      </c>
      <c r="I189" s="8">
        <v>57</v>
      </c>
      <c r="J189" s="8">
        <v>24.666667461395264</v>
      </c>
      <c r="K189" s="8">
        <v>129</v>
      </c>
      <c r="L189" s="11">
        <f t="shared" si="3"/>
        <v>0.44186046511627908</v>
      </c>
      <c r="M189" s="12">
        <f t="shared" si="4"/>
        <v>0.4327485519543029</v>
      </c>
      <c r="N189" s="13">
        <f t="shared" si="5"/>
        <v>0.19121447644492454</v>
      </c>
      <c r="O189" s="14">
        <f t="shared" si="6"/>
        <v>0.81766137131914174</v>
      </c>
      <c r="P189" s="15"/>
      <c r="Q189" s="15"/>
      <c r="AD189" s="21"/>
    </row>
    <row r="190" spans="1:30" ht="15.75" customHeight="1">
      <c r="A190" s="8">
        <v>40903</v>
      </c>
      <c r="B190" s="9" t="s">
        <v>204</v>
      </c>
      <c r="C190" s="8">
        <v>970</v>
      </c>
      <c r="D190" s="8">
        <v>427.77778869867325</v>
      </c>
      <c r="E190" s="8">
        <v>1834</v>
      </c>
      <c r="F190" s="10">
        <f t="shared" si="0"/>
        <v>0.5288985823336968</v>
      </c>
      <c r="G190" s="10">
        <f t="shared" si="1"/>
        <v>0.44100802958626106</v>
      </c>
      <c r="H190" s="10">
        <f t="shared" si="2"/>
        <v>0.2332485216459505</v>
      </c>
      <c r="I190" s="8">
        <v>66</v>
      </c>
      <c r="J190" s="8">
        <v>24.555556297302246</v>
      </c>
      <c r="K190" s="8">
        <v>146</v>
      </c>
      <c r="L190" s="11">
        <f t="shared" si="3"/>
        <v>0.45205479452054792</v>
      </c>
      <c r="M190" s="12">
        <f t="shared" si="4"/>
        <v>0.37205388329245825</v>
      </c>
      <c r="N190" s="13">
        <f t="shared" si="5"/>
        <v>0.16818874176234413</v>
      </c>
      <c r="O190" s="14">
        <f t="shared" si="6"/>
        <v>0.72107098718352847</v>
      </c>
      <c r="P190" s="15"/>
      <c r="Q190" s="15"/>
      <c r="AD190" s="21"/>
    </row>
    <row r="191" spans="1:30" ht="15.75" customHeight="1">
      <c r="A191" s="8">
        <v>41001</v>
      </c>
      <c r="B191" s="9" t="s">
        <v>205</v>
      </c>
      <c r="C191" s="8">
        <v>6813</v>
      </c>
      <c r="D191" s="8">
        <v>3162.7778498232365</v>
      </c>
      <c r="E191" s="8">
        <v>8951</v>
      </c>
      <c r="F191" s="10">
        <f t="shared" si="0"/>
        <v>0.7611440062562842</v>
      </c>
      <c r="G191" s="10">
        <f t="shared" si="1"/>
        <v>0.46422689708252407</v>
      </c>
      <c r="H191" s="10">
        <f t="shared" si="2"/>
        <v>0.35334352025731608</v>
      </c>
      <c r="I191" s="8">
        <v>694</v>
      </c>
      <c r="J191" s="8">
        <v>304.88889586925507</v>
      </c>
      <c r="K191" s="8">
        <v>1076</v>
      </c>
      <c r="L191" s="11">
        <f t="shared" si="3"/>
        <v>0.64498141263940523</v>
      </c>
      <c r="M191" s="12">
        <f t="shared" si="4"/>
        <v>0.43932117560411393</v>
      </c>
      <c r="N191" s="13">
        <f t="shared" si="5"/>
        <v>0.28335399244354559</v>
      </c>
      <c r="O191" s="14">
        <f t="shared" si="6"/>
        <v>0.80192214148202901</v>
      </c>
      <c r="P191" s="15"/>
      <c r="Q191" s="15"/>
      <c r="AD191" s="21"/>
    </row>
    <row r="192" spans="1:30" ht="15.75" customHeight="1">
      <c r="A192" s="8">
        <v>41101</v>
      </c>
      <c r="B192" s="9" t="s">
        <v>206</v>
      </c>
      <c r="C192" s="8">
        <v>1901</v>
      </c>
      <c r="D192" s="8">
        <v>805.22224202752113</v>
      </c>
      <c r="E192" s="8">
        <v>4385</v>
      </c>
      <c r="F192" s="10">
        <f t="shared" si="0"/>
        <v>0.43352337514253136</v>
      </c>
      <c r="G192" s="10">
        <f t="shared" si="1"/>
        <v>0.42357824409653927</v>
      </c>
      <c r="H192" s="10">
        <f t="shared" si="2"/>
        <v>0.18363107001767873</v>
      </c>
      <c r="I192" s="8">
        <v>185</v>
      </c>
      <c r="J192" s="8">
        <v>76.666668891906738</v>
      </c>
      <c r="K192" s="8">
        <v>843</v>
      </c>
      <c r="L192" s="11">
        <f t="shared" si="3"/>
        <v>0.21945432977461446</v>
      </c>
      <c r="M192" s="12">
        <f t="shared" si="4"/>
        <v>0.41441442644273913</v>
      </c>
      <c r="N192" s="13">
        <f t="shared" si="5"/>
        <v>9.0945040203922578E-2</v>
      </c>
      <c r="O192" s="14">
        <f t="shared" si="6"/>
        <v>0.49525954510403397</v>
      </c>
      <c r="P192" s="15"/>
      <c r="Q192" s="15"/>
      <c r="AD192" s="21"/>
    </row>
    <row r="193" spans="1:30" ht="15.75" customHeight="1">
      <c r="A193" s="8">
        <v>41201</v>
      </c>
      <c r="B193" s="9" t="s">
        <v>207</v>
      </c>
      <c r="C193" s="8">
        <v>3422</v>
      </c>
      <c r="D193" s="8">
        <v>1525.7778132855892</v>
      </c>
      <c r="E193" s="8">
        <v>4794</v>
      </c>
      <c r="F193" s="10">
        <f t="shared" si="0"/>
        <v>0.71380892782644978</v>
      </c>
      <c r="G193" s="10">
        <f t="shared" si="1"/>
        <v>0.44587311901975135</v>
      </c>
      <c r="H193" s="10">
        <f t="shared" si="2"/>
        <v>0.31826821303412373</v>
      </c>
      <c r="I193" s="8">
        <v>226</v>
      </c>
      <c r="J193" s="8">
        <v>100.77778020501137</v>
      </c>
      <c r="K193" s="8">
        <v>391</v>
      </c>
      <c r="L193" s="11">
        <f t="shared" si="3"/>
        <v>0.57800511508951402</v>
      </c>
      <c r="M193" s="12">
        <f t="shared" si="4"/>
        <v>0.44591938143810339</v>
      </c>
      <c r="N193" s="13">
        <f t="shared" si="5"/>
        <v>0.25774368338877585</v>
      </c>
      <c r="O193" s="14">
        <f t="shared" si="6"/>
        <v>0.80983168545688655</v>
      </c>
      <c r="P193" s="15"/>
      <c r="Q193" s="15"/>
      <c r="AD193" s="21"/>
    </row>
    <row r="194" spans="1:30" ht="15.75" customHeight="1">
      <c r="A194" s="8">
        <v>41202</v>
      </c>
      <c r="B194" s="9" t="s">
        <v>208</v>
      </c>
      <c r="C194" s="8">
        <v>1192</v>
      </c>
      <c r="D194" s="8">
        <v>498.44445598125458</v>
      </c>
      <c r="E194" s="8">
        <v>1920</v>
      </c>
      <c r="F194" s="10">
        <f t="shared" si="0"/>
        <v>0.62083333333333335</v>
      </c>
      <c r="G194" s="10">
        <f t="shared" si="1"/>
        <v>0.41815810065541492</v>
      </c>
      <c r="H194" s="10">
        <f t="shared" si="2"/>
        <v>0.25960648749023679</v>
      </c>
      <c r="I194" s="8">
        <v>42</v>
      </c>
      <c r="J194" s="8">
        <v>15.333333671092987</v>
      </c>
      <c r="K194" s="8">
        <v>73</v>
      </c>
      <c r="L194" s="11">
        <f t="shared" si="3"/>
        <v>0.57534246575342463</v>
      </c>
      <c r="M194" s="12">
        <f t="shared" si="4"/>
        <v>0.3650793731212616</v>
      </c>
      <c r="N194" s="13">
        <f t="shared" si="5"/>
        <v>0.21004566672730118</v>
      </c>
      <c r="O194" s="14">
        <f t="shared" si="6"/>
        <v>0.80909251828770468</v>
      </c>
      <c r="P194" s="15"/>
      <c r="Q194" s="15"/>
      <c r="AD194" s="21"/>
    </row>
    <row r="195" spans="1:30" ht="15.75" customHeight="1">
      <c r="A195" s="8">
        <v>41301</v>
      </c>
      <c r="B195" s="9" t="s">
        <v>209</v>
      </c>
      <c r="C195" s="8">
        <v>3810</v>
      </c>
      <c r="D195" s="8">
        <v>1735.6667069196701</v>
      </c>
      <c r="E195" s="8">
        <v>5284</v>
      </c>
      <c r="F195" s="10">
        <f t="shared" si="0"/>
        <v>0.72104466313398941</v>
      </c>
      <c r="G195" s="10">
        <f t="shared" si="1"/>
        <v>0.45555556612064835</v>
      </c>
      <c r="H195" s="10">
        <f t="shared" si="2"/>
        <v>0.32847590971227675</v>
      </c>
      <c r="I195" s="8">
        <v>128</v>
      </c>
      <c r="J195" s="8">
        <v>56.888890445232391</v>
      </c>
      <c r="K195" s="8">
        <v>210</v>
      </c>
      <c r="L195" s="11">
        <f t="shared" si="3"/>
        <v>0.60952380952380958</v>
      </c>
      <c r="M195" s="12">
        <f t="shared" si="4"/>
        <v>0.44444445660337806</v>
      </c>
      <c r="N195" s="13">
        <f t="shared" si="5"/>
        <v>0.27089947831063044</v>
      </c>
      <c r="O195" s="14">
        <f t="shared" si="6"/>
        <v>0.82471642607800533</v>
      </c>
      <c r="P195" s="15"/>
      <c r="Q195" s="15"/>
      <c r="AD195" s="21"/>
    </row>
    <row r="196" spans="1:30" ht="15.75" customHeight="1">
      <c r="A196" s="8">
        <v>41401</v>
      </c>
      <c r="B196" s="9" t="s">
        <v>210</v>
      </c>
      <c r="C196" s="8">
        <v>6627</v>
      </c>
      <c r="D196" s="8">
        <v>3095.6667436361313</v>
      </c>
      <c r="E196" s="8">
        <v>11335</v>
      </c>
      <c r="F196" s="10">
        <f t="shared" si="0"/>
        <v>0.58464931627701811</v>
      </c>
      <c r="G196" s="10">
        <f t="shared" si="1"/>
        <v>0.46712943166381943</v>
      </c>
      <c r="H196" s="10">
        <f t="shared" si="2"/>
        <v>0.27310690283512407</v>
      </c>
      <c r="I196" s="8">
        <v>309</v>
      </c>
      <c r="J196" s="8">
        <v>120.33333623409271</v>
      </c>
      <c r="K196" s="8">
        <v>1757</v>
      </c>
      <c r="L196" s="11">
        <f t="shared" si="3"/>
        <v>0.17586795674445077</v>
      </c>
      <c r="M196" s="12">
        <f t="shared" si="4"/>
        <v>0.38942827260224178</v>
      </c>
      <c r="N196" s="13">
        <f t="shared" si="5"/>
        <v>6.8487954601077233E-2</v>
      </c>
      <c r="O196" s="14">
        <f t="shared" si="6"/>
        <v>0.25077342934251551</v>
      </c>
      <c r="P196" s="15"/>
      <c r="Q196" s="15"/>
      <c r="AD196" s="21"/>
    </row>
    <row r="197" spans="1:30" ht="15.75" customHeight="1">
      <c r="A197" s="8">
        <v>41501</v>
      </c>
      <c r="B197" s="9" t="s">
        <v>211</v>
      </c>
      <c r="C197" s="8">
        <v>301</v>
      </c>
      <c r="D197" s="8">
        <v>134.00000321865082</v>
      </c>
      <c r="E197" s="8">
        <v>427</v>
      </c>
      <c r="F197" s="10">
        <f t="shared" si="0"/>
        <v>0.70491803278688525</v>
      </c>
      <c r="G197" s="10">
        <f t="shared" si="1"/>
        <v>0.44518273494568378</v>
      </c>
      <c r="H197" s="10">
        <f t="shared" si="2"/>
        <v>0.31381733774859677</v>
      </c>
      <c r="I197" s="8">
        <v>47</v>
      </c>
      <c r="J197" s="8">
        <v>21.444445163011551</v>
      </c>
      <c r="K197" s="8">
        <v>80</v>
      </c>
      <c r="L197" s="11">
        <f t="shared" si="3"/>
        <v>0.58750000000000002</v>
      </c>
      <c r="M197" s="12">
        <f t="shared" si="4"/>
        <v>0.45626479070237341</v>
      </c>
      <c r="N197" s="13">
        <f t="shared" si="5"/>
        <v>0.2680555645376444</v>
      </c>
      <c r="O197" s="14">
        <f t="shared" si="6"/>
        <v>0.85417703961400393</v>
      </c>
      <c r="P197" s="15"/>
      <c r="Q197" s="15"/>
      <c r="AD197" s="21"/>
    </row>
    <row r="198" spans="1:30" ht="15.75" customHeight="1">
      <c r="A198" s="8">
        <v>41502</v>
      </c>
      <c r="B198" s="9" t="s">
        <v>212</v>
      </c>
      <c r="C198" s="8">
        <v>455</v>
      </c>
      <c r="D198" s="8">
        <v>211.8888940513134</v>
      </c>
      <c r="E198" s="8">
        <v>620</v>
      </c>
      <c r="F198" s="10">
        <f t="shared" si="0"/>
        <v>0.7338709677419355</v>
      </c>
      <c r="G198" s="10">
        <f t="shared" si="1"/>
        <v>0.46568987703585363</v>
      </c>
      <c r="H198" s="10">
        <f t="shared" si="2"/>
        <v>0.34175628072792485</v>
      </c>
      <c r="I198" s="8">
        <v>15</v>
      </c>
      <c r="J198" s="8">
        <v>6.4444445073604584</v>
      </c>
      <c r="K198" s="8">
        <v>41</v>
      </c>
      <c r="L198" s="11">
        <f t="shared" si="3"/>
        <v>0.36585365853658536</v>
      </c>
      <c r="M198" s="12">
        <f t="shared" si="4"/>
        <v>0.42962963382403058</v>
      </c>
      <c r="N198" s="13">
        <f t="shared" si="5"/>
        <v>0.15718157335025509</v>
      </c>
      <c r="O198" s="14">
        <f t="shared" si="6"/>
        <v>0.4599229983878152</v>
      </c>
      <c r="P198" s="15"/>
      <c r="Q198" s="15"/>
      <c r="AD198" s="21"/>
    </row>
    <row r="199" spans="1:30" ht="15.75" customHeight="1">
      <c r="A199" s="8">
        <v>41503</v>
      </c>
      <c r="B199" s="9" t="s">
        <v>213</v>
      </c>
      <c r="C199" s="8">
        <v>542</v>
      </c>
      <c r="D199" s="8">
        <v>255.22222891449928</v>
      </c>
      <c r="E199" s="8">
        <v>718</v>
      </c>
      <c r="F199" s="10">
        <f t="shared" si="0"/>
        <v>0.754874651810585</v>
      </c>
      <c r="G199" s="10">
        <f t="shared" si="1"/>
        <v>0.4708897212444636</v>
      </c>
      <c r="H199" s="10">
        <f t="shared" si="2"/>
        <v>0.3554627143655979</v>
      </c>
      <c r="I199" s="8">
        <v>97</v>
      </c>
      <c r="J199" s="8">
        <v>43.666667699813843</v>
      </c>
      <c r="K199" s="8">
        <v>122</v>
      </c>
      <c r="L199" s="11">
        <f t="shared" si="3"/>
        <v>0.79508196721311475</v>
      </c>
      <c r="M199" s="12">
        <f t="shared" si="4"/>
        <v>0.45017183195684374</v>
      </c>
      <c r="N199" s="13">
        <f t="shared" si="5"/>
        <v>0.35792350573617904</v>
      </c>
      <c r="O199" s="14">
        <f t="shared" si="6"/>
        <v>1.0069227833782031</v>
      </c>
      <c r="P199" s="15"/>
      <c r="Q199" s="15"/>
      <c r="AD199" s="21"/>
    </row>
    <row r="200" spans="1:30" ht="15.75" customHeight="1">
      <c r="A200" s="8">
        <v>41601</v>
      </c>
      <c r="B200" s="9" t="s">
        <v>214</v>
      </c>
      <c r="C200" s="8">
        <v>3995</v>
      </c>
      <c r="D200" s="8">
        <v>1840.2222644388676</v>
      </c>
      <c r="E200" s="8">
        <v>5212</v>
      </c>
      <c r="F200" s="10">
        <f t="shared" si="0"/>
        <v>0.76650038372985418</v>
      </c>
      <c r="G200" s="10">
        <f t="shared" si="1"/>
        <v>0.46063135530384669</v>
      </c>
      <c r="H200" s="10">
        <f t="shared" si="2"/>
        <v>0.35307411059840127</v>
      </c>
      <c r="I200" s="8">
        <v>152</v>
      </c>
      <c r="J200" s="8">
        <v>65.555556982755661</v>
      </c>
      <c r="K200" s="8">
        <v>251</v>
      </c>
      <c r="L200" s="11">
        <f t="shared" si="3"/>
        <v>0.60557768924302791</v>
      </c>
      <c r="M200" s="12">
        <f t="shared" si="4"/>
        <v>0.43128655909707669</v>
      </c>
      <c r="N200" s="13">
        <f t="shared" si="5"/>
        <v>0.26117751785958432</v>
      </c>
      <c r="O200" s="14">
        <f t="shared" si="6"/>
        <v>0.73972435253588076</v>
      </c>
      <c r="P200" s="15"/>
      <c r="Q200" s="15"/>
      <c r="AD200" s="21"/>
    </row>
    <row r="201" spans="1:30" ht="15.75" customHeight="1">
      <c r="A201" s="8">
        <v>50101</v>
      </c>
      <c r="B201" s="9" t="s">
        <v>215</v>
      </c>
      <c r="C201" s="8">
        <v>19605</v>
      </c>
      <c r="D201" s="8">
        <v>8204.0002105534077</v>
      </c>
      <c r="E201" s="8">
        <v>98373</v>
      </c>
      <c r="F201" s="10">
        <f t="shared" si="0"/>
        <v>0.19929248879265651</v>
      </c>
      <c r="G201" s="10">
        <f t="shared" si="1"/>
        <v>0.41846468811800092</v>
      </c>
      <c r="H201" s="10">
        <f t="shared" si="2"/>
        <v>8.3396869166879203E-2</v>
      </c>
      <c r="I201" s="8">
        <v>3795</v>
      </c>
      <c r="J201" s="8">
        <v>1434.2222590148449</v>
      </c>
      <c r="K201" s="8">
        <v>89530</v>
      </c>
      <c r="L201" s="11">
        <f t="shared" si="3"/>
        <v>4.2388026359879372E-2</v>
      </c>
      <c r="M201" s="12">
        <f t="shared" si="4"/>
        <v>0.3779241789235428</v>
      </c>
      <c r="N201" s="13">
        <f t="shared" si="5"/>
        <v>1.60194600582469E-2</v>
      </c>
      <c r="O201" s="14">
        <f t="shared" si="6"/>
        <v>0.19208706775540413</v>
      </c>
      <c r="P201" s="15"/>
      <c r="Q201" s="15"/>
      <c r="AD201" s="21"/>
    </row>
    <row r="202" spans="1:30" ht="15.75" customHeight="1">
      <c r="A202" s="8">
        <v>50102</v>
      </c>
      <c r="B202" s="9" t="s">
        <v>216</v>
      </c>
      <c r="C202" s="8">
        <v>22778</v>
      </c>
      <c r="D202" s="8">
        <v>12239.000332474709</v>
      </c>
      <c r="E202" s="8">
        <v>26262</v>
      </c>
      <c r="F202" s="10">
        <f t="shared" si="0"/>
        <v>0.86733683649379334</v>
      </c>
      <c r="G202" s="10">
        <f t="shared" si="1"/>
        <v>0.53731672370158523</v>
      </c>
      <c r="H202" s="10">
        <f t="shared" si="2"/>
        <v>0.46603458733054254</v>
      </c>
      <c r="I202" s="8">
        <v>583</v>
      </c>
      <c r="J202" s="8">
        <v>290.4444522857666</v>
      </c>
      <c r="K202" s="8">
        <v>832</v>
      </c>
      <c r="L202" s="11">
        <f t="shared" si="3"/>
        <v>0.70072115384615385</v>
      </c>
      <c r="M202" s="12">
        <f t="shared" si="4"/>
        <v>0.49818945503562023</v>
      </c>
      <c r="N202" s="13">
        <f t="shared" si="5"/>
        <v>0.34909188976654637</v>
      </c>
      <c r="O202" s="14">
        <f t="shared" si="6"/>
        <v>0.74906862979023336</v>
      </c>
      <c r="P202" s="15"/>
      <c r="Q202" s="15"/>
      <c r="AD202" s="21"/>
    </row>
    <row r="203" spans="1:30" ht="15.75" customHeight="1">
      <c r="A203" s="8">
        <v>50103</v>
      </c>
      <c r="B203" s="9" t="s">
        <v>217</v>
      </c>
      <c r="C203" s="8">
        <v>3039</v>
      </c>
      <c r="D203" s="8">
        <v>1262.8889200389385</v>
      </c>
      <c r="E203" s="8">
        <v>8279</v>
      </c>
      <c r="F203" s="10">
        <f t="shared" si="0"/>
        <v>0.36707331803357895</v>
      </c>
      <c r="G203" s="10">
        <f t="shared" si="1"/>
        <v>0.41556068444848254</v>
      </c>
      <c r="H203" s="10">
        <f t="shared" si="2"/>
        <v>0.15254123928480959</v>
      </c>
      <c r="I203" s="8">
        <v>153</v>
      </c>
      <c r="J203" s="8">
        <v>61.111112505197525</v>
      </c>
      <c r="K203" s="8">
        <v>522</v>
      </c>
      <c r="L203" s="11">
        <f t="shared" si="3"/>
        <v>0.29310344827586204</v>
      </c>
      <c r="M203" s="12">
        <f t="shared" si="4"/>
        <v>0.39941903598168316</v>
      </c>
      <c r="N203" s="13">
        <f t="shared" si="5"/>
        <v>0.11707109675325195</v>
      </c>
      <c r="O203" s="14">
        <f t="shared" si="6"/>
        <v>0.76747178207113309</v>
      </c>
      <c r="P203" s="15"/>
      <c r="Q203" s="15"/>
      <c r="AD203" s="21"/>
    </row>
    <row r="204" spans="1:30" ht="15.75" customHeight="1">
      <c r="A204" s="8">
        <v>50104</v>
      </c>
      <c r="B204" s="9" t="s">
        <v>218</v>
      </c>
      <c r="C204" s="8">
        <v>1705</v>
      </c>
      <c r="D204" s="8">
        <v>765.22224226593971</v>
      </c>
      <c r="E204" s="8">
        <v>2700</v>
      </c>
      <c r="F204" s="10">
        <f t="shared" si="0"/>
        <v>0.63148148148148153</v>
      </c>
      <c r="G204" s="10">
        <f t="shared" si="1"/>
        <v>0.44881069927621098</v>
      </c>
      <c r="H204" s="10">
        <f t="shared" si="2"/>
        <v>0.28341564528368141</v>
      </c>
      <c r="I204" s="8">
        <v>31</v>
      </c>
      <c r="J204" s="8">
        <v>11.777777999639511</v>
      </c>
      <c r="K204" s="8">
        <v>54</v>
      </c>
      <c r="L204" s="11">
        <f t="shared" si="3"/>
        <v>0.57407407407407407</v>
      </c>
      <c r="M204" s="12">
        <f t="shared" si="4"/>
        <v>0.37992832256901649</v>
      </c>
      <c r="N204" s="13">
        <f t="shared" si="5"/>
        <v>0.21810699999332428</v>
      </c>
      <c r="O204" s="14">
        <f t="shared" si="6"/>
        <v>0.76956584303951447</v>
      </c>
      <c r="P204" s="15"/>
      <c r="Q204" s="15"/>
      <c r="AD204" s="21"/>
    </row>
    <row r="205" spans="1:30" ht="15.75" customHeight="1">
      <c r="A205" s="8">
        <v>50201</v>
      </c>
      <c r="B205" s="9" t="s">
        <v>219</v>
      </c>
      <c r="C205" s="8">
        <v>10094</v>
      </c>
      <c r="D205" s="8">
        <v>4409.4445554614067</v>
      </c>
      <c r="E205" s="8">
        <v>18269</v>
      </c>
      <c r="F205" s="10">
        <f t="shared" si="0"/>
        <v>0.55252066341890638</v>
      </c>
      <c r="G205" s="10">
        <f t="shared" si="1"/>
        <v>0.43683817668529884</v>
      </c>
      <c r="H205" s="10">
        <f t="shared" si="2"/>
        <v>0.24136211918886674</v>
      </c>
      <c r="I205" s="8">
        <v>480</v>
      </c>
      <c r="J205" s="8">
        <v>189.44444912672043</v>
      </c>
      <c r="K205" s="8">
        <v>3280</v>
      </c>
      <c r="L205" s="11">
        <f t="shared" si="3"/>
        <v>0.14634146341463414</v>
      </c>
      <c r="M205" s="12">
        <f t="shared" si="4"/>
        <v>0.39467593568066756</v>
      </c>
      <c r="N205" s="13">
        <f t="shared" si="5"/>
        <v>5.7757454002048909E-2</v>
      </c>
      <c r="O205" s="14">
        <f t="shared" si="6"/>
        <v>0.23929792378419371</v>
      </c>
      <c r="P205" s="15"/>
      <c r="Q205" s="15"/>
      <c r="AD205" s="21"/>
    </row>
    <row r="206" spans="1:30" ht="15.75" customHeight="1">
      <c r="A206" s="8">
        <v>50202</v>
      </c>
      <c r="B206" s="9" t="s">
        <v>220</v>
      </c>
      <c r="C206" s="8">
        <v>8766</v>
      </c>
      <c r="D206" s="8">
        <v>3831.333429902792</v>
      </c>
      <c r="E206" s="8">
        <v>15113</v>
      </c>
      <c r="F206" s="10">
        <f t="shared" si="0"/>
        <v>0.58003043737179916</v>
      </c>
      <c r="G206" s="10">
        <f t="shared" si="1"/>
        <v>0.43706746861770385</v>
      </c>
      <c r="H206" s="10">
        <f t="shared" si="2"/>
        <v>0.25351243498331189</v>
      </c>
      <c r="I206" s="8">
        <v>253</v>
      </c>
      <c r="J206" s="8">
        <v>101.2222244143486</v>
      </c>
      <c r="K206" s="8">
        <v>830</v>
      </c>
      <c r="L206" s="11">
        <f t="shared" si="3"/>
        <v>0.30481927710843376</v>
      </c>
      <c r="M206" s="12">
        <f t="shared" si="4"/>
        <v>0.40008784353497473</v>
      </c>
      <c r="N206" s="13">
        <f t="shared" si="5"/>
        <v>0.12195448724620316</v>
      </c>
      <c r="O206" s="14">
        <f t="shared" si="6"/>
        <v>0.48105919243855289</v>
      </c>
      <c r="P206" s="15"/>
      <c r="Q206" s="15"/>
      <c r="AD206" s="21"/>
    </row>
    <row r="207" spans="1:30" ht="15.75" customHeight="1">
      <c r="A207" s="8">
        <v>50203</v>
      </c>
      <c r="B207" s="9" t="s">
        <v>221</v>
      </c>
      <c r="C207" s="8">
        <v>9961</v>
      </c>
      <c r="D207" s="8">
        <v>4165.8889965713024</v>
      </c>
      <c r="E207" s="8">
        <v>29405</v>
      </c>
      <c r="F207" s="10">
        <f t="shared" si="0"/>
        <v>0.3387519129399762</v>
      </c>
      <c r="G207" s="10">
        <f t="shared" si="1"/>
        <v>0.41821995749134649</v>
      </c>
      <c r="H207" s="10">
        <f t="shared" si="2"/>
        <v>0.14167281062986917</v>
      </c>
      <c r="I207" s="8">
        <v>1304</v>
      </c>
      <c r="J207" s="8">
        <v>509.88890132308006</v>
      </c>
      <c r="K207" s="8">
        <v>10970</v>
      </c>
      <c r="L207" s="11">
        <f t="shared" si="3"/>
        <v>0.11886964448495897</v>
      </c>
      <c r="M207" s="12">
        <f t="shared" si="4"/>
        <v>0.39101909610665647</v>
      </c>
      <c r="N207" s="13">
        <f t="shared" si="5"/>
        <v>4.6480300941028257E-2</v>
      </c>
      <c r="O207" s="14">
        <f t="shared" si="6"/>
        <v>0.32808201329796105</v>
      </c>
      <c r="P207" s="15"/>
      <c r="Q207" s="15"/>
      <c r="AD207" s="21"/>
    </row>
    <row r="208" spans="1:30" ht="15.75" customHeight="1">
      <c r="A208" s="8">
        <v>50204</v>
      </c>
      <c r="B208" s="9" t="s">
        <v>222</v>
      </c>
      <c r="C208" s="8">
        <v>5634</v>
      </c>
      <c r="D208" s="8">
        <v>2705.5556271970272</v>
      </c>
      <c r="E208" s="8">
        <v>7593</v>
      </c>
      <c r="F208" s="10">
        <f t="shared" si="0"/>
        <v>0.74199920979849865</v>
      </c>
      <c r="G208" s="10">
        <f t="shared" si="1"/>
        <v>0.48021931615140701</v>
      </c>
      <c r="H208" s="10">
        <f t="shared" si="2"/>
        <v>0.35632235311431942</v>
      </c>
      <c r="I208" s="8">
        <v>103</v>
      </c>
      <c r="J208" s="8">
        <v>43.777778774499893</v>
      </c>
      <c r="K208" s="8">
        <v>318</v>
      </c>
      <c r="L208" s="11">
        <f t="shared" si="3"/>
        <v>0.32389937106918237</v>
      </c>
      <c r="M208" s="12">
        <f t="shared" si="4"/>
        <v>0.42502697839320286</v>
      </c>
      <c r="N208" s="13">
        <f t="shared" si="5"/>
        <v>0.13766597098899336</v>
      </c>
      <c r="O208" s="14">
        <f t="shared" si="6"/>
        <v>0.38635232896776978</v>
      </c>
      <c r="P208" s="15"/>
      <c r="Q208" s="15"/>
      <c r="AD208" s="21"/>
    </row>
    <row r="209" spans="1:30" ht="15.75" customHeight="1">
      <c r="A209" s="8">
        <v>50301</v>
      </c>
      <c r="B209" s="9" t="s">
        <v>223</v>
      </c>
      <c r="C209" s="8">
        <v>19841</v>
      </c>
      <c r="D209" s="8">
        <v>9463.3335817456245</v>
      </c>
      <c r="E209" s="8">
        <v>31987</v>
      </c>
      <c r="F209" s="10">
        <f t="shared" si="0"/>
        <v>0.62028324006627689</v>
      </c>
      <c r="G209" s="10">
        <f t="shared" si="1"/>
        <v>0.47695849915556798</v>
      </c>
      <c r="H209" s="10">
        <f t="shared" si="2"/>
        <v>0.2958493632333643</v>
      </c>
      <c r="I209" s="8">
        <v>497</v>
      </c>
      <c r="J209" s="8">
        <v>208.77778261899948</v>
      </c>
      <c r="K209" s="8">
        <v>1656</v>
      </c>
      <c r="L209" s="11">
        <f t="shared" si="3"/>
        <v>0.3001207729468599</v>
      </c>
      <c r="M209" s="12">
        <f t="shared" si="4"/>
        <v>0.42007602136619615</v>
      </c>
      <c r="N209" s="13">
        <f t="shared" si="5"/>
        <v>0.12607354022886441</v>
      </c>
      <c r="O209" s="14">
        <f t="shared" si="6"/>
        <v>0.42614098895125324</v>
      </c>
      <c r="P209" s="15"/>
      <c r="Q209" s="15"/>
      <c r="AD209" s="21"/>
    </row>
    <row r="210" spans="1:30" ht="15.75" customHeight="1">
      <c r="A210" s="8">
        <v>50302</v>
      </c>
      <c r="B210" s="9" t="s">
        <v>224</v>
      </c>
      <c r="C210" s="8">
        <v>5254</v>
      </c>
      <c r="D210" s="8">
        <v>2328.7778368890285</v>
      </c>
      <c r="E210" s="8">
        <v>9393</v>
      </c>
      <c r="F210" s="10">
        <f t="shared" si="0"/>
        <v>0.55935270946449489</v>
      </c>
      <c r="G210" s="10">
        <f t="shared" si="1"/>
        <v>0.44323902491226275</v>
      </c>
      <c r="H210" s="10">
        <f t="shared" si="2"/>
        <v>0.24792694952507491</v>
      </c>
      <c r="I210" s="8">
        <v>223</v>
      </c>
      <c r="J210" s="8">
        <v>93.888891488313675</v>
      </c>
      <c r="K210" s="8">
        <v>414</v>
      </c>
      <c r="L210" s="11">
        <f t="shared" si="3"/>
        <v>0.53864734299516903</v>
      </c>
      <c r="M210" s="12">
        <f t="shared" si="4"/>
        <v>0.42102641923010614</v>
      </c>
      <c r="N210" s="13">
        <f t="shared" si="5"/>
        <v>0.22678476204906681</v>
      </c>
      <c r="O210" s="14">
        <f t="shared" si="6"/>
        <v>0.91472412532599723</v>
      </c>
      <c r="P210" s="15"/>
      <c r="Q210" s="15"/>
      <c r="AD210" s="21"/>
    </row>
    <row r="211" spans="1:30" ht="15.75" customHeight="1">
      <c r="A211" s="8">
        <v>50303</v>
      </c>
      <c r="B211" s="9" t="s">
        <v>225</v>
      </c>
      <c r="C211" s="8">
        <v>10326</v>
      </c>
      <c r="D211" s="8">
        <v>5448.1112619638443</v>
      </c>
      <c r="E211" s="8">
        <v>11168</v>
      </c>
      <c r="F211" s="10">
        <f t="shared" si="0"/>
        <v>0.9246060171919771</v>
      </c>
      <c r="G211" s="10">
        <f t="shared" si="1"/>
        <v>0.52761100735656052</v>
      </c>
      <c r="H211" s="10">
        <f t="shared" si="2"/>
        <v>0.48783231213859635</v>
      </c>
      <c r="I211" s="8">
        <v>437</v>
      </c>
      <c r="J211" s="8">
        <v>195.88889381289482</v>
      </c>
      <c r="K211" s="8">
        <v>527</v>
      </c>
      <c r="L211" s="11">
        <f t="shared" si="3"/>
        <v>0.82922201138519924</v>
      </c>
      <c r="M211" s="12">
        <f t="shared" si="4"/>
        <v>0.44825833824461059</v>
      </c>
      <c r="N211" s="13">
        <f t="shared" si="5"/>
        <v>0.37170568085938299</v>
      </c>
      <c r="O211" s="14">
        <f t="shared" si="6"/>
        <v>0.76195379356867809</v>
      </c>
      <c r="P211" s="15"/>
      <c r="Q211" s="15"/>
      <c r="AD211" s="21"/>
    </row>
    <row r="212" spans="1:30" ht="15.75" customHeight="1">
      <c r="A212" s="8">
        <v>50401</v>
      </c>
      <c r="B212" s="9" t="s">
        <v>226</v>
      </c>
      <c r="C212" s="8">
        <v>10858</v>
      </c>
      <c r="D212" s="8">
        <v>5666.5557142794132</v>
      </c>
      <c r="E212" s="8">
        <v>14373</v>
      </c>
      <c r="F212" s="10">
        <f t="shared" si="0"/>
        <v>0.75544423571975228</v>
      </c>
      <c r="G212" s="10">
        <f t="shared" si="1"/>
        <v>0.52187840433591948</v>
      </c>
      <c r="H212" s="10">
        <f t="shared" si="2"/>
        <v>0.39425003230219252</v>
      </c>
      <c r="I212" s="8">
        <v>325</v>
      </c>
      <c r="J212" s="8">
        <v>149.44444835186005</v>
      </c>
      <c r="K212" s="8">
        <v>696</v>
      </c>
      <c r="L212" s="11">
        <f t="shared" si="3"/>
        <v>0.46695402298850575</v>
      </c>
      <c r="M212" s="12">
        <f t="shared" si="4"/>
        <v>0.45982907185187705</v>
      </c>
      <c r="N212" s="13">
        <f t="shared" si="5"/>
        <v>0.21471903498830466</v>
      </c>
      <c r="O212" s="14">
        <f t="shared" si="6"/>
        <v>0.54462655014755357</v>
      </c>
      <c r="P212" s="15"/>
      <c r="Q212" s="15"/>
      <c r="AD212" s="21"/>
    </row>
    <row r="213" spans="1:30" ht="15.75" customHeight="1">
      <c r="A213" s="8">
        <v>50402</v>
      </c>
      <c r="B213" s="9" t="s">
        <v>227</v>
      </c>
      <c r="C213" s="8">
        <v>16788</v>
      </c>
      <c r="D213" s="8">
        <v>8872.4446837306023</v>
      </c>
      <c r="E213" s="8">
        <v>20419</v>
      </c>
      <c r="F213" s="10">
        <f t="shared" si="0"/>
        <v>0.82217542484940498</v>
      </c>
      <c r="G213" s="10">
        <f t="shared" si="1"/>
        <v>0.52849920679834417</v>
      </c>
      <c r="H213" s="10">
        <f t="shared" si="2"/>
        <v>0.43451905988200218</v>
      </c>
      <c r="I213" s="8">
        <v>343</v>
      </c>
      <c r="J213" s="8">
        <v>154.77778196334839</v>
      </c>
      <c r="K213" s="8">
        <v>622</v>
      </c>
      <c r="L213" s="11">
        <f t="shared" si="3"/>
        <v>0.55144694533762062</v>
      </c>
      <c r="M213" s="12">
        <f t="shared" si="4"/>
        <v>0.4512471777357096</v>
      </c>
      <c r="N213" s="13">
        <f t="shared" si="5"/>
        <v>0.24883887775457944</v>
      </c>
      <c r="O213" s="14">
        <f t="shared" si="6"/>
        <v>0.57267655375613213</v>
      </c>
      <c r="P213" s="15"/>
      <c r="Q213" s="15"/>
      <c r="AD213" s="21"/>
    </row>
    <row r="214" spans="1:30" ht="15.75" customHeight="1">
      <c r="A214" s="8">
        <v>50403</v>
      </c>
      <c r="B214" s="9" t="s">
        <v>228</v>
      </c>
      <c r="C214" s="8">
        <v>19127</v>
      </c>
      <c r="D214" s="8">
        <v>9038.2224627435207</v>
      </c>
      <c r="E214" s="8">
        <v>25155</v>
      </c>
      <c r="F214" s="10">
        <f t="shared" si="0"/>
        <v>0.76036573245875572</v>
      </c>
      <c r="G214" s="10">
        <f t="shared" si="1"/>
        <v>0.47253737976386889</v>
      </c>
      <c r="H214" s="10">
        <f t="shared" si="2"/>
        <v>0.35930123087829541</v>
      </c>
      <c r="I214" s="8">
        <v>649</v>
      </c>
      <c r="J214" s="8">
        <v>290.00000727176666</v>
      </c>
      <c r="K214" s="8">
        <v>1018</v>
      </c>
      <c r="L214" s="11">
        <f t="shared" si="3"/>
        <v>0.63752455795677798</v>
      </c>
      <c r="M214" s="12">
        <f t="shared" si="4"/>
        <v>0.44684130550349255</v>
      </c>
      <c r="N214" s="13">
        <f t="shared" si="5"/>
        <v>0.28487230576794365</v>
      </c>
      <c r="O214" s="14">
        <f t="shared" si="6"/>
        <v>0.79285090416079662</v>
      </c>
      <c r="P214" s="15"/>
      <c r="Q214" s="15"/>
      <c r="AD214" s="21"/>
    </row>
    <row r="215" spans="1:30" ht="15.75" customHeight="1">
      <c r="A215" s="8">
        <v>50404</v>
      </c>
      <c r="B215" s="9" t="s">
        <v>229</v>
      </c>
      <c r="C215" s="8">
        <v>13400</v>
      </c>
      <c r="D215" s="8">
        <v>7222.8890862762928</v>
      </c>
      <c r="E215" s="8">
        <v>15631</v>
      </c>
      <c r="F215" s="10">
        <f t="shared" si="0"/>
        <v>0.85727080800972422</v>
      </c>
      <c r="G215" s="10">
        <f t="shared" si="1"/>
        <v>0.53902157360270841</v>
      </c>
      <c r="H215" s="10">
        <f t="shared" si="2"/>
        <v>0.4620874599370669</v>
      </c>
      <c r="I215" s="8">
        <v>253</v>
      </c>
      <c r="J215" s="8">
        <v>114.00000295042992</v>
      </c>
      <c r="K215" s="8">
        <v>392</v>
      </c>
      <c r="L215" s="11">
        <f t="shared" si="3"/>
        <v>0.64540816326530615</v>
      </c>
      <c r="M215" s="12">
        <f t="shared" si="4"/>
        <v>0.4505928970372724</v>
      </c>
      <c r="N215" s="13">
        <f t="shared" si="5"/>
        <v>0.29081633405721918</v>
      </c>
      <c r="O215" s="14">
        <f t="shared" si="6"/>
        <v>0.62935344338672672</v>
      </c>
      <c r="P215" s="15"/>
      <c r="Q215" s="15"/>
      <c r="AD215" s="21"/>
    </row>
    <row r="216" spans="1:30" ht="15.75" customHeight="1">
      <c r="A216" s="8">
        <v>50405</v>
      </c>
      <c r="B216" s="9" t="s">
        <v>230</v>
      </c>
      <c r="C216" s="8">
        <v>15857</v>
      </c>
      <c r="D216" s="8">
        <v>7737.0002120733261</v>
      </c>
      <c r="E216" s="8">
        <v>19352</v>
      </c>
      <c r="F216" s="10">
        <f t="shared" si="0"/>
        <v>0.81939851178172796</v>
      </c>
      <c r="G216" s="10">
        <f t="shared" si="1"/>
        <v>0.48792332799857008</v>
      </c>
      <c r="H216" s="10">
        <f t="shared" si="2"/>
        <v>0.39980364882561625</v>
      </c>
      <c r="I216" s="8">
        <v>320</v>
      </c>
      <c r="J216" s="8">
        <v>140.66667026281357</v>
      </c>
      <c r="K216" s="8">
        <v>481</v>
      </c>
      <c r="L216" s="11">
        <f t="shared" si="3"/>
        <v>0.66528066528066532</v>
      </c>
      <c r="M216" s="12">
        <f t="shared" si="4"/>
        <v>0.43958334457129239</v>
      </c>
      <c r="N216" s="13">
        <f t="shared" si="5"/>
        <v>0.29244629992268933</v>
      </c>
      <c r="O216" s="14">
        <f t="shared" si="6"/>
        <v>0.73147481465394693</v>
      </c>
      <c r="P216" s="15"/>
      <c r="Q216" s="15"/>
      <c r="AD216" s="21"/>
    </row>
    <row r="217" spans="1:30" ht="15.75" customHeight="1">
      <c r="A217" s="8">
        <v>50501</v>
      </c>
      <c r="B217" s="9" t="s">
        <v>231</v>
      </c>
      <c r="C217" s="8">
        <v>26368</v>
      </c>
      <c r="D217" s="8">
        <v>14484.333740323782</v>
      </c>
      <c r="E217" s="8">
        <v>28860</v>
      </c>
      <c r="F217" s="10">
        <f t="shared" si="0"/>
        <v>0.91365211365211363</v>
      </c>
      <c r="G217" s="10">
        <f t="shared" si="1"/>
        <v>0.54931484148679388</v>
      </c>
      <c r="H217" s="10">
        <f t="shared" si="2"/>
        <v>0.50188266598488496</v>
      </c>
      <c r="I217" s="8">
        <v>616</v>
      </c>
      <c r="J217" s="8">
        <v>298.44445261359215</v>
      </c>
      <c r="K217" s="8">
        <v>953</v>
      </c>
      <c r="L217" s="11">
        <f t="shared" si="3"/>
        <v>0.64637985309548796</v>
      </c>
      <c r="M217" s="12">
        <f t="shared" si="4"/>
        <v>0.48448774774933789</v>
      </c>
      <c r="N217" s="13">
        <f t="shared" si="5"/>
        <v>0.31316311921678086</v>
      </c>
      <c r="O217" s="14">
        <f t="shared" si="6"/>
        <v>0.62397675879527648</v>
      </c>
      <c r="P217" s="15"/>
      <c r="Q217" s="15"/>
      <c r="AD217" s="21"/>
    </row>
    <row r="218" spans="1:30" ht="15.75" customHeight="1">
      <c r="A218" s="8">
        <v>50502</v>
      </c>
      <c r="B218" s="9" t="s">
        <v>232</v>
      </c>
      <c r="C218" s="8">
        <v>8097</v>
      </c>
      <c r="D218" s="8">
        <v>4214.4445602297783</v>
      </c>
      <c r="E218" s="8">
        <v>10114</v>
      </c>
      <c r="F218" s="10">
        <f t="shared" si="0"/>
        <v>0.80057346252719008</v>
      </c>
      <c r="G218" s="10">
        <f t="shared" si="1"/>
        <v>0.52049457332713078</v>
      </c>
      <c r="H218" s="10">
        <f t="shared" si="2"/>
        <v>0.41669414279511352</v>
      </c>
      <c r="I218" s="8">
        <v>222</v>
      </c>
      <c r="J218" s="8">
        <v>99.777780741453171</v>
      </c>
      <c r="K218" s="8">
        <v>603</v>
      </c>
      <c r="L218" s="11">
        <f t="shared" si="3"/>
        <v>0.36815920398009949</v>
      </c>
      <c r="M218" s="12">
        <f t="shared" si="4"/>
        <v>0.44944946279933862</v>
      </c>
      <c r="N218" s="13">
        <f t="shared" si="5"/>
        <v>0.16546895645348783</v>
      </c>
      <c r="O218" s="14">
        <f t="shared" si="6"/>
        <v>0.39709930968443707</v>
      </c>
      <c r="P218" s="15"/>
      <c r="Q218" s="15"/>
      <c r="AD218" s="21"/>
    </row>
    <row r="219" spans="1:30" ht="15.75" customHeight="1">
      <c r="A219" s="8">
        <v>50601</v>
      </c>
      <c r="B219" s="9" t="s">
        <v>233</v>
      </c>
      <c r="C219" s="8">
        <v>17413</v>
      </c>
      <c r="D219" s="8">
        <v>7701.1113096475601</v>
      </c>
      <c r="E219" s="8">
        <v>28221</v>
      </c>
      <c r="F219" s="10">
        <f t="shared" si="0"/>
        <v>0.6170227844512951</v>
      </c>
      <c r="G219" s="10">
        <f t="shared" si="1"/>
        <v>0.44226217823738356</v>
      </c>
      <c r="H219" s="10">
        <f t="shared" si="2"/>
        <v>0.27288584067352539</v>
      </c>
      <c r="I219" s="8">
        <v>1143</v>
      </c>
      <c r="J219" s="8">
        <v>467.88889992237091</v>
      </c>
      <c r="K219" s="8">
        <v>3225</v>
      </c>
      <c r="L219" s="11">
        <f t="shared" si="3"/>
        <v>0.35441860465116282</v>
      </c>
      <c r="M219" s="12">
        <f t="shared" si="4"/>
        <v>0.40935161847976459</v>
      </c>
      <c r="N219" s="13">
        <f t="shared" si="5"/>
        <v>0.14508182943329331</v>
      </c>
      <c r="O219" s="14">
        <f t="shared" si="6"/>
        <v>0.53165759379529709</v>
      </c>
      <c r="P219" s="15"/>
      <c r="Q219" s="15"/>
      <c r="AD219" s="21"/>
    </row>
    <row r="220" spans="1:30" ht="15.75" customHeight="1">
      <c r="A220" s="8">
        <v>50602</v>
      </c>
      <c r="B220" s="9" t="s">
        <v>234</v>
      </c>
      <c r="C220" s="8">
        <v>5128</v>
      </c>
      <c r="D220" s="8">
        <v>2218.1111708283424</v>
      </c>
      <c r="E220" s="8">
        <v>9924</v>
      </c>
      <c r="F220" s="10">
        <f t="shared" si="0"/>
        <v>0.51672712615880689</v>
      </c>
      <c r="G220" s="10">
        <f t="shared" si="1"/>
        <v>0.43254898027073763</v>
      </c>
      <c r="H220" s="10">
        <f t="shared" si="2"/>
        <v>0.22350979149822073</v>
      </c>
      <c r="I220" s="8">
        <v>215</v>
      </c>
      <c r="J220" s="8">
        <v>80.888890743255615</v>
      </c>
      <c r="K220" s="8">
        <v>556</v>
      </c>
      <c r="L220" s="11">
        <f t="shared" si="3"/>
        <v>0.38669064748201437</v>
      </c>
      <c r="M220" s="12">
        <f t="shared" si="4"/>
        <v>0.37622739880584005</v>
      </c>
      <c r="N220" s="13">
        <f t="shared" si="5"/>
        <v>0.14548361644470434</v>
      </c>
      <c r="O220" s="14">
        <f t="shared" si="6"/>
        <v>0.65090489087527281</v>
      </c>
      <c r="P220" s="15"/>
      <c r="Q220" s="15"/>
      <c r="AD220" s="21"/>
    </row>
    <row r="221" spans="1:30" ht="15.75" customHeight="1">
      <c r="A221" s="8">
        <v>50701</v>
      </c>
      <c r="B221" s="9" t="s">
        <v>235</v>
      </c>
      <c r="C221" s="8">
        <v>13760</v>
      </c>
      <c r="D221" s="8">
        <v>6662.7779546976089</v>
      </c>
      <c r="E221" s="8">
        <v>18253</v>
      </c>
      <c r="F221" s="10">
        <f t="shared" si="0"/>
        <v>0.75384868240837122</v>
      </c>
      <c r="G221" s="10">
        <f t="shared" si="1"/>
        <v>0.48421351414953551</v>
      </c>
      <c r="H221" s="10">
        <f t="shared" si="2"/>
        <v>0.36502371964595454</v>
      </c>
      <c r="I221" s="8">
        <v>498</v>
      </c>
      <c r="J221" s="8">
        <v>245.77778443694115</v>
      </c>
      <c r="K221" s="8">
        <v>1114</v>
      </c>
      <c r="L221" s="11">
        <f t="shared" si="3"/>
        <v>0.44703770197486536</v>
      </c>
      <c r="M221" s="12">
        <f t="shared" si="4"/>
        <v>0.49352968762437982</v>
      </c>
      <c r="N221" s="13">
        <f t="shared" si="5"/>
        <v>0.22062637741197591</v>
      </c>
      <c r="O221" s="14">
        <f t="shared" si="6"/>
        <v>0.60441655031614616</v>
      </c>
      <c r="P221" s="15"/>
      <c r="Q221" s="15"/>
      <c r="AD221" s="21"/>
    </row>
    <row r="222" spans="1:30" ht="15.75" customHeight="1">
      <c r="A222" s="8">
        <v>50702</v>
      </c>
      <c r="B222" s="9" t="s">
        <v>236</v>
      </c>
      <c r="C222" s="8">
        <v>6223</v>
      </c>
      <c r="D222" s="8">
        <v>2744.222293227911</v>
      </c>
      <c r="E222" s="8">
        <v>8433</v>
      </c>
      <c r="F222" s="10">
        <f t="shared" si="0"/>
        <v>0.73793430570378271</v>
      </c>
      <c r="G222" s="10">
        <f t="shared" si="1"/>
        <v>0.44098060312195259</v>
      </c>
      <c r="H222" s="10">
        <f t="shared" si="2"/>
        <v>0.32541471519363346</v>
      </c>
      <c r="I222" s="8">
        <v>61</v>
      </c>
      <c r="J222" s="8">
        <v>25.222223103046417</v>
      </c>
      <c r="K222" s="8">
        <v>212</v>
      </c>
      <c r="L222" s="11">
        <f t="shared" si="3"/>
        <v>0.28773584905660377</v>
      </c>
      <c r="M222" s="12">
        <f t="shared" si="4"/>
        <v>0.413479067263056</v>
      </c>
      <c r="N222" s="13">
        <f t="shared" si="5"/>
        <v>0.11897275048606799</v>
      </c>
      <c r="O222" s="14">
        <f t="shared" si="6"/>
        <v>0.36560347437046575</v>
      </c>
      <c r="P222" s="15"/>
      <c r="Q222" s="15"/>
      <c r="AD222" s="21"/>
    </row>
    <row r="223" spans="1:30" ht="15.75" customHeight="1">
      <c r="A223" s="8">
        <v>50801</v>
      </c>
      <c r="B223" s="9" t="s">
        <v>237</v>
      </c>
      <c r="C223" s="8">
        <v>11378</v>
      </c>
      <c r="D223" s="8">
        <v>5013.0001317858696</v>
      </c>
      <c r="E223" s="8">
        <v>37149</v>
      </c>
      <c r="F223" s="10">
        <f t="shared" si="0"/>
        <v>0.306280115211715</v>
      </c>
      <c r="G223" s="10">
        <f t="shared" si="1"/>
        <v>0.44058710949076019</v>
      </c>
      <c r="H223" s="10">
        <f t="shared" si="2"/>
        <v>0.13494307065562652</v>
      </c>
      <c r="I223" s="8">
        <v>1873</v>
      </c>
      <c r="J223" s="8">
        <v>788.44446381926537</v>
      </c>
      <c r="K223" s="8">
        <v>6570</v>
      </c>
      <c r="L223" s="11">
        <f t="shared" si="3"/>
        <v>0.28508371385083714</v>
      </c>
      <c r="M223" s="12">
        <f t="shared" si="4"/>
        <v>0.42095273028257629</v>
      </c>
      <c r="N223" s="13">
        <f t="shared" si="5"/>
        <v>0.12000676770460661</v>
      </c>
      <c r="O223" s="14">
        <f t="shared" si="6"/>
        <v>0.88931404274075532</v>
      </c>
      <c r="P223" s="15"/>
      <c r="Q223" s="15"/>
      <c r="AD223" s="21"/>
    </row>
    <row r="224" spans="1:30" ht="15.75" customHeight="1">
      <c r="A224" s="8">
        <v>50802</v>
      </c>
      <c r="B224" s="9" t="s">
        <v>238</v>
      </c>
      <c r="C224" s="8">
        <v>1695</v>
      </c>
      <c r="D224" s="8">
        <v>695.66668480634689</v>
      </c>
      <c r="E224" s="8">
        <v>6945</v>
      </c>
      <c r="F224" s="10">
        <f t="shared" si="0"/>
        <v>0.24406047516198703</v>
      </c>
      <c r="G224" s="10">
        <f t="shared" si="1"/>
        <v>0.41042282289459991</v>
      </c>
      <c r="H224" s="10">
        <f t="shared" si="2"/>
        <v>0.1001679891729801</v>
      </c>
      <c r="I224" s="8">
        <v>569</v>
      </c>
      <c r="J224" s="8">
        <v>214.22222739458084</v>
      </c>
      <c r="K224" s="8">
        <v>3985</v>
      </c>
      <c r="L224" s="11">
        <f t="shared" si="3"/>
        <v>0.14278544542032623</v>
      </c>
      <c r="M224" s="12">
        <f t="shared" si="4"/>
        <v>0.37648897608889426</v>
      </c>
      <c r="N224" s="13">
        <f t="shared" si="5"/>
        <v>5.3757146146695314E-2</v>
      </c>
      <c r="O224" s="14">
        <f t="shared" si="6"/>
        <v>0.5366699141165957</v>
      </c>
      <c r="P224" s="15"/>
      <c r="Q224" s="15"/>
      <c r="AD224" s="21"/>
    </row>
    <row r="225" spans="1:30" ht="15.75" customHeight="1">
      <c r="A225" s="8">
        <v>50901</v>
      </c>
      <c r="B225" s="9" t="s">
        <v>239</v>
      </c>
      <c r="C225" s="8">
        <v>4992</v>
      </c>
      <c r="D225" s="8">
        <v>2245.5556142628193</v>
      </c>
      <c r="E225" s="8">
        <v>9549</v>
      </c>
      <c r="F225" s="10">
        <f t="shared" si="0"/>
        <v>0.52277725416273957</v>
      </c>
      <c r="G225" s="10">
        <f t="shared" si="1"/>
        <v>0.44983085221610963</v>
      </c>
      <c r="H225" s="10">
        <f t="shared" si="2"/>
        <v>0.23516133775922288</v>
      </c>
      <c r="I225" s="8">
        <v>386</v>
      </c>
      <c r="J225" s="8">
        <v>156.22222569584846</v>
      </c>
      <c r="K225" s="8">
        <v>1569</v>
      </c>
      <c r="L225" s="11">
        <f t="shared" si="3"/>
        <v>0.24601657106437222</v>
      </c>
      <c r="M225" s="12">
        <f t="shared" si="4"/>
        <v>0.40472079195815663</v>
      </c>
      <c r="N225" s="13">
        <f t="shared" si="5"/>
        <v>9.9568021476002841E-2</v>
      </c>
      <c r="O225" s="14">
        <f t="shared" si="6"/>
        <v>0.42340302374852368</v>
      </c>
      <c r="P225" s="15"/>
      <c r="Q225" s="15"/>
      <c r="AD225" s="21"/>
    </row>
    <row r="226" spans="1:30" ht="15.75" customHeight="1">
      <c r="A226" s="8">
        <v>50902</v>
      </c>
      <c r="B226" s="9" t="s">
        <v>240</v>
      </c>
      <c r="C226" s="8">
        <v>262</v>
      </c>
      <c r="D226" s="8">
        <v>105.77778035402298</v>
      </c>
      <c r="E226" s="8">
        <v>642</v>
      </c>
      <c r="F226" s="10">
        <f t="shared" si="0"/>
        <v>0.40809968847352024</v>
      </c>
      <c r="G226" s="10">
        <f t="shared" si="1"/>
        <v>0.40373198608405719</v>
      </c>
      <c r="H226" s="10">
        <f t="shared" si="2"/>
        <v>0.16476289774769934</v>
      </c>
      <c r="I226" s="8">
        <v>179</v>
      </c>
      <c r="J226" s="8">
        <v>76.111112833023071</v>
      </c>
      <c r="K226" s="8">
        <v>353</v>
      </c>
      <c r="L226" s="11">
        <f t="shared" si="3"/>
        <v>0.50708215297450421</v>
      </c>
      <c r="M226" s="12">
        <f t="shared" si="4"/>
        <v>0.42520174767051994</v>
      </c>
      <c r="N226" s="13">
        <f t="shared" si="5"/>
        <v>0.21561221765728913</v>
      </c>
      <c r="O226" s="14">
        <f t="shared" si="6"/>
        <v>1.3086211799179153</v>
      </c>
      <c r="P226" s="15"/>
      <c r="Q226" s="15"/>
      <c r="AD226" s="21"/>
    </row>
    <row r="227" spans="1:30" ht="15.75" customHeight="1">
      <c r="A227" s="8">
        <v>51001</v>
      </c>
      <c r="B227" s="9" t="s">
        <v>241</v>
      </c>
      <c r="C227" s="8">
        <v>1637</v>
      </c>
      <c r="D227" s="8">
        <v>743.33335104584694</v>
      </c>
      <c r="E227" s="8">
        <v>2536</v>
      </c>
      <c r="F227" s="10">
        <f t="shared" si="0"/>
        <v>0.64550473186119872</v>
      </c>
      <c r="G227" s="10">
        <f t="shared" si="1"/>
        <v>0.45408268237376109</v>
      </c>
      <c r="H227" s="10">
        <f t="shared" si="2"/>
        <v>0.29311252012848854</v>
      </c>
      <c r="I227" s="8">
        <v>203</v>
      </c>
      <c r="J227" s="8">
        <v>82.222224354743958</v>
      </c>
      <c r="K227" s="8">
        <v>422</v>
      </c>
      <c r="L227" s="11">
        <f t="shared" si="3"/>
        <v>0.48104265402843605</v>
      </c>
      <c r="M227" s="12">
        <f t="shared" si="4"/>
        <v>0.40503558795440375</v>
      </c>
      <c r="N227" s="13">
        <f t="shared" si="5"/>
        <v>0.19483939420555443</v>
      </c>
      <c r="O227" s="14">
        <f t="shared" si="6"/>
        <v>0.66472559452644608</v>
      </c>
      <c r="P227" s="15"/>
      <c r="Q227" s="15"/>
      <c r="AD227" s="21"/>
    </row>
    <row r="228" spans="1:30" ht="15.75" customHeight="1">
      <c r="A228" s="8">
        <v>51002</v>
      </c>
      <c r="B228" s="9" t="s">
        <v>242</v>
      </c>
      <c r="C228" s="8">
        <v>790</v>
      </c>
      <c r="D228" s="8">
        <v>395.00001147389412</v>
      </c>
      <c r="E228" s="8">
        <v>1021</v>
      </c>
      <c r="F228" s="10">
        <f t="shared" si="0"/>
        <v>0.77375122428991183</v>
      </c>
      <c r="G228" s="10">
        <f t="shared" si="1"/>
        <v>0.50000001452391662</v>
      </c>
      <c r="H228" s="10">
        <f t="shared" si="2"/>
        <v>0.38687562338285419</v>
      </c>
      <c r="I228" s="8">
        <v>62</v>
      </c>
      <c r="J228" s="8">
        <v>21.777778446674347</v>
      </c>
      <c r="K228" s="8">
        <v>157</v>
      </c>
      <c r="L228" s="11">
        <f t="shared" si="3"/>
        <v>0.39490445859872614</v>
      </c>
      <c r="M228" s="12">
        <f t="shared" si="4"/>
        <v>0.35125449107539269</v>
      </c>
      <c r="N228" s="13">
        <f t="shared" si="5"/>
        <v>0.13871196462849902</v>
      </c>
      <c r="O228" s="14">
        <f t="shared" si="6"/>
        <v>0.35854408043493846</v>
      </c>
      <c r="P228" s="15"/>
      <c r="Q228" s="15"/>
      <c r="AD228" s="21"/>
    </row>
    <row r="229" spans="1:30" ht="15.75" customHeight="1">
      <c r="A229" s="8">
        <v>51003</v>
      </c>
      <c r="B229" s="9" t="s">
        <v>243</v>
      </c>
      <c r="C229" s="8">
        <v>1025</v>
      </c>
      <c r="D229" s="8">
        <v>454.00001195073128</v>
      </c>
      <c r="E229" s="8">
        <v>1785</v>
      </c>
      <c r="F229" s="10">
        <f t="shared" si="0"/>
        <v>0.57422969187675066</v>
      </c>
      <c r="G229" s="10">
        <f t="shared" si="1"/>
        <v>0.4429268409275427</v>
      </c>
      <c r="H229" s="10">
        <f t="shared" si="2"/>
        <v>0.2543417433897654</v>
      </c>
      <c r="I229" s="8">
        <v>251</v>
      </c>
      <c r="J229" s="8">
        <v>103.22222459316254</v>
      </c>
      <c r="K229" s="8">
        <v>454</v>
      </c>
      <c r="L229" s="11">
        <f t="shared" si="3"/>
        <v>0.55286343612334798</v>
      </c>
      <c r="M229" s="12">
        <f t="shared" si="4"/>
        <v>0.41124392268192245</v>
      </c>
      <c r="N229" s="13">
        <f t="shared" si="5"/>
        <v>0.22736172817877209</v>
      </c>
      <c r="O229" s="14">
        <f t="shared" si="6"/>
        <v>0.89392218968300519</v>
      </c>
      <c r="P229" s="15"/>
      <c r="Q229" s="15"/>
      <c r="AD229" s="21"/>
    </row>
    <row r="230" spans="1:30" ht="15.75" customHeight="1">
      <c r="A230" s="8">
        <v>51101</v>
      </c>
      <c r="B230" s="9" t="s">
        <v>244</v>
      </c>
      <c r="C230" s="8">
        <v>10729</v>
      </c>
      <c r="D230" s="8">
        <v>4727.7778989076614</v>
      </c>
      <c r="E230" s="8">
        <v>20832</v>
      </c>
      <c r="F230" s="10">
        <f t="shared" si="0"/>
        <v>0.5150249615975423</v>
      </c>
      <c r="G230" s="10">
        <f t="shared" si="1"/>
        <v>0.44065410559303397</v>
      </c>
      <c r="H230" s="10">
        <f t="shared" si="2"/>
        <v>0.22694786381085166</v>
      </c>
      <c r="I230" s="8">
        <v>403</v>
      </c>
      <c r="J230" s="8">
        <v>167.44444841146469</v>
      </c>
      <c r="K230" s="8">
        <v>938</v>
      </c>
      <c r="L230" s="11">
        <f t="shared" si="3"/>
        <v>0.42963752665245203</v>
      </c>
      <c r="M230" s="12">
        <f t="shared" si="4"/>
        <v>0.41549490920958981</v>
      </c>
      <c r="N230" s="13">
        <f t="shared" si="5"/>
        <v>0.17851220512949328</v>
      </c>
      <c r="O230" s="14">
        <f t="shared" si="6"/>
        <v>0.78657803661140957</v>
      </c>
      <c r="P230" s="15"/>
      <c r="Q230" s="15"/>
      <c r="AD230" s="21"/>
    </row>
    <row r="231" spans="1:30" ht="15.75" customHeight="1">
      <c r="A231" s="8">
        <v>51102</v>
      </c>
      <c r="B231" s="9" t="s">
        <v>245</v>
      </c>
      <c r="C231" s="8">
        <v>5315</v>
      </c>
      <c r="D231" s="8">
        <v>2278.6667224168777</v>
      </c>
      <c r="E231" s="8">
        <v>11103</v>
      </c>
      <c r="F231" s="10">
        <f t="shared" si="0"/>
        <v>0.4786994505989372</v>
      </c>
      <c r="G231" s="10">
        <f t="shared" si="1"/>
        <v>0.42872374833807669</v>
      </c>
      <c r="H231" s="10">
        <f t="shared" si="2"/>
        <v>0.20522982278815433</v>
      </c>
      <c r="I231" s="8">
        <v>232</v>
      </c>
      <c r="J231" s="8">
        <v>97.666669189929962</v>
      </c>
      <c r="K231" s="8">
        <v>659</v>
      </c>
      <c r="L231" s="11">
        <f t="shared" si="3"/>
        <v>0.35204855842185129</v>
      </c>
      <c r="M231" s="12">
        <f t="shared" si="4"/>
        <v>0.42097702237038775</v>
      </c>
      <c r="N231" s="13">
        <f t="shared" si="5"/>
        <v>0.14820435385421846</v>
      </c>
      <c r="O231" s="14">
        <f t="shared" si="6"/>
        <v>0.72213848767584021</v>
      </c>
      <c r="P231" s="15"/>
      <c r="Q231" s="15"/>
      <c r="AD231" s="21"/>
    </row>
    <row r="232" spans="1:30" ht="15.75" customHeight="1">
      <c r="A232" s="8">
        <v>51103</v>
      </c>
      <c r="B232" s="9" t="s">
        <v>246</v>
      </c>
      <c r="C232" s="8">
        <v>13510</v>
      </c>
      <c r="D232" s="8">
        <v>7356.6668630242348</v>
      </c>
      <c r="E232" s="8">
        <v>15368</v>
      </c>
      <c r="F232" s="10">
        <f t="shared" si="0"/>
        <v>0.8790994273815721</v>
      </c>
      <c r="G232" s="10">
        <f t="shared" si="1"/>
        <v>0.54453492694479899</v>
      </c>
      <c r="H232" s="10">
        <f t="shared" si="2"/>
        <v>0.478700342466439</v>
      </c>
      <c r="I232" s="8">
        <v>216</v>
      </c>
      <c r="J232" s="8">
        <v>95.444447070360184</v>
      </c>
      <c r="K232" s="8">
        <v>314</v>
      </c>
      <c r="L232" s="11">
        <f t="shared" si="3"/>
        <v>0.68789808917197448</v>
      </c>
      <c r="M232" s="12">
        <f t="shared" si="4"/>
        <v>0.44187244014055643</v>
      </c>
      <c r="N232" s="13">
        <f t="shared" si="5"/>
        <v>0.30396320723044645</v>
      </c>
      <c r="O232" s="14">
        <f t="shared" si="6"/>
        <v>0.63497595523812866</v>
      </c>
      <c r="P232" s="15"/>
      <c r="Q232" s="15"/>
      <c r="AD232" s="21"/>
    </row>
    <row r="233" spans="1:30" ht="15.75" customHeight="1">
      <c r="A233" s="8">
        <v>51201</v>
      </c>
      <c r="B233" s="9" t="s">
        <v>247</v>
      </c>
      <c r="C233" s="8">
        <v>9073</v>
      </c>
      <c r="D233" s="8">
        <v>4101.1112183630466</v>
      </c>
      <c r="E233" s="8">
        <v>20043</v>
      </c>
      <c r="F233" s="10">
        <f t="shared" si="0"/>
        <v>0.45267674499825378</v>
      </c>
      <c r="G233" s="10">
        <f t="shared" si="1"/>
        <v>0.45201269903703811</v>
      </c>
      <c r="H233" s="10">
        <f t="shared" si="2"/>
        <v>0.20461563729796173</v>
      </c>
      <c r="I233" s="8">
        <v>1777</v>
      </c>
      <c r="J233" s="8">
        <v>725.22224086523056</v>
      </c>
      <c r="K233" s="8">
        <v>8610</v>
      </c>
      <c r="L233" s="11">
        <f t="shared" si="3"/>
        <v>0.20638792102206735</v>
      </c>
      <c r="M233" s="12">
        <f t="shared" si="4"/>
        <v>0.40811606126349498</v>
      </c>
      <c r="N233" s="13">
        <f t="shared" si="5"/>
        <v>8.4230225419887408E-2</v>
      </c>
      <c r="O233" s="14">
        <f t="shared" si="6"/>
        <v>0.41165096926209593</v>
      </c>
      <c r="P233" s="15"/>
      <c r="Q233" s="15"/>
      <c r="AD233" s="21"/>
    </row>
    <row r="234" spans="1:30" ht="15.75" customHeight="1">
      <c r="A234" s="8">
        <v>51202</v>
      </c>
      <c r="B234" s="9" t="s">
        <v>248</v>
      </c>
      <c r="C234" s="8">
        <v>5532</v>
      </c>
      <c r="D234" s="8">
        <v>2462.0000613927841</v>
      </c>
      <c r="E234" s="8">
        <v>8086</v>
      </c>
      <c r="F234" s="10">
        <f t="shared" si="0"/>
        <v>0.6841454365570121</v>
      </c>
      <c r="G234" s="10">
        <f t="shared" si="1"/>
        <v>0.4450470103746898</v>
      </c>
      <c r="H234" s="10">
        <f t="shared" si="2"/>
        <v>0.30447688120118527</v>
      </c>
      <c r="I234" s="8">
        <v>456</v>
      </c>
      <c r="J234" s="8">
        <v>205.00000467896461</v>
      </c>
      <c r="K234" s="8">
        <v>642</v>
      </c>
      <c r="L234" s="11">
        <f t="shared" si="3"/>
        <v>0.71028037383177567</v>
      </c>
      <c r="M234" s="12">
        <f t="shared" si="4"/>
        <v>0.44956141376965925</v>
      </c>
      <c r="N234" s="13">
        <f t="shared" si="5"/>
        <v>0.31931464903265516</v>
      </c>
      <c r="O234" s="14">
        <f t="shared" si="6"/>
        <v>1.0487320015001917</v>
      </c>
      <c r="P234" s="15"/>
      <c r="Q234" s="15"/>
      <c r="AD234" s="21"/>
    </row>
    <row r="235" spans="1:30" ht="15.75" customHeight="1">
      <c r="A235" s="8">
        <v>51203</v>
      </c>
      <c r="B235" s="9" t="s">
        <v>249</v>
      </c>
      <c r="C235" s="8">
        <v>2652</v>
      </c>
      <c r="D235" s="8">
        <v>1232.6666979491711</v>
      </c>
      <c r="E235" s="8">
        <v>9025</v>
      </c>
      <c r="F235" s="10">
        <f t="shared" si="0"/>
        <v>0.29385041551246538</v>
      </c>
      <c r="G235" s="10">
        <f t="shared" si="1"/>
        <v>0.4648064471904868</v>
      </c>
      <c r="H235" s="10">
        <f t="shared" si="2"/>
        <v>0.13658356763979734</v>
      </c>
      <c r="I235" s="8">
        <v>380</v>
      </c>
      <c r="J235" s="8">
        <v>175.2222264111042</v>
      </c>
      <c r="K235" s="8">
        <v>1662</v>
      </c>
      <c r="L235" s="11">
        <f t="shared" si="3"/>
        <v>0.2286401925391095</v>
      </c>
      <c r="M235" s="12">
        <f t="shared" si="4"/>
        <v>0.46111112213448474</v>
      </c>
      <c r="N235" s="13">
        <f t="shared" si="5"/>
        <v>0.10542853574675343</v>
      </c>
      <c r="O235" s="14">
        <f t="shared" si="6"/>
        <v>0.77189765627438445</v>
      </c>
      <c r="P235" s="15"/>
      <c r="Q235" s="15"/>
      <c r="AD235" s="21"/>
    </row>
    <row r="236" spans="1:30" ht="15.75" customHeight="1">
      <c r="A236" s="8">
        <v>51204</v>
      </c>
      <c r="B236" s="9" t="s">
        <v>250</v>
      </c>
      <c r="C236" s="8">
        <v>3765</v>
      </c>
      <c r="D236" s="8">
        <v>1773.3333789408207</v>
      </c>
      <c r="E236" s="8">
        <v>5555</v>
      </c>
      <c r="F236" s="10">
        <f t="shared" si="0"/>
        <v>0.67776777677767774</v>
      </c>
      <c r="G236" s="10">
        <f t="shared" si="1"/>
        <v>0.47100488152478637</v>
      </c>
      <c r="H236" s="10">
        <f t="shared" si="2"/>
        <v>0.31923193140248796</v>
      </c>
      <c r="I236" s="8">
        <v>140</v>
      </c>
      <c r="J236" s="8">
        <v>54.444445699453354</v>
      </c>
      <c r="K236" s="8">
        <v>320</v>
      </c>
      <c r="L236" s="11">
        <f t="shared" si="3"/>
        <v>0.4375</v>
      </c>
      <c r="M236" s="12">
        <f t="shared" si="4"/>
        <v>0.38888889785323827</v>
      </c>
      <c r="N236" s="13">
        <f t="shared" si="5"/>
        <v>0.17013889281079175</v>
      </c>
      <c r="O236" s="14">
        <f t="shared" si="6"/>
        <v>0.53296326612227418</v>
      </c>
      <c r="P236" s="15"/>
      <c r="Q236" s="15"/>
      <c r="AD236" s="21"/>
    </row>
    <row r="237" spans="1:30" ht="15.75" customHeight="1">
      <c r="A237" s="8">
        <v>51301</v>
      </c>
      <c r="B237" s="9" t="s">
        <v>251</v>
      </c>
      <c r="C237" s="8">
        <v>2965</v>
      </c>
      <c r="D237" s="8">
        <v>1496.1111525297165</v>
      </c>
      <c r="E237" s="8">
        <v>3940</v>
      </c>
      <c r="F237" s="10">
        <f t="shared" si="0"/>
        <v>0.7525380710659898</v>
      </c>
      <c r="G237" s="10">
        <f t="shared" si="1"/>
        <v>0.50459060793582344</v>
      </c>
      <c r="H237" s="10">
        <f t="shared" si="2"/>
        <v>0.37972364277403969</v>
      </c>
      <c r="I237" s="8">
        <v>108</v>
      </c>
      <c r="J237" s="8">
        <v>47.333334594964981</v>
      </c>
      <c r="K237" s="8">
        <v>174</v>
      </c>
      <c r="L237" s="11">
        <f t="shared" si="3"/>
        <v>0.62068965517241381</v>
      </c>
      <c r="M237" s="12">
        <f t="shared" si="4"/>
        <v>0.4382716166200461</v>
      </c>
      <c r="N237" s="13">
        <f t="shared" si="5"/>
        <v>0.27203065859175274</v>
      </c>
      <c r="O237" s="14">
        <f t="shared" si="6"/>
        <v>0.71639115385193097</v>
      </c>
      <c r="P237" s="15"/>
      <c r="Q237" s="15"/>
      <c r="AD237" s="21"/>
    </row>
    <row r="238" spans="1:30" ht="15.75" customHeight="1">
      <c r="A238" s="8">
        <v>51302</v>
      </c>
      <c r="B238" s="9" t="s">
        <v>252</v>
      </c>
      <c r="C238" s="8">
        <v>4111</v>
      </c>
      <c r="D238" s="8">
        <v>1954.5556072592735</v>
      </c>
      <c r="E238" s="8">
        <v>5900</v>
      </c>
      <c r="F238" s="10">
        <f t="shared" si="0"/>
        <v>0.6967796610169491</v>
      </c>
      <c r="G238" s="10">
        <f t="shared" si="1"/>
        <v>0.47544529488184711</v>
      </c>
      <c r="H238" s="10">
        <f t="shared" si="2"/>
        <v>0.33128061139987686</v>
      </c>
      <c r="I238" s="8">
        <v>94</v>
      </c>
      <c r="J238" s="8">
        <v>38.111111909151077</v>
      </c>
      <c r="K238" s="8">
        <v>199</v>
      </c>
      <c r="L238" s="11">
        <f t="shared" si="3"/>
        <v>0.47236180904522612</v>
      </c>
      <c r="M238" s="12">
        <f t="shared" si="4"/>
        <v>0.40543736073564973</v>
      </c>
      <c r="N238" s="13">
        <f t="shared" si="5"/>
        <v>0.19151312517161342</v>
      </c>
      <c r="O238" s="14">
        <f t="shared" si="6"/>
        <v>0.57809940751541555</v>
      </c>
      <c r="P238" s="15"/>
      <c r="Q238" s="15"/>
      <c r="AD238" s="21"/>
    </row>
    <row r="239" spans="1:30" ht="15.75" customHeight="1">
      <c r="A239" s="8">
        <v>51401</v>
      </c>
      <c r="B239" s="9" t="s">
        <v>253</v>
      </c>
      <c r="C239" s="8">
        <v>2020</v>
      </c>
      <c r="D239" s="8">
        <v>853.444465726614</v>
      </c>
      <c r="E239" s="8">
        <v>3533</v>
      </c>
      <c r="F239" s="10">
        <f t="shared" si="0"/>
        <v>0.57175205208038493</v>
      </c>
      <c r="G239" s="10">
        <f t="shared" si="1"/>
        <v>0.4224972602607</v>
      </c>
      <c r="H239" s="10">
        <f t="shared" si="2"/>
        <v>0.24156367555239569</v>
      </c>
      <c r="I239" s="8">
        <v>221</v>
      </c>
      <c r="J239" s="8">
        <v>90.555557727813721</v>
      </c>
      <c r="K239" s="8">
        <v>452</v>
      </c>
      <c r="L239" s="11">
        <f t="shared" si="3"/>
        <v>0.48893805309734512</v>
      </c>
      <c r="M239" s="12">
        <f t="shared" si="4"/>
        <v>0.40975365487698517</v>
      </c>
      <c r="N239" s="13">
        <f t="shared" si="5"/>
        <v>0.2003441542650746</v>
      </c>
      <c r="O239" s="14">
        <f t="shared" si="6"/>
        <v>0.82936374356342124</v>
      </c>
      <c r="P239" s="15"/>
      <c r="Q239" s="15"/>
      <c r="AD239" s="21"/>
    </row>
    <row r="240" spans="1:30" ht="15.75" customHeight="1">
      <c r="A240" s="8">
        <v>51402</v>
      </c>
      <c r="B240" s="9" t="s">
        <v>254</v>
      </c>
      <c r="C240" s="8">
        <v>582</v>
      </c>
      <c r="D240" s="8">
        <v>240.22222828865051</v>
      </c>
      <c r="E240" s="8">
        <v>1515</v>
      </c>
      <c r="F240" s="10">
        <f t="shared" si="0"/>
        <v>0.38415841584158417</v>
      </c>
      <c r="G240" s="10">
        <f t="shared" si="1"/>
        <v>0.41275296956812801</v>
      </c>
      <c r="H240" s="10">
        <f t="shared" si="2"/>
        <v>0.15856252692320166</v>
      </c>
      <c r="I240" s="8">
        <v>38</v>
      </c>
      <c r="J240" s="8">
        <v>14.888889342546463</v>
      </c>
      <c r="K240" s="8">
        <v>157</v>
      </c>
      <c r="L240" s="11">
        <f t="shared" si="3"/>
        <v>0.24203821656050956</v>
      </c>
      <c r="M240" s="12">
        <f t="shared" si="4"/>
        <v>0.39181287743543325</v>
      </c>
      <c r="N240" s="13">
        <f t="shared" si="5"/>
        <v>9.4833690079913782E-2</v>
      </c>
      <c r="O240" s="14">
        <f t="shared" si="6"/>
        <v>0.59808387214871794</v>
      </c>
      <c r="P240" s="15"/>
      <c r="Q240" s="15"/>
      <c r="AD240" s="21"/>
    </row>
    <row r="241" spans="1:30" ht="15.75" customHeight="1">
      <c r="A241" s="8">
        <v>51501</v>
      </c>
      <c r="B241" s="9" t="s">
        <v>255</v>
      </c>
      <c r="C241" s="8">
        <v>7897</v>
      </c>
      <c r="D241" s="8">
        <v>3445.2223095595837</v>
      </c>
      <c r="E241" s="8">
        <v>26940</v>
      </c>
      <c r="F241" s="10">
        <f t="shared" si="0"/>
        <v>0.29313288789903491</v>
      </c>
      <c r="G241" s="10">
        <f t="shared" si="1"/>
        <v>0.4362697618791419</v>
      </c>
      <c r="H241" s="10">
        <f t="shared" si="2"/>
        <v>0.12788501520265716</v>
      </c>
      <c r="I241" s="8">
        <v>3322</v>
      </c>
      <c r="J241" s="8">
        <v>1448.5555937290192</v>
      </c>
      <c r="K241" s="8">
        <v>16646</v>
      </c>
      <c r="L241" s="11">
        <f t="shared" si="3"/>
        <v>0.19956746365493211</v>
      </c>
      <c r="M241" s="12">
        <f t="shared" si="4"/>
        <v>0.43604924555358793</v>
      </c>
      <c r="N241" s="13">
        <f t="shared" si="5"/>
        <v>8.7021241963776225E-2</v>
      </c>
      <c r="O241" s="14">
        <f t="shared" si="6"/>
        <v>0.68046472705089944</v>
      </c>
      <c r="P241" s="15"/>
      <c r="Q241" s="15"/>
      <c r="AD241" s="21"/>
    </row>
    <row r="242" spans="1:30" ht="15.75" customHeight="1">
      <c r="A242" s="8">
        <v>51601</v>
      </c>
      <c r="B242" s="9" t="s">
        <v>256</v>
      </c>
      <c r="C242" s="8">
        <v>838</v>
      </c>
      <c r="D242" s="8">
        <v>383.55556580424309</v>
      </c>
      <c r="E242" s="8">
        <v>1615</v>
      </c>
      <c r="F242" s="10">
        <f t="shared" si="0"/>
        <v>0.51888544891640864</v>
      </c>
      <c r="G242" s="10">
        <f t="shared" si="1"/>
        <v>0.4577035391458748</v>
      </c>
      <c r="H242" s="10">
        <f t="shared" si="2"/>
        <v>0.23749570638033626</v>
      </c>
      <c r="I242" s="8">
        <v>23</v>
      </c>
      <c r="J242" s="8">
        <v>9.8888890445232391</v>
      </c>
      <c r="K242" s="8">
        <v>33</v>
      </c>
      <c r="L242" s="11">
        <f t="shared" si="3"/>
        <v>0.69696969696969702</v>
      </c>
      <c r="M242" s="12">
        <f t="shared" si="4"/>
        <v>0.42995169758796692</v>
      </c>
      <c r="N242" s="13">
        <f t="shared" si="5"/>
        <v>0.29966330437949212</v>
      </c>
      <c r="O242" s="14">
        <f t="shared" si="6"/>
        <v>1.2617630396214317</v>
      </c>
      <c r="P242" s="15"/>
      <c r="Q242" s="15"/>
      <c r="AD242" s="21"/>
    </row>
    <row r="243" spans="1:30" ht="15.75" customHeight="1">
      <c r="A243" s="8">
        <v>60101</v>
      </c>
      <c r="B243" s="9" t="s">
        <v>257</v>
      </c>
      <c r="C243" s="8">
        <v>9448</v>
      </c>
      <c r="D243" s="8">
        <v>3935.3334304094315</v>
      </c>
      <c r="E243" s="8">
        <v>54820</v>
      </c>
      <c r="F243" s="10">
        <f t="shared" si="0"/>
        <v>0.1723458591754834</v>
      </c>
      <c r="G243" s="10">
        <f t="shared" si="1"/>
        <v>0.41652555359964344</v>
      </c>
      <c r="H243" s="10">
        <f t="shared" si="2"/>
        <v>7.1786454403674413E-2</v>
      </c>
      <c r="I243" s="8">
        <v>12683</v>
      </c>
      <c r="J243" s="8">
        <v>5069.4445707798004</v>
      </c>
      <c r="K243" s="8">
        <v>144228</v>
      </c>
      <c r="L243" s="11">
        <f t="shared" si="3"/>
        <v>8.793715506004382E-2</v>
      </c>
      <c r="M243" s="12">
        <f t="shared" si="4"/>
        <v>0.39970390055821181</v>
      </c>
      <c r="N243" s="13">
        <f t="shared" si="5"/>
        <v>3.5148823881491806E-2</v>
      </c>
      <c r="O243" s="14">
        <f t="shared" si="6"/>
        <v>0.48963030941520774</v>
      </c>
      <c r="P243" s="15"/>
      <c r="Q243" s="15"/>
      <c r="AD243" s="21"/>
    </row>
    <row r="244" spans="1:30" ht="15.75" customHeight="1">
      <c r="A244" s="8">
        <v>60201</v>
      </c>
      <c r="B244" s="9" t="s">
        <v>258</v>
      </c>
      <c r="C244" s="8">
        <v>2975</v>
      </c>
      <c r="D244" s="8">
        <v>1294.0000329911709</v>
      </c>
      <c r="E244" s="8">
        <v>7585</v>
      </c>
      <c r="F244" s="10">
        <f t="shared" si="0"/>
        <v>0.3922214897824654</v>
      </c>
      <c r="G244" s="10">
        <f t="shared" si="1"/>
        <v>0.43495799428274651</v>
      </c>
      <c r="H244" s="10">
        <f t="shared" si="2"/>
        <v>0.1705998725103719</v>
      </c>
      <c r="I244" s="8">
        <v>3921</v>
      </c>
      <c r="J244" s="8">
        <v>1693.2222650647163</v>
      </c>
      <c r="K244" s="8">
        <v>10609</v>
      </c>
      <c r="L244" s="11">
        <f t="shared" si="3"/>
        <v>0.36959185597134508</v>
      </c>
      <c r="M244" s="12">
        <f t="shared" si="4"/>
        <v>0.43183429356406944</v>
      </c>
      <c r="N244" s="13">
        <f t="shared" si="5"/>
        <v>0.1596024380304191</v>
      </c>
      <c r="O244" s="14">
        <f t="shared" si="6"/>
        <v>0.9355366782042337</v>
      </c>
      <c r="P244" s="15"/>
      <c r="Q244" s="15"/>
      <c r="AD244" s="21"/>
    </row>
    <row r="245" spans="1:30" ht="15.75" customHeight="1">
      <c r="A245" s="8">
        <v>60202</v>
      </c>
      <c r="B245" s="9" t="s">
        <v>259</v>
      </c>
      <c r="C245" s="8">
        <v>1657</v>
      </c>
      <c r="D245" s="8">
        <v>677.88890582323074</v>
      </c>
      <c r="E245" s="8">
        <v>7461</v>
      </c>
      <c r="F245" s="10">
        <f t="shared" si="0"/>
        <v>0.22208819193137649</v>
      </c>
      <c r="G245" s="10">
        <f t="shared" si="1"/>
        <v>0.40910615921739935</v>
      </c>
      <c r="H245" s="10">
        <f t="shared" si="2"/>
        <v>9.0857647208582054E-2</v>
      </c>
      <c r="I245" s="8">
        <v>2733</v>
      </c>
      <c r="J245" s="8">
        <v>1068.888916015625</v>
      </c>
      <c r="K245" s="8">
        <v>25498</v>
      </c>
      <c r="L245" s="11">
        <f t="shared" si="3"/>
        <v>0.10718487724527415</v>
      </c>
      <c r="M245" s="12">
        <f t="shared" si="4"/>
        <v>0.39110461617842113</v>
      </c>
      <c r="N245" s="13">
        <f t="shared" si="5"/>
        <v>4.1920500275144129E-2</v>
      </c>
      <c r="O245" s="14">
        <f t="shared" si="6"/>
        <v>0.46138659279727073</v>
      </c>
      <c r="P245" s="15"/>
      <c r="Q245" s="15"/>
      <c r="AD245" s="21"/>
    </row>
    <row r="246" spans="1:30" ht="15.75" customHeight="1">
      <c r="A246" s="8">
        <v>60301</v>
      </c>
      <c r="B246" s="9" t="s">
        <v>260</v>
      </c>
      <c r="C246" s="8">
        <v>8480</v>
      </c>
      <c r="D246" s="8">
        <v>3722.4445411860943</v>
      </c>
      <c r="E246" s="8">
        <v>31397</v>
      </c>
      <c r="F246" s="10">
        <f t="shared" si="0"/>
        <v>0.27008949899671941</v>
      </c>
      <c r="G246" s="10">
        <f t="shared" si="1"/>
        <v>0.43896751664930356</v>
      </c>
      <c r="H246" s="10">
        <f t="shared" si="2"/>
        <v>0.11856051664764448</v>
      </c>
      <c r="I246" s="8">
        <v>6740</v>
      </c>
      <c r="J246" s="8">
        <v>2692.8889571428299</v>
      </c>
      <c r="K246" s="8">
        <v>56472</v>
      </c>
      <c r="L246" s="11">
        <f t="shared" si="3"/>
        <v>0.1193511828870945</v>
      </c>
      <c r="M246" s="12">
        <f t="shared" si="4"/>
        <v>0.39953842094107267</v>
      </c>
      <c r="N246" s="13">
        <f t="shared" si="5"/>
        <v>4.7685383148158907E-2</v>
      </c>
      <c r="O246" s="14">
        <f t="shared" si="6"/>
        <v>0.4022028960102908</v>
      </c>
      <c r="P246" s="15"/>
      <c r="Q246" s="15"/>
      <c r="AD246" s="21"/>
    </row>
    <row r="247" spans="1:30" ht="15.75" customHeight="1">
      <c r="A247" s="8">
        <v>60302</v>
      </c>
      <c r="B247" s="9" t="s">
        <v>261</v>
      </c>
      <c r="C247" s="8">
        <v>1336</v>
      </c>
      <c r="D247" s="8">
        <v>561.33334794640541</v>
      </c>
      <c r="E247" s="8">
        <v>5721</v>
      </c>
      <c r="F247" s="10">
        <f t="shared" si="0"/>
        <v>0.23352560741129172</v>
      </c>
      <c r="G247" s="10">
        <f t="shared" si="1"/>
        <v>0.42015969157665073</v>
      </c>
      <c r="H247" s="10">
        <f t="shared" si="2"/>
        <v>9.8118047185178345E-2</v>
      </c>
      <c r="I247" s="8">
        <v>1058</v>
      </c>
      <c r="J247" s="8">
        <v>423.00001165270805</v>
      </c>
      <c r="K247" s="8">
        <v>7590</v>
      </c>
      <c r="L247" s="11">
        <f t="shared" si="3"/>
        <v>0.1393939393939394</v>
      </c>
      <c r="M247" s="12">
        <f t="shared" si="4"/>
        <v>0.39981097509707758</v>
      </c>
      <c r="N247" s="13">
        <f t="shared" si="5"/>
        <v>5.5731226831713845E-2</v>
      </c>
      <c r="O247" s="14">
        <f t="shared" si="6"/>
        <v>0.56800179406885476</v>
      </c>
      <c r="P247" s="15"/>
      <c r="Q247" s="15"/>
      <c r="AD247" s="21"/>
    </row>
    <row r="248" spans="1:30" ht="15.75" customHeight="1">
      <c r="A248" s="8">
        <v>60303</v>
      </c>
      <c r="B248" s="9" t="s">
        <v>262</v>
      </c>
      <c r="C248" s="8">
        <v>3954</v>
      </c>
      <c r="D248" s="8">
        <v>1648.6667106151581</v>
      </c>
      <c r="E248" s="8">
        <v>11333</v>
      </c>
      <c r="F248" s="10">
        <f t="shared" si="0"/>
        <v>0.34889261448866143</v>
      </c>
      <c r="G248" s="10">
        <f t="shared" si="1"/>
        <v>0.41696173763661054</v>
      </c>
      <c r="H248" s="10">
        <f t="shared" si="2"/>
        <v>0.14547487078577234</v>
      </c>
      <c r="I248" s="8">
        <v>5219</v>
      </c>
      <c r="J248" s="8">
        <v>2139.4444981813431</v>
      </c>
      <c r="K248" s="8">
        <v>26457</v>
      </c>
      <c r="L248" s="11">
        <f t="shared" si="3"/>
        <v>0.19726348414408285</v>
      </c>
      <c r="M248" s="12">
        <f t="shared" si="4"/>
        <v>0.40993379922999484</v>
      </c>
      <c r="N248" s="13">
        <f t="shared" si="5"/>
        <v>8.0864969504529732E-2</v>
      </c>
      <c r="O248" s="14">
        <f t="shared" si="6"/>
        <v>0.55586899007191592</v>
      </c>
      <c r="P248" s="15"/>
      <c r="Q248" s="15"/>
      <c r="AD248" s="21"/>
    </row>
    <row r="249" spans="1:30" ht="15.75" customHeight="1">
      <c r="A249" s="8">
        <v>60401</v>
      </c>
      <c r="B249" s="9" t="s">
        <v>263</v>
      </c>
      <c r="C249" s="8">
        <v>1453</v>
      </c>
      <c r="D249" s="8">
        <v>644.33335083723068</v>
      </c>
      <c r="E249" s="8">
        <v>3972</v>
      </c>
      <c r="F249" s="10">
        <f t="shared" si="0"/>
        <v>0.36581067472306145</v>
      </c>
      <c r="G249" s="10">
        <f t="shared" si="1"/>
        <v>0.44345034469183114</v>
      </c>
      <c r="H249" s="10">
        <f t="shared" si="2"/>
        <v>0.16221886979789293</v>
      </c>
      <c r="I249" s="8">
        <v>3403</v>
      </c>
      <c r="J249" s="8">
        <v>1473.4444822072983</v>
      </c>
      <c r="K249" s="8">
        <v>10543</v>
      </c>
      <c r="L249" s="11">
        <f t="shared" si="3"/>
        <v>0.32277340415441524</v>
      </c>
      <c r="M249" s="12">
        <f t="shared" si="4"/>
        <v>0.43298397949083112</v>
      </c>
      <c r="N249" s="13">
        <f t="shared" si="5"/>
        <v>0.13975571300458106</v>
      </c>
      <c r="O249" s="14">
        <f t="shared" si="6"/>
        <v>0.86152562386053777</v>
      </c>
      <c r="P249" s="15"/>
      <c r="Q249" s="15"/>
      <c r="AD249" s="21"/>
    </row>
    <row r="250" spans="1:30" ht="15.75" customHeight="1">
      <c r="A250" s="8">
        <v>60402</v>
      </c>
      <c r="B250" s="9" t="s">
        <v>264</v>
      </c>
      <c r="C250" s="8">
        <v>1550</v>
      </c>
      <c r="D250" s="8">
        <v>669.33335056900978</v>
      </c>
      <c r="E250" s="8">
        <v>4062</v>
      </c>
      <c r="F250" s="10">
        <f t="shared" si="0"/>
        <v>0.38158542589857214</v>
      </c>
      <c r="G250" s="10">
        <f t="shared" si="1"/>
        <v>0.43182796810903856</v>
      </c>
      <c r="H250" s="10">
        <f t="shared" si="2"/>
        <v>0.16477925912580252</v>
      </c>
      <c r="I250" s="8">
        <v>402</v>
      </c>
      <c r="J250" s="8">
        <v>185.44444969296455</v>
      </c>
      <c r="K250" s="8">
        <v>1163</v>
      </c>
      <c r="L250" s="11">
        <f t="shared" si="3"/>
        <v>0.3456577815993121</v>
      </c>
      <c r="M250" s="12">
        <f t="shared" si="4"/>
        <v>0.46130460122627998</v>
      </c>
      <c r="N250" s="13">
        <f t="shared" si="5"/>
        <v>0.15945352510143124</v>
      </c>
      <c r="O250" s="14">
        <f t="shared" si="6"/>
        <v>0.96767958508476304</v>
      </c>
      <c r="P250" s="15"/>
      <c r="Q250" s="15"/>
      <c r="AD250" s="21"/>
    </row>
    <row r="251" spans="1:30" ht="15.75" customHeight="1">
      <c r="A251" s="8">
        <v>60501</v>
      </c>
      <c r="B251" s="9" t="s">
        <v>265</v>
      </c>
      <c r="C251" s="8">
        <v>2535</v>
      </c>
      <c r="D251" s="8">
        <v>1174.5555855333805</v>
      </c>
      <c r="E251" s="8">
        <v>8787</v>
      </c>
      <c r="F251" s="10">
        <f t="shared" si="0"/>
        <v>0.28849436667804712</v>
      </c>
      <c r="G251" s="10">
        <f t="shared" si="1"/>
        <v>0.4633355366995584</v>
      </c>
      <c r="H251" s="10">
        <f t="shared" si="2"/>
        <v>0.13366969221957217</v>
      </c>
      <c r="I251" s="8">
        <v>4478</v>
      </c>
      <c r="J251" s="8">
        <v>2053.4444974064827</v>
      </c>
      <c r="K251" s="8">
        <v>14468</v>
      </c>
      <c r="L251" s="11">
        <f t="shared" si="3"/>
        <v>0.30951064418025986</v>
      </c>
      <c r="M251" s="12">
        <f t="shared" si="4"/>
        <v>0.45856286230604792</v>
      </c>
      <c r="N251" s="13">
        <f t="shared" si="5"/>
        <v>0.14193008690948869</v>
      </c>
      <c r="O251" s="14">
        <f t="shared" si="6"/>
        <v>1.0617970652341115</v>
      </c>
      <c r="P251" s="15"/>
      <c r="Q251" s="15"/>
      <c r="AD251" s="21"/>
    </row>
    <row r="252" spans="1:30" ht="15.75" customHeight="1">
      <c r="A252" s="8">
        <v>60502</v>
      </c>
      <c r="B252" s="9" t="s">
        <v>266</v>
      </c>
      <c r="C252" s="8">
        <v>893</v>
      </c>
      <c r="D252" s="8">
        <v>374.33334276080132</v>
      </c>
      <c r="E252" s="8">
        <v>2470</v>
      </c>
      <c r="F252" s="10">
        <f t="shared" si="0"/>
        <v>0.36153846153846153</v>
      </c>
      <c r="G252" s="10">
        <f t="shared" si="1"/>
        <v>0.41918627408824333</v>
      </c>
      <c r="H252" s="10">
        <f t="shared" si="2"/>
        <v>0.15155196063190335</v>
      </c>
      <c r="I252" s="8">
        <v>2674</v>
      </c>
      <c r="J252" s="8">
        <v>1150.6666971445084</v>
      </c>
      <c r="K252" s="8">
        <v>8477</v>
      </c>
      <c r="L252" s="11">
        <f t="shared" si="3"/>
        <v>0.31544178364987613</v>
      </c>
      <c r="M252" s="12">
        <f t="shared" si="4"/>
        <v>0.43031664066735542</v>
      </c>
      <c r="N252" s="13">
        <f t="shared" si="5"/>
        <v>0.13573984866633343</v>
      </c>
      <c r="O252" s="14">
        <f t="shared" si="6"/>
        <v>0.89566540809079254</v>
      </c>
      <c r="P252" s="15"/>
      <c r="Q252" s="15"/>
      <c r="AD252" s="21"/>
    </row>
    <row r="253" spans="1:30" ht="15.75" customHeight="1">
      <c r="A253" s="8">
        <v>60601</v>
      </c>
      <c r="B253" s="9" t="s">
        <v>167</v>
      </c>
      <c r="C253" s="8">
        <v>3674</v>
      </c>
      <c r="D253" s="8">
        <v>1730.1111574172974</v>
      </c>
      <c r="E253" s="8">
        <v>6624</v>
      </c>
      <c r="F253" s="10">
        <f t="shared" si="0"/>
        <v>0.55464975845410625</v>
      </c>
      <c r="G253" s="10">
        <f t="shared" si="1"/>
        <v>0.47090668410922626</v>
      </c>
      <c r="H253" s="10">
        <f t="shared" si="2"/>
        <v>0.26118827859560645</v>
      </c>
      <c r="I253" s="8">
        <v>5277</v>
      </c>
      <c r="J253" s="8">
        <v>2320.3333945870399</v>
      </c>
      <c r="K253" s="8">
        <v>13573</v>
      </c>
      <c r="L253" s="11">
        <f t="shared" si="3"/>
        <v>0.38878656155603036</v>
      </c>
      <c r="M253" s="12">
        <f t="shared" si="4"/>
        <v>0.43970691578302823</v>
      </c>
      <c r="N253" s="13">
        <f t="shared" si="5"/>
        <v>0.17095213987969057</v>
      </c>
      <c r="O253" s="14">
        <f t="shared" si="6"/>
        <v>0.65451689026356719</v>
      </c>
      <c r="P253" s="15"/>
      <c r="Q253" s="15"/>
      <c r="AD253" s="21"/>
    </row>
    <row r="254" spans="1:30" ht="15.75" customHeight="1">
      <c r="A254" s="8">
        <v>70101</v>
      </c>
      <c r="B254" s="9" t="s">
        <v>267</v>
      </c>
      <c r="C254" s="8">
        <v>65871</v>
      </c>
      <c r="D254" s="8">
        <v>24617.333951056004</v>
      </c>
      <c r="E254" s="8">
        <v>372573</v>
      </c>
      <c r="F254" s="10">
        <f t="shared" si="0"/>
        <v>0.17680025122593424</v>
      </c>
      <c r="G254" s="10">
        <f t="shared" si="1"/>
        <v>0.37372036178372886</v>
      </c>
      <c r="H254" s="10">
        <f t="shared" si="2"/>
        <v>6.6073853851610298E-2</v>
      </c>
      <c r="I254" s="8">
        <v>128058</v>
      </c>
      <c r="J254" s="8">
        <v>47442.778973400593</v>
      </c>
      <c r="K254" s="8">
        <v>1038658</v>
      </c>
      <c r="L254" s="11">
        <f t="shared" si="3"/>
        <v>0.12329178613171997</v>
      </c>
      <c r="M254" s="12">
        <f t="shared" si="4"/>
        <v>0.370478837506447</v>
      </c>
      <c r="N254" s="13">
        <f t="shared" si="5"/>
        <v>4.5676997600173096E-2</v>
      </c>
      <c r="O254" s="14">
        <f t="shared" si="6"/>
        <v>0.69130215565683839</v>
      </c>
      <c r="P254" s="15"/>
      <c r="Q254" s="15"/>
      <c r="AD254" s="21"/>
    </row>
    <row r="255" spans="1:30" ht="15.75" customHeight="1">
      <c r="A255" s="8">
        <v>70102</v>
      </c>
      <c r="B255" s="9" t="s">
        <v>268</v>
      </c>
      <c r="C255" s="8">
        <v>6368</v>
      </c>
      <c r="D255" s="8">
        <v>2512.1111752390862</v>
      </c>
      <c r="E255" s="8">
        <v>21165</v>
      </c>
      <c r="F255" s="10">
        <f t="shared" si="0"/>
        <v>0.3008740845735885</v>
      </c>
      <c r="G255" s="10">
        <f t="shared" si="1"/>
        <v>0.39448982023226853</v>
      </c>
      <c r="H255" s="10">
        <f t="shared" si="2"/>
        <v>0.11869176353598328</v>
      </c>
      <c r="I255" s="8">
        <v>7768</v>
      </c>
      <c r="J255" s="8">
        <v>3010.2222967743874</v>
      </c>
      <c r="K255" s="8">
        <v>33482</v>
      </c>
      <c r="L255" s="11">
        <f t="shared" si="3"/>
        <v>0.23200525655576129</v>
      </c>
      <c r="M255" s="12">
        <f t="shared" si="4"/>
        <v>0.38751574366302616</v>
      </c>
      <c r="N255" s="13">
        <f t="shared" si="5"/>
        <v>8.9905689527937011E-2</v>
      </c>
      <c r="O255" s="14">
        <f t="shared" si="6"/>
        <v>0.75747201700883549</v>
      </c>
      <c r="P255" s="15"/>
      <c r="Q255" s="15"/>
      <c r="AD255" s="21"/>
    </row>
    <row r="256" spans="1:30" ht="15.75" customHeight="1">
      <c r="A256" s="8">
        <v>70103</v>
      </c>
      <c r="B256" s="9" t="s">
        <v>269</v>
      </c>
      <c r="C256" s="8">
        <v>1322</v>
      </c>
      <c r="D256" s="8">
        <v>599.00001558661461</v>
      </c>
      <c r="E256" s="8">
        <v>2968</v>
      </c>
      <c r="F256" s="10">
        <f t="shared" si="0"/>
        <v>0.44541778975741242</v>
      </c>
      <c r="G256" s="10">
        <f t="shared" si="1"/>
        <v>0.45310137336355116</v>
      </c>
      <c r="H256" s="10">
        <f t="shared" si="2"/>
        <v>0.20181941225964106</v>
      </c>
      <c r="I256" s="8">
        <v>3375</v>
      </c>
      <c r="J256" s="8">
        <v>1415.3333698809147</v>
      </c>
      <c r="K256" s="8">
        <v>12280</v>
      </c>
      <c r="L256" s="11">
        <f t="shared" si="3"/>
        <v>0.27483713355048861</v>
      </c>
      <c r="M256" s="12">
        <f t="shared" si="4"/>
        <v>0.41935803552027101</v>
      </c>
      <c r="N256" s="13">
        <f t="shared" si="5"/>
        <v>0.11525516041375528</v>
      </c>
      <c r="O256" s="14">
        <f t="shared" si="6"/>
        <v>0.57108064642205625</v>
      </c>
      <c r="P256" s="15"/>
      <c r="Q256" s="15"/>
      <c r="AD256" s="21"/>
    </row>
    <row r="257" spans="1:30" ht="15.75" customHeight="1">
      <c r="A257" s="8">
        <v>70104</v>
      </c>
      <c r="B257" s="9" t="s">
        <v>270</v>
      </c>
      <c r="C257" s="8">
        <v>8217</v>
      </c>
      <c r="D257" s="8">
        <v>3174.1111922562122</v>
      </c>
      <c r="E257" s="8">
        <v>30412</v>
      </c>
      <c r="F257" s="10">
        <f t="shared" ref="F257:F346" si="14">C257/E257</f>
        <v>0.27018939892147836</v>
      </c>
      <c r="G257" s="10">
        <f t="shared" ref="G257:G346" si="15">D257/C257</f>
        <v>0.38628589415312309</v>
      </c>
      <c r="H257" s="10">
        <f t="shared" ref="H257:H346" si="16">F257*G257</f>
        <v>0.10437035355307814</v>
      </c>
      <c r="I257" s="8">
        <v>13111</v>
      </c>
      <c r="J257" s="8">
        <v>4950.4445692896843</v>
      </c>
      <c r="K257" s="8">
        <v>57923</v>
      </c>
      <c r="L257" s="11">
        <f t="shared" ref="L257:L346" si="17">I257/K257</f>
        <v>0.22635222623137613</v>
      </c>
      <c r="M257" s="12">
        <f t="shared" ref="M257:M346" si="18">J257/I257</f>
        <v>0.37757948053464147</v>
      </c>
      <c r="N257" s="13">
        <f t="shared" ref="N257:N346" si="19">L257*M257</f>
        <v>8.5465955998302645E-2</v>
      </c>
      <c r="O257" s="14">
        <f t="shared" ref="O257:O346" si="20">N257/H257</f>
        <v>0.81887196017630093</v>
      </c>
      <c r="P257" s="15"/>
      <c r="Q257" s="15"/>
      <c r="AD257" s="21"/>
    </row>
    <row r="258" spans="1:30" ht="15.75" customHeight="1">
      <c r="A258" s="8">
        <v>70105</v>
      </c>
      <c r="B258" s="9" t="s">
        <v>271</v>
      </c>
      <c r="C258" s="8">
        <v>7216</v>
      </c>
      <c r="D258" s="8">
        <v>3273.1111978292465</v>
      </c>
      <c r="E258" s="8">
        <v>18626</v>
      </c>
      <c r="F258" s="10">
        <f t="shared" si="14"/>
        <v>0.38741544078170298</v>
      </c>
      <c r="G258" s="10">
        <f t="shared" si="15"/>
        <v>0.45359079792533902</v>
      </c>
      <c r="H258" s="10">
        <f t="shared" si="16"/>
        <v>0.17572807891276959</v>
      </c>
      <c r="I258" s="8">
        <v>7533</v>
      </c>
      <c r="J258" s="8">
        <v>3042.6667456030846</v>
      </c>
      <c r="K258" s="8">
        <v>30445</v>
      </c>
      <c r="L258" s="11">
        <f t="shared" si="17"/>
        <v>0.24742979142716373</v>
      </c>
      <c r="M258" s="12">
        <f t="shared" si="18"/>
        <v>0.40391168798660354</v>
      </c>
      <c r="N258" s="13">
        <f t="shared" si="19"/>
        <v>9.9939784713518942E-2</v>
      </c>
      <c r="O258" s="14">
        <f t="shared" si="20"/>
        <v>0.56871835925053549</v>
      </c>
      <c r="P258" s="15"/>
      <c r="Q258" s="15"/>
      <c r="AD258" s="21"/>
    </row>
    <row r="259" spans="1:30" ht="15.75" customHeight="1">
      <c r="A259" s="8">
        <v>70201</v>
      </c>
      <c r="B259" s="9" t="s">
        <v>272</v>
      </c>
      <c r="C259" s="8">
        <v>10697</v>
      </c>
      <c r="D259" s="8">
        <v>4291.6667751371861</v>
      </c>
      <c r="E259" s="8">
        <v>37824</v>
      </c>
      <c r="F259" s="10">
        <f t="shared" si="14"/>
        <v>0.28280985617597293</v>
      </c>
      <c r="G259" s="10">
        <f t="shared" si="15"/>
        <v>0.4012028395940157</v>
      </c>
      <c r="H259" s="10">
        <f t="shared" si="16"/>
        <v>0.11346411736297551</v>
      </c>
      <c r="I259" s="8">
        <v>13997</v>
      </c>
      <c r="J259" s="8">
        <v>5491.8890248835087</v>
      </c>
      <c r="K259" s="8">
        <v>57195</v>
      </c>
      <c r="L259" s="11">
        <f t="shared" si="17"/>
        <v>0.24472418917737565</v>
      </c>
      <c r="M259" s="12">
        <f t="shared" si="18"/>
        <v>0.39236186503418652</v>
      </c>
      <c r="N259" s="13">
        <f t="shared" si="19"/>
        <v>9.6020439284614192E-2</v>
      </c>
      <c r="O259" s="14">
        <f t="shared" si="20"/>
        <v>0.84626260280544541</v>
      </c>
      <c r="P259" s="15"/>
      <c r="Q259" s="15"/>
      <c r="AD259" s="21"/>
    </row>
    <row r="260" spans="1:30" ht="15.75" customHeight="1">
      <c r="A260" s="8">
        <v>70202</v>
      </c>
      <c r="B260" s="9" t="s">
        <v>273</v>
      </c>
      <c r="C260" s="8">
        <v>936</v>
      </c>
      <c r="D260" s="8">
        <v>377.22223183512688</v>
      </c>
      <c r="E260" s="8">
        <v>3730</v>
      </c>
      <c r="F260" s="10">
        <f t="shared" si="14"/>
        <v>0.25093833780160857</v>
      </c>
      <c r="G260" s="10">
        <f t="shared" si="15"/>
        <v>0.40301520495205861</v>
      </c>
      <c r="H260" s="10">
        <f t="shared" si="16"/>
        <v>0.1011319656394442</v>
      </c>
      <c r="I260" s="8">
        <v>2348</v>
      </c>
      <c r="J260" s="8">
        <v>929.00002339482307</v>
      </c>
      <c r="K260" s="8">
        <v>8386</v>
      </c>
      <c r="L260" s="11">
        <f t="shared" si="17"/>
        <v>0.27999046029096114</v>
      </c>
      <c r="M260" s="12">
        <f t="shared" si="18"/>
        <v>0.39565588730614271</v>
      </c>
      <c r="N260" s="13">
        <f t="shared" si="19"/>
        <v>0.11077987400367555</v>
      </c>
      <c r="O260" s="14">
        <f t="shared" si="20"/>
        <v>1.0953991975062374</v>
      </c>
      <c r="P260" s="15"/>
      <c r="Q260" s="15"/>
      <c r="AD260" s="21"/>
    </row>
    <row r="261" spans="1:30" ht="15.75" customHeight="1">
      <c r="A261" s="8">
        <v>70301</v>
      </c>
      <c r="B261" s="9" t="s">
        <v>274</v>
      </c>
      <c r="C261" s="8">
        <v>17510</v>
      </c>
      <c r="D261" s="8">
        <v>7577.7779747247696</v>
      </c>
      <c r="E261" s="8">
        <v>36482</v>
      </c>
      <c r="F261" s="10">
        <f t="shared" si="14"/>
        <v>0.47996272134203166</v>
      </c>
      <c r="G261" s="10">
        <f t="shared" si="15"/>
        <v>0.43276858793402451</v>
      </c>
      <c r="H261" s="10">
        <f t="shared" si="16"/>
        <v>0.20771278917616273</v>
      </c>
      <c r="I261" s="8">
        <v>5935</v>
      </c>
      <c r="J261" s="8">
        <v>2489.66673001647</v>
      </c>
      <c r="K261" s="8">
        <v>14539</v>
      </c>
      <c r="L261" s="11">
        <f t="shared" si="17"/>
        <v>0.40821239424994843</v>
      </c>
      <c r="M261" s="12">
        <f t="shared" si="18"/>
        <v>0.41948891828415669</v>
      </c>
      <c r="N261" s="13">
        <f t="shared" si="19"/>
        <v>0.17124057569409656</v>
      </c>
      <c r="O261" s="14">
        <f t="shared" si="20"/>
        <v>0.82441036189093864</v>
      </c>
      <c r="P261" s="15"/>
      <c r="Q261" s="15"/>
      <c r="AD261" s="21"/>
    </row>
    <row r="262" spans="1:30" ht="15.75" customHeight="1">
      <c r="A262" s="8">
        <v>70302</v>
      </c>
      <c r="B262" s="9" t="s">
        <v>275</v>
      </c>
      <c r="C262" s="8">
        <v>5801</v>
      </c>
      <c r="D262" s="8">
        <v>2604.5556207299232</v>
      </c>
      <c r="E262" s="8">
        <v>9619</v>
      </c>
      <c r="F262" s="10">
        <f t="shared" si="14"/>
        <v>0.60307724295664833</v>
      </c>
      <c r="G262" s="10">
        <f t="shared" si="15"/>
        <v>0.44898390290121071</v>
      </c>
      <c r="H262" s="10">
        <f t="shared" si="16"/>
        <v>0.27077197429357763</v>
      </c>
      <c r="I262" s="8">
        <v>715</v>
      </c>
      <c r="J262" s="8">
        <v>328.22223085165024</v>
      </c>
      <c r="K262" s="8">
        <v>1613</v>
      </c>
      <c r="L262" s="11">
        <f t="shared" si="17"/>
        <v>0.44327340359578427</v>
      </c>
      <c r="M262" s="12">
        <f t="shared" si="18"/>
        <v>0.45905207112118912</v>
      </c>
      <c r="N262" s="13">
        <f t="shared" si="19"/>
        <v>0.20348557399358352</v>
      </c>
      <c r="O262" s="14">
        <f t="shared" si="20"/>
        <v>0.75150160766992624</v>
      </c>
      <c r="P262" s="15"/>
      <c r="Q262" s="15"/>
      <c r="AD262" s="21"/>
    </row>
    <row r="263" spans="1:30" ht="15.75" customHeight="1">
      <c r="A263" s="8">
        <v>70303</v>
      </c>
      <c r="B263" s="9" t="s">
        <v>276</v>
      </c>
      <c r="C263" s="8">
        <v>1955</v>
      </c>
      <c r="D263" s="8">
        <v>881.88891443610191</v>
      </c>
      <c r="E263" s="8">
        <v>3247</v>
      </c>
      <c r="F263" s="10">
        <f t="shared" si="14"/>
        <v>0.60209424083769636</v>
      </c>
      <c r="G263" s="10">
        <f t="shared" si="15"/>
        <v>0.45109407388035905</v>
      </c>
      <c r="H263" s="10">
        <f t="shared" si="16"/>
        <v>0.27160114395937851</v>
      </c>
      <c r="I263" s="8">
        <v>1177</v>
      </c>
      <c r="J263" s="8">
        <v>510.77779120206833</v>
      </c>
      <c r="K263" s="8">
        <v>2373</v>
      </c>
      <c r="L263" s="11">
        <f t="shared" si="17"/>
        <v>0.49599662873999156</v>
      </c>
      <c r="M263" s="12">
        <f t="shared" si="18"/>
        <v>0.43396583789470544</v>
      </c>
      <c r="N263" s="13">
        <f t="shared" si="19"/>
        <v>0.21524559258409959</v>
      </c>
      <c r="O263" s="14">
        <f t="shared" si="20"/>
        <v>0.79250620761852308</v>
      </c>
      <c r="P263" s="15"/>
      <c r="Q263" s="15"/>
      <c r="AD263" s="21"/>
    </row>
    <row r="264" spans="1:30" ht="15.75" customHeight="1">
      <c r="A264" s="8">
        <v>70401</v>
      </c>
      <c r="B264" s="9" t="s">
        <v>277</v>
      </c>
      <c r="C264" s="8">
        <v>2558</v>
      </c>
      <c r="D264" s="8">
        <v>1133.0000294446945</v>
      </c>
      <c r="E264" s="8">
        <v>6824</v>
      </c>
      <c r="F264" s="10">
        <f t="shared" si="14"/>
        <v>0.37485345838218054</v>
      </c>
      <c r="G264" s="10">
        <f t="shared" si="15"/>
        <v>0.44292417101043569</v>
      </c>
      <c r="H264" s="10">
        <f t="shared" si="16"/>
        <v>0.16603165730432218</v>
      </c>
      <c r="I264" s="8">
        <v>1317</v>
      </c>
      <c r="J264" s="8">
        <v>558.66668131947517</v>
      </c>
      <c r="K264" s="8">
        <v>5711</v>
      </c>
      <c r="L264" s="11">
        <f t="shared" si="17"/>
        <v>0.23060759936963754</v>
      </c>
      <c r="M264" s="12">
        <f t="shared" si="18"/>
        <v>0.42419641709906997</v>
      </c>
      <c r="N264" s="13">
        <f t="shared" si="19"/>
        <v>9.7822917408417989E-2</v>
      </c>
      <c r="O264" s="14">
        <f t="shared" si="20"/>
        <v>0.58918232219483746</v>
      </c>
      <c r="P264" s="15"/>
      <c r="Q264" s="15"/>
      <c r="AD264" s="21"/>
    </row>
    <row r="265" spans="1:30" ht="15.75" customHeight="1">
      <c r="A265" s="8">
        <v>70402</v>
      </c>
      <c r="B265" s="9" t="s">
        <v>278</v>
      </c>
      <c r="C265" s="8">
        <v>4165</v>
      </c>
      <c r="D265" s="8">
        <v>1821.555603325367</v>
      </c>
      <c r="E265" s="8">
        <v>9327</v>
      </c>
      <c r="F265" s="10">
        <f t="shared" si="14"/>
        <v>0.44655301811943821</v>
      </c>
      <c r="G265" s="10">
        <f t="shared" si="15"/>
        <v>0.43734828411173277</v>
      </c>
      <c r="H265" s="10">
        <f t="shared" si="16"/>
        <v>0.1952991962394518</v>
      </c>
      <c r="I265" s="8">
        <v>4142</v>
      </c>
      <c r="J265" s="8">
        <v>1762.4444888532162</v>
      </c>
      <c r="K265" s="8">
        <v>10372</v>
      </c>
      <c r="L265" s="11">
        <f t="shared" si="17"/>
        <v>0.39934438873891248</v>
      </c>
      <c r="M265" s="12">
        <f t="shared" si="18"/>
        <v>0.42550567089647906</v>
      </c>
      <c r="N265" s="13">
        <f t="shared" si="19"/>
        <v>0.16992330204909528</v>
      </c>
      <c r="O265" s="14">
        <f t="shared" si="20"/>
        <v>0.87006657129687459</v>
      </c>
      <c r="P265" s="15"/>
      <c r="Q265" s="15"/>
      <c r="AD265" s="21"/>
    </row>
    <row r="266" spans="1:30" ht="15.75" customHeight="1">
      <c r="A266" s="8">
        <v>70403</v>
      </c>
      <c r="B266" s="9" t="s">
        <v>279</v>
      </c>
      <c r="C266" s="8">
        <v>16432</v>
      </c>
      <c r="D266" s="8">
        <v>7463.7779613137245</v>
      </c>
      <c r="E266" s="8">
        <v>30789</v>
      </c>
      <c r="F266" s="10">
        <f t="shared" si="14"/>
        <v>0.53369709961349832</v>
      </c>
      <c r="G266" s="10">
        <f t="shared" si="15"/>
        <v>0.45422212520166289</v>
      </c>
      <c r="H266" s="10">
        <f t="shared" si="16"/>
        <v>0.24241703080040677</v>
      </c>
      <c r="I266" s="8">
        <v>7157</v>
      </c>
      <c r="J266" s="8">
        <v>3068.5556300282478</v>
      </c>
      <c r="K266" s="8">
        <v>18562</v>
      </c>
      <c r="L266" s="11">
        <f t="shared" si="17"/>
        <v>0.38557267535825879</v>
      </c>
      <c r="M266" s="12">
        <f t="shared" si="18"/>
        <v>0.428748865450363</v>
      </c>
      <c r="N266" s="13">
        <f t="shared" si="19"/>
        <v>0.1653138471085146</v>
      </c>
      <c r="O266" s="14">
        <f t="shared" si="20"/>
        <v>0.68193990563569429</v>
      </c>
      <c r="P266" s="15"/>
      <c r="Q266" s="15"/>
      <c r="AD266" s="21"/>
    </row>
    <row r="267" spans="1:30" ht="15.75" customHeight="1">
      <c r="A267" s="8">
        <v>70404</v>
      </c>
      <c r="B267" s="9" t="s">
        <v>280</v>
      </c>
      <c r="C267" s="8">
        <v>1693</v>
      </c>
      <c r="D267" s="8">
        <v>726.33335241675377</v>
      </c>
      <c r="E267" s="8">
        <v>3555</v>
      </c>
      <c r="F267" s="10">
        <f t="shared" si="14"/>
        <v>0.47623066104078765</v>
      </c>
      <c r="G267" s="10">
        <f t="shared" si="15"/>
        <v>0.4290214721894588</v>
      </c>
      <c r="H267" s="10">
        <f t="shared" si="16"/>
        <v>0.20431317930147785</v>
      </c>
      <c r="I267" s="8">
        <v>1863</v>
      </c>
      <c r="J267" s="8">
        <v>809.44446521997452</v>
      </c>
      <c r="K267" s="8">
        <v>4632</v>
      </c>
      <c r="L267" s="11">
        <f t="shared" si="17"/>
        <v>0.40220207253886009</v>
      </c>
      <c r="M267" s="12">
        <f t="shared" si="18"/>
        <v>0.43448441504024399</v>
      </c>
      <c r="N267" s="13">
        <f t="shared" si="19"/>
        <v>0.1747505322150204</v>
      </c>
      <c r="O267" s="14">
        <f t="shared" si="20"/>
        <v>0.85530719463360816</v>
      </c>
      <c r="P267" s="15"/>
      <c r="Q267" s="15"/>
      <c r="AD267" s="21"/>
    </row>
    <row r="268" spans="1:30" ht="15.75" customHeight="1">
      <c r="A268" s="8">
        <v>70501</v>
      </c>
      <c r="B268" s="9" t="s">
        <v>281</v>
      </c>
      <c r="C268" s="8">
        <v>3775</v>
      </c>
      <c r="D268" s="8">
        <v>1491.7778136730194</v>
      </c>
      <c r="E268" s="8">
        <v>11821</v>
      </c>
      <c r="F268" s="10">
        <f t="shared" si="14"/>
        <v>0.31934692496404704</v>
      </c>
      <c r="G268" s="10">
        <f t="shared" si="15"/>
        <v>0.39517293077430976</v>
      </c>
      <c r="H268" s="10">
        <f t="shared" si="16"/>
        <v>0.12619726027180606</v>
      </c>
      <c r="I268" s="8">
        <v>3281</v>
      </c>
      <c r="J268" s="8">
        <v>1268.7778083980083</v>
      </c>
      <c r="K268" s="8">
        <v>10051</v>
      </c>
      <c r="L268" s="11">
        <f t="shared" si="17"/>
        <v>0.32643518057904686</v>
      </c>
      <c r="M268" s="12">
        <f t="shared" si="18"/>
        <v>0.38670460481499797</v>
      </c>
      <c r="N268" s="13">
        <f t="shared" si="19"/>
        <v>0.12623398750353282</v>
      </c>
      <c r="O268" s="14">
        <f t="shared" si="20"/>
        <v>1.00029103034129</v>
      </c>
      <c r="P268" s="15"/>
      <c r="Q268" s="15"/>
      <c r="AD268" s="21"/>
    </row>
    <row r="269" spans="1:30" ht="15.75" customHeight="1">
      <c r="A269" s="8">
        <v>70502</v>
      </c>
      <c r="B269" s="9" t="s">
        <v>282</v>
      </c>
      <c r="C269" s="8">
        <v>6915</v>
      </c>
      <c r="D269" s="8">
        <v>2662.8889552652836</v>
      </c>
      <c r="E269" s="8">
        <v>18600</v>
      </c>
      <c r="F269" s="10">
        <f t="shared" si="14"/>
        <v>0.37177419354838709</v>
      </c>
      <c r="G269" s="10">
        <f t="shared" si="15"/>
        <v>0.38508878601088697</v>
      </c>
      <c r="H269" s="10">
        <f t="shared" si="16"/>
        <v>0.1431660728637249</v>
      </c>
      <c r="I269" s="8">
        <v>5453</v>
      </c>
      <c r="J269" s="8">
        <v>2160.7778319716454</v>
      </c>
      <c r="K269" s="8">
        <v>17702</v>
      </c>
      <c r="L269" s="11">
        <f t="shared" si="17"/>
        <v>0.30804428878092871</v>
      </c>
      <c r="M269" s="12">
        <f t="shared" si="18"/>
        <v>0.39625487474264542</v>
      </c>
      <c r="N269" s="13">
        <f t="shared" si="19"/>
        <v>0.12206405106607419</v>
      </c>
      <c r="O269" s="14">
        <f t="shared" si="20"/>
        <v>0.85260459146814038</v>
      </c>
      <c r="P269" s="15"/>
      <c r="Q269" s="15"/>
      <c r="AD269" s="21"/>
    </row>
    <row r="270" spans="1:30" ht="15.75" customHeight="1">
      <c r="A270" s="8">
        <v>70503</v>
      </c>
      <c r="B270" s="9" t="s">
        <v>283</v>
      </c>
      <c r="C270" s="8">
        <v>2142</v>
      </c>
      <c r="D270" s="8">
        <v>904.77779975533485</v>
      </c>
      <c r="E270" s="8">
        <v>9139</v>
      </c>
      <c r="F270" s="10">
        <f t="shared" si="14"/>
        <v>0.23438012911697123</v>
      </c>
      <c r="G270" s="10">
        <f t="shared" si="15"/>
        <v>0.42239859932555313</v>
      </c>
      <c r="H270" s="10">
        <f t="shared" si="16"/>
        <v>9.9001838248750945E-2</v>
      </c>
      <c r="I270" s="8">
        <v>1143</v>
      </c>
      <c r="J270" s="8">
        <v>476.55556809902191</v>
      </c>
      <c r="K270" s="8">
        <v>5586</v>
      </c>
      <c r="L270" s="11">
        <f t="shared" si="17"/>
        <v>0.20461868958109561</v>
      </c>
      <c r="M270" s="12">
        <f t="shared" si="18"/>
        <v>0.41693400533597719</v>
      </c>
      <c r="N270" s="13">
        <f t="shared" si="19"/>
        <v>8.531248981364517E-2</v>
      </c>
      <c r="O270" s="14">
        <f t="shared" si="20"/>
        <v>0.86172632066982369</v>
      </c>
      <c r="P270" s="15"/>
      <c r="Q270" s="15"/>
      <c r="AD270" s="21"/>
    </row>
    <row r="271" spans="1:30" ht="15.75" customHeight="1">
      <c r="A271" s="8">
        <v>70601</v>
      </c>
      <c r="B271" s="9" t="s">
        <v>284</v>
      </c>
      <c r="C271" s="8">
        <v>1642</v>
      </c>
      <c r="D271" s="8">
        <v>682.88890588283539</v>
      </c>
      <c r="E271" s="8">
        <v>7412</v>
      </c>
      <c r="F271" s="10">
        <f t="shared" si="14"/>
        <v>0.22153264975715056</v>
      </c>
      <c r="G271" s="10">
        <f t="shared" si="15"/>
        <v>0.41588849322949778</v>
      </c>
      <c r="H271" s="10">
        <f t="shared" si="16"/>
        <v>9.2132879908639415E-2</v>
      </c>
      <c r="I271" s="8">
        <v>2252</v>
      </c>
      <c r="J271" s="8">
        <v>900.33335697650909</v>
      </c>
      <c r="K271" s="8">
        <v>10046</v>
      </c>
      <c r="L271" s="11">
        <f t="shared" si="17"/>
        <v>0.2241688234123034</v>
      </c>
      <c r="M271" s="12">
        <f t="shared" si="18"/>
        <v>0.39979278728974649</v>
      </c>
      <c r="N271" s="13">
        <f t="shared" si="19"/>
        <v>8.9621078735467763E-2</v>
      </c>
      <c r="O271" s="14">
        <f t="shared" si="20"/>
        <v>0.97273719028795802</v>
      </c>
      <c r="P271" s="15"/>
      <c r="Q271" s="15"/>
      <c r="AD271" s="21"/>
    </row>
    <row r="272" spans="1:30" ht="15.75" customHeight="1">
      <c r="A272" s="8">
        <v>70602</v>
      </c>
      <c r="B272" s="9" t="s">
        <v>285</v>
      </c>
      <c r="C272" s="8">
        <v>5367</v>
      </c>
      <c r="D272" s="8">
        <v>2478.4445093274117</v>
      </c>
      <c r="E272" s="8">
        <v>9231</v>
      </c>
      <c r="F272" s="10">
        <f t="shared" si="14"/>
        <v>0.58141046473838154</v>
      </c>
      <c r="G272" s="10">
        <f t="shared" si="15"/>
        <v>0.46179327544762655</v>
      </c>
      <c r="H272" s="10">
        <f t="shared" si="16"/>
        <v>0.26849144289106397</v>
      </c>
      <c r="I272" s="8">
        <v>4402</v>
      </c>
      <c r="J272" s="8">
        <v>1906.5556044578552</v>
      </c>
      <c r="K272" s="8">
        <v>9756</v>
      </c>
      <c r="L272" s="11">
        <f t="shared" si="17"/>
        <v>0.45120951209512095</v>
      </c>
      <c r="M272" s="12">
        <f t="shared" si="18"/>
        <v>0.43311122318442874</v>
      </c>
      <c r="N272" s="13">
        <f t="shared" si="19"/>
        <v>0.19542390369596713</v>
      </c>
      <c r="O272" s="14">
        <f t="shared" si="20"/>
        <v>0.72785896485817314</v>
      </c>
      <c r="P272" s="15"/>
      <c r="Q272" s="15"/>
      <c r="AD272" s="21"/>
    </row>
    <row r="273" spans="1:30" ht="15.75" customHeight="1">
      <c r="A273" s="8">
        <v>70603</v>
      </c>
      <c r="B273" s="9" t="s">
        <v>286</v>
      </c>
      <c r="C273" s="8">
        <v>621</v>
      </c>
      <c r="D273" s="8">
        <v>255.33333942294121</v>
      </c>
      <c r="E273" s="8">
        <v>2288</v>
      </c>
      <c r="F273" s="10">
        <f t="shared" si="14"/>
        <v>0.27141608391608391</v>
      </c>
      <c r="G273" s="10">
        <f t="shared" si="15"/>
        <v>0.41116479778251402</v>
      </c>
      <c r="H273" s="10">
        <f t="shared" si="16"/>
        <v>0.1115967392582785</v>
      </c>
      <c r="I273" s="8">
        <v>1311</v>
      </c>
      <c r="J273" s="8">
        <v>542.66668099164963</v>
      </c>
      <c r="K273" s="8">
        <v>3701</v>
      </c>
      <c r="L273" s="11">
        <f t="shared" si="17"/>
        <v>0.35422858686841396</v>
      </c>
      <c r="M273" s="12">
        <f t="shared" si="18"/>
        <v>0.41393339511186089</v>
      </c>
      <c r="N273" s="13">
        <f t="shared" si="19"/>
        <v>0.14662704160811935</v>
      </c>
      <c r="O273" s="14">
        <f t="shared" si="20"/>
        <v>1.3139007697058875</v>
      </c>
      <c r="P273" s="15"/>
      <c r="Q273" s="15"/>
      <c r="AD273" s="21"/>
    </row>
    <row r="274" spans="1:30" ht="15.75" customHeight="1">
      <c r="A274" s="8">
        <v>70701</v>
      </c>
      <c r="B274" s="9" t="s">
        <v>287</v>
      </c>
      <c r="C274" s="8">
        <v>2317</v>
      </c>
      <c r="D274" s="8">
        <v>1086.5555837750435</v>
      </c>
      <c r="E274" s="8">
        <v>3587</v>
      </c>
      <c r="F274" s="10">
        <f t="shared" si="14"/>
        <v>0.6459436855310845</v>
      </c>
      <c r="G274" s="10">
        <f t="shared" si="15"/>
        <v>0.46894932402893547</v>
      </c>
      <c r="H274" s="10">
        <f t="shared" si="16"/>
        <v>0.30291485469056134</v>
      </c>
      <c r="I274" s="8">
        <v>423</v>
      </c>
      <c r="J274" s="8">
        <v>187.22222703695297</v>
      </c>
      <c r="K274" s="8">
        <v>1487</v>
      </c>
      <c r="L274" s="11">
        <f t="shared" si="17"/>
        <v>0.28446536650975118</v>
      </c>
      <c r="M274" s="12">
        <f t="shared" si="18"/>
        <v>0.44260573767601175</v>
      </c>
      <c r="N274" s="13">
        <f t="shared" si="19"/>
        <v>0.12590600338732547</v>
      </c>
      <c r="O274" s="14">
        <f t="shared" si="20"/>
        <v>0.41564816461689563</v>
      </c>
      <c r="P274" s="15"/>
      <c r="Q274" s="15"/>
      <c r="AD274" s="21"/>
    </row>
    <row r="275" spans="1:30" ht="15.75" customHeight="1">
      <c r="A275" s="8">
        <v>70702</v>
      </c>
      <c r="B275" s="9" t="s">
        <v>288</v>
      </c>
      <c r="C275" s="8">
        <v>11746</v>
      </c>
      <c r="D275" s="8">
        <v>5248.5556943416595</v>
      </c>
      <c r="E275" s="8">
        <v>19802</v>
      </c>
      <c r="F275" s="10">
        <f t="shared" si="14"/>
        <v>0.5931724068275932</v>
      </c>
      <c r="G275" s="10">
        <f t="shared" si="15"/>
        <v>0.44683770597153583</v>
      </c>
      <c r="H275" s="10">
        <f t="shared" si="16"/>
        <v>0.26505179751245633</v>
      </c>
      <c r="I275" s="8">
        <v>5597</v>
      </c>
      <c r="J275" s="8">
        <v>2222.5556086301804</v>
      </c>
      <c r="K275" s="8">
        <v>11222</v>
      </c>
      <c r="L275" s="11">
        <f t="shared" si="17"/>
        <v>0.49875245054357514</v>
      </c>
      <c r="M275" s="12">
        <f t="shared" si="18"/>
        <v>0.39709766100235488</v>
      </c>
      <c r="N275" s="13">
        <f t="shared" si="19"/>
        <v>0.19805343153004637</v>
      </c>
      <c r="O275" s="14">
        <f t="shared" si="20"/>
        <v>0.74722538533525196</v>
      </c>
      <c r="P275" s="15"/>
      <c r="Q275" s="15"/>
      <c r="AD275" s="21"/>
    </row>
    <row r="276" spans="1:30" ht="15.75" customHeight="1">
      <c r="A276" s="8">
        <v>70703</v>
      </c>
      <c r="B276" s="9" t="s">
        <v>289</v>
      </c>
      <c r="C276" s="8">
        <v>3081</v>
      </c>
      <c r="D276" s="8">
        <v>1382.7778140306473</v>
      </c>
      <c r="E276" s="8">
        <v>7426</v>
      </c>
      <c r="F276" s="10">
        <f t="shared" si="14"/>
        <v>0.41489361702127658</v>
      </c>
      <c r="G276" s="10">
        <f t="shared" si="15"/>
        <v>0.44880811880254701</v>
      </c>
      <c r="H276" s="10">
        <f t="shared" si="16"/>
        <v>0.18620762375850353</v>
      </c>
      <c r="I276" s="8">
        <v>6492</v>
      </c>
      <c r="J276" s="8">
        <v>2601.2222853899002</v>
      </c>
      <c r="K276" s="8">
        <v>17610</v>
      </c>
      <c r="L276" s="11">
        <f t="shared" si="17"/>
        <v>0.36865417376490628</v>
      </c>
      <c r="M276" s="12">
        <f t="shared" si="18"/>
        <v>0.4006811899861214</v>
      </c>
      <c r="N276" s="13">
        <f t="shared" si="19"/>
        <v>0.14771279303747303</v>
      </c>
      <c r="O276" s="14">
        <f t="shared" si="20"/>
        <v>0.79326930904313975</v>
      </c>
      <c r="P276" s="15"/>
      <c r="Q276" s="15"/>
      <c r="AD276" s="21"/>
    </row>
    <row r="277" spans="1:30" ht="15.75" customHeight="1">
      <c r="A277" s="8">
        <v>70704</v>
      </c>
      <c r="B277" s="9" t="s">
        <v>290</v>
      </c>
      <c r="C277" s="8">
        <v>1567</v>
      </c>
      <c r="D277" s="8">
        <v>820.7778000831604</v>
      </c>
      <c r="E277" s="8">
        <v>2482</v>
      </c>
      <c r="F277" s="10">
        <f t="shared" si="14"/>
        <v>0.63134568896051568</v>
      </c>
      <c r="G277" s="10">
        <f t="shared" si="15"/>
        <v>0.52378927892990457</v>
      </c>
      <c r="H277" s="10">
        <f t="shared" si="16"/>
        <v>0.33069210317613235</v>
      </c>
      <c r="I277" s="8">
        <v>788</v>
      </c>
      <c r="J277" s="8">
        <v>323.33334201574326</v>
      </c>
      <c r="K277" s="8">
        <v>2298</v>
      </c>
      <c r="L277" s="11">
        <f t="shared" si="17"/>
        <v>0.34290687554395127</v>
      </c>
      <c r="M277" s="12">
        <f t="shared" si="18"/>
        <v>0.41032150001997875</v>
      </c>
      <c r="N277" s="13">
        <f t="shared" si="19"/>
        <v>0.14070206354035825</v>
      </c>
      <c r="O277" s="14">
        <f t="shared" si="20"/>
        <v>0.42547754297422063</v>
      </c>
      <c r="P277" s="15"/>
      <c r="Q277" s="15"/>
      <c r="AD277" s="21"/>
    </row>
    <row r="278" spans="1:30" ht="15.75" customHeight="1">
      <c r="A278" s="8">
        <v>70705</v>
      </c>
      <c r="B278" s="9" t="s">
        <v>291</v>
      </c>
      <c r="C278" s="8">
        <v>7978</v>
      </c>
      <c r="D278" s="8">
        <v>3868.7778785228729</v>
      </c>
      <c r="E278" s="8">
        <v>10957</v>
      </c>
      <c r="F278" s="10">
        <f t="shared" si="14"/>
        <v>0.72811901067810536</v>
      </c>
      <c r="G278" s="10">
        <f t="shared" si="15"/>
        <v>0.48493079450023474</v>
      </c>
      <c r="H278" s="10">
        <f t="shared" si="16"/>
        <v>0.35308733033885853</v>
      </c>
      <c r="I278" s="8">
        <v>345</v>
      </c>
      <c r="J278" s="8">
        <v>143.44444823265076</v>
      </c>
      <c r="K278" s="8">
        <v>929</v>
      </c>
      <c r="L278" s="11">
        <f t="shared" si="17"/>
        <v>0.3713670613562971</v>
      </c>
      <c r="M278" s="12">
        <f t="shared" si="18"/>
        <v>0.41578100937000217</v>
      </c>
      <c r="N278" s="13">
        <f t="shared" si="19"/>
        <v>0.15440737161749274</v>
      </c>
      <c r="O278" s="14">
        <f t="shared" si="20"/>
        <v>0.43730646316113275</v>
      </c>
      <c r="P278" s="15"/>
      <c r="Q278" s="15"/>
      <c r="AD278" s="21"/>
    </row>
    <row r="279" spans="1:30" ht="15.75" customHeight="1">
      <c r="A279" s="8">
        <v>70706</v>
      </c>
      <c r="B279" s="9" t="s">
        <v>292</v>
      </c>
      <c r="C279" s="8">
        <v>2998</v>
      </c>
      <c r="D279" s="8">
        <v>1278.4444783329964</v>
      </c>
      <c r="E279" s="8">
        <v>10391</v>
      </c>
      <c r="F279" s="10">
        <f t="shared" si="14"/>
        <v>0.28851891059570783</v>
      </c>
      <c r="G279" s="10">
        <f t="shared" si="15"/>
        <v>0.42643244774282735</v>
      </c>
      <c r="H279" s="10">
        <f t="shared" si="16"/>
        <v>0.12303382526542166</v>
      </c>
      <c r="I279" s="8">
        <v>2407</v>
      </c>
      <c r="J279" s="8">
        <v>923.8889122903347</v>
      </c>
      <c r="K279" s="8">
        <v>22551</v>
      </c>
      <c r="L279" s="11">
        <f t="shared" si="17"/>
        <v>0.1067358431998581</v>
      </c>
      <c r="M279" s="12">
        <f t="shared" si="18"/>
        <v>0.38383419704625454</v>
      </c>
      <c r="N279" s="13">
        <f t="shared" si="19"/>
        <v>4.0968866670672462E-2</v>
      </c>
      <c r="O279" s="14">
        <f t="shared" si="20"/>
        <v>0.33298864423901364</v>
      </c>
      <c r="P279" s="15"/>
      <c r="Q279" s="15"/>
      <c r="AD279" s="21"/>
    </row>
    <row r="280" spans="1:30" ht="15.75" customHeight="1">
      <c r="A280" s="8">
        <v>70707</v>
      </c>
      <c r="B280" s="9" t="s">
        <v>293</v>
      </c>
      <c r="C280" s="8">
        <v>1695</v>
      </c>
      <c r="D280" s="8">
        <v>811.1111313700676</v>
      </c>
      <c r="E280" s="8">
        <v>2791</v>
      </c>
      <c r="F280" s="10">
        <f t="shared" si="14"/>
        <v>0.60730920816911504</v>
      </c>
      <c r="G280" s="10">
        <f t="shared" si="15"/>
        <v>0.47853164092629358</v>
      </c>
      <c r="H280" s="10">
        <f t="shared" si="16"/>
        <v>0.29061667193481466</v>
      </c>
      <c r="I280" s="8">
        <v>685</v>
      </c>
      <c r="J280" s="8">
        <v>301.33334165811539</v>
      </c>
      <c r="K280" s="8">
        <v>2104</v>
      </c>
      <c r="L280" s="11">
        <f t="shared" si="17"/>
        <v>0.32557034220532322</v>
      </c>
      <c r="M280" s="12">
        <f t="shared" si="18"/>
        <v>0.43990268855199327</v>
      </c>
      <c r="N280" s="13">
        <f t="shared" si="19"/>
        <v>0.14321926884891417</v>
      </c>
      <c r="O280" s="14">
        <f t="shared" si="20"/>
        <v>0.49281160607688146</v>
      </c>
      <c r="P280" s="15"/>
      <c r="Q280" s="15"/>
      <c r="AD280" s="21"/>
    </row>
    <row r="281" spans="1:30" ht="15.75" customHeight="1">
      <c r="A281" s="8">
        <v>70801</v>
      </c>
      <c r="B281" s="9" t="s">
        <v>294</v>
      </c>
      <c r="C281" s="8">
        <v>1143</v>
      </c>
      <c r="D281" s="8">
        <v>515.44445756077766</v>
      </c>
      <c r="E281" s="8">
        <v>3355</v>
      </c>
      <c r="F281" s="10">
        <f t="shared" si="14"/>
        <v>0.34068554396423251</v>
      </c>
      <c r="G281" s="10">
        <f t="shared" si="15"/>
        <v>0.45095753067434619</v>
      </c>
      <c r="H281" s="10">
        <f t="shared" si="16"/>
        <v>0.15363471164255671</v>
      </c>
      <c r="I281" s="8">
        <v>4186</v>
      </c>
      <c r="J281" s="8">
        <v>1853.000048995018</v>
      </c>
      <c r="K281" s="8">
        <v>13441</v>
      </c>
      <c r="L281" s="11">
        <f t="shared" si="17"/>
        <v>0.31143516107432484</v>
      </c>
      <c r="M281" s="12">
        <f t="shared" si="18"/>
        <v>0.44266604132704684</v>
      </c>
      <c r="N281" s="13">
        <f t="shared" si="19"/>
        <v>0.13786176988282256</v>
      </c>
      <c r="O281" s="14">
        <f t="shared" si="20"/>
        <v>0.89733477811686757</v>
      </c>
      <c r="P281" s="15"/>
      <c r="Q281" s="15"/>
      <c r="AD281" s="21"/>
    </row>
    <row r="282" spans="1:30" ht="15.75" customHeight="1">
      <c r="A282" s="8">
        <v>70802</v>
      </c>
      <c r="B282" s="9" t="s">
        <v>295</v>
      </c>
      <c r="C282" s="8">
        <v>107</v>
      </c>
      <c r="D282" s="8">
        <v>47.888890266418457</v>
      </c>
      <c r="E282" s="8">
        <v>448</v>
      </c>
      <c r="F282" s="10">
        <f t="shared" si="14"/>
        <v>0.23883928571428573</v>
      </c>
      <c r="G282" s="10">
        <f t="shared" si="15"/>
        <v>0.44755972211606032</v>
      </c>
      <c r="H282" s="10">
        <f t="shared" si="16"/>
        <v>0.10689484434468406</v>
      </c>
      <c r="I282" s="8">
        <v>373</v>
      </c>
      <c r="J282" s="8">
        <v>150.44444838166237</v>
      </c>
      <c r="K282" s="8">
        <v>1629</v>
      </c>
      <c r="L282" s="11">
        <f t="shared" si="17"/>
        <v>0.22897483118477593</v>
      </c>
      <c r="M282" s="12">
        <f t="shared" si="18"/>
        <v>0.40333632273904119</v>
      </c>
      <c r="N282" s="13">
        <f t="shared" si="19"/>
        <v>9.2353866409860264E-2</v>
      </c>
      <c r="O282" s="14">
        <f t="shared" si="20"/>
        <v>0.86396932402150106</v>
      </c>
      <c r="P282" s="15"/>
      <c r="Q282" s="15"/>
      <c r="AD282" s="21"/>
    </row>
    <row r="283" spans="1:30" ht="15.75" customHeight="1">
      <c r="A283" s="8">
        <v>70803</v>
      </c>
      <c r="B283" s="9" t="s">
        <v>296</v>
      </c>
      <c r="C283" s="8">
        <v>107</v>
      </c>
      <c r="D283" s="8">
        <v>54.888890653848648</v>
      </c>
      <c r="E283" s="8">
        <v>262</v>
      </c>
      <c r="F283" s="10">
        <f t="shared" si="14"/>
        <v>0.40839694656488551</v>
      </c>
      <c r="G283" s="10">
        <f t="shared" si="15"/>
        <v>0.51298028648456684</v>
      </c>
      <c r="H283" s="10">
        <f t="shared" si="16"/>
        <v>0.20949958264827731</v>
      </c>
      <c r="I283" s="8">
        <v>1113</v>
      </c>
      <c r="J283" s="8">
        <v>502.77778986096382</v>
      </c>
      <c r="K283" s="8">
        <v>2490</v>
      </c>
      <c r="L283" s="11">
        <f t="shared" si="17"/>
        <v>0.44698795180722889</v>
      </c>
      <c r="M283" s="12">
        <f t="shared" si="18"/>
        <v>0.45173206636205193</v>
      </c>
      <c r="N283" s="13">
        <f t="shared" si="19"/>
        <v>0.2019187911088208</v>
      </c>
      <c r="O283" s="14">
        <f t="shared" si="20"/>
        <v>0.96381476543471845</v>
      </c>
      <c r="P283" s="15"/>
      <c r="Q283" s="15"/>
      <c r="AD283" s="21"/>
    </row>
    <row r="284" spans="1:30" ht="15.75" customHeight="1">
      <c r="A284" s="8">
        <v>70804</v>
      </c>
      <c r="B284" s="9" t="s">
        <v>297</v>
      </c>
      <c r="C284" s="8">
        <v>146</v>
      </c>
      <c r="D284" s="8">
        <v>81.555558294057846</v>
      </c>
      <c r="E284" s="8">
        <v>272</v>
      </c>
      <c r="F284" s="10">
        <f t="shared" si="14"/>
        <v>0.53676470588235292</v>
      </c>
      <c r="G284" s="10">
        <f t="shared" si="15"/>
        <v>0.55859971434286193</v>
      </c>
      <c r="H284" s="10">
        <f t="shared" si="16"/>
        <v>0.29983661137521267</v>
      </c>
      <c r="I284" s="8">
        <v>1019</v>
      </c>
      <c r="J284" s="8">
        <v>548.55557036399841</v>
      </c>
      <c r="K284" s="8">
        <v>2025</v>
      </c>
      <c r="L284" s="11">
        <f t="shared" si="17"/>
        <v>0.50320987654320992</v>
      </c>
      <c r="M284" s="12">
        <f t="shared" si="18"/>
        <v>0.53832735070068538</v>
      </c>
      <c r="N284" s="13">
        <f t="shared" si="19"/>
        <v>0.27089163968592517</v>
      </c>
      <c r="O284" s="14">
        <f t="shared" si="20"/>
        <v>0.90346418485544433</v>
      </c>
      <c r="P284" s="15"/>
      <c r="Q284" s="15"/>
      <c r="AD284" s="21"/>
    </row>
    <row r="285" spans="1:30" ht="15.75" customHeight="1">
      <c r="A285" s="8">
        <v>70805</v>
      </c>
      <c r="B285" s="9" t="s">
        <v>298</v>
      </c>
      <c r="C285" s="8">
        <v>130</v>
      </c>
      <c r="D285" s="8">
        <v>61.777779549360275</v>
      </c>
      <c r="E285" s="8">
        <v>274</v>
      </c>
      <c r="F285" s="10">
        <f t="shared" si="14"/>
        <v>0.47445255474452552</v>
      </c>
      <c r="G285" s="10">
        <f t="shared" si="15"/>
        <v>0.47521368884123288</v>
      </c>
      <c r="H285" s="10">
        <f t="shared" si="16"/>
        <v>0.22546634872029298</v>
      </c>
      <c r="I285" s="8">
        <v>957</v>
      </c>
      <c r="J285" s="8">
        <v>436.77778881788254</v>
      </c>
      <c r="K285" s="8">
        <v>1774</v>
      </c>
      <c r="L285" s="11">
        <f t="shared" si="17"/>
        <v>0.53945885005636973</v>
      </c>
      <c r="M285" s="12">
        <f t="shared" si="18"/>
        <v>0.45640312311168502</v>
      </c>
      <c r="N285" s="13">
        <f t="shared" si="19"/>
        <v>0.24621070395596534</v>
      </c>
      <c r="O285" s="14">
        <f t="shared" si="20"/>
        <v>1.0920064362305668</v>
      </c>
      <c r="P285" s="15"/>
      <c r="Q285" s="15"/>
      <c r="AD285" s="21"/>
    </row>
    <row r="286" spans="1:30" ht="15.75" customHeight="1">
      <c r="A286" s="8">
        <v>70901</v>
      </c>
      <c r="B286" s="9" t="s">
        <v>299</v>
      </c>
      <c r="C286" s="8">
        <v>1443</v>
      </c>
      <c r="D286" s="8">
        <v>697.55557483434677</v>
      </c>
      <c r="E286" s="8">
        <v>3444</v>
      </c>
      <c r="F286" s="10">
        <f t="shared" si="14"/>
        <v>0.41898954703832753</v>
      </c>
      <c r="G286" s="10">
        <f t="shared" si="15"/>
        <v>0.48340649676669906</v>
      </c>
      <c r="H286" s="10">
        <f t="shared" si="16"/>
        <v>0.20254226911566398</v>
      </c>
      <c r="I286" s="8">
        <v>2089</v>
      </c>
      <c r="J286" s="8">
        <v>909.00002416968346</v>
      </c>
      <c r="K286" s="8">
        <v>6806</v>
      </c>
      <c r="L286" s="11">
        <f t="shared" si="17"/>
        <v>0.30693505730238024</v>
      </c>
      <c r="M286" s="12">
        <f t="shared" si="18"/>
        <v>0.43513644048333339</v>
      </c>
      <c r="N286" s="13">
        <f t="shared" si="19"/>
        <v>0.1335586282941057</v>
      </c>
      <c r="O286" s="14">
        <f t="shared" si="20"/>
        <v>0.65941113860947009</v>
      </c>
      <c r="P286" s="15"/>
      <c r="Q286" s="15"/>
      <c r="AD286" s="21"/>
    </row>
    <row r="287" spans="1:30" ht="15.75" customHeight="1">
      <c r="A287" s="8">
        <v>70902</v>
      </c>
      <c r="B287" s="9" t="s">
        <v>300</v>
      </c>
      <c r="C287" s="8">
        <v>2051</v>
      </c>
      <c r="D287" s="8">
        <v>947.22224858403206</v>
      </c>
      <c r="E287" s="8">
        <v>4733</v>
      </c>
      <c r="F287" s="10">
        <f t="shared" si="14"/>
        <v>0.43334037608282272</v>
      </c>
      <c r="G287" s="10">
        <f t="shared" si="15"/>
        <v>0.46183434840762166</v>
      </c>
      <c r="H287" s="10">
        <f t="shared" si="16"/>
        <v>0.20013147022692415</v>
      </c>
      <c r="I287" s="8">
        <v>1009</v>
      </c>
      <c r="J287" s="8">
        <v>413.66667810082436</v>
      </c>
      <c r="K287" s="8">
        <v>4364</v>
      </c>
      <c r="L287" s="11">
        <f t="shared" si="17"/>
        <v>0.23120989917506873</v>
      </c>
      <c r="M287" s="12">
        <f t="shared" si="18"/>
        <v>0.40997688612569311</v>
      </c>
      <c r="N287" s="13">
        <f t="shared" si="19"/>
        <v>9.4790714505230134E-2</v>
      </c>
      <c r="O287" s="14">
        <f t="shared" si="20"/>
        <v>0.47364222327327771</v>
      </c>
      <c r="P287" s="15"/>
      <c r="Q287" s="15"/>
      <c r="AD287" s="21"/>
    </row>
    <row r="288" spans="1:30" ht="15.75" customHeight="1">
      <c r="A288" s="8">
        <v>70903</v>
      </c>
      <c r="B288" s="9" t="s">
        <v>301</v>
      </c>
      <c r="C288" s="8">
        <v>1605</v>
      </c>
      <c r="D288" s="8">
        <v>687.22224003076553</v>
      </c>
      <c r="E288" s="8">
        <v>4301</v>
      </c>
      <c r="F288" s="10">
        <f t="shared" si="14"/>
        <v>0.37316903045803301</v>
      </c>
      <c r="G288" s="10">
        <f t="shared" si="15"/>
        <v>0.42817585048645829</v>
      </c>
      <c r="H288" s="10">
        <f t="shared" si="16"/>
        <v>0.15978196699157535</v>
      </c>
      <c r="I288" s="8">
        <v>1059</v>
      </c>
      <c r="J288" s="8">
        <v>422.22223269939423</v>
      </c>
      <c r="K288" s="8">
        <v>5725</v>
      </c>
      <c r="L288" s="11">
        <f t="shared" si="17"/>
        <v>0.18497816593886462</v>
      </c>
      <c r="M288" s="12">
        <f t="shared" si="18"/>
        <v>0.39869899216184534</v>
      </c>
      <c r="N288" s="13">
        <f t="shared" si="19"/>
        <v>7.3750608331771911E-2</v>
      </c>
      <c r="O288" s="14">
        <f t="shared" si="20"/>
        <v>0.4615702868125317</v>
      </c>
      <c r="P288" s="15"/>
      <c r="Q288" s="15"/>
      <c r="AD288" s="21"/>
    </row>
    <row r="289" spans="1:30" ht="15.75" customHeight="1">
      <c r="A289" s="8">
        <v>70904</v>
      </c>
      <c r="B289" s="9" t="s">
        <v>302</v>
      </c>
      <c r="C289" s="8">
        <v>208</v>
      </c>
      <c r="D289" s="8">
        <v>96.888891488313675</v>
      </c>
      <c r="E289" s="8">
        <v>748</v>
      </c>
      <c r="F289" s="10">
        <f t="shared" si="14"/>
        <v>0.27807486631016043</v>
      </c>
      <c r="G289" s="10">
        <f t="shared" si="15"/>
        <v>0.46581197830920035</v>
      </c>
      <c r="H289" s="10">
        <f t="shared" si="16"/>
        <v>0.12953060359400223</v>
      </c>
      <c r="I289" s="8">
        <v>672</v>
      </c>
      <c r="J289" s="8">
        <v>300.44445231556892</v>
      </c>
      <c r="K289" s="8">
        <v>2170</v>
      </c>
      <c r="L289" s="11">
        <f t="shared" si="17"/>
        <v>0.30967741935483872</v>
      </c>
      <c r="M289" s="12">
        <f t="shared" si="18"/>
        <v>0.44708995880292995</v>
      </c>
      <c r="N289" s="13">
        <f t="shared" si="19"/>
        <v>0.13845366466155251</v>
      </c>
      <c r="O289" s="14">
        <f t="shared" si="20"/>
        <v>1.0688876668522176</v>
      </c>
      <c r="P289" s="15"/>
      <c r="Q289" s="15"/>
      <c r="AD289" s="21"/>
    </row>
    <row r="290" spans="1:30" ht="15.75" customHeight="1">
      <c r="A290" s="8">
        <v>71001</v>
      </c>
      <c r="B290" s="9" t="s">
        <v>303</v>
      </c>
      <c r="C290" s="8">
        <v>10292</v>
      </c>
      <c r="D290" s="8">
        <v>4148.222327709198</v>
      </c>
      <c r="E290" s="8">
        <v>41097</v>
      </c>
      <c r="F290" s="10">
        <f t="shared" si="14"/>
        <v>0.25043190500523155</v>
      </c>
      <c r="G290" s="10">
        <f t="shared" si="15"/>
        <v>0.40305308275448876</v>
      </c>
      <c r="H290" s="10">
        <f t="shared" si="16"/>
        <v>0.10093735133243786</v>
      </c>
      <c r="I290" s="8">
        <v>12162</v>
      </c>
      <c r="J290" s="8">
        <v>4823.2223434150219</v>
      </c>
      <c r="K290" s="8">
        <v>65857</v>
      </c>
      <c r="L290" s="11">
        <f t="shared" si="17"/>
        <v>0.18467285178492795</v>
      </c>
      <c r="M290" s="12">
        <f t="shared" si="18"/>
        <v>0.39658134709875198</v>
      </c>
      <c r="N290" s="13">
        <f t="shared" si="19"/>
        <v>7.3237808333434892E-2</v>
      </c>
      <c r="O290" s="14">
        <f t="shared" si="20"/>
        <v>0.72557687879312049</v>
      </c>
      <c r="P290" s="15"/>
      <c r="Q290" s="15"/>
      <c r="AD290" s="21"/>
    </row>
    <row r="291" spans="1:30" ht="15.75" customHeight="1">
      <c r="A291" s="8">
        <v>71002</v>
      </c>
      <c r="B291" s="9" t="s">
        <v>304</v>
      </c>
      <c r="C291" s="8">
        <v>2267</v>
      </c>
      <c r="D291" s="8">
        <v>954.44446966052055</v>
      </c>
      <c r="E291" s="8">
        <v>6041</v>
      </c>
      <c r="F291" s="10">
        <f t="shared" si="14"/>
        <v>0.37526899519947027</v>
      </c>
      <c r="G291" s="10">
        <f t="shared" si="15"/>
        <v>0.42101652830194997</v>
      </c>
      <c r="H291" s="10">
        <f t="shared" si="16"/>
        <v>0.1579944495382421</v>
      </c>
      <c r="I291" s="8">
        <v>2409</v>
      </c>
      <c r="J291" s="8">
        <v>977.44446980953217</v>
      </c>
      <c r="K291" s="8">
        <v>7865</v>
      </c>
      <c r="L291" s="11">
        <f t="shared" si="17"/>
        <v>0.30629370629370628</v>
      </c>
      <c r="M291" s="12">
        <f t="shared" si="18"/>
        <v>0.40574697792010467</v>
      </c>
      <c r="N291" s="13">
        <f t="shared" si="19"/>
        <v>0.12427774568461947</v>
      </c>
      <c r="O291" s="14">
        <f t="shared" si="20"/>
        <v>0.7865956433775757</v>
      </c>
      <c r="P291" s="15"/>
      <c r="Q291" s="15"/>
      <c r="AD291" s="21"/>
    </row>
    <row r="292" spans="1:30" ht="15.75" customHeight="1">
      <c r="A292" s="8">
        <v>71003</v>
      </c>
      <c r="B292" s="9" t="s">
        <v>305</v>
      </c>
      <c r="C292" s="8">
        <v>3485</v>
      </c>
      <c r="D292" s="8">
        <v>1443.0000365674496</v>
      </c>
      <c r="E292" s="8">
        <v>8244</v>
      </c>
      <c r="F292" s="10">
        <f t="shared" si="14"/>
        <v>0.42273168364871422</v>
      </c>
      <c r="G292" s="10">
        <f t="shared" si="15"/>
        <v>0.41406026874245327</v>
      </c>
      <c r="H292" s="10">
        <f t="shared" si="16"/>
        <v>0.17503639453753636</v>
      </c>
      <c r="I292" s="8">
        <v>4992</v>
      </c>
      <c r="J292" s="8">
        <v>1974.4444943964481</v>
      </c>
      <c r="K292" s="8">
        <v>14649</v>
      </c>
      <c r="L292" s="11">
        <f t="shared" si="17"/>
        <v>0.34077411427401189</v>
      </c>
      <c r="M292" s="12">
        <f t="shared" si="18"/>
        <v>0.39552173365313464</v>
      </c>
      <c r="N292" s="13">
        <f t="shared" si="19"/>
        <v>0.13478356846176859</v>
      </c>
      <c r="O292" s="14">
        <f t="shared" si="20"/>
        <v>0.77003167722850008</v>
      </c>
      <c r="P292" s="15"/>
      <c r="Q292" s="15"/>
      <c r="AD292" s="21"/>
    </row>
    <row r="293" spans="1:30" ht="15.75" customHeight="1">
      <c r="A293" s="8">
        <v>71004</v>
      </c>
      <c r="B293" s="9" t="s">
        <v>306</v>
      </c>
      <c r="C293" s="8">
        <v>2911</v>
      </c>
      <c r="D293" s="8">
        <v>1183.1111413240433</v>
      </c>
      <c r="E293" s="8">
        <v>8213</v>
      </c>
      <c r="F293" s="10">
        <f t="shared" si="14"/>
        <v>0.3544380859612809</v>
      </c>
      <c r="G293" s="10">
        <f t="shared" si="15"/>
        <v>0.40642773662797776</v>
      </c>
      <c r="H293" s="10">
        <f t="shared" si="16"/>
        <v>0.14405346905199601</v>
      </c>
      <c r="I293" s="8">
        <v>1682</v>
      </c>
      <c r="J293" s="8">
        <v>647.22223851084709</v>
      </c>
      <c r="K293" s="8">
        <v>5587</v>
      </c>
      <c r="L293" s="11">
        <f t="shared" si="17"/>
        <v>0.30105602291032757</v>
      </c>
      <c r="M293" s="12">
        <f t="shared" si="18"/>
        <v>0.38479324525020636</v>
      </c>
      <c r="N293" s="13">
        <f t="shared" si="19"/>
        <v>0.11584432405778543</v>
      </c>
      <c r="O293" s="14">
        <f t="shared" si="20"/>
        <v>0.80417587177974514</v>
      </c>
      <c r="P293" s="15"/>
      <c r="Q293" s="15"/>
      <c r="AD293" s="21"/>
    </row>
    <row r="294" spans="1:30" ht="15.75" customHeight="1">
      <c r="A294" s="8">
        <v>71005</v>
      </c>
      <c r="B294" s="9" t="s">
        <v>307</v>
      </c>
      <c r="C294" s="8">
        <v>2647</v>
      </c>
      <c r="D294" s="8">
        <v>1031.5555826425552</v>
      </c>
      <c r="E294" s="8">
        <v>9264</v>
      </c>
      <c r="F294" s="10">
        <f t="shared" si="14"/>
        <v>0.28572970639032813</v>
      </c>
      <c r="G294" s="10">
        <f t="shared" si="15"/>
        <v>0.38970743583020601</v>
      </c>
      <c r="H294" s="10">
        <f t="shared" si="16"/>
        <v>0.11135099121789241</v>
      </c>
      <c r="I294" s="8">
        <v>2033</v>
      </c>
      <c r="J294" s="8">
        <v>812.66668662428856</v>
      </c>
      <c r="K294" s="8">
        <v>6751</v>
      </c>
      <c r="L294" s="11">
        <f t="shared" si="17"/>
        <v>0.30114057176714559</v>
      </c>
      <c r="M294" s="12">
        <f t="shared" si="18"/>
        <v>0.39973767172862201</v>
      </c>
      <c r="N294" s="13">
        <f t="shared" si="19"/>
        <v>0.12037723102122479</v>
      </c>
      <c r="O294" s="14">
        <f t="shared" si="20"/>
        <v>1.0810611536063452</v>
      </c>
      <c r="P294" s="15"/>
      <c r="Q294" s="15"/>
      <c r="AD294" s="21"/>
    </row>
    <row r="295" spans="1:30" ht="15.75" customHeight="1">
      <c r="A295" s="8">
        <v>71101</v>
      </c>
      <c r="B295" s="9" t="s">
        <v>308</v>
      </c>
      <c r="C295" s="8">
        <v>7453</v>
      </c>
      <c r="D295" s="8">
        <v>3340.5556419491768</v>
      </c>
      <c r="E295" s="8">
        <v>13368</v>
      </c>
      <c r="F295" s="10">
        <f t="shared" si="14"/>
        <v>0.55752543387193298</v>
      </c>
      <c r="G295" s="10">
        <f t="shared" si="15"/>
        <v>0.44821624070162042</v>
      </c>
      <c r="H295" s="10">
        <f t="shared" si="16"/>
        <v>0.24989195406561768</v>
      </c>
      <c r="I295" s="8">
        <v>2485</v>
      </c>
      <c r="J295" s="8">
        <v>1121.8889183700085</v>
      </c>
      <c r="K295" s="8">
        <v>5087</v>
      </c>
      <c r="L295" s="11">
        <f t="shared" si="17"/>
        <v>0.48850009828975821</v>
      </c>
      <c r="M295" s="12">
        <f t="shared" si="18"/>
        <v>0.4514643534688163</v>
      </c>
      <c r="N295" s="13">
        <f t="shared" si="19"/>
        <v>0.22054038104383891</v>
      </c>
      <c r="O295" s="14">
        <f t="shared" si="20"/>
        <v>0.88254294488380569</v>
      </c>
      <c r="P295" s="15"/>
      <c r="Q295" s="15"/>
      <c r="AD295" s="21"/>
    </row>
    <row r="296" spans="1:30" ht="15.75" customHeight="1">
      <c r="A296" s="8">
        <v>71102</v>
      </c>
      <c r="B296" s="9" t="s">
        <v>309</v>
      </c>
      <c r="C296" s="8">
        <v>4811</v>
      </c>
      <c r="D296" s="8">
        <v>2220.0000591874123</v>
      </c>
      <c r="E296" s="8">
        <v>9164</v>
      </c>
      <c r="F296" s="10">
        <f t="shared" si="14"/>
        <v>0.52498908773461372</v>
      </c>
      <c r="G296" s="10">
        <f t="shared" si="15"/>
        <v>0.46144253984356937</v>
      </c>
      <c r="H296" s="10">
        <f t="shared" si="16"/>
        <v>0.24225229803441864</v>
      </c>
      <c r="I296" s="8">
        <v>1904</v>
      </c>
      <c r="J296" s="8">
        <v>867.22224390506744</v>
      </c>
      <c r="K296" s="8">
        <v>4186</v>
      </c>
      <c r="L296" s="11">
        <f t="shared" si="17"/>
        <v>0.45484949832775917</v>
      </c>
      <c r="M296" s="12">
        <f t="shared" si="18"/>
        <v>0.45547386759719927</v>
      </c>
      <c r="N296" s="13">
        <f t="shared" si="19"/>
        <v>0.20717206017799028</v>
      </c>
      <c r="O296" s="14">
        <f t="shared" si="20"/>
        <v>0.85519131029483886</v>
      </c>
      <c r="P296" s="15"/>
      <c r="Q296" s="15"/>
      <c r="AD296" s="21"/>
    </row>
    <row r="297" spans="1:30" ht="15.75" customHeight="1">
      <c r="A297" s="8">
        <v>71103</v>
      </c>
      <c r="B297" s="9" t="s">
        <v>310</v>
      </c>
      <c r="C297" s="8">
        <v>11822</v>
      </c>
      <c r="D297" s="8">
        <v>4799.111228376627</v>
      </c>
      <c r="E297" s="8">
        <v>28176</v>
      </c>
      <c r="F297" s="10">
        <f t="shared" si="14"/>
        <v>0.4195769449176604</v>
      </c>
      <c r="G297" s="10">
        <f t="shared" si="15"/>
        <v>0.40594749013505554</v>
      </c>
      <c r="H297" s="10">
        <f t="shared" si="16"/>
        <v>0.1703262077078587</v>
      </c>
      <c r="I297" s="8">
        <v>6954</v>
      </c>
      <c r="J297" s="8">
        <v>2763.0000685155392</v>
      </c>
      <c r="K297" s="8">
        <v>18194</v>
      </c>
      <c r="L297" s="11">
        <f t="shared" si="17"/>
        <v>0.38221391667582721</v>
      </c>
      <c r="M297" s="12">
        <f t="shared" si="18"/>
        <v>0.3973252902668305</v>
      </c>
      <c r="N297" s="13">
        <f t="shared" si="19"/>
        <v>0.15186325538724521</v>
      </c>
      <c r="O297" s="14">
        <f t="shared" si="20"/>
        <v>0.8916023988963524</v>
      </c>
      <c r="P297" s="15"/>
      <c r="Q297" s="15"/>
      <c r="AD297" s="21"/>
    </row>
    <row r="298" spans="1:30" ht="15.75" customHeight="1">
      <c r="A298" s="8">
        <v>71104</v>
      </c>
      <c r="B298" s="9" t="s">
        <v>311</v>
      </c>
      <c r="C298" s="8">
        <v>2262</v>
      </c>
      <c r="D298" s="8">
        <v>966.88891443610191</v>
      </c>
      <c r="E298" s="8">
        <v>6236</v>
      </c>
      <c r="F298" s="10">
        <f t="shared" si="14"/>
        <v>0.3627325208466966</v>
      </c>
      <c r="G298" s="10">
        <f t="shared" si="15"/>
        <v>0.42744868012206094</v>
      </c>
      <c r="H298" s="10">
        <f t="shared" si="16"/>
        <v>0.15504953727326842</v>
      </c>
      <c r="I298" s="8">
        <v>37</v>
      </c>
      <c r="J298" s="8">
        <v>14.888889312744141</v>
      </c>
      <c r="K298" s="8">
        <v>228</v>
      </c>
      <c r="L298" s="11">
        <f t="shared" si="17"/>
        <v>0.16228070175438597</v>
      </c>
      <c r="M298" s="12">
        <f t="shared" si="18"/>
        <v>0.40240241385794973</v>
      </c>
      <c r="N298" s="13">
        <f t="shared" si="19"/>
        <v>6.5302146108526929E-2</v>
      </c>
      <c r="O298" s="14">
        <f t="shared" si="20"/>
        <v>0.42116956462394717</v>
      </c>
      <c r="P298" s="15"/>
      <c r="Q298" s="15"/>
      <c r="AD298" s="21"/>
    </row>
    <row r="299" spans="1:30" ht="15.75" customHeight="1">
      <c r="A299" s="8">
        <v>71105</v>
      </c>
      <c r="B299" s="9" t="s">
        <v>312</v>
      </c>
      <c r="C299" s="8">
        <v>1608</v>
      </c>
      <c r="D299" s="8">
        <v>702.2222395837307</v>
      </c>
      <c r="E299" s="8">
        <v>3647</v>
      </c>
      <c r="F299" s="10">
        <f t="shared" si="14"/>
        <v>0.44091033726350426</v>
      </c>
      <c r="G299" s="10">
        <f t="shared" si="15"/>
        <v>0.43670537287545441</v>
      </c>
      <c r="H299" s="10">
        <f t="shared" si="16"/>
        <v>0.19254791323930098</v>
      </c>
      <c r="I299" s="8">
        <v>1341</v>
      </c>
      <c r="J299" s="8">
        <v>590.66668072342873</v>
      </c>
      <c r="K299" s="8">
        <v>3302</v>
      </c>
      <c r="L299" s="11">
        <f t="shared" si="17"/>
        <v>0.4061175045427014</v>
      </c>
      <c r="M299" s="12">
        <f t="shared" si="18"/>
        <v>0.44046732343283274</v>
      </c>
      <c r="N299" s="13">
        <f t="shared" si="19"/>
        <v>0.17888149022514499</v>
      </c>
      <c r="O299" s="14">
        <f t="shared" si="20"/>
        <v>0.92902326083808973</v>
      </c>
      <c r="P299" s="15"/>
      <c r="Q299" s="15"/>
      <c r="AD299" s="21"/>
    </row>
    <row r="300" spans="1:30" ht="15.75" customHeight="1">
      <c r="A300" s="8">
        <v>71106</v>
      </c>
      <c r="B300" s="9" t="s">
        <v>313</v>
      </c>
      <c r="C300" s="8">
        <v>3711</v>
      </c>
      <c r="D300" s="8">
        <v>1473.8889269530773</v>
      </c>
      <c r="E300" s="8">
        <v>10779</v>
      </c>
      <c r="F300" s="10">
        <f t="shared" si="14"/>
        <v>0.34428054550514892</v>
      </c>
      <c r="G300" s="10">
        <f t="shared" si="15"/>
        <v>0.39716759012478503</v>
      </c>
      <c r="H300" s="10">
        <f t="shared" si="16"/>
        <v>0.13673707458512638</v>
      </c>
      <c r="I300" s="8">
        <v>2765</v>
      </c>
      <c r="J300" s="8">
        <v>1029.2222474515438</v>
      </c>
      <c r="K300" s="8">
        <v>10582</v>
      </c>
      <c r="L300" s="11">
        <f t="shared" si="17"/>
        <v>0.2612927612927613</v>
      </c>
      <c r="M300" s="12">
        <f t="shared" si="18"/>
        <v>0.37223227755932869</v>
      </c>
      <c r="N300" s="13">
        <f t="shared" si="19"/>
        <v>9.7261599645770538E-2</v>
      </c>
      <c r="O300" s="14">
        <f t="shared" si="20"/>
        <v>0.71130379190041704</v>
      </c>
      <c r="P300" s="15"/>
      <c r="Q300" s="15"/>
      <c r="AD300" s="21"/>
    </row>
    <row r="301" spans="1:30" ht="15.75" customHeight="1">
      <c r="A301" s="8">
        <v>71201</v>
      </c>
      <c r="B301" s="9" t="s">
        <v>314</v>
      </c>
      <c r="C301" s="8">
        <v>4293</v>
      </c>
      <c r="D301" s="8">
        <v>1936.4444957971573</v>
      </c>
      <c r="E301" s="8">
        <v>7909</v>
      </c>
      <c r="F301" s="10">
        <f t="shared" si="14"/>
        <v>0.54279934252117845</v>
      </c>
      <c r="G301" s="10">
        <f t="shared" si="15"/>
        <v>0.45107022962896748</v>
      </c>
      <c r="H301" s="10">
        <f t="shared" si="16"/>
        <v>0.24484062407348053</v>
      </c>
      <c r="I301" s="8">
        <v>3216</v>
      </c>
      <c r="J301" s="8">
        <v>1408.6667051613331</v>
      </c>
      <c r="K301" s="8">
        <v>6171</v>
      </c>
      <c r="L301" s="11">
        <f t="shared" si="17"/>
        <v>0.52114730189596503</v>
      </c>
      <c r="M301" s="12">
        <f t="shared" si="18"/>
        <v>0.43801825409245432</v>
      </c>
      <c r="N301" s="13">
        <f t="shared" si="19"/>
        <v>0.22827203130146381</v>
      </c>
      <c r="O301" s="14">
        <f t="shared" si="20"/>
        <v>0.93232906983996156</v>
      </c>
      <c r="P301" s="15"/>
      <c r="Q301" s="15"/>
      <c r="AD301" s="21"/>
    </row>
    <row r="302" spans="1:30" ht="15.75" customHeight="1">
      <c r="A302" s="8">
        <v>71301</v>
      </c>
      <c r="B302" s="9" t="s">
        <v>315</v>
      </c>
      <c r="C302" s="8">
        <v>4041</v>
      </c>
      <c r="D302" s="8">
        <v>1857.6667152643204</v>
      </c>
      <c r="E302" s="8">
        <v>9476</v>
      </c>
      <c r="F302" s="10">
        <f t="shared" si="14"/>
        <v>0.42644575770367243</v>
      </c>
      <c r="G302" s="10">
        <f t="shared" si="15"/>
        <v>0.45970470558384569</v>
      </c>
      <c r="H302" s="10">
        <f t="shared" si="16"/>
        <v>0.19603912149264674</v>
      </c>
      <c r="I302" s="8">
        <v>1408</v>
      </c>
      <c r="J302" s="8">
        <v>629.55557158589363</v>
      </c>
      <c r="K302" s="8">
        <v>6272</v>
      </c>
      <c r="L302" s="11">
        <f t="shared" si="17"/>
        <v>0.22448979591836735</v>
      </c>
      <c r="M302" s="12">
        <f t="shared" si="18"/>
        <v>0.44712753663770854</v>
      </c>
      <c r="N302" s="13">
        <f t="shared" si="19"/>
        <v>0.10037556944928151</v>
      </c>
      <c r="O302" s="14">
        <f t="shared" si="20"/>
        <v>0.51201805376916321</v>
      </c>
      <c r="P302" s="15"/>
      <c r="Q302" s="15"/>
      <c r="AD302" s="21"/>
    </row>
    <row r="303" spans="1:30" ht="15.75" customHeight="1">
      <c r="A303" s="8">
        <v>71302</v>
      </c>
      <c r="B303" s="9" t="s">
        <v>316</v>
      </c>
      <c r="C303" s="8">
        <v>1576</v>
      </c>
      <c r="D303" s="8">
        <v>658.11112940311432</v>
      </c>
      <c r="E303" s="8">
        <v>3564</v>
      </c>
      <c r="F303" s="10">
        <f t="shared" si="14"/>
        <v>0.44219977553310885</v>
      </c>
      <c r="G303" s="10">
        <f t="shared" si="15"/>
        <v>0.41758320393598625</v>
      </c>
      <c r="H303" s="10">
        <f t="shared" si="16"/>
        <v>0.18465519904688954</v>
      </c>
      <c r="I303" s="8">
        <v>1107</v>
      </c>
      <c r="J303" s="8">
        <v>465.22223433852196</v>
      </c>
      <c r="K303" s="8">
        <v>3561</v>
      </c>
      <c r="L303" s="11">
        <f t="shared" si="17"/>
        <v>0.31086773378264532</v>
      </c>
      <c r="M303" s="12">
        <f t="shared" si="18"/>
        <v>0.42025495423534054</v>
      </c>
      <c r="N303" s="13">
        <f t="shared" si="19"/>
        <v>0.13064370523406962</v>
      </c>
      <c r="O303" s="14">
        <f t="shared" si="20"/>
        <v>0.70750082265972503</v>
      </c>
      <c r="P303" s="15"/>
      <c r="Q303" s="15"/>
      <c r="AD303" s="21"/>
    </row>
    <row r="304" spans="1:30" ht="15.75" customHeight="1">
      <c r="A304" s="8">
        <v>71401</v>
      </c>
      <c r="B304" s="9" t="s">
        <v>317</v>
      </c>
      <c r="C304" s="8">
        <v>1553</v>
      </c>
      <c r="D304" s="8">
        <v>626.88890442252159</v>
      </c>
      <c r="E304" s="8">
        <v>6014</v>
      </c>
      <c r="F304" s="10">
        <f t="shared" si="14"/>
        <v>0.25823079481210509</v>
      </c>
      <c r="G304" s="10">
        <f t="shared" si="15"/>
        <v>0.40366317090954384</v>
      </c>
      <c r="H304" s="10">
        <f t="shared" si="16"/>
        <v>0.10423826146034612</v>
      </c>
      <c r="I304" s="8">
        <v>2737</v>
      </c>
      <c r="J304" s="8">
        <v>1091.5555825829506</v>
      </c>
      <c r="K304" s="8">
        <v>12499</v>
      </c>
      <c r="L304" s="11">
        <f t="shared" si="17"/>
        <v>0.21897751820145611</v>
      </c>
      <c r="M304" s="12">
        <f t="shared" si="18"/>
        <v>0.39881460817791398</v>
      </c>
      <c r="N304" s="13">
        <f t="shared" si="19"/>
        <v>8.7331433121285745E-2</v>
      </c>
      <c r="O304" s="14">
        <f t="shared" si="20"/>
        <v>0.83780592555745959</v>
      </c>
      <c r="P304" s="15"/>
      <c r="Q304" s="15"/>
      <c r="AD304" s="21"/>
    </row>
    <row r="305" spans="1:30" ht="15.75" customHeight="1">
      <c r="A305" s="8">
        <v>71402</v>
      </c>
      <c r="B305" s="9" t="s">
        <v>318</v>
      </c>
      <c r="C305" s="8">
        <v>1561</v>
      </c>
      <c r="D305" s="8">
        <v>601.22223660349846</v>
      </c>
      <c r="E305" s="8">
        <v>5444</v>
      </c>
      <c r="F305" s="10">
        <f t="shared" si="14"/>
        <v>0.28673769287288758</v>
      </c>
      <c r="G305" s="10">
        <f t="shared" si="15"/>
        <v>0.38515197732447048</v>
      </c>
      <c r="H305" s="10">
        <f t="shared" si="16"/>
        <v>0.11043758938344939</v>
      </c>
      <c r="I305" s="8">
        <v>2693</v>
      </c>
      <c r="J305" s="8">
        <v>1041.888913422823</v>
      </c>
      <c r="K305" s="8">
        <v>10252</v>
      </c>
      <c r="L305" s="11">
        <f t="shared" si="17"/>
        <v>0.2626804525946157</v>
      </c>
      <c r="M305" s="12">
        <f t="shared" si="18"/>
        <v>0.38688782525912474</v>
      </c>
      <c r="N305" s="13">
        <f t="shared" si="19"/>
        <v>0.10162786904241349</v>
      </c>
      <c r="O305" s="14">
        <f t="shared" si="20"/>
        <v>0.92022896922851383</v>
      </c>
      <c r="P305" s="15"/>
      <c r="Q305" s="15"/>
      <c r="AD305" s="21"/>
    </row>
    <row r="306" spans="1:30" ht="15.75" customHeight="1">
      <c r="A306" s="8">
        <v>71403</v>
      </c>
      <c r="B306" s="9" t="s">
        <v>319</v>
      </c>
      <c r="C306" s="8">
        <v>1153</v>
      </c>
      <c r="D306" s="8">
        <v>501.22223493456841</v>
      </c>
      <c r="E306" s="8">
        <v>2302</v>
      </c>
      <c r="F306" s="10">
        <f t="shared" si="14"/>
        <v>0.50086880973066894</v>
      </c>
      <c r="G306" s="10">
        <f t="shared" si="15"/>
        <v>0.43471139196406627</v>
      </c>
      <c r="H306" s="10">
        <f t="shared" si="16"/>
        <v>0.21773337746940416</v>
      </c>
      <c r="I306" s="8">
        <v>1683</v>
      </c>
      <c r="J306" s="8">
        <v>733.11112940311432</v>
      </c>
      <c r="K306" s="8">
        <v>3763</v>
      </c>
      <c r="L306" s="11">
        <f t="shared" si="17"/>
        <v>0.44724953494552216</v>
      </c>
      <c r="M306" s="12">
        <f t="shared" si="18"/>
        <v>0.43559781901551653</v>
      </c>
      <c r="N306" s="13">
        <f t="shared" si="19"/>
        <v>0.19482092197797349</v>
      </c>
      <c r="O306" s="14">
        <f t="shared" si="20"/>
        <v>0.89476829066021202</v>
      </c>
      <c r="P306" s="15"/>
      <c r="Q306" s="15"/>
      <c r="AD306" s="21"/>
    </row>
    <row r="307" spans="1:30" ht="15.75" customHeight="1">
      <c r="A307" s="8">
        <v>71501</v>
      </c>
      <c r="B307" s="9" t="s">
        <v>320</v>
      </c>
      <c r="C307" s="8">
        <v>9944</v>
      </c>
      <c r="D307" s="8">
        <v>4350.1112257540226</v>
      </c>
      <c r="E307" s="8">
        <v>16339</v>
      </c>
      <c r="F307" s="10">
        <f t="shared" si="14"/>
        <v>0.60860517779545875</v>
      </c>
      <c r="G307" s="10">
        <f t="shared" si="15"/>
        <v>0.43746090363576251</v>
      </c>
      <c r="H307" s="10">
        <f t="shared" si="16"/>
        <v>0.2662409710358053</v>
      </c>
      <c r="I307" s="8">
        <v>6133</v>
      </c>
      <c r="J307" s="8">
        <v>2742.4445150196552</v>
      </c>
      <c r="K307" s="8">
        <v>9840</v>
      </c>
      <c r="L307" s="11">
        <f t="shared" si="17"/>
        <v>0.62327235772357725</v>
      </c>
      <c r="M307" s="12">
        <f t="shared" si="18"/>
        <v>0.44716199494858228</v>
      </c>
      <c r="N307" s="13">
        <f t="shared" si="19"/>
        <v>0.27870371087598123</v>
      </c>
      <c r="O307" s="14">
        <f t="shared" si="20"/>
        <v>1.0468099999473781</v>
      </c>
      <c r="P307" s="15"/>
      <c r="Q307" s="15"/>
      <c r="AD307" s="21"/>
    </row>
    <row r="308" spans="1:30" ht="15.75" customHeight="1">
      <c r="A308" s="8">
        <v>71502</v>
      </c>
      <c r="B308" s="9" t="s">
        <v>321</v>
      </c>
      <c r="C308" s="8">
        <v>3519</v>
      </c>
      <c r="D308" s="8">
        <v>1560.3333744108677</v>
      </c>
      <c r="E308" s="8">
        <v>6260</v>
      </c>
      <c r="F308" s="10">
        <f t="shared" si="14"/>
        <v>0.56214057507987225</v>
      </c>
      <c r="G308" s="10">
        <f t="shared" si="15"/>
        <v>0.4434024934387234</v>
      </c>
      <c r="H308" s="10">
        <f t="shared" si="16"/>
        <v>0.24925453265349326</v>
      </c>
      <c r="I308" s="8">
        <v>300</v>
      </c>
      <c r="J308" s="8">
        <v>131.55555945634842</v>
      </c>
      <c r="K308" s="8">
        <v>542</v>
      </c>
      <c r="L308" s="11">
        <f t="shared" si="17"/>
        <v>0.55350553505535061</v>
      </c>
      <c r="M308" s="12">
        <f t="shared" si="18"/>
        <v>0.43851853152116138</v>
      </c>
      <c r="N308" s="13">
        <f t="shared" si="19"/>
        <v>0.24272243442130706</v>
      </c>
      <c r="O308" s="14">
        <f t="shared" si="20"/>
        <v>0.97379346259966737</v>
      </c>
      <c r="P308" s="15"/>
      <c r="Q308" s="15"/>
      <c r="AD308" s="21"/>
    </row>
    <row r="309" spans="1:30" ht="15.75" customHeight="1">
      <c r="A309" s="8">
        <v>71503</v>
      </c>
      <c r="B309" s="9" t="s">
        <v>266</v>
      </c>
      <c r="C309" s="8">
        <v>5877</v>
      </c>
      <c r="D309" s="8">
        <v>2635.5556239187717</v>
      </c>
      <c r="E309" s="8">
        <v>8635</v>
      </c>
      <c r="F309" s="10">
        <f t="shared" si="14"/>
        <v>0.68060220034742325</v>
      </c>
      <c r="G309" s="10">
        <f t="shared" si="15"/>
        <v>0.44845254788476635</v>
      </c>
      <c r="H309" s="10">
        <f t="shared" si="16"/>
        <v>0.30521779084178019</v>
      </c>
      <c r="I309" s="8">
        <v>3090</v>
      </c>
      <c r="J309" s="8">
        <v>1320.6666993498802</v>
      </c>
      <c r="K309" s="8">
        <v>5266</v>
      </c>
      <c r="L309" s="11">
        <f t="shared" si="17"/>
        <v>0.58678313710596275</v>
      </c>
      <c r="M309" s="12">
        <f t="shared" si="18"/>
        <v>0.42740022632682206</v>
      </c>
      <c r="N309" s="13">
        <f t="shared" si="19"/>
        <v>0.25079124560385113</v>
      </c>
      <c r="O309" s="14">
        <f t="shared" si="20"/>
        <v>0.82167964361506418</v>
      </c>
      <c r="P309" s="15"/>
      <c r="Q309" s="15"/>
      <c r="AD309" s="21"/>
    </row>
    <row r="310" spans="1:30" ht="15.75" customHeight="1">
      <c r="A310" s="8">
        <v>80101</v>
      </c>
      <c r="B310" s="9" t="s">
        <v>322</v>
      </c>
      <c r="C310" s="8">
        <v>12508</v>
      </c>
      <c r="D310" s="8">
        <v>5160.2223537564278</v>
      </c>
      <c r="E310" s="8">
        <v>30638</v>
      </c>
      <c r="F310" s="10">
        <f t="shared" si="14"/>
        <v>0.40825119133102683</v>
      </c>
      <c r="G310" s="10">
        <f t="shared" si="15"/>
        <v>0.41255375389801952</v>
      </c>
      <c r="H310" s="10">
        <f t="shared" si="16"/>
        <v>0.16842556151695373</v>
      </c>
      <c r="I310" s="8">
        <v>24176</v>
      </c>
      <c r="J310" s="8">
        <v>9755.66691878438</v>
      </c>
      <c r="K310" s="8">
        <v>72390</v>
      </c>
      <c r="L310" s="11">
        <f t="shared" si="17"/>
        <v>0.33396878021826221</v>
      </c>
      <c r="M310" s="12">
        <f t="shared" si="18"/>
        <v>0.40352692417208719</v>
      </c>
      <c r="N310" s="13">
        <f t="shared" si="19"/>
        <v>0.13476539465097914</v>
      </c>
      <c r="O310" s="14">
        <f t="shared" si="20"/>
        <v>0.80014810956954208</v>
      </c>
      <c r="P310" s="15"/>
      <c r="Q310" s="15"/>
      <c r="AD310" s="21"/>
    </row>
    <row r="311" spans="1:30" ht="15.75" customHeight="1">
      <c r="A311" s="8">
        <v>80102</v>
      </c>
      <c r="B311" s="9" t="s">
        <v>309</v>
      </c>
      <c r="C311" s="8">
        <v>1773</v>
      </c>
      <c r="D311" s="8">
        <v>751.77779656648636</v>
      </c>
      <c r="E311" s="8">
        <v>2937</v>
      </c>
      <c r="F311" s="10">
        <f t="shared" si="14"/>
        <v>0.6036772216547498</v>
      </c>
      <c r="G311" s="10">
        <f t="shared" si="15"/>
        <v>0.42401454967088908</v>
      </c>
      <c r="H311" s="10">
        <f t="shared" si="16"/>
        <v>0.25596792528651224</v>
      </c>
      <c r="I311" s="8">
        <v>1261</v>
      </c>
      <c r="J311" s="8">
        <v>549.11112576723099</v>
      </c>
      <c r="K311" s="8">
        <v>2301</v>
      </c>
      <c r="L311" s="11">
        <f t="shared" si="17"/>
        <v>0.54802259887005644</v>
      </c>
      <c r="M311" s="12">
        <f t="shared" si="18"/>
        <v>0.43545688006917604</v>
      </c>
      <c r="N311" s="13">
        <f t="shared" si="19"/>
        <v>0.23864021111135633</v>
      </c>
      <c r="O311" s="14">
        <f t="shared" si="20"/>
        <v>0.93230513488844158</v>
      </c>
      <c r="P311" s="15"/>
      <c r="Q311" s="15"/>
      <c r="AD311" s="21"/>
    </row>
    <row r="312" spans="1:30" ht="15.75" customHeight="1">
      <c r="A312" s="8">
        <v>80201</v>
      </c>
      <c r="B312" s="9" t="s">
        <v>323</v>
      </c>
      <c r="C312" s="8">
        <v>9556</v>
      </c>
      <c r="D312" s="8">
        <v>4413.6667815744877</v>
      </c>
      <c r="E312" s="8">
        <v>13158</v>
      </c>
      <c r="F312" s="10">
        <f t="shared" si="14"/>
        <v>0.72625018999848001</v>
      </c>
      <c r="G312" s="10">
        <f t="shared" si="15"/>
        <v>0.46187387835647631</v>
      </c>
      <c r="H312" s="10">
        <f t="shared" si="16"/>
        <v>0.33543599191172574</v>
      </c>
      <c r="I312" s="8">
        <v>48792</v>
      </c>
      <c r="J312" s="8">
        <v>21103.111650675535</v>
      </c>
      <c r="K312" s="8">
        <v>73745</v>
      </c>
      <c r="L312" s="11">
        <f t="shared" si="17"/>
        <v>0.66163129703708723</v>
      </c>
      <c r="M312" s="12">
        <f t="shared" si="18"/>
        <v>0.43251171607385502</v>
      </c>
      <c r="N312" s="13">
        <f t="shared" si="19"/>
        <v>0.28616328768968113</v>
      </c>
      <c r="O312" s="14">
        <f t="shared" si="20"/>
        <v>0.85310847550607705</v>
      </c>
      <c r="P312" s="15"/>
      <c r="Q312" s="15"/>
      <c r="AD312" s="21"/>
    </row>
    <row r="313" spans="1:30" ht="15.75" customHeight="1">
      <c r="A313" s="8">
        <v>80202</v>
      </c>
      <c r="B313" s="9" t="s">
        <v>324</v>
      </c>
      <c r="C313" s="8">
        <v>2555</v>
      </c>
      <c r="D313" s="8">
        <v>1083.666694521904</v>
      </c>
      <c r="E313" s="8">
        <v>6257</v>
      </c>
      <c r="F313" s="10">
        <f t="shared" si="14"/>
        <v>0.40834265622502797</v>
      </c>
      <c r="G313" s="10">
        <f t="shared" si="15"/>
        <v>0.42413569257217376</v>
      </c>
      <c r="H313" s="10">
        <f t="shared" si="16"/>
        <v>0.17319269530476331</v>
      </c>
      <c r="I313" s="8">
        <v>12535</v>
      </c>
      <c r="J313" s="8">
        <v>5172.0001316964626</v>
      </c>
      <c r="K313" s="8">
        <v>33929</v>
      </c>
      <c r="L313" s="11">
        <f t="shared" si="17"/>
        <v>0.36944796486781217</v>
      </c>
      <c r="M313" s="12">
        <f t="shared" si="18"/>
        <v>0.41260471732720083</v>
      </c>
      <c r="N313" s="13">
        <f t="shared" si="19"/>
        <v>0.15243597311139326</v>
      </c>
      <c r="O313" s="14">
        <f t="shared" si="20"/>
        <v>0.88015243854918412</v>
      </c>
      <c r="P313" s="15"/>
      <c r="Q313" s="15"/>
      <c r="AD313" s="21"/>
    </row>
    <row r="314" spans="1:30" ht="15.75" customHeight="1">
      <c r="A314" s="8">
        <v>80301</v>
      </c>
      <c r="B314" s="9" t="s">
        <v>325</v>
      </c>
      <c r="C314" s="8">
        <v>5012</v>
      </c>
      <c r="D314" s="8">
        <v>2296.33339625597</v>
      </c>
      <c r="E314" s="8">
        <v>7176</v>
      </c>
      <c r="F314" s="10">
        <f t="shared" si="14"/>
        <v>0.69843924191750284</v>
      </c>
      <c r="G314" s="10">
        <f t="shared" si="15"/>
        <v>0.45816707826336195</v>
      </c>
      <c r="H314" s="10">
        <f t="shared" si="16"/>
        <v>0.3200018668138197</v>
      </c>
      <c r="I314" s="8">
        <v>3312</v>
      </c>
      <c r="J314" s="8">
        <v>1383.1111453175545</v>
      </c>
      <c r="K314" s="8">
        <v>5736</v>
      </c>
      <c r="L314" s="11">
        <f t="shared" si="17"/>
        <v>0.57740585774058573</v>
      </c>
      <c r="M314" s="12">
        <f t="shared" si="18"/>
        <v>0.41760602213694276</v>
      </c>
      <c r="N314" s="13">
        <f t="shared" si="19"/>
        <v>0.24112816340961546</v>
      </c>
      <c r="O314" s="14">
        <f t="shared" si="20"/>
        <v>0.75352111476870298</v>
      </c>
      <c r="P314" s="15"/>
      <c r="Q314" s="15"/>
      <c r="AD314" s="21"/>
    </row>
    <row r="315" spans="1:30" ht="15.75" customHeight="1">
      <c r="A315" s="8">
        <v>80302</v>
      </c>
      <c r="B315" s="9" t="s">
        <v>326</v>
      </c>
      <c r="C315" s="8">
        <v>16420</v>
      </c>
      <c r="D315" s="8">
        <v>9664.2224541008472</v>
      </c>
      <c r="E315" s="8">
        <v>21079</v>
      </c>
      <c r="F315" s="10">
        <f t="shared" si="14"/>
        <v>0.77897433464585608</v>
      </c>
      <c r="G315" s="10">
        <f t="shared" si="15"/>
        <v>0.58856409586485059</v>
      </c>
      <c r="H315" s="10">
        <f t="shared" si="16"/>
        <v>0.45847632497276186</v>
      </c>
      <c r="I315" s="8">
        <v>7991</v>
      </c>
      <c r="J315" s="8">
        <v>3394.5556438565254</v>
      </c>
      <c r="K315" s="8">
        <v>18849</v>
      </c>
      <c r="L315" s="11">
        <f t="shared" si="17"/>
        <v>0.42394822006472493</v>
      </c>
      <c r="M315" s="12">
        <f t="shared" si="18"/>
        <v>0.42479735250363226</v>
      </c>
      <c r="N315" s="13">
        <f t="shared" si="19"/>
        <v>0.18009208148212241</v>
      </c>
      <c r="O315" s="14">
        <f t="shared" si="20"/>
        <v>0.39280562958800919</v>
      </c>
      <c r="P315" s="15"/>
      <c r="Q315" s="15"/>
      <c r="AD315" s="21"/>
    </row>
    <row r="316" spans="1:30" ht="15.75" customHeight="1">
      <c r="A316" s="8">
        <v>80303</v>
      </c>
      <c r="B316" s="9" t="s">
        <v>327</v>
      </c>
      <c r="C316" s="8">
        <v>757</v>
      </c>
      <c r="D316" s="8">
        <v>344.22223100066185</v>
      </c>
      <c r="E316" s="8">
        <v>1318</v>
      </c>
      <c r="F316" s="10">
        <f t="shared" si="14"/>
        <v>0.57435508345978759</v>
      </c>
      <c r="G316" s="10">
        <f t="shared" si="15"/>
        <v>0.45471893130866825</v>
      </c>
      <c r="H316" s="10">
        <f t="shared" si="16"/>
        <v>0.26117012974253556</v>
      </c>
      <c r="I316" s="8">
        <v>3552</v>
      </c>
      <c r="J316" s="8">
        <v>1503.1111489832401</v>
      </c>
      <c r="K316" s="8">
        <v>7979</v>
      </c>
      <c r="L316" s="11">
        <f t="shared" si="17"/>
        <v>0.44516856748966038</v>
      </c>
      <c r="M316" s="12">
        <f t="shared" si="18"/>
        <v>0.42317318383537167</v>
      </c>
      <c r="N316" s="13">
        <f t="shared" si="19"/>
        <v>0.18838340004803111</v>
      </c>
      <c r="O316" s="14">
        <f t="shared" si="20"/>
        <v>0.72130530483612953</v>
      </c>
      <c r="P316" s="15"/>
      <c r="Q316" s="15"/>
      <c r="AD316" s="21"/>
    </row>
    <row r="317" spans="1:30" ht="15.75" customHeight="1">
      <c r="A317" s="8">
        <v>80304</v>
      </c>
      <c r="B317" s="9" t="s">
        <v>328</v>
      </c>
      <c r="C317" s="8">
        <v>3972</v>
      </c>
      <c r="D317" s="8">
        <v>1966.3333821296692</v>
      </c>
      <c r="E317" s="8">
        <v>7826</v>
      </c>
      <c r="F317" s="10">
        <f t="shared" si="14"/>
        <v>0.50753897265525172</v>
      </c>
      <c r="G317" s="10">
        <f t="shared" si="15"/>
        <v>0.49504868633677473</v>
      </c>
      <c r="H317" s="10">
        <f t="shared" si="16"/>
        <v>0.25125650167769858</v>
      </c>
      <c r="I317" s="8">
        <v>2590</v>
      </c>
      <c r="J317" s="8">
        <v>1081.1111395359039</v>
      </c>
      <c r="K317" s="8">
        <v>10481</v>
      </c>
      <c r="L317" s="11">
        <f t="shared" si="17"/>
        <v>0.24711382501669688</v>
      </c>
      <c r="M317" s="12">
        <f t="shared" si="18"/>
        <v>0.41741742839224089</v>
      </c>
      <c r="N317" s="13">
        <f t="shared" si="19"/>
        <v>0.10314961735863981</v>
      </c>
      <c r="O317" s="14">
        <f t="shared" si="20"/>
        <v>0.41053511718059282</v>
      </c>
      <c r="P317" s="15"/>
      <c r="Q317" s="15"/>
      <c r="AD317" s="21"/>
    </row>
    <row r="318" spans="1:30" ht="15.75" customHeight="1">
      <c r="A318" s="8">
        <v>80401</v>
      </c>
      <c r="B318" s="9" t="s">
        <v>329</v>
      </c>
      <c r="C318" s="8">
        <v>4920</v>
      </c>
      <c r="D318" s="8">
        <v>2262.111167550087</v>
      </c>
      <c r="E318" s="8">
        <v>11290</v>
      </c>
      <c r="F318" s="10">
        <f t="shared" si="14"/>
        <v>0.43578387953941539</v>
      </c>
      <c r="G318" s="10">
        <f t="shared" si="15"/>
        <v>0.45977869259148108</v>
      </c>
      <c r="H318" s="10">
        <f t="shared" si="16"/>
        <v>0.20036414238707589</v>
      </c>
      <c r="I318" s="8">
        <v>1904</v>
      </c>
      <c r="J318" s="8">
        <v>807.22224268317223</v>
      </c>
      <c r="K318" s="8">
        <v>5285</v>
      </c>
      <c r="L318" s="11">
        <f t="shared" si="17"/>
        <v>0.36026490066225164</v>
      </c>
      <c r="M318" s="12">
        <f t="shared" si="18"/>
        <v>0.42396126191343081</v>
      </c>
      <c r="N318" s="13">
        <f t="shared" si="19"/>
        <v>0.15273836190788501</v>
      </c>
      <c r="O318" s="14">
        <f t="shared" si="20"/>
        <v>0.76230387377805131</v>
      </c>
      <c r="P318" s="15"/>
      <c r="Q318" s="15"/>
      <c r="AD318" s="21"/>
    </row>
    <row r="319" spans="1:30" ht="15.75" customHeight="1">
      <c r="A319" s="8">
        <v>80402</v>
      </c>
      <c r="B319" s="9" t="s">
        <v>330</v>
      </c>
      <c r="C319" s="8">
        <v>2702</v>
      </c>
      <c r="D319" s="8">
        <v>1309.0000347793102</v>
      </c>
      <c r="E319" s="8">
        <v>3709</v>
      </c>
      <c r="F319" s="10">
        <f t="shared" si="14"/>
        <v>0.72849824750606629</v>
      </c>
      <c r="G319" s="10">
        <f t="shared" si="15"/>
        <v>0.48445597142091423</v>
      </c>
      <c r="H319" s="10">
        <f t="shared" si="16"/>
        <v>0.35292532617398498</v>
      </c>
      <c r="I319" s="8">
        <v>1658</v>
      </c>
      <c r="J319" s="8">
        <v>788.88890913128853</v>
      </c>
      <c r="K319" s="8">
        <v>2287</v>
      </c>
      <c r="L319" s="11">
        <f t="shared" si="17"/>
        <v>0.72496720594665498</v>
      </c>
      <c r="M319" s="12">
        <f t="shared" si="18"/>
        <v>0.47580754471127173</v>
      </c>
      <c r="N319" s="13">
        <f t="shared" si="19"/>
        <v>0.34494486625766879</v>
      </c>
      <c r="O319" s="14">
        <f t="shared" si="20"/>
        <v>0.97738768140322696</v>
      </c>
      <c r="P319" s="15"/>
      <c r="Q319" s="15"/>
      <c r="AD319" s="21"/>
    </row>
    <row r="320" spans="1:30" ht="15.75" customHeight="1">
      <c r="A320" s="8">
        <v>80501</v>
      </c>
      <c r="B320" s="9" t="s">
        <v>331</v>
      </c>
      <c r="C320" s="8">
        <v>9397</v>
      </c>
      <c r="D320" s="8">
        <v>4471.1112257838249</v>
      </c>
      <c r="E320" s="8">
        <v>13595</v>
      </c>
      <c r="F320" s="10">
        <f t="shared" si="14"/>
        <v>0.6912100036778227</v>
      </c>
      <c r="G320" s="10">
        <f t="shared" si="15"/>
        <v>0.47580198209894914</v>
      </c>
      <c r="H320" s="10">
        <f t="shared" si="16"/>
        <v>0.32887908979652997</v>
      </c>
      <c r="I320" s="8">
        <v>3227</v>
      </c>
      <c r="J320" s="8">
        <v>1434.0000372827053</v>
      </c>
      <c r="K320" s="8">
        <v>5122</v>
      </c>
      <c r="L320" s="11">
        <f t="shared" si="17"/>
        <v>0.63002733307301839</v>
      </c>
      <c r="M320" s="12">
        <f t="shared" si="18"/>
        <v>0.44437559258838094</v>
      </c>
      <c r="N320" s="13">
        <f t="shared" si="19"/>
        <v>0.27996876948119981</v>
      </c>
      <c r="O320" s="14">
        <f t="shared" si="20"/>
        <v>0.85128175723914257</v>
      </c>
      <c r="P320" s="15"/>
      <c r="Q320" s="15"/>
      <c r="AD320" s="21"/>
    </row>
    <row r="321" spans="1:30" ht="15.75" customHeight="1">
      <c r="A321" s="8">
        <v>80601</v>
      </c>
      <c r="B321" s="9" t="s">
        <v>332</v>
      </c>
      <c r="C321" s="8">
        <v>1314</v>
      </c>
      <c r="D321" s="8">
        <v>673.00001710653305</v>
      </c>
      <c r="E321" s="8">
        <v>1647</v>
      </c>
      <c r="F321" s="10">
        <f t="shared" si="14"/>
        <v>0.79781420765027322</v>
      </c>
      <c r="G321" s="10">
        <f t="shared" si="15"/>
        <v>0.51217657314043608</v>
      </c>
      <c r="H321" s="10">
        <f t="shared" si="16"/>
        <v>0.4086217468770692</v>
      </c>
      <c r="I321" s="8">
        <v>1170</v>
      </c>
      <c r="J321" s="8">
        <v>535.22223633527756</v>
      </c>
      <c r="K321" s="8">
        <v>2081</v>
      </c>
      <c r="L321" s="11">
        <f t="shared" si="17"/>
        <v>0.56222969726093219</v>
      </c>
      <c r="M321" s="12">
        <f t="shared" si="18"/>
        <v>0.45745490285066459</v>
      </c>
      <c r="N321" s="13">
        <f t="shared" si="19"/>
        <v>0.25719473154025829</v>
      </c>
      <c r="O321" s="14">
        <f t="shared" si="20"/>
        <v>0.62942007738426464</v>
      </c>
      <c r="P321" s="15"/>
      <c r="Q321" s="15"/>
      <c r="AD321" s="21"/>
    </row>
    <row r="322" spans="1:30" ht="15.75" customHeight="1">
      <c r="A322" s="8">
        <v>80602</v>
      </c>
      <c r="B322" s="9" t="s">
        <v>333</v>
      </c>
      <c r="C322" s="8">
        <v>3847</v>
      </c>
      <c r="D322" s="8">
        <v>1705.000043451786</v>
      </c>
      <c r="E322" s="8">
        <v>6872</v>
      </c>
      <c r="F322" s="10">
        <f t="shared" si="14"/>
        <v>0.55980791618160652</v>
      </c>
      <c r="G322" s="10">
        <f t="shared" si="15"/>
        <v>0.44320250674598027</v>
      </c>
      <c r="H322" s="10">
        <f t="shared" si="16"/>
        <v>0.24810827174793162</v>
      </c>
      <c r="I322" s="8">
        <v>2276</v>
      </c>
      <c r="J322" s="8">
        <v>959.44446843862534</v>
      </c>
      <c r="K322" s="8">
        <v>4920</v>
      </c>
      <c r="L322" s="11">
        <f t="shared" si="17"/>
        <v>0.46260162601626015</v>
      </c>
      <c r="M322" s="12">
        <f t="shared" si="18"/>
        <v>0.42154853622083716</v>
      </c>
      <c r="N322" s="13">
        <f t="shared" si="19"/>
        <v>0.19500903830053359</v>
      </c>
      <c r="O322" s="14">
        <f t="shared" si="20"/>
        <v>0.78598362290256574</v>
      </c>
      <c r="P322" s="15"/>
      <c r="Q322" s="15"/>
      <c r="AD322" s="21"/>
    </row>
    <row r="323" spans="1:30" ht="15.75" customHeight="1">
      <c r="A323" s="8">
        <v>80701</v>
      </c>
      <c r="B323" s="9" t="s">
        <v>334</v>
      </c>
      <c r="C323" s="8">
        <v>1919</v>
      </c>
      <c r="D323" s="8">
        <v>813.55557611584663</v>
      </c>
      <c r="E323" s="8">
        <v>3588</v>
      </c>
      <c r="F323" s="10">
        <f t="shared" si="14"/>
        <v>0.53483835005574132</v>
      </c>
      <c r="G323" s="10">
        <f t="shared" si="15"/>
        <v>0.4239476686377523</v>
      </c>
      <c r="H323" s="10">
        <f t="shared" si="16"/>
        <v>0.22674347160419359</v>
      </c>
      <c r="I323" s="8">
        <v>1582</v>
      </c>
      <c r="J323" s="8">
        <v>668.55557191371918</v>
      </c>
      <c r="K323" s="8">
        <v>2930</v>
      </c>
      <c r="L323" s="11">
        <f t="shared" si="17"/>
        <v>0.53993174061433447</v>
      </c>
      <c r="M323" s="12">
        <f t="shared" si="18"/>
        <v>0.42260149931334967</v>
      </c>
      <c r="N323" s="13">
        <f t="shared" si="19"/>
        <v>0.22817596311048435</v>
      </c>
      <c r="O323" s="14">
        <f t="shared" si="20"/>
        <v>1.0063176747544527</v>
      </c>
      <c r="P323" s="15"/>
      <c r="Q323" s="15"/>
      <c r="AD323" s="21"/>
    </row>
    <row r="324" spans="1:30" ht="15.75" customHeight="1">
      <c r="A324" s="8">
        <v>80702</v>
      </c>
      <c r="B324" s="9" t="s">
        <v>310</v>
      </c>
      <c r="C324" s="8">
        <v>1159</v>
      </c>
      <c r="D324" s="8">
        <v>502.2222353219986</v>
      </c>
      <c r="E324" s="8">
        <v>2304</v>
      </c>
      <c r="F324" s="10">
        <f t="shared" si="14"/>
        <v>0.50303819444444442</v>
      </c>
      <c r="G324" s="10">
        <f t="shared" si="15"/>
        <v>0.43332375782743626</v>
      </c>
      <c r="H324" s="10">
        <f t="shared" si="16"/>
        <v>0.21797840074739522</v>
      </c>
      <c r="I324" s="8">
        <v>1018</v>
      </c>
      <c r="J324" s="8">
        <v>421.44445469975471</v>
      </c>
      <c r="K324" s="8">
        <v>2460</v>
      </c>
      <c r="L324" s="11">
        <f t="shared" si="17"/>
        <v>0.41382113821138211</v>
      </c>
      <c r="M324" s="12">
        <f t="shared" si="18"/>
        <v>0.41399258811370798</v>
      </c>
      <c r="N324" s="13">
        <f t="shared" si="19"/>
        <v>0.17131888402429055</v>
      </c>
      <c r="O324" s="14">
        <f t="shared" si="20"/>
        <v>0.78594431116514085</v>
      </c>
      <c r="P324" s="15"/>
      <c r="Q324" s="15"/>
      <c r="AD324" s="21"/>
    </row>
    <row r="325" spans="1:30" ht="15.75" customHeight="1">
      <c r="A325" s="8">
        <v>80703</v>
      </c>
      <c r="B325" s="9" t="s">
        <v>335</v>
      </c>
      <c r="C325" s="8">
        <v>154</v>
      </c>
      <c r="D325" s="8">
        <v>69.333335399627686</v>
      </c>
      <c r="E325" s="8">
        <v>294</v>
      </c>
      <c r="F325" s="10">
        <f t="shared" si="14"/>
        <v>0.52380952380952384</v>
      </c>
      <c r="G325" s="10">
        <f t="shared" si="15"/>
        <v>0.45021646363394602</v>
      </c>
      <c r="H325" s="10">
        <f t="shared" si="16"/>
        <v>0.23582767142730507</v>
      </c>
      <c r="I325" s="8">
        <v>254</v>
      </c>
      <c r="J325" s="8">
        <v>108.00000265240669</v>
      </c>
      <c r="K325" s="8">
        <v>541</v>
      </c>
      <c r="L325" s="11">
        <f t="shared" si="17"/>
        <v>0.46950092421441775</v>
      </c>
      <c r="M325" s="12">
        <f t="shared" si="18"/>
        <v>0.4251968608362468</v>
      </c>
      <c r="N325" s="13">
        <f t="shared" si="19"/>
        <v>0.19963031913568705</v>
      </c>
      <c r="O325" s="14">
        <f t="shared" si="20"/>
        <v>0.84650930879934494</v>
      </c>
      <c r="P325" s="15"/>
      <c r="Q325" s="15"/>
      <c r="AD325" s="21"/>
    </row>
    <row r="326" spans="1:30" ht="15.75" customHeight="1">
      <c r="A326" s="8">
        <v>80801</v>
      </c>
      <c r="B326" s="9" t="s">
        <v>336</v>
      </c>
      <c r="C326" s="8">
        <v>3019</v>
      </c>
      <c r="D326" s="8">
        <v>1333.8889208137989</v>
      </c>
      <c r="E326" s="8">
        <v>4724</v>
      </c>
      <c r="F326" s="10">
        <f t="shared" si="14"/>
        <v>0.63907705334462317</v>
      </c>
      <c r="G326" s="10">
        <f t="shared" si="15"/>
        <v>0.44183137489691915</v>
      </c>
      <c r="H326" s="10">
        <f t="shared" si="16"/>
        <v>0.28236429314432659</v>
      </c>
      <c r="I326" s="8">
        <v>3454</v>
      </c>
      <c r="J326" s="8">
        <v>1449.4444814026356</v>
      </c>
      <c r="K326" s="8">
        <v>6329</v>
      </c>
      <c r="L326" s="11">
        <f t="shared" si="17"/>
        <v>0.5457418233528204</v>
      </c>
      <c r="M326" s="12">
        <f t="shared" si="18"/>
        <v>0.41964229339972076</v>
      </c>
      <c r="N326" s="13">
        <f t="shared" si="19"/>
        <v>0.22901635035592283</v>
      </c>
      <c r="O326" s="14">
        <f t="shared" si="20"/>
        <v>0.81106696532222045</v>
      </c>
      <c r="P326" s="15"/>
      <c r="Q326" s="15"/>
      <c r="AD326" s="21"/>
    </row>
    <row r="327" spans="1:30" ht="15.75" customHeight="1">
      <c r="A327" s="8">
        <v>80802</v>
      </c>
      <c r="B327" s="9" t="s">
        <v>337</v>
      </c>
      <c r="C327" s="8">
        <v>2029</v>
      </c>
      <c r="D327" s="8">
        <v>852.00002038478851</v>
      </c>
      <c r="E327" s="8">
        <v>3954</v>
      </c>
      <c r="F327" s="10">
        <f t="shared" si="14"/>
        <v>0.51315123925139094</v>
      </c>
      <c r="G327" s="10">
        <f t="shared" si="15"/>
        <v>0.41991129639467151</v>
      </c>
      <c r="H327" s="10">
        <f t="shared" si="16"/>
        <v>0.21547800212058382</v>
      </c>
      <c r="I327" s="8">
        <v>675</v>
      </c>
      <c r="J327" s="8">
        <v>277.44445091485977</v>
      </c>
      <c r="K327" s="8">
        <v>1510</v>
      </c>
      <c r="L327" s="11">
        <f t="shared" si="17"/>
        <v>0.44701986754966888</v>
      </c>
      <c r="M327" s="12">
        <f t="shared" si="18"/>
        <v>0.41102881617016263</v>
      </c>
      <c r="N327" s="13">
        <f t="shared" si="19"/>
        <v>0.18373804696348331</v>
      </c>
      <c r="O327" s="14">
        <f t="shared" si="20"/>
        <v>0.85269978909801436</v>
      </c>
      <c r="P327" s="15"/>
      <c r="Q327" s="15"/>
      <c r="AD327" s="21"/>
    </row>
    <row r="328" spans="1:30" ht="15.75" customHeight="1">
      <c r="A328" s="8">
        <v>80803</v>
      </c>
      <c r="B328" s="9" t="s">
        <v>338</v>
      </c>
      <c r="C328" s="8">
        <v>585</v>
      </c>
      <c r="D328" s="8">
        <v>251.88889634609222</v>
      </c>
      <c r="E328" s="8">
        <v>1137</v>
      </c>
      <c r="F328" s="10">
        <f t="shared" si="14"/>
        <v>0.51451187335092352</v>
      </c>
      <c r="G328" s="10">
        <f t="shared" si="15"/>
        <v>0.43057930999332006</v>
      </c>
      <c r="H328" s="10">
        <f t="shared" si="16"/>
        <v>0.22153816741081112</v>
      </c>
      <c r="I328" s="8">
        <v>1506</v>
      </c>
      <c r="J328" s="8">
        <v>659.55557239055634</v>
      </c>
      <c r="K328" s="8">
        <v>2872</v>
      </c>
      <c r="L328" s="11">
        <f t="shared" si="17"/>
        <v>0.52437325905292476</v>
      </c>
      <c r="M328" s="12">
        <f t="shared" si="18"/>
        <v>0.43795190729784617</v>
      </c>
      <c r="N328" s="13">
        <f t="shared" si="19"/>
        <v>0.22965026893821597</v>
      </c>
      <c r="O328" s="14">
        <f t="shared" si="20"/>
        <v>1.036617173565231</v>
      </c>
      <c r="P328" s="15"/>
      <c r="Q328" s="15"/>
      <c r="AD328" s="21"/>
    </row>
    <row r="329" spans="1:30" ht="15.75" customHeight="1">
      <c r="A329" s="8">
        <v>80901</v>
      </c>
      <c r="B329" s="9" t="s">
        <v>339</v>
      </c>
      <c r="C329" s="8">
        <v>2512</v>
      </c>
      <c r="D329" s="8">
        <v>1311.0000328421593</v>
      </c>
      <c r="E329" s="8">
        <v>2825</v>
      </c>
      <c r="F329" s="10">
        <f t="shared" si="14"/>
        <v>0.88920353982300882</v>
      </c>
      <c r="G329" s="10">
        <f t="shared" si="15"/>
        <v>0.52189491753270667</v>
      </c>
      <c r="H329" s="10">
        <f t="shared" si="16"/>
        <v>0.46407080808572004</v>
      </c>
      <c r="I329" s="8">
        <v>273</v>
      </c>
      <c r="J329" s="8">
        <v>140.44444799423218</v>
      </c>
      <c r="K329" s="8">
        <v>327</v>
      </c>
      <c r="L329" s="11">
        <f t="shared" si="17"/>
        <v>0.83486238532110091</v>
      </c>
      <c r="M329" s="12">
        <f t="shared" si="18"/>
        <v>0.51444852745139991</v>
      </c>
      <c r="N329" s="13">
        <f t="shared" si="19"/>
        <v>0.42949372475300357</v>
      </c>
      <c r="O329" s="14">
        <f t="shared" si="20"/>
        <v>0.92549179407481796</v>
      </c>
      <c r="P329" s="15"/>
      <c r="Q329" s="15"/>
      <c r="AD329" s="21"/>
    </row>
    <row r="330" spans="1:30" ht="15.75" customHeight="1">
      <c r="A330" s="8">
        <v>90101</v>
      </c>
      <c r="B330" s="9" t="s">
        <v>340</v>
      </c>
      <c r="C330" s="8">
        <v>2106</v>
      </c>
      <c r="D330" s="8">
        <v>873.11113286018372</v>
      </c>
      <c r="E330" s="8">
        <v>9079</v>
      </c>
      <c r="F330" s="10">
        <f t="shared" si="14"/>
        <v>0.2319638726732019</v>
      </c>
      <c r="G330" s="10">
        <f t="shared" si="15"/>
        <v>0.41458268416912808</v>
      </c>
      <c r="H330" s="10">
        <f t="shared" si="16"/>
        <v>9.6168204963121909E-2</v>
      </c>
      <c r="I330" s="8">
        <v>9721</v>
      </c>
      <c r="J330" s="8">
        <v>4028.1112112700939</v>
      </c>
      <c r="K330" s="8">
        <v>34537</v>
      </c>
      <c r="L330" s="11">
        <f t="shared" si="17"/>
        <v>0.28146625358311378</v>
      </c>
      <c r="M330" s="12">
        <f t="shared" si="18"/>
        <v>0.41437210279498959</v>
      </c>
      <c r="N330" s="13">
        <f t="shared" si="19"/>
        <v>0.11663176336306263</v>
      </c>
      <c r="O330" s="14">
        <f t="shared" si="20"/>
        <v>1.2127892311995216</v>
      </c>
      <c r="P330" s="15"/>
      <c r="Q330" s="15"/>
      <c r="AD330" s="21"/>
    </row>
    <row r="331" spans="1:30" ht="15.75" customHeight="1">
      <c r="A331" s="8">
        <v>90102</v>
      </c>
      <c r="B331" s="9" t="s">
        <v>341</v>
      </c>
      <c r="C331" s="8">
        <v>318</v>
      </c>
      <c r="D331" s="8">
        <v>136.11111465096474</v>
      </c>
      <c r="E331" s="8">
        <v>843</v>
      </c>
      <c r="F331" s="10">
        <f t="shared" si="14"/>
        <v>0.37722419928825623</v>
      </c>
      <c r="G331" s="10">
        <f t="shared" si="15"/>
        <v>0.42802237311624131</v>
      </c>
      <c r="H331" s="10">
        <f t="shared" si="16"/>
        <v>0.16146039697623338</v>
      </c>
      <c r="I331" s="8">
        <v>2683</v>
      </c>
      <c r="J331" s="8">
        <v>1142.8889171779156</v>
      </c>
      <c r="K331" s="8">
        <v>6810</v>
      </c>
      <c r="L331" s="11">
        <f t="shared" si="17"/>
        <v>0.39397944199706314</v>
      </c>
      <c r="M331" s="12">
        <f t="shared" si="18"/>
        <v>0.4259742516503599</v>
      </c>
      <c r="N331" s="13">
        <f t="shared" si="19"/>
        <v>0.16782509797032535</v>
      </c>
      <c r="O331" s="14">
        <f t="shared" si="20"/>
        <v>1.0394195797439347</v>
      </c>
      <c r="P331" s="15"/>
      <c r="Q331" s="15"/>
      <c r="AD331" s="21"/>
    </row>
    <row r="332" spans="1:30" ht="15.75" customHeight="1">
      <c r="A332" s="8">
        <v>90103</v>
      </c>
      <c r="B332" s="9" t="s">
        <v>342</v>
      </c>
      <c r="C332" s="8">
        <v>490</v>
      </c>
      <c r="D332" s="8">
        <v>246.22222778201103</v>
      </c>
      <c r="E332" s="8">
        <v>607</v>
      </c>
      <c r="F332" s="10">
        <f t="shared" si="14"/>
        <v>0.80724876441515647</v>
      </c>
      <c r="G332" s="10">
        <f t="shared" si="15"/>
        <v>0.50249434241226743</v>
      </c>
      <c r="H332" s="10">
        <f t="shared" si="16"/>
        <v>0.40563793703790946</v>
      </c>
      <c r="I332" s="8">
        <v>1083</v>
      </c>
      <c r="J332" s="8">
        <v>499.4444582760334</v>
      </c>
      <c r="K332" s="8">
        <v>1451</v>
      </c>
      <c r="L332" s="11">
        <f t="shared" si="17"/>
        <v>0.74638180565127499</v>
      </c>
      <c r="M332" s="12">
        <f t="shared" si="18"/>
        <v>0.46116755150141586</v>
      </c>
      <c r="N332" s="13">
        <f t="shared" si="19"/>
        <v>0.34420706979740412</v>
      </c>
      <c r="O332" s="14">
        <f t="shared" si="20"/>
        <v>0.84855739162591137</v>
      </c>
      <c r="P332" s="15"/>
      <c r="Q332" s="15"/>
      <c r="AD332" s="21"/>
    </row>
    <row r="333" spans="1:30" ht="15.75" customHeight="1">
      <c r="A333" s="8">
        <v>90104</v>
      </c>
      <c r="B333" s="9" t="s">
        <v>343</v>
      </c>
      <c r="C333" s="8">
        <v>529</v>
      </c>
      <c r="D333" s="8">
        <v>236.00000673532486</v>
      </c>
      <c r="E333" s="8">
        <v>1077</v>
      </c>
      <c r="F333" s="10">
        <f t="shared" si="14"/>
        <v>0.49117920148560817</v>
      </c>
      <c r="G333" s="10">
        <f t="shared" si="15"/>
        <v>0.4461247764372871</v>
      </c>
      <c r="H333" s="10">
        <f t="shared" si="16"/>
        <v>0.21912721145341213</v>
      </c>
      <c r="I333" s="8">
        <v>1645</v>
      </c>
      <c r="J333" s="8">
        <v>788.8889105618</v>
      </c>
      <c r="K333" s="8">
        <v>2473</v>
      </c>
      <c r="L333" s="11">
        <f t="shared" si="17"/>
        <v>0.66518398706025073</v>
      </c>
      <c r="M333" s="12">
        <f t="shared" si="18"/>
        <v>0.47956772678528875</v>
      </c>
      <c r="N333" s="13">
        <f t="shared" si="19"/>
        <v>0.31900077256845938</v>
      </c>
      <c r="O333" s="14">
        <f t="shared" si="20"/>
        <v>1.4557789078435885</v>
      </c>
      <c r="P333" s="15"/>
      <c r="Q333" s="15"/>
      <c r="AD333" s="21"/>
    </row>
    <row r="334" spans="1:30" ht="15.75" customHeight="1">
      <c r="A334" s="8">
        <v>90201</v>
      </c>
      <c r="B334" s="9" t="s">
        <v>344</v>
      </c>
      <c r="C334" s="8">
        <v>922</v>
      </c>
      <c r="D334" s="8">
        <v>418.55556583404541</v>
      </c>
      <c r="E334" s="8">
        <v>1782</v>
      </c>
      <c r="F334" s="10">
        <f t="shared" si="14"/>
        <v>0.51739618406285071</v>
      </c>
      <c r="G334" s="10">
        <f t="shared" si="15"/>
        <v>0.45396482194581933</v>
      </c>
      <c r="H334" s="10">
        <f t="shared" si="16"/>
        <v>0.2348796665735384</v>
      </c>
      <c r="I334" s="8">
        <v>1894</v>
      </c>
      <c r="J334" s="8">
        <v>817.44446492195129</v>
      </c>
      <c r="K334" s="8">
        <v>3857</v>
      </c>
      <c r="L334" s="11">
        <f t="shared" si="17"/>
        <v>0.49105522426756548</v>
      </c>
      <c r="M334" s="12">
        <f t="shared" si="18"/>
        <v>0.43159686637906614</v>
      </c>
      <c r="N334" s="13">
        <f t="shared" si="19"/>
        <v>0.21193789601295082</v>
      </c>
      <c r="O334" s="14">
        <f t="shared" si="20"/>
        <v>0.90232542946238925</v>
      </c>
      <c r="P334" s="15"/>
      <c r="Q334" s="15"/>
      <c r="AD334" s="21"/>
    </row>
    <row r="335" spans="1:30" ht="15.75" customHeight="1">
      <c r="A335" s="8">
        <v>90202</v>
      </c>
      <c r="B335" s="9" t="s">
        <v>307</v>
      </c>
      <c r="C335" s="8">
        <v>900</v>
      </c>
      <c r="D335" s="8">
        <v>462.44445848464966</v>
      </c>
      <c r="E335" s="8">
        <v>961</v>
      </c>
      <c r="F335" s="10">
        <f t="shared" si="14"/>
        <v>0.93652445369406867</v>
      </c>
      <c r="G335" s="10">
        <f t="shared" si="15"/>
        <v>0.51382717609405515</v>
      </c>
      <c r="H335" s="10">
        <f t="shared" si="16"/>
        <v>0.48121171538465102</v>
      </c>
      <c r="I335" s="8">
        <v>1859</v>
      </c>
      <c r="J335" s="8">
        <v>948.33335933089256</v>
      </c>
      <c r="K335" s="8">
        <v>2026</v>
      </c>
      <c r="L335" s="11">
        <f t="shared" si="17"/>
        <v>0.91757156959526165</v>
      </c>
      <c r="M335" s="12">
        <f t="shared" si="18"/>
        <v>0.51013090873098044</v>
      </c>
      <c r="N335" s="13">
        <f t="shared" si="19"/>
        <v>0.46808161862334291</v>
      </c>
      <c r="O335" s="14">
        <f t="shared" si="20"/>
        <v>0.97271451142702814</v>
      </c>
      <c r="P335" s="15"/>
      <c r="Q335" s="15"/>
      <c r="AD335" s="21"/>
    </row>
    <row r="336" spans="1:30" ht="15.75" customHeight="1">
      <c r="A336" s="8">
        <v>90203</v>
      </c>
      <c r="B336" s="9" t="s">
        <v>345</v>
      </c>
      <c r="C336" s="8">
        <v>1080</v>
      </c>
      <c r="D336" s="8">
        <v>484.55556780099869</v>
      </c>
      <c r="E336" s="8">
        <v>1739</v>
      </c>
      <c r="F336" s="10">
        <f t="shared" si="14"/>
        <v>0.62104657849338696</v>
      </c>
      <c r="G336" s="10">
        <f t="shared" si="15"/>
        <v>0.44866256277870248</v>
      </c>
      <c r="H336" s="10">
        <f t="shared" si="16"/>
        <v>0.27864034951178762</v>
      </c>
      <c r="I336" s="8">
        <v>2587</v>
      </c>
      <c r="J336" s="8">
        <v>1157.0000295341015</v>
      </c>
      <c r="K336" s="8">
        <v>3795</v>
      </c>
      <c r="L336" s="11">
        <f t="shared" si="17"/>
        <v>0.68168642951251646</v>
      </c>
      <c r="M336" s="12">
        <f t="shared" si="18"/>
        <v>0.44723619232087419</v>
      </c>
      <c r="N336" s="13">
        <f t="shared" si="19"/>
        <v>0.30487484309198987</v>
      </c>
      <c r="O336" s="14">
        <f t="shared" si="20"/>
        <v>1.0941518112009561</v>
      </c>
      <c r="P336" s="15"/>
      <c r="Q336" s="15"/>
      <c r="AD336" s="21"/>
    </row>
    <row r="337" spans="1:30" ht="15.75" customHeight="1">
      <c r="A337" s="8">
        <v>90301</v>
      </c>
      <c r="B337" s="9" t="s">
        <v>346</v>
      </c>
      <c r="C337" s="8">
        <v>3273</v>
      </c>
      <c r="D337" s="8">
        <v>1679.3333773612976</v>
      </c>
      <c r="E337" s="8">
        <v>4302</v>
      </c>
      <c r="F337" s="10">
        <f t="shared" si="14"/>
        <v>0.76080892608089257</v>
      </c>
      <c r="G337" s="10">
        <f t="shared" si="15"/>
        <v>0.51308688584213191</v>
      </c>
      <c r="H337" s="10">
        <f t="shared" si="16"/>
        <v>0.39036108260374192</v>
      </c>
      <c r="I337" s="8">
        <v>1922</v>
      </c>
      <c r="J337" s="8">
        <v>856.77780023217201</v>
      </c>
      <c r="K337" s="8">
        <v>3242</v>
      </c>
      <c r="L337" s="11">
        <f t="shared" si="17"/>
        <v>0.59284392350400983</v>
      </c>
      <c r="M337" s="12">
        <f t="shared" si="18"/>
        <v>0.44577408961091158</v>
      </c>
      <c r="N337" s="13">
        <f t="shared" si="19"/>
        <v>0.26427446028136087</v>
      </c>
      <c r="O337" s="14">
        <f t="shared" si="20"/>
        <v>0.67700001885082284</v>
      </c>
      <c r="P337" s="15"/>
      <c r="Q337" s="15"/>
      <c r="AD337" s="21"/>
    </row>
    <row r="338" spans="1:30" ht="15.75" customHeight="1">
      <c r="A338" s="8">
        <v>90302</v>
      </c>
      <c r="B338" s="9" t="s">
        <v>347</v>
      </c>
      <c r="C338" s="8">
        <v>3742</v>
      </c>
      <c r="D338" s="8">
        <v>1791.6667132675648</v>
      </c>
      <c r="E338" s="8">
        <v>4957</v>
      </c>
      <c r="F338" s="10">
        <f t="shared" si="14"/>
        <v>0.75489207181763163</v>
      </c>
      <c r="G338" s="10">
        <f t="shared" si="15"/>
        <v>0.47879922855894302</v>
      </c>
      <c r="H338" s="10">
        <f t="shared" si="16"/>
        <v>0.36144174163154424</v>
      </c>
      <c r="I338" s="8">
        <v>1440</v>
      </c>
      <c r="J338" s="8">
        <v>638.66668298840523</v>
      </c>
      <c r="K338" s="8">
        <v>2101</v>
      </c>
      <c r="L338" s="11">
        <f t="shared" si="17"/>
        <v>0.68538791051880055</v>
      </c>
      <c r="M338" s="12">
        <f t="shared" si="18"/>
        <v>0.44351852985305917</v>
      </c>
      <c r="N338" s="13">
        <f t="shared" si="19"/>
        <v>0.3039822384523585</v>
      </c>
      <c r="O338" s="14">
        <f t="shared" si="20"/>
        <v>0.8410269303157567</v>
      </c>
      <c r="P338" s="15"/>
      <c r="Q338" s="15"/>
      <c r="AD338" s="21"/>
    </row>
    <row r="339" spans="1:30" ht="15.75" customHeight="1">
      <c r="A339" s="8">
        <v>90303</v>
      </c>
      <c r="B339" s="9" t="s">
        <v>348</v>
      </c>
      <c r="C339" s="8">
        <v>2835</v>
      </c>
      <c r="D339" s="8">
        <v>1493.5555980503559</v>
      </c>
      <c r="E339" s="8">
        <v>3032</v>
      </c>
      <c r="F339" s="10">
        <f t="shared" si="14"/>
        <v>0.93502638522427439</v>
      </c>
      <c r="G339" s="10">
        <f t="shared" si="15"/>
        <v>0.52682737144633363</v>
      </c>
      <c r="H339" s="10">
        <f t="shared" si="16"/>
        <v>0.49259749276067144</v>
      </c>
      <c r="I339" s="8">
        <v>4919</v>
      </c>
      <c r="J339" s="8">
        <v>2640.6667378544807</v>
      </c>
      <c r="K339" s="8">
        <v>5129</v>
      </c>
      <c r="L339" s="11">
        <f t="shared" si="17"/>
        <v>0.95905634626632874</v>
      </c>
      <c r="M339" s="12">
        <f t="shared" si="18"/>
        <v>0.53682999346502958</v>
      </c>
      <c r="N339" s="13">
        <f t="shared" si="19"/>
        <v>0.51485021209874837</v>
      </c>
      <c r="O339" s="14">
        <f t="shared" si="20"/>
        <v>1.0451742440128262</v>
      </c>
      <c r="P339" s="15"/>
      <c r="Q339" s="15"/>
      <c r="AD339" s="21"/>
    </row>
    <row r="340" spans="1:30" ht="15.75" customHeight="1">
      <c r="A340" s="8">
        <v>90401</v>
      </c>
      <c r="B340" s="9" t="s">
        <v>349</v>
      </c>
      <c r="C340" s="8">
        <v>433</v>
      </c>
      <c r="D340" s="8">
        <v>180.22222688794136</v>
      </c>
      <c r="E340" s="8">
        <v>816</v>
      </c>
      <c r="F340" s="10">
        <f t="shared" si="14"/>
        <v>0.53063725490196079</v>
      </c>
      <c r="G340" s="10">
        <f t="shared" si="15"/>
        <v>0.41621761405991076</v>
      </c>
      <c r="H340" s="10">
        <f t="shared" si="16"/>
        <v>0.2208605721665948</v>
      </c>
      <c r="I340" s="8">
        <v>692</v>
      </c>
      <c r="J340" s="8">
        <v>305.66667452454567</v>
      </c>
      <c r="K340" s="8">
        <v>1367</v>
      </c>
      <c r="L340" s="11">
        <f t="shared" si="17"/>
        <v>0.50621799561082659</v>
      </c>
      <c r="M340" s="12">
        <f t="shared" si="18"/>
        <v>0.44171484757882323</v>
      </c>
      <c r="N340" s="13">
        <f t="shared" si="19"/>
        <v>0.22360400477289366</v>
      </c>
      <c r="O340" s="14">
        <f t="shared" si="20"/>
        <v>1.0124215589020094</v>
      </c>
      <c r="P340" s="15"/>
      <c r="Q340" s="15"/>
      <c r="AD340" s="21"/>
    </row>
    <row r="341" spans="1:30" ht="15.75" customHeight="1">
      <c r="A341" s="8">
        <v>90402</v>
      </c>
      <c r="B341" s="9" t="s">
        <v>350</v>
      </c>
      <c r="C341" s="8">
        <v>306</v>
      </c>
      <c r="D341" s="8">
        <v>133.66667029261589</v>
      </c>
      <c r="E341" s="8">
        <v>435</v>
      </c>
      <c r="F341" s="10">
        <f t="shared" si="14"/>
        <v>0.70344827586206893</v>
      </c>
      <c r="G341" s="10">
        <f t="shared" si="15"/>
        <v>0.43681918396279701</v>
      </c>
      <c r="H341" s="10">
        <f t="shared" si="16"/>
        <v>0.30727970182210546</v>
      </c>
      <c r="I341" s="8">
        <v>801</v>
      </c>
      <c r="J341" s="8">
        <v>370.00001040101051</v>
      </c>
      <c r="K341" s="8">
        <v>1183</v>
      </c>
      <c r="L341" s="11">
        <f t="shared" si="17"/>
        <v>0.67709213863060014</v>
      </c>
      <c r="M341" s="12">
        <f t="shared" si="18"/>
        <v>0.46192260973908927</v>
      </c>
      <c r="N341" s="13">
        <f t="shared" si="19"/>
        <v>0.31276416771006804</v>
      </c>
      <c r="O341" s="14">
        <f t="shared" si="20"/>
        <v>1.0178484483532131</v>
      </c>
      <c r="AD341" s="21"/>
    </row>
    <row r="342" spans="1:30" ht="15.75" customHeight="1">
      <c r="A342" s="8">
        <v>90501</v>
      </c>
      <c r="B342" s="9" t="s">
        <v>351</v>
      </c>
      <c r="C342" s="8">
        <v>616</v>
      </c>
      <c r="D342" s="8">
        <v>264.44445142149925</v>
      </c>
      <c r="E342" s="8">
        <v>738</v>
      </c>
      <c r="F342" s="10">
        <f t="shared" si="14"/>
        <v>0.83468834688346882</v>
      </c>
      <c r="G342" s="10">
        <f t="shared" si="15"/>
        <v>0.42929294061931694</v>
      </c>
      <c r="H342" s="10">
        <f t="shared" si="16"/>
        <v>0.35832581493428078</v>
      </c>
      <c r="I342" s="8">
        <v>755</v>
      </c>
      <c r="J342" s="8">
        <v>345.44445407390594</v>
      </c>
      <c r="K342" s="8">
        <v>1039</v>
      </c>
      <c r="L342" s="11">
        <f t="shared" si="17"/>
        <v>0.72666025024061598</v>
      </c>
      <c r="M342" s="12">
        <f t="shared" si="18"/>
        <v>0.45754232327669664</v>
      </c>
      <c r="N342" s="13">
        <f t="shared" si="19"/>
        <v>0.33247781912791718</v>
      </c>
      <c r="O342" s="14">
        <f t="shared" si="20"/>
        <v>0.9278645446990631</v>
      </c>
      <c r="AD342" s="21"/>
    </row>
    <row r="343" spans="1:30" ht="15.75" customHeight="1">
      <c r="A343" s="8">
        <v>90502</v>
      </c>
      <c r="B343" s="9" t="s">
        <v>352</v>
      </c>
      <c r="C343" s="8">
        <v>678</v>
      </c>
      <c r="D343" s="8">
        <v>304.11111918091774</v>
      </c>
      <c r="E343" s="8">
        <v>932</v>
      </c>
      <c r="F343" s="10">
        <f t="shared" si="14"/>
        <v>0.72746781115879833</v>
      </c>
      <c r="G343" s="10">
        <f t="shared" si="15"/>
        <v>0.44854147371816777</v>
      </c>
      <c r="H343" s="10">
        <f t="shared" si="16"/>
        <v>0.32629948409969717</v>
      </c>
      <c r="I343" s="8">
        <v>1517</v>
      </c>
      <c r="J343" s="8">
        <v>727.44446352124214</v>
      </c>
      <c r="K343" s="8">
        <v>1855</v>
      </c>
      <c r="L343" s="11">
        <f t="shared" si="17"/>
        <v>0.8177897574123989</v>
      </c>
      <c r="M343" s="12">
        <f t="shared" si="18"/>
        <v>0.47952832137194606</v>
      </c>
      <c r="N343" s="13">
        <f t="shared" si="19"/>
        <v>0.39215334960713866</v>
      </c>
      <c r="O343" s="14">
        <f t="shared" si="20"/>
        <v>1.2018203175807676</v>
      </c>
      <c r="AD343" s="21"/>
    </row>
    <row r="344" spans="1:30" ht="15.75" customHeight="1">
      <c r="A344" s="8">
        <v>90503</v>
      </c>
      <c r="B344" s="9" t="s">
        <v>353</v>
      </c>
      <c r="C344" s="8">
        <v>437</v>
      </c>
      <c r="D344" s="8">
        <v>200.22222706675529</v>
      </c>
      <c r="E344" s="8">
        <v>564</v>
      </c>
      <c r="F344" s="10">
        <f t="shared" si="14"/>
        <v>0.77482269503546097</v>
      </c>
      <c r="G344" s="10">
        <f t="shared" si="15"/>
        <v>0.45817443264703728</v>
      </c>
      <c r="H344" s="10">
        <f t="shared" si="16"/>
        <v>0.35500394869992075</v>
      </c>
      <c r="I344" s="8">
        <v>1130</v>
      </c>
      <c r="J344" s="8">
        <v>534.55556997656822</v>
      </c>
      <c r="K344" s="8">
        <v>1405</v>
      </c>
      <c r="L344" s="11">
        <f t="shared" si="17"/>
        <v>0.80427046263345192</v>
      </c>
      <c r="M344" s="12">
        <f t="shared" si="18"/>
        <v>0.47305802652793649</v>
      </c>
      <c r="N344" s="13">
        <f t="shared" si="19"/>
        <v>0.38046659784809128</v>
      </c>
      <c r="O344" s="14">
        <f t="shared" si="20"/>
        <v>1.0717249744444215</v>
      </c>
      <c r="AD344" s="21"/>
    </row>
    <row r="345" spans="1:30" ht="15.75" customHeight="1">
      <c r="A345" s="9">
        <v>10</v>
      </c>
      <c r="B345" s="9" t="s">
        <v>354</v>
      </c>
      <c r="C345" s="8">
        <f t="shared" ref="C345:E345" si="21">SUM(C246:C248)</f>
        <v>13770</v>
      </c>
      <c r="D345" s="8">
        <f t="shared" si="21"/>
        <v>5932.4445997476578</v>
      </c>
      <c r="E345" s="8">
        <f t="shared" si="21"/>
        <v>48451</v>
      </c>
      <c r="F345" s="10">
        <f t="shared" si="14"/>
        <v>0.28420466037852676</v>
      </c>
      <c r="G345" s="10">
        <f t="shared" si="15"/>
        <v>0.43082386345298895</v>
      </c>
      <c r="H345" s="10">
        <f t="shared" si="16"/>
        <v>0.12244214979562151</v>
      </c>
      <c r="I345" s="8">
        <f t="shared" ref="I345:K345" si="22">SUM(I246:I248)</f>
        <v>13017</v>
      </c>
      <c r="J345" s="8">
        <f t="shared" si="22"/>
        <v>5255.333466976881</v>
      </c>
      <c r="K345" s="8">
        <f t="shared" si="22"/>
        <v>90519</v>
      </c>
      <c r="L345" s="11">
        <f t="shared" si="17"/>
        <v>0.14380406323534287</v>
      </c>
      <c r="M345" s="12">
        <f t="shared" si="18"/>
        <v>0.40372846792478151</v>
      </c>
      <c r="N345" s="13">
        <f t="shared" si="19"/>
        <v>5.8057794131363374E-2</v>
      </c>
      <c r="O345" s="14">
        <f t="shared" si="20"/>
        <v>0.4741650994226459</v>
      </c>
      <c r="AD345" s="21"/>
    </row>
    <row r="346" spans="1:30" ht="15.75" customHeight="1">
      <c r="A346" s="9">
        <v>11</v>
      </c>
      <c r="B346" s="9" t="s">
        <v>355</v>
      </c>
      <c r="C346" s="8">
        <f t="shared" ref="C346:E346" si="23">SUM(C2:C344)</f>
        <v>2210169</v>
      </c>
      <c r="D346" s="8">
        <f t="shared" si="23"/>
        <v>1002782.0258591175</v>
      </c>
      <c r="E346" s="8">
        <f t="shared" si="23"/>
        <v>5513161</v>
      </c>
      <c r="F346" s="10">
        <f t="shared" si="14"/>
        <v>0.40088961668269801</v>
      </c>
      <c r="G346" s="10">
        <f t="shared" si="15"/>
        <v>0.4537128273263798</v>
      </c>
      <c r="H346" s="10">
        <f t="shared" si="16"/>
        <v>0.18188876143089555</v>
      </c>
      <c r="I346" s="8">
        <f t="shared" ref="I346:K346" si="24">SUM(I2:I344)</f>
        <v>751204</v>
      </c>
      <c r="J346" s="8">
        <f t="shared" si="24"/>
        <v>307330.11891421676</v>
      </c>
      <c r="K346" s="8">
        <f t="shared" si="24"/>
        <v>4313928</v>
      </c>
      <c r="L346" s="11">
        <f t="shared" si="17"/>
        <v>0.17413457062797524</v>
      </c>
      <c r="M346" s="12">
        <f t="shared" si="18"/>
        <v>0.4091167231726891</v>
      </c>
      <c r="N346" s="13">
        <f t="shared" si="19"/>
        <v>7.124136492640043E-2</v>
      </c>
      <c r="O346" s="14">
        <f t="shared" si="20"/>
        <v>0.39167546343135085</v>
      </c>
      <c r="AD346" s="21"/>
    </row>
    <row r="347" spans="1:30" ht="15.75" customHeight="1">
      <c r="C347" s="22"/>
      <c r="D347" s="22"/>
      <c r="E347" s="22"/>
      <c r="F347" s="23"/>
      <c r="G347" s="23"/>
      <c r="H347" s="23"/>
      <c r="I347" s="23"/>
      <c r="J347" s="23"/>
      <c r="K347" s="23"/>
      <c r="L347" s="23"/>
      <c r="M347" s="23"/>
      <c r="O347" s="21"/>
      <c r="AD347" s="21"/>
    </row>
    <row r="348" spans="1:30" ht="15.75" customHeight="1">
      <c r="C348" s="22"/>
      <c r="D348" s="22"/>
      <c r="E348" s="22"/>
      <c r="F348" s="23"/>
      <c r="G348" s="23"/>
      <c r="H348" s="23"/>
      <c r="I348" s="23"/>
      <c r="J348" s="23"/>
      <c r="K348" s="23"/>
      <c r="L348" s="23"/>
      <c r="M348" s="23"/>
      <c r="O348" s="21"/>
      <c r="AD348" s="21"/>
    </row>
    <row r="349" spans="1:30" ht="15.75" customHeight="1">
      <c r="C349" s="22"/>
      <c r="D349" s="22"/>
      <c r="E349" s="22"/>
      <c r="F349" s="23"/>
      <c r="G349" s="23"/>
      <c r="H349" s="23"/>
      <c r="I349" s="23"/>
      <c r="J349" s="23"/>
      <c r="K349" s="23"/>
      <c r="L349" s="23"/>
      <c r="M349" s="23"/>
      <c r="O349" s="21"/>
      <c r="AD349" s="21"/>
    </row>
    <row r="350" spans="1:30" ht="15.75" customHeight="1">
      <c r="C350" s="22"/>
      <c r="D350" s="22"/>
      <c r="E350" s="22"/>
      <c r="F350" s="23"/>
      <c r="G350" s="23"/>
      <c r="H350" s="23"/>
      <c r="I350" s="23"/>
      <c r="J350" s="23"/>
      <c r="K350" s="23"/>
      <c r="L350" s="23"/>
      <c r="M350" s="23"/>
      <c r="O350" s="21"/>
      <c r="AD350" s="21"/>
    </row>
    <row r="351" spans="1:30" ht="15.75" customHeight="1">
      <c r="C351" s="22"/>
      <c r="D351" s="22"/>
      <c r="E351" s="22"/>
      <c r="F351" s="23"/>
      <c r="G351" s="23"/>
      <c r="H351" s="23"/>
      <c r="I351" s="23"/>
      <c r="J351" s="23"/>
      <c r="K351" s="23"/>
      <c r="L351" s="23"/>
      <c r="M351" s="23"/>
      <c r="O351" s="21"/>
      <c r="AD351" s="21"/>
    </row>
    <row r="352" spans="1:30" ht="15.75" customHeight="1">
      <c r="C352" s="22"/>
      <c r="D352" s="22"/>
      <c r="E352" s="22"/>
      <c r="F352" s="23"/>
      <c r="G352" s="23"/>
      <c r="H352" s="23"/>
      <c r="I352" s="23"/>
      <c r="J352" s="23"/>
      <c r="K352" s="23"/>
      <c r="L352" s="23"/>
      <c r="M352" s="23"/>
      <c r="O352" s="21"/>
      <c r="AD352" s="21"/>
    </row>
    <row r="353" spans="3:30" ht="15.75" customHeight="1">
      <c r="C353" s="22"/>
      <c r="D353" s="22"/>
      <c r="E353" s="22"/>
      <c r="F353" s="23"/>
      <c r="G353" s="23"/>
      <c r="H353" s="23"/>
      <c r="I353" s="23"/>
      <c r="J353" s="23"/>
      <c r="K353" s="23"/>
      <c r="L353" s="23"/>
      <c r="M353" s="23"/>
      <c r="O353" s="21"/>
      <c r="AD353" s="21"/>
    </row>
    <row r="354" spans="3:30" ht="15.75" customHeight="1">
      <c r="C354" s="22"/>
      <c r="D354" s="22"/>
      <c r="E354" s="22"/>
      <c r="F354" s="23"/>
      <c r="G354" s="23"/>
      <c r="H354" s="23"/>
      <c r="I354" s="23"/>
      <c r="J354" s="23"/>
      <c r="K354" s="23"/>
      <c r="L354" s="23"/>
      <c r="M354" s="23"/>
      <c r="O354" s="21"/>
      <c r="AD354" s="21"/>
    </row>
    <row r="355" spans="3:30" ht="15.75" customHeight="1">
      <c r="C355" s="22"/>
      <c r="D355" s="22"/>
      <c r="E355" s="22"/>
      <c r="F355" s="23"/>
      <c r="G355" s="23"/>
      <c r="H355" s="23"/>
      <c r="I355" s="23"/>
      <c r="J355" s="23"/>
      <c r="K355" s="23"/>
      <c r="L355" s="23"/>
      <c r="M355" s="23"/>
      <c r="O355" s="21"/>
      <c r="AD355" s="21"/>
    </row>
    <row r="356" spans="3:30" ht="15.75" customHeight="1">
      <c r="C356" s="22"/>
      <c r="D356" s="22"/>
      <c r="E356" s="22"/>
      <c r="F356" s="23"/>
      <c r="G356" s="23"/>
      <c r="H356" s="23"/>
      <c r="I356" s="23"/>
      <c r="J356" s="23"/>
      <c r="K356" s="23"/>
      <c r="L356" s="23"/>
      <c r="M356" s="23"/>
      <c r="O356" s="21"/>
      <c r="AD356" s="21"/>
    </row>
    <row r="357" spans="3:30" ht="15.75" customHeight="1">
      <c r="C357" s="22"/>
      <c r="D357" s="22"/>
      <c r="E357" s="22"/>
      <c r="F357" s="23"/>
      <c r="G357" s="23"/>
      <c r="H357" s="23"/>
      <c r="I357" s="23"/>
      <c r="J357" s="23"/>
      <c r="K357" s="23"/>
      <c r="L357" s="23"/>
      <c r="M357" s="23"/>
      <c r="O357" s="21"/>
      <c r="AD357" s="21"/>
    </row>
    <row r="358" spans="3:30" ht="15.75" customHeight="1">
      <c r="C358" s="22"/>
      <c r="D358" s="22"/>
      <c r="E358" s="22"/>
      <c r="F358" s="23"/>
      <c r="G358" s="23"/>
      <c r="H358" s="23"/>
      <c r="I358" s="23"/>
      <c r="J358" s="23"/>
      <c r="K358" s="23"/>
      <c r="L358" s="23"/>
      <c r="M358" s="23"/>
      <c r="O358" s="21"/>
      <c r="AD358" s="21"/>
    </row>
    <row r="359" spans="3:30" ht="15.75" customHeight="1">
      <c r="C359" s="22"/>
      <c r="D359" s="22"/>
      <c r="E359" s="22"/>
      <c r="F359" s="23"/>
      <c r="G359" s="23"/>
      <c r="H359" s="23"/>
      <c r="I359" s="23"/>
      <c r="J359" s="23"/>
      <c r="K359" s="23"/>
      <c r="L359" s="23"/>
      <c r="M359" s="23"/>
      <c r="O359" s="21"/>
      <c r="AD359" s="21"/>
    </row>
    <row r="360" spans="3:30" ht="15.75" customHeight="1">
      <c r="C360" s="22"/>
      <c r="D360" s="22"/>
      <c r="E360" s="22"/>
      <c r="F360" s="23"/>
      <c r="G360" s="23"/>
      <c r="H360" s="23"/>
      <c r="I360" s="23"/>
      <c r="J360" s="23"/>
      <c r="K360" s="23"/>
      <c r="L360" s="23"/>
      <c r="M360" s="23"/>
      <c r="O360" s="21"/>
      <c r="AD360" s="21"/>
    </row>
    <row r="361" spans="3:30" ht="15.75" customHeight="1">
      <c r="C361" s="22"/>
      <c r="D361" s="22"/>
      <c r="E361" s="22"/>
      <c r="F361" s="23"/>
      <c r="G361" s="23"/>
      <c r="H361" s="23"/>
      <c r="I361" s="23"/>
      <c r="J361" s="23"/>
      <c r="K361" s="23"/>
      <c r="L361" s="23"/>
      <c r="M361" s="23"/>
      <c r="O361" s="21"/>
      <c r="AD361" s="21"/>
    </row>
    <row r="362" spans="3:30" ht="15.75" customHeight="1">
      <c r="C362" s="22"/>
      <c r="D362" s="22"/>
      <c r="E362" s="22"/>
      <c r="F362" s="23"/>
      <c r="G362" s="23"/>
      <c r="H362" s="23"/>
      <c r="I362" s="23"/>
      <c r="J362" s="23"/>
      <c r="K362" s="23"/>
      <c r="L362" s="23"/>
      <c r="M362" s="23"/>
      <c r="O362" s="21"/>
      <c r="AD362" s="21"/>
    </row>
    <row r="363" spans="3:30" ht="15.75" customHeight="1">
      <c r="C363" s="22"/>
      <c r="D363" s="22"/>
      <c r="E363" s="22"/>
      <c r="F363" s="23"/>
      <c r="G363" s="23"/>
      <c r="H363" s="23"/>
      <c r="I363" s="23"/>
      <c r="J363" s="23"/>
      <c r="K363" s="23"/>
      <c r="L363" s="23"/>
      <c r="M363" s="23"/>
      <c r="O363" s="21"/>
      <c r="AD363" s="21"/>
    </row>
    <row r="364" spans="3:30" ht="15.75" customHeight="1">
      <c r="C364" s="22"/>
      <c r="D364" s="22"/>
      <c r="E364" s="22"/>
      <c r="F364" s="23"/>
      <c r="G364" s="23"/>
      <c r="H364" s="23"/>
      <c r="I364" s="23"/>
      <c r="J364" s="23"/>
      <c r="K364" s="23"/>
      <c r="L364" s="23"/>
      <c r="M364" s="23"/>
      <c r="O364" s="21"/>
      <c r="AD364" s="21"/>
    </row>
    <row r="365" spans="3:30" ht="15.75" customHeight="1">
      <c r="C365" s="22"/>
      <c r="D365" s="22"/>
      <c r="E365" s="22"/>
      <c r="F365" s="23"/>
      <c r="G365" s="23"/>
      <c r="H365" s="23"/>
      <c r="I365" s="23"/>
      <c r="J365" s="23"/>
      <c r="K365" s="23"/>
      <c r="L365" s="23"/>
      <c r="M365" s="23"/>
      <c r="O365" s="21"/>
      <c r="AD365" s="21"/>
    </row>
    <row r="366" spans="3:30" ht="15.75" customHeight="1">
      <c r="C366" s="22"/>
      <c r="D366" s="22"/>
      <c r="E366" s="22"/>
      <c r="F366" s="23"/>
      <c r="G366" s="23"/>
      <c r="H366" s="23"/>
      <c r="I366" s="23"/>
      <c r="J366" s="23"/>
      <c r="K366" s="23"/>
      <c r="L366" s="23"/>
      <c r="M366" s="23"/>
      <c r="O366" s="21"/>
      <c r="AD366" s="21"/>
    </row>
    <row r="367" spans="3:30" ht="15.75" customHeight="1">
      <c r="C367" s="22"/>
      <c r="D367" s="22"/>
      <c r="E367" s="22"/>
      <c r="F367" s="23"/>
      <c r="G367" s="23"/>
      <c r="H367" s="23"/>
      <c r="I367" s="23"/>
      <c r="J367" s="23"/>
      <c r="K367" s="23"/>
      <c r="L367" s="23"/>
      <c r="M367" s="23"/>
      <c r="O367" s="21"/>
      <c r="AD367" s="21"/>
    </row>
    <row r="368" spans="3:30" ht="15.75" customHeight="1">
      <c r="C368" s="22"/>
      <c r="D368" s="22"/>
      <c r="E368" s="22"/>
      <c r="F368" s="23"/>
      <c r="G368" s="23"/>
      <c r="H368" s="23"/>
      <c r="I368" s="23"/>
      <c r="J368" s="23"/>
      <c r="K368" s="23"/>
      <c r="L368" s="23"/>
      <c r="M368" s="23"/>
      <c r="O368" s="21"/>
      <c r="AD368" s="21"/>
    </row>
    <row r="369" spans="3:30" ht="15.75" customHeight="1">
      <c r="C369" s="22"/>
      <c r="D369" s="22"/>
      <c r="E369" s="22"/>
      <c r="F369" s="23"/>
      <c r="G369" s="23"/>
      <c r="H369" s="23"/>
      <c r="I369" s="23"/>
      <c r="J369" s="23"/>
      <c r="K369" s="23"/>
      <c r="L369" s="23"/>
      <c r="M369" s="23"/>
      <c r="O369" s="21"/>
      <c r="AD369" s="21"/>
    </row>
    <row r="370" spans="3:30" ht="15.75" customHeight="1">
      <c r="C370" s="22"/>
      <c r="D370" s="22"/>
      <c r="E370" s="22"/>
      <c r="F370" s="23"/>
      <c r="G370" s="23"/>
      <c r="H370" s="23"/>
      <c r="I370" s="23"/>
      <c r="J370" s="23"/>
      <c r="K370" s="23"/>
      <c r="L370" s="23"/>
      <c r="M370" s="23"/>
      <c r="O370" s="21"/>
      <c r="AD370" s="21"/>
    </row>
    <row r="371" spans="3:30" ht="15.75" customHeight="1">
      <c r="C371" s="22"/>
      <c r="D371" s="22"/>
      <c r="E371" s="22"/>
      <c r="F371" s="23"/>
      <c r="G371" s="23"/>
      <c r="H371" s="23"/>
      <c r="I371" s="23"/>
      <c r="J371" s="23"/>
      <c r="K371" s="23"/>
      <c r="L371" s="23"/>
      <c r="M371" s="23"/>
      <c r="O371" s="21"/>
      <c r="AD371" s="21"/>
    </row>
    <row r="372" spans="3:30" ht="15.75" customHeight="1">
      <c r="C372" s="22"/>
      <c r="D372" s="22"/>
      <c r="E372" s="22"/>
      <c r="F372" s="23"/>
      <c r="G372" s="23"/>
      <c r="H372" s="23"/>
      <c r="I372" s="23"/>
      <c r="J372" s="23"/>
      <c r="K372" s="23"/>
      <c r="L372" s="23"/>
      <c r="M372" s="23"/>
      <c r="O372" s="21"/>
      <c r="AD372" s="21"/>
    </row>
    <row r="373" spans="3:30" ht="15.75" customHeight="1">
      <c r="C373" s="22"/>
      <c r="D373" s="22"/>
      <c r="E373" s="22"/>
      <c r="F373" s="23"/>
      <c r="G373" s="23"/>
      <c r="H373" s="23"/>
      <c r="I373" s="23"/>
      <c r="J373" s="23"/>
      <c r="K373" s="23"/>
      <c r="L373" s="23"/>
      <c r="M373" s="23"/>
      <c r="O373" s="21"/>
      <c r="AD373" s="21"/>
    </row>
    <row r="374" spans="3:30" ht="15.75" customHeight="1">
      <c r="C374" s="22"/>
      <c r="D374" s="22"/>
      <c r="E374" s="22"/>
      <c r="F374" s="23"/>
      <c r="G374" s="23"/>
      <c r="H374" s="23"/>
      <c r="I374" s="23"/>
      <c r="J374" s="23"/>
      <c r="K374" s="23"/>
      <c r="L374" s="23"/>
      <c r="M374" s="23"/>
      <c r="O374" s="21"/>
      <c r="AD374" s="21"/>
    </row>
    <row r="375" spans="3:30" ht="15.75" customHeight="1">
      <c r="C375" s="22"/>
      <c r="D375" s="22"/>
      <c r="E375" s="22"/>
      <c r="F375" s="23"/>
      <c r="G375" s="23"/>
      <c r="H375" s="23"/>
      <c r="I375" s="23"/>
      <c r="J375" s="23"/>
      <c r="K375" s="23"/>
      <c r="L375" s="23"/>
      <c r="M375" s="23"/>
      <c r="O375" s="21"/>
      <c r="AD375" s="21"/>
    </row>
    <row r="376" spans="3:30" ht="15.75" customHeight="1">
      <c r="C376" s="22"/>
      <c r="D376" s="22"/>
      <c r="E376" s="22"/>
      <c r="F376" s="23"/>
      <c r="G376" s="23"/>
      <c r="H376" s="23"/>
      <c r="I376" s="23"/>
      <c r="J376" s="23"/>
      <c r="K376" s="23"/>
      <c r="L376" s="23"/>
      <c r="M376" s="23"/>
      <c r="O376" s="21"/>
      <c r="AD376" s="21"/>
    </row>
    <row r="377" spans="3:30" ht="15.75" customHeight="1">
      <c r="C377" s="22"/>
      <c r="D377" s="22"/>
      <c r="E377" s="22"/>
      <c r="F377" s="23"/>
      <c r="G377" s="23"/>
      <c r="H377" s="23"/>
      <c r="I377" s="23"/>
      <c r="J377" s="23"/>
      <c r="K377" s="23"/>
      <c r="L377" s="23"/>
      <c r="M377" s="23"/>
      <c r="O377" s="21"/>
      <c r="AD377" s="21"/>
    </row>
    <row r="378" spans="3:30" ht="15.75" customHeight="1">
      <c r="C378" s="22"/>
      <c r="D378" s="22"/>
      <c r="E378" s="22"/>
      <c r="F378" s="23"/>
      <c r="G378" s="23"/>
      <c r="H378" s="23"/>
      <c r="I378" s="23"/>
      <c r="J378" s="23"/>
      <c r="K378" s="23"/>
      <c r="L378" s="23"/>
      <c r="M378" s="23"/>
      <c r="O378" s="21"/>
      <c r="AD378" s="21"/>
    </row>
    <row r="379" spans="3:30" ht="15.75" customHeight="1">
      <c r="C379" s="22"/>
      <c r="D379" s="22"/>
      <c r="E379" s="22"/>
      <c r="F379" s="23"/>
      <c r="G379" s="23"/>
      <c r="H379" s="23"/>
      <c r="I379" s="23"/>
      <c r="J379" s="23"/>
      <c r="K379" s="23"/>
      <c r="L379" s="23"/>
      <c r="M379" s="23"/>
      <c r="O379" s="21"/>
      <c r="AD379" s="21"/>
    </row>
    <row r="380" spans="3:30" ht="15.75" customHeight="1">
      <c r="C380" s="22"/>
      <c r="D380" s="22"/>
      <c r="E380" s="22"/>
      <c r="F380" s="23"/>
      <c r="G380" s="23"/>
      <c r="H380" s="23"/>
      <c r="I380" s="23"/>
      <c r="J380" s="23"/>
      <c r="K380" s="23"/>
      <c r="L380" s="23"/>
      <c r="M380" s="23"/>
      <c r="O380" s="21"/>
      <c r="AD380" s="21"/>
    </row>
    <row r="381" spans="3:30" ht="15.75" customHeight="1">
      <c r="C381" s="22"/>
      <c r="D381" s="22"/>
      <c r="E381" s="22"/>
      <c r="F381" s="23"/>
      <c r="G381" s="23"/>
      <c r="H381" s="23"/>
      <c r="I381" s="23"/>
      <c r="J381" s="23"/>
      <c r="K381" s="23"/>
      <c r="L381" s="23"/>
      <c r="M381" s="23"/>
      <c r="O381" s="21"/>
      <c r="AD381" s="21"/>
    </row>
    <row r="382" spans="3:30" ht="15.75" customHeight="1">
      <c r="C382" s="22"/>
      <c r="D382" s="22"/>
      <c r="E382" s="22"/>
      <c r="F382" s="23"/>
      <c r="G382" s="23"/>
      <c r="H382" s="23"/>
      <c r="I382" s="23"/>
      <c r="J382" s="23"/>
      <c r="K382" s="23"/>
      <c r="L382" s="23"/>
      <c r="M382" s="23"/>
      <c r="O382" s="21"/>
      <c r="AD382" s="21"/>
    </row>
    <row r="383" spans="3:30" ht="15.75" customHeight="1">
      <c r="C383" s="22"/>
      <c r="D383" s="22"/>
      <c r="E383" s="22"/>
      <c r="F383" s="23"/>
      <c r="G383" s="23"/>
      <c r="H383" s="23"/>
      <c r="I383" s="23"/>
      <c r="J383" s="23"/>
      <c r="K383" s="23"/>
      <c r="L383" s="23"/>
      <c r="M383" s="23"/>
      <c r="O383" s="21"/>
      <c r="AD383" s="21"/>
    </row>
    <row r="384" spans="3:30" ht="15.75" customHeight="1">
      <c r="C384" s="22"/>
      <c r="D384" s="22"/>
      <c r="E384" s="22"/>
      <c r="F384" s="23"/>
      <c r="G384" s="23"/>
      <c r="H384" s="23"/>
      <c r="I384" s="23"/>
      <c r="J384" s="23"/>
      <c r="K384" s="23"/>
      <c r="L384" s="23"/>
      <c r="M384" s="23"/>
      <c r="O384" s="21"/>
      <c r="AD384" s="21"/>
    </row>
    <row r="385" spans="3:30" ht="15.75" customHeight="1">
      <c r="C385" s="22"/>
      <c r="D385" s="22"/>
      <c r="E385" s="22"/>
      <c r="F385" s="23"/>
      <c r="G385" s="23"/>
      <c r="H385" s="23"/>
      <c r="I385" s="23"/>
      <c r="J385" s="23"/>
      <c r="K385" s="23"/>
      <c r="L385" s="23"/>
      <c r="M385" s="23"/>
      <c r="O385" s="21"/>
      <c r="AD385" s="21"/>
    </row>
    <row r="386" spans="3:30" ht="15.75" customHeight="1">
      <c r="C386" s="22"/>
      <c r="D386" s="22"/>
      <c r="E386" s="22"/>
      <c r="F386" s="23"/>
      <c r="G386" s="23"/>
      <c r="H386" s="23"/>
      <c r="I386" s="23"/>
      <c r="J386" s="23"/>
      <c r="K386" s="23"/>
      <c r="L386" s="23"/>
      <c r="M386" s="23"/>
      <c r="O386" s="21"/>
      <c r="AD386" s="21"/>
    </row>
    <row r="387" spans="3:30" ht="15.75" customHeight="1">
      <c r="C387" s="22"/>
      <c r="D387" s="22"/>
      <c r="E387" s="22"/>
      <c r="F387" s="23"/>
      <c r="G387" s="23"/>
      <c r="H387" s="23"/>
      <c r="I387" s="23"/>
      <c r="J387" s="23"/>
      <c r="K387" s="23"/>
      <c r="L387" s="23"/>
      <c r="M387" s="23"/>
      <c r="O387" s="21"/>
      <c r="AD387" s="21"/>
    </row>
    <row r="388" spans="3:30" ht="15.75" customHeight="1">
      <c r="C388" s="22"/>
      <c r="D388" s="22"/>
      <c r="E388" s="22"/>
      <c r="F388" s="23"/>
      <c r="G388" s="23"/>
      <c r="H388" s="23"/>
      <c r="I388" s="23"/>
      <c r="J388" s="23"/>
      <c r="K388" s="23"/>
      <c r="L388" s="23"/>
      <c r="M388" s="23"/>
      <c r="O388" s="21"/>
      <c r="AD388" s="21"/>
    </row>
    <row r="389" spans="3:30" ht="15.75" customHeight="1">
      <c r="C389" s="22"/>
      <c r="D389" s="22"/>
      <c r="E389" s="22"/>
      <c r="F389" s="23"/>
      <c r="G389" s="23"/>
      <c r="H389" s="23"/>
      <c r="I389" s="23"/>
      <c r="J389" s="23"/>
      <c r="K389" s="23"/>
      <c r="L389" s="23"/>
      <c r="M389" s="23"/>
      <c r="O389" s="21"/>
      <c r="AD389" s="21"/>
    </row>
    <row r="390" spans="3:30" ht="15.75" customHeight="1">
      <c r="C390" s="22"/>
      <c r="D390" s="22"/>
      <c r="E390" s="22"/>
      <c r="F390" s="23"/>
      <c r="G390" s="23"/>
      <c r="H390" s="23"/>
      <c r="I390" s="23"/>
      <c r="J390" s="23"/>
      <c r="K390" s="23"/>
      <c r="L390" s="23"/>
      <c r="M390" s="23"/>
      <c r="O390" s="21"/>
      <c r="AD390" s="21"/>
    </row>
    <row r="391" spans="3:30" ht="15.75" customHeight="1">
      <c r="C391" s="22"/>
      <c r="D391" s="22"/>
      <c r="E391" s="22"/>
      <c r="F391" s="23"/>
      <c r="G391" s="23"/>
      <c r="H391" s="23"/>
      <c r="I391" s="23"/>
      <c r="J391" s="23"/>
      <c r="K391" s="23"/>
      <c r="L391" s="23"/>
      <c r="M391" s="23"/>
      <c r="O391" s="21"/>
      <c r="AD391" s="21"/>
    </row>
    <row r="392" spans="3:30" ht="15.75" customHeight="1">
      <c r="C392" s="22"/>
      <c r="D392" s="22"/>
      <c r="E392" s="22"/>
      <c r="F392" s="23"/>
      <c r="G392" s="23"/>
      <c r="H392" s="23"/>
      <c r="I392" s="23"/>
      <c r="J392" s="23"/>
      <c r="K392" s="23"/>
      <c r="L392" s="23"/>
      <c r="M392" s="23"/>
      <c r="O392" s="21"/>
      <c r="AD392" s="21"/>
    </row>
    <row r="393" spans="3:30" ht="15.75" customHeight="1">
      <c r="C393" s="22"/>
      <c r="D393" s="22"/>
      <c r="E393" s="22"/>
      <c r="F393" s="23"/>
      <c r="G393" s="23"/>
      <c r="H393" s="23"/>
      <c r="I393" s="23"/>
      <c r="J393" s="23"/>
      <c r="K393" s="23"/>
      <c r="L393" s="23"/>
      <c r="M393" s="23"/>
      <c r="O393" s="21"/>
      <c r="AD393" s="21"/>
    </row>
    <row r="394" spans="3:30" ht="15.75" customHeight="1">
      <c r="C394" s="22"/>
      <c r="D394" s="22"/>
      <c r="E394" s="22"/>
      <c r="F394" s="23"/>
      <c r="G394" s="23"/>
      <c r="H394" s="23"/>
      <c r="I394" s="23"/>
      <c r="J394" s="23"/>
      <c r="K394" s="23"/>
      <c r="L394" s="23"/>
      <c r="M394" s="23"/>
      <c r="O394" s="21"/>
      <c r="AD394" s="21"/>
    </row>
    <row r="395" spans="3:30" ht="15.75" customHeight="1">
      <c r="C395" s="22"/>
      <c r="D395" s="22"/>
      <c r="E395" s="22"/>
      <c r="F395" s="23"/>
      <c r="G395" s="23"/>
      <c r="H395" s="23"/>
      <c r="I395" s="23"/>
      <c r="J395" s="23"/>
      <c r="K395" s="23"/>
      <c r="L395" s="23"/>
      <c r="M395" s="23"/>
      <c r="O395" s="21"/>
      <c r="AD395" s="21"/>
    </row>
    <row r="396" spans="3:30" ht="15.75" customHeight="1">
      <c r="C396" s="22"/>
      <c r="D396" s="22"/>
      <c r="E396" s="22"/>
      <c r="F396" s="23"/>
      <c r="G396" s="23"/>
      <c r="H396" s="23"/>
      <c r="I396" s="23"/>
      <c r="J396" s="23"/>
      <c r="K396" s="23"/>
      <c r="L396" s="23"/>
      <c r="M396" s="23"/>
      <c r="O396" s="21"/>
      <c r="AD396" s="21"/>
    </row>
    <row r="397" spans="3:30" ht="15.75" customHeight="1">
      <c r="C397" s="22"/>
      <c r="D397" s="22"/>
      <c r="E397" s="22"/>
      <c r="F397" s="23"/>
      <c r="G397" s="23"/>
      <c r="H397" s="23"/>
      <c r="I397" s="23"/>
      <c r="J397" s="23"/>
      <c r="K397" s="23"/>
      <c r="L397" s="23"/>
      <c r="M397" s="23"/>
      <c r="O397" s="21"/>
      <c r="AD397" s="21"/>
    </row>
    <row r="398" spans="3:30" ht="15.75" customHeight="1">
      <c r="C398" s="22"/>
      <c r="D398" s="22"/>
      <c r="E398" s="22"/>
      <c r="F398" s="23"/>
      <c r="G398" s="23"/>
      <c r="H398" s="23"/>
      <c r="I398" s="23"/>
      <c r="J398" s="23"/>
      <c r="K398" s="23"/>
      <c r="L398" s="23"/>
      <c r="M398" s="23"/>
      <c r="O398" s="21"/>
      <c r="AD398" s="21"/>
    </row>
    <row r="399" spans="3:30" ht="15.75" customHeight="1">
      <c r="C399" s="22"/>
      <c r="D399" s="22"/>
      <c r="E399" s="22"/>
      <c r="F399" s="23"/>
      <c r="G399" s="23"/>
      <c r="H399" s="23"/>
      <c r="I399" s="23"/>
      <c r="J399" s="23"/>
      <c r="K399" s="23"/>
      <c r="L399" s="23"/>
      <c r="M399" s="23"/>
      <c r="O399" s="21"/>
      <c r="AD399" s="21"/>
    </row>
    <row r="400" spans="3:30" ht="15.75" customHeight="1">
      <c r="C400" s="22"/>
      <c r="D400" s="22"/>
      <c r="E400" s="22"/>
      <c r="F400" s="23"/>
      <c r="G400" s="23"/>
      <c r="H400" s="23"/>
      <c r="I400" s="23"/>
      <c r="J400" s="23"/>
      <c r="K400" s="23"/>
      <c r="L400" s="23"/>
      <c r="M400" s="23"/>
      <c r="O400" s="21"/>
      <c r="AD400" s="21"/>
    </row>
    <row r="401" spans="3:30" ht="15.75" customHeight="1">
      <c r="C401" s="22"/>
      <c r="D401" s="22"/>
      <c r="E401" s="22"/>
      <c r="F401" s="23"/>
      <c r="G401" s="23"/>
      <c r="H401" s="23"/>
      <c r="I401" s="23"/>
      <c r="J401" s="23"/>
      <c r="K401" s="23"/>
      <c r="L401" s="23"/>
      <c r="M401" s="23"/>
      <c r="O401" s="21"/>
      <c r="AD401" s="21"/>
    </row>
    <row r="402" spans="3:30" ht="15.75" customHeight="1">
      <c r="C402" s="22"/>
      <c r="D402" s="22"/>
      <c r="E402" s="22"/>
      <c r="F402" s="23"/>
      <c r="G402" s="23"/>
      <c r="H402" s="23"/>
      <c r="I402" s="23"/>
      <c r="J402" s="23"/>
      <c r="K402" s="23"/>
      <c r="L402" s="23"/>
      <c r="M402" s="23"/>
      <c r="O402" s="21"/>
      <c r="AD402" s="21"/>
    </row>
    <row r="403" spans="3:30" ht="15.75" customHeight="1">
      <c r="C403" s="22"/>
      <c r="D403" s="22"/>
      <c r="E403" s="22"/>
      <c r="F403" s="23"/>
      <c r="G403" s="23"/>
      <c r="H403" s="23"/>
      <c r="I403" s="23"/>
      <c r="J403" s="23"/>
      <c r="K403" s="23"/>
      <c r="L403" s="23"/>
      <c r="M403" s="23"/>
      <c r="O403" s="21"/>
      <c r="AD403" s="21"/>
    </row>
    <row r="404" spans="3:30" ht="15.75" customHeight="1">
      <c r="C404" s="22"/>
      <c r="D404" s="22"/>
      <c r="E404" s="22"/>
      <c r="F404" s="23"/>
      <c r="G404" s="23"/>
      <c r="H404" s="23"/>
      <c r="I404" s="23"/>
      <c r="J404" s="23"/>
      <c r="K404" s="23"/>
      <c r="L404" s="23"/>
      <c r="M404" s="23"/>
      <c r="O404" s="21"/>
      <c r="AD404" s="21"/>
    </row>
    <row r="405" spans="3:30" ht="15.75" customHeight="1">
      <c r="C405" s="22"/>
      <c r="D405" s="22"/>
      <c r="E405" s="22"/>
      <c r="F405" s="23"/>
      <c r="G405" s="23"/>
      <c r="H405" s="23"/>
      <c r="I405" s="23"/>
      <c r="J405" s="23"/>
      <c r="K405" s="23"/>
      <c r="L405" s="23"/>
      <c r="M405" s="23"/>
      <c r="O405" s="21"/>
      <c r="AD405" s="21"/>
    </row>
    <row r="406" spans="3:30" ht="15.75" customHeight="1">
      <c r="C406" s="22"/>
      <c r="D406" s="22"/>
      <c r="E406" s="22"/>
      <c r="F406" s="23"/>
      <c r="G406" s="23"/>
      <c r="H406" s="23"/>
      <c r="I406" s="23"/>
      <c r="J406" s="23"/>
      <c r="K406" s="23"/>
      <c r="L406" s="23"/>
      <c r="M406" s="23"/>
      <c r="O406" s="21"/>
      <c r="AD406" s="21"/>
    </row>
    <row r="407" spans="3:30" ht="15.75" customHeight="1">
      <c r="C407" s="22"/>
      <c r="D407" s="22"/>
      <c r="E407" s="22"/>
      <c r="F407" s="23"/>
      <c r="G407" s="23"/>
      <c r="H407" s="23"/>
      <c r="I407" s="23"/>
      <c r="J407" s="23"/>
      <c r="K407" s="23"/>
      <c r="L407" s="23"/>
      <c r="M407" s="23"/>
      <c r="O407" s="21"/>
      <c r="AD407" s="21"/>
    </row>
    <row r="408" spans="3:30" ht="15.75" customHeight="1">
      <c r="C408" s="22"/>
      <c r="D408" s="22"/>
      <c r="E408" s="22"/>
      <c r="F408" s="23"/>
      <c r="G408" s="23"/>
      <c r="H408" s="23"/>
      <c r="I408" s="23"/>
      <c r="J408" s="23"/>
      <c r="K408" s="23"/>
      <c r="L408" s="23"/>
      <c r="M408" s="23"/>
      <c r="O408" s="21"/>
      <c r="AD408" s="21"/>
    </row>
    <row r="409" spans="3:30" ht="15.75" customHeight="1">
      <c r="C409" s="22"/>
      <c r="D409" s="22"/>
      <c r="E409" s="22"/>
      <c r="F409" s="23"/>
      <c r="G409" s="23"/>
      <c r="H409" s="23"/>
      <c r="I409" s="23"/>
      <c r="J409" s="23"/>
      <c r="K409" s="23"/>
      <c r="L409" s="23"/>
      <c r="M409" s="23"/>
      <c r="O409" s="21"/>
      <c r="AD409" s="21"/>
    </row>
    <row r="410" spans="3:30" ht="15.75" customHeight="1">
      <c r="C410" s="22"/>
      <c r="D410" s="22"/>
      <c r="E410" s="22"/>
      <c r="F410" s="23"/>
      <c r="G410" s="23"/>
      <c r="H410" s="23"/>
      <c r="I410" s="23"/>
      <c r="J410" s="23"/>
      <c r="K410" s="23"/>
      <c r="L410" s="23"/>
      <c r="M410" s="23"/>
      <c r="O410" s="21"/>
      <c r="AD410" s="21"/>
    </row>
    <row r="411" spans="3:30" ht="15.75" customHeight="1">
      <c r="C411" s="22"/>
      <c r="D411" s="22"/>
      <c r="E411" s="22"/>
      <c r="F411" s="23"/>
      <c r="G411" s="23"/>
      <c r="H411" s="23"/>
      <c r="I411" s="23"/>
      <c r="J411" s="23"/>
      <c r="K411" s="23"/>
      <c r="L411" s="23"/>
      <c r="M411" s="23"/>
      <c r="O411" s="21"/>
      <c r="AD411" s="21"/>
    </row>
    <row r="412" spans="3:30" ht="15.75" customHeight="1">
      <c r="C412" s="22"/>
      <c r="D412" s="22"/>
      <c r="E412" s="22"/>
      <c r="F412" s="23"/>
      <c r="G412" s="23"/>
      <c r="H412" s="23"/>
      <c r="I412" s="23"/>
      <c r="J412" s="23"/>
      <c r="K412" s="23"/>
      <c r="L412" s="23"/>
      <c r="M412" s="23"/>
      <c r="O412" s="21"/>
      <c r="AD412" s="21"/>
    </row>
    <row r="413" spans="3:30" ht="15.75" customHeight="1">
      <c r="C413" s="22"/>
      <c r="D413" s="22"/>
      <c r="E413" s="22"/>
      <c r="F413" s="23"/>
      <c r="G413" s="23"/>
      <c r="H413" s="23"/>
      <c r="I413" s="23"/>
      <c r="J413" s="23"/>
      <c r="K413" s="23"/>
      <c r="L413" s="23"/>
      <c r="M413" s="23"/>
      <c r="O413" s="21"/>
      <c r="AD413" s="21"/>
    </row>
    <row r="414" spans="3:30" ht="15.75" customHeight="1">
      <c r="C414" s="22"/>
      <c r="D414" s="22"/>
      <c r="E414" s="22"/>
      <c r="F414" s="23"/>
      <c r="G414" s="23"/>
      <c r="H414" s="23"/>
      <c r="I414" s="23"/>
      <c r="J414" s="23"/>
      <c r="K414" s="23"/>
      <c r="L414" s="23"/>
      <c r="M414" s="23"/>
      <c r="O414" s="21"/>
      <c r="AD414" s="21"/>
    </row>
    <row r="415" spans="3:30" ht="15.75" customHeight="1">
      <c r="C415" s="22"/>
      <c r="D415" s="22"/>
      <c r="E415" s="22"/>
      <c r="F415" s="23"/>
      <c r="G415" s="23"/>
      <c r="H415" s="23"/>
      <c r="I415" s="23"/>
      <c r="J415" s="23"/>
      <c r="K415" s="23"/>
      <c r="L415" s="23"/>
      <c r="M415" s="23"/>
      <c r="O415" s="21"/>
      <c r="AD415" s="21"/>
    </row>
    <row r="416" spans="3:30" ht="15.75" customHeight="1">
      <c r="C416" s="22"/>
      <c r="D416" s="22"/>
      <c r="E416" s="22"/>
      <c r="F416" s="23"/>
      <c r="G416" s="23"/>
      <c r="H416" s="23"/>
      <c r="I416" s="23"/>
      <c r="J416" s="23"/>
      <c r="K416" s="23"/>
      <c r="L416" s="23"/>
      <c r="M416" s="23"/>
      <c r="O416" s="21"/>
      <c r="AD416" s="21"/>
    </row>
    <row r="417" spans="3:30" ht="15.75" customHeight="1">
      <c r="C417" s="22"/>
      <c r="D417" s="22"/>
      <c r="E417" s="22"/>
      <c r="F417" s="23"/>
      <c r="G417" s="23"/>
      <c r="H417" s="23"/>
      <c r="I417" s="23"/>
      <c r="J417" s="23"/>
      <c r="K417" s="23"/>
      <c r="L417" s="23"/>
      <c r="M417" s="23"/>
      <c r="O417" s="21"/>
      <c r="AD417" s="21"/>
    </row>
    <row r="418" spans="3:30" ht="15.75" customHeight="1">
      <c r="C418" s="22"/>
      <c r="D418" s="22"/>
      <c r="E418" s="22"/>
      <c r="F418" s="23"/>
      <c r="G418" s="23"/>
      <c r="H418" s="23"/>
      <c r="I418" s="23"/>
      <c r="J418" s="23"/>
      <c r="K418" s="23"/>
      <c r="L418" s="23"/>
      <c r="M418" s="23"/>
      <c r="O418" s="21"/>
      <c r="AD418" s="21"/>
    </row>
    <row r="419" spans="3:30" ht="15.75" customHeight="1">
      <c r="C419" s="22"/>
      <c r="D419" s="22"/>
      <c r="E419" s="22"/>
      <c r="F419" s="23"/>
      <c r="G419" s="23"/>
      <c r="H419" s="23"/>
      <c r="I419" s="23"/>
      <c r="J419" s="23"/>
      <c r="K419" s="23"/>
      <c r="L419" s="23"/>
      <c r="M419" s="23"/>
      <c r="O419" s="21"/>
      <c r="AD419" s="21"/>
    </row>
    <row r="420" spans="3:30" ht="15.75" customHeight="1">
      <c r="C420" s="22"/>
      <c r="D420" s="22"/>
      <c r="E420" s="22"/>
      <c r="F420" s="23"/>
      <c r="G420" s="23"/>
      <c r="H420" s="23"/>
      <c r="I420" s="23"/>
      <c r="J420" s="23"/>
      <c r="K420" s="23"/>
      <c r="L420" s="23"/>
      <c r="M420" s="23"/>
      <c r="O420" s="21"/>
      <c r="AD420" s="21"/>
    </row>
    <row r="421" spans="3:30" ht="15.75" customHeight="1">
      <c r="C421" s="22"/>
      <c r="D421" s="22"/>
      <c r="E421" s="22"/>
      <c r="F421" s="23"/>
      <c r="G421" s="23"/>
      <c r="H421" s="23"/>
      <c r="I421" s="23"/>
      <c r="J421" s="23"/>
      <c r="K421" s="23"/>
      <c r="L421" s="23"/>
      <c r="M421" s="23"/>
      <c r="O421" s="21"/>
      <c r="AD421" s="21"/>
    </row>
    <row r="422" spans="3:30" ht="15.75" customHeight="1">
      <c r="C422" s="22"/>
      <c r="D422" s="22"/>
      <c r="E422" s="22"/>
      <c r="F422" s="23"/>
      <c r="G422" s="23"/>
      <c r="H422" s="23"/>
      <c r="I422" s="23"/>
      <c r="J422" s="23"/>
      <c r="K422" s="23"/>
      <c r="L422" s="23"/>
      <c r="M422" s="23"/>
      <c r="O422" s="21"/>
      <c r="AD422" s="21"/>
    </row>
    <row r="423" spans="3:30" ht="15.75" customHeight="1">
      <c r="C423" s="22"/>
      <c r="D423" s="22"/>
      <c r="E423" s="22"/>
      <c r="F423" s="23"/>
      <c r="G423" s="23"/>
      <c r="H423" s="23"/>
      <c r="I423" s="23"/>
      <c r="J423" s="23"/>
      <c r="K423" s="23"/>
      <c r="L423" s="23"/>
      <c r="M423" s="23"/>
      <c r="O423" s="21"/>
      <c r="AD423" s="21"/>
    </row>
    <row r="424" spans="3:30" ht="15.75" customHeight="1">
      <c r="C424" s="22"/>
      <c r="D424" s="22"/>
      <c r="E424" s="22"/>
      <c r="F424" s="23"/>
      <c r="G424" s="23"/>
      <c r="H424" s="23"/>
      <c r="I424" s="23"/>
      <c r="J424" s="23"/>
      <c r="K424" s="23"/>
      <c r="L424" s="23"/>
      <c r="M424" s="23"/>
      <c r="O424" s="21"/>
      <c r="AD424" s="21"/>
    </row>
    <row r="425" spans="3:30" ht="15.75" customHeight="1">
      <c r="C425" s="22"/>
      <c r="D425" s="22"/>
      <c r="E425" s="22"/>
      <c r="F425" s="23"/>
      <c r="G425" s="23"/>
      <c r="H425" s="23"/>
      <c r="I425" s="23"/>
      <c r="J425" s="23"/>
      <c r="K425" s="23"/>
      <c r="L425" s="23"/>
      <c r="M425" s="23"/>
      <c r="O425" s="21"/>
      <c r="AD425" s="21"/>
    </row>
    <row r="426" spans="3:30" ht="15.75" customHeight="1">
      <c r="C426" s="22"/>
      <c r="D426" s="22"/>
      <c r="E426" s="22"/>
      <c r="F426" s="23"/>
      <c r="G426" s="23"/>
      <c r="H426" s="23"/>
      <c r="I426" s="23"/>
      <c r="J426" s="23"/>
      <c r="K426" s="23"/>
      <c r="L426" s="23"/>
      <c r="M426" s="23"/>
      <c r="O426" s="21"/>
      <c r="AD426" s="21"/>
    </row>
    <row r="427" spans="3:30" ht="15.75" customHeight="1">
      <c r="C427" s="22"/>
      <c r="D427" s="22"/>
      <c r="E427" s="22"/>
      <c r="F427" s="23"/>
      <c r="G427" s="23"/>
      <c r="H427" s="23"/>
      <c r="I427" s="23"/>
      <c r="J427" s="23"/>
      <c r="K427" s="23"/>
      <c r="L427" s="23"/>
      <c r="M427" s="23"/>
      <c r="O427" s="21"/>
      <c r="AD427" s="21"/>
    </row>
    <row r="428" spans="3:30" ht="15.75" customHeight="1">
      <c r="C428" s="22"/>
      <c r="D428" s="22"/>
      <c r="E428" s="22"/>
      <c r="F428" s="23"/>
      <c r="G428" s="23"/>
      <c r="H428" s="23"/>
      <c r="I428" s="23"/>
      <c r="J428" s="23"/>
      <c r="K428" s="23"/>
      <c r="L428" s="23"/>
      <c r="M428" s="23"/>
      <c r="O428" s="21"/>
      <c r="AD428" s="21"/>
    </row>
    <row r="429" spans="3:30" ht="15.75" customHeight="1">
      <c r="C429" s="22"/>
      <c r="D429" s="22"/>
      <c r="E429" s="22"/>
      <c r="F429" s="23"/>
      <c r="G429" s="23"/>
      <c r="H429" s="23"/>
      <c r="I429" s="23"/>
      <c r="J429" s="23"/>
      <c r="K429" s="23"/>
      <c r="L429" s="23"/>
      <c r="M429" s="23"/>
      <c r="O429" s="21"/>
      <c r="AD429" s="21"/>
    </row>
    <row r="430" spans="3:30" ht="15.75" customHeight="1">
      <c r="C430" s="22"/>
      <c r="D430" s="22"/>
      <c r="E430" s="22"/>
      <c r="F430" s="23"/>
      <c r="G430" s="23"/>
      <c r="H430" s="23"/>
      <c r="I430" s="23"/>
      <c r="J430" s="23"/>
      <c r="K430" s="23"/>
      <c r="L430" s="23"/>
      <c r="M430" s="23"/>
      <c r="O430" s="21"/>
      <c r="AD430" s="21"/>
    </row>
    <row r="431" spans="3:30" ht="15.75" customHeight="1">
      <c r="C431" s="22"/>
      <c r="D431" s="22"/>
      <c r="E431" s="22"/>
      <c r="F431" s="23"/>
      <c r="G431" s="23"/>
      <c r="H431" s="23"/>
      <c r="I431" s="23"/>
      <c r="J431" s="23"/>
      <c r="K431" s="23"/>
      <c r="L431" s="23"/>
      <c r="M431" s="23"/>
      <c r="O431" s="21"/>
      <c r="AD431" s="21"/>
    </row>
    <row r="432" spans="3:30" ht="15.75" customHeight="1">
      <c r="C432" s="22"/>
      <c r="D432" s="22"/>
      <c r="E432" s="22"/>
      <c r="F432" s="23"/>
      <c r="G432" s="23"/>
      <c r="H432" s="23"/>
      <c r="I432" s="23"/>
      <c r="J432" s="23"/>
      <c r="K432" s="23"/>
      <c r="L432" s="23"/>
      <c r="M432" s="23"/>
      <c r="O432" s="21"/>
      <c r="AD432" s="21"/>
    </row>
    <row r="433" spans="3:30" ht="15.75" customHeight="1">
      <c r="C433" s="22"/>
      <c r="D433" s="22"/>
      <c r="E433" s="22"/>
      <c r="F433" s="23"/>
      <c r="G433" s="23"/>
      <c r="H433" s="23"/>
      <c r="I433" s="23"/>
      <c r="J433" s="23"/>
      <c r="K433" s="23"/>
      <c r="L433" s="23"/>
      <c r="M433" s="23"/>
      <c r="O433" s="21"/>
      <c r="AD433" s="21"/>
    </row>
    <row r="434" spans="3:30" ht="15.75" customHeight="1">
      <c r="C434" s="22"/>
      <c r="D434" s="22"/>
      <c r="E434" s="22"/>
      <c r="F434" s="23"/>
      <c r="G434" s="23"/>
      <c r="H434" s="23"/>
      <c r="I434" s="23"/>
      <c r="J434" s="23"/>
      <c r="K434" s="23"/>
      <c r="L434" s="23"/>
      <c r="M434" s="23"/>
      <c r="O434" s="21"/>
      <c r="AD434" s="21"/>
    </row>
    <row r="435" spans="3:30" ht="15.75" customHeight="1">
      <c r="C435" s="22"/>
      <c r="D435" s="22"/>
      <c r="E435" s="22"/>
      <c r="F435" s="23"/>
      <c r="G435" s="23"/>
      <c r="H435" s="23"/>
      <c r="I435" s="23"/>
      <c r="J435" s="23"/>
      <c r="K435" s="23"/>
      <c r="L435" s="23"/>
      <c r="M435" s="23"/>
      <c r="O435" s="21"/>
      <c r="AD435" s="21"/>
    </row>
    <row r="436" spans="3:30" ht="15.75" customHeight="1">
      <c r="C436" s="22"/>
      <c r="D436" s="22"/>
      <c r="E436" s="22"/>
      <c r="F436" s="23"/>
      <c r="G436" s="23"/>
      <c r="H436" s="23"/>
      <c r="I436" s="23"/>
      <c r="J436" s="23"/>
      <c r="K436" s="23"/>
      <c r="L436" s="23"/>
      <c r="M436" s="23"/>
      <c r="O436" s="21"/>
      <c r="AD436" s="21"/>
    </row>
    <row r="437" spans="3:30" ht="15.75" customHeight="1">
      <c r="C437" s="22"/>
      <c r="D437" s="22"/>
      <c r="E437" s="22"/>
      <c r="F437" s="23"/>
      <c r="G437" s="23"/>
      <c r="H437" s="23"/>
      <c r="I437" s="23"/>
      <c r="J437" s="23"/>
      <c r="K437" s="23"/>
      <c r="L437" s="23"/>
      <c r="M437" s="23"/>
      <c r="O437" s="21"/>
      <c r="AD437" s="21"/>
    </row>
    <row r="438" spans="3:30" ht="15.75" customHeight="1">
      <c r="C438" s="22"/>
      <c r="D438" s="22"/>
      <c r="E438" s="22"/>
      <c r="F438" s="23"/>
      <c r="G438" s="23"/>
      <c r="H438" s="23"/>
      <c r="I438" s="23"/>
      <c r="J438" s="23"/>
      <c r="K438" s="23"/>
      <c r="L438" s="23"/>
      <c r="M438" s="23"/>
      <c r="O438" s="21"/>
      <c r="AD438" s="21"/>
    </row>
    <row r="439" spans="3:30" ht="15.75" customHeight="1">
      <c r="C439" s="22"/>
      <c r="D439" s="22"/>
      <c r="E439" s="22"/>
      <c r="F439" s="23"/>
      <c r="G439" s="23"/>
      <c r="H439" s="23"/>
      <c r="I439" s="23"/>
      <c r="J439" s="23"/>
      <c r="K439" s="23"/>
      <c r="L439" s="23"/>
      <c r="M439" s="23"/>
      <c r="O439" s="21"/>
      <c r="AD439" s="21"/>
    </row>
    <row r="440" spans="3:30" ht="15.75" customHeight="1">
      <c r="C440" s="22"/>
      <c r="D440" s="22"/>
      <c r="E440" s="22"/>
      <c r="F440" s="23"/>
      <c r="G440" s="23"/>
      <c r="H440" s="23"/>
      <c r="I440" s="23"/>
      <c r="J440" s="23"/>
      <c r="K440" s="23"/>
      <c r="L440" s="23"/>
      <c r="M440" s="23"/>
      <c r="O440" s="21"/>
      <c r="AD440" s="21"/>
    </row>
    <row r="441" spans="3:30" ht="15.75" customHeight="1">
      <c r="C441" s="22"/>
      <c r="D441" s="22"/>
      <c r="E441" s="22"/>
      <c r="F441" s="23"/>
      <c r="G441" s="23"/>
      <c r="H441" s="23"/>
      <c r="I441" s="23"/>
      <c r="J441" s="23"/>
      <c r="K441" s="23"/>
      <c r="L441" s="23"/>
      <c r="M441" s="23"/>
      <c r="O441" s="21"/>
      <c r="AD441" s="21"/>
    </row>
    <row r="442" spans="3:30" ht="15.75" customHeight="1">
      <c r="C442" s="22"/>
      <c r="D442" s="22"/>
      <c r="E442" s="22"/>
      <c r="F442" s="23"/>
      <c r="G442" s="23"/>
      <c r="H442" s="23"/>
      <c r="I442" s="23"/>
      <c r="J442" s="23"/>
      <c r="K442" s="23"/>
      <c r="L442" s="23"/>
      <c r="M442" s="23"/>
      <c r="O442" s="21"/>
      <c r="AD442" s="21"/>
    </row>
    <row r="443" spans="3:30" ht="15.75" customHeight="1">
      <c r="C443" s="22"/>
      <c r="D443" s="22"/>
      <c r="E443" s="22"/>
      <c r="F443" s="23"/>
      <c r="G443" s="23"/>
      <c r="H443" s="23"/>
      <c r="I443" s="23"/>
      <c r="J443" s="23"/>
      <c r="K443" s="23"/>
      <c r="L443" s="23"/>
      <c r="M443" s="23"/>
      <c r="O443" s="21"/>
      <c r="AD443" s="21"/>
    </row>
    <row r="444" spans="3:30" ht="15.75" customHeight="1">
      <c r="C444" s="22"/>
      <c r="D444" s="22"/>
      <c r="E444" s="22"/>
      <c r="F444" s="23"/>
      <c r="G444" s="23"/>
      <c r="H444" s="23"/>
      <c r="I444" s="23"/>
      <c r="J444" s="23"/>
      <c r="K444" s="23"/>
      <c r="L444" s="23"/>
      <c r="M444" s="23"/>
      <c r="O444" s="21"/>
      <c r="AD444" s="21"/>
    </row>
    <row r="445" spans="3:30" ht="15.75" customHeight="1">
      <c r="C445" s="22"/>
      <c r="D445" s="22"/>
      <c r="E445" s="22"/>
      <c r="F445" s="23"/>
      <c r="G445" s="23"/>
      <c r="H445" s="23"/>
      <c r="I445" s="23"/>
      <c r="J445" s="23"/>
      <c r="K445" s="23"/>
      <c r="L445" s="23"/>
      <c r="M445" s="23"/>
      <c r="O445" s="21"/>
      <c r="AD445" s="21"/>
    </row>
    <row r="446" spans="3:30" ht="15.75" customHeight="1">
      <c r="C446" s="22"/>
      <c r="D446" s="22"/>
      <c r="E446" s="22"/>
      <c r="F446" s="23"/>
      <c r="G446" s="23"/>
      <c r="H446" s="23"/>
      <c r="I446" s="23"/>
      <c r="J446" s="23"/>
      <c r="K446" s="23"/>
      <c r="L446" s="23"/>
      <c r="M446" s="23"/>
      <c r="O446" s="21"/>
      <c r="AD446" s="21"/>
    </row>
    <row r="447" spans="3:30" ht="15.75" customHeight="1">
      <c r="C447" s="22"/>
      <c r="D447" s="22"/>
      <c r="E447" s="22"/>
      <c r="F447" s="23"/>
      <c r="G447" s="23"/>
      <c r="H447" s="23"/>
      <c r="I447" s="23"/>
      <c r="J447" s="23"/>
      <c r="K447" s="23"/>
      <c r="L447" s="23"/>
      <c r="M447" s="23"/>
      <c r="O447" s="21"/>
      <c r="AD447" s="21"/>
    </row>
    <row r="448" spans="3:30" ht="15.75" customHeight="1">
      <c r="C448" s="22"/>
      <c r="D448" s="22"/>
      <c r="E448" s="22"/>
      <c r="F448" s="23"/>
      <c r="G448" s="23"/>
      <c r="H448" s="23"/>
      <c r="I448" s="23"/>
      <c r="J448" s="23"/>
      <c r="K448" s="23"/>
      <c r="L448" s="23"/>
      <c r="M448" s="23"/>
      <c r="O448" s="21"/>
      <c r="AD448" s="21"/>
    </row>
    <row r="449" spans="3:30" ht="15.75" customHeight="1">
      <c r="C449" s="22"/>
      <c r="D449" s="22"/>
      <c r="E449" s="22"/>
      <c r="F449" s="23"/>
      <c r="G449" s="23"/>
      <c r="H449" s="23"/>
      <c r="I449" s="23"/>
      <c r="J449" s="23"/>
      <c r="K449" s="23"/>
      <c r="L449" s="23"/>
      <c r="M449" s="23"/>
      <c r="O449" s="21"/>
      <c r="AD449" s="21"/>
    </row>
    <row r="450" spans="3:30" ht="15.75" customHeight="1">
      <c r="C450" s="22"/>
      <c r="D450" s="22"/>
      <c r="E450" s="22"/>
      <c r="F450" s="23"/>
      <c r="G450" s="23"/>
      <c r="H450" s="23"/>
      <c r="I450" s="23"/>
      <c r="J450" s="23"/>
      <c r="K450" s="23"/>
      <c r="L450" s="23"/>
      <c r="M450" s="23"/>
      <c r="O450" s="21"/>
      <c r="AD450" s="21"/>
    </row>
    <row r="451" spans="3:30" ht="15.75" customHeight="1">
      <c r="C451" s="22"/>
      <c r="D451" s="22"/>
      <c r="E451" s="22"/>
      <c r="F451" s="23"/>
      <c r="G451" s="23"/>
      <c r="H451" s="23"/>
      <c r="I451" s="23"/>
      <c r="J451" s="23"/>
      <c r="K451" s="23"/>
      <c r="L451" s="23"/>
      <c r="M451" s="23"/>
      <c r="O451" s="21"/>
      <c r="AD451" s="21"/>
    </row>
    <row r="452" spans="3:30" ht="15.75" customHeight="1">
      <c r="C452" s="22"/>
      <c r="D452" s="22"/>
      <c r="E452" s="22"/>
      <c r="F452" s="23"/>
      <c r="G452" s="23"/>
      <c r="H452" s="23"/>
      <c r="I452" s="23"/>
      <c r="J452" s="23"/>
      <c r="K452" s="23"/>
      <c r="L452" s="23"/>
      <c r="M452" s="23"/>
      <c r="O452" s="21"/>
      <c r="AD452" s="21"/>
    </row>
    <row r="453" spans="3:30" ht="15.75" customHeight="1">
      <c r="C453" s="22"/>
      <c r="D453" s="22"/>
      <c r="E453" s="22"/>
      <c r="F453" s="23"/>
      <c r="G453" s="23"/>
      <c r="H453" s="23"/>
      <c r="I453" s="23"/>
      <c r="J453" s="23"/>
      <c r="K453" s="23"/>
      <c r="L453" s="23"/>
      <c r="M453" s="23"/>
      <c r="O453" s="21"/>
      <c r="AD453" s="21"/>
    </row>
    <row r="454" spans="3:30" ht="15.75" customHeight="1">
      <c r="C454" s="22"/>
      <c r="D454" s="22"/>
      <c r="E454" s="22"/>
      <c r="F454" s="23"/>
      <c r="G454" s="23"/>
      <c r="H454" s="23"/>
      <c r="I454" s="23"/>
      <c r="J454" s="23"/>
      <c r="K454" s="23"/>
      <c r="L454" s="23"/>
      <c r="M454" s="23"/>
      <c r="O454" s="21"/>
      <c r="AD454" s="21"/>
    </row>
    <row r="455" spans="3:30" ht="15.75" customHeight="1">
      <c r="C455" s="22"/>
      <c r="D455" s="22"/>
      <c r="E455" s="22"/>
      <c r="F455" s="23"/>
      <c r="G455" s="23"/>
      <c r="H455" s="23"/>
      <c r="I455" s="23"/>
      <c r="J455" s="23"/>
      <c r="K455" s="23"/>
      <c r="L455" s="23"/>
      <c r="M455" s="23"/>
      <c r="O455" s="21"/>
      <c r="AD455" s="21"/>
    </row>
    <row r="456" spans="3:30" ht="15.75" customHeight="1">
      <c r="C456" s="22"/>
      <c r="D456" s="22"/>
      <c r="E456" s="22"/>
      <c r="F456" s="23"/>
      <c r="G456" s="23"/>
      <c r="H456" s="23"/>
      <c r="I456" s="23"/>
      <c r="J456" s="23"/>
      <c r="K456" s="23"/>
      <c r="L456" s="23"/>
      <c r="M456" s="23"/>
      <c r="O456" s="21"/>
      <c r="AD456" s="21"/>
    </row>
    <row r="457" spans="3:30" ht="15.75" customHeight="1">
      <c r="C457" s="22"/>
      <c r="D457" s="22"/>
      <c r="E457" s="22"/>
      <c r="F457" s="23"/>
      <c r="G457" s="23"/>
      <c r="H457" s="23"/>
      <c r="I457" s="23"/>
      <c r="J457" s="23"/>
      <c r="K457" s="23"/>
      <c r="L457" s="23"/>
      <c r="M457" s="23"/>
      <c r="O457" s="21"/>
      <c r="AD457" s="21"/>
    </row>
    <row r="458" spans="3:30" ht="15.75" customHeight="1">
      <c r="C458" s="22"/>
      <c r="D458" s="22"/>
      <c r="E458" s="22"/>
      <c r="F458" s="23"/>
      <c r="G458" s="23"/>
      <c r="H458" s="23"/>
      <c r="I458" s="23"/>
      <c r="J458" s="23"/>
      <c r="K458" s="23"/>
      <c r="L458" s="23"/>
      <c r="M458" s="23"/>
      <c r="O458" s="21"/>
      <c r="AD458" s="21"/>
    </row>
    <row r="459" spans="3:30" ht="15.75" customHeight="1">
      <c r="C459" s="22"/>
      <c r="D459" s="22"/>
      <c r="E459" s="22"/>
      <c r="F459" s="23"/>
      <c r="G459" s="23"/>
      <c r="H459" s="23"/>
      <c r="I459" s="23"/>
      <c r="J459" s="23"/>
      <c r="K459" s="23"/>
      <c r="L459" s="23"/>
      <c r="M459" s="23"/>
      <c r="O459" s="21"/>
      <c r="AD459" s="21"/>
    </row>
    <row r="460" spans="3:30" ht="15.75" customHeight="1">
      <c r="C460" s="22"/>
      <c r="D460" s="22"/>
      <c r="E460" s="22"/>
      <c r="F460" s="23"/>
      <c r="G460" s="23"/>
      <c r="H460" s="23"/>
      <c r="I460" s="23"/>
      <c r="J460" s="23"/>
      <c r="K460" s="23"/>
      <c r="L460" s="23"/>
      <c r="M460" s="23"/>
      <c r="O460" s="21"/>
      <c r="AD460" s="21"/>
    </row>
    <row r="461" spans="3:30" ht="15.75" customHeight="1">
      <c r="C461" s="22"/>
      <c r="D461" s="22"/>
      <c r="E461" s="22"/>
      <c r="F461" s="23"/>
      <c r="G461" s="23"/>
      <c r="H461" s="23"/>
      <c r="I461" s="23"/>
      <c r="J461" s="23"/>
      <c r="K461" s="23"/>
      <c r="L461" s="23"/>
      <c r="M461" s="23"/>
      <c r="O461" s="21"/>
      <c r="AD461" s="21"/>
    </row>
    <row r="462" spans="3:30" ht="15.75" customHeight="1">
      <c r="C462" s="22"/>
      <c r="D462" s="22"/>
      <c r="E462" s="22"/>
      <c r="F462" s="23"/>
      <c r="G462" s="23"/>
      <c r="H462" s="23"/>
      <c r="I462" s="23"/>
      <c r="J462" s="23"/>
      <c r="K462" s="23"/>
      <c r="L462" s="23"/>
      <c r="M462" s="23"/>
      <c r="O462" s="21"/>
      <c r="AD462" s="21"/>
    </row>
    <row r="463" spans="3:30" ht="15.75" customHeight="1">
      <c r="C463" s="22"/>
      <c r="D463" s="22"/>
      <c r="E463" s="22"/>
      <c r="F463" s="23"/>
      <c r="G463" s="23"/>
      <c r="H463" s="23"/>
      <c r="I463" s="23"/>
      <c r="J463" s="23"/>
      <c r="K463" s="23"/>
      <c r="L463" s="23"/>
      <c r="M463" s="23"/>
      <c r="O463" s="21"/>
      <c r="AD463" s="21"/>
    </row>
    <row r="464" spans="3:30" ht="15.75" customHeight="1">
      <c r="C464" s="22"/>
      <c r="D464" s="22"/>
      <c r="E464" s="22"/>
      <c r="F464" s="23"/>
      <c r="G464" s="23"/>
      <c r="H464" s="23"/>
      <c r="I464" s="23"/>
      <c r="J464" s="23"/>
      <c r="K464" s="23"/>
      <c r="L464" s="23"/>
      <c r="M464" s="23"/>
      <c r="O464" s="21"/>
      <c r="AD464" s="21"/>
    </row>
    <row r="465" spans="3:30" ht="15.75" customHeight="1">
      <c r="C465" s="22"/>
      <c r="D465" s="22"/>
      <c r="E465" s="22"/>
      <c r="F465" s="23"/>
      <c r="G465" s="23"/>
      <c r="H465" s="23"/>
      <c r="I465" s="23"/>
      <c r="J465" s="23"/>
      <c r="K465" s="23"/>
      <c r="L465" s="23"/>
      <c r="M465" s="23"/>
      <c r="O465" s="21"/>
      <c r="AD465" s="21"/>
    </row>
    <row r="466" spans="3:30" ht="15.75" customHeight="1">
      <c r="C466" s="22"/>
      <c r="D466" s="22"/>
      <c r="E466" s="22"/>
      <c r="F466" s="23"/>
      <c r="G466" s="23"/>
      <c r="H466" s="23"/>
      <c r="I466" s="23"/>
      <c r="J466" s="23"/>
      <c r="K466" s="23"/>
      <c r="L466" s="23"/>
      <c r="M466" s="23"/>
      <c r="O466" s="21"/>
      <c r="AD466" s="21"/>
    </row>
    <row r="467" spans="3:30" ht="15.75" customHeight="1">
      <c r="C467" s="22"/>
      <c r="D467" s="22"/>
      <c r="E467" s="22"/>
      <c r="F467" s="23"/>
      <c r="G467" s="23"/>
      <c r="H467" s="23"/>
      <c r="I467" s="23"/>
      <c r="J467" s="23"/>
      <c r="K467" s="23"/>
      <c r="L467" s="23"/>
      <c r="M467" s="23"/>
      <c r="O467" s="21"/>
      <c r="AD467" s="21"/>
    </row>
    <row r="468" spans="3:30" ht="15.75" customHeight="1">
      <c r="C468" s="22"/>
      <c r="D468" s="22"/>
      <c r="E468" s="22"/>
      <c r="F468" s="23"/>
      <c r="G468" s="23"/>
      <c r="H468" s="23"/>
      <c r="I468" s="23"/>
      <c r="J468" s="23"/>
      <c r="K468" s="23"/>
      <c r="L468" s="23"/>
      <c r="M468" s="23"/>
      <c r="O468" s="21"/>
      <c r="AD468" s="21"/>
    </row>
    <row r="469" spans="3:30" ht="15.75" customHeight="1">
      <c r="C469" s="22"/>
      <c r="D469" s="22"/>
      <c r="E469" s="22"/>
      <c r="F469" s="23"/>
      <c r="G469" s="23"/>
      <c r="H469" s="23"/>
      <c r="I469" s="23"/>
      <c r="J469" s="23"/>
      <c r="K469" s="23"/>
      <c r="L469" s="23"/>
      <c r="M469" s="23"/>
      <c r="O469" s="21"/>
      <c r="AD469" s="21"/>
    </row>
    <row r="470" spans="3:30" ht="15.75" customHeight="1">
      <c r="C470" s="22"/>
      <c r="D470" s="22"/>
      <c r="E470" s="22"/>
      <c r="F470" s="23"/>
      <c r="G470" s="23"/>
      <c r="H470" s="23"/>
      <c r="I470" s="23"/>
      <c r="J470" s="23"/>
      <c r="K470" s="23"/>
      <c r="L470" s="23"/>
      <c r="M470" s="23"/>
      <c r="O470" s="21"/>
      <c r="AD470" s="21"/>
    </row>
    <row r="471" spans="3:30" ht="15.75" customHeight="1">
      <c r="C471" s="22"/>
      <c r="D471" s="22"/>
      <c r="E471" s="22"/>
      <c r="F471" s="23"/>
      <c r="G471" s="23"/>
      <c r="H471" s="23"/>
      <c r="I471" s="23"/>
      <c r="J471" s="23"/>
      <c r="K471" s="23"/>
      <c r="L471" s="23"/>
      <c r="M471" s="23"/>
      <c r="O471" s="21"/>
      <c r="AD471" s="21"/>
    </row>
    <row r="472" spans="3:30" ht="15.75" customHeight="1">
      <c r="C472" s="22"/>
      <c r="D472" s="22"/>
      <c r="E472" s="22"/>
      <c r="F472" s="23"/>
      <c r="G472" s="23"/>
      <c r="H472" s="23"/>
      <c r="I472" s="23"/>
      <c r="J472" s="23"/>
      <c r="K472" s="23"/>
      <c r="L472" s="23"/>
      <c r="M472" s="23"/>
      <c r="O472" s="21"/>
      <c r="AD472" s="21"/>
    </row>
    <row r="473" spans="3:30" ht="15.75" customHeight="1">
      <c r="C473" s="22"/>
      <c r="D473" s="22"/>
      <c r="E473" s="22"/>
      <c r="F473" s="23"/>
      <c r="G473" s="23"/>
      <c r="H473" s="23"/>
      <c r="I473" s="23"/>
      <c r="J473" s="23"/>
      <c r="K473" s="23"/>
      <c r="L473" s="23"/>
      <c r="M473" s="23"/>
      <c r="O473" s="21"/>
      <c r="AD473" s="21"/>
    </row>
    <row r="474" spans="3:30" ht="15.75" customHeight="1">
      <c r="C474" s="22"/>
      <c r="D474" s="22"/>
      <c r="E474" s="22"/>
      <c r="F474" s="23"/>
      <c r="G474" s="23"/>
      <c r="H474" s="23"/>
      <c r="I474" s="23"/>
      <c r="J474" s="23"/>
      <c r="K474" s="23"/>
      <c r="L474" s="23"/>
      <c r="M474" s="23"/>
      <c r="O474" s="21"/>
      <c r="AD474" s="21"/>
    </row>
    <row r="475" spans="3:30" ht="15.75" customHeight="1">
      <c r="C475" s="22"/>
      <c r="D475" s="22"/>
      <c r="E475" s="22"/>
      <c r="F475" s="23"/>
      <c r="G475" s="23"/>
      <c r="H475" s="23"/>
      <c r="I475" s="23"/>
      <c r="J475" s="23"/>
      <c r="K475" s="23"/>
      <c r="L475" s="23"/>
      <c r="M475" s="23"/>
      <c r="O475" s="21"/>
      <c r="AD475" s="21"/>
    </row>
    <row r="476" spans="3:30" ht="15.75" customHeight="1">
      <c r="C476" s="22"/>
      <c r="D476" s="22"/>
      <c r="E476" s="22"/>
      <c r="F476" s="23"/>
      <c r="G476" s="23"/>
      <c r="H476" s="23"/>
      <c r="I476" s="23"/>
      <c r="J476" s="23"/>
      <c r="K476" s="23"/>
      <c r="L476" s="23"/>
      <c r="M476" s="23"/>
      <c r="O476" s="21"/>
      <c r="AD476" s="21"/>
    </row>
    <row r="477" spans="3:30" ht="15.75" customHeight="1">
      <c r="C477" s="22"/>
      <c r="D477" s="22"/>
      <c r="E477" s="22"/>
      <c r="F477" s="23"/>
      <c r="G477" s="23"/>
      <c r="H477" s="23"/>
      <c r="I477" s="23"/>
      <c r="J477" s="23"/>
      <c r="K477" s="23"/>
      <c r="L477" s="23"/>
      <c r="M477" s="23"/>
      <c r="O477" s="21"/>
      <c r="AD477" s="21"/>
    </row>
    <row r="478" spans="3:30" ht="15.75" customHeight="1">
      <c r="C478" s="22"/>
      <c r="D478" s="22"/>
      <c r="E478" s="22"/>
      <c r="F478" s="23"/>
      <c r="G478" s="23"/>
      <c r="H478" s="23"/>
      <c r="I478" s="23"/>
      <c r="J478" s="23"/>
      <c r="K478" s="23"/>
      <c r="L478" s="23"/>
      <c r="M478" s="23"/>
      <c r="O478" s="21"/>
      <c r="AD478" s="21"/>
    </row>
    <row r="479" spans="3:30" ht="15.75" customHeight="1">
      <c r="C479" s="22"/>
      <c r="D479" s="22"/>
      <c r="E479" s="22"/>
      <c r="F479" s="23"/>
      <c r="G479" s="23"/>
      <c r="H479" s="23"/>
      <c r="I479" s="23"/>
      <c r="J479" s="23"/>
      <c r="K479" s="23"/>
      <c r="L479" s="23"/>
      <c r="M479" s="23"/>
      <c r="O479" s="21"/>
      <c r="AD479" s="21"/>
    </row>
    <row r="480" spans="3:30" ht="15.75" customHeight="1">
      <c r="C480" s="22"/>
      <c r="D480" s="22"/>
      <c r="E480" s="22"/>
      <c r="F480" s="23"/>
      <c r="G480" s="23"/>
      <c r="H480" s="23"/>
      <c r="I480" s="23"/>
      <c r="J480" s="23"/>
      <c r="K480" s="23"/>
      <c r="L480" s="23"/>
      <c r="M480" s="23"/>
      <c r="O480" s="21"/>
      <c r="AD480" s="21"/>
    </row>
    <row r="481" spans="3:30" ht="15.75" customHeight="1">
      <c r="C481" s="22"/>
      <c r="D481" s="22"/>
      <c r="E481" s="22"/>
      <c r="F481" s="23"/>
      <c r="G481" s="23"/>
      <c r="H481" s="23"/>
      <c r="I481" s="23"/>
      <c r="J481" s="23"/>
      <c r="K481" s="23"/>
      <c r="L481" s="23"/>
      <c r="M481" s="23"/>
      <c r="O481" s="21"/>
      <c r="AD481" s="21"/>
    </row>
    <row r="482" spans="3:30" ht="15.75" customHeight="1">
      <c r="C482" s="22"/>
      <c r="D482" s="22"/>
      <c r="E482" s="22"/>
      <c r="F482" s="23"/>
      <c r="G482" s="23"/>
      <c r="H482" s="23"/>
      <c r="I482" s="23"/>
      <c r="J482" s="23"/>
      <c r="K482" s="23"/>
      <c r="L482" s="23"/>
      <c r="M482" s="23"/>
      <c r="O482" s="21"/>
      <c r="AD482" s="21"/>
    </row>
    <row r="483" spans="3:30" ht="15.75" customHeight="1">
      <c r="C483" s="22"/>
      <c r="D483" s="22"/>
      <c r="E483" s="22"/>
      <c r="F483" s="23"/>
      <c r="G483" s="23"/>
      <c r="H483" s="23"/>
      <c r="I483" s="23"/>
      <c r="J483" s="23"/>
      <c r="K483" s="23"/>
      <c r="L483" s="23"/>
      <c r="M483" s="23"/>
      <c r="O483" s="21"/>
      <c r="AD483" s="21"/>
    </row>
    <row r="484" spans="3:30" ht="15.75" customHeight="1">
      <c r="C484" s="22"/>
      <c r="D484" s="22"/>
      <c r="E484" s="22"/>
      <c r="F484" s="23"/>
      <c r="G484" s="23"/>
      <c r="H484" s="23"/>
      <c r="I484" s="23"/>
      <c r="J484" s="23"/>
      <c r="K484" s="23"/>
      <c r="L484" s="23"/>
      <c r="M484" s="23"/>
      <c r="O484" s="21"/>
      <c r="AD484" s="21"/>
    </row>
    <row r="485" spans="3:30" ht="15.75" customHeight="1">
      <c r="C485" s="22"/>
      <c r="D485" s="22"/>
      <c r="E485" s="22"/>
      <c r="F485" s="23"/>
      <c r="G485" s="23"/>
      <c r="H485" s="23"/>
      <c r="I485" s="23"/>
      <c r="J485" s="23"/>
      <c r="K485" s="23"/>
      <c r="L485" s="23"/>
      <c r="M485" s="23"/>
      <c r="O485" s="21"/>
      <c r="AD485" s="21"/>
    </row>
    <row r="486" spans="3:30" ht="15.75" customHeight="1">
      <c r="C486" s="22"/>
      <c r="D486" s="22"/>
      <c r="E486" s="22"/>
      <c r="F486" s="23"/>
      <c r="G486" s="23"/>
      <c r="H486" s="23"/>
      <c r="I486" s="23"/>
      <c r="J486" s="23"/>
      <c r="K486" s="23"/>
      <c r="L486" s="23"/>
      <c r="M486" s="23"/>
      <c r="O486" s="21"/>
      <c r="AD486" s="21"/>
    </row>
    <row r="487" spans="3:30" ht="15.75" customHeight="1">
      <c r="C487" s="22"/>
      <c r="D487" s="22"/>
      <c r="E487" s="22"/>
      <c r="F487" s="23"/>
      <c r="G487" s="23"/>
      <c r="H487" s="23"/>
      <c r="I487" s="23"/>
      <c r="J487" s="23"/>
      <c r="K487" s="23"/>
      <c r="L487" s="23"/>
      <c r="M487" s="23"/>
      <c r="O487" s="21"/>
      <c r="AD487" s="21"/>
    </row>
    <row r="488" spans="3:30" ht="15.75" customHeight="1">
      <c r="C488" s="22"/>
      <c r="D488" s="22"/>
      <c r="E488" s="22"/>
      <c r="F488" s="23"/>
      <c r="G488" s="23"/>
      <c r="H488" s="23"/>
      <c r="I488" s="23"/>
      <c r="J488" s="23"/>
      <c r="K488" s="23"/>
      <c r="L488" s="23"/>
      <c r="M488" s="23"/>
      <c r="O488" s="21"/>
      <c r="AD488" s="21"/>
    </row>
    <row r="489" spans="3:30" ht="15.75" customHeight="1">
      <c r="C489" s="22"/>
      <c r="D489" s="22"/>
      <c r="E489" s="22"/>
      <c r="F489" s="23"/>
      <c r="G489" s="23"/>
      <c r="H489" s="23"/>
      <c r="I489" s="23"/>
      <c r="J489" s="23"/>
      <c r="K489" s="23"/>
      <c r="L489" s="23"/>
      <c r="M489" s="23"/>
      <c r="O489" s="21"/>
      <c r="AD489" s="21"/>
    </row>
    <row r="490" spans="3:30" ht="15.75" customHeight="1">
      <c r="C490" s="22"/>
      <c r="D490" s="22"/>
      <c r="E490" s="22"/>
      <c r="F490" s="23"/>
      <c r="G490" s="23"/>
      <c r="H490" s="23"/>
      <c r="I490" s="23"/>
      <c r="J490" s="23"/>
      <c r="K490" s="23"/>
      <c r="L490" s="23"/>
      <c r="M490" s="23"/>
      <c r="O490" s="21"/>
      <c r="AD490" s="21"/>
    </row>
    <row r="491" spans="3:30" ht="15.75" customHeight="1">
      <c r="C491" s="22"/>
      <c r="D491" s="22"/>
      <c r="E491" s="22"/>
      <c r="F491" s="23"/>
      <c r="G491" s="23"/>
      <c r="H491" s="23"/>
      <c r="I491" s="23"/>
      <c r="J491" s="23"/>
      <c r="K491" s="23"/>
      <c r="L491" s="23"/>
      <c r="M491" s="23"/>
      <c r="O491" s="21"/>
      <c r="AD491" s="21"/>
    </row>
    <row r="492" spans="3:30" ht="15.75" customHeight="1">
      <c r="C492" s="22"/>
      <c r="D492" s="22"/>
      <c r="E492" s="22"/>
      <c r="F492" s="23"/>
      <c r="G492" s="23"/>
      <c r="H492" s="23"/>
      <c r="I492" s="23"/>
      <c r="J492" s="23"/>
      <c r="K492" s="23"/>
      <c r="L492" s="23"/>
      <c r="M492" s="23"/>
      <c r="O492" s="21"/>
      <c r="AD492" s="21"/>
    </row>
    <row r="493" spans="3:30" ht="15.75" customHeight="1">
      <c r="C493" s="22"/>
      <c r="D493" s="22"/>
      <c r="E493" s="22"/>
      <c r="F493" s="23"/>
      <c r="G493" s="23"/>
      <c r="H493" s="23"/>
      <c r="I493" s="23"/>
      <c r="J493" s="23"/>
      <c r="K493" s="23"/>
      <c r="L493" s="23"/>
      <c r="M493" s="23"/>
      <c r="O493" s="21"/>
      <c r="AD493" s="21"/>
    </row>
    <row r="494" spans="3:30" ht="15.75" customHeight="1">
      <c r="C494" s="22"/>
      <c r="D494" s="22"/>
      <c r="E494" s="22"/>
      <c r="F494" s="23"/>
      <c r="G494" s="23"/>
      <c r="H494" s="23"/>
      <c r="I494" s="23"/>
      <c r="J494" s="23"/>
      <c r="K494" s="23"/>
      <c r="L494" s="23"/>
      <c r="M494" s="23"/>
      <c r="O494" s="21"/>
      <c r="AD494" s="21"/>
    </row>
    <row r="495" spans="3:30" ht="15.75" customHeight="1">
      <c r="C495" s="22"/>
      <c r="D495" s="22"/>
      <c r="E495" s="22"/>
      <c r="F495" s="23"/>
      <c r="G495" s="23"/>
      <c r="H495" s="23"/>
      <c r="I495" s="23"/>
      <c r="J495" s="23"/>
      <c r="K495" s="23"/>
      <c r="L495" s="23"/>
      <c r="M495" s="23"/>
      <c r="O495" s="21"/>
      <c r="AD495" s="21"/>
    </row>
    <row r="496" spans="3:30" ht="15.75" customHeight="1">
      <c r="C496" s="22"/>
      <c r="D496" s="22"/>
      <c r="E496" s="22"/>
      <c r="F496" s="23"/>
      <c r="G496" s="23"/>
      <c r="H496" s="23"/>
      <c r="I496" s="23"/>
      <c r="J496" s="23"/>
      <c r="K496" s="23"/>
      <c r="L496" s="23"/>
      <c r="M496" s="23"/>
      <c r="O496" s="21"/>
      <c r="AD496" s="21"/>
    </row>
    <row r="497" spans="3:30" ht="15.75" customHeight="1">
      <c r="C497" s="22"/>
      <c r="D497" s="22"/>
      <c r="E497" s="22"/>
      <c r="F497" s="23"/>
      <c r="G497" s="23"/>
      <c r="H497" s="23"/>
      <c r="I497" s="23"/>
      <c r="J497" s="23"/>
      <c r="K497" s="23"/>
      <c r="L497" s="23"/>
      <c r="M497" s="23"/>
      <c r="O497" s="21"/>
      <c r="AD497" s="21"/>
    </row>
    <row r="498" spans="3:30" ht="15.75" customHeight="1">
      <c r="C498" s="22"/>
      <c r="D498" s="22"/>
      <c r="E498" s="22"/>
      <c r="F498" s="23"/>
      <c r="G498" s="23"/>
      <c r="H498" s="23"/>
      <c r="I498" s="23"/>
      <c r="J498" s="23"/>
      <c r="K498" s="23"/>
      <c r="L498" s="23"/>
      <c r="M498" s="23"/>
      <c r="O498" s="21"/>
      <c r="AD498" s="21"/>
    </row>
    <row r="499" spans="3:30" ht="15.75" customHeight="1">
      <c r="C499" s="22"/>
      <c r="D499" s="22"/>
      <c r="E499" s="22"/>
      <c r="F499" s="23"/>
      <c r="G499" s="23"/>
      <c r="H499" s="23"/>
      <c r="I499" s="23"/>
      <c r="J499" s="23"/>
      <c r="K499" s="23"/>
      <c r="L499" s="23"/>
      <c r="M499" s="23"/>
      <c r="O499" s="21"/>
      <c r="AD499" s="21"/>
    </row>
    <row r="500" spans="3:30" ht="15.75" customHeight="1">
      <c r="C500" s="22"/>
      <c r="D500" s="22"/>
      <c r="E500" s="22"/>
      <c r="F500" s="23"/>
      <c r="G500" s="23"/>
      <c r="H500" s="23"/>
      <c r="I500" s="23"/>
      <c r="J500" s="23"/>
      <c r="K500" s="23"/>
      <c r="L500" s="23"/>
      <c r="M500" s="23"/>
      <c r="O500" s="21"/>
      <c r="AD500" s="21"/>
    </row>
    <row r="501" spans="3:30" ht="15.75" customHeight="1">
      <c r="C501" s="22"/>
      <c r="D501" s="22"/>
      <c r="E501" s="22"/>
      <c r="F501" s="23"/>
      <c r="G501" s="23"/>
      <c r="H501" s="23"/>
      <c r="I501" s="23"/>
      <c r="J501" s="23"/>
      <c r="K501" s="23"/>
      <c r="L501" s="23"/>
      <c r="M501" s="23"/>
      <c r="O501" s="21"/>
      <c r="AD501" s="21"/>
    </row>
    <row r="502" spans="3:30" ht="15.75" customHeight="1">
      <c r="C502" s="22"/>
      <c r="D502" s="22"/>
      <c r="E502" s="22"/>
      <c r="F502" s="23"/>
      <c r="G502" s="23"/>
      <c r="H502" s="23"/>
      <c r="I502" s="23"/>
      <c r="J502" s="23"/>
      <c r="K502" s="23"/>
      <c r="L502" s="23"/>
      <c r="M502" s="23"/>
      <c r="O502" s="21"/>
      <c r="AD502" s="21"/>
    </row>
    <row r="503" spans="3:30" ht="15.75" customHeight="1">
      <c r="C503" s="22"/>
      <c r="D503" s="22"/>
      <c r="E503" s="22"/>
      <c r="F503" s="23"/>
      <c r="G503" s="23"/>
      <c r="H503" s="23"/>
      <c r="I503" s="23"/>
      <c r="J503" s="23"/>
      <c r="K503" s="23"/>
      <c r="L503" s="23"/>
      <c r="M503" s="23"/>
      <c r="O503" s="21"/>
      <c r="AD503" s="21"/>
    </row>
    <row r="504" spans="3:30" ht="15.75" customHeight="1">
      <c r="C504" s="22"/>
      <c r="D504" s="22"/>
      <c r="E504" s="22"/>
      <c r="F504" s="23"/>
      <c r="G504" s="23"/>
      <c r="H504" s="23"/>
      <c r="I504" s="23"/>
      <c r="J504" s="23"/>
      <c r="K504" s="23"/>
      <c r="L504" s="23"/>
      <c r="M504" s="23"/>
      <c r="O504" s="21"/>
      <c r="AD504" s="21"/>
    </row>
    <row r="505" spans="3:30" ht="15.75" customHeight="1">
      <c r="C505" s="22"/>
      <c r="D505" s="22"/>
      <c r="E505" s="22"/>
      <c r="F505" s="23"/>
      <c r="G505" s="23"/>
      <c r="H505" s="23"/>
      <c r="I505" s="23"/>
      <c r="J505" s="23"/>
      <c r="K505" s="23"/>
      <c r="L505" s="23"/>
      <c r="M505" s="23"/>
      <c r="O505" s="21"/>
      <c r="AD505" s="21"/>
    </row>
    <row r="506" spans="3:30" ht="15.75" customHeight="1">
      <c r="C506" s="22"/>
      <c r="D506" s="22"/>
      <c r="E506" s="22"/>
      <c r="F506" s="23"/>
      <c r="G506" s="23"/>
      <c r="H506" s="23"/>
      <c r="I506" s="23"/>
      <c r="J506" s="23"/>
      <c r="K506" s="23"/>
      <c r="L506" s="23"/>
      <c r="M506" s="23"/>
      <c r="O506" s="21"/>
      <c r="AD506" s="21"/>
    </row>
    <row r="507" spans="3:30" ht="15.75" customHeight="1">
      <c r="C507" s="22"/>
      <c r="D507" s="22"/>
      <c r="E507" s="22"/>
      <c r="F507" s="23"/>
      <c r="G507" s="23"/>
      <c r="H507" s="23"/>
      <c r="I507" s="23"/>
      <c r="J507" s="23"/>
      <c r="K507" s="23"/>
      <c r="L507" s="23"/>
      <c r="M507" s="23"/>
      <c r="O507" s="21"/>
      <c r="AD507" s="21"/>
    </row>
    <row r="508" spans="3:30" ht="15.75" customHeight="1">
      <c r="C508" s="22"/>
      <c r="D508" s="22"/>
      <c r="E508" s="22"/>
      <c r="F508" s="23"/>
      <c r="G508" s="23"/>
      <c r="H508" s="23"/>
      <c r="I508" s="23"/>
      <c r="J508" s="23"/>
      <c r="K508" s="23"/>
      <c r="L508" s="23"/>
      <c r="M508" s="23"/>
      <c r="O508" s="21"/>
      <c r="AD508" s="21"/>
    </row>
    <row r="509" spans="3:30" ht="15.75" customHeight="1">
      <c r="C509" s="22"/>
      <c r="D509" s="22"/>
      <c r="E509" s="22"/>
      <c r="F509" s="23"/>
      <c r="G509" s="23"/>
      <c r="H509" s="23"/>
      <c r="I509" s="23"/>
      <c r="J509" s="23"/>
      <c r="K509" s="23"/>
      <c r="L509" s="23"/>
      <c r="M509" s="23"/>
      <c r="O509" s="21"/>
      <c r="AD509" s="21"/>
    </row>
    <row r="510" spans="3:30" ht="15.75" customHeight="1">
      <c r="C510" s="22"/>
      <c r="D510" s="22"/>
      <c r="E510" s="22"/>
      <c r="F510" s="23"/>
      <c r="G510" s="23"/>
      <c r="H510" s="23"/>
      <c r="I510" s="23"/>
      <c r="J510" s="23"/>
      <c r="K510" s="23"/>
      <c r="L510" s="23"/>
      <c r="M510" s="23"/>
      <c r="O510" s="21"/>
      <c r="AD510" s="21"/>
    </row>
    <row r="511" spans="3:30" ht="15.75" customHeight="1">
      <c r="C511" s="22"/>
      <c r="D511" s="22"/>
      <c r="E511" s="22"/>
      <c r="F511" s="23"/>
      <c r="G511" s="23"/>
      <c r="H511" s="23"/>
      <c r="I511" s="23"/>
      <c r="J511" s="23"/>
      <c r="K511" s="23"/>
      <c r="L511" s="23"/>
      <c r="M511" s="23"/>
      <c r="O511" s="21"/>
      <c r="AD511" s="21"/>
    </row>
    <row r="512" spans="3:30" ht="15.75" customHeight="1">
      <c r="C512" s="22"/>
      <c r="D512" s="22"/>
      <c r="E512" s="22"/>
      <c r="F512" s="23"/>
      <c r="G512" s="23"/>
      <c r="H512" s="23"/>
      <c r="I512" s="23"/>
      <c r="J512" s="23"/>
      <c r="K512" s="23"/>
      <c r="L512" s="23"/>
      <c r="M512" s="23"/>
      <c r="O512" s="21"/>
      <c r="AD512" s="21"/>
    </row>
    <row r="513" spans="3:30" ht="15.75" customHeight="1">
      <c r="C513" s="22"/>
      <c r="D513" s="22"/>
      <c r="E513" s="22"/>
      <c r="F513" s="23"/>
      <c r="G513" s="23"/>
      <c r="H513" s="23"/>
      <c r="I513" s="23"/>
      <c r="J513" s="23"/>
      <c r="K513" s="23"/>
      <c r="L513" s="23"/>
      <c r="M513" s="23"/>
      <c r="O513" s="21"/>
      <c r="AD513" s="21"/>
    </row>
    <row r="514" spans="3:30" ht="15.75" customHeight="1">
      <c r="C514" s="22"/>
      <c r="D514" s="22"/>
      <c r="E514" s="22"/>
      <c r="F514" s="23"/>
      <c r="G514" s="23"/>
      <c r="H514" s="23"/>
      <c r="I514" s="23"/>
      <c r="J514" s="23"/>
      <c r="K514" s="23"/>
      <c r="L514" s="23"/>
      <c r="M514" s="23"/>
      <c r="O514" s="21"/>
      <c r="AD514" s="21"/>
    </row>
    <row r="515" spans="3:30" ht="15.75" customHeight="1">
      <c r="C515" s="22"/>
      <c r="D515" s="22"/>
      <c r="E515" s="22"/>
      <c r="F515" s="23"/>
      <c r="G515" s="23"/>
      <c r="H515" s="23"/>
      <c r="I515" s="23"/>
      <c r="J515" s="23"/>
      <c r="K515" s="23"/>
      <c r="L515" s="23"/>
      <c r="M515" s="23"/>
      <c r="O515" s="21"/>
      <c r="AD515" s="21"/>
    </row>
    <row r="516" spans="3:30" ht="15.75" customHeight="1">
      <c r="C516" s="22"/>
      <c r="D516" s="22"/>
      <c r="E516" s="22"/>
      <c r="F516" s="23"/>
      <c r="G516" s="23"/>
      <c r="H516" s="23"/>
      <c r="I516" s="23"/>
      <c r="J516" s="23"/>
      <c r="K516" s="23"/>
      <c r="L516" s="23"/>
      <c r="M516" s="23"/>
      <c r="O516" s="21"/>
      <c r="AD516" s="21"/>
    </row>
    <row r="517" spans="3:30" ht="15.75" customHeight="1">
      <c r="C517" s="22"/>
      <c r="D517" s="22"/>
      <c r="E517" s="22"/>
      <c r="F517" s="23"/>
      <c r="G517" s="23"/>
      <c r="H517" s="23"/>
      <c r="I517" s="23"/>
      <c r="J517" s="23"/>
      <c r="K517" s="23"/>
      <c r="L517" s="23"/>
      <c r="M517" s="23"/>
      <c r="O517" s="21"/>
      <c r="AD517" s="21"/>
    </row>
    <row r="518" spans="3:30" ht="15.75" customHeight="1">
      <c r="C518" s="22"/>
      <c r="D518" s="22"/>
      <c r="E518" s="22"/>
      <c r="F518" s="23"/>
      <c r="G518" s="23"/>
      <c r="H518" s="23"/>
      <c r="I518" s="23"/>
      <c r="J518" s="23"/>
      <c r="K518" s="23"/>
      <c r="L518" s="23"/>
      <c r="M518" s="23"/>
      <c r="O518" s="21"/>
      <c r="AD518" s="21"/>
    </row>
    <row r="519" spans="3:30" ht="15.75" customHeight="1">
      <c r="C519" s="22"/>
      <c r="D519" s="22"/>
      <c r="E519" s="22"/>
      <c r="F519" s="23"/>
      <c r="G519" s="23"/>
      <c r="H519" s="23"/>
      <c r="I519" s="23"/>
      <c r="J519" s="23"/>
      <c r="K519" s="23"/>
      <c r="L519" s="23"/>
      <c r="M519" s="23"/>
      <c r="O519" s="21"/>
      <c r="AD519" s="21"/>
    </row>
    <row r="520" spans="3:30" ht="15.75" customHeight="1">
      <c r="C520" s="22"/>
      <c r="D520" s="22"/>
      <c r="E520" s="22"/>
      <c r="F520" s="23"/>
      <c r="G520" s="23"/>
      <c r="H520" s="23"/>
      <c r="I520" s="23"/>
      <c r="J520" s="23"/>
      <c r="K520" s="23"/>
      <c r="L520" s="23"/>
      <c r="M520" s="23"/>
      <c r="O520" s="21"/>
      <c r="AD520" s="21"/>
    </row>
    <row r="521" spans="3:30" ht="15.75" customHeight="1">
      <c r="C521" s="22"/>
      <c r="D521" s="22"/>
      <c r="E521" s="22"/>
      <c r="F521" s="23"/>
      <c r="G521" s="23"/>
      <c r="H521" s="23"/>
      <c r="I521" s="23"/>
      <c r="J521" s="23"/>
      <c r="K521" s="23"/>
      <c r="L521" s="23"/>
      <c r="M521" s="23"/>
      <c r="O521" s="21"/>
      <c r="AD521" s="21"/>
    </row>
    <row r="522" spans="3:30" ht="15.75" customHeight="1">
      <c r="C522" s="22"/>
      <c r="D522" s="22"/>
      <c r="E522" s="22"/>
      <c r="F522" s="23"/>
      <c r="G522" s="23"/>
      <c r="H522" s="23"/>
      <c r="I522" s="23"/>
      <c r="J522" s="23"/>
      <c r="K522" s="23"/>
      <c r="L522" s="23"/>
      <c r="M522" s="23"/>
      <c r="O522" s="21"/>
      <c r="AD522" s="21"/>
    </row>
    <row r="523" spans="3:30" ht="15.75" customHeight="1">
      <c r="C523" s="22"/>
      <c r="D523" s="22"/>
      <c r="E523" s="22"/>
      <c r="F523" s="23"/>
      <c r="G523" s="23"/>
      <c r="H523" s="23"/>
      <c r="I523" s="23"/>
      <c r="J523" s="23"/>
      <c r="K523" s="23"/>
      <c r="L523" s="23"/>
      <c r="M523" s="23"/>
      <c r="O523" s="21"/>
      <c r="AD523" s="21"/>
    </row>
    <row r="524" spans="3:30" ht="15.75" customHeight="1">
      <c r="C524" s="22"/>
      <c r="D524" s="22"/>
      <c r="E524" s="22"/>
      <c r="F524" s="23"/>
      <c r="G524" s="23"/>
      <c r="H524" s="23"/>
      <c r="I524" s="23"/>
      <c r="J524" s="23"/>
      <c r="K524" s="23"/>
      <c r="L524" s="23"/>
      <c r="M524" s="23"/>
      <c r="O524" s="21"/>
      <c r="AD524" s="21"/>
    </row>
    <row r="525" spans="3:30" ht="15.75" customHeight="1">
      <c r="C525" s="22"/>
      <c r="D525" s="22"/>
      <c r="E525" s="22"/>
      <c r="F525" s="23"/>
      <c r="G525" s="23"/>
      <c r="H525" s="23"/>
      <c r="I525" s="23"/>
      <c r="J525" s="23"/>
      <c r="K525" s="23"/>
      <c r="L525" s="23"/>
      <c r="M525" s="23"/>
      <c r="O525" s="21"/>
      <c r="AD525" s="21"/>
    </row>
    <row r="526" spans="3:30" ht="15.75" customHeight="1">
      <c r="C526" s="22"/>
      <c r="D526" s="22"/>
      <c r="E526" s="22"/>
      <c r="F526" s="23"/>
      <c r="G526" s="23"/>
      <c r="H526" s="23"/>
      <c r="I526" s="23"/>
      <c r="J526" s="23"/>
      <c r="K526" s="23"/>
      <c r="L526" s="23"/>
      <c r="M526" s="23"/>
      <c r="O526" s="21"/>
      <c r="AD526" s="21"/>
    </row>
    <row r="527" spans="3:30" ht="15.75" customHeight="1">
      <c r="C527" s="22"/>
      <c r="D527" s="22"/>
      <c r="E527" s="22"/>
      <c r="F527" s="23"/>
      <c r="G527" s="23"/>
      <c r="H527" s="23"/>
      <c r="I527" s="23"/>
      <c r="J527" s="23"/>
      <c r="K527" s="23"/>
      <c r="L527" s="23"/>
      <c r="M527" s="23"/>
      <c r="O527" s="21"/>
      <c r="AD527" s="21"/>
    </row>
    <row r="528" spans="3:30" ht="15.75" customHeight="1">
      <c r="C528" s="22"/>
      <c r="D528" s="22"/>
      <c r="E528" s="22"/>
      <c r="F528" s="23"/>
      <c r="G528" s="23"/>
      <c r="H528" s="23"/>
      <c r="I528" s="23"/>
      <c r="J528" s="23"/>
      <c r="K528" s="23"/>
      <c r="L528" s="23"/>
      <c r="M528" s="23"/>
      <c r="O528" s="21"/>
      <c r="AD528" s="21"/>
    </row>
    <row r="529" spans="3:30" ht="15.75" customHeight="1">
      <c r="C529" s="22"/>
      <c r="D529" s="22"/>
      <c r="E529" s="22"/>
      <c r="F529" s="23"/>
      <c r="G529" s="23"/>
      <c r="H529" s="23"/>
      <c r="I529" s="23"/>
      <c r="J529" s="23"/>
      <c r="K529" s="23"/>
      <c r="L529" s="23"/>
      <c r="M529" s="23"/>
      <c r="O529" s="21"/>
      <c r="AD529" s="21"/>
    </row>
    <row r="530" spans="3:30" ht="15.75" customHeight="1">
      <c r="C530" s="22"/>
      <c r="D530" s="22"/>
      <c r="E530" s="22"/>
      <c r="F530" s="23"/>
      <c r="G530" s="23"/>
      <c r="H530" s="23"/>
      <c r="I530" s="23"/>
      <c r="J530" s="23"/>
      <c r="K530" s="23"/>
      <c r="L530" s="23"/>
      <c r="M530" s="23"/>
      <c r="O530" s="21"/>
      <c r="AD530" s="21"/>
    </row>
    <row r="531" spans="3:30" ht="15.75" customHeight="1">
      <c r="C531" s="22"/>
      <c r="D531" s="22"/>
      <c r="E531" s="22"/>
      <c r="F531" s="23"/>
      <c r="G531" s="23"/>
      <c r="H531" s="23"/>
      <c r="I531" s="23"/>
      <c r="J531" s="23"/>
      <c r="K531" s="23"/>
      <c r="L531" s="23"/>
      <c r="M531" s="23"/>
      <c r="O531" s="21"/>
      <c r="AD531" s="21"/>
    </row>
    <row r="532" spans="3:30" ht="15.75" customHeight="1">
      <c r="C532" s="22"/>
      <c r="D532" s="22"/>
      <c r="E532" s="22"/>
      <c r="F532" s="23"/>
      <c r="G532" s="23"/>
      <c r="H532" s="23"/>
      <c r="I532" s="23"/>
      <c r="J532" s="23"/>
      <c r="K532" s="23"/>
      <c r="L532" s="23"/>
      <c r="M532" s="23"/>
      <c r="O532" s="21"/>
      <c r="AD532" s="21"/>
    </row>
    <row r="533" spans="3:30" ht="15.75" customHeight="1">
      <c r="C533" s="22"/>
      <c r="D533" s="22"/>
      <c r="E533" s="22"/>
      <c r="F533" s="23"/>
      <c r="G533" s="23"/>
      <c r="H533" s="23"/>
      <c r="I533" s="23"/>
      <c r="J533" s="23"/>
      <c r="K533" s="23"/>
      <c r="L533" s="23"/>
      <c r="M533" s="23"/>
      <c r="O533" s="21"/>
      <c r="AD533" s="21"/>
    </row>
    <row r="534" spans="3:30" ht="15.75" customHeight="1">
      <c r="C534" s="22"/>
      <c r="D534" s="22"/>
      <c r="E534" s="22"/>
      <c r="F534" s="23"/>
      <c r="G534" s="23"/>
      <c r="H534" s="23"/>
      <c r="I534" s="23"/>
      <c r="J534" s="23"/>
      <c r="K534" s="23"/>
      <c r="L534" s="23"/>
      <c r="M534" s="23"/>
      <c r="O534" s="21"/>
      <c r="AD534" s="21"/>
    </row>
    <row r="535" spans="3:30" ht="15.75" customHeight="1">
      <c r="C535" s="22"/>
      <c r="D535" s="22"/>
      <c r="E535" s="22"/>
      <c r="F535" s="23"/>
      <c r="G535" s="23"/>
      <c r="H535" s="23"/>
      <c r="I535" s="23"/>
      <c r="J535" s="23"/>
      <c r="K535" s="23"/>
      <c r="L535" s="23"/>
      <c r="M535" s="23"/>
      <c r="O535" s="21"/>
      <c r="AD535" s="21"/>
    </row>
    <row r="536" spans="3:30" ht="15.75" customHeight="1">
      <c r="C536" s="22"/>
      <c r="D536" s="22"/>
      <c r="E536" s="22"/>
      <c r="F536" s="23"/>
      <c r="G536" s="23"/>
      <c r="H536" s="23"/>
      <c r="I536" s="23"/>
      <c r="J536" s="23"/>
      <c r="K536" s="23"/>
      <c r="L536" s="23"/>
      <c r="M536" s="23"/>
      <c r="O536" s="21"/>
      <c r="AD536" s="21"/>
    </row>
    <row r="537" spans="3:30" ht="15.75" customHeight="1">
      <c r="C537" s="22"/>
      <c r="D537" s="22"/>
      <c r="E537" s="22"/>
      <c r="F537" s="23"/>
      <c r="G537" s="23"/>
      <c r="H537" s="23"/>
      <c r="I537" s="23"/>
      <c r="J537" s="23"/>
      <c r="K537" s="23"/>
      <c r="L537" s="23"/>
      <c r="M537" s="23"/>
      <c r="O537" s="21"/>
      <c r="AD537" s="21"/>
    </row>
    <row r="538" spans="3:30" ht="15.75" customHeight="1">
      <c r="C538" s="22"/>
      <c r="D538" s="22"/>
      <c r="E538" s="22"/>
      <c r="F538" s="23"/>
      <c r="G538" s="23"/>
      <c r="H538" s="23"/>
      <c r="I538" s="23"/>
      <c r="J538" s="23"/>
      <c r="K538" s="23"/>
      <c r="L538" s="23"/>
      <c r="M538" s="23"/>
      <c r="O538" s="21"/>
      <c r="AD538" s="21"/>
    </row>
    <row r="539" spans="3:30" ht="15.75" customHeight="1">
      <c r="C539" s="22"/>
      <c r="D539" s="22"/>
      <c r="E539" s="22"/>
      <c r="F539" s="23"/>
      <c r="G539" s="23"/>
      <c r="H539" s="23"/>
      <c r="I539" s="23"/>
      <c r="J539" s="23"/>
      <c r="K539" s="23"/>
      <c r="L539" s="23"/>
      <c r="M539" s="23"/>
      <c r="O539" s="21"/>
      <c r="AD539" s="21"/>
    </row>
    <row r="540" spans="3:30" ht="15.75" customHeight="1">
      <c r="C540" s="22"/>
      <c r="D540" s="22"/>
      <c r="E540" s="22"/>
      <c r="F540" s="23"/>
      <c r="G540" s="23"/>
      <c r="H540" s="23"/>
      <c r="I540" s="23"/>
      <c r="J540" s="23"/>
      <c r="K540" s="23"/>
      <c r="L540" s="23"/>
      <c r="M540" s="23"/>
      <c r="O540" s="21"/>
      <c r="AD540" s="21"/>
    </row>
    <row r="541" spans="3:30" ht="15.75" customHeight="1">
      <c r="C541" s="22"/>
      <c r="D541" s="22"/>
      <c r="E541" s="22"/>
      <c r="F541" s="23"/>
      <c r="G541" s="23"/>
      <c r="H541" s="23"/>
      <c r="I541" s="23"/>
      <c r="J541" s="23"/>
      <c r="K541" s="23"/>
      <c r="L541" s="23"/>
      <c r="M541" s="23"/>
      <c r="O541" s="21"/>
      <c r="AD541" s="21"/>
    </row>
    <row r="542" spans="3:30" ht="15.75" customHeight="1">
      <c r="C542" s="22"/>
      <c r="D542" s="22"/>
      <c r="E542" s="22"/>
      <c r="F542" s="23"/>
      <c r="G542" s="23"/>
      <c r="H542" s="23"/>
      <c r="I542" s="23"/>
      <c r="J542" s="23"/>
      <c r="K542" s="23"/>
      <c r="L542" s="23"/>
      <c r="M542" s="23"/>
      <c r="O542" s="21"/>
      <c r="AD542" s="21"/>
    </row>
    <row r="543" spans="3:30" ht="15.75" customHeight="1">
      <c r="C543" s="22"/>
      <c r="D543" s="22"/>
      <c r="E543" s="22"/>
      <c r="F543" s="23"/>
      <c r="G543" s="23"/>
      <c r="H543" s="23"/>
      <c r="I543" s="23"/>
      <c r="J543" s="23"/>
      <c r="K543" s="23"/>
      <c r="L543" s="23"/>
      <c r="M543" s="23"/>
      <c r="O543" s="21"/>
      <c r="AD543" s="21"/>
    </row>
    <row r="544" spans="3:30" ht="15.75" customHeight="1">
      <c r="C544" s="22"/>
      <c r="D544" s="22"/>
      <c r="E544" s="22"/>
      <c r="F544" s="23"/>
      <c r="G544" s="23"/>
      <c r="H544" s="23"/>
      <c r="I544" s="23"/>
      <c r="J544" s="23"/>
      <c r="K544" s="23"/>
      <c r="L544" s="23"/>
      <c r="M544" s="23"/>
      <c r="O544" s="21"/>
      <c r="AD544" s="21"/>
    </row>
    <row r="545" spans="3:30" ht="15.75" customHeight="1">
      <c r="C545" s="24"/>
      <c r="D545" s="24"/>
      <c r="E545" s="24"/>
      <c r="O545" s="21"/>
      <c r="AD545" s="21"/>
    </row>
    <row r="546" spans="3:30" ht="15.75" customHeight="1">
      <c r="C546" s="24"/>
      <c r="D546" s="24"/>
      <c r="E546" s="24"/>
      <c r="O546" s="21"/>
      <c r="AD546" s="21"/>
    </row>
    <row r="547" spans="3:30" ht="15.75" customHeight="1">
      <c r="C547" s="24"/>
      <c r="D547" s="24"/>
      <c r="E547" s="24"/>
      <c r="O547" s="21"/>
      <c r="AD547" s="21"/>
    </row>
    <row r="548" spans="3:30" ht="15.75" customHeight="1">
      <c r="C548" s="24"/>
      <c r="D548" s="24"/>
      <c r="E548" s="24"/>
      <c r="O548" s="21"/>
      <c r="AD548" s="21"/>
    </row>
    <row r="549" spans="3:30" ht="15.75" customHeight="1">
      <c r="C549" s="24"/>
      <c r="D549" s="24"/>
      <c r="E549" s="24"/>
      <c r="O549" s="21"/>
      <c r="AD549" s="21"/>
    </row>
    <row r="550" spans="3:30" ht="15.75" customHeight="1">
      <c r="C550" s="24"/>
      <c r="D550" s="24"/>
      <c r="E550" s="24"/>
      <c r="O550" s="21"/>
      <c r="AD550" s="21"/>
    </row>
    <row r="551" spans="3:30" ht="15.75" customHeight="1">
      <c r="C551" s="24"/>
      <c r="D551" s="24"/>
      <c r="E551" s="24"/>
      <c r="O551" s="21"/>
      <c r="AD551" s="21"/>
    </row>
    <row r="552" spans="3:30" ht="15.75" customHeight="1">
      <c r="C552" s="24"/>
      <c r="D552" s="24"/>
      <c r="E552" s="24"/>
      <c r="O552" s="21"/>
      <c r="AD552" s="21"/>
    </row>
    <row r="553" spans="3:30" ht="15.75" customHeight="1">
      <c r="C553" s="24"/>
      <c r="D553" s="24"/>
      <c r="E553" s="24"/>
      <c r="O553" s="21"/>
      <c r="AD553" s="21"/>
    </row>
    <row r="554" spans="3:30" ht="15.75" customHeight="1">
      <c r="C554" s="24"/>
      <c r="D554" s="24"/>
      <c r="E554" s="24"/>
      <c r="O554" s="21"/>
      <c r="AD554" s="21"/>
    </row>
    <row r="555" spans="3:30" ht="15.75" customHeight="1">
      <c r="C555" s="24"/>
      <c r="D555" s="24"/>
      <c r="E555" s="24"/>
      <c r="O555" s="21"/>
      <c r="AD555" s="21"/>
    </row>
    <row r="556" spans="3:30" ht="15.75" customHeight="1">
      <c r="C556" s="24"/>
      <c r="D556" s="24"/>
      <c r="E556" s="24"/>
      <c r="O556" s="21"/>
      <c r="AD556" s="21"/>
    </row>
    <row r="557" spans="3:30" ht="15.75" customHeight="1">
      <c r="C557" s="24"/>
      <c r="D557" s="24"/>
      <c r="E557" s="24"/>
      <c r="O557" s="21"/>
      <c r="AD557" s="21"/>
    </row>
    <row r="558" spans="3:30" ht="15.75" customHeight="1">
      <c r="C558" s="24"/>
      <c r="D558" s="24"/>
      <c r="E558" s="24"/>
      <c r="O558" s="21"/>
      <c r="AD558" s="21"/>
    </row>
    <row r="559" spans="3:30" ht="15.75" customHeight="1">
      <c r="C559" s="24"/>
      <c r="D559" s="24"/>
      <c r="E559" s="24"/>
      <c r="O559" s="21"/>
      <c r="AD559" s="21"/>
    </row>
    <row r="560" spans="3:30" ht="15.75" customHeight="1">
      <c r="C560" s="24"/>
      <c r="D560" s="24"/>
      <c r="E560" s="24"/>
      <c r="O560" s="21"/>
      <c r="AD560" s="21"/>
    </row>
    <row r="561" spans="3:30" ht="15.75" customHeight="1">
      <c r="C561" s="24"/>
      <c r="D561" s="24"/>
      <c r="E561" s="24"/>
      <c r="O561" s="21"/>
      <c r="AD561" s="21"/>
    </row>
    <row r="562" spans="3:30" ht="15.75" customHeight="1">
      <c r="C562" s="24"/>
      <c r="D562" s="24"/>
      <c r="E562" s="24"/>
      <c r="O562" s="21"/>
      <c r="AD562" s="21"/>
    </row>
    <row r="563" spans="3:30" ht="15.75" customHeight="1">
      <c r="C563" s="24"/>
      <c r="D563" s="24"/>
      <c r="E563" s="24"/>
      <c r="O563" s="21"/>
      <c r="AD563" s="21"/>
    </row>
    <row r="564" spans="3:30" ht="15.75" customHeight="1">
      <c r="C564" s="24"/>
      <c r="D564" s="24"/>
      <c r="E564" s="24"/>
      <c r="O564" s="21"/>
      <c r="AD564" s="21"/>
    </row>
    <row r="565" spans="3:30" ht="15.75" customHeight="1">
      <c r="C565" s="24"/>
      <c r="D565" s="24"/>
      <c r="E565" s="24"/>
      <c r="O565" s="21"/>
      <c r="AD565" s="21"/>
    </row>
    <row r="566" spans="3:30" ht="15.75" customHeight="1">
      <c r="C566" s="24"/>
      <c r="D566" s="24"/>
      <c r="E566" s="24"/>
      <c r="O566" s="21"/>
      <c r="AD566" s="21"/>
    </row>
    <row r="567" spans="3:30" ht="15.75" customHeight="1">
      <c r="C567" s="24"/>
      <c r="D567" s="24"/>
      <c r="E567" s="24"/>
      <c r="O567" s="21"/>
      <c r="AD567" s="21"/>
    </row>
    <row r="568" spans="3:30" ht="15.75" customHeight="1">
      <c r="C568" s="24"/>
      <c r="D568" s="24"/>
      <c r="E568" s="24"/>
      <c r="O568" s="21"/>
      <c r="AD568" s="21"/>
    </row>
    <row r="569" spans="3:30" ht="15.75" customHeight="1">
      <c r="C569" s="24"/>
      <c r="D569" s="24"/>
      <c r="E569" s="24"/>
      <c r="O569" s="21"/>
      <c r="AD569" s="21"/>
    </row>
    <row r="570" spans="3:30" ht="15.75" customHeight="1">
      <c r="C570" s="24"/>
      <c r="D570" s="24"/>
      <c r="E570" s="24"/>
      <c r="O570" s="21"/>
      <c r="AD570" s="21"/>
    </row>
    <row r="571" spans="3:30" ht="15.75" customHeight="1">
      <c r="C571" s="24"/>
      <c r="D571" s="24"/>
      <c r="E571" s="24"/>
      <c r="O571" s="21"/>
      <c r="AD571" s="21"/>
    </row>
    <row r="572" spans="3:30" ht="15.75" customHeight="1">
      <c r="C572" s="24"/>
      <c r="D572" s="24"/>
      <c r="E572" s="24"/>
      <c r="O572" s="21"/>
      <c r="AD572" s="21"/>
    </row>
    <row r="573" spans="3:30" ht="15.75" customHeight="1">
      <c r="C573" s="24"/>
      <c r="D573" s="24"/>
      <c r="E573" s="24"/>
      <c r="O573" s="21"/>
      <c r="AD573" s="21"/>
    </row>
    <row r="574" spans="3:30" ht="15.75" customHeight="1">
      <c r="C574" s="24"/>
      <c r="D574" s="24"/>
      <c r="E574" s="24"/>
      <c r="O574" s="21"/>
      <c r="AD574" s="21"/>
    </row>
    <row r="575" spans="3:30" ht="15.75" customHeight="1">
      <c r="C575" s="24"/>
      <c r="D575" s="24"/>
      <c r="E575" s="24"/>
      <c r="O575" s="21"/>
      <c r="AD575" s="21"/>
    </row>
    <row r="576" spans="3:30" ht="15.75" customHeight="1">
      <c r="C576" s="24"/>
      <c r="D576" s="24"/>
      <c r="E576" s="24"/>
      <c r="O576" s="21"/>
      <c r="AD576" s="21"/>
    </row>
    <row r="577" spans="3:30" ht="15.75" customHeight="1">
      <c r="C577" s="24"/>
      <c r="D577" s="24"/>
      <c r="E577" s="24"/>
      <c r="O577" s="21"/>
      <c r="AD577" s="21"/>
    </row>
    <row r="578" spans="3:30" ht="15.75" customHeight="1">
      <c r="C578" s="24"/>
      <c r="D578" s="24"/>
      <c r="E578" s="24"/>
      <c r="O578" s="21"/>
      <c r="AD578" s="21"/>
    </row>
    <row r="579" spans="3:30" ht="15.75" customHeight="1">
      <c r="C579" s="24"/>
      <c r="D579" s="24"/>
      <c r="E579" s="24"/>
      <c r="O579" s="21"/>
      <c r="AD579" s="21"/>
    </row>
    <row r="580" spans="3:30" ht="15.75" customHeight="1">
      <c r="C580" s="24"/>
      <c r="D580" s="24"/>
      <c r="E580" s="24"/>
      <c r="O580" s="21"/>
      <c r="AD580" s="21"/>
    </row>
    <row r="581" spans="3:30" ht="15.75" customHeight="1">
      <c r="C581" s="24"/>
      <c r="D581" s="24"/>
      <c r="E581" s="24"/>
      <c r="O581" s="21"/>
      <c r="AD581" s="21"/>
    </row>
    <row r="582" spans="3:30" ht="15.75" customHeight="1">
      <c r="C582" s="24"/>
      <c r="D582" s="24"/>
      <c r="E582" s="24"/>
      <c r="O582" s="21"/>
      <c r="AD582" s="21"/>
    </row>
    <row r="583" spans="3:30" ht="15.75" customHeight="1">
      <c r="C583" s="24"/>
      <c r="D583" s="24"/>
      <c r="E583" s="24"/>
      <c r="O583" s="21"/>
      <c r="AD583" s="21"/>
    </row>
    <row r="584" spans="3:30" ht="15.75" customHeight="1">
      <c r="C584" s="24"/>
      <c r="D584" s="24"/>
      <c r="E584" s="24"/>
      <c r="O584" s="21"/>
      <c r="AD584" s="21"/>
    </row>
    <row r="585" spans="3:30" ht="15.75" customHeight="1">
      <c r="C585" s="24"/>
      <c r="D585" s="24"/>
      <c r="E585" s="24"/>
      <c r="O585" s="21"/>
      <c r="AD585" s="21"/>
    </row>
    <row r="586" spans="3:30" ht="15.75" customHeight="1">
      <c r="C586" s="24"/>
      <c r="D586" s="24"/>
      <c r="E586" s="24"/>
      <c r="O586" s="21"/>
      <c r="AD586" s="21"/>
    </row>
    <row r="587" spans="3:30" ht="15.75" customHeight="1">
      <c r="C587" s="24"/>
      <c r="D587" s="24"/>
      <c r="E587" s="24"/>
      <c r="O587" s="21"/>
      <c r="AD587" s="21"/>
    </row>
    <row r="588" spans="3:30" ht="15.75" customHeight="1">
      <c r="C588" s="24"/>
      <c r="D588" s="24"/>
      <c r="E588" s="24"/>
      <c r="O588" s="21"/>
      <c r="AD588" s="21"/>
    </row>
    <row r="589" spans="3:30" ht="15.75" customHeight="1">
      <c r="C589" s="24"/>
      <c r="D589" s="24"/>
      <c r="E589" s="24"/>
      <c r="O589" s="21"/>
      <c r="AD589" s="21"/>
    </row>
    <row r="590" spans="3:30" ht="15.75" customHeight="1">
      <c r="C590" s="24"/>
      <c r="D590" s="24"/>
      <c r="E590" s="24"/>
      <c r="O590" s="21"/>
      <c r="AD590" s="21"/>
    </row>
    <row r="591" spans="3:30" ht="15.75" customHeight="1">
      <c r="C591" s="24"/>
      <c r="D591" s="24"/>
      <c r="E591" s="24"/>
      <c r="O591" s="21"/>
      <c r="AD591" s="21"/>
    </row>
    <row r="592" spans="3:30" ht="15.75" customHeight="1">
      <c r="C592" s="24"/>
      <c r="D592" s="24"/>
      <c r="E592" s="24"/>
      <c r="O592" s="21"/>
      <c r="AD592" s="21"/>
    </row>
    <row r="593" spans="3:30" ht="15.75" customHeight="1">
      <c r="C593" s="24"/>
      <c r="D593" s="24"/>
      <c r="E593" s="24"/>
      <c r="O593" s="21"/>
      <c r="AD593" s="21"/>
    </row>
    <row r="594" spans="3:30" ht="15.75" customHeight="1">
      <c r="C594" s="24"/>
      <c r="D594" s="24"/>
      <c r="E594" s="24"/>
      <c r="O594" s="21"/>
      <c r="AD594" s="21"/>
    </row>
    <row r="595" spans="3:30" ht="15.75" customHeight="1">
      <c r="C595" s="24"/>
      <c r="D595" s="24"/>
      <c r="E595" s="24"/>
      <c r="O595" s="21"/>
      <c r="AD595" s="21"/>
    </row>
    <row r="596" spans="3:30" ht="15.75" customHeight="1">
      <c r="C596" s="24"/>
      <c r="D596" s="24"/>
      <c r="E596" s="24"/>
      <c r="O596" s="21"/>
      <c r="AD596" s="21"/>
    </row>
    <row r="597" spans="3:30" ht="15.75" customHeight="1">
      <c r="C597" s="24"/>
      <c r="D597" s="24"/>
      <c r="E597" s="24"/>
      <c r="O597" s="21"/>
      <c r="AD597" s="21"/>
    </row>
    <row r="598" spans="3:30" ht="15.75" customHeight="1">
      <c r="C598" s="24"/>
      <c r="D598" s="24"/>
      <c r="E598" s="24"/>
      <c r="O598" s="21"/>
      <c r="AD598" s="21"/>
    </row>
    <row r="599" spans="3:30" ht="15.75" customHeight="1">
      <c r="C599" s="24"/>
      <c r="D599" s="24"/>
      <c r="E599" s="24"/>
      <c r="O599" s="21"/>
      <c r="AD599" s="21"/>
    </row>
    <row r="600" spans="3:30" ht="15.75" customHeight="1">
      <c r="C600" s="24"/>
      <c r="D600" s="24"/>
      <c r="E600" s="24"/>
      <c r="O600" s="21"/>
      <c r="AD600" s="21"/>
    </row>
    <row r="601" spans="3:30" ht="15.75" customHeight="1">
      <c r="C601" s="24"/>
      <c r="D601" s="24"/>
      <c r="E601" s="24"/>
      <c r="O601" s="21"/>
      <c r="AD601" s="21"/>
    </row>
    <row r="602" spans="3:30" ht="15.75" customHeight="1">
      <c r="C602" s="24"/>
      <c r="D602" s="24"/>
      <c r="E602" s="24"/>
      <c r="O602" s="21"/>
      <c r="AD602" s="21"/>
    </row>
    <row r="603" spans="3:30" ht="15.75" customHeight="1">
      <c r="C603" s="24"/>
      <c r="D603" s="24"/>
      <c r="E603" s="24"/>
      <c r="O603" s="21"/>
      <c r="AD603" s="21"/>
    </row>
    <row r="604" spans="3:30" ht="15.75" customHeight="1">
      <c r="C604" s="24"/>
      <c r="D604" s="24"/>
      <c r="E604" s="24"/>
      <c r="O604" s="21"/>
      <c r="AD604" s="21"/>
    </row>
    <row r="605" spans="3:30" ht="15.75" customHeight="1">
      <c r="C605" s="24"/>
      <c r="D605" s="24"/>
      <c r="E605" s="24"/>
      <c r="O605" s="21"/>
      <c r="AD605" s="21"/>
    </row>
    <row r="606" spans="3:30" ht="15.75" customHeight="1">
      <c r="C606" s="24"/>
      <c r="D606" s="24"/>
      <c r="E606" s="24"/>
      <c r="O606" s="21"/>
      <c r="AD606" s="21"/>
    </row>
    <row r="607" spans="3:30" ht="15.75" customHeight="1">
      <c r="C607" s="24"/>
      <c r="D607" s="24"/>
      <c r="E607" s="24"/>
      <c r="O607" s="21"/>
      <c r="AD607" s="21"/>
    </row>
    <row r="608" spans="3:30" ht="15.75" customHeight="1">
      <c r="C608" s="24"/>
      <c r="D608" s="24"/>
      <c r="E608" s="24"/>
      <c r="O608" s="21"/>
      <c r="AD608" s="21"/>
    </row>
    <row r="609" spans="3:30" ht="15.75" customHeight="1">
      <c r="C609" s="24"/>
      <c r="D609" s="24"/>
      <c r="E609" s="24"/>
      <c r="O609" s="21"/>
      <c r="AD609" s="21"/>
    </row>
    <row r="610" spans="3:30" ht="15.75" customHeight="1">
      <c r="C610" s="24"/>
      <c r="D610" s="24"/>
      <c r="E610" s="24"/>
      <c r="O610" s="21"/>
      <c r="AD610" s="21"/>
    </row>
    <row r="611" spans="3:30" ht="15.75" customHeight="1">
      <c r="C611" s="24"/>
      <c r="D611" s="24"/>
      <c r="E611" s="24"/>
      <c r="O611" s="21"/>
      <c r="AD611" s="21"/>
    </row>
    <row r="612" spans="3:30" ht="15.75" customHeight="1">
      <c r="C612" s="24"/>
      <c r="D612" s="24"/>
      <c r="E612" s="24"/>
      <c r="O612" s="21"/>
      <c r="AD612" s="21"/>
    </row>
    <row r="613" spans="3:30" ht="15.75" customHeight="1">
      <c r="C613" s="24"/>
      <c r="D613" s="24"/>
      <c r="E613" s="24"/>
      <c r="O613" s="21"/>
      <c r="AD613" s="21"/>
    </row>
    <row r="614" spans="3:30" ht="15.75" customHeight="1">
      <c r="C614" s="24"/>
      <c r="D614" s="24"/>
      <c r="E614" s="24"/>
      <c r="O614" s="21"/>
      <c r="AD614" s="21"/>
    </row>
    <row r="615" spans="3:30" ht="15.75" customHeight="1">
      <c r="C615" s="24"/>
      <c r="D615" s="24"/>
      <c r="E615" s="24"/>
      <c r="O615" s="21"/>
      <c r="AD615" s="21"/>
    </row>
    <row r="616" spans="3:30" ht="15.75" customHeight="1">
      <c r="C616" s="24"/>
      <c r="D616" s="24"/>
      <c r="E616" s="24"/>
      <c r="O616" s="21"/>
      <c r="AD616" s="21"/>
    </row>
    <row r="617" spans="3:30" ht="15.75" customHeight="1">
      <c r="C617" s="24"/>
      <c r="D617" s="24"/>
      <c r="E617" s="24"/>
      <c r="O617" s="21"/>
      <c r="AD617" s="21"/>
    </row>
    <row r="618" spans="3:30" ht="15.75" customHeight="1">
      <c r="C618" s="24"/>
      <c r="D618" s="24"/>
      <c r="E618" s="24"/>
      <c r="O618" s="21"/>
      <c r="AD618" s="21"/>
    </row>
    <row r="619" spans="3:30" ht="15.75" customHeight="1">
      <c r="C619" s="24"/>
      <c r="D619" s="24"/>
      <c r="E619" s="24"/>
      <c r="O619" s="21"/>
      <c r="AD619" s="21"/>
    </row>
    <row r="620" spans="3:30" ht="15.75" customHeight="1">
      <c r="C620" s="24"/>
      <c r="D620" s="24"/>
      <c r="E620" s="24"/>
      <c r="O620" s="21"/>
      <c r="AD620" s="21"/>
    </row>
    <row r="621" spans="3:30" ht="15.75" customHeight="1">
      <c r="C621" s="24"/>
      <c r="D621" s="24"/>
      <c r="E621" s="24"/>
      <c r="O621" s="21"/>
      <c r="AD621" s="21"/>
    </row>
    <row r="622" spans="3:30" ht="15.75" customHeight="1">
      <c r="C622" s="24"/>
      <c r="D622" s="24"/>
      <c r="E622" s="24"/>
      <c r="O622" s="21"/>
      <c r="AD622" s="21"/>
    </row>
    <row r="623" spans="3:30" ht="15.75" customHeight="1">
      <c r="C623" s="24"/>
      <c r="D623" s="24"/>
      <c r="E623" s="24"/>
      <c r="O623" s="21"/>
      <c r="AD623" s="21"/>
    </row>
    <row r="624" spans="3:30" ht="15.75" customHeight="1">
      <c r="C624" s="24"/>
      <c r="D624" s="24"/>
      <c r="E624" s="24"/>
      <c r="O624" s="21"/>
      <c r="AD624" s="21"/>
    </row>
    <row r="625" spans="3:30" ht="15.75" customHeight="1">
      <c r="C625" s="24"/>
      <c r="D625" s="24"/>
      <c r="E625" s="24"/>
      <c r="O625" s="21"/>
      <c r="AD625" s="21"/>
    </row>
    <row r="626" spans="3:30" ht="15.75" customHeight="1">
      <c r="C626" s="24"/>
      <c r="D626" s="24"/>
      <c r="E626" s="24"/>
      <c r="O626" s="21"/>
      <c r="AD626" s="21"/>
    </row>
    <row r="627" spans="3:30" ht="15.75" customHeight="1">
      <c r="C627" s="24"/>
      <c r="D627" s="24"/>
      <c r="E627" s="24"/>
      <c r="O627" s="21"/>
      <c r="AD627" s="21"/>
    </row>
    <row r="628" spans="3:30" ht="15.75" customHeight="1">
      <c r="C628" s="24"/>
      <c r="D628" s="24"/>
      <c r="E628" s="24"/>
      <c r="O628" s="21"/>
      <c r="AD628" s="21"/>
    </row>
    <row r="629" spans="3:30" ht="15.75" customHeight="1">
      <c r="C629" s="24"/>
      <c r="D629" s="24"/>
      <c r="E629" s="24"/>
      <c r="O629" s="21"/>
      <c r="AD629" s="21"/>
    </row>
    <row r="630" spans="3:30" ht="15.75" customHeight="1">
      <c r="C630" s="24"/>
      <c r="D630" s="24"/>
      <c r="E630" s="24"/>
      <c r="O630" s="21"/>
      <c r="AD630" s="21"/>
    </row>
    <row r="631" spans="3:30" ht="15.75" customHeight="1">
      <c r="C631" s="24"/>
      <c r="D631" s="24"/>
      <c r="E631" s="24"/>
      <c r="O631" s="21"/>
      <c r="AD631" s="21"/>
    </row>
    <row r="632" spans="3:30" ht="15.75" customHeight="1">
      <c r="C632" s="24"/>
      <c r="D632" s="24"/>
      <c r="E632" s="24"/>
      <c r="O632" s="21"/>
      <c r="AD632" s="21"/>
    </row>
    <row r="633" spans="3:30" ht="15.75" customHeight="1">
      <c r="C633" s="24"/>
      <c r="D633" s="24"/>
      <c r="E633" s="24"/>
      <c r="O633" s="21"/>
      <c r="AD633" s="21"/>
    </row>
    <row r="634" spans="3:30" ht="15.75" customHeight="1">
      <c r="C634" s="24"/>
      <c r="D634" s="24"/>
      <c r="E634" s="24"/>
      <c r="O634" s="21"/>
      <c r="AD634" s="21"/>
    </row>
    <row r="635" spans="3:30" ht="15.75" customHeight="1">
      <c r="C635" s="24"/>
      <c r="D635" s="24"/>
      <c r="E635" s="24"/>
      <c r="O635" s="21"/>
      <c r="AD635" s="21"/>
    </row>
    <row r="636" spans="3:30" ht="15.75" customHeight="1">
      <c r="C636" s="24"/>
      <c r="D636" s="24"/>
      <c r="E636" s="24"/>
      <c r="O636" s="21"/>
      <c r="AD636" s="21"/>
    </row>
    <row r="637" spans="3:30" ht="15.75" customHeight="1">
      <c r="C637" s="24"/>
      <c r="D637" s="24"/>
      <c r="E637" s="24"/>
      <c r="O637" s="21"/>
      <c r="AD637" s="21"/>
    </row>
    <row r="638" spans="3:30" ht="15.75" customHeight="1">
      <c r="C638" s="24"/>
      <c r="D638" s="24"/>
      <c r="E638" s="24"/>
      <c r="O638" s="21"/>
      <c r="AD638" s="21"/>
    </row>
    <row r="639" spans="3:30" ht="15.75" customHeight="1">
      <c r="C639" s="24"/>
      <c r="D639" s="24"/>
      <c r="E639" s="24"/>
      <c r="O639" s="21"/>
      <c r="AD639" s="21"/>
    </row>
    <row r="640" spans="3:30" ht="15.75" customHeight="1">
      <c r="C640" s="24"/>
      <c r="D640" s="24"/>
      <c r="E640" s="24"/>
      <c r="O640" s="21"/>
      <c r="AD640" s="21"/>
    </row>
    <row r="641" spans="3:30" ht="15.75" customHeight="1">
      <c r="C641" s="24"/>
      <c r="D641" s="24"/>
      <c r="E641" s="24"/>
      <c r="O641" s="21"/>
      <c r="AD641" s="21"/>
    </row>
    <row r="642" spans="3:30" ht="15.75" customHeight="1">
      <c r="C642" s="24"/>
      <c r="D642" s="24"/>
      <c r="E642" s="24"/>
      <c r="O642" s="21"/>
      <c r="AD642" s="21"/>
    </row>
    <row r="643" spans="3:30" ht="15.75" customHeight="1">
      <c r="C643" s="24"/>
      <c r="D643" s="24"/>
      <c r="E643" s="24"/>
      <c r="O643" s="21"/>
      <c r="AD643" s="21"/>
    </row>
    <row r="644" spans="3:30" ht="15.75" customHeight="1">
      <c r="C644" s="24"/>
      <c r="D644" s="24"/>
      <c r="E644" s="24"/>
      <c r="O644" s="21"/>
      <c r="AD644" s="21"/>
    </row>
    <row r="645" spans="3:30" ht="15.75" customHeight="1">
      <c r="C645" s="24"/>
      <c r="D645" s="24"/>
      <c r="E645" s="24"/>
      <c r="O645" s="21"/>
      <c r="AD645" s="21"/>
    </row>
    <row r="646" spans="3:30" ht="15.75" customHeight="1">
      <c r="C646" s="24"/>
      <c r="D646" s="24"/>
      <c r="E646" s="24"/>
      <c r="O646" s="21"/>
      <c r="AD646" s="21"/>
    </row>
    <row r="647" spans="3:30" ht="15.75" customHeight="1">
      <c r="C647" s="24"/>
      <c r="D647" s="24"/>
      <c r="E647" s="24"/>
      <c r="O647" s="21"/>
      <c r="AD647" s="21"/>
    </row>
    <row r="648" spans="3:30" ht="15.75" customHeight="1">
      <c r="C648" s="24"/>
      <c r="D648" s="24"/>
      <c r="E648" s="24"/>
      <c r="O648" s="21"/>
      <c r="AD648" s="21"/>
    </row>
    <row r="649" spans="3:30" ht="15.75" customHeight="1">
      <c r="C649" s="24"/>
      <c r="D649" s="24"/>
      <c r="E649" s="24"/>
      <c r="O649" s="21"/>
      <c r="AD649" s="21"/>
    </row>
    <row r="650" spans="3:30" ht="15.75" customHeight="1">
      <c r="C650" s="24"/>
      <c r="D650" s="24"/>
      <c r="E650" s="24"/>
      <c r="O650" s="21"/>
      <c r="AD650" s="21"/>
    </row>
    <row r="651" spans="3:30" ht="15.75" customHeight="1">
      <c r="C651" s="24"/>
      <c r="D651" s="24"/>
      <c r="E651" s="24"/>
      <c r="O651" s="21"/>
      <c r="AD651" s="21"/>
    </row>
    <row r="652" spans="3:30" ht="15.75" customHeight="1">
      <c r="C652" s="24"/>
      <c r="D652" s="24"/>
      <c r="E652" s="24"/>
      <c r="O652" s="21"/>
      <c r="AD652" s="21"/>
    </row>
    <row r="653" spans="3:30" ht="15.75" customHeight="1">
      <c r="C653" s="24"/>
      <c r="D653" s="24"/>
      <c r="E653" s="24"/>
      <c r="O653" s="21"/>
      <c r="AD653" s="21"/>
    </row>
    <row r="654" spans="3:30" ht="15.75" customHeight="1">
      <c r="C654" s="24"/>
      <c r="D654" s="24"/>
      <c r="E654" s="24"/>
      <c r="O654" s="21"/>
      <c r="AD654" s="21"/>
    </row>
    <row r="655" spans="3:30" ht="15.75" customHeight="1">
      <c r="C655" s="24"/>
      <c r="D655" s="24"/>
      <c r="E655" s="24"/>
      <c r="O655" s="21"/>
      <c r="AD655" s="21"/>
    </row>
    <row r="656" spans="3:30" ht="15.75" customHeight="1">
      <c r="C656" s="24"/>
      <c r="D656" s="24"/>
      <c r="E656" s="24"/>
      <c r="O656" s="21"/>
      <c r="AD656" s="21"/>
    </row>
    <row r="657" spans="3:30" ht="15.75" customHeight="1">
      <c r="C657" s="24"/>
      <c r="D657" s="24"/>
      <c r="E657" s="24"/>
      <c r="O657" s="21"/>
      <c r="AD657" s="21"/>
    </row>
    <row r="658" spans="3:30" ht="15.75" customHeight="1">
      <c r="C658" s="24"/>
      <c r="D658" s="24"/>
      <c r="E658" s="24"/>
      <c r="O658" s="21"/>
      <c r="AD658" s="21"/>
    </row>
    <row r="659" spans="3:30" ht="15.75" customHeight="1">
      <c r="C659" s="24"/>
      <c r="D659" s="24"/>
      <c r="E659" s="24"/>
      <c r="O659" s="21"/>
      <c r="AD659" s="21"/>
    </row>
    <row r="660" spans="3:30" ht="15.75" customHeight="1">
      <c r="C660" s="24"/>
      <c r="D660" s="24"/>
      <c r="E660" s="24"/>
      <c r="O660" s="21"/>
      <c r="AD660" s="21"/>
    </row>
    <row r="661" spans="3:30" ht="15.75" customHeight="1">
      <c r="C661" s="24"/>
      <c r="D661" s="24"/>
      <c r="E661" s="24"/>
      <c r="O661" s="21"/>
      <c r="AD661" s="21"/>
    </row>
    <row r="662" spans="3:30" ht="15.75" customHeight="1">
      <c r="C662" s="24"/>
      <c r="D662" s="24"/>
      <c r="E662" s="24"/>
      <c r="O662" s="21"/>
      <c r="AD662" s="21"/>
    </row>
    <row r="663" spans="3:30" ht="15.75" customHeight="1">
      <c r="C663" s="24"/>
      <c r="D663" s="24"/>
      <c r="E663" s="24"/>
      <c r="O663" s="21"/>
      <c r="AD663" s="21"/>
    </row>
    <row r="664" spans="3:30" ht="15.75" customHeight="1">
      <c r="C664" s="24"/>
      <c r="D664" s="24"/>
      <c r="E664" s="24"/>
      <c r="O664" s="21"/>
      <c r="AD664" s="21"/>
    </row>
    <row r="665" spans="3:30" ht="15.75" customHeight="1">
      <c r="C665" s="24"/>
      <c r="D665" s="24"/>
      <c r="E665" s="24"/>
      <c r="O665" s="21"/>
      <c r="AD665" s="21"/>
    </row>
    <row r="666" spans="3:30" ht="15.75" customHeight="1">
      <c r="C666" s="24"/>
      <c r="D666" s="24"/>
      <c r="E666" s="24"/>
      <c r="O666" s="21"/>
      <c r="AD666" s="21"/>
    </row>
    <row r="667" spans="3:30" ht="15.75" customHeight="1">
      <c r="C667" s="24"/>
      <c r="D667" s="24"/>
      <c r="E667" s="24"/>
      <c r="O667" s="21"/>
      <c r="AD667" s="21"/>
    </row>
    <row r="668" spans="3:30" ht="15.75" customHeight="1">
      <c r="C668" s="24"/>
      <c r="D668" s="24"/>
      <c r="E668" s="24"/>
      <c r="O668" s="21"/>
      <c r="AD668" s="21"/>
    </row>
    <row r="669" spans="3:30" ht="15.75" customHeight="1">
      <c r="C669" s="24"/>
      <c r="D669" s="24"/>
      <c r="E669" s="24"/>
      <c r="O669" s="21"/>
      <c r="AD669" s="21"/>
    </row>
    <row r="670" spans="3:30" ht="15.75" customHeight="1">
      <c r="C670" s="24"/>
      <c r="D670" s="24"/>
      <c r="E670" s="24"/>
      <c r="O670" s="21"/>
      <c r="AD670" s="21"/>
    </row>
    <row r="671" spans="3:30" ht="15.75" customHeight="1">
      <c r="C671" s="24"/>
      <c r="D671" s="24"/>
      <c r="E671" s="24"/>
      <c r="O671" s="21"/>
      <c r="AD671" s="21"/>
    </row>
    <row r="672" spans="3:30" ht="15.75" customHeight="1">
      <c r="C672" s="24"/>
      <c r="D672" s="24"/>
      <c r="E672" s="24"/>
      <c r="O672" s="21"/>
      <c r="AD672" s="21"/>
    </row>
    <row r="673" spans="3:30" ht="15.75" customHeight="1">
      <c r="C673" s="24"/>
      <c r="D673" s="24"/>
      <c r="E673" s="24"/>
      <c r="O673" s="21"/>
      <c r="AD673" s="21"/>
    </row>
    <row r="674" spans="3:30" ht="15.75" customHeight="1">
      <c r="C674" s="24"/>
      <c r="D674" s="24"/>
      <c r="E674" s="24"/>
      <c r="O674" s="21"/>
      <c r="AD674" s="21"/>
    </row>
    <row r="675" spans="3:30" ht="15.75" customHeight="1">
      <c r="C675" s="24"/>
      <c r="D675" s="24"/>
      <c r="E675" s="24"/>
      <c r="O675" s="21"/>
      <c r="AD675" s="21"/>
    </row>
    <row r="676" spans="3:30" ht="15.75" customHeight="1">
      <c r="C676" s="24"/>
      <c r="D676" s="24"/>
      <c r="E676" s="24"/>
      <c r="O676" s="21"/>
      <c r="AD676" s="21"/>
    </row>
    <row r="677" spans="3:30" ht="15.75" customHeight="1">
      <c r="C677" s="24"/>
      <c r="D677" s="24"/>
      <c r="E677" s="24"/>
      <c r="O677" s="21"/>
      <c r="AD677" s="21"/>
    </row>
    <row r="678" spans="3:30" ht="15.75" customHeight="1">
      <c r="C678" s="24"/>
      <c r="D678" s="24"/>
      <c r="E678" s="24"/>
      <c r="O678" s="21"/>
      <c r="AD678" s="21"/>
    </row>
    <row r="679" spans="3:30" ht="15.75" customHeight="1">
      <c r="C679" s="24"/>
      <c r="D679" s="24"/>
      <c r="E679" s="24"/>
      <c r="O679" s="21"/>
      <c r="AD679" s="21"/>
    </row>
    <row r="680" spans="3:30" ht="15.75" customHeight="1">
      <c r="C680" s="24"/>
      <c r="D680" s="24"/>
      <c r="E680" s="24"/>
      <c r="O680" s="21"/>
      <c r="AD680" s="21"/>
    </row>
    <row r="681" spans="3:30" ht="15.75" customHeight="1">
      <c r="C681" s="24"/>
      <c r="D681" s="24"/>
      <c r="E681" s="24"/>
      <c r="O681" s="21"/>
      <c r="AD681" s="21"/>
    </row>
    <row r="682" spans="3:30" ht="15.75" customHeight="1">
      <c r="C682" s="24"/>
      <c r="D682" s="24"/>
      <c r="E682" s="24"/>
      <c r="O682" s="21"/>
      <c r="AD682" s="21"/>
    </row>
    <row r="683" spans="3:30" ht="15.75" customHeight="1">
      <c r="C683" s="24"/>
      <c r="D683" s="24"/>
      <c r="E683" s="24"/>
      <c r="O683" s="21"/>
      <c r="AD683" s="21"/>
    </row>
    <row r="684" spans="3:30" ht="15.75" customHeight="1">
      <c r="C684" s="24"/>
      <c r="D684" s="24"/>
      <c r="E684" s="24"/>
      <c r="O684" s="21"/>
      <c r="AD684" s="21"/>
    </row>
    <row r="685" spans="3:30" ht="15.75" customHeight="1">
      <c r="C685" s="24"/>
      <c r="D685" s="24"/>
      <c r="E685" s="24"/>
      <c r="O685" s="21"/>
      <c r="AD685" s="21"/>
    </row>
    <row r="686" spans="3:30" ht="15.75" customHeight="1">
      <c r="C686" s="24"/>
      <c r="D686" s="24"/>
      <c r="E686" s="24"/>
      <c r="O686" s="21"/>
      <c r="AD686" s="21"/>
    </row>
    <row r="687" spans="3:30" ht="15.75" customHeight="1">
      <c r="C687" s="24"/>
      <c r="D687" s="24"/>
      <c r="E687" s="24"/>
      <c r="O687" s="21"/>
      <c r="AD687" s="21"/>
    </row>
    <row r="688" spans="3:30" ht="15.75" customHeight="1">
      <c r="C688" s="24"/>
      <c r="D688" s="24"/>
      <c r="E688" s="24"/>
      <c r="O688" s="21"/>
      <c r="AD688" s="21"/>
    </row>
    <row r="689" spans="3:30" ht="15.75" customHeight="1">
      <c r="C689" s="24"/>
      <c r="D689" s="24"/>
      <c r="E689" s="24"/>
      <c r="O689" s="21"/>
      <c r="AD689" s="21"/>
    </row>
    <row r="690" spans="3:30" ht="15.75" customHeight="1">
      <c r="C690" s="24"/>
      <c r="D690" s="24"/>
      <c r="E690" s="24"/>
      <c r="O690" s="21"/>
      <c r="AD690" s="21"/>
    </row>
    <row r="691" spans="3:30" ht="15.75" customHeight="1">
      <c r="C691" s="24"/>
      <c r="D691" s="24"/>
      <c r="E691" s="24"/>
      <c r="O691" s="21"/>
      <c r="AD691" s="21"/>
    </row>
    <row r="692" spans="3:30" ht="15.75" customHeight="1">
      <c r="C692" s="24"/>
      <c r="D692" s="24"/>
      <c r="E692" s="24"/>
      <c r="O692" s="21"/>
      <c r="AD692" s="21"/>
    </row>
    <row r="693" spans="3:30" ht="15.75" customHeight="1">
      <c r="C693" s="24"/>
      <c r="D693" s="24"/>
      <c r="E693" s="24"/>
      <c r="O693" s="21"/>
      <c r="AD693" s="21"/>
    </row>
    <row r="694" spans="3:30" ht="15.75" customHeight="1">
      <c r="C694" s="24"/>
      <c r="D694" s="24"/>
      <c r="E694" s="24"/>
      <c r="O694" s="21"/>
      <c r="AD694" s="21"/>
    </row>
    <row r="695" spans="3:30" ht="15.75" customHeight="1">
      <c r="C695" s="24"/>
      <c r="D695" s="24"/>
      <c r="E695" s="24"/>
      <c r="O695" s="21"/>
      <c r="AD695" s="21"/>
    </row>
    <row r="696" spans="3:30" ht="15.75" customHeight="1">
      <c r="C696" s="24"/>
      <c r="D696" s="24"/>
      <c r="E696" s="24"/>
      <c r="O696" s="21"/>
      <c r="AD696" s="21"/>
    </row>
    <row r="697" spans="3:30" ht="15.75" customHeight="1">
      <c r="C697" s="24"/>
      <c r="D697" s="24"/>
      <c r="E697" s="24"/>
      <c r="O697" s="21"/>
      <c r="AD697" s="21"/>
    </row>
    <row r="698" spans="3:30" ht="15.75" customHeight="1">
      <c r="C698" s="24"/>
      <c r="D698" s="24"/>
      <c r="E698" s="24"/>
      <c r="O698" s="21"/>
      <c r="AD698" s="21"/>
    </row>
    <row r="699" spans="3:30" ht="15.75" customHeight="1">
      <c r="C699" s="24"/>
      <c r="D699" s="24"/>
      <c r="E699" s="24"/>
      <c r="O699" s="21"/>
      <c r="AD699" s="21"/>
    </row>
    <row r="700" spans="3:30" ht="15.75" customHeight="1">
      <c r="C700" s="24"/>
      <c r="D700" s="24"/>
      <c r="E700" s="24"/>
      <c r="O700" s="21"/>
      <c r="AD700" s="21"/>
    </row>
    <row r="701" spans="3:30" ht="15.75" customHeight="1">
      <c r="C701" s="24"/>
      <c r="D701" s="24"/>
      <c r="E701" s="24"/>
      <c r="O701" s="21"/>
      <c r="AD701" s="21"/>
    </row>
    <row r="702" spans="3:30" ht="15.75" customHeight="1">
      <c r="C702" s="24"/>
      <c r="D702" s="24"/>
      <c r="E702" s="24"/>
      <c r="O702" s="21"/>
      <c r="AD702" s="21"/>
    </row>
    <row r="703" spans="3:30" ht="15.75" customHeight="1">
      <c r="C703" s="24"/>
      <c r="D703" s="24"/>
      <c r="E703" s="24"/>
      <c r="O703" s="21"/>
      <c r="AD703" s="21"/>
    </row>
    <row r="704" spans="3:30" ht="15.75" customHeight="1">
      <c r="C704" s="24"/>
      <c r="D704" s="24"/>
      <c r="E704" s="24"/>
      <c r="O704" s="21"/>
      <c r="AD704" s="21"/>
    </row>
    <row r="705" spans="3:30" ht="15.75" customHeight="1">
      <c r="C705" s="24"/>
      <c r="D705" s="24"/>
      <c r="E705" s="24"/>
      <c r="O705" s="21"/>
      <c r="AD705" s="21"/>
    </row>
    <row r="706" spans="3:30" ht="15.75" customHeight="1">
      <c r="C706" s="24"/>
      <c r="D706" s="24"/>
      <c r="E706" s="24"/>
      <c r="O706" s="21"/>
      <c r="AD706" s="21"/>
    </row>
    <row r="707" spans="3:30" ht="15.75" customHeight="1">
      <c r="C707" s="24"/>
      <c r="D707" s="24"/>
      <c r="E707" s="24"/>
      <c r="O707" s="21"/>
      <c r="AD707" s="21"/>
    </row>
    <row r="708" spans="3:30" ht="15.75" customHeight="1">
      <c r="C708" s="24"/>
      <c r="D708" s="24"/>
      <c r="E708" s="24"/>
      <c r="O708" s="21"/>
      <c r="AD708" s="21"/>
    </row>
    <row r="709" spans="3:30" ht="15.75" customHeight="1">
      <c r="C709" s="24"/>
      <c r="D709" s="24"/>
      <c r="E709" s="24"/>
      <c r="O709" s="21"/>
      <c r="AD709" s="21"/>
    </row>
    <row r="710" spans="3:30" ht="15.75" customHeight="1">
      <c r="C710" s="24"/>
      <c r="D710" s="24"/>
      <c r="E710" s="24"/>
      <c r="O710" s="21"/>
      <c r="AD710" s="21"/>
    </row>
    <row r="711" spans="3:30" ht="15.75" customHeight="1">
      <c r="C711" s="24"/>
      <c r="D711" s="24"/>
      <c r="E711" s="24"/>
      <c r="O711" s="21"/>
      <c r="AD711" s="21"/>
    </row>
    <row r="712" spans="3:30" ht="15.75" customHeight="1">
      <c r="C712" s="24"/>
      <c r="D712" s="24"/>
      <c r="E712" s="24"/>
      <c r="O712" s="21"/>
      <c r="AD712" s="21"/>
    </row>
    <row r="713" spans="3:30" ht="15.75" customHeight="1">
      <c r="C713" s="24"/>
      <c r="D713" s="24"/>
      <c r="E713" s="24"/>
      <c r="O713" s="21"/>
      <c r="AD713" s="21"/>
    </row>
    <row r="714" spans="3:30" ht="15.75" customHeight="1">
      <c r="C714" s="24"/>
      <c r="D714" s="24"/>
      <c r="E714" s="24"/>
      <c r="O714" s="21"/>
      <c r="AD714" s="21"/>
    </row>
    <row r="715" spans="3:30" ht="15.75" customHeight="1">
      <c r="C715" s="24"/>
      <c r="D715" s="24"/>
      <c r="E715" s="24"/>
      <c r="O715" s="21"/>
      <c r="AD715" s="21"/>
    </row>
    <row r="716" spans="3:30" ht="15.75" customHeight="1">
      <c r="C716" s="24"/>
      <c r="D716" s="24"/>
      <c r="E716" s="24"/>
      <c r="O716" s="21"/>
      <c r="AD716" s="21"/>
    </row>
    <row r="717" spans="3:30" ht="15.75" customHeight="1">
      <c r="C717" s="24"/>
      <c r="D717" s="24"/>
      <c r="E717" s="24"/>
      <c r="O717" s="21"/>
      <c r="AD717" s="21"/>
    </row>
    <row r="718" spans="3:30" ht="15.75" customHeight="1">
      <c r="C718" s="24"/>
      <c r="D718" s="24"/>
      <c r="E718" s="24"/>
      <c r="O718" s="21"/>
      <c r="AD718" s="21"/>
    </row>
    <row r="719" spans="3:30" ht="15.75" customHeight="1">
      <c r="C719" s="24"/>
      <c r="D719" s="24"/>
      <c r="E719" s="24"/>
      <c r="O719" s="21"/>
      <c r="AD719" s="21"/>
    </row>
    <row r="720" spans="3:30" ht="15.75" customHeight="1">
      <c r="C720" s="24"/>
      <c r="D720" s="24"/>
      <c r="E720" s="24"/>
      <c r="O720" s="21"/>
      <c r="AD720" s="21"/>
    </row>
    <row r="721" spans="3:30" ht="15.75" customHeight="1">
      <c r="C721" s="24"/>
      <c r="D721" s="24"/>
      <c r="E721" s="24"/>
      <c r="O721" s="21"/>
      <c r="AD721" s="21"/>
    </row>
    <row r="722" spans="3:30" ht="15.75" customHeight="1">
      <c r="C722" s="24"/>
      <c r="D722" s="24"/>
      <c r="E722" s="24"/>
      <c r="O722" s="21"/>
      <c r="AD722" s="21"/>
    </row>
    <row r="723" spans="3:30" ht="15.75" customHeight="1">
      <c r="C723" s="24"/>
      <c r="D723" s="24"/>
      <c r="E723" s="24"/>
      <c r="O723" s="21"/>
      <c r="AD723" s="21"/>
    </row>
    <row r="724" spans="3:30" ht="15.75" customHeight="1">
      <c r="C724" s="24"/>
      <c r="D724" s="24"/>
      <c r="E724" s="24"/>
      <c r="O724" s="21"/>
      <c r="AD724" s="21"/>
    </row>
    <row r="725" spans="3:30" ht="15.75" customHeight="1">
      <c r="C725" s="24"/>
      <c r="D725" s="24"/>
      <c r="E725" s="24"/>
      <c r="O725" s="21"/>
      <c r="AD725" s="21"/>
    </row>
    <row r="726" spans="3:30" ht="15.75" customHeight="1">
      <c r="C726" s="24"/>
      <c r="D726" s="24"/>
      <c r="E726" s="24"/>
      <c r="O726" s="21"/>
      <c r="AD726" s="21"/>
    </row>
    <row r="727" spans="3:30" ht="15.75" customHeight="1">
      <c r="C727" s="24"/>
      <c r="D727" s="24"/>
      <c r="E727" s="24"/>
      <c r="O727" s="21"/>
      <c r="AD727" s="21"/>
    </row>
    <row r="728" spans="3:30" ht="15.75" customHeight="1">
      <c r="C728" s="24"/>
      <c r="D728" s="24"/>
      <c r="E728" s="24"/>
      <c r="O728" s="21"/>
      <c r="AD728" s="21"/>
    </row>
    <row r="729" spans="3:30" ht="15.75" customHeight="1">
      <c r="C729" s="24"/>
      <c r="D729" s="24"/>
      <c r="E729" s="24"/>
      <c r="O729" s="21"/>
      <c r="AD729" s="21"/>
    </row>
    <row r="730" spans="3:30" ht="15.75" customHeight="1">
      <c r="C730" s="24"/>
      <c r="D730" s="24"/>
      <c r="E730" s="24"/>
      <c r="O730" s="21"/>
      <c r="AD730" s="21"/>
    </row>
    <row r="731" spans="3:30" ht="15.75" customHeight="1">
      <c r="C731" s="24"/>
      <c r="D731" s="24"/>
      <c r="E731" s="24"/>
      <c r="O731" s="21"/>
      <c r="AD731" s="21"/>
    </row>
    <row r="732" spans="3:30" ht="15.75" customHeight="1">
      <c r="C732" s="24"/>
      <c r="D732" s="24"/>
      <c r="E732" s="24"/>
      <c r="O732" s="21"/>
      <c r="AD732" s="21"/>
    </row>
    <row r="733" spans="3:30" ht="15.75" customHeight="1">
      <c r="C733" s="24"/>
      <c r="D733" s="24"/>
      <c r="E733" s="24"/>
      <c r="O733" s="21"/>
      <c r="AD733" s="21"/>
    </row>
    <row r="734" spans="3:30" ht="15.75" customHeight="1">
      <c r="C734" s="24"/>
      <c r="D734" s="24"/>
      <c r="E734" s="24"/>
      <c r="O734" s="21"/>
      <c r="AD734" s="21"/>
    </row>
    <row r="735" spans="3:30" ht="15.75" customHeight="1">
      <c r="C735" s="24"/>
      <c r="D735" s="24"/>
      <c r="E735" s="24"/>
      <c r="O735" s="21"/>
      <c r="AD735" s="21"/>
    </row>
    <row r="736" spans="3:30" ht="15.75" customHeight="1">
      <c r="C736" s="24"/>
      <c r="D736" s="24"/>
      <c r="E736" s="24"/>
      <c r="O736" s="21"/>
      <c r="AD736" s="21"/>
    </row>
    <row r="737" spans="3:30" ht="15.75" customHeight="1">
      <c r="C737" s="24"/>
      <c r="D737" s="24"/>
      <c r="E737" s="24"/>
      <c r="O737" s="21"/>
      <c r="AD737" s="21"/>
    </row>
    <row r="738" spans="3:30" ht="15.75" customHeight="1">
      <c r="C738" s="24"/>
      <c r="D738" s="24"/>
      <c r="E738" s="24"/>
      <c r="O738" s="21"/>
      <c r="AD738" s="21"/>
    </row>
    <row r="739" spans="3:30" ht="15.75" customHeight="1">
      <c r="C739" s="24"/>
      <c r="D739" s="24"/>
      <c r="E739" s="24"/>
      <c r="O739" s="21"/>
      <c r="AD739" s="21"/>
    </row>
    <row r="740" spans="3:30" ht="15.75" customHeight="1">
      <c r="C740" s="24"/>
      <c r="D740" s="24"/>
      <c r="E740" s="24"/>
      <c r="O740" s="21"/>
      <c r="AD740" s="21"/>
    </row>
    <row r="741" spans="3:30" ht="15.75" customHeight="1">
      <c r="C741" s="24"/>
      <c r="D741" s="24"/>
      <c r="E741" s="24"/>
      <c r="O741" s="21"/>
      <c r="AD741" s="21"/>
    </row>
    <row r="742" spans="3:30" ht="15.75" customHeight="1">
      <c r="C742" s="24"/>
      <c r="D742" s="24"/>
      <c r="E742" s="24"/>
      <c r="O742" s="21"/>
      <c r="AD742" s="21"/>
    </row>
    <row r="743" spans="3:30" ht="15.75" customHeight="1">
      <c r="C743" s="24"/>
      <c r="D743" s="24"/>
      <c r="E743" s="24"/>
      <c r="O743" s="21"/>
      <c r="AD743" s="21"/>
    </row>
    <row r="744" spans="3:30" ht="15.75" customHeight="1">
      <c r="C744" s="24"/>
      <c r="D744" s="24"/>
      <c r="E744" s="24"/>
      <c r="O744" s="21"/>
      <c r="AD744" s="21"/>
    </row>
    <row r="745" spans="3:30" ht="15.75" customHeight="1">
      <c r="C745" s="24"/>
      <c r="D745" s="24"/>
      <c r="E745" s="24"/>
      <c r="O745" s="21"/>
      <c r="AD745" s="21"/>
    </row>
    <row r="746" spans="3:30" ht="15.75" customHeight="1">
      <c r="C746" s="24"/>
      <c r="D746" s="24"/>
      <c r="E746" s="24"/>
      <c r="O746" s="21"/>
      <c r="AD746" s="21"/>
    </row>
    <row r="747" spans="3:30" ht="15.75" customHeight="1">
      <c r="C747" s="24"/>
      <c r="D747" s="24"/>
      <c r="E747" s="24"/>
      <c r="O747" s="21"/>
      <c r="AD747" s="21"/>
    </row>
    <row r="748" spans="3:30" ht="15.75" customHeight="1">
      <c r="C748" s="24"/>
      <c r="D748" s="24"/>
      <c r="E748" s="24"/>
      <c r="O748" s="21"/>
      <c r="AD748" s="21"/>
    </row>
    <row r="749" spans="3:30" ht="15.75" customHeight="1">
      <c r="C749" s="24"/>
      <c r="D749" s="24"/>
      <c r="E749" s="24"/>
      <c r="O749" s="21"/>
      <c r="AD749" s="21"/>
    </row>
    <row r="750" spans="3:30" ht="15.75" customHeight="1">
      <c r="C750" s="24"/>
      <c r="D750" s="24"/>
      <c r="E750" s="24"/>
      <c r="O750" s="21"/>
      <c r="AD750" s="21"/>
    </row>
    <row r="751" spans="3:30" ht="15.75" customHeight="1">
      <c r="C751" s="24"/>
      <c r="D751" s="24"/>
      <c r="E751" s="24"/>
      <c r="O751" s="21"/>
      <c r="AD751" s="21"/>
    </row>
    <row r="752" spans="3:30" ht="15.75" customHeight="1">
      <c r="C752" s="24"/>
      <c r="D752" s="24"/>
      <c r="E752" s="24"/>
      <c r="O752" s="21"/>
      <c r="AD752" s="21"/>
    </row>
    <row r="753" spans="3:30" ht="15.75" customHeight="1">
      <c r="C753" s="24"/>
      <c r="D753" s="24"/>
      <c r="E753" s="24"/>
      <c r="O753" s="21"/>
      <c r="AD753" s="21"/>
    </row>
    <row r="754" spans="3:30" ht="15.75" customHeight="1">
      <c r="C754" s="24"/>
      <c r="D754" s="24"/>
      <c r="E754" s="24"/>
      <c r="O754" s="21"/>
      <c r="AD754" s="21"/>
    </row>
    <row r="755" spans="3:30" ht="15.75" customHeight="1">
      <c r="C755" s="24"/>
      <c r="D755" s="24"/>
      <c r="E755" s="24"/>
      <c r="O755" s="21"/>
      <c r="AD755" s="21"/>
    </row>
    <row r="756" spans="3:30" ht="15.75" customHeight="1">
      <c r="C756" s="24"/>
      <c r="D756" s="24"/>
      <c r="E756" s="24"/>
      <c r="O756" s="21"/>
      <c r="AD756" s="21"/>
    </row>
    <row r="757" spans="3:30" ht="15.75" customHeight="1">
      <c r="C757" s="24"/>
      <c r="D757" s="24"/>
      <c r="E757" s="24"/>
      <c r="O757" s="21"/>
      <c r="AD757" s="21"/>
    </row>
    <row r="758" spans="3:30" ht="15.75" customHeight="1">
      <c r="C758" s="24"/>
      <c r="D758" s="24"/>
      <c r="E758" s="24"/>
      <c r="O758" s="21"/>
      <c r="AD758" s="21"/>
    </row>
    <row r="759" spans="3:30" ht="15.75" customHeight="1">
      <c r="C759" s="24"/>
      <c r="D759" s="24"/>
      <c r="E759" s="24"/>
      <c r="O759" s="21"/>
      <c r="AD759" s="21"/>
    </row>
    <row r="760" spans="3:30" ht="15.75" customHeight="1">
      <c r="C760" s="24"/>
      <c r="D760" s="24"/>
      <c r="E760" s="24"/>
      <c r="O760" s="21"/>
      <c r="AD760" s="21"/>
    </row>
    <row r="761" spans="3:30" ht="15.75" customHeight="1">
      <c r="C761" s="24"/>
      <c r="D761" s="24"/>
      <c r="E761" s="24"/>
      <c r="O761" s="21"/>
      <c r="AD761" s="21"/>
    </row>
    <row r="762" spans="3:30" ht="15.75" customHeight="1">
      <c r="C762" s="24"/>
      <c r="D762" s="24"/>
      <c r="E762" s="24"/>
      <c r="O762" s="21"/>
      <c r="AD762" s="21"/>
    </row>
    <row r="763" spans="3:30" ht="15.75" customHeight="1">
      <c r="C763" s="24"/>
      <c r="D763" s="24"/>
      <c r="E763" s="24"/>
      <c r="O763" s="21"/>
      <c r="AD763" s="21"/>
    </row>
    <row r="764" spans="3:30" ht="15.75" customHeight="1">
      <c r="C764" s="24"/>
      <c r="D764" s="24"/>
      <c r="E764" s="24"/>
      <c r="O764" s="21"/>
      <c r="AD764" s="21"/>
    </row>
    <row r="765" spans="3:30" ht="15.75" customHeight="1">
      <c r="C765" s="24"/>
      <c r="D765" s="24"/>
      <c r="E765" s="24"/>
      <c r="O765" s="21"/>
      <c r="AD765" s="21"/>
    </row>
    <row r="766" spans="3:30" ht="15.75" customHeight="1">
      <c r="C766" s="24"/>
      <c r="D766" s="24"/>
      <c r="E766" s="24"/>
      <c r="O766" s="21"/>
      <c r="AD766" s="21"/>
    </row>
    <row r="767" spans="3:30" ht="15.75" customHeight="1">
      <c r="C767" s="24"/>
      <c r="D767" s="24"/>
      <c r="E767" s="24"/>
      <c r="O767" s="21"/>
      <c r="AD767" s="21"/>
    </row>
    <row r="768" spans="3:30" ht="15.75" customHeight="1">
      <c r="C768" s="24"/>
      <c r="D768" s="24"/>
      <c r="E768" s="24"/>
      <c r="O768" s="21"/>
      <c r="AD768" s="21"/>
    </row>
    <row r="769" spans="3:30" ht="15.75" customHeight="1">
      <c r="C769" s="24"/>
      <c r="D769" s="24"/>
      <c r="E769" s="24"/>
      <c r="O769" s="21"/>
      <c r="AD769" s="21"/>
    </row>
    <row r="770" spans="3:30" ht="15.75" customHeight="1">
      <c r="C770" s="24"/>
      <c r="D770" s="24"/>
      <c r="E770" s="24"/>
      <c r="O770" s="21"/>
      <c r="AD770" s="21"/>
    </row>
    <row r="771" spans="3:30" ht="15.75" customHeight="1">
      <c r="C771" s="24"/>
      <c r="D771" s="24"/>
      <c r="E771" s="24"/>
      <c r="O771" s="21"/>
      <c r="AD771" s="21"/>
    </row>
    <row r="772" spans="3:30" ht="15.75" customHeight="1">
      <c r="C772" s="24"/>
      <c r="D772" s="24"/>
      <c r="E772" s="24"/>
      <c r="O772" s="21"/>
      <c r="AD772" s="21"/>
    </row>
    <row r="773" spans="3:30" ht="15.75" customHeight="1">
      <c r="C773" s="24"/>
      <c r="D773" s="24"/>
      <c r="E773" s="24"/>
      <c r="O773" s="21"/>
      <c r="AD773" s="21"/>
    </row>
    <row r="774" spans="3:30" ht="15.75" customHeight="1">
      <c r="C774" s="24"/>
      <c r="D774" s="24"/>
      <c r="E774" s="24"/>
      <c r="O774" s="21"/>
      <c r="AD774" s="21"/>
    </row>
    <row r="775" spans="3:30" ht="15.75" customHeight="1">
      <c r="C775" s="24"/>
      <c r="D775" s="24"/>
      <c r="E775" s="24"/>
      <c r="O775" s="21"/>
      <c r="AD775" s="21"/>
    </row>
    <row r="776" spans="3:30" ht="15.75" customHeight="1">
      <c r="C776" s="24"/>
      <c r="D776" s="24"/>
      <c r="E776" s="24"/>
      <c r="O776" s="21"/>
      <c r="AD776" s="21"/>
    </row>
    <row r="777" spans="3:30" ht="15.75" customHeight="1">
      <c r="C777" s="24"/>
      <c r="D777" s="24"/>
      <c r="E777" s="24"/>
      <c r="O777" s="21"/>
      <c r="AD777" s="21"/>
    </row>
    <row r="778" spans="3:30" ht="15.75" customHeight="1">
      <c r="C778" s="24"/>
      <c r="D778" s="24"/>
      <c r="E778" s="24"/>
      <c r="O778" s="21"/>
      <c r="AD778" s="21"/>
    </row>
    <row r="779" spans="3:30" ht="15.75" customHeight="1">
      <c r="C779" s="24"/>
      <c r="D779" s="24"/>
      <c r="E779" s="24"/>
      <c r="O779" s="21"/>
      <c r="AD779" s="21"/>
    </row>
    <row r="780" spans="3:30" ht="15.75" customHeight="1">
      <c r="C780" s="24"/>
      <c r="D780" s="24"/>
      <c r="E780" s="24"/>
      <c r="O780" s="21"/>
      <c r="AD780" s="21"/>
    </row>
    <row r="781" spans="3:30" ht="15.75" customHeight="1">
      <c r="C781" s="24"/>
      <c r="D781" s="24"/>
      <c r="E781" s="24"/>
      <c r="O781" s="21"/>
      <c r="AD781" s="21"/>
    </row>
    <row r="782" spans="3:30" ht="15.75" customHeight="1">
      <c r="C782" s="24"/>
      <c r="D782" s="24"/>
      <c r="E782" s="24"/>
      <c r="O782" s="21"/>
      <c r="AD782" s="21"/>
    </row>
    <row r="783" spans="3:30" ht="15.75" customHeight="1">
      <c r="C783" s="24"/>
      <c r="D783" s="24"/>
      <c r="E783" s="24"/>
      <c r="O783" s="21"/>
      <c r="AD783" s="21"/>
    </row>
    <row r="784" spans="3:30" ht="15.75" customHeight="1">
      <c r="C784" s="24"/>
      <c r="D784" s="24"/>
      <c r="E784" s="24"/>
      <c r="O784" s="21"/>
      <c r="AD784" s="21"/>
    </row>
    <row r="785" spans="3:30" ht="15.75" customHeight="1">
      <c r="C785" s="24"/>
      <c r="D785" s="24"/>
      <c r="E785" s="24"/>
      <c r="O785" s="21"/>
      <c r="AD785" s="21"/>
    </row>
    <row r="786" spans="3:30" ht="15.75" customHeight="1">
      <c r="C786" s="24"/>
      <c r="D786" s="24"/>
      <c r="E786" s="24"/>
      <c r="O786" s="21"/>
      <c r="AD786" s="21"/>
    </row>
    <row r="787" spans="3:30" ht="15.75" customHeight="1">
      <c r="C787" s="24"/>
      <c r="D787" s="24"/>
      <c r="E787" s="24"/>
      <c r="O787" s="21"/>
      <c r="AD787" s="21"/>
    </row>
    <row r="788" spans="3:30" ht="15.75" customHeight="1">
      <c r="C788" s="24"/>
      <c r="D788" s="24"/>
      <c r="E788" s="24"/>
      <c r="O788" s="21"/>
      <c r="AD788" s="21"/>
    </row>
    <row r="789" spans="3:30" ht="15.75" customHeight="1">
      <c r="C789" s="24"/>
      <c r="D789" s="24"/>
      <c r="E789" s="24"/>
      <c r="O789" s="21"/>
      <c r="AD789" s="21"/>
    </row>
    <row r="790" spans="3:30" ht="15.75" customHeight="1">
      <c r="C790" s="24"/>
      <c r="D790" s="24"/>
      <c r="E790" s="24"/>
      <c r="O790" s="21"/>
      <c r="AD790" s="21"/>
    </row>
    <row r="791" spans="3:30" ht="15.75" customHeight="1">
      <c r="C791" s="24"/>
      <c r="D791" s="24"/>
      <c r="E791" s="24"/>
      <c r="O791" s="21"/>
      <c r="AD791" s="21"/>
    </row>
    <row r="792" spans="3:30" ht="15.75" customHeight="1">
      <c r="C792" s="24"/>
      <c r="D792" s="24"/>
      <c r="E792" s="24"/>
      <c r="O792" s="21"/>
      <c r="AD792" s="21"/>
    </row>
    <row r="793" spans="3:30" ht="15.75" customHeight="1">
      <c r="C793" s="24"/>
      <c r="D793" s="24"/>
      <c r="E793" s="24"/>
      <c r="O793" s="21"/>
      <c r="AD793" s="21"/>
    </row>
    <row r="794" spans="3:30" ht="15.75" customHeight="1">
      <c r="C794" s="24"/>
      <c r="D794" s="24"/>
      <c r="E794" s="24"/>
      <c r="O794" s="21"/>
      <c r="AD794" s="21"/>
    </row>
    <row r="795" spans="3:30" ht="15.75" customHeight="1">
      <c r="C795" s="24"/>
      <c r="D795" s="24"/>
      <c r="E795" s="24"/>
      <c r="O795" s="21"/>
      <c r="AD795" s="21"/>
    </row>
    <row r="796" spans="3:30" ht="15.75" customHeight="1">
      <c r="C796" s="24"/>
      <c r="D796" s="24"/>
      <c r="E796" s="24"/>
      <c r="O796" s="21"/>
      <c r="AD796" s="21"/>
    </row>
    <row r="797" spans="3:30" ht="15.75" customHeight="1">
      <c r="C797" s="24"/>
      <c r="D797" s="24"/>
      <c r="E797" s="24"/>
      <c r="O797" s="21"/>
      <c r="AD797" s="21"/>
    </row>
    <row r="798" spans="3:30" ht="15.75" customHeight="1">
      <c r="C798" s="24"/>
      <c r="D798" s="24"/>
      <c r="E798" s="24"/>
      <c r="O798" s="21"/>
      <c r="AD798" s="21"/>
    </row>
    <row r="799" spans="3:30" ht="15.75" customHeight="1">
      <c r="C799" s="24"/>
      <c r="D799" s="24"/>
      <c r="E799" s="24"/>
      <c r="O799" s="21"/>
      <c r="AD799" s="21"/>
    </row>
    <row r="800" spans="3:30" ht="15.75" customHeight="1">
      <c r="C800" s="24"/>
      <c r="D800" s="24"/>
      <c r="E800" s="24"/>
      <c r="O800" s="21"/>
      <c r="AD800" s="21"/>
    </row>
    <row r="801" spans="3:30" ht="15.75" customHeight="1">
      <c r="C801" s="24"/>
      <c r="D801" s="24"/>
      <c r="E801" s="24"/>
      <c r="O801" s="21"/>
      <c r="AD801" s="21"/>
    </row>
    <row r="802" spans="3:30" ht="15.75" customHeight="1">
      <c r="C802" s="24"/>
      <c r="D802" s="24"/>
      <c r="E802" s="24"/>
      <c r="O802" s="21"/>
      <c r="AD802" s="21"/>
    </row>
    <row r="803" spans="3:30" ht="15.75" customHeight="1">
      <c r="C803" s="24"/>
      <c r="D803" s="24"/>
      <c r="E803" s="24"/>
      <c r="O803" s="21"/>
      <c r="AD803" s="21"/>
    </row>
    <row r="804" spans="3:30" ht="15.75" customHeight="1">
      <c r="C804" s="24"/>
      <c r="D804" s="24"/>
      <c r="E804" s="24"/>
      <c r="O804" s="21"/>
      <c r="AD804" s="21"/>
    </row>
    <row r="805" spans="3:30" ht="15.75" customHeight="1">
      <c r="C805" s="24"/>
      <c r="D805" s="24"/>
      <c r="E805" s="24"/>
      <c r="O805" s="21"/>
      <c r="AD805" s="21"/>
    </row>
    <row r="806" spans="3:30" ht="15.75" customHeight="1">
      <c r="C806" s="24"/>
      <c r="D806" s="24"/>
      <c r="E806" s="24"/>
      <c r="O806" s="21"/>
      <c r="AD806" s="21"/>
    </row>
    <row r="807" spans="3:30" ht="15.75" customHeight="1">
      <c r="C807" s="24"/>
      <c r="D807" s="24"/>
      <c r="E807" s="24"/>
      <c r="O807" s="21"/>
      <c r="AD807" s="21"/>
    </row>
    <row r="808" spans="3:30" ht="15.75" customHeight="1">
      <c r="C808" s="24"/>
      <c r="D808" s="24"/>
      <c r="E808" s="24"/>
      <c r="O808" s="21"/>
      <c r="AD808" s="21"/>
    </row>
    <row r="809" spans="3:30" ht="15.75" customHeight="1">
      <c r="C809" s="24"/>
      <c r="D809" s="24"/>
      <c r="E809" s="24"/>
      <c r="O809" s="21"/>
      <c r="AD809" s="21"/>
    </row>
    <row r="810" spans="3:30" ht="15.75" customHeight="1">
      <c r="C810" s="24"/>
      <c r="D810" s="24"/>
      <c r="E810" s="24"/>
      <c r="O810" s="21"/>
      <c r="AD810" s="21"/>
    </row>
    <row r="811" spans="3:30" ht="15.75" customHeight="1">
      <c r="C811" s="24"/>
      <c r="D811" s="24"/>
      <c r="E811" s="24"/>
      <c r="O811" s="21"/>
      <c r="AD811" s="21"/>
    </row>
    <row r="812" spans="3:30" ht="15.75" customHeight="1">
      <c r="C812" s="24"/>
      <c r="D812" s="24"/>
      <c r="E812" s="24"/>
      <c r="O812" s="21"/>
      <c r="AD812" s="21"/>
    </row>
    <row r="813" spans="3:30" ht="15.75" customHeight="1">
      <c r="C813" s="24"/>
      <c r="D813" s="24"/>
      <c r="E813" s="24"/>
      <c r="O813" s="21"/>
      <c r="AD813" s="21"/>
    </row>
    <row r="814" spans="3:30" ht="15.75" customHeight="1">
      <c r="C814" s="24"/>
      <c r="D814" s="24"/>
      <c r="E814" s="24"/>
      <c r="O814" s="21"/>
      <c r="AD814" s="21"/>
    </row>
    <row r="815" spans="3:30" ht="15.75" customHeight="1">
      <c r="C815" s="24"/>
      <c r="D815" s="24"/>
      <c r="E815" s="24"/>
      <c r="O815" s="21"/>
      <c r="AD815" s="21"/>
    </row>
    <row r="816" spans="3:30" ht="15.75" customHeight="1">
      <c r="C816" s="24"/>
      <c r="D816" s="24"/>
      <c r="E816" s="24"/>
      <c r="O816" s="21"/>
      <c r="AD816" s="21"/>
    </row>
    <row r="817" spans="3:30" ht="15.75" customHeight="1">
      <c r="C817" s="24"/>
      <c r="D817" s="24"/>
      <c r="E817" s="24"/>
      <c r="O817" s="21"/>
      <c r="AD817" s="21"/>
    </row>
    <row r="818" spans="3:30" ht="15.75" customHeight="1">
      <c r="C818" s="24"/>
      <c r="D818" s="24"/>
      <c r="E818" s="24"/>
      <c r="O818" s="21"/>
      <c r="AD818" s="21"/>
    </row>
    <row r="819" spans="3:30" ht="15.75" customHeight="1">
      <c r="C819" s="24"/>
      <c r="D819" s="24"/>
      <c r="E819" s="24"/>
      <c r="O819" s="21"/>
      <c r="AD819" s="21"/>
    </row>
    <row r="820" spans="3:30" ht="15.75" customHeight="1">
      <c r="C820" s="24"/>
      <c r="D820" s="24"/>
      <c r="E820" s="24"/>
      <c r="O820" s="21"/>
      <c r="AD820" s="21"/>
    </row>
    <row r="821" spans="3:30" ht="15.75" customHeight="1">
      <c r="C821" s="24"/>
      <c r="D821" s="24"/>
      <c r="E821" s="24"/>
      <c r="O821" s="21"/>
      <c r="AD821" s="21"/>
    </row>
    <row r="822" spans="3:30" ht="15.75" customHeight="1">
      <c r="C822" s="24"/>
      <c r="D822" s="24"/>
      <c r="E822" s="24"/>
      <c r="O822" s="21"/>
      <c r="AD822" s="21"/>
    </row>
    <row r="823" spans="3:30" ht="15.75" customHeight="1">
      <c r="C823" s="24"/>
      <c r="D823" s="24"/>
      <c r="E823" s="24"/>
      <c r="O823" s="21"/>
      <c r="AD823" s="21"/>
    </row>
    <row r="824" spans="3:30" ht="15.75" customHeight="1">
      <c r="C824" s="24"/>
      <c r="D824" s="24"/>
      <c r="E824" s="24"/>
      <c r="O824" s="21"/>
      <c r="AD824" s="21"/>
    </row>
    <row r="825" spans="3:30" ht="15.75" customHeight="1">
      <c r="C825" s="24"/>
      <c r="D825" s="24"/>
      <c r="E825" s="24"/>
      <c r="O825" s="21"/>
      <c r="AD825" s="21"/>
    </row>
    <row r="826" spans="3:30" ht="15.75" customHeight="1">
      <c r="C826" s="24"/>
      <c r="D826" s="24"/>
      <c r="E826" s="24"/>
      <c r="O826" s="21"/>
      <c r="AD826" s="21"/>
    </row>
    <row r="827" spans="3:30" ht="15.75" customHeight="1">
      <c r="C827" s="24"/>
      <c r="D827" s="24"/>
      <c r="E827" s="24"/>
      <c r="O827" s="21"/>
      <c r="AD827" s="21"/>
    </row>
    <row r="828" spans="3:30" ht="15.75" customHeight="1">
      <c r="C828" s="24"/>
      <c r="D828" s="24"/>
      <c r="E828" s="24"/>
      <c r="O828" s="21"/>
      <c r="AD828" s="21"/>
    </row>
    <row r="829" spans="3:30" ht="15.75" customHeight="1">
      <c r="C829" s="24"/>
      <c r="D829" s="24"/>
      <c r="E829" s="24"/>
      <c r="O829" s="21"/>
      <c r="AD829" s="21"/>
    </row>
    <row r="830" spans="3:30" ht="15.75" customHeight="1">
      <c r="C830" s="24"/>
      <c r="D830" s="24"/>
      <c r="E830" s="24"/>
      <c r="O830" s="21"/>
      <c r="AD830" s="21"/>
    </row>
    <row r="831" spans="3:30" ht="15.75" customHeight="1">
      <c r="C831" s="24"/>
      <c r="D831" s="24"/>
      <c r="E831" s="24"/>
      <c r="O831" s="21"/>
      <c r="AD831" s="21"/>
    </row>
    <row r="832" spans="3:30" ht="15.75" customHeight="1">
      <c r="C832" s="24"/>
      <c r="D832" s="24"/>
      <c r="E832" s="24"/>
      <c r="O832" s="21"/>
      <c r="AD832" s="21"/>
    </row>
    <row r="833" spans="3:30" ht="15.75" customHeight="1">
      <c r="C833" s="24"/>
      <c r="D833" s="24"/>
      <c r="E833" s="24"/>
      <c r="O833" s="21"/>
      <c r="AD833" s="21"/>
    </row>
    <row r="834" spans="3:30" ht="15.75" customHeight="1">
      <c r="C834" s="24"/>
      <c r="D834" s="24"/>
      <c r="E834" s="24"/>
      <c r="O834" s="21"/>
      <c r="AD834" s="21"/>
    </row>
    <row r="835" spans="3:30" ht="15.75" customHeight="1">
      <c r="C835" s="24"/>
      <c r="D835" s="24"/>
      <c r="E835" s="24"/>
      <c r="O835" s="21"/>
      <c r="AD835" s="21"/>
    </row>
    <row r="836" spans="3:30" ht="15.75" customHeight="1">
      <c r="C836" s="24"/>
      <c r="D836" s="24"/>
      <c r="E836" s="24"/>
      <c r="O836" s="21"/>
      <c r="AD836" s="21"/>
    </row>
    <row r="837" spans="3:30" ht="15.75" customHeight="1">
      <c r="C837" s="24"/>
      <c r="D837" s="24"/>
      <c r="E837" s="24"/>
      <c r="O837" s="21"/>
      <c r="AD837" s="21"/>
    </row>
    <row r="838" spans="3:30" ht="15.75" customHeight="1">
      <c r="C838" s="24"/>
      <c r="D838" s="24"/>
      <c r="E838" s="24"/>
      <c r="O838" s="21"/>
      <c r="AD838" s="21"/>
    </row>
    <row r="839" spans="3:30" ht="15.75" customHeight="1">
      <c r="C839" s="24"/>
      <c r="D839" s="24"/>
      <c r="E839" s="24"/>
      <c r="O839" s="21"/>
      <c r="AD839" s="21"/>
    </row>
    <row r="840" spans="3:30" ht="15.75" customHeight="1">
      <c r="C840" s="24"/>
      <c r="D840" s="24"/>
      <c r="E840" s="24"/>
      <c r="O840" s="21"/>
      <c r="AD840" s="21"/>
    </row>
    <row r="841" spans="3:30" ht="15.75" customHeight="1">
      <c r="C841" s="24"/>
      <c r="D841" s="24"/>
      <c r="E841" s="24"/>
      <c r="O841" s="21"/>
      <c r="AD841" s="21"/>
    </row>
    <row r="842" spans="3:30" ht="15.75" customHeight="1">
      <c r="C842" s="24"/>
      <c r="D842" s="24"/>
      <c r="E842" s="24"/>
      <c r="O842" s="21"/>
      <c r="AD842" s="21"/>
    </row>
    <row r="843" spans="3:30" ht="15.75" customHeight="1">
      <c r="C843" s="24"/>
      <c r="D843" s="24"/>
      <c r="E843" s="24"/>
      <c r="O843" s="21"/>
      <c r="AD843" s="21"/>
    </row>
    <row r="844" spans="3:30" ht="15.75" customHeight="1">
      <c r="C844" s="24"/>
      <c r="D844" s="24"/>
      <c r="E844" s="24"/>
      <c r="O844" s="21"/>
      <c r="AD844" s="21"/>
    </row>
    <row r="845" spans="3:30" ht="15.75" customHeight="1">
      <c r="C845" s="24"/>
      <c r="D845" s="24"/>
      <c r="E845" s="24"/>
      <c r="O845" s="21"/>
      <c r="AD845" s="21"/>
    </row>
    <row r="846" spans="3:30" ht="15.75" customHeight="1">
      <c r="C846" s="24"/>
      <c r="D846" s="24"/>
      <c r="E846" s="24"/>
      <c r="O846" s="21"/>
      <c r="AD846" s="21"/>
    </row>
    <row r="847" spans="3:30" ht="15.75" customHeight="1">
      <c r="C847" s="24"/>
      <c r="D847" s="24"/>
      <c r="E847" s="24"/>
      <c r="O847" s="21"/>
      <c r="AD847" s="21"/>
    </row>
    <row r="848" spans="3:30" ht="15.75" customHeight="1">
      <c r="C848" s="24"/>
      <c r="D848" s="24"/>
      <c r="E848" s="24"/>
      <c r="O848" s="21"/>
      <c r="AD848" s="21"/>
    </row>
    <row r="849" spans="3:30" ht="15.75" customHeight="1">
      <c r="C849" s="24"/>
      <c r="D849" s="24"/>
      <c r="E849" s="24"/>
      <c r="O849" s="21"/>
      <c r="AD849" s="21"/>
    </row>
    <row r="850" spans="3:30" ht="15.75" customHeight="1">
      <c r="C850" s="24"/>
      <c r="D850" s="24"/>
      <c r="E850" s="24"/>
      <c r="O850" s="21"/>
      <c r="AD850" s="21"/>
    </row>
    <row r="851" spans="3:30" ht="15.75" customHeight="1">
      <c r="C851" s="24"/>
      <c r="D851" s="24"/>
      <c r="E851" s="24"/>
      <c r="O851" s="21"/>
      <c r="AD851" s="21"/>
    </row>
    <row r="852" spans="3:30" ht="15.75" customHeight="1">
      <c r="C852" s="24"/>
      <c r="D852" s="24"/>
      <c r="E852" s="24"/>
      <c r="O852" s="21"/>
      <c r="AD852" s="21"/>
    </row>
    <row r="853" spans="3:30" ht="15.75" customHeight="1">
      <c r="C853" s="24"/>
      <c r="D853" s="24"/>
      <c r="E853" s="24"/>
      <c r="O853" s="21"/>
      <c r="AD853" s="21"/>
    </row>
    <row r="854" spans="3:30" ht="15.75" customHeight="1">
      <c r="C854" s="24"/>
      <c r="D854" s="24"/>
      <c r="E854" s="24"/>
      <c r="O854" s="21"/>
      <c r="AD854" s="21"/>
    </row>
    <row r="855" spans="3:30" ht="15.75" customHeight="1">
      <c r="C855" s="24"/>
      <c r="D855" s="24"/>
      <c r="E855" s="24"/>
      <c r="O855" s="21"/>
      <c r="AD855" s="21"/>
    </row>
    <row r="856" spans="3:30" ht="15.75" customHeight="1">
      <c r="C856" s="24"/>
      <c r="D856" s="24"/>
      <c r="E856" s="24"/>
      <c r="O856" s="21"/>
      <c r="AD856" s="21"/>
    </row>
    <row r="857" spans="3:30" ht="15.75" customHeight="1">
      <c r="C857" s="24"/>
      <c r="D857" s="24"/>
      <c r="E857" s="24"/>
      <c r="O857" s="21"/>
      <c r="AD857" s="21"/>
    </row>
    <row r="858" spans="3:30" ht="15.75" customHeight="1">
      <c r="C858" s="24"/>
      <c r="D858" s="24"/>
      <c r="E858" s="24"/>
      <c r="O858" s="21"/>
      <c r="AD858" s="21"/>
    </row>
    <row r="859" spans="3:30" ht="15.75" customHeight="1">
      <c r="C859" s="24"/>
      <c r="D859" s="24"/>
      <c r="E859" s="24"/>
      <c r="O859" s="21"/>
      <c r="AD859" s="21"/>
    </row>
    <row r="860" spans="3:30" ht="15.75" customHeight="1">
      <c r="C860" s="24"/>
      <c r="D860" s="24"/>
      <c r="E860" s="24"/>
      <c r="O860" s="21"/>
      <c r="AD860" s="21"/>
    </row>
    <row r="861" spans="3:30" ht="15.75" customHeight="1">
      <c r="C861" s="24"/>
      <c r="D861" s="24"/>
      <c r="E861" s="24"/>
      <c r="O861" s="21"/>
      <c r="AD861" s="21"/>
    </row>
    <row r="862" spans="3:30" ht="15.75" customHeight="1">
      <c r="C862" s="24"/>
      <c r="D862" s="24"/>
      <c r="E862" s="24"/>
      <c r="O862" s="21"/>
      <c r="AD862" s="21"/>
    </row>
    <row r="863" spans="3:30" ht="15.75" customHeight="1">
      <c r="C863" s="24"/>
      <c r="D863" s="24"/>
      <c r="E863" s="24"/>
      <c r="O863" s="21"/>
      <c r="AD863" s="21"/>
    </row>
    <row r="864" spans="3:30" ht="15.75" customHeight="1">
      <c r="C864" s="24"/>
      <c r="D864" s="24"/>
      <c r="E864" s="24"/>
      <c r="O864" s="21"/>
      <c r="AD864" s="21"/>
    </row>
    <row r="865" spans="3:30" ht="15.75" customHeight="1">
      <c r="C865" s="24"/>
      <c r="D865" s="24"/>
      <c r="E865" s="24"/>
      <c r="O865" s="21"/>
      <c r="AD865" s="21"/>
    </row>
    <row r="866" spans="3:30" ht="15.75" customHeight="1">
      <c r="C866" s="24"/>
      <c r="D866" s="24"/>
      <c r="E866" s="24"/>
      <c r="O866" s="21"/>
      <c r="AD866" s="21"/>
    </row>
    <row r="867" spans="3:30" ht="15.75" customHeight="1">
      <c r="C867" s="24"/>
      <c r="D867" s="24"/>
      <c r="E867" s="24"/>
      <c r="O867" s="21"/>
      <c r="AD867" s="21"/>
    </row>
    <row r="868" spans="3:30" ht="15.75" customHeight="1">
      <c r="C868" s="24"/>
      <c r="D868" s="24"/>
      <c r="E868" s="24"/>
      <c r="O868" s="21"/>
      <c r="AD868" s="21"/>
    </row>
    <row r="869" spans="3:30" ht="15.75" customHeight="1">
      <c r="C869" s="24"/>
      <c r="D869" s="24"/>
      <c r="E869" s="24"/>
      <c r="O869" s="21"/>
      <c r="AD869" s="21"/>
    </row>
    <row r="870" spans="3:30" ht="15.75" customHeight="1">
      <c r="C870" s="24"/>
      <c r="D870" s="24"/>
      <c r="E870" s="24"/>
      <c r="O870" s="21"/>
      <c r="AD870" s="21"/>
    </row>
    <row r="871" spans="3:30" ht="15.75" customHeight="1">
      <c r="C871" s="24"/>
      <c r="D871" s="24"/>
      <c r="E871" s="24"/>
      <c r="O871" s="21"/>
      <c r="AD871" s="21"/>
    </row>
    <row r="872" spans="3:30" ht="15.75" customHeight="1">
      <c r="C872" s="24"/>
      <c r="D872" s="24"/>
      <c r="E872" s="24"/>
      <c r="O872" s="21"/>
      <c r="AD872" s="21"/>
    </row>
    <row r="873" spans="3:30" ht="15.75" customHeight="1">
      <c r="C873" s="24"/>
      <c r="D873" s="24"/>
      <c r="E873" s="24"/>
      <c r="O873" s="21"/>
      <c r="AD873" s="21"/>
    </row>
    <row r="874" spans="3:30" ht="15.75" customHeight="1">
      <c r="C874" s="24"/>
      <c r="D874" s="24"/>
      <c r="E874" s="24"/>
      <c r="O874" s="21"/>
      <c r="AD874" s="21"/>
    </row>
    <row r="875" spans="3:30" ht="15.75" customHeight="1">
      <c r="C875" s="24"/>
      <c r="D875" s="24"/>
      <c r="E875" s="24"/>
      <c r="O875" s="21"/>
      <c r="AD875" s="21"/>
    </row>
    <row r="876" spans="3:30" ht="15.75" customHeight="1">
      <c r="C876" s="24"/>
      <c r="D876" s="24"/>
      <c r="E876" s="24"/>
      <c r="O876" s="21"/>
      <c r="AD876" s="21"/>
    </row>
    <row r="877" spans="3:30" ht="15.75" customHeight="1">
      <c r="C877" s="24"/>
      <c r="D877" s="24"/>
      <c r="E877" s="24"/>
      <c r="O877" s="21"/>
      <c r="AD877" s="21"/>
    </row>
    <row r="878" spans="3:30" ht="15.75" customHeight="1">
      <c r="C878" s="24"/>
      <c r="D878" s="24"/>
      <c r="E878" s="24"/>
      <c r="O878" s="21"/>
      <c r="AD878" s="21"/>
    </row>
    <row r="879" spans="3:30" ht="15.75" customHeight="1">
      <c r="C879" s="24"/>
      <c r="D879" s="24"/>
      <c r="E879" s="24"/>
      <c r="O879" s="21"/>
      <c r="AD879" s="21"/>
    </row>
    <row r="880" spans="3:30" ht="15.75" customHeight="1">
      <c r="C880" s="24"/>
      <c r="D880" s="24"/>
      <c r="E880" s="24"/>
      <c r="O880" s="21"/>
      <c r="AD880" s="21"/>
    </row>
    <row r="881" spans="3:30" ht="15.75" customHeight="1">
      <c r="C881" s="24"/>
      <c r="D881" s="24"/>
      <c r="E881" s="24"/>
      <c r="O881" s="21"/>
      <c r="AD881" s="21"/>
    </row>
    <row r="882" spans="3:30" ht="15.75" customHeight="1">
      <c r="C882" s="24"/>
      <c r="D882" s="24"/>
      <c r="E882" s="24"/>
      <c r="O882" s="21"/>
      <c r="AD882" s="21"/>
    </row>
    <row r="883" spans="3:30" ht="15.75" customHeight="1">
      <c r="C883" s="24"/>
      <c r="D883" s="24"/>
      <c r="E883" s="24"/>
      <c r="O883" s="21"/>
      <c r="AD883" s="21"/>
    </row>
    <row r="884" spans="3:30" ht="15.75" customHeight="1">
      <c r="C884" s="24"/>
      <c r="D884" s="24"/>
      <c r="E884" s="24"/>
      <c r="O884" s="21"/>
      <c r="AD884" s="21"/>
    </row>
    <row r="885" spans="3:30" ht="15.75" customHeight="1">
      <c r="C885" s="24"/>
      <c r="D885" s="24"/>
      <c r="E885" s="24"/>
      <c r="O885" s="21"/>
      <c r="AD885" s="21"/>
    </row>
    <row r="886" spans="3:30" ht="15.75" customHeight="1">
      <c r="C886" s="24"/>
      <c r="D886" s="24"/>
      <c r="E886" s="24"/>
      <c r="O886" s="21"/>
      <c r="AD886" s="21"/>
    </row>
    <row r="887" spans="3:30" ht="15.75" customHeight="1">
      <c r="C887" s="24"/>
      <c r="D887" s="24"/>
      <c r="E887" s="24"/>
      <c r="O887" s="21"/>
      <c r="AD887" s="21"/>
    </row>
    <row r="888" spans="3:30" ht="15.75" customHeight="1">
      <c r="C888" s="24"/>
      <c r="D888" s="24"/>
      <c r="E888" s="24"/>
      <c r="O888" s="21"/>
      <c r="AD888" s="21"/>
    </row>
    <row r="889" spans="3:30" ht="15.75" customHeight="1">
      <c r="C889" s="24"/>
      <c r="D889" s="24"/>
      <c r="E889" s="24"/>
      <c r="O889" s="21"/>
      <c r="AD889" s="21"/>
    </row>
    <row r="890" spans="3:30" ht="15.75" customHeight="1">
      <c r="C890" s="24"/>
      <c r="D890" s="24"/>
      <c r="E890" s="24"/>
      <c r="O890" s="21"/>
      <c r="AD890" s="21"/>
    </row>
    <row r="891" spans="3:30" ht="15.75" customHeight="1">
      <c r="C891" s="24"/>
      <c r="D891" s="24"/>
      <c r="E891" s="24"/>
      <c r="O891" s="21"/>
      <c r="AD891" s="21"/>
    </row>
    <row r="892" spans="3:30" ht="15.75" customHeight="1">
      <c r="C892" s="24"/>
      <c r="D892" s="24"/>
      <c r="E892" s="24"/>
      <c r="O892" s="21"/>
      <c r="AD892" s="21"/>
    </row>
    <row r="893" spans="3:30" ht="15.75" customHeight="1">
      <c r="C893" s="24"/>
      <c r="D893" s="24"/>
      <c r="E893" s="24"/>
      <c r="O893" s="21"/>
      <c r="AD893" s="21"/>
    </row>
    <row r="894" spans="3:30" ht="15.75" customHeight="1">
      <c r="C894" s="24"/>
      <c r="D894" s="24"/>
      <c r="E894" s="24"/>
      <c r="O894" s="21"/>
      <c r="AD894" s="21"/>
    </row>
    <row r="895" spans="3:30" ht="15.75" customHeight="1">
      <c r="C895" s="24"/>
      <c r="D895" s="24"/>
      <c r="E895" s="24"/>
      <c r="O895" s="21"/>
      <c r="AD895" s="21"/>
    </row>
    <row r="896" spans="3:30" ht="15.75" customHeight="1">
      <c r="C896" s="24"/>
      <c r="D896" s="24"/>
      <c r="E896" s="24"/>
      <c r="O896" s="21"/>
      <c r="AD896" s="21"/>
    </row>
    <row r="897" spans="3:30" ht="15.75" customHeight="1">
      <c r="C897" s="24"/>
      <c r="D897" s="24"/>
      <c r="E897" s="24"/>
      <c r="O897" s="21"/>
      <c r="AD897" s="21"/>
    </row>
    <row r="898" spans="3:30" ht="15.75" customHeight="1">
      <c r="C898" s="24"/>
      <c r="D898" s="24"/>
      <c r="E898" s="24"/>
      <c r="O898" s="21"/>
      <c r="AD898" s="21"/>
    </row>
    <row r="899" spans="3:30" ht="15.75" customHeight="1">
      <c r="C899" s="24"/>
      <c r="D899" s="24"/>
      <c r="E899" s="24"/>
      <c r="O899" s="21"/>
      <c r="AD899" s="21"/>
    </row>
    <row r="900" spans="3:30" ht="15.75" customHeight="1">
      <c r="C900" s="24"/>
      <c r="D900" s="24"/>
      <c r="E900" s="24"/>
      <c r="O900" s="21"/>
      <c r="AD900" s="21"/>
    </row>
    <row r="901" spans="3:30" ht="15.75" customHeight="1">
      <c r="C901" s="24"/>
      <c r="D901" s="24"/>
      <c r="E901" s="24"/>
      <c r="O901" s="21"/>
      <c r="AD901" s="21"/>
    </row>
    <row r="902" spans="3:30" ht="15.75" customHeight="1">
      <c r="C902" s="24"/>
      <c r="D902" s="24"/>
      <c r="E902" s="24"/>
      <c r="O902" s="21"/>
      <c r="AD902" s="21"/>
    </row>
    <row r="903" spans="3:30" ht="15.75" customHeight="1">
      <c r="C903" s="24"/>
      <c r="D903" s="24"/>
      <c r="E903" s="24"/>
      <c r="O903" s="21"/>
      <c r="AD903" s="21"/>
    </row>
    <row r="904" spans="3:30" ht="15.75" customHeight="1">
      <c r="C904" s="24"/>
      <c r="D904" s="24"/>
      <c r="E904" s="24"/>
      <c r="O904" s="21"/>
      <c r="AD904" s="21"/>
    </row>
    <row r="905" spans="3:30" ht="15.75" customHeight="1">
      <c r="C905" s="24"/>
      <c r="D905" s="24"/>
      <c r="E905" s="24"/>
      <c r="O905" s="21"/>
      <c r="AD905" s="21"/>
    </row>
    <row r="906" spans="3:30" ht="15.75" customHeight="1">
      <c r="C906" s="24"/>
      <c r="D906" s="24"/>
      <c r="E906" s="24"/>
      <c r="O906" s="21"/>
      <c r="AD906" s="21"/>
    </row>
    <row r="907" spans="3:30" ht="15.75" customHeight="1">
      <c r="C907" s="24"/>
      <c r="D907" s="24"/>
      <c r="E907" s="24"/>
      <c r="O907" s="21"/>
      <c r="AD907" s="21"/>
    </row>
    <row r="908" spans="3:30" ht="15.75" customHeight="1">
      <c r="C908" s="24"/>
      <c r="D908" s="24"/>
      <c r="E908" s="24"/>
      <c r="O908" s="21"/>
      <c r="AD908" s="21"/>
    </row>
    <row r="909" spans="3:30" ht="15.75" customHeight="1">
      <c r="C909" s="24"/>
      <c r="D909" s="24"/>
      <c r="E909" s="24"/>
      <c r="O909" s="21"/>
      <c r="AD909" s="21"/>
    </row>
    <row r="910" spans="3:30" ht="15.75" customHeight="1">
      <c r="C910" s="24"/>
      <c r="D910" s="24"/>
      <c r="E910" s="24"/>
      <c r="O910" s="21"/>
      <c r="AD910" s="21"/>
    </row>
    <row r="911" spans="3:30" ht="15.75" customHeight="1">
      <c r="C911" s="24"/>
      <c r="D911" s="24"/>
      <c r="E911" s="24"/>
      <c r="O911" s="21"/>
      <c r="AD911" s="21"/>
    </row>
    <row r="912" spans="3:30" ht="15.75" customHeight="1">
      <c r="C912" s="24"/>
      <c r="D912" s="24"/>
      <c r="E912" s="24"/>
      <c r="O912" s="21"/>
      <c r="AD912" s="21"/>
    </row>
    <row r="913" spans="3:30" ht="15.75" customHeight="1">
      <c r="C913" s="24"/>
      <c r="D913" s="24"/>
      <c r="E913" s="24"/>
      <c r="O913" s="21"/>
      <c r="AD913" s="21"/>
    </row>
    <row r="914" spans="3:30" ht="15.75" customHeight="1">
      <c r="C914" s="24"/>
      <c r="D914" s="24"/>
      <c r="E914" s="24"/>
      <c r="O914" s="21"/>
      <c r="AD914" s="21"/>
    </row>
    <row r="915" spans="3:30" ht="15.75" customHeight="1">
      <c r="C915" s="24"/>
      <c r="D915" s="24"/>
      <c r="E915" s="24"/>
      <c r="O915" s="21"/>
      <c r="AD915" s="21"/>
    </row>
    <row r="916" spans="3:30" ht="15.75" customHeight="1">
      <c r="C916" s="24"/>
      <c r="D916" s="24"/>
      <c r="E916" s="24"/>
      <c r="O916" s="21"/>
      <c r="AD916" s="21"/>
    </row>
    <row r="917" spans="3:30" ht="15.75" customHeight="1">
      <c r="C917" s="24"/>
      <c r="D917" s="24"/>
      <c r="E917" s="24"/>
      <c r="O917" s="21"/>
      <c r="AD917" s="21"/>
    </row>
    <row r="918" spans="3:30" ht="15.75" customHeight="1">
      <c r="C918" s="24"/>
      <c r="D918" s="24"/>
      <c r="E918" s="24"/>
      <c r="O918" s="21"/>
      <c r="AD918" s="21"/>
    </row>
    <row r="919" spans="3:30" ht="15.75" customHeight="1">
      <c r="C919" s="24"/>
      <c r="D919" s="24"/>
      <c r="E919" s="24"/>
      <c r="O919" s="21"/>
      <c r="AD919" s="21"/>
    </row>
    <row r="920" spans="3:30" ht="15.75" customHeight="1">
      <c r="C920" s="24"/>
      <c r="D920" s="24"/>
      <c r="E920" s="24"/>
      <c r="O920" s="21"/>
      <c r="AD920" s="21"/>
    </row>
    <row r="921" spans="3:30" ht="15.75" customHeight="1">
      <c r="C921" s="24"/>
      <c r="D921" s="24"/>
      <c r="E921" s="24"/>
      <c r="O921" s="21"/>
      <c r="AD921" s="21"/>
    </row>
    <row r="922" spans="3:30" ht="15.75" customHeight="1">
      <c r="C922" s="24"/>
      <c r="D922" s="24"/>
      <c r="E922" s="24"/>
      <c r="O922" s="21"/>
      <c r="AD922" s="21"/>
    </row>
    <row r="923" spans="3:30" ht="15.75" customHeight="1">
      <c r="C923" s="24"/>
      <c r="D923" s="24"/>
      <c r="E923" s="24"/>
      <c r="O923" s="21"/>
      <c r="AD923" s="21"/>
    </row>
    <row r="924" spans="3:30" ht="15.75" customHeight="1">
      <c r="C924" s="24"/>
      <c r="D924" s="24"/>
      <c r="E924" s="24"/>
      <c r="O924" s="21"/>
      <c r="AD924" s="21"/>
    </row>
    <row r="925" spans="3:30" ht="15.75" customHeight="1">
      <c r="C925" s="24"/>
      <c r="D925" s="24"/>
      <c r="E925" s="24"/>
      <c r="O925" s="21"/>
      <c r="AD925" s="21"/>
    </row>
    <row r="926" spans="3:30" ht="15.75" customHeight="1">
      <c r="C926" s="24"/>
      <c r="D926" s="24"/>
      <c r="E926" s="24"/>
      <c r="O926" s="21"/>
      <c r="AD926" s="21"/>
    </row>
    <row r="927" spans="3:30" ht="15.75" customHeight="1">
      <c r="C927" s="24"/>
      <c r="D927" s="24"/>
      <c r="E927" s="24"/>
      <c r="O927" s="21"/>
      <c r="AD927" s="21"/>
    </row>
    <row r="928" spans="3:30" ht="15.75" customHeight="1">
      <c r="C928" s="24"/>
      <c r="D928" s="24"/>
      <c r="E928" s="24"/>
      <c r="O928" s="21"/>
      <c r="AD928" s="21"/>
    </row>
    <row r="929" spans="3:30" ht="15.75" customHeight="1">
      <c r="C929" s="24"/>
      <c r="D929" s="24"/>
      <c r="E929" s="24"/>
      <c r="O929" s="21"/>
      <c r="AD929" s="21"/>
    </row>
    <row r="930" spans="3:30" ht="15.75" customHeight="1">
      <c r="C930" s="24"/>
      <c r="D930" s="24"/>
      <c r="E930" s="24"/>
      <c r="O930" s="21"/>
      <c r="AD930" s="21"/>
    </row>
    <row r="931" spans="3:30" ht="15.75" customHeight="1">
      <c r="C931" s="24"/>
      <c r="D931" s="24"/>
      <c r="E931" s="24"/>
      <c r="O931" s="21"/>
      <c r="AD931" s="21"/>
    </row>
    <row r="932" spans="3:30" ht="15.75" customHeight="1">
      <c r="C932" s="24"/>
      <c r="D932" s="24"/>
      <c r="E932" s="24"/>
      <c r="O932" s="21"/>
      <c r="AD932" s="21"/>
    </row>
    <row r="933" spans="3:30" ht="15.75" customHeight="1">
      <c r="C933" s="24"/>
      <c r="D933" s="24"/>
      <c r="E933" s="24"/>
      <c r="O933" s="21"/>
      <c r="AD933" s="21"/>
    </row>
    <row r="934" spans="3:30" ht="15.75" customHeight="1">
      <c r="C934" s="24"/>
      <c r="D934" s="24"/>
      <c r="E934" s="24"/>
      <c r="O934" s="21"/>
      <c r="AD934" s="21"/>
    </row>
    <row r="935" spans="3:30" ht="15.75" customHeight="1">
      <c r="C935" s="24"/>
      <c r="D935" s="24"/>
      <c r="E935" s="24"/>
      <c r="O935" s="21"/>
      <c r="AD935" s="21"/>
    </row>
    <row r="936" spans="3:30" ht="15.75" customHeight="1">
      <c r="C936" s="24"/>
      <c r="D936" s="24"/>
      <c r="E936" s="24"/>
      <c r="O936" s="21"/>
      <c r="AD936" s="21"/>
    </row>
    <row r="937" spans="3:30" ht="15.75" customHeight="1">
      <c r="C937" s="24"/>
      <c r="D937" s="24"/>
      <c r="E937" s="24"/>
      <c r="O937" s="21"/>
      <c r="AD937" s="21"/>
    </row>
    <row r="938" spans="3:30" ht="15.75" customHeight="1">
      <c r="C938" s="24"/>
      <c r="D938" s="24"/>
      <c r="E938" s="24"/>
      <c r="O938" s="21"/>
      <c r="AD938" s="21"/>
    </row>
    <row r="939" spans="3:30" ht="15.75" customHeight="1">
      <c r="C939" s="24"/>
      <c r="D939" s="24"/>
      <c r="E939" s="24"/>
      <c r="O939" s="21"/>
      <c r="AD939" s="21"/>
    </row>
    <row r="940" spans="3:30" ht="15.75" customHeight="1">
      <c r="C940" s="24"/>
      <c r="D940" s="24"/>
      <c r="E940" s="24"/>
      <c r="O940" s="21"/>
      <c r="AD940" s="21"/>
    </row>
    <row r="941" spans="3:30" ht="15.75" customHeight="1">
      <c r="C941" s="24"/>
      <c r="D941" s="24"/>
      <c r="E941" s="24"/>
      <c r="O941" s="21"/>
      <c r="AD941" s="21"/>
    </row>
    <row r="942" spans="3:30" ht="15.75" customHeight="1">
      <c r="C942" s="24"/>
      <c r="D942" s="24"/>
      <c r="E942" s="24"/>
      <c r="O942" s="21"/>
      <c r="AD942" s="21"/>
    </row>
    <row r="943" spans="3:30" ht="15.75" customHeight="1">
      <c r="C943" s="24"/>
      <c r="D943" s="24"/>
      <c r="E943" s="24"/>
      <c r="O943" s="21"/>
      <c r="AD943" s="21"/>
    </row>
    <row r="944" spans="3:30" ht="15.75" customHeight="1">
      <c r="C944" s="24"/>
      <c r="D944" s="24"/>
      <c r="E944" s="24"/>
      <c r="O944" s="21"/>
      <c r="AD944" s="21"/>
    </row>
    <row r="945" spans="3:30" ht="15.75" customHeight="1">
      <c r="C945" s="24"/>
      <c r="D945" s="24"/>
      <c r="E945" s="24"/>
      <c r="O945" s="21"/>
      <c r="AD945" s="21"/>
    </row>
    <row r="946" spans="3:30" ht="15.75" customHeight="1">
      <c r="C946" s="24"/>
      <c r="D946" s="24"/>
      <c r="E946" s="24"/>
      <c r="O946" s="21"/>
      <c r="AD946" s="21"/>
    </row>
    <row r="947" spans="3:30" ht="15.75" customHeight="1">
      <c r="C947" s="24"/>
      <c r="D947" s="24"/>
      <c r="E947" s="24"/>
      <c r="O947" s="21"/>
      <c r="AD947" s="21"/>
    </row>
    <row r="948" spans="3:30" ht="15.75" customHeight="1">
      <c r="C948" s="24"/>
      <c r="D948" s="24"/>
      <c r="E948" s="24"/>
      <c r="O948" s="21"/>
      <c r="AD948" s="21"/>
    </row>
    <row r="949" spans="3:30" ht="15.75" customHeight="1">
      <c r="C949" s="24"/>
      <c r="D949" s="24"/>
      <c r="E949" s="24"/>
      <c r="O949" s="21"/>
      <c r="AD949" s="21"/>
    </row>
    <row r="950" spans="3:30" ht="15.75" customHeight="1">
      <c r="C950" s="24"/>
      <c r="D950" s="24"/>
      <c r="E950" s="24"/>
      <c r="O950" s="21"/>
      <c r="AD950" s="21"/>
    </row>
    <row r="951" spans="3:30" ht="15.75" customHeight="1">
      <c r="C951" s="24"/>
      <c r="D951" s="24"/>
      <c r="E951" s="24"/>
      <c r="O951" s="21"/>
      <c r="AD951" s="21"/>
    </row>
    <row r="952" spans="3:30" ht="15.75" customHeight="1">
      <c r="C952" s="24"/>
      <c r="D952" s="24"/>
      <c r="E952" s="24"/>
      <c r="O952" s="21"/>
      <c r="AD952" s="21"/>
    </row>
    <row r="953" spans="3:30" ht="15.75" customHeight="1">
      <c r="C953" s="24"/>
      <c r="D953" s="24"/>
      <c r="E953" s="24"/>
      <c r="O953" s="21"/>
      <c r="AD953" s="21"/>
    </row>
    <row r="954" spans="3:30" ht="15.75" customHeight="1">
      <c r="C954" s="24"/>
      <c r="D954" s="24"/>
      <c r="E954" s="24"/>
      <c r="O954" s="21"/>
      <c r="AD954" s="21"/>
    </row>
    <row r="955" spans="3:30" ht="15.75" customHeight="1">
      <c r="C955" s="24"/>
      <c r="D955" s="24"/>
      <c r="E955" s="24"/>
      <c r="O955" s="21"/>
      <c r="AD955" s="21"/>
    </row>
    <row r="956" spans="3:30" ht="15.75" customHeight="1">
      <c r="C956" s="24"/>
      <c r="D956" s="24"/>
      <c r="E956" s="24"/>
      <c r="O956" s="21"/>
      <c r="AD956" s="21"/>
    </row>
    <row r="957" spans="3:30" ht="15.75" customHeight="1">
      <c r="C957" s="24"/>
      <c r="D957" s="24"/>
      <c r="E957" s="24"/>
      <c r="O957" s="21"/>
      <c r="AD957" s="21"/>
    </row>
    <row r="958" spans="3:30" ht="15.75" customHeight="1">
      <c r="C958" s="24"/>
      <c r="D958" s="24"/>
      <c r="E958" s="24"/>
      <c r="O958" s="21"/>
      <c r="AD958" s="21"/>
    </row>
    <row r="959" spans="3:30" ht="15.75" customHeight="1">
      <c r="C959" s="24"/>
      <c r="D959" s="24"/>
      <c r="E959" s="24"/>
      <c r="O959" s="21"/>
      <c r="AD959" s="21"/>
    </row>
    <row r="960" spans="3:30" ht="15.75" customHeight="1">
      <c r="C960" s="24"/>
      <c r="D960" s="24"/>
      <c r="E960" s="24"/>
      <c r="O960" s="21"/>
      <c r="AD960" s="21"/>
    </row>
    <row r="961" spans="3:30" ht="15.75" customHeight="1">
      <c r="C961" s="24"/>
      <c r="D961" s="24"/>
      <c r="E961" s="24"/>
      <c r="O961" s="21"/>
      <c r="AD961" s="21"/>
    </row>
    <row r="962" spans="3:30" ht="15.75" customHeight="1">
      <c r="C962" s="24"/>
      <c r="D962" s="24"/>
      <c r="E962" s="24"/>
      <c r="O962" s="21"/>
      <c r="AD962" s="21"/>
    </row>
    <row r="963" spans="3:30" ht="15.75" customHeight="1">
      <c r="C963" s="24"/>
      <c r="D963" s="24"/>
      <c r="E963" s="24"/>
      <c r="O963" s="21"/>
      <c r="AD963" s="21"/>
    </row>
    <row r="964" spans="3:30" ht="15.75" customHeight="1">
      <c r="C964" s="24"/>
      <c r="D964" s="24"/>
      <c r="E964" s="24"/>
      <c r="O964" s="21"/>
      <c r="AD964" s="21"/>
    </row>
    <row r="965" spans="3:30" ht="15.75" customHeight="1">
      <c r="C965" s="24"/>
      <c r="D965" s="24"/>
      <c r="E965" s="24"/>
      <c r="O965" s="21"/>
      <c r="AD965" s="21"/>
    </row>
    <row r="966" spans="3:30" ht="15.75" customHeight="1">
      <c r="C966" s="24"/>
      <c r="D966" s="24"/>
      <c r="E966" s="24"/>
      <c r="O966" s="21"/>
      <c r="AD966" s="21"/>
    </row>
    <row r="967" spans="3:30" ht="15.75" customHeight="1">
      <c r="C967" s="24"/>
      <c r="D967" s="24"/>
      <c r="E967" s="24"/>
      <c r="O967" s="21"/>
      <c r="AD967" s="21"/>
    </row>
    <row r="968" spans="3:30" ht="15.75" customHeight="1">
      <c r="C968" s="24"/>
      <c r="D968" s="24"/>
      <c r="E968" s="24"/>
      <c r="O968" s="21"/>
      <c r="AD968" s="21"/>
    </row>
    <row r="969" spans="3:30" ht="15.75" customHeight="1">
      <c r="C969" s="24"/>
      <c r="D969" s="24"/>
      <c r="E969" s="24"/>
      <c r="O969" s="21"/>
      <c r="AD969" s="21"/>
    </row>
    <row r="970" spans="3:30" ht="15.75" customHeight="1">
      <c r="C970" s="24"/>
      <c r="D970" s="24"/>
      <c r="E970" s="24"/>
      <c r="O970" s="21"/>
      <c r="AD970" s="21"/>
    </row>
    <row r="971" spans="3:30" ht="15.75" customHeight="1">
      <c r="C971" s="24"/>
      <c r="D971" s="24"/>
      <c r="E971" s="24"/>
      <c r="O971" s="21"/>
      <c r="AD971" s="21"/>
    </row>
    <row r="972" spans="3:30" ht="15.75" customHeight="1">
      <c r="C972" s="24"/>
      <c r="D972" s="24"/>
      <c r="E972" s="24"/>
      <c r="O972" s="21"/>
      <c r="AD972" s="21"/>
    </row>
    <row r="973" spans="3:30" ht="15.75" customHeight="1">
      <c r="C973" s="24"/>
      <c r="D973" s="24"/>
      <c r="E973" s="24"/>
      <c r="O973" s="21"/>
      <c r="AD973" s="21"/>
    </row>
    <row r="974" spans="3:30" ht="15.75" customHeight="1">
      <c r="C974" s="24"/>
      <c r="D974" s="24"/>
      <c r="E974" s="24"/>
      <c r="O974" s="21"/>
      <c r="AD974" s="21"/>
    </row>
    <row r="975" spans="3:30" ht="15.75" customHeight="1">
      <c r="C975" s="24"/>
      <c r="D975" s="24"/>
      <c r="E975" s="24"/>
      <c r="O975" s="21"/>
      <c r="AD975" s="21"/>
    </row>
    <row r="976" spans="3:30" ht="15.75" customHeight="1">
      <c r="C976" s="24"/>
      <c r="D976" s="24"/>
      <c r="E976" s="24"/>
      <c r="O976" s="21"/>
      <c r="AD976" s="21"/>
    </row>
    <row r="977" spans="3:30" ht="15.75" customHeight="1">
      <c r="C977" s="24"/>
      <c r="D977" s="24"/>
      <c r="E977" s="24"/>
      <c r="O977" s="21"/>
      <c r="AD977" s="21"/>
    </row>
    <row r="978" spans="3:30" ht="15.75" customHeight="1">
      <c r="C978" s="24"/>
      <c r="D978" s="24"/>
      <c r="E978" s="24"/>
      <c r="O978" s="21"/>
      <c r="AD978" s="21"/>
    </row>
    <row r="979" spans="3:30" ht="15.75" customHeight="1">
      <c r="C979" s="24"/>
      <c r="D979" s="24"/>
      <c r="E979" s="24"/>
      <c r="O979" s="21"/>
      <c r="AD979" s="21"/>
    </row>
    <row r="980" spans="3:30" ht="15.75" customHeight="1">
      <c r="C980" s="24"/>
      <c r="D980" s="24"/>
      <c r="E980" s="24"/>
      <c r="O980" s="21"/>
      <c r="AD980" s="21"/>
    </row>
    <row r="981" spans="3:30" ht="15.75" customHeight="1">
      <c r="C981" s="24"/>
      <c r="D981" s="24"/>
      <c r="E981" s="24"/>
      <c r="O981" s="21"/>
      <c r="AD981" s="21"/>
    </row>
    <row r="982" spans="3:30" ht="15.75" customHeight="1">
      <c r="C982" s="24"/>
      <c r="D982" s="24"/>
      <c r="E982" s="24"/>
      <c r="O982" s="21"/>
      <c r="AD982" s="21"/>
    </row>
    <row r="983" spans="3:30" ht="15.75" customHeight="1">
      <c r="C983" s="24"/>
      <c r="D983" s="24"/>
      <c r="E983" s="24"/>
      <c r="O983" s="21"/>
      <c r="AD983" s="21"/>
    </row>
    <row r="984" spans="3:30" ht="15.75" customHeight="1">
      <c r="C984" s="24"/>
      <c r="D984" s="24"/>
      <c r="E984" s="24"/>
      <c r="O984" s="21"/>
      <c r="AD984" s="21"/>
    </row>
    <row r="985" spans="3:30" ht="15.75" customHeight="1">
      <c r="C985" s="24"/>
      <c r="D985" s="24"/>
      <c r="E985" s="24"/>
      <c r="O985" s="21"/>
      <c r="AD985" s="21"/>
    </row>
    <row r="986" spans="3:30" ht="15.75" customHeight="1">
      <c r="C986" s="24"/>
      <c r="D986" s="24"/>
      <c r="E986" s="24"/>
      <c r="O986" s="21"/>
      <c r="AD986" s="21"/>
    </row>
    <row r="987" spans="3:30" ht="15.75" customHeight="1">
      <c r="C987" s="24"/>
      <c r="D987" s="24"/>
      <c r="E987" s="24"/>
      <c r="O987" s="21"/>
      <c r="AD987" s="21"/>
    </row>
    <row r="988" spans="3:30" ht="15.75" customHeight="1">
      <c r="C988" s="24"/>
      <c r="D988" s="24"/>
      <c r="E988" s="24"/>
      <c r="O988" s="21"/>
      <c r="AD988" s="21"/>
    </row>
    <row r="989" spans="3:30" ht="15.75" customHeight="1">
      <c r="C989" s="24"/>
      <c r="D989" s="24"/>
      <c r="E989" s="24"/>
      <c r="O989" s="21"/>
      <c r="AD989" s="21"/>
    </row>
    <row r="990" spans="3:30" ht="15.75" customHeight="1">
      <c r="C990" s="24"/>
      <c r="D990" s="24"/>
      <c r="E990" s="24"/>
      <c r="O990" s="21"/>
      <c r="AD990" s="21"/>
    </row>
    <row r="991" spans="3:30" ht="15.75" customHeight="1">
      <c r="C991" s="24"/>
      <c r="D991" s="24"/>
      <c r="E991" s="24"/>
      <c r="O991" s="21"/>
      <c r="AD991" s="21"/>
    </row>
    <row r="992" spans="3:30" ht="15.75" customHeight="1">
      <c r="C992" s="24"/>
      <c r="D992" s="24"/>
      <c r="E992" s="24"/>
      <c r="O992" s="21"/>
      <c r="AD992" s="21"/>
    </row>
    <row r="993" spans="3:30" ht="15.75" customHeight="1">
      <c r="C993" s="24"/>
      <c r="D993" s="24"/>
      <c r="E993" s="24"/>
      <c r="O993" s="21"/>
      <c r="AD993" s="21"/>
    </row>
    <row r="994" spans="3:30" ht="15.75" customHeight="1">
      <c r="C994" s="24"/>
      <c r="D994" s="24"/>
      <c r="E994" s="24"/>
      <c r="O994" s="21"/>
      <c r="AD994" s="21"/>
    </row>
    <row r="995" spans="3:30" ht="15.75" customHeight="1">
      <c r="C995" s="24"/>
      <c r="D995" s="24"/>
      <c r="E995" s="24"/>
      <c r="O995" s="21"/>
      <c r="AD995" s="21"/>
    </row>
    <row r="996" spans="3:30" ht="15.75" customHeight="1">
      <c r="C996" s="24"/>
      <c r="D996" s="24"/>
      <c r="E996" s="24"/>
      <c r="O996" s="21"/>
      <c r="AD996" s="21"/>
    </row>
    <row r="997" spans="3:30" ht="15.75" customHeight="1">
      <c r="C997" s="24"/>
      <c r="D997" s="24"/>
      <c r="E997" s="24"/>
      <c r="O997" s="21"/>
      <c r="AD997" s="21"/>
    </row>
    <row r="998" spans="3:30" ht="15.75" customHeight="1">
      <c r="C998" s="24"/>
      <c r="D998" s="24"/>
      <c r="E998" s="24"/>
      <c r="O998" s="21"/>
      <c r="AD998" s="21"/>
    </row>
    <row r="999" spans="3:30" ht="15.75" customHeight="1">
      <c r="C999" s="24"/>
      <c r="D999" s="24"/>
      <c r="E999" s="24"/>
      <c r="O999" s="21"/>
      <c r="AD999" s="21"/>
    </row>
    <row r="1000" spans="3:30" ht="15.75" customHeight="1">
      <c r="C1000" s="24"/>
      <c r="D1000" s="24"/>
      <c r="E1000" s="24"/>
      <c r="O1000" s="21"/>
      <c r="AD1000" s="2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1000"/>
  <sheetViews>
    <sheetView workbookViewId="0"/>
  </sheetViews>
  <sheetFormatPr baseColWidth="10" defaultColWidth="12.6640625" defaultRowHeight="15" customHeight="1"/>
  <cols>
    <col min="1" max="2" width="12.6640625" customWidth="1"/>
  </cols>
  <sheetData>
    <row r="1" spans="1:33" ht="57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4" t="s">
        <v>13</v>
      </c>
      <c r="O1" s="4" t="s">
        <v>356</v>
      </c>
      <c r="P1" s="5"/>
      <c r="Q1" s="6" t="s">
        <v>15</v>
      </c>
      <c r="R1" s="1" t="s">
        <v>2</v>
      </c>
      <c r="S1" s="1" t="s">
        <v>3</v>
      </c>
      <c r="T1" s="1" t="s">
        <v>4</v>
      </c>
      <c r="U1" s="4" t="s">
        <v>5</v>
      </c>
      <c r="V1" s="4" t="s">
        <v>6</v>
      </c>
      <c r="W1" s="4" t="s">
        <v>7</v>
      </c>
      <c r="X1" s="1" t="s">
        <v>8</v>
      </c>
      <c r="Y1" s="1" t="s">
        <v>9</v>
      </c>
      <c r="Z1" s="1" t="s">
        <v>10</v>
      </c>
      <c r="AA1" s="4" t="s">
        <v>11</v>
      </c>
      <c r="AB1" s="4" t="s">
        <v>12</v>
      </c>
      <c r="AC1" s="4" t="s">
        <v>13</v>
      </c>
      <c r="AD1" s="4" t="s">
        <v>356</v>
      </c>
      <c r="AE1" s="7"/>
      <c r="AF1" s="7"/>
      <c r="AG1" s="7"/>
    </row>
    <row r="2" spans="1:33" ht="14.4">
      <c r="A2" s="8">
        <v>10101</v>
      </c>
      <c r="B2" s="9" t="s">
        <v>16</v>
      </c>
      <c r="C2" s="8">
        <v>7568</v>
      </c>
      <c r="D2" s="8">
        <v>2838.222295075655</v>
      </c>
      <c r="E2" s="8">
        <v>111764</v>
      </c>
      <c r="F2" s="18">
        <f t="shared" ref="F2:F256" si="0">C2/E2</f>
        <v>6.7714111878601338E-2</v>
      </c>
      <c r="G2" s="18">
        <f t="shared" ref="G2:G256" si="1">D2/C2</f>
        <v>0.37502937302796707</v>
      </c>
      <c r="H2" s="18">
        <f t="shared" ref="H2:H256" si="2">F2*G2</f>
        <v>2.5394780922977478E-2</v>
      </c>
      <c r="I2" s="8">
        <v>2976</v>
      </c>
      <c r="J2" s="8">
        <v>1084.2222494184971</v>
      </c>
      <c r="K2" s="8">
        <v>178051</v>
      </c>
      <c r="L2" s="18">
        <f t="shared" ref="L2:L256" si="3">I2/K2</f>
        <v>1.6714312191450763E-2</v>
      </c>
      <c r="M2" s="18">
        <f t="shared" ref="M2:M256" si="4">J2/I2</f>
        <v>0.36432199241212937</v>
      </c>
      <c r="N2" s="18">
        <f t="shared" ref="N2:N256" si="5">L2*M2</f>
        <v>6.0893915193876861E-3</v>
      </c>
      <c r="O2" s="18">
        <f t="shared" ref="O2:O256" si="6">N2/H2</f>
        <v>0.23978909437560603</v>
      </c>
      <c r="Q2" s="25">
        <v>1</v>
      </c>
      <c r="R2" s="8">
        <v>63562</v>
      </c>
      <c r="S2" s="8">
        <v>25710.111761957407</v>
      </c>
      <c r="T2" s="8">
        <v>299778</v>
      </c>
      <c r="U2" s="18">
        <f t="shared" ref="U2:U12" si="7">R2/T2</f>
        <v>0.21203023570775709</v>
      </c>
      <c r="V2" s="18">
        <f t="shared" ref="V2:V12" si="8">S2/R2</f>
        <v>0.404488715930232</v>
      </c>
      <c r="W2" s="18">
        <f t="shared" ref="W2:W12" si="9">V2*U2</f>
        <v>8.5763837779815083E-2</v>
      </c>
      <c r="X2" s="8">
        <v>22852</v>
      </c>
      <c r="Y2" s="8">
        <v>8881.3335531651974</v>
      </c>
      <c r="Z2" s="8">
        <v>292963</v>
      </c>
      <c r="AA2" s="18">
        <f t="shared" ref="AA2:AA11" si="10">X2/Z2</f>
        <v>7.8003024272689722E-2</v>
      </c>
      <c r="AB2" s="18">
        <f t="shared" ref="AB2:AB11" si="11">Y2/X2</f>
        <v>0.3886457882533344</v>
      </c>
      <c r="AC2" s="18">
        <f t="shared" ref="AC2:AC11" si="12">AA2*AB2</f>
        <v>3.0315546854603474E-2</v>
      </c>
      <c r="AD2" s="18">
        <f t="shared" ref="AD2:AD11" si="13">AC2/W2</f>
        <v>0.35347703227126781</v>
      </c>
    </row>
    <row r="3" spans="1:33" ht="14.4">
      <c r="A3" s="8">
        <v>10102</v>
      </c>
      <c r="B3" s="9" t="s">
        <v>17</v>
      </c>
      <c r="C3" s="8">
        <v>535</v>
      </c>
      <c r="D3" s="8">
        <v>198.8888940513134</v>
      </c>
      <c r="E3" s="8">
        <v>6797</v>
      </c>
      <c r="F3" s="18">
        <f t="shared" si="0"/>
        <v>7.8711196115933496E-2</v>
      </c>
      <c r="G3" s="18">
        <f t="shared" si="1"/>
        <v>0.37175494215198768</v>
      </c>
      <c r="H3" s="18">
        <f t="shared" si="2"/>
        <v>2.9261276158792614E-2</v>
      </c>
      <c r="I3" s="8">
        <v>167</v>
      </c>
      <c r="J3" s="8">
        <v>58.888890445232391</v>
      </c>
      <c r="K3" s="8">
        <v>2183</v>
      </c>
      <c r="L3" s="18">
        <f t="shared" si="3"/>
        <v>7.6500229042601925E-2</v>
      </c>
      <c r="M3" s="18">
        <f t="shared" si="4"/>
        <v>0.35262808649839755</v>
      </c>
      <c r="N3" s="18">
        <f t="shared" si="5"/>
        <v>2.6976129383981855E-2</v>
      </c>
      <c r="O3" s="18">
        <f t="shared" si="6"/>
        <v>0.92190543015246773</v>
      </c>
      <c r="Q3" s="25">
        <v>2</v>
      </c>
      <c r="R3" s="8">
        <v>188058</v>
      </c>
      <c r="S3" s="8">
        <v>70020.668405085802</v>
      </c>
      <c r="T3" s="8">
        <v>1913981</v>
      </c>
      <c r="U3" s="18">
        <f t="shared" si="7"/>
        <v>9.8254893857358042E-2</v>
      </c>
      <c r="V3" s="18">
        <f t="shared" si="8"/>
        <v>0.37233549439580238</v>
      </c>
      <c r="W3" s="18">
        <f t="shared" si="9"/>
        <v>3.6583784481186495E-2</v>
      </c>
      <c r="X3" s="8">
        <v>30669</v>
      </c>
      <c r="Y3" s="8">
        <v>11274.88917312026</v>
      </c>
      <c r="Z3" s="8">
        <v>1057263</v>
      </c>
      <c r="AA3" s="18">
        <f t="shared" si="10"/>
        <v>2.9007919505364323E-2</v>
      </c>
      <c r="AB3" s="18">
        <f t="shared" si="11"/>
        <v>0.36763145759953897</v>
      </c>
      <c r="AC3" s="18">
        <f t="shared" si="12"/>
        <v>1.0664223729687184E-2</v>
      </c>
      <c r="AD3" s="18">
        <f t="shared" si="13"/>
        <v>0.29150138185324559</v>
      </c>
    </row>
    <row r="4" spans="1:33" ht="14.4">
      <c r="A4" s="8">
        <v>10103</v>
      </c>
      <c r="B4" s="9" t="s">
        <v>18</v>
      </c>
      <c r="C4" s="8">
        <v>6414</v>
      </c>
      <c r="D4" s="8">
        <v>2680.6667346954346</v>
      </c>
      <c r="E4" s="8">
        <v>11880</v>
      </c>
      <c r="F4" s="18">
        <f t="shared" si="0"/>
        <v>0.53989898989898988</v>
      </c>
      <c r="G4" s="18">
        <f t="shared" si="1"/>
        <v>0.41793993369121213</v>
      </c>
      <c r="H4" s="18">
        <f t="shared" si="2"/>
        <v>0.22564534803833625</v>
      </c>
      <c r="I4" s="8">
        <v>890</v>
      </c>
      <c r="J4" s="8">
        <v>352.44445270299911</v>
      </c>
      <c r="K4" s="8">
        <v>1727</v>
      </c>
      <c r="L4" s="18">
        <f t="shared" si="3"/>
        <v>0.5153445280833816</v>
      </c>
      <c r="M4" s="18">
        <f t="shared" si="4"/>
        <v>0.39600500303707764</v>
      </c>
      <c r="N4" s="18">
        <f t="shared" si="5"/>
        <v>0.20407901140880089</v>
      </c>
      <c r="O4" s="18">
        <f t="shared" si="6"/>
        <v>0.90442374807624515</v>
      </c>
      <c r="Q4" s="25">
        <v>3</v>
      </c>
      <c r="R4" s="8">
        <v>157553</v>
      </c>
      <c r="S4" s="8">
        <v>59117.223711133003</v>
      </c>
      <c r="T4" s="8">
        <v>1082748</v>
      </c>
      <c r="U4" s="18">
        <f t="shared" si="7"/>
        <v>0.14551215980080315</v>
      </c>
      <c r="V4" s="18">
        <f t="shared" si="8"/>
        <v>0.37522118722673009</v>
      </c>
      <c r="W4" s="18">
        <f t="shared" si="9"/>
        <v>5.4599245356383025E-2</v>
      </c>
      <c r="X4" s="8">
        <v>45866</v>
      </c>
      <c r="Y4" s="8">
        <v>16703.444872826338</v>
      </c>
      <c r="Z4" s="8">
        <v>899279</v>
      </c>
      <c r="AA4" s="18">
        <f t="shared" si="10"/>
        <v>5.100308135739854E-2</v>
      </c>
      <c r="AB4" s="18">
        <f t="shared" si="11"/>
        <v>0.36417923675110841</v>
      </c>
      <c r="AC4" s="18">
        <f t="shared" si="12"/>
        <v>1.8574263240692088E-2</v>
      </c>
      <c r="AD4" s="18">
        <f t="shared" si="13"/>
        <v>0.34019267335021197</v>
      </c>
    </row>
    <row r="5" spans="1:33" ht="14.4">
      <c r="A5" s="8">
        <v>10201</v>
      </c>
      <c r="B5" s="9" t="s">
        <v>19</v>
      </c>
      <c r="C5" s="8">
        <v>2457</v>
      </c>
      <c r="D5" s="8">
        <v>1041.8889136910439</v>
      </c>
      <c r="E5" s="8">
        <v>4388</v>
      </c>
      <c r="F5" s="18">
        <f t="shared" si="0"/>
        <v>0.55993618960802183</v>
      </c>
      <c r="G5" s="18">
        <f t="shared" si="1"/>
        <v>0.42404921192146677</v>
      </c>
      <c r="H5" s="18">
        <f t="shared" si="2"/>
        <v>0.23744049992959065</v>
      </c>
      <c r="I5" s="8">
        <v>1033</v>
      </c>
      <c r="J5" s="8">
        <v>424.55556553602219</v>
      </c>
      <c r="K5" s="8">
        <v>3451</v>
      </c>
      <c r="L5" s="18">
        <f t="shared" si="3"/>
        <v>0.29933352651405387</v>
      </c>
      <c r="M5" s="18">
        <f t="shared" si="4"/>
        <v>0.41099280303583946</v>
      </c>
      <c r="N5" s="18">
        <f t="shared" si="5"/>
        <v>0.12302392510461377</v>
      </c>
      <c r="O5" s="18">
        <f t="shared" si="6"/>
        <v>0.51812527829538191</v>
      </c>
      <c r="Q5" s="25">
        <v>4</v>
      </c>
      <c r="R5" s="8">
        <v>49250</v>
      </c>
      <c r="S5" s="8">
        <v>18146.000448822975</v>
      </c>
      <c r="T5" s="8">
        <v>339202</v>
      </c>
      <c r="U5" s="18">
        <f t="shared" si="7"/>
        <v>0.14519371937665462</v>
      </c>
      <c r="V5" s="18">
        <f t="shared" si="8"/>
        <v>0.36844670962077108</v>
      </c>
      <c r="W5" s="18">
        <f t="shared" si="9"/>
        <v>5.3496148161929991E-2</v>
      </c>
      <c r="X5" s="8">
        <v>7796</v>
      </c>
      <c r="Y5" s="8">
        <v>2855.6667375862598</v>
      </c>
      <c r="Z5" s="8">
        <v>220561</v>
      </c>
      <c r="AA5" s="18">
        <f t="shared" si="10"/>
        <v>3.5346230747956349E-2</v>
      </c>
      <c r="AB5" s="18">
        <f t="shared" si="11"/>
        <v>0.36629896582686761</v>
      </c>
      <c r="AC5" s="18">
        <f t="shared" si="12"/>
        <v>1.2947287768854239E-2</v>
      </c>
      <c r="AD5" s="18">
        <f t="shared" si="13"/>
        <v>0.24202280376642238</v>
      </c>
    </row>
    <row r="6" spans="1:33" ht="14.4">
      <c r="A6" s="8">
        <v>10202</v>
      </c>
      <c r="B6" s="9" t="s">
        <v>20</v>
      </c>
      <c r="C6" s="8">
        <v>4854</v>
      </c>
      <c r="D6" s="8">
        <v>1969.6667174696922</v>
      </c>
      <c r="E6" s="8">
        <v>13917</v>
      </c>
      <c r="F6" s="18">
        <f t="shared" si="0"/>
        <v>0.34878206510023713</v>
      </c>
      <c r="G6" s="18">
        <f t="shared" si="1"/>
        <v>0.40578218324468318</v>
      </c>
      <c r="H6" s="18">
        <f t="shared" si="2"/>
        <v>0.14152954785296343</v>
      </c>
      <c r="I6" s="8">
        <v>622</v>
      </c>
      <c r="J6" s="8">
        <v>248.00000613927841</v>
      </c>
      <c r="K6" s="8">
        <v>2798</v>
      </c>
      <c r="L6" s="18">
        <f t="shared" si="3"/>
        <v>0.22230164403145103</v>
      </c>
      <c r="M6" s="18">
        <f t="shared" si="4"/>
        <v>0.39871383623678203</v>
      </c>
      <c r="N6" s="18">
        <f t="shared" si="5"/>
        <v>8.8634741293523375E-2</v>
      </c>
      <c r="O6" s="18">
        <f t="shared" si="6"/>
        <v>0.62626315591431803</v>
      </c>
      <c r="Q6" s="25">
        <v>5</v>
      </c>
      <c r="R6" s="8">
        <v>123510</v>
      </c>
      <c r="S6" s="8">
        <v>47799.445642143488</v>
      </c>
      <c r="T6" s="8">
        <v>589426</v>
      </c>
      <c r="U6" s="18">
        <f t="shared" si="7"/>
        <v>0.20954284337643742</v>
      </c>
      <c r="V6" s="18">
        <f t="shared" si="8"/>
        <v>0.38700870894780576</v>
      </c>
      <c r="W6" s="18">
        <f t="shared" si="9"/>
        <v>8.1094905284367316E-2</v>
      </c>
      <c r="X6" s="8">
        <v>15852</v>
      </c>
      <c r="Y6" s="8">
        <v>6000.2223753333092</v>
      </c>
      <c r="Z6" s="8">
        <v>256812</v>
      </c>
      <c r="AA6" s="18">
        <f t="shared" si="10"/>
        <v>6.1726087566001592E-2</v>
      </c>
      <c r="AB6" s="18">
        <f t="shared" si="11"/>
        <v>0.37851516372276744</v>
      </c>
      <c r="AC6" s="18">
        <f t="shared" si="12"/>
        <v>2.3364260141010972E-2</v>
      </c>
      <c r="AD6" s="18">
        <f t="shared" si="13"/>
        <v>0.2881100860662193</v>
      </c>
    </row>
    <row r="7" spans="1:33" ht="14.4">
      <c r="A7" s="8">
        <v>10301</v>
      </c>
      <c r="B7" s="9" t="s">
        <v>21</v>
      </c>
      <c r="C7" s="8">
        <v>2560</v>
      </c>
      <c r="D7" s="8">
        <v>985.33335801959038</v>
      </c>
      <c r="E7" s="8">
        <v>11112</v>
      </c>
      <c r="F7" s="18">
        <f t="shared" si="0"/>
        <v>0.23038156947444205</v>
      </c>
      <c r="G7" s="18">
        <f t="shared" si="1"/>
        <v>0.3848958429764025</v>
      </c>
      <c r="H7" s="18">
        <f t="shared" si="2"/>
        <v>8.8672908389092017E-2</v>
      </c>
      <c r="I7" s="8">
        <v>338</v>
      </c>
      <c r="J7" s="8">
        <v>125.55555897951126</v>
      </c>
      <c r="K7" s="8">
        <v>2451</v>
      </c>
      <c r="L7" s="18">
        <f t="shared" si="3"/>
        <v>0.1379028967768258</v>
      </c>
      <c r="M7" s="18">
        <f t="shared" si="4"/>
        <v>0.37146615082695639</v>
      </c>
      <c r="N7" s="18">
        <f t="shared" si="5"/>
        <v>5.1226258253574568E-2</v>
      </c>
      <c r="O7" s="18">
        <f t="shared" si="6"/>
        <v>0.57769908740104092</v>
      </c>
      <c r="Q7" s="25">
        <v>6</v>
      </c>
      <c r="R7" s="8">
        <v>7844</v>
      </c>
      <c r="S7" s="8">
        <v>3006.2222958505154</v>
      </c>
      <c r="T7" s="8">
        <v>85798</v>
      </c>
      <c r="U7" s="18">
        <f t="shared" si="7"/>
        <v>9.1424042518473622E-2</v>
      </c>
      <c r="V7" s="18">
        <f t="shared" si="8"/>
        <v>0.38325118509058076</v>
      </c>
      <c r="W7" s="18">
        <f t="shared" si="9"/>
        <v>3.5038372640976659E-2</v>
      </c>
      <c r="X7" s="8">
        <v>17055</v>
      </c>
      <c r="Y7" s="8">
        <v>6288.6668273806572</v>
      </c>
      <c r="Z7" s="8">
        <v>437457</v>
      </c>
      <c r="AA7" s="18">
        <f t="shared" si="10"/>
        <v>3.8986688977430926E-2</v>
      </c>
      <c r="AB7" s="18">
        <f t="shared" si="11"/>
        <v>0.36872863250546217</v>
      </c>
      <c r="AC7" s="18">
        <f t="shared" si="12"/>
        <v>1.4375508512563881E-2</v>
      </c>
      <c r="AD7" s="18">
        <f t="shared" si="13"/>
        <v>0.41027900067915879</v>
      </c>
    </row>
    <row r="8" spans="1:33" ht="14.4">
      <c r="A8" s="8">
        <v>10302</v>
      </c>
      <c r="B8" s="9" t="s">
        <v>22</v>
      </c>
      <c r="C8" s="8">
        <v>3442</v>
      </c>
      <c r="D8" s="8">
        <v>1404.888924986124</v>
      </c>
      <c r="E8" s="8">
        <v>10133</v>
      </c>
      <c r="F8" s="18">
        <f t="shared" si="0"/>
        <v>0.33968222638902595</v>
      </c>
      <c r="G8" s="18">
        <f t="shared" si="1"/>
        <v>0.40816064061188961</v>
      </c>
      <c r="H8" s="18">
        <f t="shared" si="2"/>
        <v>0.13864491512741775</v>
      </c>
      <c r="I8" s="8">
        <v>585</v>
      </c>
      <c r="J8" s="8">
        <v>233.66667249798775</v>
      </c>
      <c r="K8" s="8">
        <v>2344</v>
      </c>
      <c r="L8" s="18">
        <f t="shared" si="3"/>
        <v>0.24957337883959044</v>
      </c>
      <c r="M8" s="18">
        <f t="shared" si="4"/>
        <v>0.39943020939826968</v>
      </c>
      <c r="N8" s="18">
        <f t="shared" si="5"/>
        <v>9.9687146970131299E-2</v>
      </c>
      <c r="O8" s="18">
        <f t="shared" si="6"/>
        <v>0.71901047996254752</v>
      </c>
      <c r="Q8" s="25">
        <v>7</v>
      </c>
      <c r="R8" s="8">
        <v>52197</v>
      </c>
      <c r="S8" s="8">
        <v>19191.556042402983</v>
      </c>
      <c r="T8" s="8">
        <v>659737</v>
      </c>
      <c r="U8" s="18">
        <f t="shared" si="7"/>
        <v>7.9117890917138195E-2</v>
      </c>
      <c r="V8" s="18">
        <f t="shared" si="8"/>
        <v>0.36767546108785915</v>
      </c>
      <c r="W8" s="18">
        <f t="shared" si="9"/>
        <v>2.9089707023257728E-2</v>
      </c>
      <c r="X8" s="8">
        <v>91419</v>
      </c>
      <c r="Y8" s="8">
        <v>33008.334184676409</v>
      </c>
      <c r="Z8" s="8">
        <v>2396340</v>
      </c>
      <c r="AA8" s="18">
        <f t="shared" si="10"/>
        <v>3.8149427877513208E-2</v>
      </c>
      <c r="AB8" s="18">
        <f t="shared" si="11"/>
        <v>0.36106645428933165</v>
      </c>
      <c r="AC8" s="18">
        <f t="shared" si="12"/>
        <v>1.3774478656900277E-2</v>
      </c>
      <c r="AD8" s="18">
        <f t="shared" si="13"/>
        <v>0.47351727007382166</v>
      </c>
    </row>
    <row r="9" spans="1:33" ht="14.4">
      <c r="A9" s="8">
        <v>10303</v>
      </c>
      <c r="B9" s="9" t="s">
        <v>23</v>
      </c>
      <c r="C9" s="8">
        <v>1225</v>
      </c>
      <c r="D9" s="8">
        <v>468.22223401069641</v>
      </c>
      <c r="E9" s="8">
        <v>6609</v>
      </c>
      <c r="F9" s="18">
        <f t="shared" si="0"/>
        <v>0.1853533060977455</v>
      </c>
      <c r="G9" s="18">
        <f t="shared" si="1"/>
        <v>0.38222223184546644</v>
      </c>
      <c r="H9" s="18">
        <f t="shared" si="2"/>
        <v>7.0846154336616188E-2</v>
      </c>
      <c r="I9" s="8">
        <v>518</v>
      </c>
      <c r="J9" s="8">
        <v>197.4444492161274</v>
      </c>
      <c r="K9" s="8">
        <v>2411</v>
      </c>
      <c r="L9" s="18">
        <f t="shared" si="3"/>
        <v>0.2148486105350477</v>
      </c>
      <c r="M9" s="18">
        <f t="shared" si="4"/>
        <v>0.38116689037862433</v>
      </c>
      <c r="N9" s="18">
        <f t="shared" si="5"/>
        <v>8.1893176779812282E-2</v>
      </c>
      <c r="O9" s="18">
        <f t="shared" si="6"/>
        <v>1.15592974024684</v>
      </c>
      <c r="Q9" s="25">
        <v>8</v>
      </c>
      <c r="R9" s="8">
        <v>39969</v>
      </c>
      <c r="S9" s="8">
        <v>17159.444889068604</v>
      </c>
      <c r="T9" s="8">
        <v>156236</v>
      </c>
      <c r="U9" s="18">
        <f t="shared" si="7"/>
        <v>0.2558245218771602</v>
      </c>
      <c r="V9" s="18">
        <f t="shared" si="8"/>
        <v>0.42931884433107165</v>
      </c>
      <c r="W9" s="18">
        <f t="shared" si="9"/>
        <v>0.10983028808385137</v>
      </c>
      <c r="X9" s="8">
        <v>47260</v>
      </c>
      <c r="Y9" s="8">
        <v>17402.667107641697</v>
      </c>
      <c r="Z9" s="8">
        <v>318355</v>
      </c>
      <c r="AA9" s="18">
        <f t="shared" si="10"/>
        <v>0.1484506290147791</v>
      </c>
      <c r="AB9" s="18">
        <f t="shared" si="11"/>
        <v>0.36823248217608329</v>
      </c>
      <c r="AC9" s="18">
        <f t="shared" si="12"/>
        <v>5.4664343602712995E-2</v>
      </c>
      <c r="AD9" s="18">
        <f t="shared" si="13"/>
        <v>0.49771647290025123</v>
      </c>
    </row>
    <row r="10" spans="1:33" ht="14.4">
      <c r="A10" s="8">
        <v>10304</v>
      </c>
      <c r="B10" s="9" t="s">
        <v>24</v>
      </c>
      <c r="C10" s="8">
        <v>2264</v>
      </c>
      <c r="D10" s="8">
        <v>893.44446703791618</v>
      </c>
      <c r="E10" s="8">
        <v>8401</v>
      </c>
      <c r="F10" s="18">
        <f t="shared" si="0"/>
        <v>0.26949172717533626</v>
      </c>
      <c r="G10" s="18">
        <f t="shared" si="1"/>
        <v>0.3946309483383022</v>
      </c>
      <c r="H10" s="18">
        <f t="shared" si="2"/>
        <v>0.10634977586452996</v>
      </c>
      <c r="I10" s="8">
        <v>224</v>
      </c>
      <c r="J10" s="8">
        <v>87.888891100883484</v>
      </c>
      <c r="K10" s="8">
        <v>725</v>
      </c>
      <c r="L10" s="18">
        <f t="shared" si="3"/>
        <v>0.30896551724137933</v>
      </c>
      <c r="M10" s="18">
        <f t="shared" si="4"/>
        <v>0.392361120986087</v>
      </c>
      <c r="N10" s="18">
        <f t="shared" si="5"/>
        <v>0.12122605669087379</v>
      </c>
      <c r="O10" s="18">
        <f t="shared" si="6"/>
        <v>1.1398806974947786</v>
      </c>
      <c r="Q10" s="25">
        <v>9</v>
      </c>
      <c r="R10" s="8">
        <v>6604</v>
      </c>
      <c r="S10" s="8">
        <v>2493.6667294204235</v>
      </c>
      <c r="T10" s="8">
        <v>42648</v>
      </c>
      <c r="U10" s="18">
        <f t="shared" si="7"/>
        <v>0.15484899643594072</v>
      </c>
      <c r="V10" s="18">
        <f t="shared" si="8"/>
        <v>0.37759944418843483</v>
      </c>
      <c r="W10" s="18">
        <f t="shared" si="9"/>
        <v>5.8470894987348143E-2</v>
      </c>
      <c r="X10" s="8">
        <v>10268</v>
      </c>
      <c r="Y10" s="8">
        <v>3842.8889847397804</v>
      </c>
      <c r="Z10" s="8">
        <v>85546</v>
      </c>
      <c r="AA10" s="18">
        <f t="shared" si="10"/>
        <v>0.12002899025085918</v>
      </c>
      <c r="AB10" s="18">
        <f t="shared" si="11"/>
        <v>0.37425876360925014</v>
      </c>
      <c r="AC10" s="18">
        <f t="shared" si="12"/>
        <v>4.4921901488553295E-2</v>
      </c>
      <c r="AD10" s="18">
        <f t="shared" si="13"/>
        <v>0.76827798682187842</v>
      </c>
    </row>
    <row r="11" spans="1:33" ht="14.4">
      <c r="A11" s="8">
        <v>10401</v>
      </c>
      <c r="B11" s="9" t="s">
        <v>25</v>
      </c>
      <c r="C11" s="8">
        <v>311</v>
      </c>
      <c r="D11" s="8">
        <v>119.33333605527878</v>
      </c>
      <c r="E11" s="8">
        <v>2047</v>
      </c>
      <c r="F11" s="18">
        <f t="shared" si="0"/>
        <v>0.15192965315095261</v>
      </c>
      <c r="G11" s="18">
        <f t="shared" si="1"/>
        <v>0.38370847606198966</v>
      </c>
      <c r="H11" s="18">
        <f t="shared" si="2"/>
        <v>5.8296695679178688E-2</v>
      </c>
      <c r="I11" s="8">
        <v>1262</v>
      </c>
      <c r="J11" s="8">
        <v>479.88890033960342</v>
      </c>
      <c r="K11" s="8">
        <v>7011</v>
      </c>
      <c r="L11" s="18">
        <f t="shared" si="3"/>
        <v>0.18000285266010554</v>
      </c>
      <c r="M11" s="18">
        <f t="shared" si="4"/>
        <v>0.38026061833566038</v>
      </c>
      <c r="N11" s="18">
        <f t="shared" si="5"/>
        <v>6.8447996054714508E-2</v>
      </c>
      <c r="O11" s="18">
        <f t="shared" si="6"/>
        <v>1.1741316597324996</v>
      </c>
      <c r="Q11" s="25">
        <v>10</v>
      </c>
      <c r="R11" s="19">
        <v>4112</v>
      </c>
      <c r="S11" s="19">
        <v>1589.3333727419376</v>
      </c>
      <c r="T11" s="19">
        <v>36985</v>
      </c>
      <c r="U11" s="18">
        <f t="shared" si="7"/>
        <v>0.11118020819251048</v>
      </c>
      <c r="V11" s="18">
        <f t="shared" si="8"/>
        <v>0.38651103422712491</v>
      </c>
      <c r="W11" s="18">
        <f t="shared" si="9"/>
        <v>4.2972377254074288E-2</v>
      </c>
      <c r="X11" s="19">
        <v>3799</v>
      </c>
      <c r="Y11" s="19">
        <v>1370.777813911438</v>
      </c>
      <c r="Z11" s="19">
        <v>117931</v>
      </c>
      <c r="AA11" s="18">
        <f t="shared" si="10"/>
        <v>3.221375210928424E-2</v>
      </c>
      <c r="AB11" s="18">
        <f t="shared" si="11"/>
        <v>0.36082595786034166</v>
      </c>
      <c r="AC11" s="18">
        <f t="shared" si="12"/>
        <v>1.1623557961108087E-2</v>
      </c>
      <c r="AD11" s="18">
        <f t="shared" si="13"/>
        <v>0.27048906073740747</v>
      </c>
    </row>
    <row r="12" spans="1:33" ht="14.4">
      <c r="A12" s="8">
        <v>10402</v>
      </c>
      <c r="B12" s="9" t="s">
        <v>26</v>
      </c>
      <c r="C12" s="8">
        <v>1177</v>
      </c>
      <c r="D12" s="8">
        <v>450.11112222075462</v>
      </c>
      <c r="E12" s="8">
        <v>6784</v>
      </c>
      <c r="F12" s="18">
        <f t="shared" si="0"/>
        <v>0.17349646226415094</v>
      </c>
      <c r="G12" s="18">
        <f t="shared" si="1"/>
        <v>0.38242236382392064</v>
      </c>
      <c r="H12" s="18">
        <f t="shared" si="2"/>
        <v>6.6348927214144246E-2</v>
      </c>
      <c r="I12" s="8">
        <v>236</v>
      </c>
      <c r="J12" s="8">
        <v>92.333335548639297</v>
      </c>
      <c r="K12" s="8">
        <v>1662</v>
      </c>
      <c r="L12" s="18">
        <f t="shared" si="3"/>
        <v>0.14199759326113118</v>
      </c>
      <c r="M12" s="18">
        <f t="shared" si="4"/>
        <v>0.39124294723999703</v>
      </c>
      <c r="N12" s="18">
        <f t="shared" si="5"/>
        <v>5.5555556888471302E-2</v>
      </c>
      <c r="O12" s="18">
        <f t="shared" si="6"/>
        <v>0.83732411692450071</v>
      </c>
      <c r="Q12" s="25">
        <v>11</v>
      </c>
      <c r="R12" s="19">
        <v>688547</v>
      </c>
      <c r="S12" s="19">
        <v>262644.3399258852</v>
      </c>
      <c r="T12" s="19">
        <v>5169554</v>
      </c>
      <c r="U12" s="18">
        <f t="shared" si="7"/>
        <v>0.13319272803804738</v>
      </c>
      <c r="V12" s="18">
        <f t="shared" si="8"/>
        <v>0.38144722136017611</v>
      </c>
      <c r="W12" s="18">
        <f t="shared" si="9"/>
        <v>5.0805996015494792E-2</v>
      </c>
      <c r="X12" s="19">
        <v>289037</v>
      </c>
      <c r="Y12" s="19">
        <v>106258.11381646991</v>
      </c>
      <c r="Z12" s="19">
        <v>5964576</v>
      </c>
      <c r="AA12" s="18">
        <v>4.8458934884893744E-2</v>
      </c>
      <c r="AB12" s="18">
        <v>0.36762806774381795</v>
      </c>
      <c r="AC12" s="18">
        <v>1.781486459665698E-2</v>
      </c>
      <c r="AD12" s="18">
        <v>0.35064492370593048</v>
      </c>
    </row>
    <row r="13" spans="1:33" ht="14.4">
      <c r="A13" s="8">
        <v>10403</v>
      </c>
      <c r="B13" s="9" t="s">
        <v>27</v>
      </c>
      <c r="C13" s="8">
        <v>2278</v>
      </c>
      <c r="D13" s="8">
        <v>920.77780038118362</v>
      </c>
      <c r="E13" s="8">
        <v>5894</v>
      </c>
      <c r="F13" s="18">
        <f t="shared" si="0"/>
        <v>0.3864947404139803</v>
      </c>
      <c r="G13" s="18">
        <f t="shared" si="1"/>
        <v>0.40420447777927287</v>
      </c>
      <c r="H13" s="18">
        <f t="shared" si="2"/>
        <v>0.15622290471346853</v>
      </c>
      <c r="I13" s="8">
        <v>232</v>
      </c>
      <c r="J13" s="8">
        <v>96.555558115243912</v>
      </c>
      <c r="K13" s="8">
        <v>1007</v>
      </c>
      <c r="L13" s="18">
        <f t="shared" si="3"/>
        <v>0.23038728897715988</v>
      </c>
      <c r="M13" s="18">
        <f t="shared" si="4"/>
        <v>0.416187750496741</v>
      </c>
      <c r="N13" s="18">
        <f t="shared" si="5"/>
        <v>9.588436754244678E-2</v>
      </c>
      <c r="O13" s="18">
        <f t="shared" si="6"/>
        <v>0.61376638539854422</v>
      </c>
      <c r="U13" s="21"/>
      <c r="V13" s="21"/>
      <c r="W13" s="21"/>
      <c r="AA13" s="21"/>
      <c r="AB13" s="21"/>
      <c r="AC13" s="21"/>
      <c r="AD13" s="21"/>
    </row>
    <row r="14" spans="1:33" ht="14.4">
      <c r="A14" s="8">
        <v>10404</v>
      </c>
      <c r="B14" s="9" t="s">
        <v>28</v>
      </c>
      <c r="C14" s="8">
        <v>188</v>
      </c>
      <c r="D14" s="8">
        <v>70.000001907348633</v>
      </c>
      <c r="E14" s="8">
        <v>1474</v>
      </c>
      <c r="F14" s="18">
        <f t="shared" si="0"/>
        <v>0.12754409769335143</v>
      </c>
      <c r="G14" s="18">
        <f t="shared" si="1"/>
        <v>0.37234043567738634</v>
      </c>
      <c r="H14" s="18">
        <f t="shared" si="2"/>
        <v>4.7489824903221595E-2</v>
      </c>
      <c r="I14" s="8">
        <v>158</v>
      </c>
      <c r="J14" s="8">
        <v>58.666668236255646</v>
      </c>
      <c r="K14" s="8">
        <v>2282</v>
      </c>
      <c r="L14" s="18">
        <f t="shared" si="3"/>
        <v>6.9237510955302367E-2</v>
      </c>
      <c r="M14" s="18">
        <f t="shared" si="4"/>
        <v>0.37130802681174457</v>
      </c>
      <c r="N14" s="18">
        <f t="shared" si="5"/>
        <v>2.5708443574169869E-2</v>
      </c>
      <c r="O14" s="18">
        <f t="shared" si="6"/>
        <v>0.54134635422557376</v>
      </c>
      <c r="U14" s="21"/>
      <c r="V14" s="21"/>
      <c r="W14" s="21"/>
      <c r="AA14" s="21"/>
      <c r="AB14" s="21"/>
      <c r="AC14" s="21"/>
      <c r="AD14" s="21"/>
    </row>
    <row r="15" spans="1:33" ht="14.4">
      <c r="A15" s="8">
        <v>10405</v>
      </c>
      <c r="B15" s="9" t="s">
        <v>29</v>
      </c>
      <c r="C15" s="8">
        <v>678</v>
      </c>
      <c r="D15" s="8">
        <v>265.22222831845284</v>
      </c>
      <c r="E15" s="8">
        <v>2839</v>
      </c>
      <c r="F15" s="18">
        <f t="shared" si="0"/>
        <v>0.23881648467770342</v>
      </c>
      <c r="G15" s="18">
        <f t="shared" si="1"/>
        <v>0.39118322760833751</v>
      </c>
      <c r="H15" s="18">
        <f t="shared" si="2"/>
        <v>9.3421003282301102E-2</v>
      </c>
      <c r="I15" s="8">
        <v>610</v>
      </c>
      <c r="J15" s="8">
        <v>240.44445043802261</v>
      </c>
      <c r="K15" s="8">
        <v>2800</v>
      </c>
      <c r="L15" s="18">
        <f t="shared" si="3"/>
        <v>0.21785714285714286</v>
      </c>
      <c r="M15" s="18">
        <f t="shared" si="4"/>
        <v>0.3941712302262666</v>
      </c>
      <c r="N15" s="18">
        <f t="shared" si="5"/>
        <v>8.5873018013579508E-2</v>
      </c>
      <c r="O15" s="18">
        <f t="shared" si="6"/>
        <v>0.91920462204935893</v>
      </c>
      <c r="U15" s="21"/>
      <c r="V15" s="21"/>
      <c r="W15" s="21"/>
      <c r="AA15" s="21"/>
      <c r="AB15" s="21"/>
      <c r="AC15" s="21"/>
      <c r="AD15" s="21"/>
    </row>
    <row r="16" spans="1:33" ht="14.4">
      <c r="A16" s="8">
        <v>10501</v>
      </c>
      <c r="B16" s="9" t="s">
        <v>30</v>
      </c>
      <c r="C16" s="8">
        <v>724</v>
      </c>
      <c r="D16" s="8">
        <v>283.00000730156898</v>
      </c>
      <c r="E16" s="8">
        <v>5624</v>
      </c>
      <c r="F16" s="18">
        <f t="shared" si="0"/>
        <v>0.1287339971550498</v>
      </c>
      <c r="G16" s="18">
        <f t="shared" si="1"/>
        <v>0.39088398798559254</v>
      </c>
      <c r="H16" s="18">
        <f t="shared" si="2"/>
        <v>5.0320058197291788E-2</v>
      </c>
      <c r="I16" s="8">
        <v>1968</v>
      </c>
      <c r="J16" s="8">
        <v>756.77779674530029</v>
      </c>
      <c r="K16" s="8">
        <v>18544</v>
      </c>
      <c r="L16" s="18">
        <f t="shared" si="3"/>
        <v>0.10612597066436583</v>
      </c>
      <c r="M16" s="18">
        <f t="shared" si="4"/>
        <v>0.38454156338683959</v>
      </c>
      <c r="N16" s="18">
        <f t="shared" si="5"/>
        <v>4.0809846675221112E-2</v>
      </c>
      <c r="O16" s="18">
        <f t="shared" si="6"/>
        <v>0.81100555399233398</v>
      </c>
      <c r="U16" s="21"/>
      <c r="V16" s="21"/>
      <c r="W16" s="21"/>
      <c r="AA16" s="21"/>
      <c r="AB16" s="21"/>
      <c r="AC16" s="21"/>
      <c r="AD16" s="21"/>
    </row>
    <row r="17" spans="1:30" ht="14.4">
      <c r="A17" s="8">
        <v>10502</v>
      </c>
      <c r="B17" s="9" t="s">
        <v>31</v>
      </c>
      <c r="C17" s="8">
        <v>1007</v>
      </c>
      <c r="D17" s="8">
        <v>384.22223126888275</v>
      </c>
      <c r="E17" s="8">
        <v>4025</v>
      </c>
      <c r="F17" s="18">
        <f t="shared" si="0"/>
        <v>0.2501863354037267</v>
      </c>
      <c r="G17" s="18">
        <f t="shared" si="1"/>
        <v>0.38155137166721226</v>
      </c>
      <c r="H17" s="18">
        <f t="shared" si="2"/>
        <v>9.5458939445685148E-2</v>
      </c>
      <c r="I17" s="8">
        <v>319</v>
      </c>
      <c r="J17" s="8">
        <v>115.22222512960434</v>
      </c>
      <c r="K17" s="8">
        <v>3038</v>
      </c>
      <c r="L17" s="18">
        <f t="shared" si="3"/>
        <v>0.10500329163923634</v>
      </c>
      <c r="M17" s="18">
        <f t="shared" si="4"/>
        <v>0.3611981978984462</v>
      </c>
      <c r="N17" s="18">
        <f t="shared" si="5"/>
        <v>3.7926999713497153E-2</v>
      </c>
      <c r="O17" s="18">
        <f t="shared" si="6"/>
        <v>0.39731218400008628</v>
      </c>
      <c r="U17" s="21"/>
      <c r="V17" s="21"/>
      <c r="W17" s="21"/>
      <c r="AA17" s="21"/>
      <c r="AB17" s="21"/>
      <c r="AC17" s="21"/>
      <c r="AD17" s="21"/>
    </row>
    <row r="18" spans="1:30" ht="14.4">
      <c r="A18" s="8">
        <v>10601</v>
      </c>
      <c r="B18" s="9" t="s">
        <v>32</v>
      </c>
      <c r="C18" s="8">
        <v>2396</v>
      </c>
      <c r="D18" s="8">
        <v>921.88891190290451</v>
      </c>
      <c r="E18" s="8">
        <v>9960</v>
      </c>
      <c r="F18" s="18">
        <f t="shared" si="0"/>
        <v>0.24056224899598394</v>
      </c>
      <c r="G18" s="18">
        <f t="shared" si="1"/>
        <v>0.38476164937516882</v>
      </c>
      <c r="H18" s="18">
        <f t="shared" si="2"/>
        <v>9.2559127701094826E-2</v>
      </c>
      <c r="I18" s="8">
        <v>698</v>
      </c>
      <c r="J18" s="8">
        <v>268.55556264519691</v>
      </c>
      <c r="K18" s="8">
        <v>3191</v>
      </c>
      <c r="L18" s="18">
        <f t="shared" si="3"/>
        <v>0.21874020683171419</v>
      </c>
      <c r="M18" s="18">
        <f t="shared" si="4"/>
        <v>0.38475008974956576</v>
      </c>
      <c r="N18" s="18">
        <f t="shared" si="5"/>
        <v>8.4160314210340606E-2</v>
      </c>
      <c r="O18" s="18">
        <f t="shared" si="6"/>
        <v>0.90926001898076581</v>
      </c>
      <c r="U18" s="21"/>
      <c r="V18" s="21"/>
      <c r="W18" s="21"/>
      <c r="AA18" s="21"/>
      <c r="AB18" s="21"/>
      <c r="AC18" s="21"/>
      <c r="AD18" s="21"/>
    </row>
    <row r="19" spans="1:30" ht="14.4">
      <c r="A19" s="8">
        <v>10602</v>
      </c>
      <c r="B19" s="9" t="s">
        <v>33</v>
      </c>
      <c r="C19" s="8">
        <v>1292</v>
      </c>
      <c r="D19" s="8">
        <v>487.11112293601036</v>
      </c>
      <c r="E19" s="8">
        <v>6242</v>
      </c>
      <c r="F19" s="18">
        <f t="shared" si="0"/>
        <v>0.20698494072412688</v>
      </c>
      <c r="G19" s="18">
        <f t="shared" si="1"/>
        <v>0.37702099298452812</v>
      </c>
      <c r="H19" s="18">
        <f t="shared" si="2"/>
        <v>7.8037667884654008E-2</v>
      </c>
      <c r="I19" s="8">
        <v>277</v>
      </c>
      <c r="J19" s="8">
        <v>104.77778041362762</v>
      </c>
      <c r="K19" s="8">
        <v>2184</v>
      </c>
      <c r="L19" s="18">
        <f t="shared" si="3"/>
        <v>0.12683150183150182</v>
      </c>
      <c r="M19" s="18">
        <f t="shared" si="4"/>
        <v>0.37825913506724773</v>
      </c>
      <c r="N19" s="18">
        <f t="shared" si="5"/>
        <v>4.7975174182063929E-2</v>
      </c>
      <c r="O19" s="18">
        <f t="shared" si="6"/>
        <v>0.6147694502221045</v>
      </c>
      <c r="U19" s="21"/>
      <c r="V19" s="21"/>
      <c r="W19" s="21"/>
      <c r="AA19" s="21"/>
      <c r="AB19" s="21"/>
      <c r="AC19" s="21"/>
      <c r="AD19" s="21"/>
    </row>
    <row r="20" spans="1:30" ht="14.4">
      <c r="A20" s="8">
        <v>10701</v>
      </c>
      <c r="B20" s="9" t="s">
        <v>34</v>
      </c>
      <c r="C20" s="8">
        <v>839</v>
      </c>
      <c r="D20" s="8">
        <v>320.55556297302246</v>
      </c>
      <c r="E20" s="8">
        <v>5375</v>
      </c>
      <c r="F20" s="18">
        <f t="shared" si="0"/>
        <v>0.15609302325581395</v>
      </c>
      <c r="G20" s="18">
        <f t="shared" si="1"/>
        <v>0.38206860902624845</v>
      </c>
      <c r="H20" s="18">
        <f t="shared" si="2"/>
        <v>5.9638244274050685E-2</v>
      </c>
      <c r="I20" s="8">
        <v>866</v>
      </c>
      <c r="J20" s="8">
        <v>320.44445204734802</v>
      </c>
      <c r="K20" s="8">
        <v>8931</v>
      </c>
      <c r="L20" s="18">
        <f t="shared" si="3"/>
        <v>9.6965625349904827E-2</v>
      </c>
      <c r="M20" s="18">
        <f t="shared" si="4"/>
        <v>0.37002823562049425</v>
      </c>
      <c r="N20" s="18">
        <f t="shared" si="5"/>
        <v>3.5880019264063152E-2</v>
      </c>
      <c r="O20" s="18">
        <f t="shared" si="6"/>
        <v>0.60162769210955758</v>
      </c>
      <c r="U20" s="21"/>
      <c r="V20" s="21"/>
      <c r="W20" s="21"/>
      <c r="AA20" s="21"/>
      <c r="AB20" s="21"/>
      <c r="AC20" s="21"/>
      <c r="AD20" s="21"/>
    </row>
    <row r="21" spans="1:30" ht="14.4">
      <c r="A21" s="8">
        <v>10702</v>
      </c>
      <c r="B21" s="9" t="s">
        <v>35</v>
      </c>
      <c r="C21" s="8">
        <v>7519</v>
      </c>
      <c r="D21" s="8">
        <v>3058.0000776648521</v>
      </c>
      <c r="E21" s="8">
        <v>23670</v>
      </c>
      <c r="F21" s="18">
        <f t="shared" si="0"/>
        <v>0.31765948457963666</v>
      </c>
      <c r="G21" s="18">
        <f t="shared" si="1"/>
        <v>0.40670302934763297</v>
      </c>
      <c r="H21" s="18">
        <f t="shared" si="2"/>
        <v>0.12919307467954594</v>
      </c>
      <c r="I21" s="8">
        <v>742</v>
      </c>
      <c r="J21" s="8">
        <v>289.88889646530151</v>
      </c>
      <c r="K21" s="8">
        <v>2932</v>
      </c>
      <c r="L21" s="18">
        <f t="shared" si="3"/>
        <v>0.25306957708049116</v>
      </c>
      <c r="M21" s="18">
        <f t="shared" si="4"/>
        <v>0.39068584429285919</v>
      </c>
      <c r="N21" s="18">
        <f t="shared" si="5"/>
        <v>9.8870701386528495E-2</v>
      </c>
      <c r="O21" s="18">
        <f t="shared" si="6"/>
        <v>0.7652941276594748</v>
      </c>
      <c r="U21" s="21"/>
      <c r="V21" s="21"/>
      <c r="W21" s="21"/>
      <c r="AA21" s="21"/>
      <c r="AB21" s="21"/>
      <c r="AC21" s="21"/>
      <c r="AD21" s="21"/>
    </row>
    <row r="22" spans="1:30" ht="14.4">
      <c r="A22" s="8">
        <v>10703</v>
      </c>
      <c r="B22" s="9" t="s">
        <v>36</v>
      </c>
      <c r="C22" s="8">
        <v>4632</v>
      </c>
      <c r="D22" s="8">
        <v>2068.1111653149128</v>
      </c>
      <c r="E22" s="8">
        <v>9169</v>
      </c>
      <c r="F22" s="18">
        <f t="shared" si="0"/>
        <v>0.50518049950921584</v>
      </c>
      <c r="G22" s="18">
        <f t="shared" si="1"/>
        <v>0.44648341220097426</v>
      </c>
      <c r="H22" s="18">
        <f t="shared" si="2"/>
        <v>0.22555471319826728</v>
      </c>
      <c r="I22" s="8">
        <v>2479</v>
      </c>
      <c r="J22" s="8">
        <v>1005.7778017222881</v>
      </c>
      <c r="K22" s="8">
        <v>6926</v>
      </c>
      <c r="L22" s="18">
        <f t="shared" si="3"/>
        <v>0.35792665319087497</v>
      </c>
      <c r="M22" s="18">
        <f t="shared" si="4"/>
        <v>0.40571916164674793</v>
      </c>
      <c r="N22" s="18">
        <f t="shared" si="5"/>
        <v>0.14521770166362807</v>
      </c>
      <c r="O22" s="18">
        <f t="shared" si="6"/>
        <v>0.64382472706734661</v>
      </c>
      <c r="U22" s="21"/>
      <c r="V22" s="21"/>
      <c r="W22" s="21"/>
      <c r="AA22" s="21"/>
      <c r="AB22" s="21"/>
      <c r="AC22" s="21"/>
      <c r="AD22" s="21"/>
    </row>
    <row r="23" spans="1:30" ht="14.4">
      <c r="A23" s="8">
        <v>10704</v>
      </c>
      <c r="B23" s="9" t="s">
        <v>37</v>
      </c>
      <c r="C23" s="8">
        <v>4367</v>
      </c>
      <c r="D23" s="8">
        <v>1906.2222712337971</v>
      </c>
      <c r="E23" s="8">
        <v>11421</v>
      </c>
      <c r="F23" s="18">
        <f t="shared" si="0"/>
        <v>0.38236581735399705</v>
      </c>
      <c r="G23" s="18">
        <f t="shared" si="1"/>
        <v>0.43650613034893454</v>
      </c>
      <c r="H23" s="18">
        <f t="shared" si="2"/>
        <v>0.16690502331090074</v>
      </c>
      <c r="I23" s="8">
        <v>534</v>
      </c>
      <c r="J23" s="8">
        <v>241.22222900390625</v>
      </c>
      <c r="K23" s="8">
        <v>2790</v>
      </c>
      <c r="L23" s="18">
        <f t="shared" si="3"/>
        <v>0.1913978494623656</v>
      </c>
      <c r="M23" s="18">
        <f t="shared" si="4"/>
        <v>0.451727020606566</v>
      </c>
      <c r="N23" s="18">
        <f t="shared" si="5"/>
        <v>8.6459580288138438E-2</v>
      </c>
      <c r="O23" s="18">
        <f t="shared" si="6"/>
        <v>0.51801664547319637</v>
      </c>
      <c r="U23" s="21"/>
      <c r="V23" s="21"/>
      <c r="W23" s="21"/>
      <c r="AA23" s="21"/>
      <c r="AB23" s="21"/>
      <c r="AC23" s="21"/>
      <c r="AD23" s="21"/>
    </row>
    <row r="24" spans="1:30" ht="14.4">
      <c r="A24" s="8">
        <v>10801</v>
      </c>
      <c r="B24" s="9" t="s">
        <v>38</v>
      </c>
      <c r="C24" s="8">
        <v>741</v>
      </c>
      <c r="D24" s="8">
        <v>284.77778482437134</v>
      </c>
      <c r="E24" s="8">
        <v>3545</v>
      </c>
      <c r="F24" s="18">
        <f t="shared" si="0"/>
        <v>0.20902679830747531</v>
      </c>
      <c r="G24" s="18">
        <f t="shared" si="1"/>
        <v>0.38431549908822044</v>
      </c>
      <c r="H24" s="18">
        <f t="shared" si="2"/>
        <v>8.0332238314350157E-2</v>
      </c>
      <c r="I24" s="8">
        <v>545</v>
      </c>
      <c r="J24" s="8">
        <v>214.55556035041809</v>
      </c>
      <c r="K24" s="8">
        <v>5447</v>
      </c>
      <c r="L24" s="18">
        <f t="shared" si="3"/>
        <v>0.10005507618872773</v>
      </c>
      <c r="M24" s="18">
        <f t="shared" si="4"/>
        <v>0.39367992724847356</v>
      </c>
      <c r="N24" s="18">
        <f t="shared" si="5"/>
        <v>3.9389675114818813E-2</v>
      </c>
      <c r="O24" s="18">
        <f t="shared" si="6"/>
        <v>0.49033458971580074</v>
      </c>
      <c r="U24" s="21"/>
      <c r="V24" s="21"/>
      <c r="W24" s="21"/>
      <c r="AA24" s="21"/>
      <c r="AB24" s="21"/>
      <c r="AC24" s="21"/>
      <c r="AD24" s="21"/>
    </row>
    <row r="25" spans="1:30" ht="14.4">
      <c r="A25" s="8">
        <v>10901</v>
      </c>
      <c r="B25" s="9" t="s">
        <v>39</v>
      </c>
      <c r="C25" s="8">
        <v>239</v>
      </c>
      <c r="D25" s="8">
        <v>95.222224622964859</v>
      </c>
      <c r="E25" s="8">
        <v>964</v>
      </c>
      <c r="F25" s="18">
        <f t="shared" si="0"/>
        <v>0.24792531120331951</v>
      </c>
      <c r="G25" s="18">
        <f t="shared" si="1"/>
        <v>0.39841934988688227</v>
      </c>
      <c r="H25" s="18">
        <f t="shared" si="2"/>
        <v>9.8778241310129522E-2</v>
      </c>
      <c r="I25" s="8">
        <v>477</v>
      </c>
      <c r="J25" s="8">
        <v>179.11111542582512</v>
      </c>
      <c r="K25" s="8">
        <v>4330</v>
      </c>
      <c r="L25" s="18">
        <f t="shared" si="3"/>
        <v>0.11016166281755196</v>
      </c>
      <c r="M25" s="18">
        <f t="shared" si="4"/>
        <v>0.37549500089271515</v>
      </c>
      <c r="N25" s="18">
        <f t="shared" si="5"/>
        <v>4.1365153678019663E-2</v>
      </c>
      <c r="O25" s="18">
        <f t="shared" si="6"/>
        <v>0.41876786961763557</v>
      </c>
      <c r="U25" s="21"/>
      <c r="V25" s="21"/>
      <c r="W25" s="21"/>
      <c r="AA25" s="21"/>
      <c r="AB25" s="21"/>
      <c r="AC25" s="21"/>
      <c r="AD25" s="21"/>
    </row>
    <row r="26" spans="1:30" ht="14.4">
      <c r="A26" s="8">
        <v>10902</v>
      </c>
      <c r="B26" s="9" t="s">
        <v>40</v>
      </c>
      <c r="C26" s="8">
        <v>2031</v>
      </c>
      <c r="D26" s="8">
        <v>845.22224399447441</v>
      </c>
      <c r="E26" s="8">
        <v>5384</v>
      </c>
      <c r="F26" s="18">
        <f t="shared" si="0"/>
        <v>0.37722882615156017</v>
      </c>
      <c r="G26" s="18">
        <f t="shared" si="1"/>
        <v>0.41616063219816563</v>
      </c>
      <c r="H26" s="18">
        <f t="shared" si="2"/>
        <v>0.1569877867746052</v>
      </c>
      <c r="I26" s="8">
        <v>2365</v>
      </c>
      <c r="J26" s="8">
        <v>938.44446721673012</v>
      </c>
      <c r="K26" s="8">
        <v>9415</v>
      </c>
      <c r="L26" s="18">
        <f t="shared" si="3"/>
        <v>0.25119490175252257</v>
      </c>
      <c r="M26" s="18">
        <f t="shared" si="4"/>
        <v>0.39680527155041445</v>
      </c>
      <c r="N26" s="18">
        <f t="shared" si="5"/>
        <v>9.9675461201989404E-2</v>
      </c>
      <c r="O26" s="18">
        <f t="shared" si="6"/>
        <v>0.63492494065858884</v>
      </c>
      <c r="U26" s="21"/>
      <c r="V26" s="21"/>
      <c r="W26" s="21"/>
      <c r="AA26" s="21"/>
      <c r="AB26" s="21"/>
      <c r="AC26" s="21"/>
      <c r="AD26" s="21"/>
    </row>
    <row r="27" spans="1:30" ht="14.4">
      <c r="A27" s="8">
        <v>10903</v>
      </c>
      <c r="B27" s="9" t="s">
        <v>41</v>
      </c>
      <c r="C27" s="8">
        <v>77</v>
      </c>
      <c r="D27" s="8">
        <v>28.666667282581329</v>
      </c>
      <c r="E27" s="8">
        <v>790</v>
      </c>
      <c r="F27" s="18">
        <f t="shared" si="0"/>
        <v>9.7468354430379753E-2</v>
      </c>
      <c r="G27" s="18">
        <f t="shared" si="1"/>
        <v>0.372294380293264</v>
      </c>
      <c r="H27" s="18">
        <f t="shared" si="2"/>
        <v>3.6286920610862444E-2</v>
      </c>
      <c r="I27" s="8">
        <v>658</v>
      </c>
      <c r="J27" s="8">
        <v>260.55556270480156</v>
      </c>
      <c r="K27" s="8">
        <v>4189</v>
      </c>
      <c r="L27" s="18">
        <f t="shared" si="3"/>
        <v>0.15707806158987825</v>
      </c>
      <c r="M27" s="18">
        <f t="shared" si="4"/>
        <v>0.39598109833556466</v>
      </c>
      <c r="N27" s="18">
        <f t="shared" si="5"/>
        <v>6.2199943352781464E-2</v>
      </c>
      <c r="O27" s="18">
        <f t="shared" si="6"/>
        <v>1.7141146811493833</v>
      </c>
      <c r="U27" s="21"/>
      <c r="V27" s="21"/>
      <c r="W27" s="21"/>
      <c r="AA27" s="21"/>
      <c r="AB27" s="21"/>
      <c r="AC27" s="21"/>
      <c r="AD27" s="21"/>
    </row>
    <row r="28" spans="1:30" ht="14.4">
      <c r="A28" s="8">
        <v>11001</v>
      </c>
      <c r="B28" s="9" t="s">
        <v>42</v>
      </c>
      <c r="C28" s="8">
        <v>1348</v>
      </c>
      <c r="D28" s="8">
        <v>569.6666806936264</v>
      </c>
      <c r="E28" s="8">
        <v>4725</v>
      </c>
      <c r="F28" s="18">
        <f t="shared" si="0"/>
        <v>0.28529100529100532</v>
      </c>
      <c r="G28" s="18">
        <f t="shared" si="1"/>
        <v>0.42260139517331335</v>
      </c>
      <c r="H28" s="18">
        <f t="shared" si="2"/>
        <v>0.12056437686637597</v>
      </c>
      <c r="I28" s="8">
        <v>721</v>
      </c>
      <c r="J28" s="8">
        <v>277.11111810803413</v>
      </c>
      <c r="K28" s="8">
        <v>5909</v>
      </c>
      <c r="L28" s="18">
        <f t="shared" si="3"/>
        <v>0.12201726180402775</v>
      </c>
      <c r="M28" s="18">
        <f t="shared" si="4"/>
        <v>0.38434274356176718</v>
      </c>
      <c r="N28" s="18">
        <f t="shared" si="5"/>
        <v>4.6896449163654444E-2</v>
      </c>
      <c r="O28" s="18">
        <f t="shared" si="6"/>
        <v>0.38897434202833198</v>
      </c>
      <c r="U28" s="21"/>
      <c r="V28" s="21"/>
      <c r="W28" s="21"/>
      <c r="AA28" s="21"/>
      <c r="AB28" s="21"/>
      <c r="AC28" s="21"/>
      <c r="AD28" s="21"/>
    </row>
    <row r="29" spans="1:30" ht="14.4">
      <c r="A29" s="8">
        <v>11002</v>
      </c>
      <c r="B29" s="9" t="s">
        <v>43</v>
      </c>
      <c r="C29" s="8">
        <v>136</v>
      </c>
      <c r="D29" s="8">
        <v>50.222223550081253</v>
      </c>
      <c r="E29" s="8">
        <v>1999</v>
      </c>
      <c r="F29" s="18">
        <f t="shared" si="0"/>
        <v>6.8034017008504255E-2</v>
      </c>
      <c r="G29" s="18">
        <f t="shared" si="1"/>
        <v>0.36928105551530332</v>
      </c>
      <c r="H29" s="18">
        <f t="shared" si="2"/>
        <v>2.5123673611846552E-2</v>
      </c>
      <c r="I29" s="8">
        <v>64</v>
      </c>
      <c r="J29" s="8">
        <v>24.3333340883255</v>
      </c>
      <c r="K29" s="8">
        <v>539</v>
      </c>
      <c r="L29" s="18">
        <f t="shared" si="3"/>
        <v>0.11873840445269017</v>
      </c>
      <c r="M29" s="18">
        <f t="shared" si="4"/>
        <v>0.38020834513008595</v>
      </c>
      <c r="N29" s="18">
        <f t="shared" si="5"/>
        <v>4.5145332260344159E-2</v>
      </c>
      <c r="O29" s="18">
        <f t="shared" si="6"/>
        <v>1.7969240071267605</v>
      </c>
      <c r="U29" s="21"/>
      <c r="V29" s="21"/>
      <c r="W29" s="21"/>
      <c r="AA29" s="21"/>
      <c r="AB29" s="21"/>
      <c r="AC29" s="21"/>
      <c r="AD29" s="21"/>
    </row>
    <row r="30" spans="1:30" ht="14.4">
      <c r="A30" s="8">
        <v>11003</v>
      </c>
      <c r="B30" s="9" t="s">
        <v>44</v>
      </c>
      <c r="C30" s="8">
        <v>263</v>
      </c>
      <c r="D30" s="8">
        <v>100.55555847287178</v>
      </c>
      <c r="E30" s="8">
        <v>2846</v>
      </c>
      <c r="F30" s="18">
        <f t="shared" si="0"/>
        <v>9.2410400562192546E-2</v>
      </c>
      <c r="G30" s="18">
        <f t="shared" si="1"/>
        <v>0.38234052651282047</v>
      </c>
      <c r="H30" s="18">
        <f t="shared" si="2"/>
        <v>3.5332241206209342E-2</v>
      </c>
      <c r="I30" s="8">
        <v>288</v>
      </c>
      <c r="J30" s="8">
        <v>104.00000238418579</v>
      </c>
      <c r="K30" s="8">
        <v>3695</v>
      </c>
      <c r="L30" s="18">
        <f t="shared" si="3"/>
        <v>7.7943166441136677E-2</v>
      </c>
      <c r="M30" s="18">
        <f t="shared" si="4"/>
        <v>0.361111119389534</v>
      </c>
      <c r="N30" s="18">
        <f t="shared" si="5"/>
        <v>2.8146144082323625E-2</v>
      </c>
      <c r="O30" s="18">
        <f t="shared" si="6"/>
        <v>0.79661360619764987</v>
      </c>
      <c r="U30" s="21"/>
      <c r="V30" s="21"/>
      <c r="W30" s="21"/>
      <c r="AA30" s="21"/>
      <c r="AB30" s="21"/>
      <c r="AC30" s="21"/>
      <c r="AD30" s="21"/>
    </row>
    <row r="31" spans="1:30" ht="14.4">
      <c r="A31" s="8">
        <v>20101</v>
      </c>
      <c r="B31" s="9" t="s">
        <v>45</v>
      </c>
      <c r="C31" s="8">
        <v>3751</v>
      </c>
      <c r="D31" s="8">
        <v>1367.7778124809265</v>
      </c>
      <c r="E31" s="8">
        <v>222581</v>
      </c>
      <c r="F31" s="18">
        <f t="shared" si="0"/>
        <v>1.6852291974606998E-2</v>
      </c>
      <c r="G31" s="18">
        <f t="shared" si="1"/>
        <v>0.36464351172512038</v>
      </c>
      <c r="H31" s="18">
        <f t="shared" si="2"/>
        <v>6.1450789262377592E-3</v>
      </c>
      <c r="I31" s="8">
        <v>1567</v>
      </c>
      <c r="J31" s="8">
        <v>549.66668155789375</v>
      </c>
      <c r="K31" s="8">
        <v>507545</v>
      </c>
      <c r="L31" s="18">
        <f t="shared" si="3"/>
        <v>3.0874109684855531E-3</v>
      </c>
      <c r="M31" s="18">
        <f t="shared" si="4"/>
        <v>0.35077644004970882</v>
      </c>
      <c r="N31" s="18">
        <f t="shared" si="5"/>
        <v>1.082991028495786E-3</v>
      </c>
      <c r="O31" s="18">
        <f t="shared" si="6"/>
        <v>0.17623712266277311</v>
      </c>
      <c r="U31" s="21"/>
      <c r="V31" s="21"/>
      <c r="W31" s="21"/>
      <c r="AA31" s="21"/>
      <c r="AB31" s="21"/>
      <c r="AC31" s="21"/>
      <c r="AD31" s="21"/>
    </row>
    <row r="32" spans="1:30" ht="14.4">
      <c r="A32" s="8">
        <v>20102</v>
      </c>
      <c r="B32" s="9" t="s">
        <v>46</v>
      </c>
      <c r="C32" s="8">
        <v>2879</v>
      </c>
      <c r="D32" s="8">
        <v>1071.777804851532</v>
      </c>
      <c r="E32" s="8">
        <v>19550</v>
      </c>
      <c r="F32" s="18">
        <f t="shared" si="0"/>
        <v>0.14726342710997442</v>
      </c>
      <c r="G32" s="18">
        <f t="shared" si="1"/>
        <v>0.37227433305020213</v>
      </c>
      <c r="H32" s="18">
        <f t="shared" si="2"/>
        <v>5.4822394110052783E-2</v>
      </c>
      <c r="I32" s="8">
        <v>375</v>
      </c>
      <c r="J32" s="8">
        <v>136.22222569584846</v>
      </c>
      <c r="K32" s="8">
        <v>2105</v>
      </c>
      <c r="L32" s="18">
        <f t="shared" si="3"/>
        <v>0.17814726840855108</v>
      </c>
      <c r="M32" s="18">
        <f t="shared" si="4"/>
        <v>0.36325926852226259</v>
      </c>
      <c r="N32" s="18">
        <f t="shared" si="5"/>
        <v>6.4713646411329442E-2</v>
      </c>
      <c r="O32" s="18">
        <f t="shared" si="6"/>
        <v>1.180423574377663</v>
      </c>
      <c r="U32" s="21"/>
      <c r="V32" s="21"/>
      <c r="W32" s="21"/>
      <c r="AA32" s="21"/>
      <c r="AB32" s="21"/>
      <c r="AC32" s="21"/>
      <c r="AD32" s="21"/>
    </row>
    <row r="33" spans="1:30" ht="14.4">
      <c r="A33" s="8">
        <v>20103</v>
      </c>
      <c r="B33" s="9" t="s">
        <v>47</v>
      </c>
      <c r="C33" s="8">
        <v>1549</v>
      </c>
      <c r="D33" s="8">
        <v>568.4444585442543</v>
      </c>
      <c r="E33" s="8">
        <v>15050</v>
      </c>
      <c r="F33" s="18">
        <f t="shared" si="0"/>
        <v>0.10292358803986711</v>
      </c>
      <c r="G33" s="18">
        <f t="shared" si="1"/>
        <v>0.36697511849209447</v>
      </c>
      <c r="H33" s="18">
        <f t="shared" si="2"/>
        <v>3.7770395916561748E-2</v>
      </c>
      <c r="I33" s="8">
        <v>135</v>
      </c>
      <c r="J33" s="8">
        <v>48.222223579883575</v>
      </c>
      <c r="K33" s="8">
        <v>5306</v>
      </c>
      <c r="L33" s="18">
        <f t="shared" si="3"/>
        <v>2.5442894836034676E-2</v>
      </c>
      <c r="M33" s="18">
        <f t="shared" si="4"/>
        <v>0.35720165614728572</v>
      </c>
      <c r="N33" s="18">
        <f t="shared" si="5"/>
        <v>9.08824417261281E-3</v>
      </c>
      <c r="O33" s="18">
        <f t="shared" si="6"/>
        <v>0.2406181866001503</v>
      </c>
      <c r="U33" s="21"/>
      <c r="V33" s="21"/>
      <c r="W33" s="21"/>
      <c r="AA33" s="21"/>
      <c r="AB33" s="21"/>
      <c r="AC33" s="21"/>
      <c r="AD33" s="21"/>
    </row>
    <row r="34" spans="1:30" ht="14.4">
      <c r="A34" s="8">
        <v>20104</v>
      </c>
      <c r="B34" s="9" t="s">
        <v>48</v>
      </c>
      <c r="C34" s="8">
        <v>4165</v>
      </c>
      <c r="D34" s="8">
        <v>1502.3333714008331</v>
      </c>
      <c r="E34" s="8">
        <v>32846</v>
      </c>
      <c r="F34" s="18">
        <f t="shared" si="0"/>
        <v>0.12680387261767034</v>
      </c>
      <c r="G34" s="18">
        <f t="shared" si="1"/>
        <v>0.36070429085254097</v>
      </c>
      <c r="H34" s="18">
        <f t="shared" si="2"/>
        <v>4.5738700949912718E-2</v>
      </c>
      <c r="I34" s="8">
        <v>1187</v>
      </c>
      <c r="J34" s="8">
        <v>420.33334481716156</v>
      </c>
      <c r="K34" s="8">
        <v>11855</v>
      </c>
      <c r="L34" s="18">
        <f t="shared" si="3"/>
        <v>0.10012652889076339</v>
      </c>
      <c r="M34" s="18">
        <f t="shared" si="4"/>
        <v>0.3541140225923855</v>
      </c>
      <c r="N34" s="18">
        <f t="shared" si="5"/>
        <v>3.5456207913720929E-2</v>
      </c>
      <c r="O34" s="18">
        <f t="shared" si="6"/>
        <v>0.77519053181130171</v>
      </c>
      <c r="U34" s="21"/>
      <c r="V34" s="21"/>
      <c r="W34" s="21"/>
      <c r="AA34" s="21"/>
      <c r="AB34" s="21"/>
      <c r="AC34" s="21"/>
      <c r="AD34" s="21"/>
    </row>
    <row r="35" spans="1:30" ht="14.4">
      <c r="A35" s="8">
        <v>20105</v>
      </c>
      <c r="B35" s="9" t="s">
        <v>49</v>
      </c>
      <c r="C35" s="8">
        <v>10577</v>
      </c>
      <c r="D35" s="8">
        <v>3780.4445418119431</v>
      </c>
      <c r="E35" s="8">
        <v>560337</v>
      </c>
      <c r="F35" s="18">
        <f t="shared" si="0"/>
        <v>1.8876140608241113E-2</v>
      </c>
      <c r="G35" s="18">
        <f t="shared" si="1"/>
        <v>0.35742124816223342</v>
      </c>
      <c r="H35" s="18">
        <f t="shared" si="2"/>
        <v>6.7467337366833588E-3</v>
      </c>
      <c r="I35" s="8">
        <v>3166</v>
      </c>
      <c r="J35" s="8">
        <v>1124.0000292062759</v>
      </c>
      <c r="K35" s="8">
        <v>317200</v>
      </c>
      <c r="L35" s="18">
        <f t="shared" si="3"/>
        <v>9.9810844892812105E-3</v>
      </c>
      <c r="M35" s="18">
        <f t="shared" si="4"/>
        <v>0.35502211914285403</v>
      </c>
      <c r="N35" s="18">
        <f t="shared" si="5"/>
        <v>3.5435057667284864E-3</v>
      </c>
      <c r="O35" s="18">
        <f t="shared" si="6"/>
        <v>0.52521796546701216</v>
      </c>
      <c r="U35" s="21"/>
      <c r="V35" s="21"/>
      <c r="W35" s="21"/>
      <c r="AA35" s="21"/>
      <c r="AB35" s="21"/>
      <c r="AC35" s="21"/>
      <c r="AD35" s="21"/>
    </row>
    <row r="36" spans="1:30" ht="14.4">
      <c r="A36" s="8">
        <v>20201</v>
      </c>
      <c r="B36" s="9" t="s">
        <v>50</v>
      </c>
      <c r="C36" s="8">
        <v>4190</v>
      </c>
      <c r="D36" s="8">
        <v>1543.7778168618679</v>
      </c>
      <c r="E36" s="8">
        <v>43509</v>
      </c>
      <c r="F36" s="18">
        <f t="shared" si="0"/>
        <v>9.6301914546415679E-2</v>
      </c>
      <c r="G36" s="18">
        <f t="shared" si="1"/>
        <v>0.36844339304579188</v>
      </c>
      <c r="H36" s="18">
        <f t="shared" si="2"/>
        <v>3.5481804152287293E-2</v>
      </c>
      <c r="I36" s="8">
        <v>223</v>
      </c>
      <c r="J36" s="8">
        <v>79.555557757616043</v>
      </c>
      <c r="K36" s="8">
        <v>3228</v>
      </c>
      <c r="L36" s="18">
        <f t="shared" si="3"/>
        <v>6.9083023543990082E-2</v>
      </c>
      <c r="M36" s="18">
        <f t="shared" si="4"/>
        <v>0.35675138007899571</v>
      </c>
      <c r="N36" s="18">
        <f t="shared" si="5"/>
        <v>2.4645463989348214E-2</v>
      </c>
      <c r="O36" s="18">
        <f t="shared" si="6"/>
        <v>0.69459444293109529</v>
      </c>
      <c r="U36" s="21"/>
      <c r="V36" s="21"/>
      <c r="W36" s="21"/>
      <c r="AA36" s="21"/>
      <c r="AB36" s="21"/>
      <c r="AC36" s="21"/>
      <c r="AD36" s="21"/>
    </row>
    <row r="37" spans="1:30" ht="14.4">
      <c r="A37" s="8">
        <v>20202</v>
      </c>
      <c r="B37" s="9" t="s">
        <v>51</v>
      </c>
      <c r="C37" s="8">
        <v>2797</v>
      </c>
      <c r="D37" s="8">
        <v>1031.0000261664391</v>
      </c>
      <c r="E37" s="8">
        <v>15956</v>
      </c>
      <c r="F37" s="18">
        <f t="shared" si="0"/>
        <v>0.17529456004011029</v>
      </c>
      <c r="G37" s="18">
        <f t="shared" si="1"/>
        <v>0.36860923352393243</v>
      </c>
      <c r="H37" s="18">
        <f t="shared" si="2"/>
        <v>6.4615193417300015E-2</v>
      </c>
      <c r="I37" s="8">
        <v>154</v>
      </c>
      <c r="J37" s="8">
        <v>55.555556863546371</v>
      </c>
      <c r="K37" s="8">
        <v>913</v>
      </c>
      <c r="L37" s="18">
        <f t="shared" si="3"/>
        <v>0.16867469879518071</v>
      </c>
      <c r="M37" s="18">
        <f t="shared" si="4"/>
        <v>0.3607503692438076</v>
      </c>
      <c r="N37" s="18">
        <f t="shared" si="5"/>
        <v>6.0849459872449468E-2</v>
      </c>
      <c r="O37" s="18">
        <f t="shared" si="6"/>
        <v>0.94172061792757378</v>
      </c>
      <c r="U37" s="21"/>
      <c r="V37" s="21"/>
      <c r="W37" s="21"/>
      <c r="AA37" s="21"/>
      <c r="AB37" s="21"/>
      <c r="AC37" s="21"/>
      <c r="AD37" s="21"/>
    </row>
    <row r="38" spans="1:30" ht="14.4">
      <c r="A38" s="8">
        <v>20203</v>
      </c>
      <c r="B38" s="9" t="s">
        <v>52</v>
      </c>
      <c r="C38" s="8">
        <v>591</v>
      </c>
      <c r="D38" s="8">
        <v>214.77778318524361</v>
      </c>
      <c r="E38" s="8">
        <v>6224</v>
      </c>
      <c r="F38" s="18">
        <f t="shared" si="0"/>
        <v>9.4955012853470439E-2</v>
      </c>
      <c r="G38" s="18">
        <f t="shared" si="1"/>
        <v>0.36341418474660508</v>
      </c>
      <c r="H38" s="18">
        <f t="shared" si="2"/>
        <v>3.4507998583747368E-2</v>
      </c>
      <c r="I38" s="8">
        <v>82</v>
      </c>
      <c r="J38" s="8">
        <v>31.444445192813873</v>
      </c>
      <c r="K38" s="8">
        <v>665</v>
      </c>
      <c r="L38" s="18">
        <f t="shared" si="3"/>
        <v>0.12330827067669173</v>
      </c>
      <c r="M38" s="18">
        <f t="shared" si="4"/>
        <v>0.38346884381480334</v>
      </c>
      <c r="N38" s="18">
        <f t="shared" si="5"/>
        <v>4.7284879989193798E-2</v>
      </c>
      <c r="O38" s="18">
        <f t="shared" si="6"/>
        <v>1.3702585467087653</v>
      </c>
      <c r="U38" s="21"/>
      <c r="V38" s="21"/>
      <c r="W38" s="21"/>
      <c r="AA38" s="21"/>
      <c r="AB38" s="21"/>
      <c r="AC38" s="21"/>
      <c r="AD38" s="21"/>
    </row>
    <row r="39" spans="1:30" ht="14.4">
      <c r="A39" s="8">
        <v>20204</v>
      </c>
      <c r="B39" s="9" t="s">
        <v>53</v>
      </c>
      <c r="C39" s="8">
        <v>801</v>
      </c>
      <c r="D39" s="8">
        <v>289.55556288361549</v>
      </c>
      <c r="E39" s="8">
        <v>7889</v>
      </c>
      <c r="F39" s="18">
        <f t="shared" si="0"/>
        <v>0.1015337812143491</v>
      </c>
      <c r="G39" s="18">
        <f t="shared" si="1"/>
        <v>0.36149258786968225</v>
      </c>
      <c r="H39" s="18">
        <f t="shared" si="2"/>
        <v>3.6703709327369181E-2</v>
      </c>
      <c r="I39" s="8">
        <v>66</v>
      </c>
      <c r="J39" s="8">
        <v>23.777778327465057</v>
      </c>
      <c r="K39" s="8">
        <v>700</v>
      </c>
      <c r="L39" s="18">
        <f t="shared" si="3"/>
        <v>9.4285714285714292E-2</v>
      </c>
      <c r="M39" s="18">
        <f t="shared" si="4"/>
        <v>0.36026936859795544</v>
      </c>
      <c r="N39" s="18">
        <f t="shared" si="5"/>
        <v>3.3968254753521512E-2</v>
      </c>
      <c r="O39" s="18">
        <f t="shared" si="6"/>
        <v>0.92547198569361222</v>
      </c>
      <c r="U39" s="21"/>
      <c r="V39" s="21"/>
      <c r="W39" s="21"/>
      <c r="AA39" s="21"/>
      <c r="AB39" s="21"/>
      <c r="AC39" s="21"/>
      <c r="AD39" s="21"/>
    </row>
    <row r="40" spans="1:30" ht="14.4">
      <c r="A40" s="8">
        <v>20205</v>
      </c>
      <c r="B40" s="9" t="s">
        <v>54</v>
      </c>
      <c r="C40" s="8">
        <v>717</v>
      </c>
      <c r="D40" s="8">
        <v>262.66667327284813</v>
      </c>
      <c r="E40" s="8">
        <v>8777</v>
      </c>
      <c r="F40" s="18">
        <f t="shared" si="0"/>
        <v>8.1690782727583455E-2</v>
      </c>
      <c r="G40" s="18">
        <f t="shared" si="1"/>
        <v>0.3663412458477659</v>
      </c>
      <c r="H40" s="18">
        <f t="shared" si="2"/>
        <v>2.9926703118702078E-2</v>
      </c>
      <c r="I40" s="8">
        <v>71</v>
      </c>
      <c r="J40" s="8">
        <v>28.888889580965042</v>
      </c>
      <c r="K40" s="8">
        <v>456</v>
      </c>
      <c r="L40" s="18">
        <f t="shared" si="3"/>
        <v>0.15570175438596492</v>
      </c>
      <c r="M40" s="18">
        <f t="shared" si="4"/>
        <v>0.40688576874598653</v>
      </c>
      <c r="N40" s="18">
        <f t="shared" si="5"/>
        <v>6.3352828028432118E-2</v>
      </c>
      <c r="O40" s="18">
        <f t="shared" si="6"/>
        <v>2.1169330873884693</v>
      </c>
      <c r="U40" s="21"/>
      <c r="V40" s="21"/>
      <c r="W40" s="21"/>
      <c r="AA40" s="21"/>
      <c r="AB40" s="21"/>
      <c r="AC40" s="21"/>
      <c r="AD40" s="21"/>
    </row>
    <row r="41" spans="1:30" ht="14.4">
      <c r="A41" s="8">
        <v>20206</v>
      </c>
      <c r="B41" s="9" t="s">
        <v>55</v>
      </c>
      <c r="C41" s="8">
        <v>269</v>
      </c>
      <c r="D41" s="8">
        <v>97.888891369104385</v>
      </c>
      <c r="E41" s="8">
        <v>4522</v>
      </c>
      <c r="F41" s="18">
        <f t="shared" si="0"/>
        <v>5.9486952675807163E-2</v>
      </c>
      <c r="G41" s="18">
        <f t="shared" si="1"/>
        <v>0.36389922442046241</v>
      </c>
      <c r="H41" s="18">
        <f t="shared" si="2"/>
        <v>2.1647255941862977E-2</v>
      </c>
      <c r="I41" s="8">
        <v>20</v>
      </c>
      <c r="J41" s="8">
        <v>7.0000001788139343</v>
      </c>
      <c r="K41" s="8">
        <v>512</v>
      </c>
      <c r="L41" s="18">
        <f t="shared" si="3"/>
        <v>3.90625E-2</v>
      </c>
      <c r="M41" s="18">
        <f t="shared" si="4"/>
        <v>0.35000000894069672</v>
      </c>
      <c r="N41" s="18">
        <f t="shared" si="5"/>
        <v>1.3671875349245965E-2</v>
      </c>
      <c r="O41" s="18">
        <f t="shared" si="6"/>
        <v>0.6315754470665419</v>
      </c>
      <c r="U41" s="21"/>
      <c r="V41" s="21"/>
      <c r="W41" s="21"/>
      <c r="AA41" s="21"/>
      <c r="AB41" s="21"/>
      <c r="AC41" s="21"/>
      <c r="AD41" s="21"/>
    </row>
    <row r="42" spans="1:30" ht="14.4">
      <c r="A42" s="8">
        <v>20301</v>
      </c>
      <c r="B42" s="9" t="s">
        <v>56</v>
      </c>
      <c r="C42" s="8">
        <v>2900</v>
      </c>
      <c r="D42" s="8">
        <v>1088.6666936576366</v>
      </c>
      <c r="E42" s="8">
        <v>11708</v>
      </c>
      <c r="F42" s="18">
        <f t="shared" si="0"/>
        <v>0.2476938845234028</v>
      </c>
      <c r="G42" s="18">
        <f t="shared" si="1"/>
        <v>0.37540230815780573</v>
      </c>
      <c r="H42" s="18">
        <f t="shared" si="2"/>
        <v>9.2984855966658397E-2</v>
      </c>
      <c r="I42" s="8">
        <v>238</v>
      </c>
      <c r="J42" s="8">
        <v>88.11111319065094</v>
      </c>
      <c r="K42" s="8">
        <v>1516</v>
      </c>
      <c r="L42" s="18">
        <f t="shared" si="3"/>
        <v>0.15699208443271767</v>
      </c>
      <c r="M42" s="18">
        <f t="shared" si="4"/>
        <v>0.37021476130525605</v>
      </c>
      <c r="N42" s="18">
        <f t="shared" si="5"/>
        <v>5.8120787065073176E-2</v>
      </c>
      <c r="O42" s="18">
        <f t="shared" si="6"/>
        <v>0.62505648323973917</v>
      </c>
      <c r="U42" s="21"/>
      <c r="V42" s="21"/>
      <c r="W42" s="21"/>
      <c r="AA42" s="21"/>
      <c r="AB42" s="21"/>
      <c r="AC42" s="21"/>
      <c r="AD42" s="21"/>
    </row>
    <row r="43" spans="1:30" ht="14.4">
      <c r="A43" s="8">
        <v>20302</v>
      </c>
      <c r="B43" s="9" t="s">
        <v>57</v>
      </c>
      <c r="C43" s="8">
        <v>2192</v>
      </c>
      <c r="D43" s="8">
        <v>804.11113059520721</v>
      </c>
      <c r="E43" s="8">
        <v>14680</v>
      </c>
      <c r="F43" s="18">
        <f t="shared" si="0"/>
        <v>0.14931880108991827</v>
      </c>
      <c r="G43" s="18">
        <f t="shared" si="1"/>
        <v>0.36683901943212011</v>
      </c>
      <c r="H43" s="18">
        <f t="shared" si="2"/>
        <v>5.4775962574605402E-2</v>
      </c>
      <c r="I43" s="8">
        <v>95</v>
      </c>
      <c r="J43" s="8">
        <v>33.555556416511536</v>
      </c>
      <c r="K43" s="8">
        <v>758</v>
      </c>
      <c r="L43" s="18">
        <f t="shared" si="3"/>
        <v>0.12532981530343007</v>
      </c>
      <c r="M43" s="18">
        <f t="shared" si="4"/>
        <v>0.35321638333170036</v>
      </c>
      <c r="N43" s="18">
        <f t="shared" si="5"/>
        <v>4.426854408510756E-2</v>
      </c>
      <c r="O43" s="18">
        <f t="shared" si="6"/>
        <v>0.80817464457723343</v>
      </c>
      <c r="U43" s="21"/>
      <c r="V43" s="21"/>
      <c r="W43" s="21"/>
      <c r="AA43" s="21"/>
      <c r="AB43" s="21"/>
      <c r="AC43" s="21"/>
      <c r="AD43" s="21"/>
    </row>
    <row r="44" spans="1:30" ht="14.4">
      <c r="A44" s="8">
        <v>20303</v>
      </c>
      <c r="B44" s="9" t="s">
        <v>58</v>
      </c>
      <c r="C44" s="8">
        <v>3058</v>
      </c>
      <c r="D44" s="8">
        <v>1140.1111382246017</v>
      </c>
      <c r="E44" s="8">
        <v>11547</v>
      </c>
      <c r="F44" s="18">
        <f t="shared" si="0"/>
        <v>0.26483069195462022</v>
      </c>
      <c r="G44" s="18">
        <f t="shared" si="1"/>
        <v>0.37282901838606991</v>
      </c>
      <c r="H44" s="18">
        <f t="shared" si="2"/>
        <v>9.8736566919944715E-2</v>
      </c>
      <c r="I44" s="8">
        <v>121</v>
      </c>
      <c r="J44" s="8">
        <v>44.222223281860352</v>
      </c>
      <c r="K44" s="8">
        <v>640</v>
      </c>
      <c r="L44" s="18">
        <f t="shared" si="3"/>
        <v>0.18906249999999999</v>
      </c>
      <c r="M44" s="18">
        <f t="shared" si="4"/>
        <v>0.36547291968479628</v>
      </c>
      <c r="N44" s="18">
        <f t="shared" si="5"/>
        <v>6.9097223877906788E-2</v>
      </c>
      <c r="O44" s="18">
        <f t="shared" si="6"/>
        <v>0.69981391933477488</v>
      </c>
      <c r="U44" s="21"/>
      <c r="V44" s="21"/>
      <c r="W44" s="21"/>
      <c r="AA44" s="21"/>
      <c r="AB44" s="21"/>
      <c r="AC44" s="21"/>
      <c r="AD44" s="21"/>
    </row>
    <row r="45" spans="1:30" ht="14.4">
      <c r="A45" s="8">
        <v>20304</v>
      </c>
      <c r="B45" s="9" t="s">
        <v>59</v>
      </c>
      <c r="C45" s="8">
        <v>528</v>
      </c>
      <c r="D45" s="8">
        <v>189.44444930553436</v>
      </c>
      <c r="E45" s="8">
        <v>4933</v>
      </c>
      <c r="F45" s="18">
        <f t="shared" si="0"/>
        <v>0.10703425907155889</v>
      </c>
      <c r="G45" s="18">
        <f t="shared" si="1"/>
        <v>0.35879630550290598</v>
      </c>
      <c r="H45" s="18">
        <f t="shared" si="2"/>
        <v>3.840349671711623E-2</v>
      </c>
      <c r="I45" s="8">
        <v>21</v>
      </c>
      <c r="J45" s="8">
        <v>7.4444446861743927</v>
      </c>
      <c r="K45" s="8">
        <v>291</v>
      </c>
      <c r="L45" s="18">
        <f t="shared" si="3"/>
        <v>7.2164948453608241E-2</v>
      </c>
      <c r="M45" s="18">
        <f t="shared" si="4"/>
        <v>0.35449736600830439</v>
      </c>
      <c r="N45" s="18">
        <f t="shared" si="5"/>
        <v>2.558228414492918E-2</v>
      </c>
      <c r="O45" s="18">
        <f t="shared" si="6"/>
        <v>0.66614465691420477</v>
      </c>
      <c r="U45" s="21"/>
      <c r="V45" s="21"/>
      <c r="W45" s="21"/>
      <c r="AA45" s="21"/>
      <c r="AB45" s="21"/>
      <c r="AC45" s="21"/>
      <c r="AD45" s="21"/>
    </row>
    <row r="46" spans="1:30" ht="14.4">
      <c r="A46" s="8">
        <v>20305</v>
      </c>
      <c r="B46" s="9" t="s">
        <v>60</v>
      </c>
      <c r="C46" s="8">
        <v>1301</v>
      </c>
      <c r="D46" s="8">
        <v>486.8889008462429</v>
      </c>
      <c r="E46" s="8">
        <v>3774</v>
      </c>
      <c r="F46" s="18">
        <f t="shared" si="0"/>
        <v>0.34472708002119767</v>
      </c>
      <c r="G46" s="18">
        <f t="shared" si="1"/>
        <v>0.37424204523154719</v>
      </c>
      <c r="H46" s="18">
        <f t="shared" si="2"/>
        <v>0.12901136747383224</v>
      </c>
      <c r="I46" s="8">
        <v>93</v>
      </c>
      <c r="J46" s="8">
        <v>36.555556327104568</v>
      </c>
      <c r="K46" s="8">
        <v>349</v>
      </c>
      <c r="L46" s="18">
        <f t="shared" si="3"/>
        <v>0.26647564469914042</v>
      </c>
      <c r="M46" s="18">
        <f t="shared" si="4"/>
        <v>0.39307049814090933</v>
      </c>
      <c r="N46" s="18">
        <f t="shared" si="5"/>
        <v>0.10474371440431109</v>
      </c>
      <c r="O46" s="18">
        <f t="shared" si="6"/>
        <v>0.81189523415877729</v>
      </c>
      <c r="U46" s="21"/>
      <c r="V46" s="21"/>
      <c r="W46" s="21"/>
      <c r="AA46" s="21"/>
      <c r="AB46" s="21"/>
      <c r="AC46" s="21"/>
      <c r="AD46" s="21"/>
    </row>
    <row r="47" spans="1:30" ht="14.4">
      <c r="A47" s="8">
        <v>20306</v>
      </c>
      <c r="B47" s="9" t="s">
        <v>61</v>
      </c>
      <c r="C47" s="8">
        <v>1056</v>
      </c>
      <c r="D47" s="8">
        <v>394.33334344625473</v>
      </c>
      <c r="E47" s="8">
        <v>5556</v>
      </c>
      <c r="F47" s="18">
        <f t="shared" si="0"/>
        <v>0.19006479481641469</v>
      </c>
      <c r="G47" s="18">
        <f t="shared" si="1"/>
        <v>0.37342172674834728</v>
      </c>
      <c r="H47" s="18">
        <f t="shared" si="2"/>
        <v>7.0974323874415907E-2</v>
      </c>
      <c r="I47" s="8">
        <v>103</v>
      </c>
      <c r="J47" s="8">
        <v>35.555556505918503</v>
      </c>
      <c r="K47" s="8">
        <v>516</v>
      </c>
      <c r="L47" s="18">
        <f t="shared" si="3"/>
        <v>0.19961240310077519</v>
      </c>
      <c r="M47" s="18">
        <f t="shared" si="4"/>
        <v>0.34519957772736409</v>
      </c>
      <c r="N47" s="18">
        <f t="shared" si="5"/>
        <v>6.8906117259531982E-2</v>
      </c>
      <c r="O47" s="18">
        <f t="shared" si="6"/>
        <v>0.97085979123177746</v>
      </c>
      <c r="U47" s="21"/>
      <c r="V47" s="21"/>
      <c r="W47" s="21"/>
      <c r="AA47" s="21"/>
      <c r="AB47" s="21"/>
      <c r="AC47" s="21"/>
      <c r="AD47" s="21"/>
    </row>
    <row r="48" spans="1:30" ht="14.4">
      <c r="A48" s="8">
        <v>20307</v>
      </c>
      <c r="B48" s="9" t="s">
        <v>62</v>
      </c>
      <c r="C48" s="8">
        <v>733</v>
      </c>
      <c r="D48" s="8">
        <v>267.22222849726677</v>
      </c>
      <c r="E48" s="8">
        <v>3580</v>
      </c>
      <c r="F48" s="18">
        <f t="shared" si="0"/>
        <v>0.2047486033519553</v>
      </c>
      <c r="G48" s="18">
        <f t="shared" si="1"/>
        <v>0.36455965688576641</v>
      </c>
      <c r="H48" s="18">
        <f t="shared" si="2"/>
        <v>7.4643080585828706E-2</v>
      </c>
      <c r="I48" s="8">
        <v>60</v>
      </c>
      <c r="J48" s="8">
        <v>22.111111700534821</v>
      </c>
      <c r="K48" s="8">
        <v>437</v>
      </c>
      <c r="L48" s="18">
        <f t="shared" si="3"/>
        <v>0.13729977116704806</v>
      </c>
      <c r="M48" s="18">
        <f t="shared" si="4"/>
        <v>0.36851852834224702</v>
      </c>
      <c r="N48" s="18">
        <f t="shared" si="5"/>
        <v>5.0597509612207832E-2</v>
      </c>
      <c r="O48" s="18">
        <f t="shared" si="6"/>
        <v>0.67785934362700961</v>
      </c>
      <c r="U48" s="21"/>
      <c r="V48" s="21"/>
      <c r="W48" s="21"/>
      <c r="AA48" s="21"/>
      <c r="AB48" s="21"/>
      <c r="AC48" s="21"/>
      <c r="AD48" s="21"/>
    </row>
    <row r="49" spans="1:30" ht="14.4">
      <c r="A49" s="8">
        <v>20308</v>
      </c>
      <c r="B49" s="9" t="s">
        <v>63</v>
      </c>
      <c r="C49" s="8">
        <v>2739</v>
      </c>
      <c r="D49" s="8">
        <v>1017.8889131844044</v>
      </c>
      <c r="E49" s="8">
        <v>7471</v>
      </c>
      <c r="F49" s="18">
        <f t="shared" si="0"/>
        <v>0.36661758800696026</v>
      </c>
      <c r="G49" s="18">
        <f t="shared" si="1"/>
        <v>0.37162793471500705</v>
      </c>
      <c r="H49" s="18">
        <f t="shared" si="2"/>
        <v>0.13624533706122396</v>
      </c>
      <c r="I49" s="8">
        <v>144</v>
      </c>
      <c r="J49" s="8">
        <v>51.666668027639389</v>
      </c>
      <c r="K49" s="8">
        <v>542</v>
      </c>
      <c r="L49" s="18">
        <f t="shared" si="3"/>
        <v>0.26568265682656828</v>
      </c>
      <c r="M49" s="18">
        <f t="shared" si="4"/>
        <v>0.35879630574749577</v>
      </c>
      <c r="N49" s="18">
        <f t="shared" si="5"/>
        <v>9.532595577055239E-2</v>
      </c>
      <c r="O49" s="18">
        <f t="shared" si="6"/>
        <v>0.69966398723588008</v>
      </c>
      <c r="U49" s="21"/>
      <c r="V49" s="21"/>
      <c r="W49" s="21"/>
      <c r="AA49" s="21"/>
      <c r="AB49" s="21"/>
      <c r="AC49" s="21"/>
      <c r="AD49" s="21"/>
    </row>
    <row r="50" spans="1:30" ht="14.4">
      <c r="A50" s="8">
        <v>20401</v>
      </c>
      <c r="B50" s="9" t="s">
        <v>64</v>
      </c>
      <c r="C50" s="8">
        <v>3366</v>
      </c>
      <c r="D50" s="8">
        <v>1250.6666970252991</v>
      </c>
      <c r="E50" s="8">
        <v>13192</v>
      </c>
      <c r="F50" s="18">
        <f t="shared" si="0"/>
        <v>0.25515463917525771</v>
      </c>
      <c r="G50" s="18">
        <f t="shared" si="1"/>
        <v>0.37155873351910251</v>
      </c>
      <c r="H50" s="18">
        <f t="shared" si="2"/>
        <v>9.4804934583482339E-2</v>
      </c>
      <c r="I50" s="8">
        <v>117</v>
      </c>
      <c r="J50" s="8">
        <v>42.33333432674408</v>
      </c>
      <c r="K50" s="8">
        <v>776</v>
      </c>
      <c r="L50" s="18">
        <f t="shared" si="3"/>
        <v>0.15077319587628865</v>
      </c>
      <c r="M50" s="18">
        <f t="shared" si="4"/>
        <v>0.36182337031405198</v>
      </c>
      <c r="N50" s="18">
        <f t="shared" si="5"/>
        <v>5.4553265884979482E-2</v>
      </c>
      <c r="O50" s="18">
        <f t="shared" si="6"/>
        <v>0.5754264387677156</v>
      </c>
      <c r="U50" s="21"/>
      <c r="V50" s="21"/>
      <c r="W50" s="21"/>
      <c r="AA50" s="21"/>
      <c r="AB50" s="21"/>
      <c r="AC50" s="21"/>
      <c r="AD50" s="21"/>
    </row>
    <row r="51" spans="1:30" ht="14.4">
      <c r="A51" s="8">
        <v>20402</v>
      </c>
      <c r="B51" s="9" t="s">
        <v>65</v>
      </c>
      <c r="C51" s="8">
        <v>3001</v>
      </c>
      <c r="D51" s="8">
        <v>1115.3333615064621</v>
      </c>
      <c r="E51" s="8">
        <v>16660</v>
      </c>
      <c r="F51" s="18">
        <f t="shared" si="0"/>
        <v>0.18013205282112846</v>
      </c>
      <c r="G51" s="18">
        <f t="shared" si="1"/>
        <v>0.37165390253464248</v>
      </c>
      <c r="H51" s="18">
        <f t="shared" si="2"/>
        <v>6.6946780402548742E-2</v>
      </c>
      <c r="I51" s="8">
        <v>163</v>
      </c>
      <c r="J51" s="8">
        <v>61.111112654209137</v>
      </c>
      <c r="K51" s="8">
        <v>1070</v>
      </c>
      <c r="L51" s="18">
        <f t="shared" si="3"/>
        <v>0.15233644859813084</v>
      </c>
      <c r="M51" s="18">
        <f t="shared" si="4"/>
        <v>0.37491480155956525</v>
      </c>
      <c r="N51" s="18">
        <f t="shared" si="5"/>
        <v>5.7113189396457133E-2</v>
      </c>
      <c r="O51" s="18">
        <f t="shared" si="6"/>
        <v>0.85311330960260434</v>
      </c>
      <c r="U51" s="21"/>
      <c r="V51" s="21"/>
      <c r="W51" s="21"/>
      <c r="AA51" s="21"/>
      <c r="AB51" s="21"/>
      <c r="AC51" s="21"/>
      <c r="AD51" s="21"/>
    </row>
    <row r="52" spans="1:30" ht="14.4">
      <c r="A52" s="8">
        <v>20403</v>
      </c>
      <c r="B52" s="9" t="s">
        <v>66</v>
      </c>
      <c r="C52" s="8">
        <v>2863</v>
      </c>
      <c r="D52" s="8">
        <v>1045.8889154791832</v>
      </c>
      <c r="E52" s="8">
        <v>15769</v>
      </c>
      <c r="F52" s="18">
        <f t="shared" si="0"/>
        <v>0.18155875451835882</v>
      </c>
      <c r="G52" s="18">
        <f t="shared" si="1"/>
        <v>0.36531223034550581</v>
      </c>
      <c r="H52" s="18">
        <f t="shared" si="2"/>
        <v>6.6325633551853835E-2</v>
      </c>
      <c r="I52" s="8">
        <v>194</v>
      </c>
      <c r="J52" s="8">
        <v>70.111112892627716</v>
      </c>
      <c r="K52" s="8">
        <v>1265</v>
      </c>
      <c r="L52" s="18">
        <f t="shared" si="3"/>
        <v>0.15335968379446641</v>
      </c>
      <c r="M52" s="18">
        <f t="shared" si="4"/>
        <v>0.36139748913725628</v>
      </c>
      <c r="N52" s="18">
        <f t="shared" si="5"/>
        <v>5.5423804658203728E-2</v>
      </c>
      <c r="O52" s="18">
        <f t="shared" si="6"/>
        <v>0.83563174130667017</v>
      </c>
      <c r="U52" s="21"/>
      <c r="V52" s="21"/>
      <c r="W52" s="21"/>
      <c r="AA52" s="21"/>
      <c r="AB52" s="21"/>
      <c r="AC52" s="21"/>
      <c r="AD52" s="21"/>
    </row>
    <row r="53" spans="1:30" ht="14.4">
      <c r="A53" s="8">
        <v>20404</v>
      </c>
      <c r="B53" s="9" t="s">
        <v>67</v>
      </c>
      <c r="C53" s="8">
        <v>1488</v>
      </c>
      <c r="D53" s="8">
        <v>572.00001442432404</v>
      </c>
      <c r="E53" s="8">
        <v>5512</v>
      </c>
      <c r="F53" s="18">
        <f t="shared" si="0"/>
        <v>0.26995645863570394</v>
      </c>
      <c r="G53" s="18">
        <f t="shared" si="1"/>
        <v>0.3844086118443038</v>
      </c>
      <c r="H53" s="18">
        <f t="shared" si="2"/>
        <v>0.10377358752255518</v>
      </c>
      <c r="I53" s="8">
        <v>41</v>
      </c>
      <c r="J53" s="8">
        <v>15.222222566604614</v>
      </c>
      <c r="K53" s="8">
        <v>139</v>
      </c>
      <c r="L53" s="18">
        <f t="shared" si="3"/>
        <v>0.29496402877697842</v>
      </c>
      <c r="M53" s="18">
        <f t="shared" si="4"/>
        <v>0.37127372113669793</v>
      </c>
      <c r="N53" s="18">
        <f t="shared" si="5"/>
        <v>0.10951239256550083</v>
      </c>
      <c r="O53" s="18">
        <f t="shared" si="6"/>
        <v>1.0553012108374717</v>
      </c>
      <c r="U53" s="21"/>
      <c r="V53" s="21"/>
      <c r="W53" s="21"/>
      <c r="AA53" s="21"/>
      <c r="AB53" s="21"/>
      <c r="AC53" s="21"/>
      <c r="AD53" s="21"/>
    </row>
    <row r="54" spans="1:30" ht="14.4">
      <c r="A54" s="8">
        <v>20405</v>
      </c>
      <c r="B54" s="9" t="s">
        <v>68</v>
      </c>
      <c r="C54" s="8">
        <v>1874</v>
      </c>
      <c r="D54" s="8">
        <v>704.11112833023071</v>
      </c>
      <c r="E54" s="8">
        <v>8297</v>
      </c>
      <c r="F54" s="18">
        <f t="shared" si="0"/>
        <v>0.22586477039893937</v>
      </c>
      <c r="G54" s="18">
        <f t="shared" si="1"/>
        <v>0.3757263224814465</v>
      </c>
      <c r="H54" s="18">
        <f t="shared" si="2"/>
        <v>8.486333956010976E-2</v>
      </c>
      <c r="I54" s="8">
        <v>100</v>
      </c>
      <c r="J54" s="8">
        <v>37.555556386709213</v>
      </c>
      <c r="K54" s="8">
        <v>515</v>
      </c>
      <c r="L54" s="18">
        <f t="shared" si="3"/>
        <v>0.1941747572815534</v>
      </c>
      <c r="M54" s="18">
        <f t="shared" si="4"/>
        <v>0.37555556386709216</v>
      </c>
      <c r="N54" s="18">
        <f t="shared" si="5"/>
        <v>7.2923410459629551E-2</v>
      </c>
      <c r="O54" s="18">
        <f t="shared" si="6"/>
        <v>0.85930403914845932</v>
      </c>
      <c r="U54" s="21"/>
      <c r="V54" s="21"/>
      <c r="W54" s="21"/>
      <c r="AA54" s="21"/>
      <c r="AB54" s="21"/>
      <c r="AC54" s="21"/>
      <c r="AD54" s="21"/>
    </row>
    <row r="55" spans="1:30" ht="14.4">
      <c r="A55" s="8">
        <v>20501</v>
      </c>
      <c r="B55" s="9" t="s">
        <v>69</v>
      </c>
      <c r="C55" s="8">
        <v>2406</v>
      </c>
      <c r="D55" s="8">
        <v>902.6666893362999</v>
      </c>
      <c r="E55" s="8">
        <v>15768</v>
      </c>
      <c r="F55" s="18">
        <f t="shared" si="0"/>
        <v>0.1525875190258752</v>
      </c>
      <c r="G55" s="18">
        <f t="shared" si="1"/>
        <v>0.37517318758782209</v>
      </c>
      <c r="H55" s="18">
        <f t="shared" si="2"/>
        <v>5.7246745899055047E-2</v>
      </c>
      <c r="I55" s="8">
        <v>192</v>
      </c>
      <c r="J55" s="8">
        <v>71.77777948975563</v>
      </c>
      <c r="K55" s="8">
        <v>2019</v>
      </c>
      <c r="L55" s="18">
        <f t="shared" si="3"/>
        <v>9.5096582466567603E-2</v>
      </c>
      <c r="M55" s="18">
        <f t="shared" si="4"/>
        <v>0.37384260150914389</v>
      </c>
      <c r="N55" s="18">
        <f t="shared" si="5"/>
        <v>3.5551153783930471E-2</v>
      </c>
      <c r="O55" s="18">
        <f t="shared" si="6"/>
        <v>0.62101615079779238</v>
      </c>
      <c r="U55" s="21"/>
      <c r="V55" s="21"/>
      <c r="W55" s="21"/>
      <c r="AA55" s="21"/>
      <c r="AB55" s="21"/>
      <c r="AC55" s="21"/>
      <c r="AD55" s="21"/>
    </row>
    <row r="56" spans="1:30" ht="14.4">
      <c r="A56" s="8">
        <v>20502</v>
      </c>
      <c r="B56" s="9" t="s">
        <v>70</v>
      </c>
      <c r="C56" s="8">
        <v>1751</v>
      </c>
      <c r="D56" s="8">
        <v>666.22223904728889</v>
      </c>
      <c r="E56" s="8">
        <v>7979</v>
      </c>
      <c r="F56" s="18">
        <f t="shared" si="0"/>
        <v>0.21945105902995363</v>
      </c>
      <c r="G56" s="18">
        <f t="shared" si="1"/>
        <v>0.38048100459582462</v>
      </c>
      <c r="H56" s="18">
        <f t="shared" si="2"/>
        <v>8.3496959399334367E-2</v>
      </c>
      <c r="I56" s="8">
        <v>191</v>
      </c>
      <c r="J56" s="8">
        <v>73.555557548999786</v>
      </c>
      <c r="K56" s="8">
        <v>1031</v>
      </c>
      <c r="L56" s="18">
        <f t="shared" si="3"/>
        <v>0.18525703200775945</v>
      </c>
      <c r="M56" s="18">
        <f t="shared" si="4"/>
        <v>0.38510763114659574</v>
      </c>
      <c r="N56" s="18">
        <f t="shared" si="5"/>
        <v>7.1343896749757302E-2</v>
      </c>
      <c r="O56" s="18">
        <f t="shared" si="6"/>
        <v>0.85444903937814587</v>
      </c>
      <c r="U56" s="21"/>
      <c r="V56" s="21"/>
      <c r="W56" s="21"/>
      <c r="AA56" s="21"/>
      <c r="AB56" s="21"/>
      <c r="AC56" s="21"/>
      <c r="AD56" s="21"/>
    </row>
    <row r="57" spans="1:30" ht="14.4">
      <c r="A57" s="8">
        <v>20503</v>
      </c>
      <c r="B57" s="9" t="s">
        <v>71</v>
      </c>
      <c r="C57" s="8">
        <v>1131</v>
      </c>
      <c r="D57" s="8">
        <v>428.33334428071976</v>
      </c>
      <c r="E57" s="8">
        <v>5635</v>
      </c>
      <c r="F57" s="18">
        <f t="shared" si="0"/>
        <v>0.20070984915705412</v>
      </c>
      <c r="G57" s="18">
        <f t="shared" si="1"/>
        <v>0.37872090564166205</v>
      </c>
      <c r="H57" s="18">
        <f t="shared" si="2"/>
        <v>7.6013015843960918E-2</v>
      </c>
      <c r="I57" s="8">
        <v>145</v>
      </c>
      <c r="J57" s="8">
        <v>56.222223788499832</v>
      </c>
      <c r="K57" s="8">
        <v>817</v>
      </c>
      <c r="L57" s="18">
        <f t="shared" si="3"/>
        <v>0.17747858017135862</v>
      </c>
      <c r="M57" s="18">
        <f t="shared" si="4"/>
        <v>0.38773947440344714</v>
      </c>
      <c r="N57" s="18">
        <f t="shared" si="5"/>
        <v>6.8815451393512639E-2</v>
      </c>
      <c r="O57" s="18">
        <f t="shared" si="6"/>
        <v>0.9053114210699994</v>
      </c>
      <c r="U57" s="21"/>
      <c r="V57" s="21"/>
      <c r="W57" s="21"/>
      <c r="AA57" s="21"/>
      <c r="AB57" s="21"/>
      <c r="AC57" s="21"/>
      <c r="AD57" s="21"/>
    </row>
    <row r="58" spans="1:30" ht="14.4">
      <c r="A58" s="8">
        <v>20601</v>
      </c>
      <c r="B58" s="9" t="s">
        <v>72</v>
      </c>
      <c r="C58" s="8">
        <v>3735</v>
      </c>
      <c r="D58" s="8">
        <v>1373.0000350177288</v>
      </c>
      <c r="E58" s="8">
        <v>25118</v>
      </c>
      <c r="F58" s="18">
        <f t="shared" si="0"/>
        <v>0.14869814475674814</v>
      </c>
      <c r="G58" s="18">
        <f t="shared" si="1"/>
        <v>0.36760375770220316</v>
      </c>
      <c r="H58" s="18">
        <f t="shared" si="2"/>
        <v>5.4661996775926772E-2</v>
      </c>
      <c r="I58" s="8">
        <v>656</v>
      </c>
      <c r="J58" s="8">
        <v>238.3333392739296</v>
      </c>
      <c r="K58" s="8">
        <v>4683</v>
      </c>
      <c r="L58" s="18">
        <f t="shared" si="3"/>
        <v>0.14008114456544951</v>
      </c>
      <c r="M58" s="18">
        <f t="shared" si="4"/>
        <v>0.36331301718586828</v>
      </c>
      <c r="N58" s="18">
        <f t="shared" si="5"/>
        <v>5.0893303282923255E-2</v>
      </c>
      <c r="O58" s="18">
        <f t="shared" si="6"/>
        <v>0.93105459523455869</v>
      </c>
      <c r="U58" s="21"/>
      <c r="V58" s="21"/>
      <c r="W58" s="21"/>
      <c r="AA58" s="21"/>
      <c r="AB58" s="21"/>
      <c r="AC58" s="21"/>
      <c r="AD58" s="21"/>
    </row>
    <row r="59" spans="1:30" ht="14.4">
      <c r="A59" s="8">
        <v>20602</v>
      </c>
      <c r="B59" s="9" t="s">
        <v>73</v>
      </c>
      <c r="C59" s="8">
        <v>1591</v>
      </c>
      <c r="D59" s="8">
        <v>601.88890320062637</v>
      </c>
      <c r="E59" s="8">
        <v>11991</v>
      </c>
      <c r="F59" s="18">
        <f t="shared" si="0"/>
        <v>0.13268284546743392</v>
      </c>
      <c r="G59" s="18">
        <f t="shared" si="1"/>
        <v>0.37830855009467401</v>
      </c>
      <c r="H59" s="18">
        <f t="shared" si="2"/>
        <v>5.0195054891220614E-2</v>
      </c>
      <c r="I59" s="8">
        <v>397</v>
      </c>
      <c r="J59" s="8">
        <v>144.22222584486008</v>
      </c>
      <c r="K59" s="8">
        <v>4052</v>
      </c>
      <c r="L59" s="18">
        <f t="shared" si="3"/>
        <v>9.7976307996051337E-2</v>
      </c>
      <c r="M59" s="18">
        <f t="shared" si="4"/>
        <v>0.3632801658560707</v>
      </c>
      <c r="N59" s="18">
        <f t="shared" si="5"/>
        <v>3.5592849418770993E-2</v>
      </c>
      <c r="O59" s="18">
        <f t="shared" si="6"/>
        <v>0.70909075596999449</v>
      </c>
      <c r="U59" s="21"/>
      <c r="V59" s="21"/>
      <c r="W59" s="21"/>
      <c r="AA59" s="21"/>
      <c r="AB59" s="21"/>
      <c r="AC59" s="21"/>
      <c r="AD59" s="21"/>
    </row>
    <row r="60" spans="1:30" ht="14.4">
      <c r="A60" s="8">
        <v>20603</v>
      </c>
      <c r="B60" s="9" t="s">
        <v>74</v>
      </c>
      <c r="C60" s="8">
        <v>1413</v>
      </c>
      <c r="D60" s="8">
        <v>535.3333466053009</v>
      </c>
      <c r="E60" s="8">
        <v>7757</v>
      </c>
      <c r="F60" s="18">
        <f t="shared" si="0"/>
        <v>0.18215805079283229</v>
      </c>
      <c r="G60" s="18">
        <f t="shared" si="1"/>
        <v>0.37886294876525189</v>
      </c>
      <c r="H60" s="18">
        <f t="shared" si="2"/>
        <v>6.9012936264702965E-2</v>
      </c>
      <c r="I60" s="8">
        <v>401</v>
      </c>
      <c r="J60" s="8">
        <v>146.66667068004608</v>
      </c>
      <c r="K60" s="8">
        <v>1758</v>
      </c>
      <c r="L60" s="18">
        <f t="shared" si="3"/>
        <v>0.22810011376564276</v>
      </c>
      <c r="M60" s="18">
        <f t="shared" si="4"/>
        <v>0.36575229596021469</v>
      </c>
      <c r="N60" s="18">
        <f t="shared" si="5"/>
        <v>8.3428140318570015E-2</v>
      </c>
      <c r="O60" s="18">
        <f t="shared" si="6"/>
        <v>1.2088768401126526</v>
      </c>
      <c r="U60" s="21"/>
      <c r="V60" s="21"/>
      <c r="W60" s="21"/>
      <c r="AA60" s="21"/>
      <c r="AB60" s="21"/>
      <c r="AC60" s="21"/>
      <c r="AD60" s="21"/>
    </row>
    <row r="61" spans="1:30" ht="14.4">
      <c r="A61" s="8">
        <v>20604</v>
      </c>
      <c r="B61" s="9" t="s">
        <v>75</v>
      </c>
      <c r="C61" s="8">
        <v>913</v>
      </c>
      <c r="D61" s="8">
        <v>344.55556392669678</v>
      </c>
      <c r="E61" s="8">
        <v>3648</v>
      </c>
      <c r="F61" s="18">
        <f t="shared" si="0"/>
        <v>0.25027412280701755</v>
      </c>
      <c r="G61" s="18">
        <f t="shared" si="1"/>
        <v>0.37738835041259233</v>
      </c>
      <c r="H61" s="18">
        <f t="shared" si="2"/>
        <v>9.4450538357098907E-2</v>
      </c>
      <c r="I61" s="8">
        <v>69</v>
      </c>
      <c r="J61" s="8">
        <v>27.333334177732468</v>
      </c>
      <c r="K61" s="8">
        <v>489</v>
      </c>
      <c r="L61" s="18">
        <f t="shared" si="3"/>
        <v>0.1411042944785276</v>
      </c>
      <c r="M61" s="18">
        <f t="shared" si="4"/>
        <v>0.39613527793815173</v>
      </c>
      <c r="N61" s="18">
        <f t="shared" si="5"/>
        <v>5.5896388911518338E-2</v>
      </c>
      <c r="O61" s="18">
        <f t="shared" si="6"/>
        <v>0.59180593233026457</v>
      </c>
      <c r="U61" s="21"/>
      <c r="V61" s="21"/>
      <c r="W61" s="21"/>
      <c r="AA61" s="21"/>
      <c r="AB61" s="21"/>
      <c r="AC61" s="21"/>
      <c r="AD61" s="21"/>
    </row>
    <row r="62" spans="1:30" ht="14.4">
      <c r="A62" s="8">
        <v>20605</v>
      </c>
      <c r="B62" s="9" t="s">
        <v>76</v>
      </c>
      <c r="C62" s="8">
        <v>573</v>
      </c>
      <c r="D62" s="8">
        <v>216.22222694754601</v>
      </c>
      <c r="E62" s="8">
        <v>3202</v>
      </c>
      <c r="F62" s="18">
        <f t="shared" si="0"/>
        <v>0.17895065584009995</v>
      </c>
      <c r="G62" s="18">
        <f t="shared" si="1"/>
        <v>0.37735118140932983</v>
      </c>
      <c r="H62" s="18">
        <f t="shared" si="2"/>
        <v>6.7527241395236109E-2</v>
      </c>
      <c r="I62" s="8">
        <v>34</v>
      </c>
      <c r="J62" s="8">
        <v>12.555555820465088</v>
      </c>
      <c r="K62" s="8">
        <v>315</v>
      </c>
      <c r="L62" s="18">
        <f t="shared" si="3"/>
        <v>0.10793650793650794</v>
      </c>
      <c r="M62" s="18">
        <f t="shared" si="4"/>
        <v>0.36928105354309082</v>
      </c>
      <c r="N62" s="18">
        <f t="shared" si="5"/>
        <v>3.9858907366555833E-2</v>
      </c>
      <c r="O62" s="18">
        <f t="shared" si="6"/>
        <v>0.59026411479275664</v>
      </c>
      <c r="U62" s="21"/>
      <c r="V62" s="21"/>
      <c r="W62" s="21"/>
      <c r="AA62" s="21"/>
      <c r="AB62" s="21"/>
      <c r="AC62" s="21"/>
      <c r="AD62" s="21"/>
    </row>
    <row r="63" spans="1:30" ht="14.4">
      <c r="A63" s="8">
        <v>20606</v>
      </c>
      <c r="B63" s="9" t="s">
        <v>77</v>
      </c>
      <c r="C63" s="8">
        <v>291</v>
      </c>
      <c r="D63" s="8">
        <v>105.33333584666252</v>
      </c>
      <c r="E63" s="8">
        <v>3201</v>
      </c>
      <c r="F63" s="18">
        <f t="shared" si="0"/>
        <v>9.0909090909090912E-2</v>
      </c>
      <c r="G63" s="18">
        <f t="shared" si="1"/>
        <v>0.36197022627719078</v>
      </c>
      <c r="H63" s="18">
        <f t="shared" si="2"/>
        <v>3.2906384207017345E-2</v>
      </c>
      <c r="I63" s="8">
        <v>312</v>
      </c>
      <c r="J63" s="8">
        <v>109.33333614468575</v>
      </c>
      <c r="K63" s="8">
        <v>4371</v>
      </c>
      <c r="L63" s="18">
        <f t="shared" si="3"/>
        <v>7.1379547014413181E-2</v>
      </c>
      <c r="M63" s="18">
        <f t="shared" si="4"/>
        <v>0.35042735943809533</v>
      </c>
      <c r="N63" s="18">
        <f t="shared" si="5"/>
        <v>2.5013346178148193E-2</v>
      </c>
      <c r="O63" s="18">
        <f t="shared" si="6"/>
        <v>0.76013657473840757</v>
      </c>
      <c r="U63" s="21"/>
      <c r="V63" s="21"/>
      <c r="W63" s="21"/>
      <c r="AA63" s="21"/>
      <c r="AB63" s="21"/>
      <c r="AC63" s="21"/>
      <c r="AD63" s="21"/>
    </row>
    <row r="64" spans="1:30" ht="14.4">
      <c r="A64" s="8">
        <v>20607</v>
      </c>
      <c r="B64" s="9" t="s">
        <v>78</v>
      </c>
      <c r="C64" s="8">
        <v>666</v>
      </c>
      <c r="D64" s="8">
        <v>250.33333948254585</v>
      </c>
      <c r="E64" s="8">
        <v>11245</v>
      </c>
      <c r="F64" s="18">
        <f t="shared" si="0"/>
        <v>5.9226322810137837E-2</v>
      </c>
      <c r="G64" s="18">
        <f t="shared" si="1"/>
        <v>0.37587588510892772</v>
      </c>
      <c r="H64" s="18">
        <f t="shared" si="2"/>
        <v>2.2261746508007635E-2</v>
      </c>
      <c r="I64" s="8">
        <v>524</v>
      </c>
      <c r="J64" s="8">
        <v>192.22222706675529</v>
      </c>
      <c r="K64" s="8">
        <v>8854</v>
      </c>
      <c r="L64" s="18">
        <f t="shared" si="3"/>
        <v>5.9182290490173935E-2</v>
      </c>
      <c r="M64" s="18">
        <f t="shared" si="4"/>
        <v>0.36683631119609789</v>
      </c>
      <c r="N64" s="18">
        <f t="shared" si="5"/>
        <v>2.1710213131551311E-2</v>
      </c>
      <c r="O64" s="18">
        <f t="shared" si="6"/>
        <v>0.97522506258626496</v>
      </c>
      <c r="U64" s="21"/>
      <c r="V64" s="21"/>
      <c r="W64" s="21"/>
      <c r="AA64" s="21"/>
      <c r="AB64" s="21"/>
      <c r="AC64" s="21"/>
      <c r="AD64" s="21"/>
    </row>
    <row r="65" spans="1:30" ht="14.4">
      <c r="A65" s="8">
        <v>20608</v>
      </c>
      <c r="B65" s="9" t="s">
        <v>79</v>
      </c>
      <c r="C65" s="8">
        <v>1988</v>
      </c>
      <c r="D65" s="8">
        <v>748.22224050760269</v>
      </c>
      <c r="E65" s="8">
        <v>8644</v>
      </c>
      <c r="F65" s="18">
        <f t="shared" si="0"/>
        <v>0.22998611753817677</v>
      </c>
      <c r="G65" s="18">
        <f t="shared" si="1"/>
        <v>0.37636933627142993</v>
      </c>
      <c r="H65" s="18">
        <f t="shared" si="2"/>
        <v>8.6559722409486659E-2</v>
      </c>
      <c r="I65" s="8">
        <v>861</v>
      </c>
      <c r="J65" s="8">
        <v>323.00000801682472</v>
      </c>
      <c r="K65" s="8">
        <v>4303</v>
      </c>
      <c r="L65" s="18">
        <f t="shared" si="3"/>
        <v>0.20009295840111549</v>
      </c>
      <c r="M65" s="18">
        <f t="shared" si="4"/>
        <v>0.3751451893342912</v>
      </c>
      <c r="N65" s="18">
        <f t="shared" si="5"/>
        <v>7.5063910763844929E-2</v>
      </c>
      <c r="O65" s="18">
        <f t="shared" si="6"/>
        <v>0.86719213826427632</v>
      </c>
      <c r="U65" s="21"/>
      <c r="V65" s="21"/>
      <c r="W65" s="21"/>
      <c r="AA65" s="21"/>
      <c r="AB65" s="21"/>
      <c r="AC65" s="21"/>
      <c r="AD65" s="21"/>
    </row>
    <row r="66" spans="1:30" ht="14.4">
      <c r="A66" s="8">
        <v>20701</v>
      </c>
      <c r="B66" s="9" t="s">
        <v>80</v>
      </c>
      <c r="C66" s="8">
        <v>3404</v>
      </c>
      <c r="D66" s="8">
        <v>1380.5555907785892</v>
      </c>
      <c r="E66" s="8">
        <v>14350</v>
      </c>
      <c r="F66" s="18">
        <f t="shared" si="0"/>
        <v>0.23721254355400698</v>
      </c>
      <c r="G66" s="18">
        <f t="shared" si="1"/>
        <v>0.40556862243789343</v>
      </c>
      <c r="H66" s="18">
        <f t="shared" si="2"/>
        <v>9.6205964514187406E-2</v>
      </c>
      <c r="I66" s="8">
        <v>538</v>
      </c>
      <c r="J66" s="8">
        <v>204.44444996118546</v>
      </c>
      <c r="K66" s="8">
        <v>4122</v>
      </c>
      <c r="L66" s="18">
        <f t="shared" si="3"/>
        <v>0.13051916545366327</v>
      </c>
      <c r="M66" s="18">
        <f t="shared" si="4"/>
        <v>0.38000827130331871</v>
      </c>
      <c r="N66" s="18">
        <f t="shared" si="5"/>
        <v>4.9598362435998411E-2</v>
      </c>
      <c r="O66" s="18">
        <f t="shared" si="6"/>
        <v>0.51554352878697229</v>
      </c>
      <c r="U66" s="21"/>
      <c r="V66" s="21"/>
      <c r="W66" s="21"/>
      <c r="AA66" s="21"/>
      <c r="AB66" s="21"/>
      <c r="AC66" s="21"/>
      <c r="AD66" s="21"/>
    </row>
    <row r="67" spans="1:30" ht="14.4">
      <c r="A67" s="8">
        <v>20702</v>
      </c>
      <c r="B67" s="9" t="s">
        <v>81</v>
      </c>
      <c r="C67" s="8">
        <v>993</v>
      </c>
      <c r="D67" s="8">
        <v>362.55556485056877</v>
      </c>
      <c r="E67" s="8">
        <v>7200</v>
      </c>
      <c r="F67" s="18">
        <f t="shared" si="0"/>
        <v>0.13791666666666666</v>
      </c>
      <c r="G67" s="18">
        <f t="shared" si="1"/>
        <v>0.36511134426039149</v>
      </c>
      <c r="H67" s="18">
        <f t="shared" si="2"/>
        <v>5.0354939562578992E-2</v>
      </c>
      <c r="I67" s="8">
        <v>217</v>
      </c>
      <c r="J67" s="8">
        <v>80.444446176290512</v>
      </c>
      <c r="K67" s="8">
        <v>1289</v>
      </c>
      <c r="L67" s="18">
        <f t="shared" si="3"/>
        <v>0.16834755624515127</v>
      </c>
      <c r="M67" s="18">
        <f t="shared" si="4"/>
        <v>0.37071173353129266</v>
      </c>
      <c r="N67" s="18">
        <f t="shared" si="5"/>
        <v>6.2408414411396822E-2</v>
      </c>
      <c r="O67" s="18">
        <f t="shared" si="6"/>
        <v>1.2393702574866221</v>
      </c>
      <c r="U67" s="21"/>
      <c r="V67" s="21"/>
      <c r="W67" s="21"/>
      <c r="AA67" s="21"/>
      <c r="AB67" s="21"/>
      <c r="AC67" s="21"/>
      <c r="AD67" s="21"/>
    </row>
    <row r="68" spans="1:30" ht="14.4">
      <c r="A68" s="8">
        <v>20801</v>
      </c>
      <c r="B68" s="9" t="s">
        <v>82</v>
      </c>
      <c r="C68" s="8">
        <v>5264</v>
      </c>
      <c r="D68" s="8">
        <v>1906.8889370560646</v>
      </c>
      <c r="E68" s="8">
        <v>82090</v>
      </c>
      <c r="F68" s="18">
        <f t="shared" si="0"/>
        <v>6.4124741137775609E-2</v>
      </c>
      <c r="G68" s="18">
        <f t="shared" si="1"/>
        <v>0.36225093789058976</v>
      </c>
      <c r="H68" s="18">
        <f t="shared" si="2"/>
        <v>2.32292476191505E-2</v>
      </c>
      <c r="I68" s="8">
        <v>1385</v>
      </c>
      <c r="J68" s="8">
        <v>499.00001272559166</v>
      </c>
      <c r="K68" s="8">
        <v>28911</v>
      </c>
      <c r="L68" s="18">
        <f t="shared" si="3"/>
        <v>4.7905641451350699E-2</v>
      </c>
      <c r="M68" s="18">
        <f t="shared" si="4"/>
        <v>0.36028881785241273</v>
      </c>
      <c r="N68" s="18">
        <f t="shared" si="5"/>
        <v>1.7259866926968685E-2</v>
      </c>
      <c r="O68" s="18">
        <f t="shared" si="6"/>
        <v>0.74302307203180451</v>
      </c>
      <c r="U68" s="21"/>
      <c r="V68" s="21"/>
      <c r="W68" s="21"/>
      <c r="AA68" s="21"/>
      <c r="AB68" s="21"/>
      <c r="AC68" s="21"/>
      <c r="AD68" s="21"/>
    </row>
    <row r="69" spans="1:30" ht="14.4">
      <c r="A69" s="8">
        <v>20802</v>
      </c>
      <c r="B69" s="9" t="s">
        <v>83</v>
      </c>
      <c r="C69" s="8">
        <v>582</v>
      </c>
      <c r="D69" s="8">
        <v>210.55556082725525</v>
      </c>
      <c r="E69" s="8">
        <v>7248</v>
      </c>
      <c r="F69" s="18">
        <f t="shared" si="0"/>
        <v>8.0298013245033106E-2</v>
      </c>
      <c r="G69" s="18">
        <f t="shared" si="1"/>
        <v>0.36177931413617742</v>
      </c>
      <c r="H69" s="18">
        <f t="shared" si="2"/>
        <v>2.9050160158285768E-2</v>
      </c>
      <c r="I69" s="8">
        <v>54</v>
      </c>
      <c r="J69" s="8">
        <v>20.555556178092957</v>
      </c>
      <c r="K69" s="8">
        <v>912</v>
      </c>
      <c r="L69" s="18">
        <f t="shared" si="3"/>
        <v>5.921052631578947E-2</v>
      </c>
      <c r="M69" s="18">
        <f t="shared" si="4"/>
        <v>0.38065844774246216</v>
      </c>
      <c r="N69" s="18">
        <f t="shared" si="5"/>
        <v>2.2538987037382628E-2</v>
      </c>
      <c r="O69" s="18">
        <f t="shared" si="6"/>
        <v>0.77586446734112047</v>
      </c>
      <c r="U69" s="21"/>
      <c r="V69" s="21"/>
      <c r="W69" s="21"/>
      <c r="AA69" s="21"/>
      <c r="AB69" s="21"/>
      <c r="AC69" s="21"/>
      <c r="AD69" s="21"/>
    </row>
    <row r="70" spans="1:30" ht="14.4">
      <c r="A70" s="8">
        <v>20803</v>
      </c>
      <c r="B70" s="9" t="s">
        <v>84</v>
      </c>
      <c r="C70" s="8">
        <v>2536</v>
      </c>
      <c r="D70" s="8">
        <v>987.55557927489281</v>
      </c>
      <c r="E70" s="8">
        <v>12417</v>
      </c>
      <c r="F70" s="18">
        <f t="shared" si="0"/>
        <v>0.20423612788918419</v>
      </c>
      <c r="G70" s="18">
        <f t="shared" si="1"/>
        <v>0.38941466059735519</v>
      </c>
      <c r="H70" s="18">
        <f t="shared" si="2"/>
        <v>7.9532542423684682E-2</v>
      </c>
      <c r="I70" s="8">
        <v>131</v>
      </c>
      <c r="J70" s="8">
        <v>48.222223460674286</v>
      </c>
      <c r="K70" s="8">
        <v>1204</v>
      </c>
      <c r="L70" s="18">
        <f t="shared" si="3"/>
        <v>0.10880398671096346</v>
      </c>
      <c r="M70" s="18">
        <f t="shared" si="4"/>
        <v>0.36810857603568159</v>
      </c>
      <c r="N70" s="18">
        <f t="shared" si="5"/>
        <v>4.0051680615177984E-2</v>
      </c>
      <c r="O70" s="18">
        <f t="shared" si="6"/>
        <v>0.50358858644069515</v>
      </c>
      <c r="U70" s="21"/>
      <c r="V70" s="21"/>
      <c r="W70" s="21"/>
      <c r="AA70" s="21"/>
      <c r="AB70" s="21"/>
      <c r="AC70" s="21"/>
      <c r="AD70" s="21"/>
    </row>
    <row r="71" spans="1:30" ht="14.4">
      <c r="A71" s="8">
        <v>20804</v>
      </c>
      <c r="B71" s="9" t="s">
        <v>85</v>
      </c>
      <c r="C71" s="8">
        <v>266</v>
      </c>
      <c r="D71" s="8">
        <v>95.555558025836945</v>
      </c>
      <c r="E71" s="8">
        <v>6641</v>
      </c>
      <c r="F71" s="18">
        <f t="shared" si="0"/>
        <v>4.0054208703508509E-2</v>
      </c>
      <c r="G71" s="18">
        <f t="shared" si="1"/>
        <v>0.35923142114976298</v>
      </c>
      <c r="H71" s="18">
        <f t="shared" si="2"/>
        <v>1.4388730315590566E-2</v>
      </c>
      <c r="I71" s="8">
        <v>28</v>
      </c>
      <c r="J71" s="8">
        <v>10.333333551883698</v>
      </c>
      <c r="K71" s="8">
        <v>1122</v>
      </c>
      <c r="L71" s="18">
        <f t="shared" si="3"/>
        <v>2.4955436720142603E-2</v>
      </c>
      <c r="M71" s="18">
        <f t="shared" si="4"/>
        <v>0.3690476268529892</v>
      </c>
      <c r="N71" s="18">
        <f t="shared" si="5"/>
        <v>9.2097446986485719E-3</v>
      </c>
      <c r="O71" s="18">
        <f t="shared" si="6"/>
        <v>0.64006653100375177</v>
      </c>
      <c r="U71" s="21"/>
      <c r="V71" s="21"/>
      <c r="W71" s="21"/>
      <c r="AA71" s="21"/>
      <c r="AB71" s="21"/>
      <c r="AC71" s="21"/>
      <c r="AD71" s="21"/>
    </row>
    <row r="72" spans="1:30" ht="14.4">
      <c r="A72" s="8">
        <v>20805</v>
      </c>
      <c r="B72" s="9" t="s">
        <v>86</v>
      </c>
      <c r="C72" s="8">
        <v>1144</v>
      </c>
      <c r="D72" s="8">
        <v>421.5555659532547</v>
      </c>
      <c r="E72" s="8">
        <v>7418</v>
      </c>
      <c r="F72" s="18">
        <f t="shared" si="0"/>
        <v>0.15421946616338636</v>
      </c>
      <c r="G72" s="18">
        <f t="shared" si="1"/>
        <v>0.36849262758151635</v>
      </c>
      <c r="H72" s="18">
        <f t="shared" si="2"/>
        <v>5.6828736310764995E-2</v>
      </c>
      <c r="I72" s="8">
        <v>77</v>
      </c>
      <c r="J72" s="8">
        <v>28.444445043802261</v>
      </c>
      <c r="K72" s="8">
        <v>456</v>
      </c>
      <c r="L72" s="18">
        <f t="shared" si="3"/>
        <v>0.16885964912280702</v>
      </c>
      <c r="M72" s="18">
        <f t="shared" si="4"/>
        <v>0.36940837719223718</v>
      </c>
      <c r="N72" s="18">
        <f t="shared" si="5"/>
        <v>6.2378168955706713E-2</v>
      </c>
      <c r="O72" s="18">
        <f t="shared" si="6"/>
        <v>1.0976518748295745</v>
      </c>
      <c r="U72" s="21"/>
      <c r="V72" s="21"/>
      <c r="W72" s="21"/>
      <c r="AA72" s="21"/>
      <c r="AB72" s="21"/>
      <c r="AC72" s="21"/>
      <c r="AD72" s="21"/>
    </row>
    <row r="73" spans="1:30" ht="14.4">
      <c r="A73" s="8">
        <v>20806</v>
      </c>
      <c r="B73" s="9" t="s">
        <v>87</v>
      </c>
      <c r="C73" s="8">
        <v>1991</v>
      </c>
      <c r="D73" s="8">
        <v>732.88890740275383</v>
      </c>
      <c r="E73" s="8">
        <v>15900</v>
      </c>
      <c r="F73" s="18">
        <f t="shared" si="0"/>
        <v>0.12522012578616351</v>
      </c>
      <c r="G73" s="18">
        <f t="shared" si="1"/>
        <v>0.3681009077864158</v>
      </c>
      <c r="H73" s="18">
        <f t="shared" si="2"/>
        <v>4.6093641975015961E-2</v>
      </c>
      <c r="I73" s="8">
        <v>100</v>
      </c>
      <c r="J73" s="8">
        <v>35.111112058162689</v>
      </c>
      <c r="K73" s="8">
        <v>1038</v>
      </c>
      <c r="L73" s="18">
        <f t="shared" si="3"/>
        <v>9.6339113680154145E-2</v>
      </c>
      <c r="M73" s="18">
        <f t="shared" si="4"/>
        <v>0.35111112058162691</v>
      </c>
      <c r="N73" s="18">
        <f t="shared" si="5"/>
        <v>3.3825734160079668E-2</v>
      </c>
      <c r="O73" s="18">
        <f t="shared" si="6"/>
        <v>0.73384815585659646</v>
      </c>
      <c r="U73" s="21"/>
      <c r="V73" s="21"/>
      <c r="W73" s="21"/>
      <c r="AA73" s="21"/>
      <c r="AB73" s="21"/>
      <c r="AC73" s="21"/>
      <c r="AD73" s="21"/>
    </row>
    <row r="74" spans="1:30" ht="14.4">
      <c r="A74" s="8">
        <v>20807</v>
      </c>
      <c r="B74" s="9" t="s">
        <v>88</v>
      </c>
      <c r="C74" s="8">
        <v>797</v>
      </c>
      <c r="D74" s="8">
        <v>290.88889595866203</v>
      </c>
      <c r="E74" s="8">
        <v>7004</v>
      </c>
      <c r="F74" s="18">
        <f t="shared" si="0"/>
        <v>0.11379211878926328</v>
      </c>
      <c r="G74" s="18">
        <f t="shared" si="1"/>
        <v>0.3649797941764894</v>
      </c>
      <c r="H74" s="18">
        <f t="shared" si="2"/>
        <v>4.1531824094611945E-2</v>
      </c>
      <c r="I74" s="8">
        <v>51</v>
      </c>
      <c r="J74" s="8">
        <v>17.666667133569717</v>
      </c>
      <c r="K74" s="8">
        <v>446</v>
      </c>
      <c r="L74" s="18">
        <f t="shared" si="3"/>
        <v>0.11434977578475336</v>
      </c>
      <c r="M74" s="18">
        <f t="shared" si="4"/>
        <v>0.34640523791313171</v>
      </c>
      <c r="N74" s="18">
        <f t="shared" si="5"/>
        <v>3.9611361286030752E-2</v>
      </c>
      <c r="O74" s="18">
        <f t="shared" si="6"/>
        <v>0.95375924726527139</v>
      </c>
      <c r="U74" s="21"/>
      <c r="V74" s="21"/>
      <c r="W74" s="21"/>
      <c r="AA74" s="21"/>
      <c r="AB74" s="21"/>
      <c r="AC74" s="21"/>
      <c r="AD74" s="21"/>
    </row>
    <row r="75" spans="1:30" ht="14.4">
      <c r="A75" s="8">
        <v>20901</v>
      </c>
      <c r="B75" s="9" t="s">
        <v>89</v>
      </c>
      <c r="C75" s="8">
        <v>1104</v>
      </c>
      <c r="D75" s="8">
        <v>405.11112132668495</v>
      </c>
      <c r="E75" s="8">
        <v>9771</v>
      </c>
      <c r="F75" s="18">
        <f t="shared" si="0"/>
        <v>0.11298741172858459</v>
      </c>
      <c r="G75" s="18">
        <f t="shared" si="1"/>
        <v>0.36694847946257697</v>
      </c>
      <c r="H75" s="18">
        <f t="shared" si="2"/>
        <v>4.146055893221625E-2</v>
      </c>
      <c r="I75" s="8">
        <v>95</v>
      </c>
      <c r="J75" s="8">
        <v>33.777778595685959</v>
      </c>
      <c r="K75" s="8">
        <v>881</v>
      </c>
      <c r="L75" s="18">
        <f t="shared" si="3"/>
        <v>0.10783200908059024</v>
      </c>
      <c r="M75" s="18">
        <f t="shared" si="4"/>
        <v>0.35555556416511536</v>
      </c>
      <c r="N75" s="18">
        <f t="shared" si="5"/>
        <v>3.8340270823707105E-2</v>
      </c>
      <c r="O75" s="18">
        <f t="shared" si="6"/>
        <v>0.92474080936510061</v>
      </c>
      <c r="U75" s="21"/>
      <c r="V75" s="21"/>
      <c r="W75" s="21"/>
      <c r="AA75" s="21"/>
      <c r="AB75" s="21"/>
      <c r="AC75" s="21"/>
      <c r="AD75" s="21"/>
    </row>
    <row r="76" spans="1:30" ht="14.4">
      <c r="A76" s="8">
        <v>20902</v>
      </c>
      <c r="B76" s="9" t="s">
        <v>90</v>
      </c>
      <c r="C76" s="8">
        <v>2226</v>
      </c>
      <c r="D76" s="8">
        <v>822.77779850363731</v>
      </c>
      <c r="E76" s="8">
        <v>15146</v>
      </c>
      <c r="F76" s="18">
        <f t="shared" si="0"/>
        <v>0.14696949689687047</v>
      </c>
      <c r="G76" s="18">
        <f t="shared" si="1"/>
        <v>0.36962165251735729</v>
      </c>
      <c r="H76" s="18">
        <f t="shared" si="2"/>
        <v>5.4323108312665881E-2</v>
      </c>
      <c r="I76" s="8">
        <v>110</v>
      </c>
      <c r="J76" s="8">
        <v>39.222223341464996</v>
      </c>
      <c r="K76" s="8">
        <v>1329</v>
      </c>
      <c r="L76" s="18">
        <f t="shared" si="3"/>
        <v>8.2768999247554556E-2</v>
      </c>
      <c r="M76" s="18">
        <f t="shared" si="4"/>
        <v>0.35656566674059087</v>
      </c>
      <c r="N76" s="18">
        <f t="shared" si="5"/>
        <v>2.9512583402155755E-2</v>
      </c>
      <c r="O76" s="18">
        <f t="shared" si="6"/>
        <v>0.54327862154520068</v>
      </c>
      <c r="U76" s="21"/>
      <c r="V76" s="21"/>
      <c r="W76" s="21"/>
      <c r="AA76" s="21"/>
      <c r="AB76" s="21"/>
      <c r="AC76" s="21"/>
      <c r="AD76" s="21"/>
    </row>
    <row r="77" spans="1:30" ht="14.4">
      <c r="A77" s="8">
        <v>20903</v>
      </c>
      <c r="B77" s="9" t="s">
        <v>91</v>
      </c>
      <c r="C77" s="8">
        <v>2659</v>
      </c>
      <c r="D77" s="8">
        <v>1006.6666915118694</v>
      </c>
      <c r="E77" s="8">
        <v>10972</v>
      </c>
      <c r="F77" s="18">
        <f t="shared" si="0"/>
        <v>0.24234414874225302</v>
      </c>
      <c r="G77" s="18">
        <f t="shared" si="1"/>
        <v>0.37858845111390349</v>
      </c>
      <c r="H77" s="18">
        <f t="shared" si="2"/>
        <v>9.1748695908847017E-2</v>
      </c>
      <c r="I77" s="8">
        <v>308</v>
      </c>
      <c r="J77" s="8">
        <v>123.33333641290665</v>
      </c>
      <c r="K77" s="8">
        <v>1246</v>
      </c>
      <c r="L77" s="18">
        <f t="shared" si="3"/>
        <v>0.24719101123595505</v>
      </c>
      <c r="M77" s="18">
        <f t="shared" si="4"/>
        <v>0.40043291043151508</v>
      </c>
      <c r="N77" s="18">
        <f t="shared" si="5"/>
        <v>9.8983416061722826E-2</v>
      </c>
      <c r="O77" s="18">
        <f t="shared" si="6"/>
        <v>1.0788536565147864</v>
      </c>
      <c r="U77" s="21"/>
      <c r="V77" s="21"/>
      <c r="W77" s="21"/>
      <c r="AA77" s="21"/>
      <c r="AB77" s="21"/>
      <c r="AC77" s="21"/>
      <c r="AD77" s="21"/>
    </row>
    <row r="78" spans="1:30" ht="14.4">
      <c r="A78" s="8">
        <v>20904</v>
      </c>
      <c r="B78" s="9" t="s">
        <v>92</v>
      </c>
      <c r="C78" s="8">
        <v>1059</v>
      </c>
      <c r="D78" s="8">
        <v>403.00001013278961</v>
      </c>
      <c r="E78" s="8">
        <v>4850</v>
      </c>
      <c r="F78" s="18">
        <f t="shared" si="0"/>
        <v>0.21835051546391754</v>
      </c>
      <c r="G78" s="18">
        <f t="shared" si="1"/>
        <v>0.38054769606495714</v>
      </c>
      <c r="H78" s="18">
        <f t="shared" si="2"/>
        <v>8.3092785594389609E-2</v>
      </c>
      <c r="I78" s="8">
        <v>110</v>
      </c>
      <c r="J78" s="8">
        <v>39.888890147209167</v>
      </c>
      <c r="K78" s="8">
        <v>384</v>
      </c>
      <c r="L78" s="18">
        <f t="shared" si="3"/>
        <v>0.28645833333333331</v>
      </c>
      <c r="M78" s="18">
        <f t="shared" si="4"/>
        <v>0.36262627406553788</v>
      </c>
      <c r="N78" s="18">
        <f t="shared" si="5"/>
        <v>0.10387731809169053</v>
      </c>
      <c r="O78" s="18">
        <f t="shared" si="6"/>
        <v>1.2501364269908926</v>
      </c>
      <c r="U78" s="21"/>
      <c r="V78" s="21"/>
      <c r="W78" s="21"/>
      <c r="AA78" s="21"/>
      <c r="AB78" s="21"/>
      <c r="AC78" s="21"/>
      <c r="AD78" s="21"/>
    </row>
    <row r="79" spans="1:30" ht="14.4">
      <c r="A79" s="8">
        <v>20905</v>
      </c>
      <c r="B79" s="9" t="s">
        <v>93</v>
      </c>
      <c r="C79" s="8">
        <v>1925</v>
      </c>
      <c r="D79" s="8">
        <v>714.88890647888184</v>
      </c>
      <c r="E79" s="8">
        <v>11816</v>
      </c>
      <c r="F79" s="18">
        <f t="shared" si="0"/>
        <v>0.16291469194312796</v>
      </c>
      <c r="G79" s="18">
        <f t="shared" si="1"/>
        <v>0.37137086050851004</v>
      </c>
      <c r="H79" s="18">
        <f t="shared" si="2"/>
        <v>6.050176933639826E-2</v>
      </c>
      <c r="I79" s="8">
        <v>316</v>
      </c>
      <c r="J79" s="8">
        <v>118.11111381649971</v>
      </c>
      <c r="K79" s="8">
        <v>1749</v>
      </c>
      <c r="L79" s="18">
        <f t="shared" si="3"/>
        <v>0.18067467124070899</v>
      </c>
      <c r="M79" s="18">
        <f t="shared" si="4"/>
        <v>0.37376934752056873</v>
      </c>
      <c r="N79" s="18">
        <f t="shared" si="5"/>
        <v>6.7530653983133057E-2</v>
      </c>
      <c r="O79" s="18">
        <f t="shared" si="6"/>
        <v>1.11617651390744</v>
      </c>
      <c r="U79" s="21"/>
      <c r="V79" s="21"/>
      <c r="W79" s="21"/>
      <c r="AA79" s="21"/>
      <c r="AB79" s="21"/>
      <c r="AC79" s="21"/>
      <c r="AD79" s="21"/>
    </row>
    <row r="80" spans="1:30" ht="14.4">
      <c r="A80" s="8">
        <v>21001</v>
      </c>
      <c r="B80" s="9" t="s">
        <v>94</v>
      </c>
      <c r="C80" s="8">
        <v>4596</v>
      </c>
      <c r="D80" s="8">
        <v>1730.8889307677746</v>
      </c>
      <c r="E80" s="8">
        <v>16544</v>
      </c>
      <c r="F80" s="18">
        <f t="shared" si="0"/>
        <v>0.27780464216634432</v>
      </c>
      <c r="G80" s="18">
        <f t="shared" si="1"/>
        <v>0.37660768728628691</v>
      </c>
      <c r="H80" s="18">
        <f t="shared" si="2"/>
        <v>0.10462336380366144</v>
      </c>
      <c r="I80" s="8">
        <v>427</v>
      </c>
      <c r="J80" s="8">
        <v>161.33333712816238</v>
      </c>
      <c r="K80" s="8">
        <v>2104</v>
      </c>
      <c r="L80" s="18">
        <f t="shared" si="3"/>
        <v>0.2029467680608365</v>
      </c>
      <c r="M80" s="18">
        <f t="shared" si="4"/>
        <v>0.37782982933995873</v>
      </c>
      <c r="N80" s="18">
        <f t="shared" si="5"/>
        <v>7.667934274152205E-2</v>
      </c>
      <c r="O80" s="18">
        <f t="shared" si="6"/>
        <v>0.73290840548216585</v>
      </c>
      <c r="U80" s="21"/>
      <c r="V80" s="21"/>
      <c r="W80" s="21"/>
      <c r="AA80" s="21"/>
      <c r="AB80" s="21"/>
      <c r="AC80" s="21"/>
      <c r="AD80" s="21"/>
    </row>
    <row r="81" spans="1:30" ht="14.4">
      <c r="A81" s="8">
        <v>21002</v>
      </c>
      <c r="B81" s="9" t="s">
        <v>95</v>
      </c>
      <c r="C81" s="8">
        <v>1262</v>
      </c>
      <c r="D81" s="8">
        <v>475.11112251877785</v>
      </c>
      <c r="E81" s="8">
        <v>7777</v>
      </c>
      <c r="F81" s="18">
        <f t="shared" si="0"/>
        <v>0.16227337019416227</v>
      </c>
      <c r="G81" s="18">
        <f t="shared" si="1"/>
        <v>0.37647474050616309</v>
      </c>
      <c r="H81" s="18">
        <f t="shared" si="2"/>
        <v>6.1091824934907779E-2</v>
      </c>
      <c r="I81" s="8">
        <v>172</v>
      </c>
      <c r="J81" s="8">
        <v>64.888890296220779</v>
      </c>
      <c r="K81" s="8">
        <v>2341</v>
      </c>
      <c r="L81" s="18">
        <f t="shared" si="3"/>
        <v>7.3472874839812047E-2</v>
      </c>
      <c r="M81" s="18">
        <f t="shared" si="4"/>
        <v>0.37726099009430686</v>
      </c>
      <c r="N81" s="18">
        <f t="shared" si="5"/>
        <v>2.7718449507142581E-2</v>
      </c>
      <c r="O81" s="18">
        <f t="shared" si="6"/>
        <v>0.45371781800062577</v>
      </c>
      <c r="U81" s="21"/>
      <c r="V81" s="21"/>
      <c r="W81" s="21"/>
      <c r="AA81" s="21"/>
      <c r="AB81" s="21"/>
      <c r="AC81" s="21"/>
      <c r="AD81" s="21"/>
    </row>
    <row r="82" spans="1:30" ht="14.4">
      <c r="A82" s="8">
        <v>21003</v>
      </c>
      <c r="B82" s="9" t="s">
        <v>96</v>
      </c>
      <c r="C82" s="8">
        <v>1090</v>
      </c>
      <c r="D82" s="8">
        <v>407.88889867067337</v>
      </c>
      <c r="E82" s="8">
        <v>9436</v>
      </c>
      <c r="F82" s="18">
        <f t="shared" si="0"/>
        <v>0.11551504874947012</v>
      </c>
      <c r="G82" s="18">
        <f t="shared" si="1"/>
        <v>0.37420999878043426</v>
      </c>
      <c r="H82" s="18">
        <f t="shared" si="2"/>
        <v>4.3226886251661018E-2</v>
      </c>
      <c r="I82" s="8">
        <v>413</v>
      </c>
      <c r="J82" s="8">
        <v>149.77778154611588</v>
      </c>
      <c r="K82" s="8">
        <v>5988</v>
      </c>
      <c r="L82" s="18">
        <f t="shared" si="3"/>
        <v>6.8971275885103545E-2</v>
      </c>
      <c r="M82" s="18">
        <f t="shared" si="4"/>
        <v>0.36265806669761713</v>
      </c>
      <c r="N82" s="18">
        <f t="shared" si="5"/>
        <v>2.5012989570159634E-2</v>
      </c>
      <c r="O82" s="18">
        <f t="shared" si="6"/>
        <v>0.57864425914319695</v>
      </c>
      <c r="U82" s="21"/>
      <c r="V82" s="21"/>
      <c r="W82" s="21"/>
      <c r="AA82" s="21"/>
      <c r="AB82" s="21"/>
      <c r="AC82" s="21"/>
      <c r="AD82" s="21"/>
    </row>
    <row r="83" spans="1:30" ht="14.4">
      <c r="A83" s="8">
        <v>21004</v>
      </c>
      <c r="B83" s="9" t="s">
        <v>97</v>
      </c>
      <c r="C83" s="8">
        <v>3420</v>
      </c>
      <c r="D83" s="8">
        <v>1258.4444761276245</v>
      </c>
      <c r="E83" s="8">
        <v>19134</v>
      </c>
      <c r="F83" s="18">
        <f t="shared" si="0"/>
        <v>0.17873941674506114</v>
      </c>
      <c r="G83" s="18">
        <f t="shared" si="1"/>
        <v>0.3679662210899487</v>
      </c>
      <c r="H83" s="18">
        <f t="shared" si="2"/>
        <v>6.5770067739501642E-2</v>
      </c>
      <c r="I83" s="8">
        <v>385</v>
      </c>
      <c r="J83" s="8">
        <v>145.0000037252903</v>
      </c>
      <c r="K83" s="8">
        <v>3928</v>
      </c>
      <c r="L83" s="18">
        <f t="shared" si="3"/>
        <v>9.8014256619144605E-2</v>
      </c>
      <c r="M83" s="18">
        <f t="shared" si="4"/>
        <v>0.3766233862994553</v>
      </c>
      <c r="N83" s="18">
        <f t="shared" si="5"/>
        <v>3.6914461233526041E-2</v>
      </c>
      <c r="O83" s="18">
        <f t="shared" si="6"/>
        <v>0.56126536739683386</v>
      </c>
      <c r="U83" s="21"/>
      <c r="V83" s="21"/>
      <c r="W83" s="21"/>
      <c r="AA83" s="21"/>
      <c r="AB83" s="21"/>
      <c r="AC83" s="21"/>
      <c r="AD83" s="21"/>
    </row>
    <row r="84" spans="1:30" ht="14.4">
      <c r="A84" s="8">
        <v>21005</v>
      </c>
      <c r="B84" s="9" t="s">
        <v>98</v>
      </c>
      <c r="C84" s="8">
        <v>3411</v>
      </c>
      <c r="D84" s="8">
        <v>1287.3333640396595</v>
      </c>
      <c r="E84" s="8">
        <v>8847</v>
      </c>
      <c r="F84" s="18">
        <f t="shared" si="0"/>
        <v>0.38555442522889116</v>
      </c>
      <c r="G84" s="18">
        <f t="shared" si="1"/>
        <v>0.37740643917902655</v>
      </c>
      <c r="H84" s="18">
        <f t="shared" si="2"/>
        <v>0.14551072273535207</v>
      </c>
      <c r="I84" s="8">
        <v>213</v>
      </c>
      <c r="J84" s="8">
        <v>83.666668891906738</v>
      </c>
      <c r="K84" s="8">
        <v>677</v>
      </c>
      <c r="L84" s="18">
        <f t="shared" si="3"/>
        <v>0.31462333825701627</v>
      </c>
      <c r="M84" s="18">
        <f t="shared" si="4"/>
        <v>0.39280126240331803</v>
      </c>
      <c r="N84" s="18">
        <f t="shared" si="5"/>
        <v>0.12358444444890214</v>
      </c>
      <c r="O84" s="18">
        <f t="shared" si="6"/>
        <v>0.84931503414818166</v>
      </c>
      <c r="U84" s="21"/>
      <c r="V84" s="21"/>
      <c r="W84" s="21"/>
      <c r="AA84" s="21"/>
      <c r="AB84" s="21"/>
      <c r="AC84" s="21"/>
      <c r="AD84" s="21"/>
    </row>
    <row r="85" spans="1:30" ht="14.4">
      <c r="A85" s="8">
        <v>21006</v>
      </c>
      <c r="B85" s="9" t="s">
        <v>99</v>
      </c>
      <c r="C85" s="8">
        <v>834</v>
      </c>
      <c r="D85" s="8">
        <v>317.77778485417366</v>
      </c>
      <c r="E85" s="8">
        <v>4837</v>
      </c>
      <c r="F85" s="18">
        <f t="shared" si="0"/>
        <v>0.17242092205912757</v>
      </c>
      <c r="G85" s="18">
        <f t="shared" si="1"/>
        <v>0.38102851900980056</v>
      </c>
      <c r="H85" s="18">
        <f t="shared" si="2"/>
        <v>6.5697288578493634E-2</v>
      </c>
      <c r="I85" s="8">
        <v>335</v>
      </c>
      <c r="J85" s="8">
        <v>128.22222486138344</v>
      </c>
      <c r="K85" s="8">
        <v>2998</v>
      </c>
      <c r="L85" s="18">
        <f t="shared" si="3"/>
        <v>0.11174116077384923</v>
      </c>
      <c r="M85" s="18">
        <f t="shared" si="4"/>
        <v>0.38275291003398043</v>
      </c>
      <c r="N85" s="18">
        <f t="shared" si="5"/>
        <v>4.276925445676566E-2</v>
      </c>
      <c r="O85" s="18">
        <f t="shared" si="6"/>
        <v>0.65100486461729579</v>
      </c>
      <c r="U85" s="21"/>
      <c r="V85" s="21"/>
      <c r="W85" s="21"/>
      <c r="AA85" s="21"/>
      <c r="AB85" s="21"/>
      <c r="AC85" s="21"/>
      <c r="AD85" s="21"/>
    </row>
    <row r="86" spans="1:30" ht="14.4">
      <c r="A86" s="8">
        <v>21101</v>
      </c>
      <c r="B86" s="9" t="s">
        <v>100</v>
      </c>
      <c r="C86" s="8">
        <v>662</v>
      </c>
      <c r="D86" s="8">
        <v>240.66667324304581</v>
      </c>
      <c r="E86" s="8">
        <v>12558</v>
      </c>
      <c r="F86" s="18">
        <f t="shared" si="0"/>
        <v>5.2715400541487496E-2</v>
      </c>
      <c r="G86" s="18">
        <f t="shared" si="1"/>
        <v>0.36354482362997859</v>
      </c>
      <c r="H86" s="18">
        <f t="shared" si="2"/>
        <v>1.9164410992438749E-2</v>
      </c>
      <c r="I86" s="8">
        <v>311</v>
      </c>
      <c r="J86" s="8">
        <v>112.55555856227875</v>
      </c>
      <c r="K86" s="8">
        <v>5563</v>
      </c>
      <c r="L86" s="18">
        <f t="shared" si="3"/>
        <v>5.5905087183174544E-2</v>
      </c>
      <c r="M86" s="18">
        <f t="shared" si="4"/>
        <v>0.36191497929993166</v>
      </c>
      <c r="N86" s="18">
        <f t="shared" si="5"/>
        <v>2.0232888470659492E-2</v>
      </c>
      <c r="O86" s="18">
        <f t="shared" si="6"/>
        <v>1.0557532124854923</v>
      </c>
      <c r="U86" s="21"/>
      <c r="V86" s="21"/>
      <c r="W86" s="21"/>
      <c r="AA86" s="21"/>
      <c r="AB86" s="21"/>
      <c r="AC86" s="21"/>
      <c r="AD86" s="21"/>
    </row>
    <row r="87" spans="1:30" ht="14.4">
      <c r="A87" s="8">
        <v>21102</v>
      </c>
      <c r="B87" s="9" t="s">
        <v>101</v>
      </c>
      <c r="C87" s="8">
        <v>2080</v>
      </c>
      <c r="D87" s="8">
        <v>759.66668516397476</v>
      </c>
      <c r="E87" s="8">
        <v>16540</v>
      </c>
      <c r="F87" s="18">
        <f t="shared" si="0"/>
        <v>0.12575574365175332</v>
      </c>
      <c r="G87" s="18">
        <f t="shared" si="1"/>
        <v>0.36522436786729556</v>
      </c>
      <c r="H87" s="18">
        <f t="shared" si="2"/>
        <v>4.5929061980893277E-2</v>
      </c>
      <c r="I87" s="8">
        <v>598</v>
      </c>
      <c r="J87" s="8">
        <v>218.44444981217384</v>
      </c>
      <c r="K87" s="8">
        <v>5511</v>
      </c>
      <c r="L87" s="18">
        <f t="shared" si="3"/>
        <v>0.10851025222282708</v>
      </c>
      <c r="M87" s="18">
        <f t="shared" si="4"/>
        <v>0.36529172209393618</v>
      </c>
      <c r="N87" s="18">
        <f t="shared" si="5"/>
        <v>3.9637896899323871E-2</v>
      </c>
      <c r="O87" s="18">
        <f t="shared" si="6"/>
        <v>0.86302430726352386</v>
      </c>
      <c r="U87" s="21"/>
      <c r="V87" s="21"/>
      <c r="W87" s="21"/>
      <c r="AA87" s="21"/>
      <c r="AB87" s="21"/>
      <c r="AC87" s="21"/>
      <c r="AD87" s="21"/>
    </row>
    <row r="88" spans="1:30" ht="14.4">
      <c r="A88" s="8">
        <v>21103</v>
      </c>
      <c r="B88" s="9" t="s">
        <v>102</v>
      </c>
      <c r="C88" s="8">
        <v>331</v>
      </c>
      <c r="D88" s="8">
        <v>118.22222545742989</v>
      </c>
      <c r="E88" s="8">
        <v>4918</v>
      </c>
      <c r="F88" s="18">
        <f t="shared" si="0"/>
        <v>6.7303782025213504E-2</v>
      </c>
      <c r="G88" s="18">
        <f t="shared" si="1"/>
        <v>0.35716684428226553</v>
      </c>
      <c r="H88" s="18">
        <f t="shared" si="2"/>
        <v>2.4038679434206973E-2</v>
      </c>
      <c r="I88" s="8">
        <v>91</v>
      </c>
      <c r="J88" s="8">
        <v>31.888889700174332</v>
      </c>
      <c r="K88" s="8">
        <v>2494</v>
      </c>
      <c r="L88" s="18">
        <f t="shared" si="3"/>
        <v>3.648757016840417E-2</v>
      </c>
      <c r="M88" s="18">
        <f t="shared" si="4"/>
        <v>0.35042735934257507</v>
      </c>
      <c r="N88" s="18">
        <f t="shared" si="5"/>
        <v>1.278624286294079E-2</v>
      </c>
      <c r="O88" s="18">
        <f t="shared" si="6"/>
        <v>0.53190288168434086</v>
      </c>
      <c r="U88" s="21"/>
      <c r="V88" s="21"/>
      <c r="W88" s="21"/>
      <c r="AA88" s="21"/>
      <c r="AB88" s="21"/>
      <c r="AC88" s="21"/>
      <c r="AD88" s="21"/>
    </row>
    <row r="89" spans="1:30" ht="14.4">
      <c r="A89" s="8">
        <v>21104</v>
      </c>
      <c r="B89" s="9" t="s">
        <v>103</v>
      </c>
      <c r="C89" s="8">
        <v>4778</v>
      </c>
      <c r="D89" s="8">
        <v>1815.2222666740417</v>
      </c>
      <c r="E89" s="8">
        <v>20653</v>
      </c>
      <c r="F89" s="18">
        <f t="shared" si="0"/>
        <v>0.23134653561225971</v>
      </c>
      <c r="G89" s="18">
        <f t="shared" si="1"/>
        <v>0.37991257150984548</v>
      </c>
      <c r="H89" s="18">
        <f t="shared" si="2"/>
        <v>8.7891457254347632E-2</v>
      </c>
      <c r="I89" s="8">
        <v>998</v>
      </c>
      <c r="J89" s="8">
        <v>364.66667631268501</v>
      </c>
      <c r="K89" s="8">
        <v>6349</v>
      </c>
      <c r="L89" s="18">
        <f t="shared" si="3"/>
        <v>0.15719010867853206</v>
      </c>
      <c r="M89" s="18">
        <f t="shared" si="4"/>
        <v>0.36539747125519539</v>
      </c>
      <c r="N89" s="18">
        <f t="shared" si="5"/>
        <v>5.7436868217464958E-2</v>
      </c>
      <c r="O89" s="18">
        <f t="shared" si="6"/>
        <v>0.65349773472579198</v>
      </c>
      <c r="U89" s="21"/>
      <c r="V89" s="21"/>
      <c r="W89" s="21"/>
      <c r="AA89" s="21"/>
      <c r="AB89" s="21"/>
      <c r="AC89" s="21"/>
      <c r="AD89" s="21"/>
    </row>
    <row r="90" spans="1:30" ht="14.4">
      <c r="A90" s="8">
        <v>21105</v>
      </c>
      <c r="B90" s="9" t="s">
        <v>104</v>
      </c>
      <c r="C90" s="8">
        <v>6859</v>
      </c>
      <c r="D90" s="8">
        <v>2587.6667283177376</v>
      </c>
      <c r="E90" s="8">
        <v>33731</v>
      </c>
      <c r="F90" s="18">
        <f t="shared" si="0"/>
        <v>0.20334410482938542</v>
      </c>
      <c r="G90" s="18">
        <f t="shared" si="1"/>
        <v>0.37726588836823699</v>
      </c>
      <c r="H90" s="18">
        <f t="shared" si="2"/>
        <v>7.6714794352902002E-2</v>
      </c>
      <c r="I90" s="8">
        <v>2133</v>
      </c>
      <c r="J90" s="8">
        <v>808.66668599843979</v>
      </c>
      <c r="K90" s="8">
        <v>11531</v>
      </c>
      <c r="L90" s="18">
        <f t="shared" si="3"/>
        <v>0.1849796201543665</v>
      </c>
      <c r="M90" s="18">
        <f t="shared" si="4"/>
        <v>0.37912174683471156</v>
      </c>
      <c r="N90" s="18">
        <f t="shared" si="5"/>
        <v>7.0129796721744839E-2</v>
      </c>
      <c r="O90" s="18">
        <f t="shared" si="6"/>
        <v>0.91416261117946851</v>
      </c>
      <c r="U90" s="21"/>
      <c r="V90" s="21"/>
      <c r="W90" s="21"/>
      <c r="AA90" s="21"/>
      <c r="AB90" s="21"/>
      <c r="AC90" s="21"/>
      <c r="AD90" s="21"/>
    </row>
    <row r="91" spans="1:30" ht="14.4">
      <c r="A91" s="8">
        <v>21201</v>
      </c>
      <c r="B91" s="9" t="s">
        <v>105</v>
      </c>
      <c r="C91" s="8">
        <v>6723</v>
      </c>
      <c r="D91" s="8">
        <v>2476.6667276024818</v>
      </c>
      <c r="E91" s="8">
        <v>43786</v>
      </c>
      <c r="F91" s="18">
        <f t="shared" si="0"/>
        <v>0.15354222810944138</v>
      </c>
      <c r="G91" s="18">
        <f t="shared" si="1"/>
        <v>0.36838713782574473</v>
      </c>
      <c r="H91" s="18">
        <f t="shared" si="2"/>
        <v>5.6562981948624719E-2</v>
      </c>
      <c r="I91" s="8">
        <v>910</v>
      </c>
      <c r="J91" s="8">
        <v>339.88889718055725</v>
      </c>
      <c r="K91" s="8">
        <v>5829</v>
      </c>
      <c r="L91" s="18">
        <f t="shared" si="3"/>
        <v>0.15611597186481385</v>
      </c>
      <c r="M91" s="18">
        <f t="shared" si="4"/>
        <v>0.373504282615997</v>
      </c>
      <c r="N91" s="18">
        <f t="shared" si="5"/>
        <v>5.8309984076266468E-2</v>
      </c>
      <c r="O91" s="18">
        <f t="shared" si="6"/>
        <v>1.0308859622929449</v>
      </c>
      <c r="U91" s="21"/>
      <c r="V91" s="21"/>
      <c r="W91" s="21"/>
      <c r="AA91" s="21"/>
      <c r="AB91" s="21"/>
      <c r="AC91" s="21"/>
      <c r="AD91" s="21"/>
    </row>
    <row r="92" spans="1:30" ht="14.4">
      <c r="A92" s="8">
        <v>21202</v>
      </c>
      <c r="B92" s="9" t="s">
        <v>106</v>
      </c>
      <c r="C92" s="8">
        <v>4385</v>
      </c>
      <c r="D92" s="8">
        <v>1609.8889297544956</v>
      </c>
      <c r="E92" s="8">
        <v>32971</v>
      </c>
      <c r="F92" s="18">
        <f t="shared" si="0"/>
        <v>0.13299566285523642</v>
      </c>
      <c r="G92" s="18">
        <f t="shared" si="1"/>
        <v>0.36713544578209706</v>
      </c>
      <c r="H92" s="18">
        <f t="shared" si="2"/>
        <v>4.8827421969442709E-2</v>
      </c>
      <c r="I92" s="8">
        <v>607</v>
      </c>
      <c r="J92" s="8">
        <v>219.66667214035988</v>
      </c>
      <c r="K92" s="8">
        <v>5549</v>
      </c>
      <c r="L92" s="18">
        <f t="shared" si="3"/>
        <v>0.10938907911335376</v>
      </c>
      <c r="M92" s="18">
        <f t="shared" si="4"/>
        <v>0.36188908095611183</v>
      </c>
      <c r="N92" s="18">
        <f t="shared" si="5"/>
        <v>3.9586713306967003E-2</v>
      </c>
      <c r="O92" s="18">
        <f t="shared" si="6"/>
        <v>0.81074756172343587</v>
      </c>
      <c r="U92" s="21"/>
      <c r="V92" s="21"/>
      <c r="W92" s="21"/>
      <c r="AA92" s="21"/>
      <c r="AB92" s="21"/>
      <c r="AC92" s="21"/>
      <c r="AD92" s="21"/>
    </row>
    <row r="93" spans="1:30" ht="14.4">
      <c r="A93" s="8">
        <v>21203</v>
      </c>
      <c r="B93" s="9" t="s">
        <v>107</v>
      </c>
      <c r="C93" s="8">
        <v>2411</v>
      </c>
      <c r="D93" s="8">
        <v>884.33335494995117</v>
      </c>
      <c r="E93" s="8">
        <v>18676</v>
      </c>
      <c r="F93" s="18">
        <f t="shared" si="0"/>
        <v>0.12909616620261297</v>
      </c>
      <c r="G93" s="18">
        <f t="shared" si="1"/>
        <v>0.36679110532971843</v>
      </c>
      <c r="H93" s="18">
        <f t="shared" si="2"/>
        <v>4.7351325495285451E-2</v>
      </c>
      <c r="I93" s="8">
        <v>249</v>
      </c>
      <c r="J93" s="8">
        <v>92.333335399627686</v>
      </c>
      <c r="K93" s="8">
        <v>1857</v>
      </c>
      <c r="L93" s="18">
        <f t="shared" si="3"/>
        <v>0.13408723747980614</v>
      </c>
      <c r="M93" s="18">
        <f t="shared" si="4"/>
        <v>0.37081660803063327</v>
      </c>
      <c r="N93" s="18">
        <f t="shared" si="5"/>
        <v>4.9721774582459709E-2</v>
      </c>
      <c r="O93" s="18">
        <f t="shared" si="6"/>
        <v>1.0500608813455554</v>
      </c>
      <c r="U93" s="21"/>
      <c r="V93" s="21"/>
      <c r="W93" s="21"/>
      <c r="AA93" s="21"/>
      <c r="AB93" s="21"/>
      <c r="AC93" s="21"/>
      <c r="AD93" s="21"/>
    </row>
    <row r="94" spans="1:30" ht="14.4">
      <c r="A94" s="8">
        <v>21204</v>
      </c>
      <c r="B94" s="9" t="s">
        <v>108</v>
      </c>
      <c r="C94" s="8">
        <v>1131</v>
      </c>
      <c r="D94" s="8">
        <v>412.44445464015007</v>
      </c>
      <c r="E94" s="8">
        <v>7516</v>
      </c>
      <c r="F94" s="18">
        <f t="shared" si="0"/>
        <v>0.15047897817988293</v>
      </c>
      <c r="G94" s="18">
        <f t="shared" si="1"/>
        <v>0.36467237368713534</v>
      </c>
      <c r="H94" s="18">
        <f t="shared" si="2"/>
        <v>5.487552616287255E-2</v>
      </c>
      <c r="I94" s="8">
        <v>24</v>
      </c>
      <c r="J94" s="8">
        <v>9.0000002384185791</v>
      </c>
      <c r="K94" s="8">
        <v>305</v>
      </c>
      <c r="L94" s="18">
        <f t="shared" si="3"/>
        <v>7.8688524590163941E-2</v>
      </c>
      <c r="M94" s="18">
        <f t="shared" si="4"/>
        <v>0.37500000993410748</v>
      </c>
      <c r="N94" s="18">
        <f t="shared" si="5"/>
        <v>2.950819750301174E-2</v>
      </c>
      <c r="O94" s="18">
        <f t="shared" si="6"/>
        <v>0.53772965047169374</v>
      </c>
      <c r="U94" s="21"/>
      <c r="V94" s="21"/>
      <c r="W94" s="21"/>
      <c r="AA94" s="21"/>
      <c r="AB94" s="21"/>
      <c r="AC94" s="21"/>
      <c r="AD94" s="21"/>
    </row>
    <row r="95" spans="1:30" ht="14.4">
      <c r="A95" s="8">
        <v>21301</v>
      </c>
      <c r="B95" s="9" t="s">
        <v>109</v>
      </c>
      <c r="C95" s="8">
        <v>5601</v>
      </c>
      <c r="D95" s="8">
        <v>2125.3333847522736</v>
      </c>
      <c r="E95" s="8">
        <v>30703</v>
      </c>
      <c r="F95" s="18">
        <f t="shared" si="0"/>
        <v>0.18242517017880988</v>
      </c>
      <c r="G95" s="18">
        <f t="shared" si="1"/>
        <v>0.37945605869528182</v>
      </c>
      <c r="H95" s="18">
        <f t="shared" si="2"/>
        <v>6.922233608286725E-2</v>
      </c>
      <c r="I95" s="8">
        <v>421</v>
      </c>
      <c r="J95" s="8">
        <v>155.88889297842979</v>
      </c>
      <c r="K95" s="8">
        <v>3081</v>
      </c>
      <c r="L95" s="18">
        <f t="shared" si="3"/>
        <v>0.13664394677052905</v>
      </c>
      <c r="M95" s="18">
        <f t="shared" si="4"/>
        <v>0.37028240612453633</v>
      </c>
      <c r="N95" s="18">
        <f t="shared" si="5"/>
        <v>5.0596849392544559E-2</v>
      </c>
      <c r="O95" s="18">
        <f t="shared" si="6"/>
        <v>0.73093241655372909</v>
      </c>
      <c r="U95" s="21"/>
      <c r="V95" s="21"/>
      <c r="W95" s="21"/>
      <c r="AA95" s="21"/>
      <c r="AB95" s="21"/>
      <c r="AC95" s="21"/>
      <c r="AD95" s="21"/>
    </row>
    <row r="96" spans="1:30" ht="14.4">
      <c r="A96" s="8">
        <v>21302</v>
      </c>
      <c r="B96" s="9" t="s">
        <v>110</v>
      </c>
      <c r="C96" s="8">
        <v>1332</v>
      </c>
      <c r="D96" s="8">
        <v>488.55556684732437</v>
      </c>
      <c r="E96" s="8">
        <v>8236</v>
      </c>
      <c r="F96" s="18">
        <f t="shared" si="0"/>
        <v>0.16172899465760077</v>
      </c>
      <c r="G96" s="18">
        <f t="shared" si="1"/>
        <v>0.36678345859408734</v>
      </c>
      <c r="H96" s="18">
        <f t="shared" si="2"/>
        <v>5.9319520015459481E-2</v>
      </c>
      <c r="I96" s="8">
        <v>79</v>
      </c>
      <c r="J96" s="8">
        <v>28.11111181974411</v>
      </c>
      <c r="K96" s="8">
        <v>840</v>
      </c>
      <c r="L96" s="18">
        <f t="shared" si="3"/>
        <v>9.4047619047619047E-2</v>
      </c>
      <c r="M96" s="18">
        <f t="shared" si="4"/>
        <v>0.35583685847777352</v>
      </c>
      <c r="N96" s="18">
        <f t="shared" si="5"/>
        <v>3.3465609309219178E-2</v>
      </c>
      <c r="O96" s="18">
        <f t="shared" si="6"/>
        <v>0.56415846420364801</v>
      </c>
      <c r="U96" s="21"/>
      <c r="V96" s="21"/>
      <c r="W96" s="21"/>
      <c r="AA96" s="21"/>
      <c r="AB96" s="21"/>
      <c r="AC96" s="21"/>
      <c r="AD96" s="21"/>
    </row>
    <row r="97" spans="1:30" ht="14.4">
      <c r="A97" s="8">
        <v>21303</v>
      </c>
      <c r="B97" s="9" t="s">
        <v>111</v>
      </c>
      <c r="C97" s="8">
        <v>2500</v>
      </c>
      <c r="D97" s="8">
        <v>920.66668936610222</v>
      </c>
      <c r="E97" s="8">
        <v>10091</v>
      </c>
      <c r="F97" s="18">
        <f t="shared" si="0"/>
        <v>0.24774551580616391</v>
      </c>
      <c r="G97" s="18">
        <f t="shared" si="1"/>
        <v>0.3682666757464409</v>
      </c>
      <c r="H97" s="18">
        <f t="shared" si="2"/>
        <v>9.1236417537023315E-2</v>
      </c>
      <c r="I97" s="8">
        <v>302</v>
      </c>
      <c r="J97" s="8">
        <v>111.8888917863369</v>
      </c>
      <c r="K97" s="8">
        <v>1151</v>
      </c>
      <c r="L97" s="18">
        <f t="shared" si="3"/>
        <v>0.26238053866203304</v>
      </c>
      <c r="M97" s="18">
        <f t="shared" si="4"/>
        <v>0.37049301916005595</v>
      </c>
      <c r="N97" s="18">
        <f t="shared" si="5"/>
        <v>9.7210157937738406E-2</v>
      </c>
      <c r="O97" s="18">
        <f t="shared" si="6"/>
        <v>1.0654753941680248</v>
      </c>
      <c r="U97" s="21"/>
      <c r="V97" s="21"/>
      <c r="W97" s="21"/>
      <c r="AA97" s="21"/>
      <c r="AB97" s="21"/>
      <c r="AC97" s="21"/>
      <c r="AD97" s="21"/>
    </row>
    <row r="98" spans="1:30" ht="14.4">
      <c r="A98" s="8">
        <v>21304</v>
      </c>
      <c r="B98" s="9" t="s">
        <v>112</v>
      </c>
      <c r="C98" s="8">
        <v>1661</v>
      </c>
      <c r="D98" s="8">
        <v>607.33334937691689</v>
      </c>
      <c r="E98" s="8">
        <v>13765</v>
      </c>
      <c r="F98" s="18">
        <f t="shared" si="0"/>
        <v>0.1206683617871413</v>
      </c>
      <c r="G98" s="18">
        <f t="shared" si="1"/>
        <v>0.36564319649423049</v>
      </c>
      <c r="H98" s="18">
        <f t="shared" si="2"/>
        <v>4.4121565519572602E-2</v>
      </c>
      <c r="I98" s="8">
        <v>166</v>
      </c>
      <c r="J98" s="8">
        <v>62.222223699092865</v>
      </c>
      <c r="K98" s="8">
        <v>1484</v>
      </c>
      <c r="L98" s="18">
        <f t="shared" si="3"/>
        <v>0.11185983827493262</v>
      </c>
      <c r="M98" s="18">
        <f t="shared" si="4"/>
        <v>0.37483267288610161</v>
      </c>
      <c r="N98" s="18">
        <f t="shared" si="5"/>
        <v>4.1928722169200051E-2</v>
      </c>
      <c r="O98" s="18">
        <f t="shared" si="6"/>
        <v>0.95029996500464631</v>
      </c>
      <c r="U98" s="21"/>
      <c r="V98" s="21"/>
      <c r="W98" s="21"/>
      <c r="AA98" s="21"/>
      <c r="AB98" s="21"/>
      <c r="AC98" s="21"/>
      <c r="AD98" s="21"/>
    </row>
    <row r="99" spans="1:30" ht="14.4">
      <c r="A99" s="8">
        <v>21305</v>
      </c>
      <c r="B99" s="9" t="s">
        <v>113</v>
      </c>
      <c r="C99" s="8">
        <v>2278</v>
      </c>
      <c r="D99" s="8">
        <v>825.22224295139313</v>
      </c>
      <c r="E99" s="8">
        <v>21056</v>
      </c>
      <c r="F99" s="18">
        <f t="shared" si="0"/>
        <v>0.10818768996960486</v>
      </c>
      <c r="G99" s="18">
        <f t="shared" si="1"/>
        <v>0.362257349846968</v>
      </c>
      <c r="H99" s="18">
        <f t="shared" si="2"/>
        <v>3.9191785854454458E-2</v>
      </c>
      <c r="I99" s="8">
        <v>303</v>
      </c>
      <c r="J99" s="8">
        <v>113.00000289082527</v>
      </c>
      <c r="K99" s="8">
        <v>3406</v>
      </c>
      <c r="L99" s="18">
        <f t="shared" si="3"/>
        <v>8.8960657662947737E-2</v>
      </c>
      <c r="M99" s="18">
        <f t="shared" si="4"/>
        <v>0.37293730327005042</v>
      </c>
      <c r="N99" s="18">
        <f t="shared" si="5"/>
        <v>3.3176747765949872E-2</v>
      </c>
      <c r="O99" s="18">
        <f t="shared" si="6"/>
        <v>0.84652299053575975</v>
      </c>
      <c r="U99" s="21"/>
      <c r="V99" s="21"/>
      <c r="W99" s="21"/>
      <c r="AA99" s="21"/>
      <c r="AB99" s="21"/>
      <c r="AC99" s="21"/>
      <c r="AD99" s="21"/>
    </row>
    <row r="100" spans="1:30" ht="14.4">
      <c r="A100" s="8">
        <v>21306</v>
      </c>
      <c r="B100" s="9" t="s">
        <v>114</v>
      </c>
      <c r="C100" s="8">
        <v>1483</v>
      </c>
      <c r="D100" s="8">
        <v>543.77779078483582</v>
      </c>
      <c r="E100" s="8">
        <v>11680</v>
      </c>
      <c r="F100" s="18">
        <f t="shared" si="0"/>
        <v>0.12696917808219177</v>
      </c>
      <c r="G100" s="18">
        <f t="shared" si="1"/>
        <v>0.36667416775781242</v>
      </c>
      <c r="H100" s="18">
        <f t="shared" si="2"/>
        <v>4.6556317704181144E-2</v>
      </c>
      <c r="I100" s="8">
        <v>120</v>
      </c>
      <c r="J100" s="8">
        <v>46.333334505558014</v>
      </c>
      <c r="K100" s="8">
        <v>788</v>
      </c>
      <c r="L100" s="18">
        <f t="shared" si="3"/>
        <v>0.15228426395939088</v>
      </c>
      <c r="M100" s="18">
        <f t="shared" si="4"/>
        <v>0.3861111208796501</v>
      </c>
      <c r="N100" s="18">
        <f t="shared" si="5"/>
        <v>5.8798647849692916E-2</v>
      </c>
      <c r="O100" s="18">
        <f t="shared" si="6"/>
        <v>1.2629574405626223</v>
      </c>
      <c r="U100" s="21"/>
      <c r="V100" s="21"/>
      <c r="W100" s="21"/>
      <c r="AA100" s="21"/>
      <c r="AB100" s="21"/>
      <c r="AC100" s="21"/>
      <c r="AD100" s="21"/>
    </row>
    <row r="101" spans="1:30" ht="14.4">
      <c r="A101" s="8">
        <v>21307</v>
      </c>
      <c r="B101" s="9" t="s">
        <v>115</v>
      </c>
      <c r="C101" s="8">
        <v>447</v>
      </c>
      <c r="D101" s="8">
        <v>165.11111542582512</v>
      </c>
      <c r="E101" s="8">
        <v>4443</v>
      </c>
      <c r="F101" s="18">
        <f t="shared" si="0"/>
        <v>0.10060769750168805</v>
      </c>
      <c r="G101" s="18">
        <f t="shared" si="1"/>
        <v>0.36937609714949693</v>
      </c>
      <c r="H101" s="18">
        <f t="shared" si="2"/>
        <v>3.7162078646370722E-2</v>
      </c>
      <c r="I101" s="8">
        <v>126</v>
      </c>
      <c r="J101" s="8">
        <v>51.555556744337082</v>
      </c>
      <c r="K101" s="8">
        <v>1064</v>
      </c>
      <c r="L101" s="18">
        <f t="shared" si="3"/>
        <v>0.11842105263157894</v>
      </c>
      <c r="M101" s="18">
        <f t="shared" si="4"/>
        <v>0.4091710852725165</v>
      </c>
      <c r="N101" s="18">
        <f t="shared" si="5"/>
        <v>4.8454470624376952E-2</v>
      </c>
      <c r="O101" s="18">
        <f t="shared" si="6"/>
        <v>1.3038686852116936</v>
      </c>
      <c r="U101" s="21"/>
      <c r="V101" s="21"/>
      <c r="W101" s="21"/>
      <c r="AA101" s="21"/>
      <c r="AB101" s="21"/>
      <c r="AC101" s="21"/>
      <c r="AD101" s="21"/>
    </row>
    <row r="102" spans="1:30" ht="14.4">
      <c r="A102" s="8">
        <v>21401</v>
      </c>
      <c r="B102" s="9" t="s">
        <v>116</v>
      </c>
      <c r="C102" s="8">
        <v>2353</v>
      </c>
      <c r="D102" s="8">
        <v>853.33335423469543</v>
      </c>
      <c r="E102" s="8">
        <v>20163</v>
      </c>
      <c r="F102" s="18">
        <f t="shared" si="0"/>
        <v>0.11669890393294649</v>
      </c>
      <c r="G102" s="18">
        <f t="shared" si="1"/>
        <v>0.36265760910951783</v>
      </c>
      <c r="H102" s="18">
        <f t="shared" si="2"/>
        <v>4.2321745486023681E-2</v>
      </c>
      <c r="I102" s="8">
        <v>609</v>
      </c>
      <c r="J102" s="8">
        <v>217.4444500207901</v>
      </c>
      <c r="K102" s="8">
        <v>6443</v>
      </c>
      <c r="L102" s="18">
        <f t="shared" si="3"/>
        <v>9.4521185783020337E-2</v>
      </c>
      <c r="M102" s="18">
        <f t="shared" si="4"/>
        <v>0.35705164207026291</v>
      </c>
      <c r="N102" s="18">
        <f t="shared" si="5"/>
        <v>3.37489445942558E-2</v>
      </c>
      <c r="O102" s="18">
        <f t="shared" si="6"/>
        <v>0.79743744514037207</v>
      </c>
      <c r="U102" s="21"/>
      <c r="V102" s="21"/>
      <c r="W102" s="21"/>
      <c r="AA102" s="21"/>
      <c r="AB102" s="21"/>
      <c r="AC102" s="21"/>
      <c r="AD102" s="21"/>
    </row>
    <row r="103" spans="1:30" ht="14.4">
      <c r="A103" s="8">
        <v>21402</v>
      </c>
      <c r="B103" s="9" t="s">
        <v>117</v>
      </c>
      <c r="C103" s="8">
        <v>1042</v>
      </c>
      <c r="D103" s="8">
        <v>378.33334341645241</v>
      </c>
      <c r="E103" s="8">
        <v>18465</v>
      </c>
      <c r="F103" s="18">
        <f t="shared" si="0"/>
        <v>5.6431085838072027E-2</v>
      </c>
      <c r="G103" s="18">
        <f t="shared" si="1"/>
        <v>0.36308382285648022</v>
      </c>
      <c r="H103" s="18">
        <f t="shared" si="2"/>
        <v>2.0489214374029372E-2</v>
      </c>
      <c r="I103" s="8">
        <v>229</v>
      </c>
      <c r="J103" s="8">
        <v>83.88889092206955</v>
      </c>
      <c r="K103" s="8">
        <v>4459</v>
      </c>
      <c r="L103" s="18">
        <f t="shared" si="3"/>
        <v>5.1356806458847278E-2</v>
      </c>
      <c r="M103" s="18">
        <f t="shared" si="4"/>
        <v>0.36632703459419019</v>
      </c>
      <c r="N103" s="18">
        <f t="shared" si="5"/>
        <v>1.8813386616297278E-2</v>
      </c>
      <c r="O103" s="18">
        <f t="shared" si="6"/>
        <v>0.91820927210092296</v>
      </c>
      <c r="U103" s="21"/>
      <c r="V103" s="21"/>
      <c r="W103" s="21"/>
      <c r="AA103" s="21"/>
      <c r="AB103" s="21"/>
      <c r="AC103" s="21"/>
      <c r="AD103" s="21"/>
    </row>
    <row r="104" spans="1:30" ht="14.4">
      <c r="A104" s="8">
        <v>21501</v>
      </c>
      <c r="B104" s="9" t="s">
        <v>118</v>
      </c>
      <c r="C104" s="8">
        <v>1854</v>
      </c>
      <c r="D104" s="8">
        <v>757.55557399988174</v>
      </c>
      <c r="E104" s="8">
        <v>6952</v>
      </c>
      <c r="F104" s="18">
        <f t="shared" si="0"/>
        <v>0.26668584579976984</v>
      </c>
      <c r="G104" s="18">
        <f t="shared" si="1"/>
        <v>0.4086060269686525</v>
      </c>
      <c r="H104" s="18">
        <f t="shared" si="2"/>
        <v>0.10896944390101866</v>
      </c>
      <c r="I104" s="8">
        <v>819</v>
      </c>
      <c r="J104" s="8">
        <v>315.11111843585968</v>
      </c>
      <c r="K104" s="8">
        <v>4378</v>
      </c>
      <c r="L104" s="18">
        <f t="shared" si="3"/>
        <v>0.18707172224760166</v>
      </c>
      <c r="M104" s="18">
        <f t="shared" si="4"/>
        <v>0.38475106036124501</v>
      </c>
      <c r="N104" s="18">
        <f t="shared" si="5"/>
        <v>7.1976043498369044E-2</v>
      </c>
      <c r="O104" s="18">
        <f t="shared" si="6"/>
        <v>0.66051583748328369</v>
      </c>
      <c r="U104" s="21"/>
      <c r="V104" s="21"/>
      <c r="W104" s="21"/>
      <c r="AA104" s="21"/>
      <c r="AB104" s="21"/>
      <c r="AC104" s="21"/>
      <c r="AD104" s="21"/>
    </row>
    <row r="105" spans="1:30" ht="14.4">
      <c r="A105" s="8">
        <v>21502</v>
      </c>
      <c r="B105" s="9" t="s">
        <v>119</v>
      </c>
      <c r="C105" s="8">
        <v>651</v>
      </c>
      <c r="D105" s="8">
        <v>273.66667261719704</v>
      </c>
      <c r="E105" s="8">
        <v>6639</v>
      </c>
      <c r="F105" s="18">
        <f t="shared" si="0"/>
        <v>9.8056936285585178E-2</v>
      </c>
      <c r="G105" s="18">
        <f t="shared" si="1"/>
        <v>0.42037891339047162</v>
      </c>
      <c r="H105" s="18">
        <f t="shared" si="2"/>
        <v>4.1221068326133002E-2</v>
      </c>
      <c r="I105" s="8">
        <v>283</v>
      </c>
      <c r="J105" s="8">
        <v>102.11111357808113</v>
      </c>
      <c r="K105" s="8">
        <v>3005</v>
      </c>
      <c r="L105" s="18">
        <f t="shared" si="3"/>
        <v>9.4176372712146419E-2</v>
      </c>
      <c r="M105" s="18">
        <f t="shared" si="4"/>
        <v>0.36081665575293687</v>
      </c>
      <c r="N105" s="18">
        <f t="shared" si="5"/>
        <v>3.3980403852938809E-2</v>
      </c>
      <c r="O105" s="18">
        <f t="shared" si="6"/>
        <v>0.82434554058843224</v>
      </c>
      <c r="U105" s="21"/>
      <c r="V105" s="21"/>
      <c r="W105" s="21"/>
      <c r="AA105" s="21"/>
      <c r="AB105" s="21"/>
      <c r="AC105" s="21"/>
      <c r="AD105" s="21"/>
    </row>
    <row r="106" spans="1:30" ht="14.4">
      <c r="A106" s="8">
        <v>21601</v>
      </c>
      <c r="B106" s="9" t="s">
        <v>120</v>
      </c>
      <c r="C106" s="8">
        <v>3135</v>
      </c>
      <c r="D106" s="8">
        <v>1224.1111422181129</v>
      </c>
      <c r="E106" s="8">
        <v>14672</v>
      </c>
      <c r="F106" s="18">
        <f t="shared" si="0"/>
        <v>0.21367230098146128</v>
      </c>
      <c r="G106" s="18">
        <f t="shared" si="1"/>
        <v>0.39046607407276329</v>
      </c>
      <c r="H106" s="18">
        <f t="shared" si="2"/>
        <v>8.3431784502325038E-2</v>
      </c>
      <c r="I106" s="8">
        <v>180</v>
      </c>
      <c r="J106" s="8">
        <v>72.333335250616074</v>
      </c>
      <c r="K106" s="8">
        <v>977</v>
      </c>
      <c r="L106" s="18">
        <f t="shared" si="3"/>
        <v>0.18423746161719551</v>
      </c>
      <c r="M106" s="18">
        <f t="shared" si="4"/>
        <v>0.40185186250342264</v>
      </c>
      <c r="N106" s="18">
        <f t="shared" si="5"/>
        <v>7.4036167093772851E-2</v>
      </c>
      <c r="O106" s="18">
        <f t="shared" si="6"/>
        <v>0.88738563528758807</v>
      </c>
      <c r="U106" s="21"/>
      <c r="V106" s="21"/>
      <c r="W106" s="21"/>
      <c r="AA106" s="21"/>
      <c r="AB106" s="21"/>
      <c r="AC106" s="21"/>
      <c r="AD106" s="21"/>
    </row>
    <row r="107" spans="1:30" ht="14.4">
      <c r="A107" s="8">
        <v>21602</v>
      </c>
      <c r="B107" s="9" t="s">
        <v>121</v>
      </c>
      <c r="C107" s="8">
        <v>1751</v>
      </c>
      <c r="D107" s="8">
        <v>737.11112889647484</v>
      </c>
      <c r="E107" s="8">
        <v>5920</v>
      </c>
      <c r="F107" s="18">
        <f t="shared" si="0"/>
        <v>0.29577702702702702</v>
      </c>
      <c r="G107" s="18">
        <f t="shared" si="1"/>
        <v>0.42096580747942597</v>
      </c>
      <c r="H107" s="18">
        <f t="shared" si="2"/>
        <v>0.12451201501629643</v>
      </c>
      <c r="I107" s="8">
        <v>167</v>
      </c>
      <c r="J107" s="8">
        <v>68.888890624046326</v>
      </c>
      <c r="K107" s="8">
        <v>654</v>
      </c>
      <c r="L107" s="18">
        <f t="shared" si="3"/>
        <v>0.25535168195718655</v>
      </c>
      <c r="M107" s="18">
        <f t="shared" si="4"/>
        <v>0.41250832709009777</v>
      </c>
      <c r="N107" s="18">
        <f t="shared" si="5"/>
        <v>0.10533469514380173</v>
      </c>
      <c r="O107" s="18">
        <f t="shared" si="6"/>
        <v>0.84598016609092119</v>
      </c>
      <c r="U107" s="21"/>
      <c r="V107" s="21"/>
      <c r="W107" s="21"/>
      <c r="AA107" s="21"/>
      <c r="AB107" s="21"/>
      <c r="AC107" s="21"/>
      <c r="AD107" s="21"/>
    </row>
    <row r="108" spans="1:30" ht="14.4">
      <c r="A108" s="8">
        <v>21701</v>
      </c>
      <c r="B108" s="9" t="s">
        <v>122</v>
      </c>
      <c r="C108" s="8">
        <v>1900</v>
      </c>
      <c r="D108" s="8">
        <v>701.44446232914925</v>
      </c>
      <c r="E108" s="8">
        <v>14884</v>
      </c>
      <c r="F108" s="18">
        <f t="shared" si="0"/>
        <v>0.12765385649019081</v>
      </c>
      <c r="G108" s="18">
        <f t="shared" si="1"/>
        <v>0.36918129596271015</v>
      </c>
      <c r="H108" s="18">
        <f t="shared" si="2"/>
        <v>4.7127416173686466E-2</v>
      </c>
      <c r="I108" s="8">
        <v>171</v>
      </c>
      <c r="J108" s="8">
        <v>60.444446057081223</v>
      </c>
      <c r="K108" s="8">
        <v>2331</v>
      </c>
      <c r="L108" s="18">
        <f t="shared" si="3"/>
        <v>7.3359073359073365E-2</v>
      </c>
      <c r="M108" s="18">
        <f t="shared" si="4"/>
        <v>0.35347629273146913</v>
      </c>
      <c r="N108" s="18">
        <f t="shared" si="5"/>
        <v>2.5930693289181135E-2</v>
      </c>
      <c r="O108" s="18">
        <f t="shared" si="6"/>
        <v>0.55022522757484649</v>
      </c>
      <c r="U108" s="21"/>
      <c r="V108" s="21"/>
      <c r="W108" s="21"/>
      <c r="AA108" s="21"/>
      <c r="AB108" s="21"/>
      <c r="AC108" s="21"/>
      <c r="AD108" s="21"/>
    </row>
    <row r="109" spans="1:30" ht="14.4">
      <c r="A109" s="8">
        <v>21702</v>
      </c>
      <c r="B109" s="9" t="s">
        <v>123</v>
      </c>
      <c r="C109" s="8">
        <v>861</v>
      </c>
      <c r="D109" s="8">
        <v>310.44445234537125</v>
      </c>
      <c r="E109" s="8">
        <v>8148</v>
      </c>
      <c r="F109" s="18">
        <f t="shared" si="0"/>
        <v>0.1056701030927835</v>
      </c>
      <c r="G109" s="18">
        <f t="shared" si="1"/>
        <v>0.36056266242203394</v>
      </c>
      <c r="H109" s="18">
        <f t="shared" si="2"/>
        <v>3.8100693709544824E-2</v>
      </c>
      <c r="I109" s="8">
        <v>60</v>
      </c>
      <c r="J109" s="8">
        <v>20.777778327465057</v>
      </c>
      <c r="K109" s="8">
        <v>659</v>
      </c>
      <c r="L109" s="18">
        <f t="shared" si="3"/>
        <v>9.1047040971168433E-2</v>
      </c>
      <c r="M109" s="18">
        <f t="shared" si="4"/>
        <v>0.34629630545775097</v>
      </c>
      <c r="N109" s="18">
        <f t="shared" si="5"/>
        <v>3.1529253911176114E-2</v>
      </c>
      <c r="O109" s="18">
        <f t="shared" si="6"/>
        <v>0.82752440550124517</v>
      </c>
      <c r="U109" s="21"/>
      <c r="V109" s="21"/>
      <c r="W109" s="21"/>
      <c r="AA109" s="21"/>
      <c r="AB109" s="21"/>
      <c r="AC109" s="21"/>
      <c r="AD109" s="21"/>
    </row>
    <row r="110" spans="1:30" ht="14.4">
      <c r="A110" s="8">
        <v>21703</v>
      </c>
      <c r="B110" s="9" t="s">
        <v>124</v>
      </c>
      <c r="C110" s="8">
        <v>1599</v>
      </c>
      <c r="D110" s="8">
        <v>606.33334869146347</v>
      </c>
      <c r="E110" s="8">
        <v>6489</v>
      </c>
      <c r="F110" s="18">
        <f t="shared" si="0"/>
        <v>0.24641701340730468</v>
      </c>
      <c r="G110" s="18">
        <f t="shared" si="1"/>
        <v>0.37919534001967697</v>
      </c>
      <c r="H110" s="18">
        <f t="shared" si="2"/>
        <v>9.3440183185616199E-2</v>
      </c>
      <c r="I110" s="8">
        <v>150</v>
      </c>
      <c r="J110" s="8">
        <v>54.22222363948822</v>
      </c>
      <c r="K110" s="8">
        <v>838</v>
      </c>
      <c r="L110" s="18">
        <f t="shared" si="3"/>
        <v>0.17899761336515513</v>
      </c>
      <c r="M110" s="18">
        <f t="shared" si="4"/>
        <v>0.36148149092992149</v>
      </c>
      <c r="N110" s="18">
        <f t="shared" si="5"/>
        <v>6.470432415213391E-2</v>
      </c>
      <c r="O110" s="18">
        <f t="shared" si="6"/>
        <v>0.69246786496127322</v>
      </c>
      <c r="U110" s="21"/>
      <c r="V110" s="21"/>
      <c r="W110" s="21"/>
      <c r="AA110" s="21"/>
      <c r="AB110" s="21"/>
      <c r="AC110" s="21"/>
      <c r="AD110" s="21"/>
    </row>
    <row r="111" spans="1:30" ht="14.4">
      <c r="A111" s="8">
        <v>21801</v>
      </c>
      <c r="B111" s="9" t="s">
        <v>125</v>
      </c>
      <c r="C111" s="8">
        <v>1745</v>
      </c>
      <c r="D111" s="8">
        <v>641.77779337763786</v>
      </c>
      <c r="E111" s="8">
        <v>8622</v>
      </c>
      <c r="F111" s="18">
        <f t="shared" si="0"/>
        <v>0.20238923683600094</v>
      </c>
      <c r="G111" s="18">
        <f t="shared" si="1"/>
        <v>0.36778097041698443</v>
      </c>
      <c r="H111" s="18">
        <f t="shared" si="2"/>
        <v>7.4434909925497311E-2</v>
      </c>
      <c r="I111" s="8">
        <v>119</v>
      </c>
      <c r="J111" s="8">
        <v>44.111112147569656</v>
      </c>
      <c r="K111" s="8">
        <v>581</v>
      </c>
      <c r="L111" s="18">
        <f t="shared" si="3"/>
        <v>0.20481927710843373</v>
      </c>
      <c r="M111" s="18">
        <f t="shared" si="4"/>
        <v>0.37068161468545929</v>
      </c>
      <c r="N111" s="18">
        <f t="shared" si="5"/>
        <v>7.592274035726275E-2</v>
      </c>
      <c r="O111" s="18">
        <f t="shared" si="6"/>
        <v>1.0199883419386766</v>
      </c>
      <c r="U111" s="21"/>
      <c r="V111" s="21"/>
      <c r="W111" s="21"/>
      <c r="AA111" s="21"/>
      <c r="AB111" s="21"/>
      <c r="AC111" s="21"/>
      <c r="AD111" s="21"/>
    </row>
    <row r="112" spans="1:30" ht="14.4">
      <c r="A112" s="8">
        <v>21802</v>
      </c>
      <c r="B112" s="9" t="s">
        <v>126</v>
      </c>
      <c r="C112" s="8">
        <v>791</v>
      </c>
      <c r="D112" s="8">
        <v>283.66667369008064</v>
      </c>
      <c r="E112" s="8">
        <v>6102</v>
      </c>
      <c r="F112" s="18">
        <f t="shared" si="0"/>
        <v>0.12962962962962962</v>
      </c>
      <c r="G112" s="18">
        <f t="shared" si="1"/>
        <v>0.35861779227570245</v>
      </c>
      <c r="H112" s="18">
        <f t="shared" si="2"/>
        <v>4.6487491591294762E-2</v>
      </c>
      <c r="I112" s="8">
        <v>78</v>
      </c>
      <c r="J112" s="8">
        <v>26.888889610767365</v>
      </c>
      <c r="K112" s="8">
        <v>539</v>
      </c>
      <c r="L112" s="18">
        <f t="shared" si="3"/>
        <v>0.14471243042671614</v>
      </c>
      <c r="M112" s="18">
        <f t="shared" si="4"/>
        <v>0.34472935398419696</v>
      </c>
      <c r="N112" s="18">
        <f t="shared" si="5"/>
        <v>4.9886622654484902E-2</v>
      </c>
      <c r="O112" s="18">
        <f t="shared" si="6"/>
        <v>1.0731192616946159</v>
      </c>
      <c r="U112" s="21"/>
      <c r="V112" s="21"/>
      <c r="W112" s="21"/>
      <c r="AA112" s="21"/>
      <c r="AB112" s="21"/>
      <c r="AC112" s="21"/>
      <c r="AD112" s="21"/>
    </row>
    <row r="113" spans="1:30" ht="14.4">
      <c r="A113" s="8">
        <v>21803</v>
      </c>
      <c r="B113" s="9" t="s">
        <v>127</v>
      </c>
      <c r="C113" s="8">
        <v>470</v>
      </c>
      <c r="D113" s="8">
        <v>168.88889345526695</v>
      </c>
      <c r="E113" s="8">
        <v>1895</v>
      </c>
      <c r="F113" s="18">
        <f t="shared" si="0"/>
        <v>0.24802110817941952</v>
      </c>
      <c r="G113" s="18">
        <f t="shared" si="1"/>
        <v>0.35933807118141903</v>
      </c>
      <c r="H113" s="18">
        <f t="shared" si="2"/>
        <v>8.9123426625470681E-2</v>
      </c>
      <c r="I113" s="8">
        <v>39</v>
      </c>
      <c r="J113" s="8">
        <v>13.666667014360428</v>
      </c>
      <c r="K113" s="8">
        <v>153</v>
      </c>
      <c r="L113" s="18">
        <f t="shared" si="3"/>
        <v>0.25490196078431371</v>
      </c>
      <c r="M113" s="18">
        <f t="shared" si="4"/>
        <v>0.35042735934257507</v>
      </c>
      <c r="N113" s="18">
        <f t="shared" si="5"/>
        <v>8.9324621008891686E-2</v>
      </c>
      <c r="O113" s="18">
        <f t="shared" si="6"/>
        <v>1.0022574803397821</v>
      </c>
      <c r="U113" s="21"/>
      <c r="V113" s="21"/>
      <c r="W113" s="21"/>
      <c r="AA113" s="21"/>
      <c r="AB113" s="21"/>
      <c r="AC113" s="21"/>
      <c r="AD113" s="21"/>
    </row>
    <row r="114" spans="1:30" ht="14.4">
      <c r="A114" s="8">
        <v>21901</v>
      </c>
      <c r="B114" s="9" t="s">
        <v>128</v>
      </c>
      <c r="C114" s="8">
        <v>1039</v>
      </c>
      <c r="D114" s="8">
        <v>380.22223156690598</v>
      </c>
      <c r="E114" s="8">
        <v>6344</v>
      </c>
      <c r="F114" s="18">
        <f t="shared" si="0"/>
        <v>0.1637767969735183</v>
      </c>
      <c r="G114" s="18">
        <f t="shared" si="1"/>
        <v>0.3659501747515938</v>
      </c>
      <c r="H114" s="18">
        <f t="shared" si="2"/>
        <v>5.9934147472715318E-2</v>
      </c>
      <c r="I114" s="8">
        <v>41</v>
      </c>
      <c r="J114" s="8">
        <v>16.333333820104599</v>
      </c>
      <c r="K114" s="8">
        <v>430</v>
      </c>
      <c r="L114" s="18">
        <f t="shared" si="3"/>
        <v>9.5348837209302331E-2</v>
      </c>
      <c r="M114" s="18">
        <f t="shared" si="4"/>
        <v>0.3983739956123073</v>
      </c>
      <c r="N114" s="18">
        <f t="shared" si="5"/>
        <v>3.7984497256057209E-2</v>
      </c>
      <c r="O114" s="18">
        <f t="shared" si="6"/>
        <v>0.63377054413511824</v>
      </c>
      <c r="U114" s="21"/>
      <c r="V114" s="21"/>
      <c r="W114" s="21"/>
      <c r="AA114" s="21"/>
      <c r="AB114" s="21"/>
      <c r="AC114" s="21"/>
      <c r="AD114" s="21"/>
    </row>
    <row r="115" spans="1:30" ht="14.4">
      <c r="A115" s="8">
        <v>21902</v>
      </c>
      <c r="B115" s="9" t="s">
        <v>129</v>
      </c>
      <c r="C115" s="8">
        <v>812</v>
      </c>
      <c r="D115" s="8">
        <v>301.66667380928993</v>
      </c>
      <c r="E115" s="8">
        <v>4621</v>
      </c>
      <c r="F115" s="18">
        <f t="shared" si="0"/>
        <v>0.1757195412248431</v>
      </c>
      <c r="G115" s="18">
        <f t="shared" si="1"/>
        <v>0.37151068203114523</v>
      </c>
      <c r="H115" s="18">
        <f t="shared" si="2"/>
        <v>6.5281686606641395E-2</v>
      </c>
      <c r="I115" s="8">
        <v>99</v>
      </c>
      <c r="J115" s="8">
        <v>39.888889700174332</v>
      </c>
      <c r="K115" s="8">
        <v>714</v>
      </c>
      <c r="L115" s="18">
        <f t="shared" si="3"/>
        <v>0.13865546218487396</v>
      </c>
      <c r="M115" s="18">
        <f t="shared" si="4"/>
        <v>0.4029180777795387</v>
      </c>
      <c r="N115" s="18">
        <f t="shared" si="5"/>
        <v>5.5866792297162932E-2</v>
      </c>
      <c r="O115" s="18">
        <f t="shared" si="6"/>
        <v>0.85578046771051641</v>
      </c>
      <c r="U115" s="21"/>
      <c r="V115" s="21"/>
      <c r="W115" s="21"/>
      <c r="AA115" s="21"/>
      <c r="AB115" s="21"/>
      <c r="AC115" s="21"/>
      <c r="AD115" s="21"/>
    </row>
    <row r="116" spans="1:30" ht="14.4">
      <c r="A116" s="8">
        <v>22001</v>
      </c>
      <c r="B116" s="9" t="s">
        <v>130</v>
      </c>
      <c r="C116" s="8">
        <v>5139</v>
      </c>
      <c r="D116" s="8">
        <v>1927.6667153537273</v>
      </c>
      <c r="E116" s="8">
        <v>41529</v>
      </c>
      <c r="F116" s="18">
        <f t="shared" si="0"/>
        <v>0.12374485299429315</v>
      </c>
      <c r="G116" s="18">
        <f t="shared" si="1"/>
        <v>0.37510541260045288</v>
      </c>
      <c r="H116" s="18">
        <f t="shared" si="2"/>
        <v>4.6417364139606718E-2</v>
      </c>
      <c r="I116" s="8">
        <v>1766</v>
      </c>
      <c r="J116" s="8">
        <v>657.00001582503319</v>
      </c>
      <c r="K116" s="8">
        <v>16456</v>
      </c>
      <c r="L116" s="18">
        <f t="shared" si="3"/>
        <v>0.10731648031113272</v>
      </c>
      <c r="M116" s="18">
        <f t="shared" si="4"/>
        <v>0.37202718902889764</v>
      </c>
      <c r="N116" s="18">
        <f t="shared" si="5"/>
        <v>3.9924648506625748E-2</v>
      </c>
      <c r="O116" s="18">
        <f t="shared" si="6"/>
        <v>0.86012312949410008</v>
      </c>
      <c r="U116" s="21"/>
      <c r="V116" s="21"/>
      <c r="W116" s="21"/>
      <c r="AA116" s="21"/>
      <c r="AB116" s="21"/>
      <c r="AC116" s="21"/>
      <c r="AD116" s="21"/>
    </row>
    <row r="117" spans="1:30" ht="14.4">
      <c r="A117" s="8">
        <v>22002</v>
      </c>
      <c r="B117" s="9" t="s">
        <v>131</v>
      </c>
      <c r="C117" s="8">
        <v>1848</v>
      </c>
      <c r="D117" s="8">
        <v>695.55557316541672</v>
      </c>
      <c r="E117" s="8">
        <v>7707</v>
      </c>
      <c r="F117" s="18">
        <f t="shared" si="0"/>
        <v>0.23978201634877383</v>
      </c>
      <c r="G117" s="18">
        <f t="shared" si="1"/>
        <v>0.37638288591202201</v>
      </c>
      <c r="H117" s="18">
        <f t="shared" si="2"/>
        <v>9.0249847303155134E-2</v>
      </c>
      <c r="I117" s="8">
        <v>638</v>
      </c>
      <c r="J117" s="8">
        <v>238.77778375148773</v>
      </c>
      <c r="K117" s="8">
        <v>2728</v>
      </c>
      <c r="L117" s="18">
        <f t="shared" si="3"/>
        <v>0.23387096774193547</v>
      </c>
      <c r="M117" s="18">
        <f t="shared" si="4"/>
        <v>0.37425984914026289</v>
      </c>
      <c r="N117" s="18">
        <f t="shared" si="5"/>
        <v>8.7528513105384065E-2</v>
      </c>
      <c r="O117" s="18">
        <f t="shared" si="6"/>
        <v>0.96984666147267895</v>
      </c>
      <c r="U117" s="21"/>
      <c r="V117" s="21"/>
      <c r="W117" s="21"/>
      <c r="AA117" s="21"/>
      <c r="AB117" s="21"/>
      <c r="AC117" s="21"/>
      <c r="AD117" s="21"/>
    </row>
    <row r="118" spans="1:30" ht="14.4">
      <c r="A118" s="8">
        <v>30101</v>
      </c>
      <c r="B118" s="9" t="s">
        <v>132</v>
      </c>
      <c r="C118" s="8">
        <v>24656</v>
      </c>
      <c r="D118" s="8">
        <v>8816.555782943964</v>
      </c>
      <c r="E118" s="8">
        <v>230116</v>
      </c>
      <c r="F118" s="18">
        <f t="shared" si="0"/>
        <v>0.10714596116741122</v>
      </c>
      <c r="G118" s="18">
        <f t="shared" si="1"/>
        <v>0.35758256744581296</v>
      </c>
      <c r="H118" s="18">
        <f t="shared" si="2"/>
        <v>3.8313527885692276E-2</v>
      </c>
      <c r="I118" s="8">
        <v>14493</v>
      </c>
      <c r="J118" s="8">
        <v>5123.6668022572994</v>
      </c>
      <c r="K118" s="8">
        <v>422039</v>
      </c>
      <c r="L118" s="18">
        <f t="shared" si="3"/>
        <v>3.4340428254260862E-2</v>
      </c>
      <c r="M118" s="18">
        <f t="shared" si="4"/>
        <v>0.35352699939676391</v>
      </c>
      <c r="N118" s="18">
        <f t="shared" si="5"/>
        <v>1.2140268558728694E-2</v>
      </c>
      <c r="O118" s="18">
        <f t="shared" si="6"/>
        <v>0.31686637145367996</v>
      </c>
      <c r="U118" s="21"/>
      <c r="V118" s="21"/>
      <c r="W118" s="21"/>
      <c r="AA118" s="21"/>
      <c r="AB118" s="21"/>
      <c r="AC118" s="21"/>
      <c r="AD118" s="21"/>
    </row>
    <row r="119" spans="1:30" ht="14.4">
      <c r="A119" s="8">
        <v>30201</v>
      </c>
      <c r="B119" s="9" t="s">
        <v>133</v>
      </c>
      <c r="C119" s="8">
        <v>3783</v>
      </c>
      <c r="D119" s="8">
        <v>1484.111148327589</v>
      </c>
      <c r="E119" s="8">
        <v>17913</v>
      </c>
      <c r="F119" s="18">
        <f t="shared" si="0"/>
        <v>0.21118740579467427</v>
      </c>
      <c r="G119" s="18">
        <f t="shared" si="1"/>
        <v>0.39231063926185278</v>
      </c>
      <c r="H119" s="18">
        <f t="shared" si="2"/>
        <v>8.2851066171360968E-2</v>
      </c>
      <c r="I119" s="8">
        <v>705</v>
      </c>
      <c r="J119" s="8">
        <v>272.444451212883</v>
      </c>
      <c r="K119" s="8">
        <v>4989</v>
      </c>
      <c r="L119" s="18">
        <f t="shared" si="3"/>
        <v>0.14131088394467831</v>
      </c>
      <c r="M119" s="18">
        <f t="shared" si="4"/>
        <v>0.38644603008919576</v>
      </c>
      <c r="N119" s="18">
        <f t="shared" si="5"/>
        <v>5.4609030108816001E-2</v>
      </c>
      <c r="O119" s="18">
        <f t="shared" si="6"/>
        <v>0.65912284092842055</v>
      </c>
      <c r="U119" s="21"/>
      <c r="V119" s="21"/>
      <c r="W119" s="21"/>
      <c r="AA119" s="21"/>
      <c r="AB119" s="21"/>
      <c r="AC119" s="21"/>
      <c r="AD119" s="21"/>
    </row>
    <row r="120" spans="1:30" ht="14.4">
      <c r="A120" s="8">
        <v>30202</v>
      </c>
      <c r="B120" s="9" t="s">
        <v>134</v>
      </c>
      <c r="C120" s="8">
        <v>299</v>
      </c>
      <c r="D120" s="8">
        <v>112.888891518116</v>
      </c>
      <c r="E120" s="8">
        <v>1284</v>
      </c>
      <c r="F120" s="18">
        <f t="shared" si="0"/>
        <v>0.23286604361370716</v>
      </c>
      <c r="G120" s="18">
        <f t="shared" si="1"/>
        <v>0.37755482113082273</v>
      </c>
      <c r="H120" s="18">
        <f t="shared" si="2"/>
        <v>8.7919697444015565E-2</v>
      </c>
      <c r="I120" s="8">
        <v>670</v>
      </c>
      <c r="J120" s="8">
        <v>250.88889515399933</v>
      </c>
      <c r="K120" s="8">
        <v>5130</v>
      </c>
      <c r="L120" s="18">
        <f t="shared" si="3"/>
        <v>0.13060428849902533</v>
      </c>
      <c r="M120" s="18">
        <f t="shared" si="4"/>
        <v>0.37446103754328258</v>
      </c>
      <c r="N120" s="18">
        <f t="shared" si="5"/>
        <v>4.8906217378947237E-2</v>
      </c>
      <c r="O120" s="18">
        <f t="shared" si="6"/>
        <v>0.55626007368927932</v>
      </c>
      <c r="U120" s="21"/>
      <c r="V120" s="21"/>
      <c r="W120" s="21"/>
      <c r="AA120" s="21"/>
      <c r="AB120" s="21"/>
      <c r="AC120" s="21"/>
      <c r="AD120" s="21"/>
    </row>
    <row r="121" spans="1:30" ht="14.4">
      <c r="A121" s="8">
        <v>30203</v>
      </c>
      <c r="B121" s="9" t="s">
        <v>135</v>
      </c>
      <c r="C121" s="8">
        <v>452</v>
      </c>
      <c r="D121" s="8">
        <v>173.555559694767</v>
      </c>
      <c r="E121" s="8">
        <v>4447</v>
      </c>
      <c r="F121" s="18">
        <f t="shared" si="0"/>
        <v>0.10164155610523949</v>
      </c>
      <c r="G121" s="18">
        <f t="shared" si="1"/>
        <v>0.38397247720081196</v>
      </c>
      <c r="H121" s="18">
        <f t="shared" si="2"/>
        <v>3.9027560084274118E-2</v>
      </c>
      <c r="I121" s="8">
        <v>186</v>
      </c>
      <c r="J121" s="8">
        <v>67.777779400348663</v>
      </c>
      <c r="K121" s="8">
        <v>2231</v>
      </c>
      <c r="L121" s="18">
        <f t="shared" si="3"/>
        <v>8.3370685791125054E-2</v>
      </c>
      <c r="M121" s="18">
        <f t="shared" si="4"/>
        <v>0.36439666344273475</v>
      </c>
      <c r="N121" s="18">
        <f t="shared" si="5"/>
        <v>3.0379999731218583E-2</v>
      </c>
      <c r="O121" s="18">
        <f t="shared" si="6"/>
        <v>0.77842426392061315</v>
      </c>
      <c r="U121" s="21"/>
      <c r="V121" s="21"/>
      <c r="W121" s="21"/>
      <c r="AA121" s="21"/>
      <c r="AB121" s="21"/>
      <c r="AC121" s="21"/>
      <c r="AD121" s="21"/>
    </row>
    <row r="122" spans="1:30" ht="14.4">
      <c r="A122" s="8">
        <v>30301</v>
      </c>
      <c r="B122" s="9" t="s">
        <v>136</v>
      </c>
      <c r="C122" s="8">
        <v>5488</v>
      </c>
      <c r="D122" s="8">
        <v>2143.1111669242382</v>
      </c>
      <c r="E122" s="8">
        <v>19870</v>
      </c>
      <c r="F122" s="18">
        <f t="shared" si="0"/>
        <v>0.27619526925012583</v>
      </c>
      <c r="G122" s="18">
        <f t="shared" si="1"/>
        <v>0.39050859455616588</v>
      </c>
      <c r="H122" s="18">
        <f t="shared" si="2"/>
        <v>0.10785662641792845</v>
      </c>
      <c r="I122" s="8">
        <v>272</v>
      </c>
      <c r="J122" s="8">
        <v>108.88889172673225</v>
      </c>
      <c r="K122" s="8">
        <v>1821</v>
      </c>
      <c r="L122" s="18">
        <f t="shared" si="3"/>
        <v>0.14936847885777046</v>
      </c>
      <c r="M122" s="18">
        <f t="shared" si="4"/>
        <v>0.40032680781886859</v>
      </c>
      <c r="N122" s="18">
        <f t="shared" si="5"/>
        <v>5.979620632989141E-2</v>
      </c>
      <c r="O122" s="18">
        <f t="shared" si="6"/>
        <v>0.55440456758020562</v>
      </c>
      <c r="U122" s="21"/>
      <c r="V122" s="21"/>
      <c r="W122" s="21"/>
      <c r="AA122" s="21"/>
      <c r="AB122" s="21"/>
      <c r="AC122" s="21"/>
      <c r="AD122" s="21"/>
    </row>
    <row r="123" spans="1:30" ht="14.4">
      <c r="A123" s="8">
        <v>30302</v>
      </c>
      <c r="B123" s="9" t="s">
        <v>137</v>
      </c>
      <c r="C123" s="8">
        <v>3534</v>
      </c>
      <c r="D123" s="8">
        <v>1346.1111448705196</v>
      </c>
      <c r="E123" s="8">
        <v>13330</v>
      </c>
      <c r="F123" s="18">
        <f t="shared" si="0"/>
        <v>0.26511627906976742</v>
      </c>
      <c r="G123" s="18">
        <f t="shared" si="1"/>
        <v>0.38090298383432925</v>
      </c>
      <c r="H123" s="18">
        <f t="shared" si="2"/>
        <v>0.10098358176072914</v>
      </c>
      <c r="I123" s="8">
        <v>443</v>
      </c>
      <c r="J123" s="8">
        <v>169.33333775401115</v>
      </c>
      <c r="K123" s="8">
        <v>1337</v>
      </c>
      <c r="L123" s="18">
        <f t="shared" si="3"/>
        <v>0.33133881824981304</v>
      </c>
      <c r="M123" s="18">
        <f t="shared" si="4"/>
        <v>0.38224229741311772</v>
      </c>
      <c r="N123" s="18">
        <f t="shared" si="5"/>
        <v>0.12665171110995599</v>
      </c>
      <c r="O123" s="18">
        <f t="shared" si="6"/>
        <v>1.2541812134376953</v>
      </c>
      <c r="U123" s="21"/>
      <c r="V123" s="21"/>
      <c r="W123" s="21"/>
      <c r="AA123" s="21"/>
      <c r="AB123" s="21"/>
      <c r="AC123" s="21"/>
      <c r="AD123" s="21"/>
    </row>
    <row r="124" spans="1:30" ht="14.4">
      <c r="A124" s="8">
        <v>30303</v>
      </c>
      <c r="B124" s="9" t="s">
        <v>138</v>
      </c>
      <c r="C124" s="8">
        <v>6287</v>
      </c>
      <c r="D124" s="8">
        <v>2446.6667230129242</v>
      </c>
      <c r="E124" s="8">
        <v>17447</v>
      </c>
      <c r="F124" s="18">
        <f t="shared" si="0"/>
        <v>0.36034848398005387</v>
      </c>
      <c r="G124" s="18">
        <f t="shared" si="1"/>
        <v>0.38916283171829558</v>
      </c>
      <c r="H124" s="18">
        <f t="shared" si="2"/>
        <v>0.14023423643107263</v>
      </c>
      <c r="I124" s="8">
        <v>832</v>
      </c>
      <c r="J124" s="8">
        <v>329.55556306242943</v>
      </c>
      <c r="K124" s="8">
        <v>2085</v>
      </c>
      <c r="L124" s="18">
        <f t="shared" si="3"/>
        <v>0.39904076738609112</v>
      </c>
      <c r="M124" s="18">
        <f t="shared" si="4"/>
        <v>0.39610043637311232</v>
      </c>
      <c r="N124" s="18">
        <f t="shared" si="5"/>
        <v>0.15806022209229231</v>
      </c>
      <c r="O124" s="18">
        <f t="shared" si="6"/>
        <v>1.1271157893741692</v>
      </c>
      <c r="U124" s="21"/>
      <c r="V124" s="21"/>
      <c r="W124" s="21"/>
      <c r="AA124" s="21"/>
      <c r="AB124" s="21"/>
      <c r="AC124" s="21"/>
      <c r="AD124" s="21"/>
    </row>
    <row r="125" spans="1:30" ht="14.4">
      <c r="A125" s="8">
        <v>30401</v>
      </c>
      <c r="B125" s="9" t="s">
        <v>139</v>
      </c>
      <c r="C125" s="8">
        <v>1473</v>
      </c>
      <c r="D125" s="8">
        <v>565.88890305161476</v>
      </c>
      <c r="E125" s="8">
        <v>7869</v>
      </c>
      <c r="F125" s="18">
        <f t="shared" si="0"/>
        <v>0.18719024018299657</v>
      </c>
      <c r="G125" s="18">
        <f t="shared" si="1"/>
        <v>0.38417440804590275</v>
      </c>
      <c r="H125" s="18">
        <f t="shared" si="2"/>
        <v>7.1913699714273069E-2</v>
      </c>
      <c r="I125" s="8">
        <v>312</v>
      </c>
      <c r="J125" s="8">
        <v>122.3333366215229</v>
      </c>
      <c r="K125" s="8">
        <v>2881</v>
      </c>
      <c r="L125" s="18">
        <f t="shared" si="3"/>
        <v>0.10829573064908019</v>
      </c>
      <c r="M125" s="18">
        <f t="shared" si="4"/>
        <v>0.39209402763308621</v>
      </c>
      <c r="N125" s="18">
        <f t="shared" si="5"/>
        <v>4.2462109205665705E-2</v>
      </c>
      <c r="O125" s="18">
        <f t="shared" si="6"/>
        <v>0.59045925010638878</v>
      </c>
      <c r="U125" s="21"/>
      <c r="V125" s="21"/>
      <c r="W125" s="21"/>
      <c r="AA125" s="21"/>
      <c r="AB125" s="21"/>
      <c r="AC125" s="21"/>
      <c r="AD125" s="21"/>
    </row>
    <row r="126" spans="1:30" ht="14.4">
      <c r="A126" s="8">
        <v>30402</v>
      </c>
      <c r="B126" s="9" t="s">
        <v>140</v>
      </c>
      <c r="C126" s="8">
        <v>1818</v>
      </c>
      <c r="D126" s="8">
        <v>687.00001701712608</v>
      </c>
      <c r="E126" s="8">
        <v>6631</v>
      </c>
      <c r="F126" s="18">
        <f t="shared" si="0"/>
        <v>0.2741667923390137</v>
      </c>
      <c r="G126" s="18">
        <f t="shared" si="1"/>
        <v>0.37788779813923329</v>
      </c>
      <c r="H126" s="18">
        <f t="shared" si="2"/>
        <v>0.1036042854798863</v>
      </c>
      <c r="I126" s="8">
        <v>159</v>
      </c>
      <c r="J126" s="8">
        <v>56.888890415430069</v>
      </c>
      <c r="K126" s="8">
        <v>671</v>
      </c>
      <c r="L126" s="18">
        <f t="shared" si="3"/>
        <v>0.23695976154992549</v>
      </c>
      <c r="M126" s="18">
        <f t="shared" si="4"/>
        <v>0.35779176361905701</v>
      </c>
      <c r="N126" s="18">
        <f t="shared" si="5"/>
        <v>8.478225099169906E-2</v>
      </c>
      <c r="O126" s="18">
        <f t="shared" si="6"/>
        <v>0.81832764541538827</v>
      </c>
      <c r="U126" s="21"/>
      <c r="V126" s="21"/>
      <c r="W126" s="21"/>
      <c r="AA126" s="21"/>
      <c r="AB126" s="21"/>
      <c r="AC126" s="21"/>
      <c r="AD126" s="21"/>
    </row>
    <row r="127" spans="1:30" ht="14.4">
      <c r="A127" s="8">
        <v>30403</v>
      </c>
      <c r="B127" s="9" t="s">
        <v>141</v>
      </c>
      <c r="C127" s="8">
        <v>6292</v>
      </c>
      <c r="D127" s="8">
        <v>2305.0000592470169</v>
      </c>
      <c r="E127" s="8">
        <v>19238</v>
      </c>
      <c r="F127" s="18">
        <f t="shared" si="0"/>
        <v>0.32706102505457946</v>
      </c>
      <c r="G127" s="18">
        <f t="shared" si="1"/>
        <v>0.36633821666354371</v>
      </c>
      <c r="H127" s="18">
        <f t="shared" si="2"/>
        <v>0.11981495265864522</v>
      </c>
      <c r="I127" s="8">
        <v>3087</v>
      </c>
      <c r="J127" s="8">
        <v>1126.4444733858109</v>
      </c>
      <c r="K127" s="8">
        <v>9985</v>
      </c>
      <c r="L127" s="18">
        <f t="shared" si="3"/>
        <v>0.30916374561842763</v>
      </c>
      <c r="M127" s="18">
        <f t="shared" si="4"/>
        <v>0.36489940828824452</v>
      </c>
      <c r="N127" s="18">
        <f t="shared" si="5"/>
        <v>0.11281366784034159</v>
      </c>
      <c r="O127" s="18">
        <f t="shared" si="6"/>
        <v>0.94156585081454391</v>
      </c>
      <c r="U127" s="21"/>
      <c r="V127" s="21"/>
      <c r="W127" s="21"/>
      <c r="AA127" s="21"/>
      <c r="AB127" s="21"/>
      <c r="AC127" s="21"/>
      <c r="AD127" s="21"/>
    </row>
    <row r="128" spans="1:30" ht="14.4">
      <c r="A128" s="8">
        <v>30404</v>
      </c>
      <c r="B128" s="9" t="s">
        <v>142</v>
      </c>
      <c r="C128" s="8">
        <v>1472</v>
      </c>
      <c r="D128" s="8">
        <v>566.22223642468452</v>
      </c>
      <c r="E128" s="8">
        <v>4514</v>
      </c>
      <c r="F128" s="18">
        <f t="shared" si="0"/>
        <v>0.32609658839167038</v>
      </c>
      <c r="G128" s="18">
        <f t="shared" si="1"/>
        <v>0.38466184539720416</v>
      </c>
      <c r="H128" s="18">
        <f t="shared" si="2"/>
        <v>0.12543691546847244</v>
      </c>
      <c r="I128" s="8">
        <v>173</v>
      </c>
      <c r="J128" s="8">
        <v>65.555557072162628</v>
      </c>
      <c r="K128" s="8">
        <v>465</v>
      </c>
      <c r="L128" s="18">
        <f t="shared" si="3"/>
        <v>0.3720430107526882</v>
      </c>
      <c r="M128" s="18">
        <f t="shared" si="4"/>
        <v>0.37893385590845452</v>
      </c>
      <c r="N128" s="18">
        <f t="shared" si="5"/>
        <v>0.14097969262830676</v>
      </c>
      <c r="O128" s="18">
        <f t="shared" si="6"/>
        <v>1.123909114807123</v>
      </c>
      <c r="U128" s="21"/>
      <c r="V128" s="21"/>
      <c r="W128" s="21"/>
      <c r="AA128" s="21"/>
      <c r="AB128" s="21"/>
      <c r="AC128" s="21"/>
      <c r="AD128" s="21"/>
    </row>
    <row r="129" spans="1:30" ht="14.4">
      <c r="A129" s="8">
        <v>30501</v>
      </c>
      <c r="B129" s="9" t="s">
        <v>143</v>
      </c>
      <c r="C129" s="8">
        <v>693</v>
      </c>
      <c r="D129" s="8">
        <v>263.00000685453415</v>
      </c>
      <c r="E129" s="8">
        <v>8850</v>
      </c>
      <c r="F129" s="18">
        <f t="shared" si="0"/>
        <v>7.8305084745762712E-2</v>
      </c>
      <c r="G129" s="18">
        <f t="shared" si="1"/>
        <v>0.37950938940048218</v>
      </c>
      <c r="H129" s="18">
        <f t="shared" si="2"/>
        <v>2.9717514898817417E-2</v>
      </c>
      <c r="I129" s="8">
        <v>75</v>
      </c>
      <c r="J129" s="8">
        <v>26.777778416872025</v>
      </c>
      <c r="K129" s="8">
        <v>2202</v>
      </c>
      <c r="L129" s="18">
        <f t="shared" si="3"/>
        <v>3.4059945504087197E-2</v>
      </c>
      <c r="M129" s="18">
        <f t="shared" si="4"/>
        <v>0.35703704555829369</v>
      </c>
      <c r="N129" s="18">
        <f t="shared" si="5"/>
        <v>1.2160662314655781E-2</v>
      </c>
      <c r="O129" s="18">
        <f t="shared" si="6"/>
        <v>0.40920858813600541</v>
      </c>
      <c r="U129" s="21"/>
      <c r="V129" s="21"/>
      <c r="W129" s="21"/>
      <c r="AA129" s="21"/>
      <c r="AB129" s="21"/>
      <c r="AC129" s="21"/>
      <c r="AD129" s="21"/>
    </row>
    <row r="130" spans="1:30" ht="14.4">
      <c r="A130" s="8">
        <v>30502</v>
      </c>
      <c r="B130" s="9" t="s">
        <v>144</v>
      </c>
      <c r="C130" s="8">
        <v>1364</v>
      </c>
      <c r="D130" s="8">
        <v>511.33334523439407</v>
      </c>
      <c r="E130" s="8">
        <v>7752</v>
      </c>
      <c r="F130" s="18">
        <f t="shared" si="0"/>
        <v>0.17595459236326108</v>
      </c>
      <c r="G130" s="18">
        <f t="shared" si="1"/>
        <v>0.37487781908679918</v>
      </c>
      <c r="H130" s="18">
        <f t="shared" si="2"/>
        <v>6.5961473843446083E-2</v>
      </c>
      <c r="I130" s="8">
        <v>89</v>
      </c>
      <c r="J130" s="8">
        <v>33.444445163011551</v>
      </c>
      <c r="K130" s="8">
        <v>480</v>
      </c>
      <c r="L130" s="18">
        <f t="shared" si="3"/>
        <v>0.18541666666666667</v>
      </c>
      <c r="M130" s="18">
        <f t="shared" si="4"/>
        <v>0.37578028273046687</v>
      </c>
      <c r="N130" s="18">
        <f t="shared" si="5"/>
        <v>6.9675927422940737E-2</v>
      </c>
      <c r="O130" s="18">
        <f t="shared" si="6"/>
        <v>1.0563124709479748</v>
      </c>
      <c r="U130" s="21"/>
      <c r="V130" s="21"/>
      <c r="W130" s="21"/>
      <c r="AA130" s="21"/>
      <c r="AB130" s="21"/>
      <c r="AC130" s="21"/>
      <c r="AD130" s="21"/>
    </row>
    <row r="131" spans="1:30" ht="14.4">
      <c r="A131" s="8">
        <v>30601</v>
      </c>
      <c r="B131" s="9" t="s">
        <v>145</v>
      </c>
      <c r="C131" s="8">
        <v>3827</v>
      </c>
      <c r="D131" s="8">
        <v>1519.111149430275</v>
      </c>
      <c r="E131" s="8">
        <v>9407</v>
      </c>
      <c r="F131" s="18">
        <f t="shared" si="0"/>
        <v>0.40682470500690976</v>
      </c>
      <c r="G131" s="18">
        <f t="shared" si="1"/>
        <v>0.39694568838000394</v>
      </c>
      <c r="H131" s="18">
        <f t="shared" si="2"/>
        <v>0.16148731257895982</v>
      </c>
      <c r="I131" s="8">
        <v>335</v>
      </c>
      <c r="J131" s="8">
        <v>127.55555894970894</v>
      </c>
      <c r="K131" s="8">
        <v>1186</v>
      </c>
      <c r="L131" s="18">
        <f t="shared" si="3"/>
        <v>0.28246205733558177</v>
      </c>
      <c r="M131" s="18">
        <f t="shared" si="4"/>
        <v>0.38076286253644459</v>
      </c>
      <c r="N131" s="18">
        <f t="shared" si="5"/>
        <v>0.10755106150902945</v>
      </c>
      <c r="O131" s="18">
        <f t="shared" si="6"/>
        <v>0.66600316638771206</v>
      </c>
      <c r="U131" s="21"/>
      <c r="V131" s="21"/>
      <c r="W131" s="21"/>
      <c r="AA131" s="21"/>
      <c r="AB131" s="21"/>
      <c r="AC131" s="21"/>
      <c r="AD131" s="21"/>
    </row>
    <row r="132" spans="1:30" ht="14.4">
      <c r="A132" s="8">
        <v>30602</v>
      </c>
      <c r="B132" s="9" t="s">
        <v>146</v>
      </c>
      <c r="C132" s="8">
        <v>2137</v>
      </c>
      <c r="D132" s="8">
        <v>800.66668686270714</v>
      </c>
      <c r="E132" s="8">
        <v>9360</v>
      </c>
      <c r="F132" s="18">
        <f t="shared" si="0"/>
        <v>0.22831196581196581</v>
      </c>
      <c r="G132" s="18">
        <f t="shared" si="1"/>
        <v>0.3746685479001905</v>
      </c>
      <c r="H132" s="18">
        <f t="shared" si="2"/>
        <v>8.5541312699007166E-2</v>
      </c>
      <c r="I132" s="8">
        <v>259</v>
      </c>
      <c r="J132" s="8">
        <v>92.111113518476486</v>
      </c>
      <c r="K132" s="8">
        <v>1335</v>
      </c>
      <c r="L132" s="18">
        <f t="shared" si="3"/>
        <v>0.19400749063670411</v>
      </c>
      <c r="M132" s="18">
        <f t="shared" si="4"/>
        <v>0.35564136493620263</v>
      </c>
      <c r="N132" s="18">
        <f t="shared" si="5"/>
        <v>6.8997088777885004E-2</v>
      </c>
      <c r="O132" s="18">
        <f t="shared" si="6"/>
        <v>0.80659375687469215</v>
      </c>
      <c r="U132" s="21"/>
      <c r="V132" s="21"/>
      <c r="W132" s="21"/>
      <c r="AA132" s="21"/>
      <c r="AB132" s="21"/>
      <c r="AC132" s="21"/>
      <c r="AD132" s="21"/>
    </row>
    <row r="133" spans="1:30" ht="14.4">
      <c r="A133" s="8">
        <v>30701</v>
      </c>
      <c r="B133" s="9" t="s">
        <v>147</v>
      </c>
      <c r="C133" s="8">
        <v>1961</v>
      </c>
      <c r="D133" s="8">
        <v>741.66668528318405</v>
      </c>
      <c r="E133" s="8">
        <v>13922</v>
      </c>
      <c r="F133" s="18">
        <f t="shared" si="0"/>
        <v>0.14085619882200834</v>
      </c>
      <c r="G133" s="18">
        <f t="shared" si="1"/>
        <v>0.37820840656970117</v>
      </c>
      <c r="H133" s="18">
        <f t="shared" si="2"/>
        <v>5.3272998511936794E-2</v>
      </c>
      <c r="I133" s="8">
        <v>438</v>
      </c>
      <c r="J133" s="8">
        <v>164.66667076945305</v>
      </c>
      <c r="K133" s="8">
        <v>5357</v>
      </c>
      <c r="L133" s="18">
        <f t="shared" si="3"/>
        <v>8.1762180324808656E-2</v>
      </c>
      <c r="M133" s="18">
        <f t="shared" si="4"/>
        <v>0.37595130312660513</v>
      </c>
      <c r="N133" s="18">
        <f t="shared" si="5"/>
        <v>3.0738598239584289E-2</v>
      </c>
      <c r="O133" s="18">
        <f t="shared" si="6"/>
        <v>0.57700146599964219</v>
      </c>
      <c r="U133" s="21"/>
      <c r="V133" s="21"/>
      <c r="W133" s="21"/>
      <c r="AA133" s="21"/>
      <c r="AB133" s="21"/>
      <c r="AC133" s="21"/>
      <c r="AD133" s="21"/>
    </row>
    <row r="134" spans="1:30" ht="14.4">
      <c r="A134" s="8">
        <v>30702</v>
      </c>
      <c r="B134" s="9" t="s">
        <v>148</v>
      </c>
      <c r="C134" s="8">
        <v>344</v>
      </c>
      <c r="D134" s="8">
        <v>125.00000309944153</v>
      </c>
      <c r="E134" s="8">
        <v>4857</v>
      </c>
      <c r="F134" s="18">
        <f t="shared" si="0"/>
        <v>7.0825612518015238E-2</v>
      </c>
      <c r="G134" s="18">
        <f t="shared" si="1"/>
        <v>0.36337210203326026</v>
      </c>
      <c r="H134" s="18">
        <f t="shared" si="2"/>
        <v>2.5736051698464386E-2</v>
      </c>
      <c r="I134" s="8">
        <v>223</v>
      </c>
      <c r="J134" s="8">
        <v>82.222224026918411</v>
      </c>
      <c r="K134" s="8">
        <v>2875</v>
      </c>
      <c r="L134" s="18">
        <f t="shared" si="3"/>
        <v>7.7565217391304342E-2</v>
      </c>
      <c r="M134" s="18">
        <f t="shared" si="4"/>
        <v>0.36870952478438751</v>
      </c>
      <c r="N134" s="18">
        <f t="shared" si="5"/>
        <v>2.8599034444145532E-2</v>
      </c>
      <c r="O134" s="18">
        <f t="shared" si="6"/>
        <v>1.1112440548078311</v>
      </c>
      <c r="U134" s="21"/>
      <c r="V134" s="21"/>
      <c r="W134" s="21"/>
      <c r="AA134" s="21"/>
      <c r="AB134" s="21"/>
      <c r="AC134" s="21"/>
      <c r="AD134" s="21"/>
    </row>
    <row r="135" spans="1:30" ht="14.4">
      <c r="A135" s="8">
        <v>30703</v>
      </c>
      <c r="B135" s="9" t="s">
        <v>149</v>
      </c>
      <c r="C135" s="8">
        <v>413</v>
      </c>
      <c r="D135" s="8">
        <v>152.88889253139496</v>
      </c>
      <c r="E135" s="8">
        <v>3159</v>
      </c>
      <c r="F135" s="18">
        <f t="shared" si="0"/>
        <v>0.13073757518201962</v>
      </c>
      <c r="G135" s="18">
        <f t="shared" si="1"/>
        <v>0.37019102307843815</v>
      </c>
      <c r="H135" s="18">
        <f t="shared" si="2"/>
        <v>4.839787671142607E-2</v>
      </c>
      <c r="I135" s="8">
        <v>147</v>
      </c>
      <c r="J135" s="8">
        <v>56.444445729255676</v>
      </c>
      <c r="K135" s="8">
        <v>775</v>
      </c>
      <c r="L135" s="18">
        <f t="shared" si="3"/>
        <v>0.1896774193548387</v>
      </c>
      <c r="M135" s="18">
        <f t="shared" si="4"/>
        <v>0.38397582128745356</v>
      </c>
      <c r="N135" s="18">
        <f t="shared" si="5"/>
        <v>7.2831542876458932E-2</v>
      </c>
      <c r="O135" s="18">
        <f t="shared" si="6"/>
        <v>1.5048499608922805</v>
      </c>
      <c r="U135" s="21"/>
      <c r="V135" s="21"/>
      <c r="W135" s="21"/>
      <c r="AA135" s="21"/>
      <c r="AB135" s="21"/>
      <c r="AC135" s="21"/>
      <c r="AD135" s="21"/>
    </row>
    <row r="136" spans="1:30" ht="14.4">
      <c r="A136" s="8">
        <v>30801</v>
      </c>
      <c r="B136" s="9" t="s">
        <v>150</v>
      </c>
      <c r="C136" s="8">
        <v>304</v>
      </c>
      <c r="D136" s="8">
        <v>106.77778053283691</v>
      </c>
      <c r="E136" s="8">
        <v>14912</v>
      </c>
      <c r="F136" s="18">
        <f t="shared" si="0"/>
        <v>2.03862660944206E-2</v>
      </c>
      <c r="G136" s="18">
        <f t="shared" si="1"/>
        <v>0.35124269912117406</v>
      </c>
      <c r="H136" s="18">
        <f t="shared" si="2"/>
        <v>7.1605271280067674E-3</v>
      </c>
      <c r="I136" s="8">
        <v>139</v>
      </c>
      <c r="J136" s="8">
        <v>49.333334565162659</v>
      </c>
      <c r="K136" s="8">
        <v>6170</v>
      </c>
      <c r="L136" s="18">
        <f t="shared" si="3"/>
        <v>2.2528363047001621E-2</v>
      </c>
      <c r="M136" s="18">
        <f t="shared" si="4"/>
        <v>0.35491607600836445</v>
      </c>
      <c r="N136" s="18">
        <f t="shared" si="5"/>
        <v>7.995678211533656E-3</v>
      </c>
      <c r="O136" s="18">
        <f t="shared" si="6"/>
        <v>1.1166326261456905</v>
      </c>
      <c r="U136" s="21"/>
      <c r="V136" s="21"/>
      <c r="W136" s="21"/>
      <c r="AA136" s="21"/>
      <c r="AB136" s="21"/>
      <c r="AC136" s="21"/>
      <c r="AD136" s="21"/>
    </row>
    <row r="137" spans="1:30" ht="14.4">
      <c r="A137" s="8">
        <v>30802</v>
      </c>
      <c r="B137" s="9" t="s">
        <v>151</v>
      </c>
      <c r="C137" s="8">
        <v>519</v>
      </c>
      <c r="D137" s="8">
        <v>191.88889402151108</v>
      </c>
      <c r="E137" s="8">
        <v>5841</v>
      </c>
      <c r="F137" s="18">
        <f t="shared" si="0"/>
        <v>8.885464817668208E-2</v>
      </c>
      <c r="G137" s="18">
        <f t="shared" si="1"/>
        <v>0.36972811950194812</v>
      </c>
      <c r="H137" s="18">
        <f t="shared" si="2"/>
        <v>3.285206197937187E-2</v>
      </c>
      <c r="I137" s="8">
        <v>117</v>
      </c>
      <c r="J137" s="8">
        <v>43.33333432674408</v>
      </c>
      <c r="K137" s="8">
        <v>1528</v>
      </c>
      <c r="L137" s="18">
        <f t="shared" si="3"/>
        <v>7.6570680628272256E-2</v>
      </c>
      <c r="M137" s="18">
        <f t="shared" si="4"/>
        <v>0.3703703788610605</v>
      </c>
      <c r="N137" s="18">
        <f t="shared" si="5"/>
        <v>2.835951199394246E-2</v>
      </c>
      <c r="O137" s="18">
        <f t="shared" si="6"/>
        <v>0.86324907129877182</v>
      </c>
      <c r="U137" s="21"/>
      <c r="V137" s="21"/>
      <c r="W137" s="21"/>
      <c r="AA137" s="21"/>
      <c r="AB137" s="21"/>
      <c r="AC137" s="21"/>
      <c r="AD137" s="21"/>
    </row>
    <row r="138" spans="1:30" ht="14.4">
      <c r="A138" s="8">
        <v>30803</v>
      </c>
      <c r="B138" s="9" t="s">
        <v>152</v>
      </c>
      <c r="C138" s="8">
        <v>908</v>
      </c>
      <c r="D138" s="8">
        <v>328.66667512059212</v>
      </c>
      <c r="E138" s="8">
        <v>4849</v>
      </c>
      <c r="F138" s="18">
        <f t="shared" si="0"/>
        <v>0.18725510414518456</v>
      </c>
      <c r="G138" s="18">
        <f t="shared" si="1"/>
        <v>0.36196770387730409</v>
      </c>
      <c r="H138" s="18">
        <f t="shared" si="2"/>
        <v>6.778030008673791E-2</v>
      </c>
      <c r="I138" s="8">
        <v>416</v>
      </c>
      <c r="J138" s="8">
        <v>147.44444823265076</v>
      </c>
      <c r="K138" s="8">
        <v>2730</v>
      </c>
      <c r="L138" s="18">
        <f t="shared" si="3"/>
        <v>0.15238095238095239</v>
      </c>
      <c r="M138" s="18">
        <f t="shared" si="4"/>
        <v>0.35443376979002583</v>
      </c>
      <c r="N138" s="18">
        <f t="shared" si="5"/>
        <v>5.4008955396575367E-2</v>
      </c>
      <c r="O138" s="18">
        <f t="shared" si="6"/>
        <v>0.79682378696259148</v>
      </c>
      <c r="U138" s="21"/>
      <c r="V138" s="21"/>
      <c r="W138" s="21"/>
      <c r="AA138" s="21"/>
      <c r="AB138" s="21"/>
      <c r="AC138" s="21"/>
      <c r="AD138" s="21"/>
    </row>
    <row r="139" spans="1:30" ht="14.4">
      <c r="A139" s="8">
        <v>30901</v>
      </c>
      <c r="B139" s="9" t="s">
        <v>153</v>
      </c>
      <c r="C139" s="8">
        <v>4435</v>
      </c>
      <c r="D139" s="8">
        <v>1582.3333751261234</v>
      </c>
      <c r="E139" s="8">
        <v>76465</v>
      </c>
      <c r="F139" s="18">
        <f t="shared" si="0"/>
        <v>5.8000392336363039E-2</v>
      </c>
      <c r="G139" s="18">
        <f t="shared" si="1"/>
        <v>0.35678317364737844</v>
      </c>
      <c r="H139" s="18">
        <f t="shared" si="2"/>
        <v>2.0693564050560692E-2</v>
      </c>
      <c r="I139" s="8">
        <v>2156</v>
      </c>
      <c r="J139" s="8">
        <v>765.44446471333504</v>
      </c>
      <c r="K139" s="8">
        <v>87930</v>
      </c>
      <c r="L139" s="18">
        <f t="shared" si="3"/>
        <v>2.4519504151029228E-2</v>
      </c>
      <c r="M139" s="18">
        <f t="shared" si="4"/>
        <v>0.35502990014533164</v>
      </c>
      <c r="N139" s="18">
        <f t="shared" si="5"/>
        <v>8.7051571103529523E-3</v>
      </c>
      <c r="O139" s="18">
        <f t="shared" si="6"/>
        <v>0.4206697835657307</v>
      </c>
      <c r="U139" s="21"/>
      <c r="V139" s="21"/>
      <c r="W139" s="21"/>
      <c r="AA139" s="21"/>
      <c r="AB139" s="21"/>
      <c r="AC139" s="21"/>
      <c r="AD139" s="21"/>
    </row>
    <row r="140" spans="1:30" ht="14.4">
      <c r="A140" s="8">
        <v>30902</v>
      </c>
      <c r="B140" s="9" t="s">
        <v>154</v>
      </c>
      <c r="C140" s="8">
        <v>3448</v>
      </c>
      <c r="D140" s="8">
        <v>1268.3333655595779</v>
      </c>
      <c r="E140" s="8">
        <v>36960</v>
      </c>
      <c r="F140" s="18">
        <f t="shared" si="0"/>
        <v>9.3290043290043284E-2</v>
      </c>
      <c r="G140" s="18">
        <f t="shared" si="1"/>
        <v>0.36784610370057363</v>
      </c>
      <c r="H140" s="18">
        <f t="shared" si="2"/>
        <v>3.4316378938300265E-2</v>
      </c>
      <c r="I140" s="8">
        <v>1093</v>
      </c>
      <c r="J140" s="8">
        <v>393.88889929652214</v>
      </c>
      <c r="K140" s="8">
        <v>18665</v>
      </c>
      <c r="L140" s="18">
        <f t="shared" si="3"/>
        <v>5.8558799892847575E-2</v>
      </c>
      <c r="M140" s="18">
        <f t="shared" si="4"/>
        <v>0.36037410731612274</v>
      </c>
      <c r="N140" s="18">
        <f t="shared" si="5"/>
        <v>2.1103075236888407E-2</v>
      </c>
      <c r="O140" s="18">
        <f t="shared" si="6"/>
        <v>0.61495635290748629</v>
      </c>
      <c r="U140" s="21"/>
      <c r="V140" s="21"/>
      <c r="W140" s="21"/>
      <c r="AA140" s="21"/>
      <c r="AB140" s="21"/>
      <c r="AC140" s="21"/>
      <c r="AD140" s="21"/>
    </row>
    <row r="141" spans="1:30" ht="14.4">
      <c r="A141" s="8">
        <v>30903</v>
      </c>
      <c r="B141" s="9" t="s">
        <v>155</v>
      </c>
      <c r="C141" s="8">
        <v>1598</v>
      </c>
      <c r="D141" s="8">
        <v>582.22223657369614</v>
      </c>
      <c r="E141" s="8">
        <v>23329</v>
      </c>
      <c r="F141" s="18">
        <f t="shared" si="0"/>
        <v>6.8498435423721554E-2</v>
      </c>
      <c r="G141" s="18">
        <f t="shared" si="1"/>
        <v>0.36434432826889618</v>
      </c>
      <c r="H141" s="18">
        <f t="shared" si="2"/>
        <v>2.4957016441926192E-2</v>
      </c>
      <c r="I141" s="8">
        <v>932</v>
      </c>
      <c r="J141" s="8">
        <v>327.55556413531303</v>
      </c>
      <c r="K141" s="8">
        <v>37673</v>
      </c>
      <c r="L141" s="18">
        <f t="shared" si="3"/>
        <v>2.4739203142834391E-2</v>
      </c>
      <c r="M141" s="18">
        <f t="shared" si="4"/>
        <v>0.35145446795634444</v>
      </c>
      <c r="N141" s="18">
        <f t="shared" si="5"/>
        <v>8.6947034782287845E-3</v>
      </c>
      <c r="O141" s="18">
        <f t="shared" si="6"/>
        <v>0.34838713587663622</v>
      </c>
      <c r="U141" s="21"/>
      <c r="V141" s="21"/>
      <c r="W141" s="21"/>
      <c r="AA141" s="21"/>
      <c r="AB141" s="21"/>
      <c r="AC141" s="21"/>
      <c r="AD141" s="21"/>
    </row>
    <row r="142" spans="1:30" ht="14.4">
      <c r="A142" s="8">
        <v>30904</v>
      </c>
      <c r="B142" s="9" t="s">
        <v>156</v>
      </c>
      <c r="C142" s="8">
        <v>2488</v>
      </c>
      <c r="D142" s="8">
        <v>895.33335661888123</v>
      </c>
      <c r="E142" s="8">
        <v>33934</v>
      </c>
      <c r="F142" s="18">
        <f t="shared" si="0"/>
        <v>7.3318795308540102E-2</v>
      </c>
      <c r="G142" s="18">
        <f t="shared" si="1"/>
        <v>0.35986067388218701</v>
      </c>
      <c r="H142" s="18">
        <f t="shared" si="2"/>
        <v>2.6384551087961373E-2</v>
      </c>
      <c r="I142" s="8">
        <v>780</v>
      </c>
      <c r="J142" s="8">
        <v>276.8888963162899</v>
      </c>
      <c r="K142" s="8">
        <v>21285</v>
      </c>
      <c r="L142" s="18">
        <f t="shared" si="3"/>
        <v>3.6645525017618044E-2</v>
      </c>
      <c r="M142" s="18">
        <f t="shared" si="4"/>
        <v>0.35498576450806396</v>
      </c>
      <c r="N142" s="18">
        <f t="shared" si="5"/>
        <v>1.3008639714178526E-2</v>
      </c>
      <c r="O142" s="18">
        <f t="shared" si="6"/>
        <v>0.49304002447530937</v>
      </c>
      <c r="U142" s="21"/>
      <c r="V142" s="21"/>
      <c r="W142" s="21"/>
      <c r="AA142" s="21"/>
      <c r="AB142" s="21"/>
      <c r="AC142" s="21"/>
      <c r="AD142" s="21"/>
    </row>
    <row r="143" spans="1:30" ht="14.4">
      <c r="A143" s="8">
        <v>30905</v>
      </c>
      <c r="B143" s="9" t="s">
        <v>157</v>
      </c>
      <c r="C143" s="8">
        <v>528</v>
      </c>
      <c r="D143" s="8">
        <v>186.22222688794136</v>
      </c>
      <c r="E143" s="8">
        <v>21461</v>
      </c>
      <c r="F143" s="18">
        <f t="shared" si="0"/>
        <v>2.4602767811378781E-2</v>
      </c>
      <c r="G143" s="18">
        <f t="shared" si="1"/>
        <v>0.35269361153019196</v>
      </c>
      <c r="H143" s="18">
        <f t="shared" si="2"/>
        <v>8.6772390330339382E-3</v>
      </c>
      <c r="I143" s="8">
        <v>486</v>
      </c>
      <c r="J143" s="8">
        <v>170.11111557483673</v>
      </c>
      <c r="K143" s="8">
        <v>44383</v>
      </c>
      <c r="L143" s="18">
        <f t="shared" si="3"/>
        <v>1.095013856656828E-2</v>
      </c>
      <c r="M143" s="18">
        <f t="shared" si="4"/>
        <v>0.35002287155316197</v>
      </c>
      <c r="N143" s="18">
        <f t="shared" si="5"/>
        <v>3.8327989449752544E-3</v>
      </c>
      <c r="O143" s="18">
        <f t="shared" si="6"/>
        <v>0.44170719861282215</v>
      </c>
      <c r="U143" s="21"/>
      <c r="V143" s="21"/>
      <c r="W143" s="21"/>
      <c r="AA143" s="21"/>
      <c r="AB143" s="21"/>
      <c r="AC143" s="21"/>
      <c r="AD143" s="21"/>
    </row>
    <row r="144" spans="1:30" ht="14.4">
      <c r="A144" s="8">
        <v>31001</v>
      </c>
      <c r="B144" s="9" t="s">
        <v>158</v>
      </c>
      <c r="C144" s="8">
        <v>7907</v>
      </c>
      <c r="D144" s="8">
        <v>2843.555628567934</v>
      </c>
      <c r="E144" s="8">
        <v>100936</v>
      </c>
      <c r="F144" s="18">
        <f t="shared" si="0"/>
        <v>7.833676785289688E-2</v>
      </c>
      <c r="G144" s="18">
        <f t="shared" si="1"/>
        <v>0.35962509530389958</v>
      </c>
      <c r="H144" s="18">
        <f t="shared" si="2"/>
        <v>2.8171867604897496E-2</v>
      </c>
      <c r="I144" s="8">
        <v>3873</v>
      </c>
      <c r="J144" s="8">
        <v>1391.7778137028217</v>
      </c>
      <c r="K144" s="8">
        <v>114407</v>
      </c>
      <c r="L144" s="18">
        <f t="shared" si="3"/>
        <v>3.3852823690858076E-2</v>
      </c>
      <c r="M144" s="18">
        <f t="shared" si="4"/>
        <v>0.35935394105417551</v>
      </c>
      <c r="N144" s="18">
        <f t="shared" si="5"/>
        <v>1.2165145609122009E-2</v>
      </c>
      <c r="O144" s="18">
        <f t="shared" si="6"/>
        <v>0.43181892587792714</v>
      </c>
      <c r="U144" s="21"/>
      <c r="V144" s="21"/>
      <c r="W144" s="21"/>
      <c r="AA144" s="21"/>
      <c r="AB144" s="21"/>
      <c r="AC144" s="21"/>
      <c r="AD144" s="21"/>
    </row>
    <row r="145" spans="1:30" ht="14.4">
      <c r="A145" s="8">
        <v>31002</v>
      </c>
      <c r="B145" s="9" t="s">
        <v>159</v>
      </c>
      <c r="C145" s="8">
        <v>2413</v>
      </c>
      <c r="D145" s="8">
        <v>889.77779975533485</v>
      </c>
      <c r="E145" s="8">
        <v>17668</v>
      </c>
      <c r="F145" s="18">
        <f t="shared" si="0"/>
        <v>0.13657459814353634</v>
      </c>
      <c r="G145" s="18">
        <f t="shared" si="1"/>
        <v>0.36874338986959587</v>
      </c>
      <c r="H145" s="18">
        <f t="shared" si="2"/>
        <v>5.0360980289525403E-2</v>
      </c>
      <c r="I145" s="8">
        <v>440</v>
      </c>
      <c r="J145" s="8">
        <v>159.55555945634842</v>
      </c>
      <c r="K145" s="8">
        <v>3797</v>
      </c>
      <c r="L145" s="18">
        <f t="shared" si="3"/>
        <v>0.11588095865156703</v>
      </c>
      <c r="M145" s="18">
        <f t="shared" si="4"/>
        <v>0.36262627149170096</v>
      </c>
      <c r="N145" s="18">
        <f t="shared" si="5"/>
        <v>4.2021479972701718E-2</v>
      </c>
      <c r="O145" s="18">
        <f t="shared" si="6"/>
        <v>0.83440552052641004</v>
      </c>
      <c r="U145" s="21"/>
      <c r="V145" s="21"/>
      <c r="W145" s="21"/>
      <c r="AA145" s="21"/>
      <c r="AB145" s="21"/>
      <c r="AC145" s="21"/>
      <c r="AD145" s="21"/>
    </row>
    <row r="146" spans="1:30" ht="14.4">
      <c r="A146" s="8">
        <v>31003</v>
      </c>
      <c r="B146" s="9" t="s">
        <v>160</v>
      </c>
      <c r="C146" s="8">
        <v>14291</v>
      </c>
      <c r="D146" s="8">
        <v>5299.2223528027534</v>
      </c>
      <c r="E146" s="8">
        <v>73067</v>
      </c>
      <c r="F146" s="18">
        <f t="shared" si="0"/>
        <v>0.19558761137038608</v>
      </c>
      <c r="G146" s="18">
        <f t="shared" si="1"/>
        <v>0.3708083656009204</v>
      </c>
      <c r="H146" s="18">
        <f t="shared" si="2"/>
        <v>7.252552250404086E-2</v>
      </c>
      <c r="I146" s="8">
        <v>2689</v>
      </c>
      <c r="J146" s="8">
        <v>1004.4444687366486</v>
      </c>
      <c r="K146" s="8">
        <v>19015</v>
      </c>
      <c r="L146" s="18">
        <f t="shared" si="3"/>
        <v>0.14141467262687352</v>
      </c>
      <c r="M146" s="18">
        <f t="shared" si="4"/>
        <v>0.37353829257591986</v>
      </c>
      <c r="N146" s="18">
        <f t="shared" si="5"/>
        <v>5.2823795358225005E-2</v>
      </c>
      <c r="O146" s="18">
        <f t="shared" si="6"/>
        <v>0.72834767037054926</v>
      </c>
      <c r="U146" s="21"/>
      <c r="V146" s="21"/>
      <c r="W146" s="21"/>
      <c r="AA146" s="21"/>
      <c r="AB146" s="21"/>
      <c r="AC146" s="21"/>
      <c r="AD146" s="21"/>
    </row>
    <row r="147" spans="1:30" ht="14.4">
      <c r="A147" s="8">
        <v>31101</v>
      </c>
      <c r="B147" s="9" t="s">
        <v>161</v>
      </c>
      <c r="C147" s="8">
        <v>8532</v>
      </c>
      <c r="D147" s="8">
        <v>3331.5556388795376</v>
      </c>
      <c r="E147" s="8">
        <v>22495</v>
      </c>
      <c r="F147" s="18">
        <f t="shared" si="0"/>
        <v>0.37928428539675485</v>
      </c>
      <c r="G147" s="18">
        <f t="shared" si="1"/>
        <v>0.3904776885700349</v>
      </c>
      <c r="H147" s="18">
        <f t="shared" si="2"/>
        <v>0.14810205107266228</v>
      </c>
      <c r="I147" s="8">
        <v>797</v>
      </c>
      <c r="J147" s="8">
        <v>314.55556336045265</v>
      </c>
      <c r="K147" s="8">
        <v>2099</v>
      </c>
      <c r="L147" s="18">
        <f t="shared" si="3"/>
        <v>0.37970462124821341</v>
      </c>
      <c r="M147" s="18">
        <f t="shared" si="4"/>
        <v>0.39467448351374235</v>
      </c>
      <c r="N147" s="18">
        <f t="shared" si="5"/>
        <v>0.14985972527891978</v>
      </c>
      <c r="O147" s="18">
        <f t="shared" si="6"/>
        <v>1.0118679936808921</v>
      </c>
      <c r="U147" s="21"/>
      <c r="V147" s="21"/>
      <c r="W147" s="21"/>
      <c r="AA147" s="21"/>
      <c r="AB147" s="21"/>
      <c r="AC147" s="21"/>
      <c r="AD147" s="21"/>
    </row>
    <row r="148" spans="1:30" ht="14.4">
      <c r="A148" s="8">
        <v>31201</v>
      </c>
      <c r="B148" s="9" t="s">
        <v>162</v>
      </c>
      <c r="C148" s="8">
        <v>3451</v>
      </c>
      <c r="D148" s="8">
        <v>1312.8889210820198</v>
      </c>
      <c r="E148" s="8">
        <v>12640</v>
      </c>
      <c r="F148" s="18">
        <f t="shared" si="0"/>
        <v>0.27302215189873419</v>
      </c>
      <c r="G148" s="18">
        <f t="shared" si="1"/>
        <v>0.38043724169284837</v>
      </c>
      <c r="H148" s="18">
        <f t="shared" si="2"/>
        <v>0.1038677943894003</v>
      </c>
      <c r="I148" s="8">
        <v>517</v>
      </c>
      <c r="J148" s="8">
        <v>195.33333852887154</v>
      </c>
      <c r="K148" s="8">
        <v>1858</v>
      </c>
      <c r="L148" s="18">
        <f t="shared" si="3"/>
        <v>0.2782561894510226</v>
      </c>
      <c r="M148" s="18">
        <f t="shared" si="4"/>
        <v>0.3778207708488811</v>
      </c>
      <c r="N148" s="18">
        <f t="shared" si="5"/>
        <v>0.10513096799185766</v>
      </c>
      <c r="O148" s="18">
        <f t="shared" si="6"/>
        <v>1.0121613596387897</v>
      </c>
      <c r="U148" s="21"/>
      <c r="V148" s="21"/>
      <c r="W148" s="21"/>
      <c r="AA148" s="21"/>
      <c r="AB148" s="21"/>
      <c r="AC148" s="21"/>
      <c r="AD148" s="21"/>
    </row>
    <row r="149" spans="1:30" ht="14.4">
      <c r="A149" s="8">
        <v>31202</v>
      </c>
      <c r="B149" s="9" t="s">
        <v>163</v>
      </c>
      <c r="C149" s="8">
        <v>2931</v>
      </c>
      <c r="D149" s="8">
        <v>1127.111138522625</v>
      </c>
      <c r="E149" s="8">
        <v>9887</v>
      </c>
      <c r="F149" s="18">
        <f t="shared" si="0"/>
        <v>0.29644988368564784</v>
      </c>
      <c r="G149" s="18">
        <f t="shared" si="1"/>
        <v>0.38454832429976971</v>
      </c>
      <c r="H149" s="18">
        <f t="shared" si="2"/>
        <v>0.11399930601017752</v>
      </c>
      <c r="I149" s="8">
        <v>520</v>
      </c>
      <c r="J149" s="8">
        <v>206.66667154431343</v>
      </c>
      <c r="K149" s="8">
        <v>1758</v>
      </c>
      <c r="L149" s="18">
        <f t="shared" si="3"/>
        <v>0.29579067121729236</v>
      </c>
      <c r="M149" s="18">
        <f t="shared" si="4"/>
        <v>0.39743590681598739</v>
      </c>
      <c r="N149" s="18">
        <f t="shared" si="5"/>
        <v>0.11755783364295416</v>
      </c>
      <c r="O149" s="18">
        <f t="shared" si="6"/>
        <v>1.0312153447009489</v>
      </c>
      <c r="U149" s="21"/>
      <c r="V149" s="21"/>
      <c r="W149" s="21"/>
      <c r="AA149" s="21"/>
      <c r="AB149" s="21"/>
      <c r="AC149" s="21"/>
      <c r="AD149" s="21"/>
    </row>
    <row r="150" spans="1:30" ht="14.4">
      <c r="A150" s="8">
        <v>31203</v>
      </c>
      <c r="B150" s="9" t="s">
        <v>164</v>
      </c>
      <c r="C150" s="8">
        <v>1528</v>
      </c>
      <c r="D150" s="8">
        <v>579.88890337944031</v>
      </c>
      <c r="E150" s="8">
        <v>10562</v>
      </c>
      <c r="F150" s="18">
        <f t="shared" si="0"/>
        <v>0.14466957015716719</v>
      </c>
      <c r="G150" s="18">
        <f t="shared" si="1"/>
        <v>0.37950844462005257</v>
      </c>
      <c r="H150" s="18">
        <f t="shared" si="2"/>
        <v>5.4903323554198094E-2</v>
      </c>
      <c r="I150" s="8">
        <v>232</v>
      </c>
      <c r="J150" s="8">
        <v>84.33333557844162</v>
      </c>
      <c r="K150" s="8">
        <v>1517</v>
      </c>
      <c r="L150" s="18">
        <f t="shared" si="3"/>
        <v>0.15293342122610415</v>
      </c>
      <c r="M150" s="18">
        <f t="shared" si="4"/>
        <v>0.36350575680362768</v>
      </c>
      <c r="N150" s="18">
        <f t="shared" si="5"/>
        <v>5.5592179023362963E-2</v>
      </c>
      <c r="O150" s="18">
        <f t="shared" si="6"/>
        <v>1.0125466988985623</v>
      </c>
      <c r="U150" s="21"/>
      <c r="V150" s="21"/>
      <c r="W150" s="21"/>
      <c r="AA150" s="21"/>
      <c r="AB150" s="21"/>
      <c r="AC150" s="21"/>
      <c r="AD150" s="21"/>
    </row>
    <row r="151" spans="1:30" ht="14.4">
      <c r="A151" s="8">
        <v>31204</v>
      </c>
      <c r="B151" s="9" t="s">
        <v>165</v>
      </c>
      <c r="C151" s="8">
        <v>3166</v>
      </c>
      <c r="D151" s="8">
        <v>1171.2222518324852</v>
      </c>
      <c r="E151" s="8">
        <v>20152</v>
      </c>
      <c r="F151" s="18">
        <f t="shared" si="0"/>
        <v>0.15710599444223899</v>
      </c>
      <c r="G151" s="18">
        <f t="shared" si="1"/>
        <v>0.3699375400607976</v>
      </c>
      <c r="H151" s="18">
        <f t="shared" si="2"/>
        <v>5.8119405112767232E-2</v>
      </c>
      <c r="I151" s="8">
        <v>747</v>
      </c>
      <c r="J151" s="8">
        <v>271.22222903370857</v>
      </c>
      <c r="K151" s="8">
        <v>6076</v>
      </c>
      <c r="L151" s="18">
        <f t="shared" si="3"/>
        <v>0.12294272547728768</v>
      </c>
      <c r="M151" s="18">
        <f t="shared" si="4"/>
        <v>0.36308196657792313</v>
      </c>
      <c r="N151" s="18">
        <f t="shared" si="5"/>
        <v>4.4638286542743343E-2</v>
      </c>
      <c r="O151" s="18">
        <f t="shared" si="6"/>
        <v>0.76804445014764167</v>
      </c>
      <c r="U151" s="21"/>
      <c r="V151" s="21"/>
      <c r="W151" s="21"/>
      <c r="AA151" s="21"/>
      <c r="AB151" s="21"/>
      <c r="AC151" s="21"/>
      <c r="AD151" s="21"/>
    </row>
    <row r="152" spans="1:30" ht="14.4">
      <c r="A152" s="8">
        <v>31205</v>
      </c>
      <c r="B152" s="9" t="s">
        <v>166</v>
      </c>
      <c r="C152" s="8">
        <v>7366</v>
      </c>
      <c r="D152" s="8">
        <v>2707.5556227862835</v>
      </c>
      <c r="E152" s="8">
        <v>48390</v>
      </c>
      <c r="F152" s="18">
        <f t="shared" si="0"/>
        <v>0.15222153337466418</v>
      </c>
      <c r="G152" s="18">
        <f t="shared" si="1"/>
        <v>0.36757475193949002</v>
      </c>
      <c r="H152" s="18">
        <f t="shared" si="2"/>
        <v>5.5952792370040985E-2</v>
      </c>
      <c r="I152" s="8">
        <v>1854</v>
      </c>
      <c r="J152" s="8">
        <v>677.44446095824242</v>
      </c>
      <c r="K152" s="8">
        <v>14963</v>
      </c>
      <c r="L152" s="18">
        <f t="shared" si="3"/>
        <v>0.1239056338969458</v>
      </c>
      <c r="M152" s="18">
        <f t="shared" si="4"/>
        <v>0.36539614938416526</v>
      </c>
      <c r="N152" s="18">
        <f t="shared" si="5"/>
        <v>4.5274641512948098E-2</v>
      </c>
      <c r="O152" s="18">
        <f t="shared" si="6"/>
        <v>0.8091578560284628</v>
      </c>
      <c r="U152" s="21"/>
      <c r="V152" s="21"/>
      <c r="W152" s="21"/>
      <c r="AA152" s="21"/>
      <c r="AB152" s="21"/>
      <c r="AC152" s="21"/>
      <c r="AD152" s="21"/>
    </row>
    <row r="153" spans="1:30" ht="14.4">
      <c r="A153" s="8">
        <v>31206</v>
      </c>
      <c r="B153" s="9" t="s">
        <v>167</v>
      </c>
      <c r="C153" s="8">
        <v>5033</v>
      </c>
      <c r="D153" s="8">
        <v>1861.0000464916229</v>
      </c>
      <c r="E153" s="8">
        <v>31688</v>
      </c>
      <c r="F153" s="18">
        <f t="shared" si="0"/>
        <v>0.15882984094925523</v>
      </c>
      <c r="G153" s="18">
        <f t="shared" si="1"/>
        <v>0.36975959596495589</v>
      </c>
      <c r="H153" s="18">
        <f t="shared" si="2"/>
        <v>5.8728857816574817E-2</v>
      </c>
      <c r="I153" s="8">
        <v>1747</v>
      </c>
      <c r="J153" s="8">
        <v>632.66668277978897</v>
      </c>
      <c r="K153" s="8">
        <v>12420</v>
      </c>
      <c r="L153" s="18">
        <f t="shared" si="3"/>
        <v>0.14066022544283413</v>
      </c>
      <c r="M153" s="18">
        <f t="shared" si="4"/>
        <v>0.36214463811092673</v>
      </c>
      <c r="N153" s="18">
        <f t="shared" si="5"/>
        <v>5.0939346439596536E-2</v>
      </c>
      <c r="O153" s="18">
        <f t="shared" si="6"/>
        <v>0.86736484129647284</v>
      </c>
      <c r="U153" s="21"/>
      <c r="V153" s="21"/>
      <c r="W153" s="21"/>
      <c r="AA153" s="21"/>
      <c r="AB153" s="21"/>
      <c r="AC153" s="21"/>
      <c r="AD153" s="21"/>
    </row>
    <row r="154" spans="1:30" ht="14.4">
      <c r="A154" s="8">
        <v>31301</v>
      </c>
      <c r="B154" s="9" t="s">
        <v>168</v>
      </c>
      <c r="C154" s="8">
        <v>2823</v>
      </c>
      <c r="D154" s="8">
        <v>1065.5555813014507</v>
      </c>
      <c r="E154" s="8">
        <v>15091</v>
      </c>
      <c r="F154" s="18">
        <f t="shared" si="0"/>
        <v>0.1870651381618183</v>
      </c>
      <c r="G154" s="18">
        <f t="shared" si="1"/>
        <v>0.37745504119782175</v>
      </c>
      <c r="H154" s="18">
        <f t="shared" si="2"/>
        <v>7.0608679431545349E-2</v>
      </c>
      <c r="I154" s="8">
        <v>696</v>
      </c>
      <c r="J154" s="8">
        <v>267.55556225776672</v>
      </c>
      <c r="K154" s="8">
        <v>4488</v>
      </c>
      <c r="L154" s="18">
        <f t="shared" si="3"/>
        <v>0.15508021390374332</v>
      </c>
      <c r="M154" s="18">
        <f t="shared" si="4"/>
        <v>0.38441891128989469</v>
      </c>
      <c r="N154" s="18">
        <f t="shared" si="5"/>
        <v>5.9615766991481002E-2</v>
      </c>
      <c r="O154" s="18">
        <f t="shared" si="6"/>
        <v>0.84431216489862404</v>
      </c>
      <c r="U154" s="21"/>
      <c r="V154" s="21"/>
      <c r="W154" s="21"/>
      <c r="AA154" s="21"/>
      <c r="AB154" s="21"/>
      <c r="AC154" s="21"/>
      <c r="AD154" s="21"/>
    </row>
    <row r="155" spans="1:30" ht="14.4">
      <c r="A155" s="8">
        <v>31302</v>
      </c>
      <c r="B155" s="9" t="s">
        <v>169</v>
      </c>
      <c r="C155" s="8">
        <v>1992</v>
      </c>
      <c r="D155" s="8">
        <v>821.11113283038139</v>
      </c>
      <c r="E155" s="8">
        <v>4202</v>
      </c>
      <c r="F155" s="18">
        <f t="shared" si="0"/>
        <v>0.47405997144217038</v>
      </c>
      <c r="G155" s="18">
        <f t="shared" si="1"/>
        <v>0.41220438395099468</v>
      </c>
      <c r="H155" s="18">
        <f t="shared" si="2"/>
        <v>0.19540959848414596</v>
      </c>
      <c r="I155" s="8">
        <v>542</v>
      </c>
      <c r="J155" s="8">
        <v>219.88889467716217</v>
      </c>
      <c r="K155" s="8">
        <v>1011</v>
      </c>
      <c r="L155" s="18">
        <f t="shared" si="3"/>
        <v>0.5361028684470821</v>
      </c>
      <c r="M155" s="18">
        <f t="shared" si="4"/>
        <v>0.40569906767004088</v>
      </c>
      <c r="N155" s="18">
        <f t="shared" si="5"/>
        <v>0.21749643390421577</v>
      </c>
      <c r="O155" s="18">
        <f t="shared" si="6"/>
        <v>1.1130284059299256</v>
      </c>
      <c r="U155" s="21"/>
      <c r="V155" s="21"/>
      <c r="W155" s="21"/>
      <c r="AA155" s="21"/>
      <c r="AB155" s="21"/>
      <c r="AC155" s="21"/>
      <c r="AD155" s="21"/>
    </row>
    <row r="156" spans="1:30" ht="14.4">
      <c r="A156" s="8">
        <v>31303</v>
      </c>
      <c r="B156" s="9" t="s">
        <v>170</v>
      </c>
      <c r="C156" s="8">
        <v>1198</v>
      </c>
      <c r="D156" s="8">
        <v>468.11112263798714</v>
      </c>
      <c r="E156" s="8">
        <v>3123</v>
      </c>
      <c r="F156" s="18">
        <f t="shared" si="0"/>
        <v>0.38360550752481587</v>
      </c>
      <c r="G156" s="18">
        <f t="shared" si="1"/>
        <v>0.39074384193488076</v>
      </c>
      <c r="H156" s="18">
        <f t="shared" si="2"/>
        <v>0.14989148979762637</v>
      </c>
      <c r="I156" s="8">
        <v>163</v>
      </c>
      <c r="J156" s="8">
        <v>62.000001400709152</v>
      </c>
      <c r="K156" s="8">
        <v>365</v>
      </c>
      <c r="L156" s="18">
        <f t="shared" si="3"/>
        <v>0.44657534246575342</v>
      </c>
      <c r="M156" s="18">
        <f t="shared" si="4"/>
        <v>0.3803681067528169</v>
      </c>
      <c r="N156" s="18">
        <f t="shared" si="5"/>
        <v>0.16986301753618946</v>
      </c>
      <c r="O156" s="18">
        <f t="shared" si="6"/>
        <v>1.1332399041835353</v>
      </c>
      <c r="U156" s="21"/>
      <c r="V156" s="21"/>
      <c r="W156" s="21"/>
      <c r="AA156" s="21"/>
      <c r="AB156" s="21"/>
      <c r="AC156" s="21"/>
      <c r="AD156" s="21"/>
    </row>
    <row r="157" spans="1:30" ht="14.4">
      <c r="A157" s="8">
        <v>31304</v>
      </c>
      <c r="B157" s="9" t="s">
        <v>171</v>
      </c>
      <c r="C157" s="8">
        <v>5043</v>
      </c>
      <c r="D157" s="8">
        <v>2253.8889494240284</v>
      </c>
      <c r="E157" s="8">
        <v>7575</v>
      </c>
      <c r="F157" s="18">
        <f t="shared" si="0"/>
        <v>0.66574257425742578</v>
      </c>
      <c r="G157" s="18">
        <f t="shared" si="1"/>
        <v>0.44693415614198462</v>
      </c>
      <c r="H157" s="18">
        <f t="shared" si="2"/>
        <v>0.29754309563353515</v>
      </c>
      <c r="I157" s="8">
        <v>269</v>
      </c>
      <c r="J157" s="8">
        <v>122.66666951775551</v>
      </c>
      <c r="K157" s="8">
        <v>456</v>
      </c>
      <c r="L157" s="18">
        <f t="shared" si="3"/>
        <v>0.58991228070175439</v>
      </c>
      <c r="M157" s="18">
        <f t="shared" si="4"/>
        <v>0.45600992385782718</v>
      </c>
      <c r="N157" s="18">
        <f t="shared" si="5"/>
        <v>0.26900585420560419</v>
      </c>
      <c r="O157" s="18">
        <f t="shared" si="6"/>
        <v>0.90409039279782699</v>
      </c>
      <c r="U157" s="21"/>
      <c r="V157" s="21"/>
      <c r="W157" s="21"/>
      <c r="AA157" s="21"/>
      <c r="AB157" s="21"/>
      <c r="AC157" s="21"/>
      <c r="AD157" s="21"/>
    </row>
    <row r="158" spans="1:30" ht="14.4">
      <c r="A158" s="8">
        <v>31401</v>
      </c>
      <c r="B158" s="9" t="s">
        <v>172</v>
      </c>
      <c r="C158" s="8">
        <v>1314</v>
      </c>
      <c r="D158" s="8">
        <v>473.66667920351028</v>
      </c>
      <c r="E158" s="8">
        <v>22559</v>
      </c>
      <c r="F158" s="18">
        <f t="shared" si="0"/>
        <v>5.8247262733277183E-2</v>
      </c>
      <c r="G158" s="18">
        <f t="shared" si="1"/>
        <v>0.36047692481241272</v>
      </c>
      <c r="H158" s="18">
        <f t="shared" si="2"/>
        <v>2.0996794148832407E-2</v>
      </c>
      <c r="I158" s="8">
        <v>506</v>
      </c>
      <c r="J158" s="8">
        <v>180.66667115688324</v>
      </c>
      <c r="K158" s="8">
        <v>11996</v>
      </c>
      <c r="L158" s="18">
        <f t="shared" si="3"/>
        <v>4.2180726908969658E-2</v>
      </c>
      <c r="M158" s="18">
        <f t="shared" si="4"/>
        <v>0.35704875722704199</v>
      </c>
      <c r="N158" s="18">
        <f t="shared" si="5"/>
        <v>1.5060576121780864E-2</v>
      </c>
      <c r="O158" s="18">
        <f t="shared" si="6"/>
        <v>0.71727979114460927</v>
      </c>
      <c r="U158" s="21"/>
      <c r="V158" s="21"/>
      <c r="W158" s="21"/>
      <c r="AA158" s="21"/>
      <c r="AB158" s="21"/>
      <c r="AC158" s="21"/>
      <c r="AD158" s="21"/>
    </row>
    <row r="159" spans="1:30" ht="14.4">
      <c r="A159" s="8">
        <v>31402</v>
      </c>
      <c r="B159" s="9" t="s">
        <v>173</v>
      </c>
      <c r="C159" s="8">
        <v>531</v>
      </c>
      <c r="D159" s="8">
        <v>190.55556046962738</v>
      </c>
      <c r="E159" s="8">
        <v>7016</v>
      </c>
      <c r="F159" s="18">
        <f t="shared" si="0"/>
        <v>7.5684150513112891E-2</v>
      </c>
      <c r="G159" s="18">
        <f t="shared" si="1"/>
        <v>0.35886169579967492</v>
      </c>
      <c r="H159" s="18">
        <f t="shared" si="2"/>
        <v>2.7160142598293528E-2</v>
      </c>
      <c r="I159" s="8">
        <v>117</v>
      </c>
      <c r="J159" s="8">
        <v>43.111112415790558</v>
      </c>
      <c r="K159" s="8">
        <v>1563</v>
      </c>
      <c r="L159" s="18">
        <f t="shared" si="3"/>
        <v>7.4856046065259113E-2</v>
      </c>
      <c r="M159" s="18">
        <f t="shared" si="4"/>
        <v>0.36847104628880817</v>
      </c>
      <c r="N159" s="18">
        <f t="shared" si="5"/>
        <v>2.7582285614709247E-2</v>
      </c>
      <c r="O159" s="18">
        <f t="shared" si="6"/>
        <v>1.0155427393242862</v>
      </c>
      <c r="U159" s="21"/>
      <c r="V159" s="21"/>
      <c r="W159" s="21"/>
      <c r="AA159" s="21"/>
      <c r="AB159" s="21"/>
      <c r="AC159" s="21"/>
      <c r="AD159" s="21"/>
    </row>
    <row r="160" spans="1:30" ht="14.4">
      <c r="A160" s="8">
        <v>31403</v>
      </c>
      <c r="B160" s="9" t="s">
        <v>174</v>
      </c>
      <c r="C160" s="8">
        <v>518</v>
      </c>
      <c r="D160" s="8">
        <v>188.11111584305763</v>
      </c>
      <c r="E160" s="8">
        <v>9785</v>
      </c>
      <c r="F160" s="18">
        <f t="shared" si="0"/>
        <v>5.2938170669391924E-2</v>
      </c>
      <c r="G160" s="18">
        <f t="shared" si="1"/>
        <v>0.36314887228389503</v>
      </c>
      <c r="H160" s="18">
        <f t="shared" si="2"/>
        <v>1.9224436979362044E-2</v>
      </c>
      <c r="I160" s="8">
        <v>119</v>
      </c>
      <c r="J160" s="8">
        <v>41.66666778922081</v>
      </c>
      <c r="K160" s="8">
        <v>3247</v>
      </c>
      <c r="L160" s="18">
        <f t="shared" si="3"/>
        <v>3.6649214659685861E-2</v>
      </c>
      <c r="M160" s="18">
        <f t="shared" si="4"/>
        <v>0.35014006545563708</v>
      </c>
      <c r="N160" s="18">
        <f t="shared" si="5"/>
        <v>1.2832358419840102E-2</v>
      </c>
      <c r="O160" s="18">
        <f t="shared" si="6"/>
        <v>0.66750243107852725</v>
      </c>
      <c r="U160" s="21"/>
      <c r="V160" s="21"/>
      <c r="W160" s="21"/>
      <c r="AA160" s="21"/>
      <c r="AB160" s="21"/>
      <c r="AC160" s="21"/>
      <c r="AD160" s="21"/>
    </row>
    <row r="161" spans="1:30" ht="14.4">
      <c r="A161" s="8">
        <v>31404</v>
      </c>
      <c r="B161" s="9" t="s">
        <v>175</v>
      </c>
      <c r="C161" s="8">
        <v>62</v>
      </c>
      <c r="D161" s="8">
        <v>23.888889372348785</v>
      </c>
      <c r="E161" s="8">
        <v>1056</v>
      </c>
      <c r="F161" s="18">
        <f t="shared" si="0"/>
        <v>5.8712121212121215E-2</v>
      </c>
      <c r="G161" s="18">
        <f t="shared" si="1"/>
        <v>0.38530466729594814</v>
      </c>
      <c r="H161" s="18">
        <f t="shared" si="2"/>
        <v>2.2622054329875744E-2</v>
      </c>
      <c r="I161" s="8">
        <v>9</v>
      </c>
      <c r="J161" s="8">
        <v>3.0000000894069672</v>
      </c>
      <c r="K161" s="8">
        <v>226</v>
      </c>
      <c r="L161" s="18">
        <f t="shared" si="3"/>
        <v>3.9823008849557522E-2</v>
      </c>
      <c r="M161" s="18">
        <f t="shared" si="4"/>
        <v>0.3333333432674408</v>
      </c>
      <c r="N161" s="18">
        <f t="shared" si="5"/>
        <v>1.327433667879189E-2</v>
      </c>
      <c r="O161" s="18">
        <f t="shared" si="6"/>
        <v>0.58678741042811389</v>
      </c>
      <c r="U161" s="21"/>
      <c r="V161" s="21"/>
      <c r="W161" s="21"/>
      <c r="AA161" s="21"/>
      <c r="AB161" s="21"/>
      <c r="AC161" s="21"/>
      <c r="AD161" s="21"/>
    </row>
    <row r="162" spans="1:30" ht="14.4">
      <c r="A162" s="8">
        <v>31405</v>
      </c>
      <c r="B162" s="9" t="s">
        <v>176</v>
      </c>
      <c r="C162" s="8">
        <v>490</v>
      </c>
      <c r="D162" s="8">
        <v>191.77778229117393</v>
      </c>
      <c r="E162" s="8">
        <v>2735</v>
      </c>
      <c r="F162" s="18">
        <f t="shared" si="0"/>
        <v>0.17915904936014626</v>
      </c>
      <c r="G162" s="18">
        <f t="shared" si="1"/>
        <v>0.3913832291656611</v>
      </c>
      <c r="H162" s="18">
        <f t="shared" si="2"/>
        <v>7.011984727282411E-2</v>
      </c>
      <c r="I162" s="8">
        <v>119</v>
      </c>
      <c r="J162" s="8">
        <v>47.555556654930115</v>
      </c>
      <c r="K162" s="8">
        <v>1078</v>
      </c>
      <c r="L162" s="18">
        <f t="shared" si="3"/>
        <v>0.11038961038961038</v>
      </c>
      <c r="M162" s="18">
        <f t="shared" si="4"/>
        <v>0.39962652651201774</v>
      </c>
      <c r="N162" s="18">
        <f t="shared" si="5"/>
        <v>4.4114616563014943E-2</v>
      </c>
      <c r="O162" s="18">
        <f t="shared" si="6"/>
        <v>0.62913166926009767</v>
      </c>
      <c r="U162" s="21"/>
      <c r="V162" s="21"/>
      <c r="W162" s="21"/>
      <c r="AA162" s="21"/>
      <c r="AB162" s="21"/>
      <c r="AC162" s="21"/>
      <c r="AD162" s="21"/>
    </row>
    <row r="163" spans="1:30" ht="14.4">
      <c r="A163" s="8">
        <v>31501</v>
      </c>
      <c r="B163" s="9" t="s">
        <v>177</v>
      </c>
      <c r="C163" s="8">
        <v>2108</v>
      </c>
      <c r="D163" s="8">
        <v>790.33335277438164</v>
      </c>
      <c r="E163" s="8">
        <v>7392</v>
      </c>
      <c r="F163" s="18">
        <f t="shared" si="0"/>
        <v>0.28517316017316019</v>
      </c>
      <c r="G163" s="18">
        <f t="shared" si="1"/>
        <v>0.3749209453388907</v>
      </c>
      <c r="H163" s="18">
        <f t="shared" si="2"/>
        <v>0.10691739079740012</v>
      </c>
      <c r="I163" s="8">
        <v>214</v>
      </c>
      <c r="J163" s="8">
        <v>79.333335131406784</v>
      </c>
      <c r="K163" s="8">
        <v>879</v>
      </c>
      <c r="L163" s="18">
        <f t="shared" si="3"/>
        <v>0.2434584755403868</v>
      </c>
      <c r="M163" s="18">
        <f t="shared" si="4"/>
        <v>0.3707165193056392</v>
      </c>
      <c r="N163" s="18">
        <f t="shared" si="5"/>
        <v>9.0254078647789296E-2</v>
      </c>
      <c r="O163" s="18">
        <f t="shared" si="6"/>
        <v>0.84414778526361101</v>
      </c>
      <c r="U163" s="21"/>
      <c r="V163" s="21"/>
      <c r="W163" s="21"/>
      <c r="AA163" s="21"/>
      <c r="AB163" s="21"/>
      <c r="AC163" s="21"/>
      <c r="AD163" s="21"/>
    </row>
    <row r="164" spans="1:30" ht="14.4">
      <c r="A164" s="8">
        <v>31601</v>
      </c>
      <c r="B164" s="9" t="s">
        <v>178</v>
      </c>
      <c r="C164" s="8">
        <v>2003</v>
      </c>
      <c r="D164" s="8">
        <v>763.00001838803291</v>
      </c>
      <c r="E164" s="8">
        <v>16640</v>
      </c>
      <c r="F164" s="18">
        <f t="shared" si="0"/>
        <v>0.12037259615384616</v>
      </c>
      <c r="G164" s="18">
        <f t="shared" si="1"/>
        <v>0.38092861626961205</v>
      </c>
      <c r="H164" s="18">
        <f t="shared" si="2"/>
        <v>4.585336648966544E-2</v>
      </c>
      <c r="I164" s="8">
        <v>201</v>
      </c>
      <c r="J164" s="8">
        <v>74.222224116325378</v>
      </c>
      <c r="K164" s="8">
        <v>1786</v>
      </c>
      <c r="L164" s="18">
        <f t="shared" si="3"/>
        <v>0.11254199328107503</v>
      </c>
      <c r="M164" s="18">
        <f t="shared" si="4"/>
        <v>0.3692647965986337</v>
      </c>
      <c r="N164" s="18">
        <f t="shared" si="5"/>
        <v>4.1557796257740975E-2</v>
      </c>
      <c r="O164" s="18">
        <f t="shared" si="6"/>
        <v>0.90631941423771767</v>
      </c>
      <c r="U164" s="21"/>
      <c r="V164" s="21"/>
      <c r="W164" s="21"/>
      <c r="AA164" s="21"/>
      <c r="AB164" s="21"/>
      <c r="AC164" s="21"/>
      <c r="AD164" s="21"/>
    </row>
    <row r="165" spans="1:30" ht="14.4">
      <c r="A165" s="8">
        <v>31602</v>
      </c>
      <c r="B165" s="9" t="s">
        <v>179</v>
      </c>
      <c r="C165" s="8">
        <v>2332</v>
      </c>
      <c r="D165" s="8">
        <v>860.88890972733498</v>
      </c>
      <c r="E165" s="8">
        <v>20372</v>
      </c>
      <c r="F165" s="18">
        <f t="shared" si="0"/>
        <v>0.11447084233261338</v>
      </c>
      <c r="G165" s="18">
        <f t="shared" si="1"/>
        <v>0.36916334036335119</v>
      </c>
      <c r="H165" s="18">
        <f t="shared" si="2"/>
        <v>4.2258438529714067E-2</v>
      </c>
      <c r="I165" s="8">
        <v>478</v>
      </c>
      <c r="J165" s="8">
        <v>172.77778214216232</v>
      </c>
      <c r="K165" s="8">
        <v>6066</v>
      </c>
      <c r="L165" s="18">
        <f t="shared" si="3"/>
        <v>7.8799868117375535E-2</v>
      </c>
      <c r="M165" s="18">
        <f t="shared" si="4"/>
        <v>0.36145979527649019</v>
      </c>
      <c r="N165" s="18">
        <f t="shared" si="5"/>
        <v>2.8482984197520989E-2</v>
      </c>
      <c r="O165" s="18">
        <f t="shared" si="6"/>
        <v>0.67401885134712558</v>
      </c>
      <c r="U165" s="21"/>
      <c r="V165" s="21"/>
      <c r="W165" s="21"/>
      <c r="AA165" s="21"/>
      <c r="AB165" s="21"/>
      <c r="AC165" s="21"/>
      <c r="AD165" s="21"/>
    </row>
    <row r="166" spans="1:30" ht="14.4">
      <c r="A166" s="8">
        <v>40101</v>
      </c>
      <c r="B166" s="9" t="s">
        <v>180</v>
      </c>
      <c r="C166" s="8">
        <v>4020</v>
      </c>
      <c r="D166" s="8">
        <v>1457.6667038500309</v>
      </c>
      <c r="E166" s="8">
        <v>119277</v>
      </c>
      <c r="F166" s="18">
        <f t="shared" si="0"/>
        <v>3.3703060942176614E-2</v>
      </c>
      <c r="G166" s="18">
        <f t="shared" si="1"/>
        <v>0.36260365767413705</v>
      </c>
      <c r="H166" s="18">
        <f t="shared" si="2"/>
        <v>1.2220853172447588E-2</v>
      </c>
      <c r="I166" s="8">
        <v>1938</v>
      </c>
      <c r="J166" s="8">
        <v>702.77779585123062</v>
      </c>
      <c r="K166" s="8">
        <v>171853</v>
      </c>
      <c r="L166" s="18">
        <f t="shared" si="3"/>
        <v>1.1277079829854585E-2</v>
      </c>
      <c r="M166" s="18">
        <f t="shared" si="4"/>
        <v>0.36263044161570207</v>
      </c>
      <c r="N166" s="18">
        <f t="shared" si="5"/>
        <v>4.0894124388356949E-3</v>
      </c>
      <c r="O166" s="18">
        <f t="shared" si="6"/>
        <v>0.33462577294156859</v>
      </c>
      <c r="U166" s="21"/>
      <c r="V166" s="21"/>
      <c r="W166" s="21"/>
      <c r="AA166" s="21"/>
      <c r="AB166" s="21"/>
      <c r="AC166" s="21"/>
      <c r="AD166" s="21"/>
    </row>
    <row r="167" spans="1:30" ht="14.4">
      <c r="A167" s="8">
        <v>40102</v>
      </c>
      <c r="B167" s="9" t="s">
        <v>181</v>
      </c>
      <c r="C167" s="8">
        <v>2647</v>
      </c>
      <c r="D167" s="8">
        <v>956.22224569320679</v>
      </c>
      <c r="E167" s="8">
        <v>18434</v>
      </c>
      <c r="F167" s="18">
        <f t="shared" si="0"/>
        <v>0.14359336009547574</v>
      </c>
      <c r="G167" s="18">
        <f t="shared" si="1"/>
        <v>0.36124754276282839</v>
      </c>
      <c r="H167" s="18">
        <f t="shared" si="2"/>
        <v>5.187274849154859E-2</v>
      </c>
      <c r="I167" s="8">
        <v>428</v>
      </c>
      <c r="J167" s="8">
        <v>153.00000420212746</v>
      </c>
      <c r="K167" s="8">
        <v>3867</v>
      </c>
      <c r="L167" s="18">
        <f t="shared" si="3"/>
        <v>0.11068011378329454</v>
      </c>
      <c r="M167" s="18">
        <f t="shared" si="4"/>
        <v>0.35747664533207352</v>
      </c>
      <c r="N167" s="18">
        <f t="shared" si="5"/>
        <v>3.9565555780224325E-2</v>
      </c>
      <c r="O167" s="18">
        <f t="shared" si="6"/>
        <v>0.76274261400801957</v>
      </c>
      <c r="U167" s="21"/>
      <c r="V167" s="21"/>
      <c r="W167" s="21"/>
      <c r="AA167" s="21"/>
      <c r="AB167" s="21"/>
      <c r="AC167" s="21"/>
      <c r="AD167" s="21"/>
    </row>
    <row r="168" spans="1:30" ht="14.4">
      <c r="A168" s="8">
        <v>40103</v>
      </c>
      <c r="B168" s="9" t="s">
        <v>182</v>
      </c>
      <c r="C168" s="8">
        <v>4584</v>
      </c>
      <c r="D168" s="8">
        <v>1701.1111523211002</v>
      </c>
      <c r="E168" s="8">
        <v>8415</v>
      </c>
      <c r="F168" s="18">
        <f t="shared" si="0"/>
        <v>0.54474153297682715</v>
      </c>
      <c r="G168" s="18">
        <f t="shared" si="1"/>
        <v>0.37109754631786657</v>
      </c>
      <c r="H168" s="18">
        <f t="shared" si="2"/>
        <v>0.20215224626513376</v>
      </c>
      <c r="I168" s="8">
        <v>848</v>
      </c>
      <c r="J168" s="8">
        <v>321.88889676332474</v>
      </c>
      <c r="K168" s="8">
        <v>1551</v>
      </c>
      <c r="L168" s="18">
        <f t="shared" si="3"/>
        <v>0.54674403610573818</v>
      </c>
      <c r="M168" s="18">
        <f t="shared" si="4"/>
        <v>0.37958596316429805</v>
      </c>
      <c r="N168" s="18">
        <f t="shared" si="5"/>
        <v>0.20753636154953237</v>
      </c>
      <c r="O168" s="18">
        <f t="shared" si="6"/>
        <v>1.0266339621937075</v>
      </c>
      <c r="U168" s="21"/>
      <c r="V168" s="21"/>
      <c r="W168" s="21"/>
      <c r="AA168" s="21"/>
      <c r="AB168" s="21"/>
      <c r="AC168" s="21"/>
      <c r="AD168" s="21"/>
    </row>
    <row r="169" spans="1:30" ht="14.4">
      <c r="A169" s="8">
        <v>40104</v>
      </c>
      <c r="B169" s="9" t="s">
        <v>183</v>
      </c>
      <c r="C169" s="8">
        <v>1626</v>
      </c>
      <c r="D169" s="8">
        <v>602.55557039380074</v>
      </c>
      <c r="E169" s="8">
        <v>13712</v>
      </c>
      <c r="F169" s="18">
        <f t="shared" si="0"/>
        <v>0.11858226371061843</v>
      </c>
      <c r="G169" s="18">
        <f t="shared" si="1"/>
        <v>0.37057538154600289</v>
      </c>
      <c r="H169" s="18">
        <f t="shared" si="2"/>
        <v>4.394366761915116E-2</v>
      </c>
      <c r="I169" s="8">
        <v>263</v>
      </c>
      <c r="J169" s="8">
        <v>93.888891160488129</v>
      </c>
      <c r="K169" s="8">
        <v>1975</v>
      </c>
      <c r="L169" s="18">
        <f t="shared" si="3"/>
        <v>0.13316455696202531</v>
      </c>
      <c r="M169" s="18">
        <f t="shared" si="4"/>
        <v>0.35699198159881418</v>
      </c>
      <c r="N169" s="18">
        <f t="shared" si="5"/>
        <v>4.7538679068601583E-2</v>
      </c>
      <c r="O169" s="18">
        <f t="shared" si="6"/>
        <v>1.0818095449066176</v>
      </c>
      <c r="U169" s="21"/>
      <c r="V169" s="21"/>
      <c r="W169" s="21"/>
      <c r="AA169" s="21"/>
      <c r="AB169" s="21"/>
      <c r="AC169" s="21"/>
      <c r="AD169" s="21"/>
    </row>
    <row r="170" spans="1:30" ht="14.4">
      <c r="A170" s="8">
        <v>40201</v>
      </c>
      <c r="B170" s="9" t="s">
        <v>184</v>
      </c>
      <c r="C170" s="8">
        <v>5561</v>
      </c>
      <c r="D170" s="8">
        <v>2056.7778291702271</v>
      </c>
      <c r="E170" s="8">
        <v>28951</v>
      </c>
      <c r="F170" s="18">
        <f t="shared" si="0"/>
        <v>0.19208317501986114</v>
      </c>
      <c r="G170" s="18">
        <f t="shared" si="1"/>
        <v>0.36985754885276517</v>
      </c>
      <c r="H170" s="18">
        <f t="shared" si="2"/>
        <v>7.1043412288702534E-2</v>
      </c>
      <c r="I170" s="8">
        <v>655</v>
      </c>
      <c r="J170" s="8">
        <v>241.66667255759239</v>
      </c>
      <c r="K170" s="8">
        <v>5960</v>
      </c>
      <c r="L170" s="18">
        <f t="shared" si="3"/>
        <v>0.1098993288590604</v>
      </c>
      <c r="M170" s="18">
        <f t="shared" si="4"/>
        <v>0.36895675199632427</v>
      </c>
      <c r="N170" s="18">
        <f t="shared" si="5"/>
        <v>4.0548099422414829E-2</v>
      </c>
      <c r="O170" s="18">
        <f t="shared" si="6"/>
        <v>0.57075101147503393</v>
      </c>
      <c r="U170" s="21"/>
      <c r="V170" s="21"/>
      <c r="W170" s="21"/>
      <c r="AA170" s="21"/>
      <c r="AB170" s="21"/>
      <c r="AC170" s="21"/>
      <c r="AD170" s="21"/>
    </row>
    <row r="171" spans="1:30" ht="14.4">
      <c r="A171" s="8">
        <v>40202</v>
      </c>
      <c r="B171" s="9" t="s">
        <v>185</v>
      </c>
      <c r="C171" s="8">
        <v>1064</v>
      </c>
      <c r="D171" s="8">
        <v>380.00000938773155</v>
      </c>
      <c r="E171" s="8">
        <v>4609</v>
      </c>
      <c r="F171" s="18">
        <f t="shared" si="0"/>
        <v>0.23085267954003039</v>
      </c>
      <c r="G171" s="18">
        <f t="shared" si="1"/>
        <v>0.3571428659659131</v>
      </c>
      <c r="H171" s="18">
        <f t="shared" si="2"/>
        <v>8.2447387586836965E-2</v>
      </c>
      <c r="I171" s="8">
        <v>65</v>
      </c>
      <c r="J171" s="8">
        <v>22.777778446674347</v>
      </c>
      <c r="K171" s="8">
        <v>532</v>
      </c>
      <c r="L171" s="18">
        <f t="shared" si="3"/>
        <v>0.12218045112781954</v>
      </c>
      <c r="M171" s="18">
        <f t="shared" si="4"/>
        <v>0.35042736071806685</v>
      </c>
      <c r="N171" s="18">
        <f t="shared" si="5"/>
        <v>4.2815373020064558E-2</v>
      </c>
      <c r="O171" s="18">
        <f t="shared" si="6"/>
        <v>0.51930539309046819</v>
      </c>
      <c r="U171" s="21"/>
      <c r="V171" s="21"/>
      <c r="W171" s="21"/>
      <c r="AA171" s="21"/>
      <c r="AB171" s="21"/>
      <c r="AC171" s="21"/>
      <c r="AD171" s="21"/>
    </row>
    <row r="172" spans="1:30" ht="14.4">
      <c r="A172" s="8">
        <v>40301</v>
      </c>
      <c r="B172" s="9" t="s">
        <v>186</v>
      </c>
      <c r="C172" s="8">
        <v>4927</v>
      </c>
      <c r="D172" s="8">
        <v>1840.1111563444138</v>
      </c>
      <c r="E172" s="8">
        <v>14697</v>
      </c>
      <c r="F172" s="18">
        <f t="shared" si="0"/>
        <v>0.33523848404436279</v>
      </c>
      <c r="G172" s="18">
        <f t="shared" si="1"/>
        <v>0.37347496576911177</v>
      </c>
      <c r="H172" s="18">
        <f t="shared" si="2"/>
        <v>0.12520318135295733</v>
      </c>
      <c r="I172" s="8">
        <v>395</v>
      </c>
      <c r="J172" s="8">
        <v>149.33333659172058</v>
      </c>
      <c r="K172" s="8">
        <v>1197</v>
      </c>
      <c r="L172" s="18">
        <f t="shared" si="3"/>
        <v>0.32999164578111945</v>
      </c>
      <c r="M172" s="18">
        <f t="shared" si="4"/>
        <v>0.37805907997903943</v>
      </c>
      <c r="N172" s="18">
        <f t="shared" si="5"/>
        <v>0.12475633800477909</v>
      </c>
      <c r="O172" s="18">
        <f t="shared" si="6"/>
        <v>0.99643105436020385</v>
      </c>
      <c r="U172" s="21"/>
      <c r="V172" s="21"/>
      <c r="W172" s="21"/>
      <c r="AA172" s="21"/>
      <c r="AB172" s="21"/>
      <c r="AC172" s="21"/>
      <c r="AD172" s="21"/>
    </row>
    <row r="173" spans="1:30" ht="14.4">
      <c r="A173" s="8">
        <v>40302</v>
      </c>
      <c r="B173" s="9" t="s">
        <v>187</v>
      </c>
      <c r="C173" s="8">
        <v>658</v>
      </c>
      <c r="D173" s="8">
        <v>236.66667273640633</v>
      </c>
      <c r="E173" s="8">
        <v>2379</v>
      </c>
      <c r="F173" s="18">
        <f t="shared" si="0"/>
        <v>0.2765868011769651</v>
      </c>
      <c r="G173" s="18">
        <f t="shared" si="1"/>
        <v>0.35967579443222847</v>
      </c>
      <c r="H173" s="18">
        <f t="shared" si="2"/>
        <v>9.9481577442793748E-2</v>
      </c>
      <c r="I173" s="8">
        <v>15</v>
      </c>
      <c r="J173" s="8">
        <v>5.0000001490116119</v>
      </c>
      <c r="K173" s="8">
        <v>120</v>
      </c>
      <c r="L173" s="18">
        <f t="shared" si="3"/>
        <v>0.125</v>
      </c>
      <c r="M173" s="18">
        <f t="shared" si="4"/>
        <v>0.3333333432674408</v>
      </c>
      <c r="N173" s="18">
        <f t="shared" si="5"/>
        <v>4.1666667908430099E-2</v>
      </c>
      <c r="O173" s="18">
        <f t="shared" si="6"/>
        <v>0.41883802990951019</v>
      </c>
      <c r="U173" s="21"/>
      <c r="V173" s="21"/>
      <c r="W173" s="21"/>
      <c r="AA173" s="21"/>
      <c r="AB173" s="21"/>
      <c r="AC173" s="21"/>
      <c r="AD173" s="21"/>
    </row>
    <row r="174" spans="1:30" ht="14.4">
      <c r="A174" s="8">
        <v>40401</v>
      </c>
      <c r="B174" s="9" t="s">
        <v>188</v>
      </c>
      <c r="C174" s="8">
        <v>1188</v>
      </c>
      <c r="D174" s="8">
        <v>441.88889926671982</v>
      </c>
      <c r="E174" s="8">
        <v>6052</v>
      </c>
      <c r="F174" s="18">
        <f t="shared" si="0"/>
        <v>0.19629874421678783</v>
      </c>
      <c r="G174" s="18">
        <f t="shared" si="1"/>
        <v>0.3719603529181143</v>
      </c>
      <c r="H174" s="18">
        <f t="shared" si="2"/>
        <v>7.3015350176259056E-2</v>
      </c>
      <c r="I174" s="8">
        <v>30</v>
      </c>
      <c r="J174" s="8">
        <v>11.777777969837189</v>
      </c>
      <c r="K174" s="8">
        <v>315</v>
      </c>
      <c r="L174" s="18">
        <f t="shared" si="3"/>
        <v>9.5238095238095233E-2</v>
      </c>
      <c r="M174" s="18">
        <f t="shared" si="4"/>
        <v>0.39259259899457294</v>
      </c>
      <c r="N174" s="18">
        <f t="shared" si="5"/>
        <v>3.7389771332816471E-2</v>
      </c>
      <c r="O174" s="18">
        <f t="shared" si="6"/>
        <v>0.51208096985849638</v>
      </c>
      <c r="U174" s="21"/>
      <c r="V174" s="21"/>
      <c r="W174" s="21"/>
      <c r="AA174" s="21"/>
      <c r="AB174" s="21"/>
      <c r="AC174" s="21"/>
      <c r="AD174" s="21"/>
    </row>
    <row r="175" spans="1:30" ht="14.4">
      <c r="A175" s="8">
        <v>40402</v>
      </c>
      <c r="B175" s="9" t="s">
        <v>189</v>
      </c>
      <c r="C175" s="8">
        <v>1764</v>
      </c>
      <c r="D175" s="8">
        <v>660.88890463113785</v>
      </c>
      <c r="E175" s="8">
        <v>5246</v>
      </c>
      <c r="F175" s="18">
        <f t="shared" si="0"/>
        <v>0.33625619519634009</v>
      </c>
      <c r="G175" s="18">
        <f t="shared" si="1"/>
        <v>0.37465357405393301</v>
      </c>
      <c r="H175" s="18">
        <f t="shared" si="2"/>
        <v>0.12597958532808576</v>
      </c>
      <c r="I175" s="8">
        <v>67</v>
      </c>
      <c r="J175" s="8">
        <v>25.333333969116211</v>
      </c>
      <c r="K175" s="8">
        <v>329</v>
      </c>
      <c r="L175" s="18">
        <f t="shared" si="3"/>
        <v>0.20364741641337386</v>
      </c>
      <c r="M175" s="18">
        <f t="shared" si="4"/>
        <v>0.37810946222561509</v>
      </c>
      <c r="N175" s="18">
        <f t="shared" si="5"/>
        <v>7.7001015103696696E-2</v>
      </c>
      <c r="O175" s="18">
        <f t="shared" si="6"/>
        <v>0.61121819779899034</v>
      </c>
      <c r="U175" s="21"/>
      <c r="V175" s="21"/>
      <c r="W175" s="21"/>
      <c r="AA175" s="21"/>
      <c r="AB175" s="21"/>
      <c r="AC175" s="21"/>
      <c r="AD175" s="21"/>
    </row>
    <row r="176" spans="1:30" ht="14.4">
      <c r="A176" s="8">
        <v>40501</v>
      </c>
      <c r="B176" s="9" t="s">
        <v>190</v>
      </c>
      <c r="C176" s="8">
        <v>63</v>
      </c>
      <c r="D176" s="8">
        <v>21.888889461755753</v>
      </c>
      <c r="E176" s="8">
        <v>3003</v>
      </c>
      <c r="F176" s="18">
        <f t="shared" si="0"/>
        <v>2.097902097902098E-2</v>
      </c>
      <c r="G176" s="18">
        <f t="shared" si="1"/>
        <v>0.34744268986913895</v>
      </c>
      <c r="H176" s="18">
        <f t="shared" si="2"/>
        <v>7.2890074797721466E-3</v>
      </c>
      <c r="I176" s="8">
        <v>29</v>
      </c>
      <c r="J176" s="8">
        <v>10.000000268220901</v>
      </c>
      <c r="K176" s="8">
        <v>784</v>
      </c>
      <c r="L176" s="18">
        <f t="shared" si="3"/>
        <v>3.6989795918367346E-2</v>
      </c>
      <c r="M176" s="18">
        <f t="shared" si="4"/>
        <v>0.34482759545589314</v>
      </c>
      <c r="N176" s="18">
        <f t="shared" si="5"/>
        <v>1.2755102382934824E-2</v>
      </c>
      <c r="O176" s="18">
        <f t="shared" si="6"/>
        <v>1.7499093557431151</v>
      </c>
      <c r="U176" s="21"/>
      <c r="V176" s="21"/>
      <c r="W176" s="21"/>
      <c r="AA176" s="21"/>
      <c r="AB176" s="21"/>
      <c r="AC176" s="21"/>
      <c r="AD176" s="21"/>
    </row>
    <row r="177" spans="1:30" ht="14.4">
      <c r="A177" s="8">
        <v>40502</v>
      </c>
      <c r="B177" s="9" t="s">
        <v>191</v>
      </c>
      <c r="C177" s="8">
        <v>561</v>
      </c>
      <c r="D177" s="8">
        <v>209.11111623048782</v>
      </c>
      <c r="E177" s="8">
        <v>2692</v>
      </c>
      <c r="F177" s="18">
        <f t="shared" si="0"/>
        <v>0.20839524517087668</v>
      </c>
      <c r="G177" s="18">
        <f t="shared" si="1"/>
        <v>0.37274708775488025</v>
      </c>
      <c r="H177" s="18">
        <f t="shared" si="2"/>
        <v>7.7678720739408555E-2</v>
      </c>
      <c r="I177" s="8">
        <v>193</v>
      </c>
      <c r="J177" s="8">
        <v>69.111112803220749</v>
      </c>
      <c r="K177" s="8">
        <v>1461</v>
      </c>
      <c r="L177" s="18">
        <f t="shared" si="3"/>
        <v>0.13210130047912388</v>
      </c>
      <c r="M177" s="18">
        <f t="shared" si="4"/>
        <v>0.35808866737420075</v>
      </c>
      <c r="N177" s="18">
        <f t="shared" si="5"/>
        <v>4.7303978646968337E-2</v>
      </c>
      <c r="O177" s="18">
        <f t="shared" si="6"/>
        <v>0.60896958905464726</v>
      </c>
      <c r="U177" s="21"/>
      <c r="V177" s="21"/>
      <c r="W177" s="21"/>
      <c r="AA177" s="21"/>
      <c r="AB177" s="21"/>
      <c r="AC177" s="21"/>
      <c r="AD177" s="21"/>
    </row>
    <row r="178" spans="1:30" ht="14.4">
      <c r="A178" s="8">
        <v>40503</v>
      </c>
      <c r="B178" s="9" t="s">
        <v>192</v>
      </c>
      <c r="C178" s="8">
        <v>115</v>
      </c>
      <c r="D178" s="8">
        <v>43.777778774499893</v>
      </c>
      <c r="E178" s="8">
        <v>1322</v>
      </c>
      <c r="F178" s="18">
        <f t="shared" si="0"/>
        <v>8.698940998487141E-2</v>
      </c>
      <c r="G178" s="18">
        <f t="shared" si="1"/>
        <v>0.38067633716956428</v>
      </c>
      <c r="H178" s="18">
        <f t="shared" si="2"/>
        <v>3.3114809965582373E-2</v>
      </c>
      <c r="I178" s="8">
        <v>17</v>
      </c>
      <c r="J178" s="8">
        <v>7.4444446861743927</v>
      </c>
      <c r="K178" s="8">
        <v>171</v>
      </c>
      <c r="L178" s="18">
        <f t="shared" si="3"/>
        <v>9.9415204678362568E-2</v>
      </c>
      <c r="M178" s="18">
        <f t="shared" si="4"/>
        <v>0.43790851095143485</v>
      </c>
      <c r="N178" s="18">
        <f t="shared" si="5"/>
        <v>4.353476424663387E-2</v>
      </c>
      <c r="O178" s="18">
        <f t="shared" si="6"/>
        <v>1.3146614548560416</v>
      </c>
      <c r="U178" s="21"/>
      <c r="V178" s="21"/>
      <c r="W178" s="21"/>
      <c r="AA178" s="21"/>
      <c r="AB178" s="21"/>
      <c r="AC178" s="21"/>
      <c r="AD178" s="21"/>
    </row>
    <row r="179" spans="1:30" ht="14.4">
      <c r="A179" s="8">
        <v>40504</v>
      </c>
      <c r="B179" s="9" t="s">
        <v>193</v>
      </c>
      <c r="C179" s="8">
        <v>10</v>
      </c>
      <c r="D179" s="8">
        <v>3.333333432674408</v>
      </c>
      <c r="E179" s="8">
        <v>706</v>
      </c>
      <c r="F179" s="18">
        <f t="shared" si="0"/>
        <v>1.4164305949008499E-2</v>
      </c>
      <c r="G179" s="18">
        <f t="shared" si="1"/>
        <v>0.3333333432674408</v>
      </c>
      <c r="H179" s="18">
        <f t="shared" si="2"/>
        <v>4.7214354570459041E-3</v>
      </c>
      <c r="I179" s="8">
        <v>18</v>
      </c>
      <c r="J179" s="8">
        <v>6.0000001788139343</v>
      </c>
      <c r="K179" s="8">
        <v>169</v>
      </c>
      <c r="L179" s="18">
        <f t="shared" si="3"/>
        <v>0.10650887573964497</v>
      </c>
      <c r="M179" s="18">
        <f t="shared" si="4"/>
        <v>0.3333333432674408</v>
      </c>
      <c r="N179" s="18">
        <f t="shared" si="5"/>
        <v>3.5502959637952275E-2</v>
      </c>
      <c r="O179" s="18">
        <f t="shared" si="6"/>
        <v>7.5195266272189345</v>
      </c>
      <c r="U179" s="21"/>
      <c r="V179" s="21"/>
      <c r="W179" s="21"/>
      <c r="AA179" s="21"/>
      <c r="AB179" s="21"/>
      <c r="AC179" s="21"/>
      <c r="AD179" s="21"/>
    </row>
    <row r="180" spans="1:30" ht="14.4">
      <c r="A180" s="8">
        <v>40505</v>
      </c>
      <c r="B180" s="9" t="s">
        <v>194</v>
      </c>
      <c r="C180" s="8">
        <v>205</v>
      </c>
      <c r="D180" s="8">
        <v>74.777779847383499</v>
      </c>
      <c r="E180" s="8">
        <v>2960</v>
      </c>
      <c r="F180" s="18">
        <f t="shared" si="0"/>
        <v>6.9256756756756757E-2</v>
      </c>
      <c r="G180" s="18">
        <f t="shared" si="1"/>
        <v>0.36476965779211462</v>
      </c>
      <c r="H180" s="18">
        <f t="shared" si="2"/>
        <v>2.5262763461953885E-2</v>
      </c>
      <c r="I180" s="8">
        <v>144</v>
      </c>
      <c r="J180" s="8">
        <v>54.888890206813812</v>
      </c>
      <c r="K180" s="8">
        <v>896</v>
      </c>
      <c r="L180" s="18">
        <f t="shared" si="3"/>
        <v>0.16071428571428573</v>
      </c>
      <c r="M180" s="18">
        <f t="shared" si="4"/>
        <v>0.38117284865842926</v>
      </c>
      <c r="N180" s="18">
        <f t="shared" si="5"/>
        <v>6.1259922105818994E-2</v>
      </c>
      <c r="O180" s="18">
        <f t="shared" si="6"/>
        <v>2.4249097767185046</v>
      </c>
      <c r="U180" s="21"/>
      <c r="V180" s="21"/>
      <c r="W180" s="21"/>
      <c r="AA180" s="21"/>
      <c r="AB180" s="21"/>
      <c r="AC180" s="21"/>
      <c r="AD180" s="21"/>
    </row>
    <row r="181" spans="1:30" ht="14.4">
      <c r="A181" s="8">
        <v>40601</v>
      </c>
      <c r="B181" s="9" t="s">
        <v>195</v>
      </c>
      <c r="C181" s="8">
        <v>822</v>
      </c>
      <c r="D181" s="8">
        <v>297.11111864447594</v>
      </c>
      <c r="E181" s="8">
        <v>6566</v>
      </c>
      <c r="F181" s="18">
        <f t="shared" si="0"/>
        <v>0.1251903746573256</v>
      </c>
      <c r="G181" s="18">
        <f t="shared" si="1"/>
        <v>0.36144904944583445</v>
      </c>
      <c r="H181" s="18">
        <f t="shared" si="2"/>
        <v>4.5249941919658219E-2</v>
      </c>
      <c r="I181" s="8">
        <v>197</v>
      </c>
      <c r="J181" s="8">
        <v>71.444446504116058</v>
      </c>
      <c r="K181" s="8">
        <v>2554</v>
      </c>
      <c r="L181" s="18">
        <f t="shared" si="3"/>
        <v>7.7133907595927961E-2</v>
      </c>
      <c r="M181" s="18">
        <f t="shared" si="4"/>
        <v>0.36266216499551296</v>
      </c>
      <c r="N181" s="18">
        <f t="shared" si="5"/>
        <v>2.7973549923303077E-2</v>
      </c>
      <c r="O181" s="18">
        <f t="shared" si="6"/>
        <v>0.61820079179262655</v>
      </c>
      <c r="U181" s="21"/>
      <c r="V181" s="21"/>
      <c r="W181" s="21"/>
      <c r="AA181" s="21"/>
      <c r="AB181" s="21"/>
      <c r="AC181" s="21"/>
      <c r="AD181" s="21"/>
    </row>
    <row r="182" spans="1:30" ht="14.4">
      <c r="A182" s="8">
        <v>40602</v>
      </c>
      <c r="B182" s="9" t="s">
        <v>196</v>
      </c>
      <c r="C182" s="8">
        <v>354</v>
      </c>
      <c r="D182" s="8">
        <v>132.22222545742989</v>
      </c>
      <c r="E182" s="8">
        <v>2643</v>
      </c>
      <c r="F182" s="18">
        <f t="shared" si="0"/>
        <v>0.13393870601589103</v>
      </c>
      <c r="G182" s="18">
        <f t="shared" si="1"/>
        <v>0.37350911146166632</v>
      </c>
      <c r="H182" s="18">
        <f t="shared" si="2"/>
        <v>5.0027327074320803E-2</v>
      </c>
      <c r="I182" s="8">
        <v>179</v>
      </c>
      <c r="J182" s="8">
        <v>64.888890475034714</v>
      </c>
      <c r="K182" s="8">
        <v>1532</v>
      </c>
      <c r="L182" s="18">
        <f t="shared" si="3"/>
        <v>0.11684073107049608</v>
      </c>
      <c r="M182" s="18">
        <f t="shared" si="4"/>
        <v>0.36250776801695372</v>
      </c>
      <c r="N182" s="18">
        <f t="shared" si="5"/>
        <v>4.2355672633834669E-2</v>
      </c>
      <c r="O182" s="18">
        <f t="shared" si="6"/>
        <v>0.84665072293210686</v>
      </c>
      <c r="U182" s="21"/>
      <c r="V182" s="21"/>
      <c r="W182" s="21"/>
      <c r="AA182" s="21"/>
      <c r="AB182" s="21"/>
      <c r="AC182" s="21"/>
      <c r="AD182" s="21"/>
    </row>
    <row r="183" spans="1:30" ht="14.4">
      <c r="A183" s="8">
        <v>40603</v>
      </c>
      <c r="B183" s="9" t="s">
        <v>197</v>
      </c>
      <c r="C183" s="8">
        <v>220</v>
      </c>
      <c r="D183" s="8">
        <v>78.000001907348633</v>
      </c>
      <c r="E183" s="8">
        <v>2460</v>
      </c>
      <c r="F183" s="18">
        <f t="shared" si="0"/>
        <v>8.943089430894309E-2</v>
      </c>
      <c r="G183" s="18">
        <f t="shared" si="1"/>
        <v>0.35454546321522107</v>
      </c>
      <c r="H183" s="18">
        <f t="shared" si="2"/>
        <v>3.1707317848515708E-2</v>
      </c>
      <c r="I183" s="8">
        <v>52</v>
      </c>
      <c r="J183" s="8">
        <v>18.000000476837158</v>
      </c>
      <c r="K183" s="8">
        <v>1103</v>
      </c>
      <c r="L183" s="18">
        <f t="shared" si="3"/>
        <v>4.71441523118767E-2</v>
      </c>
      <c r="M183" s="18">
        <f t="shared" si="4"/>
        <v>0.3461538553237915</v>
      </c>
      <c r="N183" s="18">
        <f t="shared" si="5"/>
        <v>1.6319130078728157E-2</v>
      </c>
      <c r="O183" s="18">
        <f t="shared" si="6"/>
        <v>0.51468024374354615</v>
      </c>
      <c r="U183" s="21"/>
      <c r="V183" s="21"/>
      <c r="W183" s="21"/>
      <c r="AA183" s="21"/>
      <c r="AB183" s="21"/>
      <c r="AC183" s="21"/>
      <c r="AD183" s="21"/>
    </row>
    <row r="184" spans="1:30" ht="14.4">
      <c r="A184" s="8">
        <v>40701</v>
      </c>
      <c r="B184" s="9" t="s">
        <v>198</v>
      </c>
      <c r="C184" s="8">
        <v>540</v>
      </c>
      <c r="D184" s="8">
        <v>194.33333793282509</v>
      </c>
      <c r="E184" s="8">
        <v>11050</v>
      </c>
      <c r="F184" s="18">
        <f t="shared" si="0"/>
        <v>4.8868778280542986E-2</v>
      </c>
      <c r="G184" s="18">
        <f t="shared" si="1"/>
        <v>0.35987655172745386</v>
      </c>
      <c r="H184" s="18">
        <f t="shared" si="2"/>
        <v>1.7586727414735302E-2</v>
      </c>
      <c r="I184" s="8">
        <v>93</v>
      </c>
      <c r="J184" s="8">
        <v>32.444445312023163</v>
      </c>
      <c r="K184" s="8">
        <v>8367</v>
      </c>
      <c r="L184" s="18">
        <f t="shared" si="3"/>
        <v>1.1115095016134816E-2</v>
      </c>
      <c r="M184" s="18">
        <f t="shared" si="4"/>
        <v>0.3488650033550878</v>
      </c>
      <c r="N184" s="18">
        <f t="shared" si="5"/>
        <v>3.8776676600959922E-3</v>
      </c>
      <c r="O184" s="18">
        <f t="shared" si="6"/>
        <v>0.22048830169773545</v>
      </c>
      <c r="U184" s="21"/>
      <c r="V184" s="21"/>
      <c r="W184" s="21"/>
      <c r="AA184" s="21"/>
      <c r="AB184" s="21"/>
      <c r="AC184" s="21"/>
      <c r="AD184" s="21"/>
    </row>
    <row r="185" spans="1:30" ht="14.4">
      <c r="A185" s="8">
        <v>40702</v>
      </c>
      <c r="B185" s="9" t="s">
        <v>199</v>
      </c>
      <c r="C185" s="8">
        <v>288</v>
      </c>
      <c r="D185" s="8">
        <v>102.22222477197647</v>
      </c>
      <c r="E185" s="8">
        <v>4516</v>
      </c>
      <c r="F185" s="18">
        <f t="shared" si="0"/>
        <v>6.3773250664304698E-2</v>
      </c>
      <c r="G185" s="18">
        <f t="shared" si="1"/>
        <v>0.35493828045825165</v>
      </c>
      <c r="H185" s="18">
        <f t="shared" si="2"/>
        <v>2.2635567930021364E-2</v>
      </c>
      <c r="I185" s="8">
        <v>52</v>
      </c>
      <c r="J185" s="8">
        <v>21.111111581325531</v>
      </c>
      <c r="K185" s="8">
        <v>1561</v>
      </c>
      <c r="L185" s="18">
        <f t="shared" si="3"/>
        <v>3.3311979500320305E-2</v>
      </c>
      <c r="M185" s="18">
        <f t="shared" si="4"/>
        <v>0.405982915025491</v>
      </c>
      <c r="N185" s="18">
        <f t="shared" si="5"/>
        <v>1.3524094542809437E-2</v>
      </c>
      <c r="O185" s="18">
        <f t="shared" si="6"/>
        <v>0.59747096183403214</v>
      </c>
      <c r="U185" s="21"/>
      <c r="V185" s="21"/>
      <c r="W185" s="21"/>
      <c r="AA185" s="21"/>
      <c r="AB185" s="21"/>
      <c r="AC185" s="21"/>
      <c r="AD185" s="21"/>
    </row>
    <row r="186" spans="1:30" ht="14.4">
      <c r="A186" s="8">
        <v>40801</v>
      </c>
      <c r="B186" s="9" t="s">
        <v>200</v>
      </c>
      <c r="C186" s="8">
        <v>2125</v>
      </c>
      <c r="D186" s="8">
        <v>776.33335283398628</v>
      </c>
      <c r="E186" s="8">
        <v>14080</v>
      </c>
      <c r="F186" s="18">
        <f t="shared" si="0"/>
        <v>0.15092329545454544</v>
      </c>
      <c r="G186" s="18">
        <f t="shared" si="1"/>
        <v>0.36533334251011118</v>
      </c>
      <c r="H186" s="18">
        <f t="shared" si="2"/>
        <v>5.5137311991050153E-2</v>
      </c>
      <c r="I186" s="8">
        <v>238</v>
      </c>
      <c r="J186" s="8">
        <v>83.555557668209076</v>
      </c>
      <c r="K186" s="8">
        <v>1775</v>
      </c>
      <c r="L186" s="18">
        <f t="shared" si="3"/>
        <v>0.13408450704225353</v>
      </c>
      <c r="M186" s="18">
        <f t="shared" si="4"/>
        <v>0.35107377171516418</v>
      </c>
      <c r="N186" s="18">
        <f t="shared" si="5"/>
        <v>4.7073553615892438E-2</v>
      </c>
      <c r="O186" s="18">
        <f t="shared" si="6"/>
        <v>0.8537513330996872</v>
      </c>
      <c r="U186" s="21"/>
      <c r="V186" s="21"/>
      <c r="W186" s="21"/>
      <c r="AA186" s="21"/>
      <c r="AB186" s="21"/>
      <c r="AC186" s="21"/>
      <c r="AD186" s="21"/>
    </row>
    <row r="187" spans="1:30" ht="14.4">
      <c r="A187" s="8">
        <v>40802</v>
      </c>
      <c r="B187" s="9" t="s">
        <v>201</v>
      </c>
      <c r="C187" s="8">
        <v>543</v>
      </c>
      <c r="D187" s="8">
        <v>198.00000491738319</v>
      </c>
      <c r="E187" s="8">
        <v>2885</v>
      </c>
      <c r="F187" s="18">
        <f t="shared" si="0"/>
        <v>0.18821490467937607</v>
      </c>
      <c r="G187" s="18">
        <f t="shared" si="1"/>
        <v>0.36464089303385488</v>
      </c>
      <c r="H187" s="18">
        <f t="shared" si="2"/>
        <v>6.8630850924569567E-2</v>
      </c>
      <c r="I187" s="8">
        <v>82</v>
      </c>
      <c r="J187" s="8">
        <v>28.555556297302246</v>
      </c>
      <c r="K187" s="8">
        <v>307</v>
      </c>
      <c r="L187" s="18">
        <f t="shared" si="3"/>
        <v>0.26710097719869708</v>
      </c>
      <c r="M187" s="18">
        <f t="shared" si="4"/>
        <v>0.34823849143051522</v>
      </c>
      <c r="N187" s="18">
        <f t="shared" si="5"/>
        <v>9.3014841359290709E-2</v>
      </c>
      <c r="O187" s="18">
        <f t="shared" si="6"/>
        <v>1.3552919730154733</v>
      </c>
      <c r="U187" s="21"/>
      <c r="V187" s="21"/>
      <c r="W187" s="21"/>
      <c r="AA187" s="21"/>
      <c r="AB187" s="21"/>
      <c r="AC187" s="21"/>
      <c r="AD187" s="21"/>
    </row>
    <row r="188" spans="1:30" ht="14.4">
      <c r="A188" s="8">
        <v>40901</v>
      </c>
      <c r="B188" s="9" t="s">
        <v>202</v>
      </c>
      <c r="C188" s="8">
        <v>1132</v>
      </c>
      <c r="D188" s="8">
        <v>414.5555659532547</v>
      </c>
      <c r="E188" s="8">
        <v>10848</v>
      </c>
      <c r="F188" s="18">
        <f t="shared" si="0"/>
        <v>0.10435103244837758</v>
      </c>
      <c r="G188" s="18">
        <f t="shared" si="1"/>
        <v>0.36621516426965961</v>
      </c>
      <c r="H188" s="18">
        <f t="shared" si="2"/>
        <v>3.8214930489791174E-2</v>
      </c>
      <c r="I188" s="8">
        <v>249</v>
      </c>
      <c r="J188" s="8">
        <v>92.22222426533699</v>
      </c>
      <c r="K188" s="8">
        <v>3832</v>
      </c>
      <c r="L188" s="18">
        <f t="shared" si="3"/>
        <v>6.4979123173277656E-2</v>
      </c>
      <c r="M188" s="18">
        <f t="shared" si="4"/>
        <v>0.37037037857565058</v>
      </c>
      <c r="N188" s="18">
        <f t="shared" si="5"/>
        <v>2.4066342449200674E-2</v>
      </c>
      <c r="O188" s="18">
        <f t="shared" si="6"/>
        <v>0.62976282151369645</v>
      </c>
      <c r="U188" s="21"/>
      <c r="V188" s="21"/>
      <c r="W188" s="21"/>
      <c r="AA188" s="21"/>
      <c r="AB188" s="21"/>
      <c r="AC188" s="21"/>
      <c r="AD188" s="21"/>
    </row>
    <row r="189" spans="1:30" ht="14.4">
      <c r="A189" s="8">
        <v>40902</v>
      </c>
      <c r="B189" s="9" t="s">
        <v>203</v>
      </c>
      <c r="C189" s="8">
        <v>129</v>
      </c>
      <c r="D189" s="8">
        <v>50.666667491197586</v>
      </c>
      <c r="E189" s="8">
        <v>1148</v>
      </c>
      <c r="F189" s="18">
        <f t="shared" si="0"/>
        <v>0.11236933797909408</v>
      </c>
      <c r="G189" s="18">
        <f t="shared" si="1"/>
        <v>0.39276486427284951</v>
      </c>
      <c r="H189" s="18">
        <f t="shared" si="2"/>
        <v>4.4134727779788843E-2</v>
      </c>
      <c r="I189" s="8">
        <v>22</v>
      </c>
      <c r="J189" s="8">
        <v>8.1111112833023071</v>
      </c>
      <c r="K189" s="8">
        <v>231</v>
      </c>
      <c r="L189" s="18">
        <f t="shared" si="3"/>
        <v>9.5238095238095233E-2</v>
      </c>
      <c r="M189" s="18">
        <f t="shared" si="4"/>
        <v>0.36868687651374121</v>
      </c>
      <c r="N189" s="18">
        <f t="shared" si="5"/>
        <v>3.511303585845154E-2</v>
      </c>
      <c r="O189" s="18">
        <f t="shared" si="6"/>
        <v>0.79558745742465597</v>
      </c>
      <c r="U189" s="21"/>
      <c r="V189" s="21"/>
      <c r="W189" s="21"/>
      <c r="AA189" s="21"/>
      <c r="AB189" s="21"/>
      <c r="AC189" s="21"/>
      <c r="AD189" s="21"/>
    </row>
    <row r="190" spans="1:30" ht="14.4">
      <c r="A190" s="8">
        <v>40903</v>
      </c>
      <c r="B190" s="9" t="s">
        <v>204</v>
      </c>
      <c r="C190" s="8">
        <v>843</v>
      </c>
      <c r="D190" s="8">
        <v>322.33334112167358</v>
      </c>
      <c r="E190" s="8">
        <v>2225</v>
      </c>
      <c r="F190" s="18">
        <f t="shared" si="0"/>
        <v>0.37887640449438204</v>
      </c>
      <c r="G190" s="18">
        <f t="shared" si="1"/>
        <v>0.3823645802155084</v>
      </c>
      <c r="H190" s="18">
        <f t="shared" si="2"/>
        <v>0.14486891735805554</v>
      </c>
      <c r="I190" s="8">
        <v>38</v>
      </c>
      <c r="J190" s="8">
        <v>14.333333671092987</v>
      </c>
      <c r="K190" s="8">
        <v>115</v>
      </c>
      <c r="L190" s="18">
        <f t="shared" si="3"/>
        <v>0.33043478260869563</v>
      </c>
      <c r="M190" s="18">
        <f t="shared" si="4"/>
        <v>0.37719299134455231</v>
      </c>
      <c r="N190" s="18">
        <f t="shared" si="5"/>
        <v>0.12463768409646075</v>
      </c>
      <c r="O190" s="18">
        <f t="shared" si="6"/>
        <v>0.86034800542070999</v>
      </c>
      <c r="U190" s="21"/>
      <c r="V190" s="21"/>
      <c r="W190" s="21"/>
      <c r="AA190" s="21"/>
      <c r="AB190" s="21"/>
      <c r="AC190" s="21"/>
      <c r="AD190" s="21"/>
    </row>
    <row r="191" spans="1:30" ht="14.4">
      <c r="A191" s="8">
        <v>41001</v>
      </c>
      <c r="B191" s="9" t="s">
        <v>205</v>
      </c>
      <c r="C191" s="8">
        <v>3417</v>
      </c>
      <c r="D191" s="8">
        <v>1234.5555860102177</v>
      </c>
      <c r="E191" s="8">
        <v>10120</v>
      </c>
      <c r="F191" s="18">
        <f t="shared" si="0"/>
        <v>0.33764822134387351</v>
      </c>
      <c r="G191" s="18">
        <f t="shared" si="1"/>
        <v>0.3612980936523903</v>
      </c>
      <c r="H191" s="18">
        <f t="shared" si="2"/>
        <v>0.12199165869666181</v>
      </c>
      <c r="I191" s="8">
        <v>468</v>
      </c>
      <c r="J191" s="8">
        <v>169.55555999279022</v>
      </c>
      <c r="K191" s="8">
        <v>2014</v>
      </c>
      <c r="L191" s="18">
        <f t="shared" si="3"/>
        <v>0.23237338629592849</v>
      </c>
      <c r="M191" s="18">
        <f t="shared" si="4"/>
        <v>0.36229820511279964</v>
      </c>
      <c r="N191" s="18">
        <f t="shared" si="5"/>
        <v>8.4188460770998133E-2</v>
      </c>
      <c r="O191" s="18">
        <f t="shared" si="6"/>
        <v>0.6901165347733883</v>
      </c>
      <c r="U191" s="21"/>
      <c r="V191" s="21"/>
      <c r="W191" s="21"/>
      <c r="AA191" s="21"/>
      <c r="AB191" s="21"/>
      <c r="AC191" s="21"/>
      <c r="AD191" s="21"/>
    </row>
    <row r="192" spans="1:30" ht="14.4">
      <c r="A192" s="8">
        <v>41101</v>
      </c>
      <c r="B192" s="9" t="s">
        <v>206</v>
      </c>
      <c r="C192" s="8">
        <v>587</v>
      </c>
      <c r="D192" s="8">
        <v>213.44445008039474</v>
      </c>
      <c r="E192" s="8">
        <v>4589</v>
      </c>
      <c r="F192" s="18">
        <f t="shared" si="0"/>
        <v>0.12791457833950751</v>
      </c>
      <c r="G192" s="18">
        <f t="shared" si="1"/>
        <v>0.36361916538397743</v>
      </c>
      <c r="H192" s="18">
        <f t="shared" si="2"/>
        <v>4.6512192216255119E-2</v>
      </c>
      <c r="I192" s="8">
        <v>50</v>
      </c>
      <c r="J192" s="8">
        <v>17.666667103767395</v>
      </c>
      <c r="K192" s="8">
        <v>736</v>
      </c>
      <c r="L192" s="18">
        <f t="shared" si="3"/>
        <v>6.7934782608695649E-2</v>
      </c>
      <c r="M192" s="18">
        <f t="shared" si="4"/>
        <v>0.35333334207534789</v>
      </c>
      <c r="N192" s="18">
        <f t="shared" si="5"/>
        <v>2.4003623782292656E-2</v>
      </c>
      <c r="O192" s="18">
        <f t="shared" si="6"/>
        <v>0.51607165000285349</v>
      </c>
      <c r="U192" s="21"/>
      <c r="V192" s="21"/>
      <c r="W192" s="21"/>
      <c r="AA192" s="21"/>
      <c r="AB192" s="21"/>
      <c r="AC192" s="21"/>
      <c r="AD192" s="21"/>
    </row>
    <row r="193" spans="1:30" ht="14.4">
      <c r="A193" s="8">
        <v>41201</v>
      </c>
      <c r="B193" s="9" t="s">
        <v>207</v>
      </c>
      <c r="C193" s="8">
        <v>1771</v>
      </c>
      <c r="D193" s="8">
        <v>658.666682690382</v>
      </c>
      <c r="E193" s="8">
        <v>5772</v>
      </c>
      <c r="F193" s="18">
        <f t="shared" si="0"/>
        <v>0.30682605682605685</v>
      </c>
      <c r="G193" s="18">
        <f t="shared" si="1"/>
        <v>0.37191794618316321</v>
      </c>
      <c r="H193" s="18">
        <f t="shared" si="2"/>
        <v>0.11411411689022559</v>
      </c>
      <c r="I193" s="8">
        <v>177</v>
      </c>
      <c r="J193" s="8">
        <v>67.222223728895187</v>
      </c>
      <c r="K193" s="8">
        <v>525</v>
      </c>
      <c r="L193" s="18">
        <f t="shared" si="3"/>
        <v>0.33714285714285713</v>
      </c>
      <c r="M193" s="18">
        <f t="shared" si="4"/>
        <v>0.37978657473952082</v>
      </c>
      <c r="N193" s="18">
        <f t="shared" si="5"/>
        <v>0.12804233091218131</v>
      </c>
      <c r="O193" s="18">
        <f t="shared" si="6"/>
        <v>1.1220551356967889</v>
      </c>
      <c r="U193" s="21"/>
      <c r="V193" s="21"/>
      <c r="W193" s="21"/>
      <c r="AA193" s="21"/>
      <c r="AB193" s="21"/>
      <c r="AC193" s="21"/>
      <c r="AD193" s="21"/>
    </row>
    <row r="194" spans="1:30" ht="14.4">
      <c r="A194" s="8">
        <v>41202</v>
      </c>
      <c r="B194" s="9" t="s">
        <v>208</v>
      </c>
      <c r="C194" s="8">
        <v>632</v>
      </c>
      <c r="D194" s="8">
        <v>228.22222802042961</v>
      </c>
      <c r="E194" s="8">
        <v>2854</v>
      </c>
      <c r="F194" s="18">
        <f t="shared" si="0"/>
        <v>0.2214435879467414</v>
      </c>
      <c r="G194" s="18">
        <f t="shared" si="1"/>
        <v>0.36111112028548992</v>
      </c>
      <c r="H194" s="18">
        <f t="shared" si="2"/>
        <v>7.99657421234862E-2</v>
      </c>
      <c r="I194" s="8">
        <v>36</v>
      </c>
      <c r="J194" s="8">
        <v>12.333333671092987</v>
      </c>
      <c r="K194" s="8">
        <v>196</v>
      </c>
      <c r="L194" s="18">
        <f t="shared" si="3"/>
        <v>0.18367346938775511</v>
      </c>
      <c r="M194" s="18">
        <f t="shared" si="4"/>
        <v>0.34259260197480518</v>
      </c>
      <c r="N194" s="18">
        <f t="shared" si="5"/>
        <v>6.2925171791290757E-2</v>
      </c>
      <c r="O194" s="18">
        <f t="shared" si="6"/>
        <v>0.78690161712148265</v>
      </c>
      <c r="U194" s="21"/>
      <c r="V194" s="21"/>
      <c r="W194" s="21"/>
      <c r="AA194" s="21"/>
      <c r="AB194" s="21"/>
      <c r="AC194" s="21"/>
      <c r="AD194" s="21"/>
    </row>
    <row r="195" spans="1:30" ht="14.4">
      <c r="A195" s="8">
        <v>41301</v>
      </c>
      <c r="B195" s="9" t="s">
        <v>209</v>
      </c>
      <c r="C195" s="8">
        <v>2382</v>
      </c>
      <c r="D195" s="8">
        <v>885.7778000831604</v>
      </c>
      <c r="E195" s="8">
        <v>6378</v>
      </c>
      <c r="F195" s="18">
        <f t="shared" si="0"/>
        <v>0.37347130761994357</v>
      </c>
      <c r="G195" s="18">
        <f t="shared" si="1"/>
        <v>0.3718630562901597</v>
      </c>
      <c r="H195" s="18">
        <f t="shared" si="2"/>
        <v>0.13888018188823462</v>
      </c>
      <c r="I195" s="8">
        <v>65</v>
      </c>
      <c r="J195" s="8">
        <v>24.111111670732498</v>
      </c>
      <c r="K195" s="8">
        <v>246</v>
      </c>
      <c r="L195" s="18">
        <f t="shared" si="3"/>
        <v>0.26422764227642276</v>
      </c>
      <c r="M195" s="18">
        <f t="shared" si="4"/>
        <v>0.37094017954973074</v>
      </c>
      <c r="N195" s="18">
        <f t="shared" si="5"/>
        <v>9.8012649068018279E-2</v>
      </c>
      <c r="O195" s="18">
        <f t="shared" si="6"/>
        <v>0.70573531612231799</v>
      </c>
      <c r="U195" s="21"/>
      <c r="V195" s="21"/>
      <c r="W195" s="21"/>
      <c r="AA195" s="21"/>
      <c r="AB195" s="21"/>
      <c r="AC195" s="21"/>
      <c r="AD195" s="21"/>
    </row>
    <row r="196" spans="1:30" ht="14.4">
      <c r="A196" s="8">
        <v>41401</v>
      </c>
      <c r="B196" s="9" t="s">
        <v>210</v>
      </c>
      <c r="C196" s="8">
        <v>2159</v>
      </c>
      <c r="D196" s="8">
        <v>816.44446462392807</v>
      </c>
      <c r="E196" s="8">
        <v>10567</v>
      </c>
      <c r="F196" s="18">
        <f t="shared" si="0"/>
        <v>0.20431532128324029</v>
      </c>
      <c r="G196" s="18">
        <f t="shared" si="1"/>
        <v>0.3781586218730561</v>
      </c>
      <c r="H196" s="18">
        <f t="shared" si="2"/>
        <v>7.726360032402084E-2</v>
      </c>
      <c r="I196" s="8">
        <v>372</v>
      </c>
      <c r="J196" s="8">
        <v>136.77778077125549</v>
      </c>
      <c r="K196" s="8">
        <v>2896</v>
      </c>
      <c r="L196" s="18">
        <f t="shared" si="3"/>
        <v>0.12845303867403315</v>
      </c>
      <c r="M196" s="18">
        <f t="shared" si="4"/>
        <v>0.36768220637434273</v>
      </c>
      <c r="N196" s="18">
        <f t="shared" si="5"/>
        <v>4.7229896675157285E-2</v>
      </c>
      <c r="O196" s="18">
        <f t="shared" si="6"/>
        <v>0.61128262826336044</v>
      </c>
      <c r="U196" s="21"/>
      <c r="V196" s="21"/>
      <c r="W196" s="21"/>
      <c r="AA196" s="21"/>
      <c r="AB196" s="21"/>
      <c r="AC196" s="21"/>
      <c r="AD196" s="21"/>
    </row>
    <row r="197" spans="1:30" ht="14.4">
      <c r="A197" s="8">
        <v>41501</v>
      </c>
      <c r="B197" s="9" t="s">
        <v>211</v>
      </c>
      <c r="C197" s="8">
        <v>363</v>
      </c>
      <c r="D197" s="8">
        <v>144.22222596406937</v>
      </c>
      <c r="E197" s="8">
        <v>1083</v>
      </c>
      <c r="F197" s="18">
        <f t="shared" si="0"/>
        <v>0.33518005540166207</v>
      </c>
      <c r="G197" s="18">
        <f t="shared" si="1"/>
        <v>0.39730640761451619</v>
      </c>
      <c r="H197" s="18">
        <f t="shared" si="2"/>
        <v>0.13316918371566888</v>
      </c>
      <c r="I197" s="8">
        <v>34</v>
      </c>
      <c r="J197" s="8">
        <v>13.888889282941818</v>
      </c>
      <c r="K197" s="8">
        <v>176</v>
      </c>
      <c r="L197" s="18">
        <f t="shared" si="3"/>
        <v>0.19318181818181818</v>
      </c>
      <c r="M197" s="18">
        <f t="shared" si="4"/>
        <v>0.40849674361593585</v>
      </c>
      <c r="N197" s="18">
        <f t="shared" si="5"/>
        <v>7.8914143653078514E-2</v>
      </c>
      <c r="O197" s="18">
        <f t="shared" si="6"/>
        <v>0.59258562267355375</v>
      </c>
      <c r="U197" s="21"/>
      <c r="V197" s="21"/>
      <c r="W197" s="21"/>
      <c r="AA197" s="21"/>
      <c r="AB197" s="21"/>
      <c r="AC197" s="21"/>
      <c r="AD197" s="21"/>
    </row>
    <row r="198" spans="1:30" ht="14.4">
      <c r="A198" s="8">
        <v>41502</v>
      </c>
      <c r="B198" s="9" t="s">
        <v>212</v>
      </c>
      <c r="C198" s="8">
        <v>88</v>
      </c>
      <c r="D198" s="8">
        <v>31.555556297302246</v>
      </c>
      <c r="E198" s="8">
        <v>777</v>
      </c>
      <c r="F198" s="18">
        <f t="shared" si="0"/>
        <v>0.11325611325611326</v>
      </c>
      <c r="G198" s="18">
        <f t="shared" si="1"/>
        <v>0.35858586701479828</v>
      </c>
      <c r="H198" s="18">
        <f t="shared" si="2"/>
        <v>4.061204156666956E-2</v>
      </c>
      <c r="I198" s="8">
        <v>57</v>
      </c>
      <c r="J198" s="8">
        <v>21.5555559694767</v>
      </c>
      <c r="K198" s="8">
        <v>300</v>
      </c>
      <c r="L198" s="18">
        <f t="shared" si="3"/>
        <v>0.19</v>
      </c>
      <c r="M198" s="18">
        <f t="shared" si="4"/>
        <v>0.3781676485873105</v>
      </c>
      <c r="N198" s="18">
        <f t="shared" si="5"/>
        <v>7.1851853231588991E-2</v>
      </c>
      <c r="O198" s="18">
        <f t="shared" si="6"/>
        <v>1.769225344498762</v>
      </c>
      <c r="U198" s="21"/>
      <c r="V198" s="21"/>
      <c r="W198" s="21"/>
      <c r="AA198" s="21"/>
      <c r="AB198" s="21"/>
      <c r="AC198" s="21"/>
      <c r="AD198" s="21"/>
    </row>
    <row r="199" spans="1:30" ht="14.4">
      <c r="A199" s="8">
        <v>41503</v>
      </c>
      <c r="B199" s="9" t="s">
        <v>213</v>
      </c>
      <c r="C199" s="8">
        <v>99</v>
      </c>
      <c r="D199" s="8">
        <v>35.888889700174332</v>
      </c>
      <c r="E199" s="8">
        <v>588</v>
      </c>
      <c r="F199" s="18">
        <f t="shared" si="0"/>
        <v>0.1683673469387755</v>
      </c>
      <c r="G199" s="18">
        <f t="shared" si="1"/>
        <v>0.36251403737549831</v>
      </c>
      <c r="H199" s="18">
        <f t="shared" si="2"/>
        <v>6.1035526700976755E-2</v>
      </c>
      <c r="I199" s="8">
        <v>110</v>
      </c>
      <c r="J199" s="8">
        <v>41.000000983476639</v>
      </c>
      <c r="K199" s="8">
        <v>531</v>
      </c>
      <c r="L199" s="18">
        <f t="shared" si="3"/>
        <v>0.2071563088512241</v>
      </c>
      <c r="M199" s="18">
        <f t="shared" si="4"/>
        <v>0.37272728166796942</v>
      </c>
      <c r="N199" s="18">
        <f t="shared" si="5"/>
        <v>7.7212807878487069E-2</v>
      </c>
      <c r="O199" s="18">
        <f t="shared" si="6"/>
        <v>1.2650469661180368</v>
      </c>
      <c r="U199" s="21"/>
      <c r="V199" s="21"/>
      <c r="W199" s="21"/>
      <c r="AA199" s="21"/>
      <c r="AB199" s="21"/>
      <c r="AC199" s="21"/>
      <c r="AD199" s="21"/>
    </row>
    <row r="200" spans="1:30" ht="14.4">
      <c r="A200" s="8">
        <v>41601</v>
      </c>
      <c r="B200" s="9" t="s">
        <v>214</v>
      </c>
      <c r="C200" s="8">
        <v>1763</v>
      </c>
      <c r="D200" s="8">
        <v>644.66668277978897</v>
      </c>
      <c r="E200" s="8">
        <v>5598</v>
      </c>
      <c r="F200" s="18">
        <f t="shared" si="0"/>
        <v>0.31493390496605933</v>
      </c>
      <c r="G200" s="18">
        <f t="shared" si="1"/>
        <v>0.3656645960180312</v>
      </c>
      <c r="H200" s="18">
        <f t="shared" si="2"/>
        <v>0.11516017913179512</v>
      </c>
      <c r="I200" s="8">
        <v>120</v>
      </c>
      <c r="J200" s="8">
        <v>42.000001072883606</v>
      </c>
      <c r="K200" s="8">
        <v>384</v>
      </c>
      <c r="L200" s="18">
        <f t="shared" si="3"/>
        <v>0.3125</v>
      </c>
      <c r="M200" s="18">
        <f t="shared" si="4"/>
        <v>0.35000000894069672</v>
      </c>
      <c r="N200" s="18">
        <f t="shared" si="5"/>
        <v>0.10937500279396772</v>
      </c>
      <c r="O200" s="18">
        <f t="shared" si="6"/>
        <v>0.94976409049167465</v>
      </c>
      <c r="U200" s="21"/>
      <c r="V200" s="21"/>
      <c r="W200" s="21"/>
      <c r="AA200" s="21"/>
      <c r="AB200" s="21"/>
      <c r="AC200" s="21"/>
      <c r="AD200" s="21"/>
    </row>
    <row r="201" spans="1:30" ht="14.4">
      <c r="A201" s="8">
        <v>50101</v>
      </c>
      <c r="B201" s="9" t="s">
        <v>215</v>
      </c>
      <c r="C201" s="8">
        <v>5523</v>
      </c>
      <c r="D201" s="8">
        <v>2016.7778292000294</v>
      </c>
      <c r="E201" s="8">
        <v>92140</v>
      </c>
      <c r="F201" s="18">
        <f t="shared" si="0"/>
        <v>5.9941393531582378E-2</v>
      </c>
      <c r="G201" s="18">
        <f t="shared" si="1"/>
        <v>0.3651598459532916</v>
      </c>
      <c r="H201" s="18">
        <f t="shared" si="2"/>
        <v>2.1888190028218249E-2</v>
      </c>
      <c r="I201" s="8">
        <v>1803</v>
      </c>
      <c r="J201" s="8">
        <v>657.22223925590515</v>
      </c>
      <c r="K201" s="8">
        <v>121871</v>
      </c>
      <c r="L201" s="18">
        <f t="shared" si="3"/>
        <v>1.4794331711399759E-2</v>
      </c>
      <c r="M201" s="18">
        <f t="shared" si="4"/>
        <v>0.36451593968713542</v>
      </c>
      <c r="N201" s="18">
        <f t="shared" si="5"/>
        <v>5.3927697258240696E-3</v>
      </c>
      <c r="O201" s="18">
        <f t="shared" si="6"/>
        <v>0.2463780567909778</v>
      </c>
      <c r="U201" s="21"/>
      <c r="V201" s="21"/>
      <c r="W201" s="21"/>
      <c r="AA201" s="21"/>
      <c r="AB201" s="21"/>
      <c r="AC201" s="21"/>
      <c r="AD201" s="21"/>
    </row>
    <row r="202" spans="1:30" ht="14.4">
      <c r="A202" s="8">
        <v>50102</v>
      </c>
      <c r="B202" s="9" t="s">
        <v>216</v>
      </c>
      <c r="C202" s="8">
        <v>9591</v>
      </c>
      <c r="D202" s="8">
        <v>3724.7778708338737</v>
      </c>
      <c r="E202" s="8">
        <v>27424</v>
      </c>
      <c r="F202" s="18">
        <f t="shared" si="0"/>
        <v>0.34973016336056012</v>
      </c>
      <c r="G202" s="18">
        <f t="shared" si="1"/>
        <v>0.38836178405107641</v>
      </c>
      <c r="H202" s="18">
        <f t="shared" si="2"/>
        <v>0.13582183017918154</v>
      </c>
      <c r="I202" s="8">
        <v>408</v>
      </c>
      <c r="J202" s="8">
        <v>153.66667050123215</v>
      </c>
      <c r="K202" s="8">
        <v>1460</v>
      </c>
      <c r="L202" s="18">
        <f t="shared" si="3"/>
        <v>0.27945205479452057</v>
      </c>
      <c r="M202" s="18">
        <f t="shared" si="4"/>
        <v>0.37663399632654937</v>
      </c>
      <c r="N202" s="18">
        <f t="shared" si="5"/>
        <v>0.10525114417892613</v>
      </c>
      <c r="O202" s="18">
        <f t="shared" si="6"/>
        <v>0.77492067394523145</v>
      </c>
      <c r="U202" s="21"/>
      <c r="V202" s="21"/>
      <c r="W202" s="21"/>
      <c r="AA202" s="21"/>
      <c r="AB202" s="21"/>
      <c r="AC202" s="21"/>
      <c r="AD202" s="21"/>
    </row>
    <row r="203" spans="1:30" ht="14.4">
      <c r="A203" s="8">
        <v>50103</v>
      </c>
      <c r="B203" s="9" t="s">
        <v>217</v>
      </c>
      <c r="C203" s="8">
        <v>959</v>
      </c>
      <c r="D203" s="8">
        <v>344.66667529940605</v>
      </c>
      <c r="E203" s="8">
        <v>10331</v>
      </c>
      <c r="F203" s="18">
        <f t="shared" si="0"/>
        <v>9.282741264156423E-2</v>
      </c>
      <c r="G203" s="18">
        <f t="shared" si="1"/>
        <v>0.35940216402440672</v>
      </c>
      <c r="H203" s="18">
        <f t="shared" si="2"/>
        <v>3.3362372984164751E-2</v>
      </c>
      <c r="I203" s="8">
        <v>90</v>
      </c>
      <c r="J203" s="8">
        <v>31.555556356906891</v>
      </c>
      <c r="K203" s="8">
        <v>1821</v>
      </c>
      <c r="L203" s="18">
        <f t="shared" si="3"/>
        <v>4.9423393739703461E-2</v>
      </c>
      <c r="M203" s="18">
        <f t="shared" si="4"/>
        <v>0.35061729285452103</v>
      </c>
      <c r="N203" s="18">
        <f t="shared" si="5"/>
        <v>1.7328696516697911E-2</v>
      </c>
      <c r="O203" s="18">
        <f t="shared" si="6"/>
        <v>0.51940839235035452</v>
      </c>
      <c r="U203" s="21"/>
      <c r="V203" s="21"/>
      <c r="W203" s="21"/>
      <c r="AA203" s="21"/>
      <c r="AB203" s="21"/>
      <c r="AC203" s="21"/>
      <c r="AD203" s="21"/>
    </row>
    <row r="204" spans="1:30" ht="14.4">
      <c r="A204" s="8">
        <v>50104</v>
      </c>
      <c r="B204" s="9" t="s">
        <v>218</v>
      </c>
      <c r="C204" s="8">
        <v>1108</v>
      </c>
      <c r="D204" s="8">
        <v>417.44445449113846</v>
      </c>
      <c r="E204" s="8">
        <v>2955</v>
      </c>
      <c r="F204" s="18">
        <f t="shared" si="0"/>
        <v>0.37495769881556684</v>
      </c>
      <c r="G204" s="18">
        <f t="shared" si="1"/>
        <v>0.37675492282593726</v>
      </c>
      <c r="H204" s="18">
        <f t="shared" si="2"/>
        <v>0.1412671588802499</v>
      </c>
      <c r="I204" s="8">
        <v>32</v>
      </c>
      <c r="J204" s="8">
        <v>11.222222506999969</v>
      </c>
      <c r="K204" s="8">
        <v>162</v>
      </c>
      <c r="L204" s="18">
        <f t="shared" si="3"/>
        <v>0.19753086419753085</v>
      </c>
      <c r="M204" s="18">
        <f t="shared" si="4"/>
        <v>0.35069445334374905</v>
      </c>
      <c r="N204" s="18">
        <f t="shared" si="5"/>
        <v>6.9272978438271418E-2</v>
      </c>
      <c r="O204" s="18">
        <f t="shared" si="6"/>
        <v>0.49036859654686693</v>
      </c>
      <c r="U204" s="21"/>
      <c r="V204" s="21"/>
      <c r="W204" s="21"/>
      <c r="AA204" s="21"/>
      <c r="AB204" s="21"/>
      <c r="AC204" s="21"/>
      <c r="AD204" s="21"/>
    </row>
    <row r="205" spans="1:30" ht="14.4">
      <c r="A205" s="8">
        <v>50201</v>
      </c>
      <c r="B205" s="9" t="s">
        <v>219</v>
      </c>
      <c r="C205" s="8">
        <v>3380</v>
      </c>
      <c r="D205" s="8">
        <v>1255.2222530245781</v>
      </c>
      <c r="E205" s="8">
        <v>18026</v>
      </c>
      <c r="F205" s="18">
        <f t="shared" si="0"/>
        <v>0.18750693442804836</v>
      </c>
      <c r="G205" s="18">
        <f t="shared" si="1"/>
        <v>0.37136753048064441</v>
      </c>
      <c r="H205" s="18">
        <f t="shared" si="2"/>
        <v>6.9633987186540444E-2</v>
      </c>
      <c r="I205" s="8">
        <v>236</v>
      </c>
      <c r="J205" s="8">
        <v>85.444446623325348</v>
      </c>
      <c r="K205" s="8">
        <v>4103</v>
      </c>
      <c r="L205" s="18">
        <f t="shared" si="3"/>
        <v>5.7518888618084331E-2</v>
      </c>
      <c r="M205" s="18">
        <f t="shared" si="4"/>
        <v>0.36205273992934467</v>
      </c>
      <c r="N205" s="18">
        <f t="shared" si="5"/>
        <v>2.082487122186823E-2</v>
      </c>
      <c r="O205" s="18">
        <f t="shared" si="6"/>
        <v>0.29906188146430701</v>
      </c>
      <c r="U205" s="21"/>
      <c r="V205" s="21"/>
      <c r="W205" s="21"/>
      <c r="AA205" s="21"/>
      <c r="AB205" s="21"/>
      <c r="AC205" s="21"/>
      <c r="AD205" s="21"/>
    </row>
    <row r="206" spans="1:30" ht="14.4">
      <c r="A206" s="8">
        <v>50202</v>
      </c>
      <c r="B206" s="9" t="s">
        <v>220</v>
      </c>
      <c r="C206" s="8">
        <v>1954</v>
      </c>
      <c r="D206" s="8">
        <v>723.44446262717247</v>
      </c>
      <c r="E206" s="8">
        <v>13753</v>
      </c>
      <c r="F206" s="18">
        <f t="shared" si="0"/>
        <v>0.14207809205264307</v>
      </c>
      <c r="G206" s="18">
        <f t="shared" si="1"/>
        <v>0.37023769837623977</v>
      </c>
      <c r="H206" s="18">
        <f t="shared" si="2"/>
        <v>5.2602665791258094E-2</v>
      </c>
      <c r="I206" s="8">
        <v>235</v>
      </c>
      <c r="J206" s="8">
        <v>90.000002294778824</v>
      </c>
      <c r="K206" s="8">
        <v>1887</v>
      </c>
      <c r="L206" s="18">
        <f t="shared" si="3"/>
        <v>0.12453630100688924</v>
      </c>
      <c r="M206" s="18">
        <f t="shared" si="4"/>
        <v>0.38297873316927161</v>
      </c>
      <c r="N206" s="18">
        <f t="shared" si="5"/>
        <v>4.7694754793205528E-2</v>
      </c>
      <c r="O206" s="18">
        <f t="shared" si="6"/>
        <v>0.9066984358258855</v>
      </c>
      <c r="U206" s="21"/>
      <c r="V206" s="21"/>
      <c r="W206" s="21"/>
      <c r="AA206" s="21"/>
      <c r="AB206" s="21"/>
      <c r="AC206" s="21"/>
      <c r="AD206" s="21"/>
    </row>
    <row r="207" spans="1:30" ht="14.4">
      <c r="A207" s="8">
        <v>50203</v>
      </c>
      <c r="B207" s="9" t="s">
        <v>221</v>
      </c>
      <c r="C207" s="8">
        <v>2454</v>
      </c>
      <c r="D207" s="8">
        <v>915.00002318620682</v>
      </c>
      <c r="E207" s="8">
        <v>27442</v>
      </c>
      <c r="F207" s="18">
        <f t="shared" si="0"/>
        <v>8.9424969025581225E-2</v>
      </c>
      <c r="G207" s="18">
        <f t="shared" si="1"/>
        <v>0.37286064514515355</v>
      </c>
      <c r="H207" s="18">
        <f t="shared" si="2"/>
        <v>3.3343051642963591E-2</v>
      </c>
      <c r="I207" s="8">
        <v>390</v>
      </c>
      <c r="J207" s="8">
        <v>143.22222575545311</v>
      </c>
      <c r="K207" s="8">
        <v>13612</v>
      </c>
      <c r="L207" s="18">
        <f t="shared" si="3"/>
        <v>2.8651190126359093E-2</v>
      </c>
      <c r="M207" s="18">
        <f t="shared" si="4"/>
        <v>0.36723647629603362</v>
      </c>
      <c r="N207" s="18">
        <f t="shared" si="5"/>
        <v>1.0521762103691823E-2</v>
      </c>
      <c r="O207" s="18">
        <f t="shared" si="6"/>
        <v>0.31556086156595803</v>
      </c>
      <c r="U207" s="21"/>
      <c r="V207" s="21"/>
      <c r="W207" s="21"/>
      <c r="AA207" s="21"/>
      <c r="AB207" s="21"/>
      <c r="AC207" s="21"/>
      <c r="AD207" s="21"/>
    </row>
    <row r="208" spans="1:30" ht="14.4">
      <c r="A208" s="8">
        <v>50204</v>
      </c>
      <c r="B208" s="9" t="s">
        <v>222</v>
      </c>
      <c r="C208" s="8">
        <v>1989</v>
      </c>
      <c r="D208" s="8">
        <v>761.00001972913742</v>
      </c>
      <c r="E208" s="8">
        <v>7336</v>
      </c>
      <c r="F208" s="18">
        <f t="shared" si="0"/>
        <v>0.27112868047982552</v>
      </c>
      <c r="G208" s="18">
        <f t="shared" si="1"/>
        <v>0.38260433369991825</v>
      </c>
      <c r="H208" s="18">
        <f t="shared" si="2"/>
        <v>0.10373500814192167</v>
      </c>
      <c r="I208" s="8">
        <v>122</v>
      </c>
      <c r="J208" s="8">
        <v>42.777778923511505</v>
      </c>
      <c r="K208" s="8">
        <v>867</v>
      </c>
      <c r="L208" s="18">
        <f t="shared" si="3"/>
        <v>0.14071510957324107</v>
      </c>
      <c r="M208" s="18">
        <f t="shared" si="4"/>
        <v>0.35063753215993038</v>
      </c>
      <c r="N208" s="18">
        <f t="shared" si="5"/>
        <v>4.9339998758375442E-2</v>
      </c>
      <c r="O208" s="18">
        <f t="shared" si="6"/>
        <v>0.47563498227013712</v>
      </c>
      <c r="U208" s="21"/>
      <c r="V208" s="21"/>
      <c r="W208" s="21"/>
      <c r="AA208" s="21"/>
      <c r="AB208" s="21"/>
      <c r="AC208" s="21"/>
      <c r="AD208" s="21"/>
    </row>
    <row r="209" spans="1:30" ht="14.4">
      <c r="A209" s="8">
        <v>50301</v>
      </c>
      <c r="B209" s="9" t="s">
        <v>223</v>
      </c>
      <c r="C209" s="8">
        <v>5533</v>
      </c>
      <c r="D209" s="8">
        <v>2104.4444973468781</v>
      </c>
      <c r="E209" s="8">
        <v>25951</v>
      </c>
      <c r="F209" s="18">
        <f t="shared" si="0"/>
        <v>0.21320951023081963</v>
      </c>
      <c r="G209" s="18">
        <f t="shared" si="1"/>
        <v>0.38034420700286969</v>
      </c>
      <c r="H209" s="18">
        <f t="shared" si="2"/>
        <v>8.1093002094211331E-2</v>
      </c>
      <c r="I209" s="8">
        <v>1076</v>
      </c>
      <c r="J209" s="8">
        <v>402.22223219275475</v>
      </c>
      <c r="K209" s="8">
        <v>5806</v>
      </c>
      <c r="L209" s="18">
        <f t="shared" si="3"/>
        <v>0.18532552531863589</v>
      </c>
      <c r="M209" s="18">
        <f t="shared" si="4"/>
        <v>0.37381248345051554</v>
      </c>
      <c r="N209" s="18">
        <f t="shared" si="5"/>
        <v>6.9276994866130676E-2</v>
      </c>
      <c r="O209" s="18">
        <f t="shared" si="6"/>
        <v>0.85429066722239255</v>
      </c>
      <c r="U209" s="21"/>
      <c r="V209" s="21"/>
      <c r="W209" s="21"/>
      <c r="AA209" s="21"/>
      <c r="AB209" s="21"/>
      <c r="AC209" s="21"/>
      <c r="AD209" s="21"/>
    </row>
    <row r="210" spans="1:30" ht="14.4">
      <c r="A210" s="8">
        <v>50302</v>
      </c>
      <c r="B210" s="9" t="s">
        <v>224</v>
      </c>
      <c r="C210" s="8">
        <v>1599</v>
      </c>
      <c r="D210" s="8">
        <v>605.00001436471939</v>
      </c>
      <c r="E210" s="8">
        <v>7891</v>
      </c>
      <c r="F210" s="18">
        <f t="shared" si="0"/>
        <v>0.20263591433278419</v>
      </c>
      <c r="G210" s="18">
        <f t="shared" si="1"/>
        <v>0.3783614849060159</v>
      </c>
      <c r="H210" s="18">
        <f t="shared" si="2"/>
        <v>7.6669625442240458E-2</v>
      </c>
      <c r="I210" s="8">
        <v>195</v>
      </c>
      <c r="J210" s="8">
        <v>72.33333495259285</v>
      </c>
      <c r="K210" s="8">
        <v>1303</v>
      </c>
      <c r="L210" s="18">
        <f t="shared" si="3"/>
        <v>0.14965464313123561</v>
      </c>
      <c r="M210" s="18">
        <f t="shared" si="4"/>
        <v>0.37094017924406592</v>
      </c>
      <c r="N210" s="18">
        <f t="shared" si="5"/>
        <v>5.5512920147807253E-2</v>
      </c>
      <c r="O210" s="18">
        <f t="shared" si="6"/>
        <v>0.72405362394300798</v>
      </c>
      <c r="U210" s="21"/>
      <c r="V210" s="21"/>
      <c r="W210" s="21"/>
      <c r="AA210" s="21"/>
      <c r="AB210" s="21"/>
      <c r="AC210" s="21"/>
      <c r="AD210" s="21"/>
    </row>
    <row r="211" spans="1:30" ht="14.4">
      <c r="A211" s="8">
        <v>50303</v>
      </c>
      <c r="B211" s="9" t="s">
        <v>225</v>
      </c>
      <c r="C211" s="8">
        <v>5851</v>
      </c>
      <c r="D211" s="8">
        <v>2285.000057965517</v>
      </c>
      <c r="E211" s="8">
        <v>13128</v>
      </c>
      <c r="F211" s="18">
        <f t="shared" si="0"/>
        <v>0.44568860450944547</v>
      </c>
      <c r="G211" s="18">
        <f t="shared" si="1"/>
        <v>0.39053154297821174</v>
      </c>
      <c r="H211" s="18">
        <f t="shared" si="2"/>
        <v>0.17405545840687972</v>
      </c>
      <c r="I211" s="8">
        <v>440</v>
      </c>
      <c r="J211" s="8">
        <v>166.77778205275536</v>
      </c>
      <c r="K211" s="8">
        <v>1189</v>
      </c>
      <c r="L211" s="18">
        <f t="shared" si="3"/>
        <v>0.3700588730025231</v>
      </c>
      <c r="M211" s="18">
        <f t="shared" si="4"/>
        <v>0.37904041375626218</v>
      </c>
      <c r="N211" s="18">
        <f t="shared" si="5"/>
        <v>0.14026726833705244</v>
      </c>
      <c r="O211" s="18">
        <f t="shared" si="6"/>
        <v>0.80587687177932388</v>
      </c>
      <c r="U211" s="21"/>
      <c r="V211" s="21"/>
      <c r="W211" s="21"/>
      <c r="AA211" s="21"/>
      <c r="AB211" s="21"/>
      <c r="AC211" s="21"/>
      <c r="AD211" s="21"/>
    </row>
    <row r="212" spans="1:30" ht="14.4">
      <c r="A212" s="8">
        <v>50401</v>
      </c>
      <c r="B212" s="9" t="s">
        <v>226</v>
      </c>
      <c r="C212" s="8">
        <v>4961</v>
      </c>
      <c r="D212" s="8">
        <v>1995.1111606359482</v>
      </c>
      <c r="E212" s="8">
        <v>13302</v>
      </c>
      <c r="F212" s="18">
        <f t="shared" si="0"/>
        <v>0.37295143587430463</v>
      </c>
      <c r="G212" s="18">
        <f t="shared" si="1"/>
        <v>0.40215907289577668</v>
      </c>
      <c r="H212" s="18">
        <f t="shared" si="2"/>
        <v>0.14998580368635905</v>
      </c>
      <c r="I212" s="8">
        <v>452</v>
      </c>
      <c r="J212" s="8">
        <v>174.77778214216232</v>
      </c>
      <c r="K212" s="8">
        <v>2693</v>
      </c>
      <c r="L212" s="18">
        <f t="shared" si="3"/>
        <v>0.16784255477163015</v>
      </c>
      <c r="M212" s="18">
        <f t="shared" si="4"/>
        <v>0.38667650916407592</v>
      </c>
      <c r="N212" s="18">
        <f t="shared" si="5"/>
        <v>6.4900773168274167E-2</v>
      </c>
      <c r="O212" s="18">
        <f t="shared" si="6"/>
        <v>0.43271277396353197</v>
      </c>
      <c r="U212" s="21"/>
      <c r="V212" s="21"/>
      <c r="W212" s="21"/>
      <c r="AA212" s="21"/>
      <c r="AB212" s="21"/>
      <c r="AC212" s="21"/>
      <c r="AD212" s="21"/>
    </row>
    <row r="213" spans="1:30" ht="14.4">
      <c r="A213" s="8">
        <v>50402</v>
      </c>
      <c r="B213" s="9" t="s">
        <v>227</v>
      </c>
      <c r="C213" s="8">
        <v>5417</v>
      </c>
      <c r="D213" s="8">
        <v>2167.1111660003662</v>
      </c>
      <c r="E213" s="8">
        <v>14746</v>
      </c>
      <c r="F213" s="18">
        <f t="shared" si="0"/>
        <v>0.36735385867353859</v>
      </c>
      <c r="G213" s="18">
        <f t="shared" si="1"/>
        <v>0.40005744249591402</v>
      </c>
      <c r="H213" s="18">
        <f t="shared" si="2"/>
        <v>0.1469626451919413</v>
      </c>
      <c r="I213" s="8">
        <v>636</v>
      </c>
      <c r="J213" s="8">
        <v>259.7777846455574</v>
      </c>
      <c r="K213" s="8">
        <v>2077</v>
      </c>
      <c r="L213" s="18">
        <f t="shared" si="3"/>
        <v>0.30621088107847855</v>
      </c>
      <c r="M213" s="18">
        <f t="shared" si="4"/>
        <v>0.40845563623515313</v>
      </c>
      <c r="N213" s="18">
        <f t="shared" si="5"/>
        <v>0.12507356025303676</v>
      </c>
      <c r="O213" s="18">
        <f t="shared" si="6"/>
        <v>0.85105681167948366</v>
      </c>
      <c r="U213" s="21"/>
      <c r="V213" s="21"/>
      <c r="W213" s="21"/>
      <c r="AA213" s="21"/>
      <c r="AB213" s="21"/>
      <c r="AC213" s="21"/>
      <c r="AD213" s="21"/>
    </row>
    <row r="214" spans="1:30" ht="14.4">
      <c r="A214" s="8">
        <v>50403</v>
      </c>
      <c r="B214" s="9" t="s">
        <v>228</v>
      </c>
      <c r="C214" s="8">
        <v>8621</v>
      </c>
      <c r="D214" s="8">
        <v>3289.0000836253166</v>
      </c>
      <c r="E214" s="8">
        <v>29448</v>
      </c>
      <c r="F214" s="18">
        <f t="shared" si="0"/>
        <v>0.29275332790002717</v>
      </c>
      <c r="G214" s="18">
        <f t="shared" si="1"/>
        <v>0.38151027533062482</v>
      </c>
      <c r="H214" s="18">
        <f t="shared" si="2"/>
        <v>0.11168840273109605</v>
      </c>
      <c r="I214" s="8">
        <v>804</v>
      </c>
      <c r="J214" s="8">
        <v>305.22222977876663</v>
      </c>
      <c r="K214" s="8">
        <v>3102</v>
      </c>
      <c r="L214" s="18">
        <f t="shared" si="3"/>
        <v>0.25918762088974856</v>
      </c>
      <c r="M214" s="18">
        <f t="shared" si="4"/>
        <v>0.3796296390283167</v>
      </c>
      <c r="N214" s="18">
        <f t="shared" si="5"/>
        <v>9.8395302958983438E-2</v>
      </c>
      <c r="O214" s="18">
        <f t="shared" si="6"/>
        <v>0.88098048278013763</v>
      </c>
      <c r="U214" s="21"/>
      <c r="V214" s="21"/>
      <c r="W214" s="21"/>
      <c r="AA214" s="21"/>
      <c r="AB214" s="21"/>
      <c r="AC214" s="21"/>
      <c r="AD214" s="21"/>
    </row>
    <row r="215" spans="1:30" ht="14.4">
      <c r="A215" s="8">
        <v>50404</v>
      </c>
      <c r="B215" s="9" t="s">
        <v>229</v>
      </c>
      <c r="C215" s="8">
        <v>4981</v>
      </c>
      <c r="D215" s="8">
        <v>1927.3333816230297</v>
      </c>
      <c r="E215" s="8">
        <v>12529</v>
      </c>
      <c r="F215" s="18">
        <f t="shared" si="0"/>
        <v>0.39755766621438265</v>
      </c>
      <c r="G215" s="18">
        <f t="shared" si="1"/>
        <v>0.38693703706545468</v>
      </c>
      <c r="H215" s="18">
        <f t="shared" si="2"/>
        <v>0.15382978542765025</v>
      </c>
      <c r="I215" s="8">
        <v>655</v>
      </c>
      <c r="J215" s="8">
        <v>258.55556264519691</v>
      </c>
      <c r="K215" s="8">
        <v>1931</v>
      </c>
      <c r="L215" s="18">
        <f t="shared" si="3"/>
        <v>0.33920248575867429</v>
      </c>
      <c r="M215" s="18">
        <f t="shared" si="4"/>
        <v>0.39474131701556781</v>
      </c>
      <c r="N215" s="18">
        <f t="shared" si="5"/>
        <v>0.13389723596333347</v>
      </c>
      <c r="O215" s="18">
        <f t="shared" si="6"/>
        <v>0.87042464234800931</v>
      </c>
      <c r="U215" s="21"/>
      <c r="V215" s="21"/>
      <c r="W215" s="21"/>
      <c r="AA215" s="21"/>
      <c r="AB215" s="21"/>
      <c r="AC215" s="21"/>
      <c r="AD215" s="21"/>
    </row>
    <row r="216" spans="1:30" ht="14.4">
      <c r="A216" s="8">
        <v>50405</v>
      </c>
      <c r="B216" s="9" t="s">
        <v>230</v>
      </c>
      <c r="C216" s="8">
        <v>6130</v>
      </c>
      <c r="D216" s="8">
        <v>2346.2222797870636</v>
      </c>
      <c r="E216" s="8">
        <v>19019</v>
      </c>
      <c r="F216" s="18">
        <f t="shared" si="0"/>
        <v>0.32230926967769075</v>
      </c>
      <c r="G216" s="18">
        <f t="shared" si="1"/>
        <v>0.38274425445139698</v>
      </c>
      <c r="H216" s="18">
        <f t="shared" si="2"/>
        <v>0.12336202112556199</v>
      </c>
      <c r="I216" s="8">
        <v>602</v>
      </c>
      <c r="J216" s="8">
        <v>236.00000613927841</v>
      </c>
      <c r="K216" s="8">
        <v>1966</v>
      </c>
      <c r="L216" s="18">
        <f t="shared" si="3"/>
        <v>0.30620549338758901</v>
      </c>
      <c r="M216" s="18">
        <f t="shared" si="4"/>
        <v>0.39202658827122661</v>
      </c>
      <c r="N216" s="18">
        <f t="shared" si="5"/>
        <v>0.12004069488264416</v>
      </c>
      <c r="O216" s="18">
        <f t="shared" si="6"/>
        <v>0.97307659024541049</v>
      </c>
      <c r="U216" s="21"/>
      <c r="V216" s="21"/>
      <c r="W216" s="21"/>
      <c r="AA216" s="21"/>
      <c r="AB216" s="21"/>
      <c r="AC216" s="21"/>
      <c r="AD216" s="21"/>
    </row>
    <row r="217" spans="1:30" ht="14.4">
      <c r="A217" s="8">
        <v>50501</v>
      </c>
      <c r="B217" s="9" t="s">
        <v>231</v>
      </c>
      <c r="C217" s="8">
        <v>13615</v>
      </c>
      <c r="D217" s="8">
        <v>5704.3334796726704</v>
      </c>
      <c r="E217" s="8">
        <v>26383</v>
      </c>
      <c r="F217" s="18">
        <f t="shared" si="0"/>
        <v>0.51605200318386835</v>
      </c>
      <c r="G217" s="18">
        <f t="shared" si="1"/>
        <v>0.41897418139351233</v>
      </c>
      <c r="H217" s="18">
        <f t="shared" si="2"/>
        <v>0.21621246559044346</v>
      </c>
      <c r="I217" s="8">
        <v>786</v>
      </c>
      <c r="J217" s="8">
        <v>326.33334174752235</v>
      </c>
      <c r="K217" s="8">
        <v>1964</v>
      </c>
      <c r="L217" s="18">
        <f t="shared" si="3"/>
        <v>0.40020366598778007</v>
      </c>
      <c r="M217" s="18">
        <f t="shared" si="4"/>
        <v>0.4151823686355246</v>
      </c>
      <c r="N217" s="18">
        <f t="shared" si="5"/>
        <v>0.16615750598142687</v>
      </c>
      <c r="O217" s="18">
        <f t="shared" si="6"/>
        <v>0.76849179591785288</v>
      </c>
      <c r="U217" s="21"/>
      <c r="V217" s="21"/>
      <c r="W217" s="21"/>
      <c r="AA217" s="21"/>
      <c r="AB217" s="21"/>
      <c r="AC217" s="21"/>
      <c r="AD217" s="21"/>
    </row>
    <row r="218" spans="1:30" ht="14.4">
      <c r="A218" s="8">
        <v>50502</v>
      </c>
      <c r="B218" s="9" t="s">
        <v>232</v>
      </c>
      <c r="C218" s="8">
        <v>3807</v>
      </c>
      <c r="D218" s="8">
        <v>1549.3333713412285</v>
      </c>
      <c r="E218" s="8">
        <v>9130</v>
      </c>
      <c r="F218" s="18">
        <f t="shared" si="0"/>
        <v>0.41697699890470974</v>
      </c>
      <c r="G218" s="18">
        <f t="shared" si="1"/>
        <v>0.40696962735519532</v>
      </c>
      <c r="H218" s="18">
        <f t="shared" si="2"/>
        <v>0.1696969738599374</v>
      </c>
      <c r="I218" s="8">
        <v>580</v>
      </c>
      <c r="J218" s="8">
        <v>231.66667255759239</v>
      </c>
      <c r="K218" s="8">
        <v>1491</v>
      </c>
      <c r="L218" s="18">
        <f t="shared" si="3"/>
        <v>0.38900067069081151</v>
      </c>
      <c r="M218" s="18">
        <f t="shared" si="4"/>
        <v>0.3994252975130903</v>
      </c>
      <c r="N218" s="18">
        <f t="shared" si="5"/>
        <v>0.15537670862346906</v>
      </c>
      <c r="O218" s="18">
        <f t="shared" si="6"/>
        <v>0.91561272478383826</v>
      </c>
      <c r="U218" s="21"/>
      <c r="V218" s="21"/>
      <c r="W218" s="21"/>
      <c r="AA218" s="21"/>
      <c r="AB218" s="21"/>
      <c r="AC218" s="21"/>
      <c r="AD218" s="21"/>
    </row>
    <row r="219" spans="1:30" ht="14.4">
      <c r="A219" s="8">
        <v>50601</v>
      </c>
      <c r="B219" s="9" t="s">
        <v>233</v>
      </c>
      <c r="C219" s="8">
        <v>5158</v>
      </c>
      <c r="D219" s="8">
        <v>1972.2222724854946</v>
      </c>
      <c r="E219" s="8">
        <v>24386</v>
      </c>
      <c r="F219" s="18">
        <f t="shared" si="0"/>
        <v>0.2115148035758222</v>
      </c>
      <c r="G219" s="18">
        <f t="shared" si="1"/>
        <v>0.38236182095492333</v>
      </c>
      <c r="H219" s="18">
        <f t="shared" si="2"/>
        <v>8.0875185454174298E-2</v>
      </c>
      <c r="I219" s="8">
        <v>476</v>
      </c>
      <c r="J219" s="8">
        <v>175.00000435113907</v>
      </c>
      <c r="K219" s="8">
        <v>4728</v>
      </c>
      <c r="L219" s="18">
        <f t="shared" si="3"/>
        <v>0.10067681895093063</v>
      </c>
      <c r="M219" s="18">
        <f t="shared" si="4"/>
        <v>0.36764706796457786</v>
      </c>
      <c r="N219" s="18">
        <f t="shared" si="5"/>
        <v>3.7013537299310291E-2</v>
      </c>
      <c r="O219" s="18">
        <f t="shared" si="6"/>
        <v>0.45766247201105947</v>
      </c>
      <c r="U219" s="21"/>
      <c r="V219" s="21"/>
      <c r="W219" s="21"/>
      <c r="AA219" s="21"/>
      <c r="AB219" s="21"/>
      <c r="AC219" s="21"/>
      <c r="AD219" s="21"/>
    </row>
    <row r="220" spans="1:30" ht="14.4">
      <c r="A220" s="8">
        <v>50602</v>
      </c>
      <c r="B220" s="9" t="s">
        <v>234</v>
      </c>
      <c r="C220" s="8">
        <v>1416</v>
      </c>
      <c r="D220" s="8">
        <v>528.77779042720795</v>
      </c>
      <c r="E220" s="8">
        <v>9093</v>
      </c>
      <c r="F220" s="18">
        <f t="shared" si="0"/>
        <v>0.1557241834378093</v>
      </c>
      <c r="G220" s="18">
        <f t="shared" si="1"/>
        <v>0.37343064295706774</v>
      </c>
      <c r="H220" s="18">
        <f t="shared" si="2"/>
        <v>5.8152181945145487E-2</v>
      </c>
      <c r="I220" s="8">
        <v>159</v>
      </c>
      <c r="J220" s="8">
        <v>57.666668027639389</v>
      </c>
      <c r="K220" s="8">
        <v>990</v>
      </c>
      <c r="L220" s="18">
        <f t="shared" si="3"/>
        <v>0.16060606060606061</v>
      </c>
      <c r="M220" s="18">
        <f t="shared" si="4"/>
        <v>0.36268344671471314</v>
      </c>
      <c r="N220" s="18">
        <f t="shared" si="5"/>
        <v>5.8249159623878173E-2</v>
      </c>
      <c r="O220" s="18">
        <f t="shared" si="6"/>
        <v>1.001667653310484</v>
      </c>
      <c r="U220" s="21"/>
      <c r="V220" s="21"/>
      <c r="W220" s="21"/>
      <c r="AA220" s="21"/>
      <c r="AB220" s="21"/>
      <c r="AC220" s="21"/>
      <c r="AD220" s="21"/>
    </row>
    <row r="221" spans="1:30" ht="14.4">
      <c r="A221" s="8">
        <v>50701</v>
      </c>
      <c r="B221" s="9" t="s">
        <v>235</v>
      </c>
      <c r="C221" s="8">
        <v>3857</v>
      </c>
      <c r="D221" s="8">
        <v>1453.5555932223797</v>
      </c>
      <c r="E221" s="8">
        <v>14556</v>
      </c>
      <c r="F221" s="18">
        <f t="shared" si="0"/>
        <v>0.26497664193459741</v>
      </c>
      <c r="G221" s="18">
        <f t="shared" si="1"/>
        <v>0.37686170423188481</v>
      </c>
      <c r="H221" s="18">
        <f t="shared" si="2"/>
        <v>9.9859548861114297E-2</v>
      </c>
      <c r="I221" s="8">
        <v>550</v>
      </c>
      <c r="J221" s="8">
        <v>204.88889423012733</v>
      </c>
      <c r="K221" s="8">
        <v>2616</v>
      </c>
      <c r="L221" s="18">
        <f t="shared" si="3"/>
        <v>0.21024464831804282</v>
      </c>
      <c r="M221" s="18">
        <f t="shared" si="4"/>
        <v>0.37252526223659516</v>
      </c>
      <c r="N221" s="18">
        <f t="shared" si="5"/>
        <v>7.8321442748519626E-2</v>
      </c>
      <c r="O221" s="18">
        <f t="shared" si="6"/>
        <v>0.78431600825124803</v>
      </c>
      <c r="U221" s="21"/>
      <c r="V221" s="21"/>
      <c r="W221" s="21"/>
      <c r="AA221" s="21"/>
      <c r="AB221" s="21"/>
      <c r="AC221" s="21"/>
      <c r="AD221" s="21"/>
    </row>
    <row r="222" spans="1:30" ht="14.4">
      <c r="A222" s="8">
        <v>50702</v>
      </c>
      <c r="B222" s="9" t="s">
        <v>236</v>
      </c>
      <c r="C222" s="8">
        <v>1881</v>
      </c>
      <c r="D222" s="8">
        <v>696.55557283759117</v>
      </c>
      <c r="E222" s="8">
        <v>7755</v>
      </c>
      <c r="F222" s="18">
        <f t="shared" si="0"/>
        <v>0.24255319148936169</v>
      </c>
      <c r="G222" s="18">
        <f t="shared" si="1"/>
        <v>0.37031130932354661</v>
      </c>
      <c r="H222" s="18">
        <f t="shared" si="2"/>
        <v>8.9820189921030455E-2</v>
      </c>
      <c r="I222" s="8">
        <v>150</v>
      </c>
      <c r="J222" s="8">
        <v>55.22222363948822</v>
      </c>
      <c r="K222" s="8">
        <v>684</v>
      </c>
      <c r="L222" s="18">
        <f t="shared" si="3"/>
        <v>0.21929824561403508</v>
      </c>
      <c r="M222" s="18">
        <f t="shared" si="4"/>
        <v>0.36814815759658814</v>
      </c>
      <c r="N222" s="18">
        <f t="shared" si="5"/>
        <v>8.0734245086971079E-2</v>
      </c>
      <c r="O222" s="18">
        <f t="shared" si="6"/>
        <v>0.89884295677789483</v>
      </c>
      <c r="U222" s="21"/>
      <c r="V222" s="21"/>
      <c r="W222" s="21"/>
      <c r="AA222" s="21"/>
      <c r="AB222" s="21"/>
      <c r="AC222" s="21"/>
      <c r="AD222" s="21"/>
    </row>
    <row r="223" spans="1:30" ht="14.4">
      <c r="A223" s="8">
        <v>50801</v>
      </c>
      <c r="B223" s="9" t="s">
        <v>237</v>
      </c>
      <c r="C223" s="8">
        <v>2029</v>
      </c>
      <c r="D223" s="8">
        <v>751.11112985014915</v>
      </c>
      <c r="E223" s="8">
        <v>27510</v>
      </c>
      <c r="F223" s="18">
        <f t="shared" si="0"/>
        <v>7.3754998182479103E-2</v>
      </c>
      <c r="G223" s="18">
        <f t="shared" si="1"/>
        <v>0.37018784122727905</v>
      </c>
      <c r="H223" s="18">
        <f t="shared" si="2"/>
        <v>2.7303203556893828E-2</v>
      </c>
      <c r="I223" s="8">
        <v>767</v>
      </c>
      <c r="J223" s="8">
        <v>285.00000712275505</v>
      </c>
      <c r="K223" s="8">
        <v>16938</v>
      </c>
      <c r="L223" s="18">
        <f t="shared" si="3"/>
        <v>4.5282796079820525E-2</v>
      </c>
      <c r="M223" s="18">
        <f t="shared" si="4"/>
        <v>0.3715775842539179</v>
      </c>
      <c r="N223" s="18">
        <f t="shared" si="5"/>
        <v>1.6826071975602496E-2</v>
      </c>
      <c r="O223" s="18">
        <f t="shared" si="6"/>
        <v>0.61626731605105201</v>
      </c>
      <c r="U223" s="21"/>
      <c r="V223" s="21"/>
      <c r="W223" s="21"/>
      <c r="AA223" s="21"/>
      <c r="AB223" s="21"/>
      <c r="AC223" s="21"/>
      <c r="AD223" s="21"/>
    </row>
    <row r="224" spans="1:30" ht="14.4">
      <c r="A224" s="8">
        <v>50802</v>
      </c>
      <c r="B224" s="9" t="s">
        <v>238</v>
      </c>
      <c r="C224" s="8">
        <v>345</v>
      </c>
      <c r="D224" s="8">
        <v>131.00000336766243</v>
      </c>
      <c r="E224" s="8">
        <v>5618</v>
      </c>
      <c r="F224" s="18">
        <f t="shared" si="0"/>
        <v>6.1409754360982553E-2</v>
      </c>
      <c r="G224" s="18">
        <f t="shared" si="1"/>
        <v>0.37971015468887659</v>
      </c>
      <c r="H224" s="18">
        <f t="shared" si="2"/>
        <v>2.3317907327814601E-2</v>
      </c>
      <c r="I224" s="8">
        <v>106</v>
      </c>
      <c r="J224" s="8">
        <v>38.66666767001152</v>
      </c>
      <c r="K224" s="8">
        <v>3861</v>
      </c>
      <c r="L224" s="18">
        <f t="shared" si="3"/>
        <v>2.7454027454027453E-2</v>
      </c>
      <c r="M224" s="18">
        <f t="shared" si="4"/>
        <v>0.36477988367935399</v>
      </c>
      <c r="N224" s="18">
        <f t="shared" si="5"/>
        <v>1.0014676941209926E-2</v>
      </c>
      <c r="O224" s="18">
        <f t="shared" si="6"/>
        <v>0.42948437869739664</v>
      </c>
      <c r="U224" s="21"/>
      <c r="V224" s="21"/>
      <c r="W224" s="21"/>
      <c r="AA224" s="21"/>
      <c r="AB224" s="21"/>
      <c r="AC224" s="21"/>
      <c r="AD224" s="21"/>
    </row>
    <row r="225" spans="1:30" ht="14.4">
      <c r="A225" s="8">
        <v>50901</v>
      </c>
      <c r="B225" s="9" t="s">
        <v>239</v>
      </c>
      <c r="C225" s="8">
        <v>664</v>
      </c>
      <c r="D225" s="8">
        <v>250.11111706495285</v>
      </c>
      <c r="E225" s="8">
        <v>8467</v>
      </c>
      <c r="F225" s="18">
        <f t="shared" si="0"/>
        <v>7.8422109365772999E-2</v>
      </c>
      <c r="G225" s="18">
        <f t="shared" si="1"/>
        <v>0.37667336907372417</v>
      </c>
      <c r="H225" s="18">
        <f t="shared" si="2"/>
        <v>2.9539520144673773E-2</v>
      </c>
      <c r="I225" s="8">
        <v>100</v>
      </c>
      <c r="J225" s="8">
        <v>34.888889789581299</v>
      </c>
      <c r="K225" s="8">
        <v>2497</v>
      </c>
      <c r="L225" s="18">
        <f t="shared" si="3"/>
        <v>4.0048057669203045E-2</v>
      </c>
      <c r="M225" s="18">
        <f t="shared" si="4"/>
        <v>0.34888889789581301</v>
      </c>
      <c r="N225" s="18">
        <f t="shared" si="5"/>
        <v>1.3972322703076212E-2</v>
      </c>
      <c r="O225" s="18">
        <f t="shared" si="6"/>
        <v>0.47300438986973664</v>
      </c>
      <c r="U225" s="21"/>
      <c r="V225" s="21"/>
      <c r="W225" s="21"/>
      <c r="AA225" s="21"/>
      <c r="AB225" s="21"/>
      <c r="AC225" s="21"/>
      <c r="AD225" s="21"/>
    </row>
    <row r="226" spans="1:30" ht="14.4">
      <c r="A226" s="8">
        <v>50902</v>
      </c>
      <c r="B226" s="9" t="s">
        <v>240</v>
      </c>
      <c r="C226" s="8">
        <v>110</v>
      </c>
      <c r="D226" s="8">
        <v>39.777778685092926</v>
      </c>
      <c r="E226" s="8">
        <v>1126</v>
      </c>
      <c r="F226" s="18">
        <f t="shared" si="0"/>
        <v>9.7690941385435173E-2</v>
      </c>
      <c r="G226" s="18">
        <f t="shared" si="1"/>
        <v>0.36161616986448114</v>
      </c>
      <c r="H226" s="18">
        <f t="shared" si="2"/>
        <v>3.5326624054256593E-2</v>
      </c>
      <c r="I226" s="8">
        <v>27</v>
      </c>
      <c r="J226" s="8">
        <v>10.666666835546494</v>
      </c>
      <c r="K226" s="8">
        <v>387</v>
      </c>
      <c r="L226" s="18">
        <f t="shared" si="3"/>
        <v>6.9767441860465115E-2</v>
      </c>
      <c r="M226" s="18">
        <f t="shared" si="4"/>
        <v>0.39506173464987016</v>
      </c>
      <c r="N226" s="18">
        <f t="shared" si="5"/>
        <v>2.7562446603479313E-2</v>
      </c>
      <c r="O226" s="18">
        <f t="shared" si="6"/>
        <v>0.78021739527522849</v>
      </c>
      <c r="U226" s="21"/>
      <c r="V226" s="21"/>
      <c r="W226" s="21"/>
      <c r="AA226" s="21"/>
      <c r="AB226" s="21"/>
      <c r="AC226" s="21"/>
      <c r="AD226" s="21"/>
    </row>
    <row r="227" spans="1:30" ht="14.4">
      <c r="A227" s="8">
        <v>51001</v>
      </c>
      <c r="B227" s="9" t="s">
        <v>241</v>
      </c>
      <c r="C227" s="8">
        <v>507</v>
      </c>
      <c r="D227" s="8">
        <v>194.88889381289482</v>
      </c>
      <c r="E227" s="8">
        <v>2520</v>
      </c>
      <c r="F227" s="18">
        <f t="shared" si="0"/>
        <v>0.2011904761904762</v>
      </c>
      <c r="G227" s="18">
        <f t="shared" si="1"/>
        <v>0.38439624026211994</v>
      </c>
      <c r="H227" s="18">
        <f t="shared" si="2"/>
        <v>7.7336862624164615E-2</v>
      </c>
      <c r="I227" s="8">
        <v>68</v>
      </c>
      <c r="J227" s="8">
        <v>24.222222834825516</v>
      </c>
      <c r="K227" s="8">
        <v>372</v>
      </c>
      <c r="L227" s="18">
        <f t="shared" si="3"/>
        <v>0.18279569892473119</v>
      </c>
      <c r="M227" s="18">
        <f t="shared" si="4"/>
        <v>0.35620915933566932</v>
      </c>
      <c r="N227" s="18">
        <f t="shared" si="5"/>
        <v>6.5113502244154603E-2</v>
      </c>
      <c r="O227" s="18">
        <f t="shared" si="6"/>
        <v>0.84194651857792446</v>
      </c>
      <c r="U227" s="21"/>
      <c r="V227" s="21"/>
      <c r="W227" s="21"/>
      <c r="AA227" s="21"/>
      <c r="AB227" s="21"/>
      <c r="AC227" s="21"/>
      <c r="AD227" s="21"/>
    </row>
    <row r="228" spans="1:30" ht="14.4">
      <c r="A228" s="8">
        <v>51002</v>
      </c>
      <c r="B228" s="9" t="s">
        <v>242</v>
      </c>
      <c r="C228" s="8">
        <v>322</v>
      </c>
      <c r="D228" s="8">
        <v>125.22222548723221</v>
      </c>
      <c r="E228" s="8">
        <v>894</v>
      </c>
      <c r="F228" s="18">
        <f t="shared" si="0"/>
        <v>0.36017897091722595</v>
      </c>
      <c r="G228" s="18">
        <f t="shared" si="1"/>
        <v>0.38888889902867146</v>
      </c>
      <c r="H228" s="18">
        <f t="shared" si="2"/>
        <v>0.14006960345327987</v>
      </c>
      <c r="I228" s="8">
        <v>25</v>
      </c>
      <c r="J228" s="8">
        <v>10.555555820465088</v>
      </c>
      <c r="K228" s="8">
        <v>71</v>
      </c>
      <c r="L228" s="18">
        <f t="shared" si="3"/>
        <v>0.352112676056338</v>
      </c>
      <c r="M228" s="18">
        <f t="shared" si="4"/>
        <v>0.42222223281860349</v>
      </c>
      <c r="N228" s="18">
        <f t="shared" si="5"/>
        <v>0.14866980028824064</v>
      </c>
      <c r="O228" s="18">
        <f t="shared" si="6"/>
        <v>1.0613994515792955</v>
      </c>
      <c r="U228" s="21"/>
      <c r="V228" s="21"/>
      <c r="W228" s="21"/>
      <c r="AA228" s="21"/>
      <c r="AB228" s="21"/>
      <c r="AC228" s="21"/>
      <c r="AD228" s="21"/>
    </row>
    <row r="229" spans="1:30" ht="14.4">
      <c r="A229" s="8">
        <v>51003</v>
      </c>
      <c r="B229" s="9" t="s">
        <v>243</v>
      </c>
      <c r="C229" s="8">
        <v>477</v>
      </c>
      <c r="D229" s="8">
        <v>187.22222670912743</v>
      </c>
      <c r="E229" s="8">
        <v>1628</v>
      </c>
      <c r="F229" s="18">
        <f t="shared" si="0"/>
        <v>0.29299754299754299</v>
      </c>
      <c r="G229" s="18">
        <f t="shared" si="1"/>
        <v>0.39249942706316021</v>
      </c>
      <c r="H229" s="18">
        <f t="shared" si="2"/>
        <v>0.11500136775744928</v>
      </c>
      <c r="I229" s="8">
        <v>55</v>
      </c>
      <c r="J229" s="8">
        <v>19.555556029081345</v>
      </c>
      <c r="K229" s="8">
        <v>248</v>
      </c>
      <c r="L229" s="18">
        <f t="shared" si="3"/>
        <v>0.22177419354838709</v>
      </c>
      <c r="M229" s="18">
        <f t="shared" si="4"/>
        <v>0.35555556416511536</v>
      </c>
      <c r="N229" s="18">
        <f t="shared" si="5"/>
        <v>7.8853048504360257E-2</v>
      </c>
      <c r="O229" s="18">
        <f t="shared" si="6"/>
        <v>0.68567052759468161</v>
      </c>
      <c r="U229" s="21"/>
      <c r="V229" s="21"/>
      <c r="W229" s="21"/>
      <c r="AA229" s="21"/>
      <c r="AB229" s="21"/>
      <c r="AC229" s="21"/>
      <c r="AD229" s="21"/>
    </row>
    <row r="230" spans="1:30" ht="14.4">
      <c r="A230" s="8">
        <v>51101</v>
      </c>
      <c r="B230" s="9" t="s">
        <v>244</v>
      </c>
      <c r="C230" s="8">
        <v>2040</v>
      </c>
      <c r="D230" s="8">
        <v>756.11112931370735</v>
      </c>
      <c r="E230" s="8">
        <v>13854</v>
      </c>
      <c r="F230" s="18">
        <f t="shared" si="0"/>
        <v>0.14724989172802078</v>
      </c>
      <c r="G230" s="18">
        <f t="shared" si="1"/>
        <v>0.37064271044789576</v>
      </c>
      <c r="H230" s="18">
        <f t="shared" si="2"/>
        <v>5.4577098983232805E-2</v>
      </c>
      <c r="I230" s="8">
        <v>355</v>
      </c>
      <c r="J230" s="8">
        <v>129.44444766640663</v>
      </c>
      <c r="K230" s="8">
        <v>2396</v>
      </c>
      <c r="L230" s="18">
        <f t="shared" si="3"/>
        <v>0.14816360601001669</v>
      </c>
      <c r="M230" s="18">
        <f t="shared" si="4"/>
        <v>0.36463224694762431</v>
      </c>
      <c r="N230" s="18">
        <f t="shared" si="5"/>
        <v>5.4025228575294917E-2</v>
      </c>
      <c r="O230" s="18">
        <f t="shared" si="6"/>
        <v>0.98988824217081539</v>
      </c>
      <c r="U230" s="21"/>
      <c r="V230" s="21"/>
      <c r="W230" s="21"/>
      <c r="AA230" s="21"/>
      <c r="AB230" s="21"/>
      <c r="AC230" s="21"/>
      <c r="AD230" s="21"/>
    </row>
    <row r="231" spans="1:30" ht="14.4">
      <c r="A231" s="8">
        <v>51102</v>
      </c>
      <c r="B231" s="9" t="s">
        <v>245</v>
      </c>
      <c r="C231" s="8">
        <v>1759</v>
      </c>
      <c r="D231" s="8">
        <v>657.88890516757965</v>
      </c>
      <c r="E231" s="8">
        <v>10919</v>
      </c>
      <c r="F231" s="18">
        <f t="shared" si="0"/>
        <v>0.16109533840095247</v>
      </c>
      <c r="G231" s="18">
        <f t="shared" si="1"/>
        <v>0.37401302169845346</v>
      </c>
      <c r="H231" s="18">
        <f t="shared" si="2"/>
        <v>6.025175429687514E-2</v>
      </c>
      <c r="I231" s="8">
        <v>253</v>
      </c>
      <c r="J231" s="8">
        <v>94.888891488313675</v>
      </c>
      <c r="K231" s="8">
        <v>1767</v>
      </c>
      <c r="L231" s="18">
        <f t="shared" si="3"/>
        <v>0.14318053197509903</v>
      </c>
      <c r="M231" s="18">
        <f t="shared" si="4"/>
        <v>0.37505490706843347</v>
      </c>
      <c r="N231" s="18">
        <f t="shared" si="5"/>
        <v>5.370056111392963E-2</v>
      </c>
      <c r="O231" s="18">
        <f t="shared" si="6"/>
        <v>0.89126966908438587</v>
      </c>
      <c r="U231" s="21"/>
      <c r="V231" s="21"/>
      <c r="W231" s="21"/>
      <c r="AA231" s="21"/>
      <c r="AB231" s="21"/>
      <c r="AC231" s="21"/>
      <c r="AD231" s="21"/>
    </row>
    <row r="232" spans="1:30" ht="14.4">
      <c r="A232" s="8">
        <v>51103</v>
      </c>
      <c r="B232" s="9" t="s">
        <v>246</v>
      </c>
      <c r="C232" s="8">
        <v>5996</v>
      </c>
      <c r="D232" s="8">
        <v>2420.4445039331913</v>
      </c>
      <c r="E232" s="8">
        <v>13126</v>
      </c>
      <c r="F232" s="18">
        <f t="shared" si="0"/>
        <v>0.45680329117781504</v>
      </c>
      <c r="G232" s="18">
        <f t="shared" si="1"/>
        <v>0.40367653501220668</v>
      </c>
      <c r="H232" s="18">
        <f t="shared" si="2"/>
        <v>0.1844007697648325</v>
      </c>
      <c r="I232" s="8">
        <v>488</v>
      </c>
      <c r="J232" s="8">
        <v>193.44444966316223</v>
      </c>
      <c r="K232" s="8">
        <v>1198</v>
      </c>
      <c r="L232" s="18">
        <f t="shared" si="3"/>
        <v>0.4073455759599332</v>
      </c>
      <c r="M232" s="18">
        <f t="shared" si="4"/>
        <v>0.3964025607851685</v>
      </c>
      <c r="N232" s="18">
        <f t="shared" si="5"/>
        <v>0.16147282943502689</v>
      </c>
      <c r="O232" s="18">
        <f t="shared" si="6"/>
        <v>0.87566244783551739</v>
      </c>
      <c r="U232" s="21"/>
      <c r="V232" s="21"/>
      <c r="W232" s="21"/>
      <c r="AA232" s="21"/>
      <c r="AB232" s="21"/>
      <c r="AC232" s="21"/>
      <c r="AD232" s="21"/>
    </row>
    <row r="233" spans="1:30" ht="14.4">
      <c r="A233" s="8">
        <v>51201</v>
      </c>
      <c r="B233" s="9" t="s">
        <v>247</v>
      </c>
      <c r="C233" s="8">
        <v>2242</v>
      </c>
      <c r="D233" s="8">
        <v>807.66668722033501</v>
      </c>
      <c r="E233" s="8">
        <v>20343</v>
      </c>
      <c r="F233" s="18">
        <f t="shared" si="0"/>
        <v>0.11020990021137492</v>
      </c>
      <c r="G233" s="18">
        <f t="shared" si="1"/>
        <v>0.36024383908132696</v>
      </c>
      <c r="H233" s="18">
        <f t="shared" si="2"/>
        <v>3.9702437556915646E-2</v>
      </c>
      <c r="I233" s="8">
        <v>561</v>
      </c>
      <c r="J233" s="8">
        <v>197.22222748398781</v>
      </c>
      <c r="K233" s="8">
        <v>13495</v>
      </c>
      <c r="L233" s="18">
        <f t="shared" si="3"/>
        <v>4.1570952204520194E-2</v>
      </c>
      <c r="M233" s="18">
        <f t="shared" si="4"/>
        <v>0.35155477269873048</v>
      </c>
      <c r="N233" s="18">
        <f t="shared" si="5"/>
        <v>1.4614466653129885E-2</v>
      </c>
      <c r="O233" s="18">
        <f t="shared" si="6"/>
        <v>0.36809998459614063</v>
      </c>
      <c r="U233" s="21"/>
      <c r="V233" s="21"/>
      <c r="W233" s="21"/>
      <c r="AA233" s="21"/>
      <c r="AB233" s="21"/>
      <c r="AC233" s="21"/>
      <c r="AD233" s="21"/>
    </row>
    <row r="234" spans="1:30" ht="14.4">
      <c r="A234" s="8">
        <v>51202</v>
      </c>
      <c r="B234" s="9" t="s">
        <v>248</v>
      </c>
      <c r="C234" s="8">
        <v>1388</v>
      </c>
      <c r="D234" s="8">
        <v>504.88890117406845</v>
      </c>
      <c r="E234" s="8">
        <v>6442</v>
      </c>
      <c r="F234" s="18">
        <f t="shared" si="0"/>
        <v>0.21546103694504812</v>
      </c>
      <c r="G234" s="18">
        <f t="shared" si="1"/>
        <v>0.36375281064414156</v>
      </c>
      <c r="H234" s="18">
        <f t="shared" si="2"/>
        <v>7.8374557773062473E-2</v>
      </c>
      <c r="I234" s="8">
        <v>296</v>
      </c>
      <c r="J234" s="8">
        <v>108.77778053283691</v>
      </c>
      <c r="K234" s="8">
        <v>1347</v>
      </c>
      <c r="L234" s="18">
        <f t="shared" si="3"/>
        <v>0.21974758723088345</v>
      </c>
      <c r="M234" s="18">
        <f t="shared" si="4"/>
        <v>0.36749250180012472</v>
      </c>
      <c r="N234" s="18">
        <f t="shared" si="5"/>
        <v>8.0755590596018501E-2</v>
      </c>
      <c r="O234" s="18">
        <f t="shared" si="6"/>
        <v>1.030380175539241</v>
      </c>
      <c r="U234" s="21"/>
      <c r="V234" s="21"/>
      <c r="W234" s="21"/>
      <c r="AA234" s="21"/>
      <c r="AB234" s="21"/>
      <c r="AC234" s="21"/>
      <c r="AD234" s="21"/>
    </row>
    <row r="235" spans="1:30" ht="14.4">
      <c r="A235" s="8">
        <v>51203</v>
      </c>
      <c r="B235" s="9" t="s">
        <v>249</v>
      </c>
      <c r="C235" s="8">
        <v>706</v>
      </c>
      <c r="D235" s="8">
        <v>258.11111727356911</v>
      </c>
      <c r="E235" s="8">
        <v>10147</v>
      </c>
      <c r="F235" s="18">
        <f t="shared" si="0"/>
        <v>6.9577214940376469E-2</v>
      </c>
      <c r="G235" s="18">
        <f t="shared" si="1"/>
        <v>0.36559648339032452</v>
      </c>
      <c r="H235" s="18">
        <f t="shared" si="2"/>
        <v>2.5437185106294384E-2</v>
      </c>
      <c r="I235" s="8">
        <v>249</v>
      </c>
      <c r="J235" s="8">
        <v>94.888891279697418</v>
      </c>
      <c r="K235" s="8">
        <v>4316</v>
      </c>
      <c r="L235" s="18">
        <f t="shared" si="3"/>
        <v>5.7692307692307696E-2</v>
      </c>
      <c r="M235" s="18">
        <f t="shared" si="4"/>
        <v>0.38107988465741938</v>
      </c>
      <c r="N235" s="18">
        <f t="shared" si="5"/>
        <v>2.1985377961004967E-2</v>
      </c>
      <c r="O235" s="18">
        <f t="shared" si="6"/>
        <v>0.86430074197025542</v>
      </c>
      <c r="U235" s="21"/>
      <c r="V235" s="21"/>
      <c r="W235" s="21"/>
      <c r="AA235" s="21"/>
      <c r="AB235" s="21"/>
      <c r="AC235" s="21"/>
      <c r="AD235" s="21"/>
    </row>
    <row r="236" spans="1:30" ht="14.4">
      <c r="A236" s="8">
        <v>51204</v>
      </c>
      <c r="B236" s="9" t="s">
        <v>250</v>
      </c>
      <c r="C236" s="8">
        <v>1298</v>
      </c>
      <c r="D236" s="8">
        <v>484.22223389148712</v>
      </c>
      <c r="E236" s="8">
        <v>5359</v>
      </c>
      <c r="F236" s="18">
        <f t="shared" si="0"/>
        <v>0.24220936741929464</v>
      </c>
      <c r="G236" s="18">
        <f t="shared" si="1"/>
        <v>0.37305256848342616</v>
      </c>
      <c r="H236" s="18">
        <f t="shared" si="2"/>
        <v>9.0356826626513745E-2</v>
      </c>
      <c r="I236" s="8">
        <v>91</v>
      </c>
      <c r="J236" s="8">
        <v>35.222223073244095</v>
      </c>
      <c r="K236" s="8">
        <v>448</v>
      </c>
      <c r="L236" s="18">
        <f t="shared" si="3"/>
        <v>0.203125</v>
      </c>
      <c r="M236" s="18">
        <f t="shared" si="4"/>
        <v>0.38705739640927578</v>
      </c>
      <c r="N236" s="18">
        <f t="shared" si="5"/>
        <v>7.8621033645634136E-2</v>
      </c>
      <c r="O236" s="18">
        <f t="shared" si="6"/>
        <v>0.8701172515786878</v>
      </c>
      <c r="U236" s="21"/>
      <c r="V236" s="21"/>
      <c r="W236" s="21"/>
      <c r="AA236" s="21"/>
      <c r="AB236" s="21"/>
      <c r="AC236" s="21"/>
      <c r="AD236" s="21"/>
    </row>
    <row r="237" spans="1:30" ht="14.4">
      <c r="A237" s="8">
        <v>51301</v>
      </c>
      <c r="B237" s="9" t="s">
        <v>251</v>
      </c>
      <c r="C237" s="8">
        <v>873</v>
      </c>
      <c r="D237" s="8">
        <v>329.11111906170845</v>
      </c>
      <c r="E237" s="8">
        <v>3231</v>
      </c>
      <c r="F237" s="18">
        <f t="shared" si="0"/>
        <v>0.27019498607242337</v>
      </c>
      <c r="G237" s="18">
        <f t="shared" si="1"/>
        <v>0.376988681628532</v>
      </c>
      <c r="H237" s="18">
        <f t="shared" si="2"/>
        <v>0.10186045158208246</v>
      </c>
      <c r="I237" s="8">
        <v>122</v>
      </c>
      <c r="J237" s="8">
        <v>49.333334773778915</v>
      </c>
      <c r="K237" s="8">
        <v>432</v>
      </c>
      <c r="L237" s="18">
        <f t="shared" si="3"/>
        <v>0.28240740740740738</v>
      </c>
      <c r="M237" s="18">
        <f t="shared" si="4"/>
        <v>0.40437159650638455</v>
      </c>
      <c r="N237" s="18">
        <f t="shared" si="5"/>
        <v>0.11419753419856229</v>
      </c>
      <c r="O237" s="18">
        <f t="shared" si="6"/>
        <v>1.1211174938345745</v>
      </c>
      <c r="U237" s="21"/>
      <c r="V237" s="21"/>
      <c r="W237" s="21"/>
      <c r="AA237" s="21"/>
      <c r="AB237" s="21"/>
      <c r="AC237" s="21"/>
      <c r="AD237" s="21"/>
    </row>
    <row r="238" spans="1:30" ht="14.4">
      <c r="A238" s="8">
        <v>51302</v>
      </c>
      <c r="B238" s="9" t="s">
        <v>252</v>
      </c>
      <c r="C238" s="8">
        <v>1005</v>
      </c>
      <c r="D238" s="8">
        <v>387.33334258198738</v>
      </c>
      <c r="E238" s="8">
        <v>3785</v>
      </c>
      <c r="F238" s="18">
        <f t="shared" si="0"/>
        <v>0.26552179656538971</v>
      </c>
      <c r="G238" s="18">
        <f t="shared" si="1"/>
        <v>0.38540631102685313</v>
      </c>
      <c r="H238" s="18">
        <f t="shared" si="2"/>
        <v>0.10233377611148942</v>
      </c>
      <c r="I238" s="8">
        <v>99</v>
      </c>
      <c r="J238" s="8">
        <v>36.333334237337112</v>
      </c>
      <c r="K238" s="8">
        <v>639</v>
      </c>
      <c r="L238" s="18">
        <f t="shared" si="3"/>
        <v>0.15492957746478872</v>
      </c>
      <c r="M238" s="18">
        <f t="shared" si="4"/>
        <v>0.36700337613471828</v>
      </c>
      <c r="N238" s="18">
        <f t="shared" si="5"/>
        <v>5.6859677992702827E-2</v>
      </c>
      <c r="O238" s="18">
        <f t="shared" si="6"/>
        <v>0.55562962839127528</v>
      </c>
      <c r="U238" s="21"/>
      <c r="V238" s="21"/>
      <c r="W238" s="21"/>
      <c r="AA238" s="21"/>
      <c r="AB238" s="21"/>
      <c r="AC238" s="21"/>
      <c r="AD238" s="21"/>
    </row>
    <row r="239" spans="1:30" ht="14.4">
      <c r="A239" s="8">
        <v>51401</v>
      </c>
      <c r="B239" s="9" t="s">
        <v>253</v>
      </c>
      <c r="C239" s="8">
        <v>189</v>
      </c>
      <c r="D239" s="8">
        <v>66.222223967313766</v>
      </c>
      <c r="E239" s="8">
        <v>3634</v>
      </c>
      <c r="F239" s="18">
        <f t="shared" si="0"/>
        <v>5.2008805723720415E-2</v>
      </c>
      <c r="G239" s="18">
        <f t="shared" si="1"/>
        <v>0.35038213739319451</v>
      </c>
      <c r="H239" s="18">
        <f t="shared" si="2"/>
        <v>1.8222956512744568E-2</v>
      </c>
      <c r="I239" s="8">
        <v>3</v>
      </c>
      <c r="J239" s="8">
        <v>1.0000000298023224</v>
      </c>
      <c r="K239" s="8">
        <v>415</v>
      </c>
      <c r="L239" s="18">
        <f t="shared" si="3"/>
        <v>7.2289156626506026E-3</v>
      </c>
      <c r="M239" s="18">
        <f t="shared" si="4"/>
        <v>0.3333333432674408</v>
      </c>
      <c r="N239" s="18">
        <f t="shared" si="5"/>
        <v>2.4096386260296925E-3</v>
      </c>
      <c r="O239" s="18">
        <f t="shared" si="6"/>
        <v>0.13223093762773711</v>
      </c>
      <c r="U239" s="21"/>
      <c r="V239" s="21"/>
      <c r="W239" s="21"/>
      <c r="AA239" s="21"/>
      <c r="AB239" s="21"/>
      <c r="AC239" s="21"/>
      <c r="AD239" s="21"/>
    </row>
    <row r="240" spans="1:30" ht="14.4">
      <c r="A240" s="8">
        <v>51402</v>
      </c>
      <c r="B240" s="9" t="s">
        <v>254</v>
      </c>
      <c r="C240" s="8">
        <v>195</v>
      </c>
      <c r="D240" s="8">
        <v>71.444445997476578</v>
      </c>
      <c r="E240" s="8">
        <v>1361</v>
      </c>
      <c r="F240" s="18">
        <f t="shared" si="0"/>
        <v>0.14327700220426157</v>
      </c>
      <c r="G240" s="18">
        <f t="shared" si="1"/>
        <v>0.36638177434603375</v>
      </c>
      <c r="H240" s="18">
        <f t="shared" si="2"/>
        <v>5.2494082290577941E-2</v>
      </c>
      <c r="I240" s="8">
        <v>55</v>
      </c>
      <c r="J240" s="8">
        <v>22.444444835186005</v>
      </c>
      <c r="K240" s="8">
        <v>180</v>
      </c>
      <c r="L240" s="18">
        <f t="shared" si="3"/>
        <v>0.30555555555555558</v>
      </c>
      <c r="M240" s="18">
        <f t="shared" si="4"/>
        <v>0.40808081518520006</v>
      </c>
      <c r="N240" s="18">
        <f t="shared" si="5"/>
        <v>0.1246913601954778</v>
      </c>
      <c r="O240" s="18">
        <f t="shared" si="6"/>
        <v>2.3753412719029172</v>
      </c>
      <c r="U240" s="21"/>
      <c r="V240" s="21"/>
      <c r="W240" s="21"/>
      <c r="AA240" s="21"/>
      <c r="AB240" s="21"/>
      <c r="AC240" s="21"/>
      <c r="AD240" s="21"/>
    </row>
    <row r="241" spans="1:30" ht="14.4">
      <c r="A241" s="8">
        <v>51501</v>
      </c>
      <c r="B241" s="9" t="s">
        <v>255</v>
      </c>
      <c r="C241" s="8">
        <v>1451</v>
      </c>
      <c r="D241" s="8">
        <v>548.22223550081253</v>
      </c>
      <c r="E241" s="8">
        <v>20895</v>
      </c>
      <c r="F241" s="18">
        <f t="shared" si="0"/>
        <v>6.9442450346972953E-2</v>
      </c>
      <c r="G241" s="18">
        <f t="shared" si="1"/>
        <v>0.3778237322541782</v>
      </c>
      <c r="H241" s="18">
        <f t="shared" si="2"/>
        <v>2.6237005766968774E-2</v>
      </c>
      <c r="I241" s="8">
        <v>1245</v>
      </c>
      <c r="J241" s="8">
        <v>468.22223389148712</v>
      </c>
      <c r="K241" s="8">
        <v>27276</v>
      </c>
      <c r="L241" s="18">
        <f t="shared" si="3"/>
        <v>4.5644522657281125E-2</v>
      </c>
      <c r="M241" s="18">
        <f t="shared" si="4"/>
        <v>0.37608211557549165</v>
      </c>
      <c r="N241" s="18">
        <f t="shared" si="5"/>
        <v>1.7166088645383746E-2</v>
      </c>
      <c r="O241" s="18">
        <f t="shared" si="6"/>
        <v>0.6542701098535828</v>
      </c>
      <c r="U241" s="21"/>
      <c r="V241" s="21"/>
      <c r="W241" s="21"/>
      <c r="AA241" s="21"/>
      <c r="AB241" s="21"/>
      <c r="AC241" s="21"/>
      <c r="AD241" s="21"/>
    </row>
    <row r="242" spans="1:30" ht="14.4">
      <c r="A242" s="8">
        <v>51601</v>
      </c>
      <c r="B242" s="9" t="s">
        <v>256</v>
      </c>
      <c r="C242" s="8">
        <v>129</v>
      </c>
      <c r="D242" s="8">
        <v>46.111112356185913</v>
      </c>
      <c r="E242" s="8">
        <v>1843</v>
      </c>
      <c r="F242" s="18">
        <f t="shared" si="0"/>
        <v>6.9994574064026038E-2</v>
      </c>
      <c r="G242" s="18">
        <f t="shared" si="1"/>
        <v>0.35745048338128615</v>
      </c>
      <c r="H242" s="18">
        <f t="shared" si="2"/>
        <v>2.5019594333253341E-2</v>
      </c>
      <c r="I242" s="8">
        <v>10</v>
      </c>
      <c r="J242" s="8">
        <v>3.888888955116272</v>
      </c>
      <c r="K242" s="8">
        <v>206</v>
      </c>
      <c r="L242" s="18">
        <f t="shared" si="3"/>
        <v>4.8543689320388349E-2</v>
      </c>
      <c r="M242" s="18">
        <f t="shared" si="4"/>
        <v>0.3888888955116272</v>
      </c>
      <c r="N242" s="18">
        <f t="shared" si="5"/>
        <v>1.8878101723865396E-2</v>
      </c>
      <c r="O242" s="18">
        <f t="shared" si="6"/>
        <v>0.75453268635833415</v>
      </c>
      <c r="U242" s="21"/>
      <c r="V242" s="21"/>
      <c r="W242" s="21"/>
      <c r="AA242" s="21"/>
      <c r="AB242" s="21"/>
      <c r="AC242" s="21"/>
      <c r="AD242" s="21"/>
    </row>
    <row r="243" spans="1:30" ht="14.4">
      <c r="A243" s="8">
        <v>60101</v>
      </c>
      <c r="B243" s="9" t="s">
        <v>257</v>
      </c>
      <c r="C243" s="8">
        <v>1312</v>
      </c>
      <c r="D243" s="8">
        <v>486.66667857766151</v>
      </c>
      <c r="E243" s="8">
        <v>28162</v>
      </c>
      <c r="F243" s="18">
        <f t="shared" si="0"/>
        <v>4.6587600312477807E-2</v>
      </c>
      <c r="G243" s="18">
        <f t="shared" si="1"/>
        <v>0.37093496842809565</v>
      </c>
      <c r="H243" s="18">
        <f t="shared" si="2"/>
        <v>1.7280970051049695E-2</v>
      </c>
      <c r="I243" s="8">
        <v>5248</v>
      </c>
      <c r="J243" s="8">
        <v>1899.0000486075878</v>
      </c>
      <c r="K243" s="8">
        <v>205602</v>
      </c>
      <c r="L243" s="18">
        <f t="shared" si="3"/>
        <v>2.5525043530704953E-2</v>
      </c>
      <c r="M243" s="18">
        <f t="shared" si="4"/>
        <v>0.36185214340845806</v>
      </c>
      <c r="N243" s="18">
        <f t="shared" si="5"/>
        <v>9.2362917121797828E-3</v>
      </c>
      <c r="O243" s="18">
        <f t="shared" si="6"/>
        <v>0.53447761814845252</v>
      </c>
      <c r="U243" s="21"/>
      <c r="V243" s="21"/>
      <c r="W243" s="21"/>
      <c r="AA243" s="21"/>
      <c r="AB243" s="21"/>
      <c r="AC243" s="21"/>
      <c r="AD243" s="21"/>
    </row>
    <row r="244" spans="1:30" ht="14.4">
      <c r="A244" s="8">
        <v>60201</v>
      </c>
      <c r="B244" s="9" t="s">
        <v>258</v>
      </c>
      <c r="C244" s="8">
        <v>118</v>
      </c>
      <c r="D244" s="8">
        <v>44.222223281860352</v>
      </c>
      <c r="E244" s="8">
        <v>1182</v>
      </c>
      <c r="F244" s="18">
        <f t="shared" si="0"/>
        <v>9.9830795262267347E-2</v>
      </c>
      <c r="G244" s="18">
        <f t="shared" si="1"/>
        <v>0.37476460408356232</v>
      </c>
      <c r="H244" s="18">
        <f t="shared" si="2"/>
        <v>3.7413048461810788E-2</v>
      </c>
      <c r="I244" s="8">
        <v>1698</v>
      </c>
      <c r="J244" s="8">
        <v>646.22223857045174</v>
      </c>
      <c r="K244" s="8">
        <v>16417</v>
      </c>
      <c r="L244" s="18">
        <f t="shared" si="3"/>
        <v>0.10342937199244685</v>
      </c>
      <c r="M244" s="18">
        <f t="shared" si="4"/>
        <v>0.3805784679449068</v>
      </c>
      <c r="N244" s="18">
        <f t="shared" si="5"/>
        <v>3.9362991933389276E-2</v>
      </c>
      <c r="O244" s="18">
        <f t="shared" si="6"/>
        <v>1.0521193420944803</v>
      </c>
      <c r="U244" s="21"/>
      <c r="V244" s="21"/>
      <c r="W244" s="21"/>
      <c r="AA244" s="21"/>
      <c r="AB244" s="21"/>
      <c r="AC244" s="21"/>
      <c r="AD244" s="21"/>
    </row>
    <row r="245" spans="1:30" ht="14.4">
      <c r="A245" s="8">
        <v>60202</v>
      </c>
      <c r="B245" s="9" t="s">
        <v>259</v>
      </c>
      <c r="C245" s="8">
        <v>235</v>
      </c>
      <c r="D245" s="8">
        <v>85.555557906627655</v>
      </c>
      <c r="E245" s="8">
        <v>5123</v>
      </c>
      <c r="F245" s="18">
        <f t="shared" si="0"/>
        <v>4.5871559633027525E-2</v>
      </c>
      <c r="G245" s="18">
        <f t="shared" si="1"/>
        <v>0.36406620385799005</v>
      </c>
      <c r="H245" s="18">
        <f t="shared" si="2"/>
        <v>1.6700284580641746E-2</v>
      </c>
      <c r="I245" s="8">
        <v>842</v>
      </c>
      <c r="J245" s="8">
        <v>306.5555634200573</v>
      </c>
      <c r="K245" s="8">
        <v>31099</v>
      </c>
      <c r="L245" s="18">
        <f t="shared" si="3"/>
        <v>2.7074825557091869E-2</v>
      </c>
      <c r="M245" s="18">
        <f t="shared" si="4"/>
        <v>0.36408024159151697</v>
      </c>
      <c r="N245" s="18">
        <f t="shared" si="5"/>
        <v>9.8574090298741857E-3</v>
      </c>
      <c r="O245" s="18">
        <f t="shared" si="6"/>
        <v>0.59025395539070469</v>
      </c>
      <c r="U245" s="21"/>
      <c r="V245" s="21"/>
      <c r="W245" s="21"/>
      <c r="AA245" s="21"/>
      <c r="AB245" s="21"/>
      <c r="AC245" s="21"/>
      <c r="AD245" s="21"/>
    </row>
    <row r="246" spans="1:30" ht="14.4">
      <c r="A246" s="8">
        <v>60301</v>
      </c>
      <c r="B246" s="9" t="s">
        <v>260</v>
      </c>
      <c r="C246" s="8">
        <v>2342</v>
      </c>
      <c r="D246" s="8">
        <v>916.88891094923019</v>
      </c>
      <c r="E246" s="8">
        <v>22671</v>
      </c>
      <c r="F246" s="18">
        <f t="shared" si="0"/>
        <v>0.10330378015967535</v>
      </c>
      <c r="G246" s="18">
        <f t="shared" si="1"/>
        <v>0.39149825403468413</v>
      </c>
      <c r="H246" s="18">
        <f t="shared" si="2"/>
        <v>4.0443249567695745E-2</v>
      </c>
      <c r="I246" s="8">
        <v>2142</v>
      </c>
      <c r="J246" s="8">
        <v>764.33335357904434</v>
      </c>
      <c r="K246" s="8">
        <v>72380</v>
      </c>
      <c r="L246" s="18">
        <f t="shared" si="3"/>
        <v>2.9593810444874274E-2</v>
      </c>
      <c r="M246" s="18">
        <f t="shared" si="4"/>
        <v>0.35683163098928306</v>
      </c>
      <c r="N246" s="18">
        <f t="shared" si="5"/>
        <v>1.0560007648232167E-2</v>
      </c>
      <c r="O246" s="18">
        <f t="shared" si="6"/>
        <v>0.26110680425311394</v>
      </c>
      <c r="U246" s="21"/>
      <c r="V246" s="21"/>
      <c r="W246" s="21"/>
      <c r="AA246" s="21"/>
      <c r="AB246" s="21"/>
      <c r="AC246" s="21"/>
      <c r="AD246" s="21"/>
    </row>
    <row r="247" spans="1:30" ht="14.4">
      <c r="A247" s="8">
        <v>60302</v>
      </c>
      <c r="B247" s="9" t="s">
        <v>261</v>
      </c>
      <c r="C247" s="8">
        <v>301</v>
      </c>
      <c r="D247" s="8">
        <v>110.22222527861595</v>
      </c>
      <c r="E247" s="8">
        <v>3321</v>
      </c>
      <c r="F247" s="18">
        <f t="shared" si="0"/>
        <v>9.063535079795243E-2</v>
      </c>
      <c r="G247" s="18">
        <f t="shared" si="1"/>
        <v>0.36618679494556794</v>
      </c>
      <c r="H247" s="18">
        <f t="shared" si="2"/>
        <v>3.3189468617469423E-2</v>
      </c>
      <c r="I247" s="8">
        <v>450</v>
      </c>
      <c r="J247" s="8">
        <v>165.88889330625534</v>
      </c>
      <c r="K247" s="8">
        <v>11930</v>
      </c>
      <c r="L247" s="18">
        <f t="shared" si="3"/>
        <v>3.7720033528918694E-2</v>
      </c>
      <c r="M247" s="18">
        <f t="shared" si="4"/>
        <v>0.3686419851250119</v>
      </c>
      <c r="N247" s="18">
        <f t="shared" si="5"/>
        <v>1.3905188039082595E-2</v>
      </c>
      <c r="O247" s="18">
        <f t="shared" si="6"/>
        <v>0.41896386469301705</v>
      </c>
      <c r="U247" s="21"/>
      <c r="V247" s="21"/>
      <c r="W247" s="21"/>
      <c r="AA247" s="21"/>
      <c r="AB247" s="21"/>
      <c r="AC247" s="21"/>
      <c r="AD247" s="21"/>
    </row>
    <row r="248" spans="1:30" ht="14.4">
      <c r="A248" s="8">
        <v>60303</v>
      </c>
      <c r="B248" s="9" t="s">
        <v>262</v>
      </c>
      <c r="C248" s="8">
        <v>1469</v>
      </c>
      <c r="D248" s="8">
        <v>562.22223651409149</v>
      </c>
      <c r="E248" s="8">
        <v>10993</v>
      </c>
      <c r="F248" s="18">
        <f t="shared" si="0"/>
        <v>0.1336304921313563</v>
      </c>
      <c r="G248" s="18">
        <f t="shared" si="1"/>
        <v>0.38272446324989212</v>
      </c>
      <c r="H248" s="18">
        <f t="shared" si="2"/>
        <v>5.1143658374792275E-2</v>
      </c>
      <c r="I248" s="8">
        <v>1207</v>
      </c>
      <c r="J248" s="8">
        <v>440.55556702613831</v>
      </c>
      <c r="K248" s="8">
        <v>33621</v>
      </c>
      <c r="L248" s="18">
        <f t="shared" si="3"/>
        <v>3.5900181434222661E-2</v>
      </c>
      <c r="M248" s="18">
        <f t="shared" si="4"/>
        <v>0.3650004697813905</v>
      </c>
      <c r="N248" s="18">
        <f t="shared" si="5"/>
        <v>1.3103583088728424E-2</v>
      </c>
      <c r="O248" s="18">
        <f t="shared" si="6"/>
        <v>0.25621129784464008</v>
      </c>
      <c r="U248" s="21"/>
      <c r="V248" s="21"/>
      <c r="W248" s="21"/>
      <c r="AA248" s="21"/>
      <c r="AB248" s="21"/>
      <c r="AC248" s="21"/>
      <c r="AD248" s="21"/>
    </row>
    <row r="249" spans="1:30" ht="14.4">
      <c r="A249" s="8">
        <v>60401</v>
      </c>
      <c r="B249" s="9" t="s">
        <v>263</v>
      </c>
      <c r="C249" s="8">
        <v>108</v>
      </c>
      <c r="D249" s="8">
        <v>42.333334028720856</v>
      </c>
      <c r="E249" s="8">
        <v>1119</v>
      </c>
      <c r="F249" s="18">
        <f t="shared" si="0"/>
        <v>9.6514745308310987E-2</v>
      </c>
      <c r="G249" s="18">
        <f t="shared" si="1"/>
        <v>0.39197531508074868</v>
      </c>
      <c r="H249" s="18">
        <f t="shared" si="2"/>
        <v>3.7831397702163407E-2</v>
      </c>
      <c r="I249" s="8">
        <v>1114</v>
      </c>
      <c r="J249" s="8">
        <v>408.88889932632446</v>
      </c>
      <c r="K249" s="8">
        <v>14739</v>
      </c>
      <c r="L249" s="18">
        <f t="shared" si="3"/>
        <v>7.5581789809349348E-2</v>
      </c>
      <c r="M249" s="18">
        <f t="shared" si="4"/>
        <v>0.36704569059813685</v>
      </c>
      <c r="N249" s="18">
        <f t="shared" si="5"/>
        <v>2.7741970237215852E-2</v>
      </c>
      <c r="O249" s="18">
        <f t="shared" si="6"/>
        <v>0.73330545320109641</v>
      </c>
      <c r="U249" s="21"/>
      <c r="V249" s="21"/>
      <c r="W249" s="21"/>
      <c r="AA249" s="21"/>
      <c r="AB249" s="21"/>
      <c r="AC249" s="21"/>
      <c r="AD249" s="21"/>
    </row>
    <row r="250" spans="1:30" ht="14.4">
      <c r="A250" s="8">
        <v>60402</v>
      </c>
      <c r="B250" s="9" t="s">
        <v>264</v>
      </c>
      <c r="C250" s="8">
        <v>48</v>
      </c>
      <c r="D250" s="8">
        <v>17.333333730697632</v>
      </c>
      <c r="E250" s="8">
        <v>467</v>
      </c>
      <c r="F250" s="18">
        <f t="shared" si="0"/>
        <v>0.10278372591006424</v>
      </c>
      <c r="G250" s="18">
        <f t="shared" si="1"/>
        <v>0.361111119389534</v>
      </c>
      <c r="H250" s="18">
        <f t="shared" si="2"/>
        <v>3.7116346318410348E-2</v>
      </c>
      <c r="I250" s="8">
        <v>485</v>
      </c>
      <c r="J250" s="8">
        <v>185.00000411272049</v>
      </c>
      <c r="K250" s="8">
        <v>4259</v>
      </c>
      <c r="L250" s="18">
        <f t="shared" si="3"/>
        <v>0.11387649683024184</v>
      </c>
      <c r="M250" s="18">
        <f t="shared" si="4"/>
        <v>0.38144330744890825</v>
      </c>
      <c r="N250" s="18">
        <f t="shared" si="5"/>
        <v>4.3437427591622564E-2</v>
      </c>
      <c r="O250" s="18">
        <f t="shared" si="6"/>
        <v>1.1703045127067599</v>
      </c>
      <c r="U250" s="21"/>
      <c r="V250" s="21"/>
      <c r="W250" s="21"/>
      <c r="AA250" s="21"/>
      <c r="AB250" s="21"/>
      <c r="AC250" s="21"/>
      <c r="AD250" s="21"/>
    </row>
    <row r="251" spans="1:30" ht="14.4">
      <c r="A251" s="8">
        <v>60501</v>
      </c>
      <c r="B251" s="9" t="s">
        <v>265</v>
      </c>
      <c r="C251" s="8">
        <v>513</v>
      </c>
      <c r="D251" s="8">
        <v>200.22222724556923</v>
      </c>
      <c r="E251" s="8">
        <v>3892</v>
      </c>
      <c r="F251" s="18">
        <f t="shared" si="0"/>
        <v>0.13180883864337101</v>
      </c>
      <c r="G251" s="18">
        <f t="shared" si="1"/>
        <v>0.39029673927011543</v>
      </c>
      <c r="H251" s="18">
        <f t="shared" si="2"/>
        <v>5.1444559929488487E-2</v>
      </c>
      <c r="I251" s="8">
        <v>2302</v>
      </c>
      <c r="J251" s="8">
        <v>877.6666886806488</v>
      </c>
      <c r="K251" s="8">
        <v>26343</v>
      </c>
      <c r="L251" s="18">
        <f t="shared" si="3"/>
        <v>8.7385643244884792E-2</v>
      </c>
      <c r="M251" s="18">
        <f t="shared" si="4"/>
        <v>0.38126267970488653</v>
      </c>
      <c r="N251" s="18">
        <f t="shared" si="5"/>
        <v>3.3316884511279989E-2</v>
      </c>
      <c r="O251" s="18">
        <f t="shared" si="6"/>
        <v>0.64762697080012244</v>
      </c>
      <c r="U251" s="21"/>
      <c r="V251" s="21"/>
      <c r="W251" s="21"/>
      <c r="AA251" s="21"/>
      <c r="AB251" s="21"/>
      <c r="AC251" s="21"/>
      <c r="AD251" s="21"/>
    </row>
    <row r="252" spans="1:30" ht="14.4">
      <c r="A252" s="8">
        <v>60502</v>
      </c>
      <c r="B252" s="9" t="s">
        <v>266</v>
      </c>
      <c r="C252" s="8">
        <v>25</v>
      </c>
      <c r="D252" s="8">
        <v>9.2222224175930023</v>
      </c>
      <c r="E252" s="8">
        <v>848</v>
      </c>
      <c r="F252" s="18">
        <f t="shared" si="0"/>
        <v>2.9481132075471699E-2</v>
      </c>
      <c r="G252" s="18">
        <f t="shared" si="1"/>
        <v>0.3688888967037201</v>
      </c>
      <c r="H252" s="18">
        <f t="shared" si="2"/>
        <v>1.087526228489741E-2</v>
      </c>
      <c r="I252" s="8">
        <v>560</v>
      </c>
      <c r="J252" s="8">
        <v>211.44444987177849</v>
      </c>
      <c r="K252" s="8">
        <v>8597</v>
      </c>
      <c r="L252" s="18">
        <f t="shared" si="3"/>
        <v>6.5139001977433983E-2</v>
      </c>
      <c r="M252" s="18">
        <f t="shared" si="4"/>
        <v>0.37757937477103304</v>
      </c>
      <c r="N252" s="18">
        <f t="shared" si="5"/>
        <v>2.4595143639848608E-2</v>
      </c>
      <c r="O252" s="18">
        <f t="shared" si="6"/>
        <v>2.261567858828025</v>
      </c>
      <c r="U252" s="21"/>
      <c r="V252" s="21"/>
      <c r="W252" s="21"/>
      <c r="AA252" s="21"/>
      <c r="AB252" s="21"/>
      <c r="AC252" s="21"/>
      <c r="AD252" s="21"/>
    </row>
    <row r="253" spans="1:30" ht="14.4">
      <c r="A253" s="8">
        <v>60601</v>
      </c>
      <c r="B253" s="9" t="s">
        <v>167</v>
      </c>
      <c r="C253" s="8">
        <v>1373</v>
      </c>
      <c r="D253" s="8">
        <v>531.33334591984749</v>
      </c>
      <c r="E253" s="8">
        <v>8020</v>
      </c>
      <c r="F253" s="18">
        <f t="shared" si="0"/>
        <v>0.17119700748129676</v>
      </c>
      <c r="G253" s="18">
        <f t="shared" si="1"/>
        <v>0.38698714196638562</v>
      </c>
      <c r="H253" s="18">
        <f t="shared" si="2"/>
        <v>6.6251040638384967E-2</v>
      </c>
      <c r="I253" s="8">
        <v>1007</v>
      </c>
      <c r="J253" s="8">
        <v>383.11112087965012</v>
      </c>
      <c r="K253" s="8">
        <v>12470</v>
      </c>
      <c r="L253" s="18">
        <f t="shared" si="3"/>
        <v>8.0753809141940663E-2</v>
      </c>
      <c r="M253" s="18">
        <f t="shared" si="4"/>
        <v>0.38044798498475679</v>
      </c>
      <c r="N253" s="18">
        <f t="shared" si="5"/>
        <v>3.0722623967894956E-2</v>
      </c>
      <c r="O253" s="18">
        <f t="shared" si="6"/>
        <v>0.4637304361087225</v>
      </c>
      <c r="U253" s="21"/>
      <c r="V253" s="21"/>
      <c r="W253" s="21"/>
      <c r="AA253" s="21"/>
      <c r="AB253" s="21"/>
      <c r="AC253" s="21"/>
      <c r="AD253" s="21"/>
    </row>
    <row r="254" spans="1:30" ht="14.4">
      <c r="A254" s="8">
        <v>70101</v>
      </c>
      <c r="B254" s="9" t="s">
        <v>267</v>
      </c>
      <c r="C254" s="8">
        <v>5161</v>
      </c>
      <c r="D254" s="8">
        <v>1840.88893699646</v>
      </c>
      <c r="E254" s="8">
        <v>204530</v>
      </c>
      <c r="F254" s="18">
        <f t="shared" si="0"/>
        <v>2.5233462083801887E-2</v>
      </c>
      <c r="G254" s="18">
        <f t="shared" si="1"/>
        <v>0.35669229548468512</v>
      </c>
      <c r="H254" s="18">
        <f t="shared" si="2"/>
        <v>9.0005815136970611E-3</v>
      </c>
      <c r="I254" s="8">
        <v>21298</v>
      </c>
      <c r="J254" s="8">
        <v>7539.777977257967</v>
      </c>
      <c r="K254" s="8">
        <v>1375187</v>
      </c>
      <c r="L254" s="18">
        <f t="shared" si="3"/>
        <v>1.5487348266090358E-2</v>
      </c>
      <c r="M254" s="18">
        <f t="shared" si="4"/>
        <v>0.3540134274231368</v>
      </c>
      <c r="N254" s="18">
        <f t="shared" si="5"/>
        <v>5.4827292413744226E-3</v>
      </c>
      <c r="O254" s="18">
        <f t="shared" si="6"/>
        <v>0.60915277896553899</v>
      </c>
      <c r="U254" s="21"/>
      <c r="V254" s="21"/>
      <c r="W254" s="21"/>
      <c r="AA254" s="21"/>
      <c r="AB254" s="21"/>
      <c r="AC254" s="21"/>
      <c r="AD254" s="21"/>
    </row>
    <row r="255" spans="1:30" ht="14.4">
      <c r="A255" s="8">
        <v>70102</v>
      </c>
      <c r="B255" s="9" t="s">
        <v>268</v>
      </c>
      <c r="C255" s="8">
        <v>1611</v>
      </c>
      <c r="D255" s="8">
        <v>575.55557096004486</v>
      </c>
      <c r="E255" s="8">
        <v>20923</v>
      </c>
      <c r="F255" s="18">
        <f t="shared" si="0"/>
        <v>7.6996606605171339E-2</v>
      </c>
      <c r="G255" s="18">
        <f t="shared" si="1"/>
        <v>0.35726602790815942</v>
      </c>
      <c r="H255" s="18">
        <f t="shared" si="2"/>
        <v>2.7508271804236716E-2</v>
      </c>
      <c r="I255" s="8">
        <v>4775</v>
      </c>
      <c r="J255" s="8">
        <v>1716.7778227031231</v>
      </c>
      <c r="K255" s="8">
        <v>84746</v>
      </c>
      <c r="L255" s="18">
        <f t="shared" si="3"/>
        <v>5.6344842234441743E-2</v>
      </c>
      <c r="M255" s="18">
        <f t="shared" si="4"/>
        <v>0.35953462255562785</v>
      </c>
      <c r="N255" s="18">
        <f t="shared" si="5"/>
        <v>2.0257921585716411E-2</v>
      </c>
      <c r="O255" s="18">
        <f t="shared" si="6"/>
        <v>0.73643018106998515</v>
      </c>
      <c r="U255" s="21"/>
      <c r="V255" s="21"/>
      <c r="W255" s="21"/>
      <c r="AA255" s="21"/>
      <c r="AB255" s="21"/>
      <c r="AC255" s="21"/>
      <c r="AD255" s="21"/>
    </row>
    <row r="256" spans="1:30" ht="14.4">
      <c r="A256" s="8">
        <v>70103</v>
      </c>
      <c r="B256" s="9" t="s">
        <v>269</v>
      </c>
      <c r="C256" s="8">
        <v>151</v>
      </c>
      <c r="D256" s="8">
        <v>54.000001460313797</v>
      </c>
      <c r="E256" s="8">
        <v>1987</v>
      </c>
      <c r="F256" s="18">
        <f t="shared" si="0"/>
        <v>7.5993960744841466E-2</v>
      </c>
      <c r="G256" s="18">
        <f t="shared" si="1"/>
        <v>0.35761590371068741</v>
      </c>
      <c r="H256" s="18">
        <f t="shared" si="2"/>
        <v>2.7176648948320985E-2</v>
      </c>
      <c r="I256" s="8">
        <v>680</v>
      </c>
      <c r="J256" s="8">
        <v>253.88889557123184</v>
      </c>
      <c r="K256" s="8">
        <v>20906</v>
      </c>
      <c r="L256" s="18">
        <f t="shared" si="3"/>
        <v>3.2526547402659527E-2</v>
      </c>
      <c r="M256" s="18">
        <f t="shared" si="4"/>
        <v>0.37336602289887033</v>
      </c>
      <c r="N256" s="18">
        <f t="shared" si="5"/>
        <v>1.2144307642362568E-2</v>
      </c>
      <c r="O256" s="18">
        <f t="shared" si="6"/>
        <v>0.44686553023723191</v>
      </c>
      <c r="U256" s="21"/>
      <c r="V256" s="21"/>
      <c r="W256" s="21"/>
      <c r="AA256" s="21"/>
      <c r="AB256" s="21"/>
      <c r="AC256" s="21"/>
      <c r="AD256" s="21"/>
    </row>
    <row r="257" spans="1:30" ht="14.4">
      <c r="A257" s="8">
        <v>70104</v>
      </c>
      <c r="B257" s="9" t="s">
        <v>270</v>
      </c>
      <c r="C257" s="8">
        <v>1360</v>
      </c>
      <c r="D257" s="8">
        <v>478.44445675611496</v>
      </c>
      <c r="E257" s="8">
        <v>30254</v>
      </c>
      <c r="F257" s="18">
        <f t="shared" ref="F257:F346" si="14">C257/E257</f>
        <v>4.4952733522839954E-2</v>
      </c>
      <c r="G257" s="18">
        <f t="shared" ref="G257:G346" si="15">D257/C257</f>
        <v>0.35179739467361393</v>
      </c>
      <c r="H257" s="18">
        <f t="shared" ref="H257:H346" si="16">F257*G257</f>
        <v>1.5814254536792322E-2</v>
      </c>
      <c r="I257" s="8">
        <v>3414</v>
      </c>
      <c r="J257" s="8">
        <v>1196.0000327825546</v>
      </c>
      <c r="K257" s="8">
        <v>116467</v>
      </c>
      <c r="L257" s="18">
        <f t="shared" ref="L257:L346" si="17">I257/K257</f>
        <v>2.9313024290142271E-2</v>
      </c>
      <c r="M257" s="18">
        <f t="shared" ref="M257:M346" si="18">J257/I257</f>
        <v>0.35032221229717475</v>
      </c>
      <c r="N257" s="18">
        <f t="shared" ref="N257:N346" si="19">L257*M257</f>
        <v>1.0269003518443461E-2</v>
      </c>
      <c r="O257" s="18">
        <f t="shared" ref="O257:O346" si="20">N257/H257</f>
        <v>0.64935109616152475</v>
      </c>
      <c r="U257" s="21"/>
      <c r="V257" s="21"/>
      <c r="W257" s="21"/>
      <c r="AA257" s="21"/>
      <c r="AB257" s="21"/>
      <c r="AC257" s="21"/>
      <c r="AD257" s="21"/>
    </row>
    <row r="258" spans="1:30" ht="14.4">
      <c r="A258" s="8">
        <v>70105</v>
      </c>
      <c r="B258" s="9" t="s">
        <v>271</v>
      </c>
      <c r="C258" s="8">
        <v>819</v>
      </c>
      <c r="D258" s="8">
        <v>292.66667440533638</v>
      </c>
      <c r="E258" s="8">
        <v>11391</v>
      </c>
      <c r="F258" s="18">
        <f t="shared" si="14"/>
        <v>7.1898867526994995E-2</v>
      </c>
      <c r="G258" s="18">
        <f t="shared" si="15"/>
        <v>0.35734636679528253</v>
      </c>
      <c r="H258" s="18">
        <f t="shared" si="16"/>
        <v>2.569279908746698E-2</v>
      </c>
      <c r="I258" s="8">
        <v>1968</v>
      </c>
      <c r="J258" s="8">
        <v>699.00001829862595</v>
      </c>
      <c r="K258" s="8">
        <v>43498</v>
      </c>
      <c r="L258" s="18">
        <f t="shared" si="17"/>
        <v>4.5243459469400893E-2</v>
      </c>
      <c r="M258" s="18">
        <f t="shared" si="18"/>
        <v>0.35518293612735058</v>
      </c>
      <c r="N258" s="18">
        <f t="shared" si="19"/>
        <v>1.6069704774900592E-2</v>
      </c>
      <c r="O258" s="18">
        <f t="shared" si="20"/>
        <v>0.62545558855591721</v>
      </c>
      <c r="U258" s="21"/>
      <c r="V258" s="21"/>
      <c r="W258" s="21"/>
      <c r="AA258" s="21"/>
      <c r="AB258" s="21"/>
      <c r="AC258" s="21"/>
      <c r="AD258" s="21"/>
    </row>
    <row r="259" spans="1:30" ht="14.4">
      <c r="A259" s="8">
        <v>70201</v>
      </c>
      <c r="B259" s="9" t="s">
        <v>272</v>
      </c>
      <c r="C259" s="8">
        <v>1858</v>
      </c>
      <c r="D259" s="8">
        <v>663.88890558481216</v>
      </c>
      <c r="E259" s="8">
        <v>35174</v>
      </c>
      <c r="F259" s="18">
        <f t="shared" si="14"/>
        <v>5.2823107977483366E-2</v>
      </c>
      <c r="G259" s="18">
        <f t="shared" si="15"/>
        <v>0.35731372744069545</v>
      </c>
      <c r="H259" s="18">
        <f t="shared" si="16"/>
        <v>1.8874421606436917E-2</v>
      </c>
      <c r="I259" s="8">
        <v>5139</v>
      </c>
      <c r="J259" s="8">
        <v>1835.4444910287857</v>
      </c>
      <c r="K259" s="8">
        <v>113955</v>
      </c>
      <c r="L259" s="18">
        <f t="shared" si="17"/>
        <v>4.5096748716598654E-2</v>
      </c>
      <c r="M259" s="18">
        <f t="shared" si="18"/>
        <v>0.35715985425740138</v>
      </c>
      <c r="N259" s="18">
        <f t="shared" si="19"/>
        <v>1.6106748199103026E-2</v>
      </c>
      <c r="O259" s="18">
        <f t="shared" si="20"/>
        <v>0.85336380287330205</v>
      </c>
      <c r="U259" s="21"/>
      <c r="V259" s="21"/>
      <c r="W259" s="21"/>
      <c r="AA259" s="21"/>
      <c r="AB259" s="21"/>
      <c r="AC259" s="21"/>
      <c r="AD259" s="21"/>
    </row>
    <row r="260" spans="1:30" ht="14.4">
      <c r="A260" s="8">
        <v>70202</v>
      </c>
      <c r="B260" s="9" t="s">
        <v>273</v>
      </c>
      <c r="C260" s="8">
        <v>86</v>
      </c>
      <c r="D260" s="8">
        <v>30.222222983837128</v>
      </c>
      <c r="E260" s="8">
        <v>1668</v>
      </c>
      <c r="F260" s="18">
        <f t="shared" si="14"/>
        <v>5.1558752997601917E-2</v>
      </c>
      <c r="G260" s="18">
        <f t="shared" si="15"/>
        <v>0.35142119748647821</v>
      </c>
      <c r="H260" s="18">
        <f t="shared" si="16"/>
        <v>1.8118838719326815E-2</v>
      </c>
      <c r="I260" s="8">
        <v>294</v>
      </c>
      <c r="J260" s="8">
        <v>102.888891518116</v>
      </c>
      <c r="K260" s="8">
        <v>8722</v>
      </c>
      <c r="L260" s="18">
        <f t="shared" si="17"/>
        <v>3.3707865168539325E-2</v>
      </c>
      <c r="M260" s="18">
        <f t="shared" si="18"/>
        <v>0.34996221604801359</v>
      </c>
      <c r="N260" s="18">
        <f t="shared" si="19"/>
        <v>1.1796479192629671E-2</v>
      </c>
      <c r="O260" s="18">
        <f t="shared" si="20"/>
        <v>0.65106154844497433</v>
      </c>
      <c r="U260" s="21"/>
      <c r="V260" s="21"/>
      <c r="W260" s="21"/>
      <c r="AA260" s="21"/>
      <c r="AB260" s="21"/>
      <c r="AC260" s="21"/>
      <c r="AD260" s="21"/>
    </row>
    <row r="261" spans="1:30" ht="14.4">
      <c r="A261" s="8">
        <v>70301</v>
      </c>
      <c r="B261" s="9" t="s">
        <v>274</v>
      </c>
      <c r="C261" s="8">
        <v>4462</v>
      </c>
      <c r="D261" s="8">
        <v>1646.6667084097862</v>
      </c>
      <c r="E261" s="8">
        <v>39329</v>
      </c>
      <c r="F261" s="18">
        <f t="shared" si="14"/>
        <v>0.11345317704492867</v>
      </c>
      <c r="G261" s="18">
        <f t="shared" si="15"/>
        <v>0.36904229233746888</v>
      </c>
      <c r="H261" s="18">
        <f t="shared" si="16"/>
        <v>4.1869020529629181E-2</v>
      </c>
      <c r="I261" s="8">
        <v>4180</v>
      </c>
      <c r="J261" s="8">
        <v>1601.2222615480423</v>
      </c>
      <c r="K261" s="8">
        <v>26113</v>
      </c>
      <c r="L261" s="18">
        <f t="shared" si="17"/>
        <v>0.16007352659594837</v>
      </c>
      <c r="M261" s="18">
        <f t="shared" si="18"/>
        <v>0.38306752668613453</v>
      </c>
      <c r="N261" s="18">
        <f t="shared" si="19"/>
        <v>6.1318969921037116E-2</v>
      </c>
      <c r="O261" s="18">
        <f t="shared" si="20"/>
        <v>1.4645427369776638</v>
      </c>
      <c r="U261" s="21"/>
      <c r="V261" s="21"/>
      <c r="W261" s="21"/>
      <c r="AA261" s="21"/>
      <c r="AB261" s="21"/>
      <c r="AC261" s="21"/>
      <c r="AD261" s="21"/>
    </row>
    <row r="262" spans="1:30" ht="14.4">
      <c r="A262" s="8">
        <v>70302</v>
      </c>
      <c r="B262" s="9" t="s">
        <v>275</v>
      </c>
      <c r="C262" s="8">
        <v>1484</v>
      </c>
      <c r="D262" s="8">
        <v>564.88890302181244</v>
      </c>
      <c r="E262" s="8">
        <v>9591</v>
      </c>
      <c r="F262" s="18">
        <f t="shared" si="14"/>
        <v>0.15472839120008341</v>
      </c>
      <c r="G262" s="18">
        <f t="shared" si="15"/>
        <v>0.38065289961038573</v>
      </c>
      <c r="H262" s="18">
        <f t="shared" si="16"/>
        <v>5.8897810762361842E-2</v>
      </c>
      <c r="I262" s="8">
        <v>940</v>
      </c>
      <c r="J262" s="8">
        <v>347.5555644929409</v>
      </c>
      <c r="K262" s="8">
        <v>5552</v>
      </c>
      <c r="L262" s="18">
        <f t="shared" si="17"/>
        <v>0.16930835734870317</v>
      </c>
      <c r="M262" s="18">
        <f t="shared" si="18"/>
        <v>0.36973996222653288</v>
      </c>
      <c r="N262" s="18">
        <f t="shared" si="19"/>
        <v>6.2600065650745843E-2</v>
      </c>
      <c r="O262" s="18">
        <f t="shared" si="20"/>
        <v>1.0628589558841446</v>
      </c>
      <c r="U262" s="21"/>
      <c r="V262" s="21"/>
      <c r="W262" s="21"/>
      <c r="AA262" s="21"/>
      <c r="AB262" s="21"/>
      <c r="AC262" s="21"/>
      <c r="AD262" s="21"/>
    </row>
    <row r="263" spans="1:30" ht="14.4">
      <c r="A263" s="8">
        <v>70303</v>
      </c>
      <c r="B263" s="9" t="s">
        <v>276</v>
      </c>
      <c r="C263" s="8">
        <v>659</v>
      </c>
      <c r="D263" s="8">
        <v>235.66667309403419</v>
      </c>
      <c r="E263" s="8">
        <v>4073</v>
      </c>
      <c r="F263" s="18">
        <f t="shared" si="14"/>
        <v>0.16179720108028481</v>
      </c>
      <c r="G263" s="18">
        <f t="shared" si="15"/>
        <v>0.3576125540121915</v>
      </c>
      <c r="H263" s="18">
        <f t="shared" si="16"/>
        <v>5.786071031034476E-2</v>
      </c>
      <c r="I263" s="8">
        <v>866</v>
      </c>
      <c r="J263" s="8">
        <v>313.44445270299911</v>
      </c>
      <c r="K263" s="8">
        <v>4561</v>
      </c>
      <c r="L263" s="18">
        <f t="shared" si="17"/>
        <v>0.18987064240298179</v>
      </c>
      <c r="M263" s="18">
        <f t="shared" si="18"/>
        <v>0.36194509549999898</v>
      </c>
      <c r="N263" s="18">
        <f t="shared" si="19"/>
        <v>6.8722747797193395E-2</v>
      </c>
      <c r="O263" s="18">
        <f t="shared" si="20"/>
        <v>1.1877273443168679</v>
      </c>
      <c r="U263" s="21"/>
      <c r="V263" s="21"/>
      <c r="W263" s="21"/>
      <c r="AA263" s="21"/>
      <c r="AB263" s="21"/>
      <c r="AC263" s="21"/>
      <c r="AD263" s="21"/>
    </row>
    <row r="264" spans="1:30" ht="14.4">
      <c r="A264" s="8">
        <v>70401</v>
      </c>
      <c r="B264" s="9" t="s">
        <v>277</v>
      </c>
      <c r="C264" s="8">
        <v>320</v>
      </c>
      <c r="D264" s="8">
        <v>120.77778068184853</v>
      </c>
      <c r="E264" s="8">
        <v>3510</v>
      </c>
      <c r="F264" s="18">
        <f t="shared" si="14"/>
        <v>9.1168091168091173E-2</v>
      </c>
      <c r="G264" s="18">
        <f t="shared" si="15"/>
        <v>0.37743056463077662</v>
      </c>
      <c r="H264" s="18">
        <f t="shared" si="16"/>
        <v>3.4409624125882769E-2</v>
      </c>
      <c r="I264" s="8">
        <v>418</v>
      </c>
      <c r="J264" s="8">
        <v>150.88889291882515</v>
      </c>
      <c r="K264" s="8">
        <v>9478</v>
      </c>
      <c r="L264" s="18">
        <f t="shared" si="17"/>
        <v>4.4102131251318843E-2</v>
      </c>
      <c r="M264" s="18">
        <f t="shared" si="18"/>
        <v>0.36097821272446207</v>
      </c>
      <c r="N264" s="18">
        <f t="shared" si="19"/>
        <v>1.591990851644072E-2</v>
      </c>
      <c r="O264" s="18">
        <f t="shared" si="20"/>
        <v>0.46265859976267032</v>
      </c>
      <c r="U264" s="21"/>
      <c r="V264" s="21"/>
      <c r="W264" s="21"/>
      <c r="AA264" s="21"/>
      <c r="AB264" s="21"/>
      <c r="AC264" s="21"/>
      <c r="AD264" s="21"/>
    </row>
    <row r="265" spans="1:30" ht="14.4">
      <c r="A265" s="8">
        <v>70402</v>
      </c>
      <c r="B265" s="9" t="s">
        <v>278</v>
      </c>
      <c r="C265" s="8">
        <v>485</v>
      </c>
      <c r="D265" s="8">
        <v>178.55555984377861</v>
      </c>
      <c r="E265" s="8">
        <v>4781</v>
      </c>
      <c r="F265" s="18">
        <f t="shared" si="14"/>
        <v>0.10144321271700481</v>
      </c>
      <c r="G265" s="18">
        <f t="shared" si="15"/>
        <v>0.36815579349232702</v>
      </c>
      <c r="H265" s="18">
        <f t="shared" si="16"/>
        <v>3.7346906472239823E-2</v>
      </c>
      <c r="I265" s="8">
        <v>888</v>
      </c>
      <c r="J265" s="8">
        <v>330.11111921072006</v>
      </c>
      <c r="K265" s="8">
        <v>13912</v>
      </c>
      <c r="L265" s="18">
        <f t="shared" si="17"/>
        <v>6.3829787234042548E-2</v>
      </c>
      <c r="M265" s="18">
        <f t="shared" si="18"/>
        <v>0.37174675586792799</v>
      </c>
      <c r="N265" s="18">
        <f t="shared" si="19"/>
        <v>2.3728516331995402E-2</v>
      </c>
      <c r="O265" s="18">
        <f t="shared" si="20"/>
        <v>0.63535426554359864</v>
      </c>
      <c r="U265" s="21"/>
      <c r="V265" s="21"/>
      <c r="W265" s="21"/>
      <c r="AA265" s="21"/>
      <c r="AB265" s="21"/>
      <c r="AC265" s="21"/>
      <c r="AD265" s="21"/>
    </row>
    <row r="266" spans="1:30" ht="14.4">
      <c r="A266" s="8">
        <v>70403</v>
      </c>
      <c r="B266" s="9" t="s">
        <v>279</v>
      </c>
      <c r="C266" s="8">
        <v>4639</v>
      </c>
      <c r="D266" s="8">
        <v>1732.8889307379723</v>
      </c>
      <c r="E266" s="8">
        <v>23803</v>
      </c>
      <c r="F266" s="18">
        <f t="shared" si="14"/>
        <v>0.19489140024366677</v>
      </c>
      <c r="G266" s="18">
        <f t="shared" si="15"/>
        <v>0.37354794799266483</v>
      </c>
      <c r="H266" s="18">
        <f t="shared" si="16"/>
        <v>7.2801282642438861E-2</v>
      </c>
      <c r="I266" s="8">
        <v>3174</v>
      </c>
      <c r="J266" s="8">
        <v>1174.7778056263924</v>
      </c>
      <c r="K266" s="8">
        <v>32845</v>
      </c>
      <c r="L266" s="18">
        <f t="shared" si="17"/>
        <v>9.6635713198355913E-2</v>
      </c>
      <c r="M266" s="18">
        <f t="shared" si="18"/>
        <v>0.37012533258550484</v>
      </c>
      <c r="N266" s="18">
        <f t="shared" si="19"/>
        <v>3.5767325487178939E-2</v>
      </c>
      <c r="O266" s="18">
        <f t="shared" si="20"/>
        <v>0.49130075994469763</v>
      </c>
      <c r="U266" s="21"/>
      <c r="V266" s="21"/>
      <c r="W266" s="21"/>
      <c r="AA266" s="21"/>
      <c r="AB266" s="21"/>
      <c r="AC266" s="21"/>
      <c r="AD266" s="21"/>
    </row>
    <row r="267" spans="1:30" ht="14.4">
      <c r="A267" s="8">
        <v>70404</v>
      </c>
      <c r="B267" s="9" t="s">
        <v>280</v>
      </c>
      <c r="C267" s="8">
        <v>252</v>
      </c>
      <c r="D267" s="8">
        <v>94.555557906627655</v>
      </c>
      <c r="E267" s="8">
        <v>2035</v>
      </c>
      <c r="F267" s="18">
        <f t="shared" si="14"/>
        <v>0.12383292383292384</v>
      </c>
      <c r="G267" s="18">
        <f t="shared" si="15"/>
        <v>0.3752204678834431</v>
      </c>
      <c r="H267" s="18">
        <f t="shared" si="16"/>
        <v>4.6464647619964453E-2</v>
      </c>
      <c r="I267" s="8">
        <v>521</v>
      </c>
      <c r="J267" s="8">
        <v>191.66667169332504</v>
      </c>
      <c r="K267" s="8">
        <v>8100</v>
      </c>
      <c r="L267" s="18">
        <f t="shared" si="17"/>
        <v>6.4320987654320982E-2</v>
      </c>
      <c r="M267" s="18">
        <f t="shared" si="18"/>
        <v>0.36788228731924194</v>
      </c>
      <c r="N267" s="18">
        <f t="shared" si="19"/>
        <v>2.3662552060904327E-2</v>
      </c>
      <c r="O267" s="18">
        <f t="shared" si="20"/>
        <v>0.5092592599526623</v>
      </c>
      <c r="U267" s="21"/>
      <c r="V267" s="21"/>
      <c r="W267" s="21"/>
      <c r="AA267" s="21"/>
      <c r="AB267" s="21"/>
      <c r="AC267" s="21"/>
      <c r="AD267" s="21"/>
    </row>
    <row r="268" spans="1:30" ht="14.4">
      <c r="A268" s="8">
        <v>70501</v>
      </c>
      <c r="B268" s="9" t="s">
        <v>281</v>
      </c>
      <c r="C268" s="8">
        <v>1540</v>
      </c>
      <c r="D268" s="8">
        <v>549.44445818662643</v>
      </c>
      <c r="E268" s="8">
        <v>11749</v>
      </c>
      <c r="F268" s="18">
        <f t="shared" si="14"/>
        <v>0.13107498510511534</v>
      </c>
      <c r="G268" s="18">
        <f t="shared" si="15"/>
        <v>0.35678211570560159</v>
      </c>
      <c r="H268" s="18">
        <f t="shared" si="16"/>
        <v>4.6765210501883266E-2</v>
      </c>
      <c r="I268" s="8">
        <v>5412</v>
      </c>
      <c r="J268" s="8">
        <v>1952.1111608743668</v>
      </c>
      <c r="K268" s="8">
        <v>28591</v>
      </c>
      <c r="L268" s="18">
        <f t="shared" si="17"/>
        <v>0.18929033611975796</v>
      </c>
      <c r="M268" s="18">
        <f t="shared" si="18"/>
        <v>0.36070051013938781</v>
      </c>
      <c r="N268" s="18">
        <f t="shared" si="19"/>
        <v>6.8277120802852878E-2</v>
      </c>
      <c r="O268" s="18">
        <f t="shared" si="20"/>
        <v>1.4599981496951311</v>
      </c>
      <c r="U268" s="21"/>
      <c r="V268" s="21"/>
      <c r="W268" s="21"/>
      <c r="AA268" s="21"/>
      <c r="AB268" s="21"/>
      <c r="AC268" s="21"/>
      <c r="AD268" s="21"/>
    </row>
    <row r="269" spans="1:30" ht="14.4">
      <c r="A269" s="8">
        <v>70502</v>
      </c>
      <c r="B269" s="9" t="s">
        <v>282</v>
      </c>
      <c r="C269" s="8">
        <v>1320</v>
      </c>
      <c r="D269" s="8">
        <v>480.00001260638237</v>
      </c>
      <c r="E269" s="8">
        <v>10836</v>
      </c>
      <c r="F269" s="18">
        <f t="shared" si="14"/>
        <v>0.12181616832779624</v>
      </c>
      <c r="G269" s="18">
        <f t="shared" si="15"/>
        <v>0.36363637318665332</v>
      </c>
      <c r="H269" s="18">
        <f t="shared" si="16"/>
        <v>4.4296789646214689E-2</v>
      </c>
      <c r="I269" s="8">
        <v>4488</v>
      </c>
      <c r="J269" s="8">
        <v>1574.888930439949</v>
      </c>
      <c r="K269" s="8">
        <v>41868</v>
      </c>
      <c r="L269" s="18">
        <f t="shared" si="17"/>
        <v>0.10719403840642018</v>
      </c>
      <c r="M269" s="18">
        <f t="shared" si="18"/>
        <v>0.35091108075756439</v>
      </c>
      <c r="N269" s="18">
        <f t="shared" si="19"/>
        <v>3.7615575867964768E-2</v>
      </c>
      <c r="O269" s="18">
        <f t="shared" si="20"/>
        <v>0.84917160291725891</v>
      </c>
      <c r="U269" s="21"/>
      <c r="V269" s="21"/>
      <c r="W269" s="21"/>
      <c r="AA269" s="21"/>
      <c r="AB269" s="21"/>
      <c r="AC269" s="21"/>
      <c r="AD269" s="21"/>
    </row>
    <row r="270" spans="1:30" ht="14.4">
      <c r="A270" s="8">
        <v>70503</v>
      </c>
      <c r="B270" s="9" t="s">
        <v>283</v>
      </c>
      <c r="C270" s="8">
        <v>359</v>
      </c>
      <c r="D270" s="8">
        <v>135.0000034570694</v>
      </c>
      <c r="E270" s="8">
        <v>5219</v>
      </c>
      <c r="F270" s="18">
        <f t="shared" si="14"/>
        <v>6.8787123970109221E-2</v>
      </c>
      <c r="G270" s="18">
        <f t="shared" si="15"/>
        <v>0.37604457787484513</v>
      </c>
      <c r="H270" s="18">
        <f t="shared" si="16"/>
        <v>2.5867024996564365E-2</v>
      </c>
      <c r="I270" s="8">
        <v>666</v>
      </c>
      <c r="J270" s="8">
        <v>241.88889503479004</v>
      </c>
      <c r="K270" s="8">
        <v>12460</v>
      </c>
      <c r="L270" s="18">
        <f t="shared" si="17"/>
        <v>5.3451043338683786E-2</v>
      </c>
      <c r="M270" s="18">
        <f t="shared" si="18"/>
        <v>0.36319653909127636</v>
      </c>
      <c r="N270" s="18">
        <f t="shared" si="19"/>
        <v>1.9413233951427772E-2</v>
      </c>
      <c r="O270" s="18">
        <f t="shared" si="20"/>
        <v>0.75050122517012374</v>
      </c>
      <c r="U270" s="21"/>
      <c r="V270" s="21"/>
      <c r="W270" s="21"/>
      <c r="AA270" s="21"/>
      <c r="AB270" s="21"/>
      <c r="AC270" s="21"/>
      <c r="AD270" s="21"/>
    </row>
    <row r="271" spans="1:30" ht="14.4">
      <c r="A271" s="8">
        <v>70601</v>
      </c>
      <c r="B271" s="9" t="s">
        <v>284</v>
      </c>
      <c r="C271" s="8">
        <v>80</v>
      </c>
      <c r="D271" s="8">
        <v>30.111112028360367</v>
      </c>
      <c r="E271" s="8">
        <v>1427</v>
      </c>
      <c r="F271" s="18">
        <f t="shared" si="14"/>
        <v>5.6061667834618079E-2</v>
      </c>
      <c r="G271" s="18">
        <f t="shared" si="15"/>
        <v>0.37638890035450456</v>
      </c>
      <c r="H271" s="18">
        <f t="shared" si="16"/>
        <v>2.1100989508311397E-2</v>
      </c>
      <c r="I271" s="8">
        <v>639</v>
      </c>
      <c r="J271" s="8">
        <v>234.22222855687141</v>
      </c>
      <c r="K271" s="8">
        <v>19045</v>
      </c>
      <c r="L271" s="18">
        <f t="shared" si="17"/>
        <v>3.3552113415594643E-2</v>
      </c>
      <c r="M271" s="18">
        <f t="shared" si="18"/>
        <v>0.36654495861795211</v>
      </c>
      <c r="N271" s="18">
        <f t="shared" si="19"/>
        <v>1.2298358023463974E-2</v>
      </c>
      <c r="O271" s="18">
        <f t="shared" si="20"/>
        <v>0.58283323721002822</v>
      </c>
      <c r="U271" s="21"/>
      <c r="V271" s="21"/>
      <c r="W271" s="21"/>
      <c r="AA271" s="21"/>
      <c r="AB271" s="21"/>
      <c r="AC271" s="21"/>
      <c r="AD271" s="21"/>
    </row>
    <row r="272" spans="1:30" ht="14.4">
      <c r="A272" s="8">
        <v>70602</v>
      </c>
      <c r="B272" s="9" t="s">
        <v>285</v>
      </c>
      <c r="C272" s="8">
        <v>656</v>
      </c>
      <c r="D272" s="8">
        <v>236.00000587105751</v>
      </c>
      <c r="E272" s="8">
        <v>5583</v>
      </c>
      <c r="F272" s="18">
        <f t="shared" si="14"/>
        <v>0.11749955221207237</v>
      </c>
      <c r="G272" s="18">
        <f t="shared" si="15"/>
        <v>0.3597561065107584</v>
      </c>
      <c r="H272" s="18">
        <f t="shared" si="16"/>
        <v>4.2271181420572727E-2</v>
      </c>
      <c r="I272" s="8">
        <v>754</v>
      </c>
      <c r="J272" s="8">
        <v>272.22222942113876</v>
      </c>
      <c r="K272" s="8">
        <v>12131</v>
      </c>
      <c r="L272" s="18">
        <f t="shared" si="17"/>
        <v>6.2154809990932321E-2</v>
      </c>
      <c r="M272" s="18">
        <f t="shared" si="18"/>
        <v>0.36103743955058193</v>
      </c>
      <c r="N272" s="18">
        <f t="shared" si="19"/>
        <v>2.2440213454879135E-2</v>
      </c>
      <c r="O272" s="18">
        <f t="shared" si="20"/>
        <v>0.53086317204178801</v>
      </c>
      <c r="U272" s="21"/>
      <c r="V272" s="21"/>
      <c r="W272" s="21"/>
      <c r="AA272" s="21"/>
      <c r="AB272" s="21"/>
      <c r="AC272" s="21"/>
      <c r="AD272" s="21"/>
    </row>
    <row r="273" spans="1:30" ht="14.4">
      <c r="A273" s="8">
        <v>70603</v>
      </c>
      <c r="B273" s="9" t="s">
        <v>286</v>
      </c>
      <c r="C273" s="8">
        <v>65</v>
      </c>
      <c r="D273" s="8">
        <v>22.555556148290634</v>
      </c>
      <c r="E273" s="8">
        <v>750</v>
      </c>
      <c r="F273" s="18">
        <f t="shared" si="14"/>
        <v>8.666666666666667E-2</v>
      </c>
      <c r="G273" s="18">
        <f t="shared" si="15"/>
        <v>0.34700855612754822</v>
      </c>
      <c r="H273" s="18">
        <f t="shared" si="16"/>
        <v>3.0074074864387512E-2</v>
      </c>
      <c r="I273" s="8">
        <v>277</v>
      </c>
      <c r="J273" s="8">
        <v>97.444447159767151</v>
      </c>
      <c r="K273" s="8">
        <v>5211</v>
      </c>
      <c r="L273" s="18">
        <f t="shared" si="17"/>
        <v>5.315678372673191E-2</v>
      </c>
      <c r="M273" s="18">
        <f t="shared" si="18"/>
        <v>0.35178500779699334</v>
      </c>
      <c r="N273" s="18">
        <f t="shared" si="19"/>
        <v>1.8699759577771473E-2</v>
      </c>
      <c r="O273" s="18">
        <f t="shared" si="20"/>
        <v>0.62179001888151053</v>
      </c>
      <c r="U273" s="21"/>
      <c r="V273" s="21"/>
      <c r="W273" s="21"/>
      <c r="AA273" s="21"/>
      <c r="AB273" s="21"/>
      <c r="AC273" s="21"/>
      <c r="AD273" s="21"/>
    </row>
    <row r="274" spans="1:30" ht="14.4">
      <c r="A274" s="8">
        <v>70701</v>
      </c>
      <c r="B274" s="9" t="s">
        <v>287</v>
      </c>
      <c r="C274" s="8">
        <v>282</v>
      </c>
      <c r="D274" s="8">
        <v>110.44444763660431</v>
      </c>
      <c r="E274" s="8">
        <v>3823</v>
      </c>
      <c r="F274" s="18">
        <f t="shared" si="14"/>
        <v>7.3764059639026935E-2</v>
      </c>
      <c r="G274" s="18">
        <f t="shared" si="15"/>
        <v>0.39164697743476706</v>
      </c>
      <c r="H274" s="18">
        <f t="shared" si="16"/>
        <v>2.8889471000942794E-2</v>
      </c>
      <c r="I274" s="8">
        <v>70</v>
      </c>
      <c r="J274" s="8">
        <v>25.333333909511566</v>
      </c>
      <c r="K274" s="8">
        <v>1933</v>
      </c>
      <c r="L274" s="18">
        <f t="shared" si="17"/>
        <v>3.6213140196585621E-2</v>
      </c>
      <c r="M274" s="18">
        <f t="shared" si="18"/>
        <v>0.36190477013587952</v>
      </c>
      <c r="N274" s="18">
        <f t="shared" si="19"/>
        <v>1.3105708178743698E-2</v>
      </c>
      <c r="O274" s="18">
        <f t="shared" si="20"/>
        <v>0.4536499882021377</v>
      </c>
      <c r="U274" s="21"/>
      <c r="V274" s="21"/>
      <c r="W274" s="21"/>
      <c r="AA274" s="21"/>
      <c r="AB274" s="21"/>
      <c r="AC274" s="21"/>
      <c r="AD274" s="21"/>
    </row>
    <row r="275" spans="1:30" ht="14.4">
      <c r="A275" s="8">
        <v>70702</v>
      </c>
      <c r="B275" s="9" t="s">
        <v>288</v>
      </c>
      <c r="C275" s="8">
        <v>2457</v>
      </c>
      <c r="D275" s="8">
        <v>899.4444677233696</v>
      </c>
      <c r="E275" s="8">
        <v>23984</v>
      </c>
      <c r="F275" s="18">
        <f t="shared" si="14"/>
        <v>0.10244329553035357</v>
      </c>
      <c r="G275" s="18">
        <f t="shared" si="15"/>
        <v>0.36607426443767588</v>
      </c>
      <c r="H275" s="18">
        <f t="shared" si="16"/>
        <v>3.7501854057845632E-2</v>
      </c>
      <c r="I275" s="8">
        <v>3260</v>
      </c>
      <c r="J275" s="8">
        <v>1202.6666958928108</v>
      </c>
      <c r="K275" s="8">
        <v>13910</v>
      </c>
      <c r="L275" s="18">
        <f t="shared" si="17"/>
        <v>0.23436376707404744</v>
      </c>
      <c r="M275" s="18">
        <f t="shared" si="18"/>
        <v>0.36891616438429781</v>
      </c>
      <c r="N275" s="18">
        <f t="shared" si="19"/>
        <v>8.646058201961257E-2</v>
      </c>
      <c r="O275" s="18">
        <f t="shared" si="20"/>
        <v>2.3055015329708599</v>
      </c>
      <c r="U275" s="21"/>
      <c r="V275" s="21"/>
      <c r="W275" s="21"/>
      <c r="AA275" s="21"/>
      <c r="AB275" s="21"/>
      <c r="AC275" s="21"/>
      <c r="AD275" s="21"/>
    </row>
    <row r="276" spans="1:30" ht="14.4">
      <c r="A276" s="8">
        <v>70703</v>
      </c>
      <c r="B276" s="9" t="s">
        <v>289</v>
      </c>
      <c r="C276" s="8">
        <v>800</v>
      </c>
      <c r="D276" s="8">
        <v>290.55556333065033</v>
      </c>
      <c r="E276" s="8">
        <v>8788</v>
      </c>
      <c r="F276" s="18">
        <f t="shared" si="14"/>
        <v>9.1033227127901684E-2</v>
      </c>
      <c r="G276" s="18">
        <f t="shared" si="15"/>
        <v>0.36319445416331292</v>
      </c>
      <c r="H276" s="18">
        <f t="shared" si="16"/>
        <v>3.3062763237443143E-2</v>
      </c>
      <c r="I276" s="8">
        <v>2929</v>
      </c>
      <c r="J276" s="8">
        <v>1060.555582255125</v>
      </c>
      <c r="K276" s="8">
        <v>22869</v>
      </c>
      <c r="L276" s="18">
        <f t="shared" si="17"/>
        <v>0.12807730989549171</v>
      </c>
      <c r="M276" s="18">
        <f t="shared" si="18"/>
        <v>0.36208794204681632</v>
      </c>
      <c r="N276" s="18">
        <f t="shared" si="19"/>
        <v>4.6375249562950936E-2</v>
      </c>
      <c r="O276" s="18">
        <f t="shared" si="20"/>
        <v>1.4026428834729572</v>
      </c>
      <c r="U276" s="21"/>
      <c r="V276" s="21"/>
      <c r="W276" s="21"/>
      <c r="AA276" s="21"/>
      <c r="AB276" s="21"/>
      <c r="AC276" s="21"/>
      <c r="AD276" s="21"/>
    </row>
    <row r="277" spans="1:30" ht="14.4">
      <c r="A277" s="8">
        <v>70704</v>
      </c>
      <c r="B277" s="9" t="s">
        <v>290</v>
      </c>
      <c r="C277" s="8">
        <v>190</v>
      </c>
      <c r="D277" s="8">
        <v>71.333335280418396</v>
      </c>
      <c r="E277" s="8">
        <v>2279</v>
      </c>
      <c r="F277" s="18">
        <f t="shared" si="14"/>
        <v>8.3369899078543225E-2</v>
      </c>
      <c r="G277" s="18">
        <f t="shared" si="15"/>
        <v>0.37543860673904417</v>
      </c>
      <c r="H277" s="18">
        <f t="shared" si="16"/>
        <v>3.1300278754022991E-2</v>
      </c>
      <c r="I277" s="8">
        <v>119</v>
      </c>
      <c r="J277" s="8">
        <v>42.555556654930115</v>
      </c>
      <c r="K277" s="8">
        <v>2740</v>
      </c>
      <c r="L277" s="18">
        <f t="shared" si="17"/>
        <v>4.3430656934306568E-2</v>
      </c>
      <c r="M277" s="18">
        <f t="shared" si="18"/>
        <v>0.35760971978932871</v>
      </c>
      <c r="N277" s="18">
        <f t="shared" si="19"/>
        <v>1.5531225056543837E-2</v>
      </c>
      <c r="O277" s="18">
        <f t="shared" si="20"/>
        <v>0.49620085426707661</v>
      </c>
      <c r="U277" s="21"/>
      <c r="V277" s="21"/>
      <c r="W277" s="21"/>
      <c r="AA277" s="21"/>
      <c r="AB277" s="21"/>
      <c r="AC277" s="21"/>
      <c r="AD277" s="21"/>
    </row>
    <row r="278" spans="1:30" ht="14.4">
      <c r="A278" s="8">
        <v>70705</v>
      </c>
      <c r="B278" s="9" t="s">
        <v>291</v>
      </c>
      <c r="C278" s="8">
        <v>1378</v>
      </c>
      <c r="D278" s="8">
        <v>525.66667920351028</v>
      </c>
      <c r="E278" s="8">
        <v>12367</v>
      </c>
      <c r="F278" s="18">
        <f t="shared" si="14"/>
        <v>0.11142556804398804</v>
      </c>
      <c r="G278" s="18">
        <f t="shared" si="15"/>
        <v>0.3814707396251889</v>
      </c>
      <c r="H278" s="18">
        <f t="shared" si="16"/>
        <v>4.2505593854896932E-2</v>
      </c>
      <c r="I278" s="8">
        <v>88</v>
      </c>
      <c r="J278" s="8">
        <v>34.000000774860382</v>
      </c>
      <c r="K278" s="8">
        <v>1884</v>
      </c>
      <c r="L278" s="18">
        <f t="shared" si="17"/>
        <v>4.6709129511677279E-2</v>
      </c>
      <c r="M278" s="18">
        <f t="shared" si="18"/>
        <v>0.38636364516886795</v>
      </c>
      <c r="N278" s="18">
        <f t="shared" si="19"/>
        <v>1.8046709540796377E-2</v>
      </c>
      <c r="O278" s="18">
        <f t="shared" si="20"/>
        <v>0.4245725774918746</v>
      </c>
      <c r="U278" s="21"/>
      <c r="V278" s="21"/>
      <c r="W278" s="21"/>
      <c r="AA278" s="21"/>
      <c r="AB278" s="21"/>
      <c r="AC278" s="21"/>
      <c r="AD278" s="21"/>
    </row>
    <row r="279" spans="1:30" ht="14.4">
      <c r="A279" s="8">
        <v>70706</v>
      </c>
      <c r="B279" s="9" t="s">
        <v>292</v>
      </c>
      <c r="C279" s="8">
        <v>711</v>
      </c>
      <c r="D279" s="8">
        <v>260.88889592885971</v>
      </c>
      <c r="E279" s="8">
        <v>9306</v>
      </c>
      <c r="F279" s="18">
        <f t="shared" si="14"/>
        <v>7.6402321083172145E-2</v>
      </c>
      <c r="G279" s="18">
        <f t="shared" si="15"/>
        <v>0.36693234307856498</v>
      </c>
      <c r="H279" s="18">
        <f t="shared" si="16"/>
        <v>2.8034482691689198E-2</v>
      </c>
      <c r="I279" s="8">
        <v>381</v>
      </c>
      <c r="J279" s="8">
        <v>137.66667032241821</v>
      </c>
      <c r="K279" s="8">
        <v>22212</v>
      </c>
      <c r="L279" s="18">
        <f t="shared" si="17"/>
        <v>1.7152890329551595E-2</v>
      </c>
      <c r="M279" s="18">
        <f t="shared" si="18"/>
        <v>0.36132984336592705</v>
      </c>
      <c r="N279" s="18">
        <f t="shared" si="19"/>
        <v>6.1978511760498022E-3</v>
      </c>
      <c r="O279" s="18">
        <f t="shared" si="20"/>
        <v>0.22107956277313975</v>
      </c>
      <c r="U279" s="21"/>
      <c r="V279" s="21"/>
      <c r="W279" s="21"/>
      <c r="AA279" s="21"/>
      <c r="AB279" s="21"/>
      <c r="AC279" s="21"/>
      <c r="AD279" s="21"/>
    </row>
    <row r="280" spans="1:30" ht="14.4">
      <c r="A280" s="8">
        <v>70707</v>
      </c>
      <c r="B280" s="9" t="s">
        <v>293</v>
      </c>
      <c r="C280" s="8">
        <v>112</v>
      </c>
      <c r="D280" s="8">
        <v>40.222223341464996</v>
      </c>
      <c r="E280" s="8">
        <v>2118</v>
      </c>
      <c r="F280" s="18">
        <f t="shared" si="14"/>
        <v>5.288007554296506E-2</v>
      </c>
      <c r="G280" s="18">
        <f t="shared" si="15"/>
        <v>0.3591269941202232</v>
      </c>
      <c r="H280" s="18">
        <f t="shared" si="16"/>
        <v>1.8990662578595371E-2</v>
      </c>
      <c r="I280" s="8">
        <v>426</v>
      </c>
      <c r="J280" s="8">
        <v>158.44444832205772</v>
      </c>
      <c r="K280" s="8">
        <v>3156</v>
      </c>
      <c r="L280" s="18">
        <f t="shared" si="17"/>
        <v>0.13498098859315588</v>
      </c>
      <c r="M280" s="18">
        <f t="shared" si="18"/>
        <v>0.371935324699666</v>
      </c>
      <c r="N280" s="18">
        <f t="shared" si="19"/>
        <v>5.0204197820677345E-2</v>
      </c>
      <c r="O280" s="18">
        <f t="shared" si="20"/>
        <v>2.6436253928950939</v>
      </c>
      <c r="U280" s="21"/>
      <c r="V280" s="21"/>
      <c r="W280" s="21"/>
      <c r="AA280" s="21"/>
      <c r="AB280" s="21"/>
      <c r="AC280" s="21"/>
      <c r="AD280" s="21"/>
    </row>
    <row r="281" spans="1:30" ht="14.4">
      <c r="A281" s="8">
        <v>70801</v>
      </c>
      <c r="B281" s="9" t="s">
        <v>294</v>
      </c>
      <c r="C281" s="8">
        <v>41</v>
      </c>
      <c r="D281" s="8">
        <v>15.55555585026741</v>
      </c>
      <c r="E281" s="8">
        <v>997</v>
      </c>
      <c r="F281" s="18">
        <f t="shared" si="14"/>
        <v>4.1123370110330994E-2</v>
      </c>
      <c r="G281" s="18">
        <f t="shared" si="15"/>
        <v>0.3794038012260344</v>
      </c>
      <c r="H281" s="18">
        <f t="shared" si="16"/>
        <v>1.5602362939084664E-2</v>
      </c>
      <c r="I281" s="8">
        <v>657</v>
      </c>
      <c r="J281" s="8">
        <v>240.88889497518539</v>
      </c>
      <c r="K281" s="8">
        <v>15845</v>
      </c>
      <c r="L281" s="18">
        <f t="shared" si="17"/>
        <v>4.1464184285263488E-2</v>
      </c>
      <c r="M281" s="18">
        <f t="shared" si="18"/>
        <v>0.36664976404137806</v>
      </c>
      <c r="N281" s="18">
        <f t="shared" si="19"/>
        <v>1.5202833384360074E-2</v>
      </c>
      <c r="O281" s="18">
        <f t="shared" si="20"/>
        <v>0.97439300980983146</v>
      </c>
      <c r="U281" s="21"/>
      <c r="V281" s="21"/>
      <c r="W281" s="21"/>
      <c r="AA281" s="21"/>
      <c r="AB281" s="21"/>
      <c r="AC281" s="21"/>
      <c r="AD281" s="21"/>
    </row>
    <row r="282" spans="1:30" ht="14.4">
      <c r="A282" s="8">
        <v>70802</v>
      </c>
      <c r="B282" s="9" t="s">
        <v>295</v>
      </c>
      <c r="C282" s="8">
        <v>6</v>
      </c>
      <c r="D282" s="8">
        <v>2.444444477558136</v>
      </c>
      <c r="E282" s="8">
        <v>115</v>
      </c>
      <c r="F282" s="18">
        <f t="shared" si="14"/>
        <v>5.2173913043478258E-2</v>
      </c>
      <c r="G282" s="18">
        <f t="shared" si="15"/>
        <v>0.40740741292635602</v>
      </c>
      <c r="H282" s="18">
        <f t="shared" si="16"/>
        <v>2.125603893528814E-2</v>
      </c>
      <c r="I282" s="8">
        <v>32</v>
      </c>
      <c r="J282" s="8">
        <v>10.888889193534851</v>
      </c>
      <c r="K282" s="8">
        <v>2241</v>
      </c>
      <c r="L282" s="18">
        <f t="shared" si="17"/>
        <v>1.4279339580544399E-2</v>
      </c>
      <c r="M282" s="18">
        <f t="shared" si="18"/>
        <v>0.3402777872979641</v>
      </c>
      <c r="N282" s="18">
        <f t="shared" si="19"/>
        <v>4.8589420765438873E-3</v>
      </c>
      <c r="O282" s="18">
        <f t="shared" si="20"/>
        <v>0.2285911355044298</v>
      </c>
      <c r="U282" s="21"/>
      <c r="V282" s="21"/>
      <c r="W282" s="21"/>
      <c r="AA282" s="21"/>
      <c r="AB282" s="21"/>
      <c r="AC282" s="21"/>
      <c r="AD282" s="21"/>
    </row>
    <row r="283" spans="1:30" ht="14.4">
      <c r="A283" s="8">
        <v>70803</v>
      </c>
      <c r="B283" s="9" t="s">
        <v>296</v>
      </c>
      <c r="C283" s="8">
        <v>16</v>
      </c>
      <c r="D283" s="8">
        <v>5.8888890147209167</v>
      </c>
      <c r="E283" s="8">
        <v>160</v>
      </c>
      <c r="F283" s="18">
        <f t="shared" si="14"/>
        <v>0.1</v>
      </c>
      <c r="G283" s="18">
        <f t="shared" si="15"/>
        <v>0.3680555634200573</v>
      </c>
      <c r="H283" s="18">
        <f t="shared" si="16"/>
        <v>3.6805556342005732E-2</v>
      </c>
      <c r="I283" s="8">
        <v>198</v>
      </c>
      <c r="J283" s="8">
        <v>70.333335161209106</v>
      </c>
      <c r="K283" s="8">
        <v>2597</v>
      </c>
      <c r="L283" s="18">
        <f t="shared" si="17"/>
        <v>7.6241817481709662E-2</v>
      </c>
      <c r="M283" s="18">
        <f t="shared" si="18"/>
        <v>0.35521886445055106</v>
      </c>
      <c r="N283" s="18">
        <f t="shared" si="19"/>
        <v>2.7082531829499081E-2</v>
      </c>
      <c r="O283" s="18">
        <f t="shared" si="20"/>
        <v>0.73582726417288569</v>
      </c>
      <c r="U283" s="21"/>
      <c r="V283" s="21"/>
      <c r="W283" s="21"/>
      <c r="AA283" s="21"/>
      <c r="AB283" s="21"/>
      <c r="AC283" s="21"/>
      <c r="AD283" s="21"/>
    </row>
    <row r="284" spans="1:30" ht="14.4">
      <c r="A284" s="8">
        <v>70804</v>
      </c>
      <c r="B284" s="9" t="s">
        <v>297</v>
      </c>
      <c r="C284" s="8">
        <v>11</v>
      </c>
      <c r="D284" s="8">
        <v>5.4444446265697479</v>
      </c>
      <c r="E284" s="8">
        <v>81</v>
      </c>
      <c r="F284" s="18">
        <f t="shared" si="14"/>
        <v>0.13580246913580246</v>
      </c>
      <c r="G284" s="18">
        <f t="shared" si="15"/>
        <v>0.4949495115063407</v>
      </c>
      <c r="H284" s="18">
        <f t="shared" si="16"/>
        <v>6.7215365760120341E-2</v>
      </c>
      <c r="I284" s="8">
        <v>288</v>
      </c>
      <c r="J284" s="8">
        <v>106.11111354827881</v>
      </c>
      <c r="K284" s="8">
        <v>1684</v>
      </c>
      <c r="L284" s="18">
        <f t="shared" si="17"/>
        <v>0.17102137767220901</v>
      </c>
      <c r="M284" s="18">
        <f t="shared" si="18"/>
        <v>0.3684413664870792</v>
      </c>
      <c r="N284" s="18">
        <f t="shared" si="19"/>
        <v>6.3011350088051546E-2</v>
      </c>
      <c r="O284" s="18">
        <f t="shared" si="20"/>
        <v>0.93745454444044574</v>
      </c>
      <c r="U284" s="21"/>
      <c r="V284" s="21"/>
      <c r="W284" s="21"/>
      <c r="AA284" s="21"/>
      <c r="AB284" s="21"/>
      <c r="AC284" s="21"/>
      <c r="AD284" s="21"/>
    </row>
    <row r="285" spans="1:30" ht="14.4">
      <c r="A285" s="8">
        <v>70805</v>
      </c>
      <c r="B285" s="9" t="s">
        <v>298</v>
      </c>
      <c r="C285" s="8">
        <v>1</v>
      </c>
      <c r="D285" s="8">
        <v>0.3333333432674408</v>
      </c>
      <c r="E285" s="8">
        <v>76</v>
      </c>
      <c r="F285" s="18">
        <f t="shared" si="14"/>
        <v>1.3157894736842105E-2</v>
      </c>
      <c r="G285" s="18">
        <f t="shared" si="15"/>
        <v>0.3333333432674408</v>
      </c>
      <c r="H285" s="18">
        <f t="shared" si="16"/>
        <v>4.3859650429926419E-3</v>
      </c>
      <c r="I285" s="8">
        <v>156</v>
      </c>
      <c r="J285" s="8">
        <v>54.888890296220779</v>
      </c>
      <c r="K285" s="8">
        <v>1933</v>
      </c>
      <c r="L285" s="18">
        <f t="shared" si="17"/>
        <v>8.0703569580962239E-2</v>
      </c>
      <c r="M285" s="18">
        <f t="shared" si="18"/>
        <v>0.35185186087321013</v>
      </c>
      <c r="N285" s="18">
        <f t="shared" si="19"/>
        <v>2.8395701136172159E-2</v>
      </c>
      <c r="O285" s="18">
        <f t="shared" si="20"/>
        <v>6.4742196661004705</v>
      </c>
      <c r="U285" s="21"/>
      <c r="V285" s="21"/>
      <c r="W285" s="21"/>
      <c r="AA285" s="21"/>
      <c r="AB285" s="21"/>
      <c r="AC285" s="21"/>
      <c r="AD285" s="21"/>
    </row>
    <row r="286" spans="1:30" ht="14.4">
      <c r="A286" s="8">
        <v>70901</v>
      </c>
      <c r="B286" s="9" t="s">
        <v>299</v>
      </c>
      <c r="C286" s="8">
        <v>285</v>
      </c>
      <c r="D286" s="8">
        <v>112.22222474217415</v>
      </c>
      <c r="E286" s="8">
        <v>2402</v>
      </c>
      <c r="F286" s="18">
        <f t="shared" si="14"/>
        <v>0.1186511240632806</v>
      </c>
      <c r="G286" s="18">
        <f t="shared" si="15"/>
        <v>0.39376219207780405</v>
      </c>
      <c r="H286" s="18">
        <f t="shared" si="16"/>
        <v>4.6720326703652851E-2</v>
      </c>
      <c r="I286" s="8">
        <v>571</v>
      </c>
      <c r="J286" s="8">
        <v>204.77778288722038</v>
      </c>
      <c r="K286" s="8">
        <v>9092</v>
      </c>
      <c r="L286" s="18">
        <f t="shared" si="17"/>
        <v>6.280246370435548E-2</v>
      </c>
      <c r="M286" s="18">
        <f t="shared" si="18"/>
        <v>0.35863009262210227</v>
      </c>
      <c r="N286" s="18">
        <f t="shared" si="19"/>
        <v>2.2522853375189222E-2</v>
      </c>
      <c r="O286" s="18">
        <f t="shared" si="20"/>
        <v>0.48207825082328165</v>
      </c>
      <c r="U286" s="21"/>
      <c r="V286" s="21"/>
      <c r="W286" s="21"/>
      <c r="AA286" s="21"/>
      <c r="AB286" s="21"/>
      <c r="AC286" s="21"/>
      <c r="AD286" s="21"/>
    </row>
    <row r="287" spans="1:30" ht="14.4">
      <c r="A287" s="8">
        <v>70902</v>
      </c>
      <c r="B287" s="9" t="s">
        <v>300</v>
      </c>
      <c r="C287" s="8">
        <v>307</v>
      </c>
      <c r="D287" s="8">
        <v>115.77778092026711</v>
      </c>
      <c r="E287" s="8">
        <v>2966</v>
      </c>
      <c r="F287" s="18">
        <f t="shared" si="14"/>
        <v>0.10350640593391773</v>
      </c>
      <c r="G287" s="18">
        <f t="shared" si="15"/>
        <v>0.37712632221585374</v>
      </c>
      <c r="H287" s="18">
        <f t="shared" si="16"/>
        <v>3.9034990195639614E-2</v>
      </c>
      <c r="I287" s="8">
        <v>388</v>
      </c>
      <c r="J287" s="8">
        <v>140.88889265060425</v>
      </c>
      <c r="K287" s="8">
        <v>6640</v>
      </c>
      <c r="L287" s="18">
        <f t="shared" si="17"/>
        <v>5.8433734939759036E-2</v>
      </c>
      <c r="M287" s="18">
        <f t="shared" si="18"/>
        <v>0.3631157027077429</v>
      </c>
      <c r="N287" s="18">
        <f t="shared" si="19"/>
        <v>2.1218206724488591E-2</v>
      </c>
      <c r="O287" s="18">
        <f t="shared" si="20"/>
        <v>0.54356890108451372</v>
      </c>
      <c r="U287" s="21"/>
      <c r="V287" s="21"/>
      <c r="W287" s="21"/>
      <c r="AA287" s="21"/>
      <c r="AB287" s="21"/>
      <c r="AC287" s="21"/>
      <c r="AD287" s="21"/>
    </row>
    <row r="288" spans="1:30" ht="14.4">
      <c r="A288" s="8">
        <v>70903</v>
      </c>
      <c r="B288" s="9" t="s">
        <v>301</v>
      </c>
      <c r="C288" s="8">
        <v>660</v>
      </c>
      <c r="D288" s="8">
        <v>251.22222849726677</v>
      </c>
      <c r="E288" s="8">
        <v>3792</v>
      </c>
      <c r="F288" s="18">
        <f t="shared" si="14"/>
        <v>0.17405063291139242</v>
      </c>
      <c r="G288" s="18">
        <f t="shared" si="15"/>
        <v>0.3806397401473739</v>
      </c>
      <c r="H288" s="18">
        <f t="shared" si="16"/>
        <v>6.625058768387837E-2</v>
      </c>
      <c r="I288" s="8">
        <v>725</v>
      </c>
      <c r="J288" s="8">
        <v>272.44445109367371</v>
      </c>
      <c r="K288" s="8">
        <v>8871</v>
      </c>
      <c r="L288" s="18">
        <f t="shared" si="17"/>
        <v>8.1726975538270769E-2</v>
      </c>
      <c r="M288" s="18">
        <f t="shared" si="18"/>
        <v>0.3757854497843775</v>
      </c>
      <c r="N288" s="18">
        <f t="shared" si="19"/>
        <v>3.0711808262165897E-2</v>
      </c>
      <c r="O288" s="18">
        <f t="shared" si="20"/>
        <v>0.46357035214103326</v>
      </c>
      <c r="U288" s="21"/>
      <c r="V288" s="21"/>
      <c r="W288" s="21"/>
      <c r="AA288" s="21"/>
      <c r="AB288" s="21"/>
      <c r="AC288" s="21"/>
      <c r="AD288" s="21"/>
    </row>
    <row r="289" spans="1:30" ht="14.4">
      <c r="A289" s="8">
        <v>70904</v>
      </c>
      <c r="B289" s="9" t="s">
        <v>302</v>
      </c>
      <c r="C289" s="8">
        <v>16</v>
      </c>
      <c r="D289" s="8">
        <v>6.2222223281860352</v>
      </c>
      <c r="E289" s="8">
        <v>206</v>
      </c>
      <c r="F289" s="18">
        <f t="shared" si="14"/>
        <v>7.7669902912621352E-2</v>
      </c>
      <c r="G289" s="18">
        <f t="shared" si="15"/>
        <v>0.3888888955116272</v>
      </c>
      <c r="H289" s="18">
        <f t="shared" si="16"/>
        <v>3.0204962758184635E-2</v>
      </c>
      <c r="I289" s="8">
        <v>213</v>
      </c>
      <c r="J289" s="8">
        <v>78.222224354743958</v>
      </c>
      <c r="K289" s="8">
        <v>2854</v>
      </c>
      <c r="L289" s="18">
        <f t="shared" si="17"/>
        <v>7.4632095304835319E-2</v>
      </c>
      <c r="M289" s="18">
        <f t="shared" si="18"/>
        <v>0.36724048992837538</v>
      </c>
      <c r="N289" s="18">
        <f t="shared" si="19"/>
        <v>2.7407927244128927E-2</v>
      </c>
      <c r="O289" s="18">
        <f t="shared" si="20"/>
        <v>0.90739814723665579</v>
      </c>
      <c r="U289" s="21"/>
      <c r="V289" s="21"/>
      <c r="W289" s="21"/>
      <c r="AA289" s="21"/>
      <c r="AB289" s="21"/>
      <c r="AC289" s="21"/>
      <c r="AD289" s="21"/>
    </row>
    <row r="290" spans="1:30" ht="14.4">
      <c r="A290" s="8">
        <v>71001</v>
      </c>
      <c r="B290" s="9" t="s">
        <v>303</v>
      </c>
      <c r="C290" s="8">
        <v>1359</v>
      </c>
      <c r="D290" s="8">
        <v>483.2222346663475</v>
      </c>
      <c r="E290" s="8">
        <v>22162</v>
      </c>
      <c r="F290" s="18">
        <f t="shared" si="14"/>
        <v>6.1321180398880966E-2</v>
      </c>
      <c r="G290" s="18">
        <f t="shared" si="15"/>
        <v>0.35557191660511223</v>
      </c>
      <c r="H290" s="18">
        <f t="shared" si="16"/>
        <v>2.1804089642917947E-2</v>
      </c>
      <c r="I290" s="8">
        <v>3893</v>
      </c>
      <c r="J290" s="8">
        <v>1387.6667024493217</v>
      </c>
      <c r="K290" s="8">
        <v>100463</v>
      </c>
      <c r="L290" s="18">
        <f t="shared" si="17"/>
        <v>3.8750584792411134E-2</v>
      </c>
      <c r="M290" s="18">
        <f t="shared" si="18"/>
        <v>0.35645176019761671</v>
      </c>
      <c r="N290" s="18">
        <f t="shared" si="19"/>
        <v>1.3812714157941946E-2</v>
      </c>
      <c r="O290" s="18">
        <f t="shared" si="20"/>
        <v>0.6334918991872871</v>
      </c>
      <c r="U290" s="21"/>
      <c r="V290" s="21"/>
      <c r="W290" s="21"/>
      <c r="AA290" s="21"/>
      <c r="AB290" s="21"/>
      <c r="AC290" s="21"/>
      <c r="AD290" s="21"/>
    </row>
    <row r="291" spans="1:30" ht="14.4">
      <c r="A291" s="8">
        <v>71002</v>
      </c>
      <c r="B291" s="9" t="s">
        <v>304</v>
      </c>
      <c r="C291" s="8">
        <v>423</v>
      </c>
      <c r="D291" s="8">
        <v>149.66667059063911</v>
      </c>
      <c r="E291" s="8">
        <v>4606</v>
      </c>
      <c r="F291" s="18">
        <f t="shared" si="14"/>
        <v>9.1836734693877556E-2</v>
      </c>
      <c r="G291" s="18">
        <f t="shared" si="15"/>
        <v>0.35382191628992699</v>
      </c>
      <c r="H291" s="18">
        <f t="shared" si="16"/>
        <v>3.2493849455197378E-2</v>
      </c>
      <c r="I291" s="8">
        <v>824</v>
      </c>
      <c r="J291" s="8">
        <v>297.5555627644062</v>
      </c>
      <c r="K291" s="8">
        <v>11870</v>
      </c>
      <c r="L291" s="18">
        <f t="shared" si="17"/>
        <v>6.9418702611625943E-2</v>
      </c>
      <c r="M291" s="18">
        <f t="shared" si="18"/>
        <v>0.36111111985971628</v>
      </c>
      <c r="N291" s="18">
        <f t="shared" si="19"/>
        <v>2.5067865439292854E-2</v>
      </c>
      <c r="O291" s="18">
        <f t="shared" si="20"/>
        <v>0.77146493442879105</v>
      </c>
      <c r="U291" s="21"/>
      <c r="V291" s="21"/>
      <c r="W291" s="21"/>
      <c r="AA291" s="21"/>
      <c r="AB291" s="21"/>
      <c r="AC291" s="21"/>
      <c r="AD291" s="21"/>
    </row>
    <row r="292" spans="1:30" ht="14.4">
      <c r="A292" s="8">
        <v>71003</v>
      </c>
      <c r="B292" s="9" t="s">
        <v>305</v>
      </c>
      <c r="C292" s="8">
        <v>323</v>
      </c>
      <c r="D292" s="8">
        <v>116.11111426353455</v>
      </c>
      <c r="E292" s="8">
        <v>4347</v>
      </c>
      <c r="F292" s="18">
        <f t="shared" si="14"/>
        <v>7.4304117782378651E-2</v>
      </c>
      <c r="G292" s="18">
        <f t="shared" si="15"/>
        <v>0.35947713394283143</v>
      </c>
      <c r="H292" s="18">
        <f t="shared" si="16"/>
        <v>2.6710631300560051E-2</v>
      </c>
      <c r="I292" s="8">
        <v>938</v>
      </c>
      <c r="J292" s="8">
        <v>337.77778697013855</v>
      </c>
      <c r="K292" s="8">
        <v>18589</v>
      </c>
      <c r="L292" s="18">
        <f t="shared" si="17"/>
        <v>5.0459949432460058E-2</v>
      </c>
      <c r="M292" s="18">
        <f t="shared" si="18"/>
        <v>0.36010425050121381</v>
      </c>
      <c r="N292" s="18">
        <f t="shared" si="19"/>
        <v>1.8170842270705177E-2</v>
      </c>
      <c r="O292" s="18">
        <f t="shared" si="20"/>
        <v>0.6802850170869672</v>
      </c>
      <c r="U292" s="21"/>
      <c r="V292" s="21"/>
      <c r="W292" s="21"/>
      <c r="AA292" s="21"/>
      <c r="AB292" s="21"/>
      <c r="AC292" s="21"/>
      <c r="AD292" s="21"/>
    </row>
    <row r="293" spans="1:30" ht="14.4">
      <c r="A293" s="8">
        <v>71004</v>
      </c>
      <c r="B293" s="9" t="s">
        <v>306</v>
      </c>
      <c r="C293" s="8">
        <v>605</v>
      </c>
      <c r="D293" s="8">
        <v>226.88889494538307</v>
      </c>
      <c r="E293" s="8">
        <v>5578</v>
      </c>
      <c r="F293" s="18">
        <f t="shared" si="14"/>
        <v>0.10846181427034779</v>
      </c>
      <c r="G293" s="18">
        <f t="shared" si="15"/>
        <v>0.37502296685187286</v>
      </c>
      <c r="H293" s="18">
        <f t="shared" si="16"/>
        <v>4.0675671377802633E-2</v>
      </c>
      <c r="I293" s="8">
        <v>406</v>
      </c>
      <c r="J293" s="8">
        <v>149.22222632169724</v>
      </c>
      <c r="K293" s="8">
        <v>7112</v>
      </c>
      <c r="L293" s="18">
        <f t="shared" si="17"/>
        <v>5.7086614173228349E-2</v>
      </c>
      <c r="M293" s="18">
        <f t="shared" si="18"/>
        <v>0.36754242936378628</v>
      </c>
      <c r="N293" s="18">
        <f t="shared" si="19"/>
        <v>2.0981752857381502E-2</v>
      </c>
      <c r="O293" s="18">
        <f t="shared" si="20"/>
        <v>0.51583052342269586</v>
      </c>
      <c r="U293" s="21"/>
      <c r="V293" s="21"/>
      <c r="W293" s="21"/>
      <c r="AA293" s="21"/>
      <c r="AB293" s="21"/>
      <c r="AC293" s="21"/>
      <c r="AD293" s="21"/>
    </row>
    <row r="294" spans="1:30" ht="14.4">
      <c r="A294" s="8">
        <v>71005</v>
      </c>
      <c r="B294" s="9" t="s">
        <v>307</v>
      </c>
      <c r="C294" s="8">
        <v>285</v>
      </c>
      <c r="D294" s="8">
        <v>101.22222471237183</v>
      </c>
      <c r="E294" s="8">
        <v>4337</v>
      </c>
      <c r="F294" s="18">
        <f t="shared" si="14"/>
        <v>6.5713626931058339E-2</v>
      </c>
      <c r="G294" s="18">
        <f t="shared" si="15"/>
        <v>0.35516570074516429</v>
      </c>
      <c r="H294" s="18">
        <f t="shared" si="16"/>
        <v>2.3339226357475634E-2</v>
      </c>
      <c r="I294" s="8">
        <v>527</v>
      </c>
      <c r="J294" s="8">
        <v>189.88889354467392</v>
      </c>
      <c r="K294" s="8">
        <v>9010</v>
      </c>
      <c r="L294" s="18">
        <f t="shared" si="17"/>
        <v>5.849056603773585E-2</v>
      </c>
      <c r="M294" s="18">
        <f t="shared" si="18"/>
        <v>0.36032048110943815</v>
      </c>
      <c r="N294" s="18">
        <f t="shared" si="19"/>
        <v>2.1075348895080344E-2</v>
      </c>
      <c r="O294" s="18">
        <f t="shared" si="20"/>
        <v>0.90300117802875834</v>
      </c>
      <c r="U294" s="21"/>
      <c r="V294" s="21"/>
      <c r="W294" s="21"/>
      <c r="AA294" s="21"/>
      <c r="AB294" s="21"/>
      <c r="AC294" s="21"/>
      <c r="AD294" s="21"/>
    </row>
    <row r="295" spans="1:30" ht="14.4">
      <c r="A295" s="8">
        <v>71101</v>
      </c>
      <c r="B295" s="9" t="s">
        <v>308</v>
      </c>
      <c r="C295" s="8">
        <v>3054</v>
      </c>
      <c r="D295" s="8">
        <v>1133.5555838346481</v>
      </c>
      <c r="E295" s="8">
        <v>18251</v>
      </c>
      <c r="F295" s="18">
        <f t="shared" si="14"/>
        <v>0.16733329680565448</v>
      </c>
      <c r="G295" s="18">
        <f t="shared" si="15"/>
        <v>0.37117078711023188</v>
      </c>
      <c r="H295" s="18">
        <f t="shared" si="16"/>
        <v>6.2109231485104825E-2</v>
      </c>
      <c r="I295" s="8">
        <v>1644</v>
      </c>
      <c r="J295" s="8">
        <v>612.77779334783554</v>
      </c>
      <c r="K295" s="8">
        <v>11270</v>
      </c>
      <c r="L295" s="18">
        <f t="shared" si="17"/>
        <v>0.1458740017746229</v>
      </c>
      <c r="M295" s="18">
        <f t="shared" si="18"/>
        <v>0.37273588403153013</v>
      </c>
      <c r="N295" s="18">
        <f t="shared" si="19"/>
        <v>5.4372475008681059E-2</v>
      </c>
      <c r="O295" s="18">
        <f t="shared" si="20"/>
        <v>0.87543306701067114</v>
      </c>
      <c r="U295" s="21"/>
      <c r="V295" s="21"/>
      <c r="W295" s="21"/>
      <c r="AA295" s="21"/>
      <c r="AB295" s="21"/>
      <c r="AC295" s="21"/>
      <c r="AD295" s="21"/>
    </row>
    <row r="296" spans="1:30" ht="14.4">
      <c r="A296" s="8">
        <v>71102</v>
      </c>
      <c r="B296" s="9" t="s">
        <v>309</v>
      </c>
      <c r="C296" s="8">
        <v>694</v>
      </c>
      <c r="D296" s="8">
        <v>257.77778401970863</v>
      </c>
      <c r="E296" s="8">
        <v>7180</v>
      </c>
      <c r="F296" s="18">
        <f t="shared" si="14"/>
        <v>9.6657381615598892E-2</v>
      </c>
      <c r="G296" s="18">
        <f t="shared" si="15"/>
        <v>0.37143772913502687</v>
      </c>
      <c r="H296" s="18">
        <f t="shared" si="16"/>
        <v>3.590219833143575E-2</v>
      </c>
      <c r="I296" s="8">
        <v>781</v>
      </c>
      <c r="J296" s="8">
        <v>298.0000077188015</v>
      </c>
      <c r="K296" s="8">
        <v>7100</v>
      </c>
      <c r="L296" s="18">
        <f t="shared" si="17"/>
        <v>0.11</v>
      </c>
      <c r="M296" s="18">
        <f t="shared" si="18"/>
        <v>0.38156210975518756</v>
      </c>
      <c r="N296" s="18">
        <f t="shared" si="19"/>
        <v>4.1971832073070633E-2</v>
      </c>
      <c r="O296" s="18">
        <f t="shared" si="20"/>
        <v>1.1690602253823645</v>
      </c>
      <c r="U296" s="21"/>
      <c r="V296" s="21"/>
      <c r="W296" s="21"/>
      <c r="AA296" s="21"/>
      <c r="AB296" s="21"/>
      <c r="AC296" s="21"/>
      <c r="AD296" s="21"/>
    </row>
    <row r="297" spans="1:30" ht="14.4">
      <c r="A297" s="8">
        <v>71103</v>
      </c>
      <c r="B297" s="9" t="s">
        <v>310</v>
      </c>
      <c r="C297" s="8">
        <v>219</v>
      </c>
      <c r="D297" s="8">
        <v>82.666669011116028</v>
      </c>
      <c r="E297" s="8">
        <v>2055</v>
      </c>
      <c r="F297" s="18">
        <f t="shared" si="14"/>
        <v>0.10656934306569343</v>
      </c>
      <c r="G297" s="18">
        <f t="shared" si="15"/>
        <v>0.37747337447998186</v>
      </c>
      <c r="H297" s="18">
        <f t="shared" si="16"/>
        <v>4.0227089543122159E-2</v>
      </c>
      <c r="I297" s="8">
        <v>636</v>
      </c>
      <c r="J297" s="8">
        <v>226.1111171245575</v>
      </c>
      <c r="K297" s="8">
        <v>6340</v>
      </c>
      <c r="L297" s="18">
        <f t="shared" si="17"/>
        <v>0.10031545741324921</v>
      </c>
      <c r="M297" s="18">
        <f t="shared" si="18"/>
        <v>0.35552062440968157</v>
      </c>
      <c r="N297" s="18">
        <f t="shared" si="19"/>
        <v>3.5664214057501177E-2</v>
      </c>
      <c r="O297" s="18">
        <f t="shared" si="20"/>
        <v>0.8865720702779224</v>
      </c>
      <c r="U297" s="21"/>
      <c r="V297" s="21"/>
      <c r="W297" s="21"/>
      <c r="AA297" s="21"/>
      <c r="AB297" s="21"/>
      <c r="AC297" s="21"/>
      <c r="AD297" s="21"/>
    </row>
    <row r="298" spans="1:30" ht="14.4">
      <c r="A298" s="8">
        <v>71104</v>
      </c>
      <c r="B298" s="9" t="s">
        <v>311</v>
      </c>
      <c r="C298" s="8">
        <v>1247</v>
      </c>
      <c r="D298" s="8">
        <v>448.66667813062668</v>
      </c>
      <c r="E298" s="8">
        <v>21048</v>
      </c>
      <c r="F298" s="18">
        <f t="shared" si="14"/>
        <v>5.9245534017483843E-2</v>
      </c>
      <c r="G298" s="18">
        <f t="shared" si="15"/>
        <v>0.35979685495639668</v>
      </c>
      <c r="H298" s="18">
        <f t="shared" si="16"/>
        <v>2.13163568097029E-2</v>
      </c>
      <c r="I298" s="8">
        <v>1266</v>
      </c>
      <c r="J298" s="8">
        <v>452.00001159310341</v>
      </c>
      <c r="K298" s="8">
        <v>21744</v>
      </c>
      <c r="L298" s="18">
        <f t="shared" si="17"/>
        <v>5.8222958057395142E-2</v>
      </c>
      <c r="M298" s="18">
        <f t="shared" si="18"/>
        <v>0.35703002495505798</v>
      </c>
      <c r="N298" s="18">
        <f t="shared" si="19"/>
        <v>2.078734416818908E-2</v>
      </c>
      <c r="O298" s="18">
        <f t="shared" si="20"/>
        <v>0.97518278351988263</v>
      </c>
      <c r="U298" s="21"/>
      <c r="V298" s="21"/>
      <c r="W298" s="21"/>
      <c r="AA298" s="21"/>
      <c r="AB298" s="21"/>
      <c r="AC298" s="21"/>
      <c r="AD298" s="21"/>
    </row>
    <row r="299" spans="1:30" ht="14.4">
      <c r="A299" s="8">
        <v>71105</v>
      </c>
      <c r="B299" s="9" t="s">
        <v>312</v>
      </c>
      <c r="C299" s="8">
        <v>386</v>
      </c>
      <c r="D299" s="8">
        <v>136.55555900931358</v>
      </c>
      <c r="E299" s="8">
        <v>5887</v>
      </c>
      <c r="F299" s="18">
        <f t="shared" si="14"/>
        <v>6.556820112111432E-2</v>
      </c>
      <c r="G299" s="18">
        <f t="shared" si="15"/>
        <v>0.35377087826247045</v>
      </c>
      <c r="H299" s="18">
        <f t="shared" si="16"/>
        <v>2.319612009670691E-2</v>
      </c>
      <c r="I299" s="8">
        <v>57</v>
      </c>
      <c r="J299" s="8">
        <v>19.000000566244125</v>
      </c>
      <c r="K299" s="8">
        <v>400</v>
      </c>
      <c r="L299" s="18">
        <f t="shared" si="17"/>
        <v>0.14249999999999999</v>
      </c>
      <c r="M299" s="18">
        <f t="shared" si="18"/>
        <v>0.3333333432674408</v>
      </c>
      <c r="N299" s="18">
        <f t="shared" si="19"/>
        <v>4.750000141561031E-2</v>
      </c>
      <c r="O299" s="18">
        <f t="shared" si="20"/>
        <v>2.0477563151759055</v>
      </c>
      <c r="U299" s="21"/>
      <c r="V299" s="21"/>
      <c r="W299" s="21"/>
      <c r="AA299" s="21"/>
      <c r="AB299" s="21"/>
      <c r="AC299" s="21"/>
      <c r="AD299" s="21"/>
    </row>
    <row r="300" spans="1:30" ht="14.4">
      <c r="A300" s="8">
        <v>71106</v>
      </c>
      <c r="B300" s="9" t="s">
        <v>313</v>
      </c>
      <c r="C300" s="8">
        <v>285</v>
      </c>
      <c r="D300" s="8">
        <v>102.11111378669739</v>
      </c>
      <c r="E300" s="8">
        <v>7360</v>
      </c>
      <c r="F300" s="18">
        <f t="shared" si="14"/>
        <v>3.872282608695652E-2</v>
      </c>
      <c r="G300" s="18">
        <f t="shared" si="15"/>
        <v>0.35828460977788557</v>
      </c>
      <c r="H300" s="18">
        <f t="shared" si="16"/>
        <v>1.3873792634062144E-2</v>
      </c>
      <c r="I300" s="8">
        <v>1038</v>
      </c>
      <c r="J300" s="8">
        <v>377.44445425271988</v>
      </c>
      <c r="K300" s="8">
        <v>16722</v>
      </c>
      <c r="L300" s="18">
        <f t="shared" si="17"/>
        <v>6.2073914603516328E-2</v>
      </c>
      <c r="M300" s="18">
        <f t="shared" si="18"/>
        <v>0.36362664186196519</v>
      </c>
      <c r="N300" s="18">
        <f t="shared" si="19"/>
        <v>2.2571729114503045E-2</v>
      </c>
      <c r="O300" s="18">
        <f t="shared" si="20"/>
        <v>1.6269328589419898</v>
      </c>
      <c r="U300" s="21"/>
      <c r="V300" s="21"/>
      <c r="W300" s="21"/>
      <c r="AA300" s="21"/>
      <c r="AB300" s="21"/>
      <c r="AC300" s="21"/>
      <c r="AD300" s="21"/>
    </row>
    <row r="301" spans="1:30" ht="14.4">
      <c r="A301" s="8">
        <v>71201</v>
      </c>
      <c r="B301" s="9" t="s">
        <v>314</v>
      </c>
      <c r="C301" s="8">
        <v>880</v>
      </c>
      <c r="D301" s="8">
        <v>323.55556344985962</v>
      </c>
      <c r="E301" s="8">
        <v>6872</v>
      </c>
      <c r="F301" s="18">
        <f t="shared" si="14"/>
        <v>0.1280558789289872</v>
      </c>
      <c r="G301" s="18">
        <f t="shared" si="15"/>
        <v>0.36767677664756776</v>
      </c>
      <c r="H301" s="18">
        <f t="shared" si="16"/>
        <v>4.7083172795381205E-2</v>
      </c>
      <c r="I301" s="8">
        <v>1123</v>
      </c>
      <c r="J301" s="8">
        <v>419.0000114440918</v>
      </c>
      <c r="K301" s="8">
        <v>8010</v>
      </c>
      <c r="L301" s="18">
        <f t="shared" si="17"/>
        <v>0.14019975031210985</v>
      </c>
      <c r="M301" s="18">
        <f t="shared" si="18"/>
        <v>0.37310775729660889</v>
      </c>
      <c r="N301" s="18">
        <f t="shared" si="19"/>
        <v>5.2309614412495847E-2</v>
      </c>
      <c r="O301" s="18">
        <f t="shared" si="20"/>
        <v>1.1110044482309687</v>
      </c>
      <c r="U301" s="21"/>
      <c r="V301" s="21"/>
      <c r="W301" s="21"/>
      <c r="AA301" s="21"/>
      <c r="AB301" s="21"/>
      <c r="AC301" s="21"/>
      <c r="AD301" s="21"/>
    </row>
    <row r="302" spans="1:30" ht="14.4">
      <c r="A302" s="8">
        <v>71301</v>
      </c>
      <c r="B302" s="9" t="s">
        <v>315</v>
      </c>
      <c r="C302" s="8">
        <v>792</v>
      </c>
      <c r="D302" s="8">
        <v>295.55556318163872</v>
      </c>
      <c r="E302" s="8">
        <v>5656</v>
      </c>
      <c r="F302" s="18">
        <f t="shared" si="14"/>
        <v>0.14002828854314003</v>
      </c>
      <c r="G302" s="18">
        <f t="shared" si="15"/>
        <v>0.37317621613843271</v>
      </c>
      <c r="H302" s="18">
        <f t="shared" si="16"/>
        <v>5.2255226870869649E-2</v>
      </c>
      <c r="I302" s="8">
        <v>900</v>
      </c>
      <c r="J302" s="8">
        <v>328.44445276260376</v>
      </c>
      <c r="K302" s="8">
        <v>11363</v>
      </c>
      <c r="L302" s="18">
        <f t="shared" si="17"/>
        <v>7.920443544838511E-2</v>
      </c>
      <c r="M302" s="18">
        <f t="shared" si="18"/>
        <v>0.36493828084733754</v>
      </c>
      <c r="N302" s="18">
        <f t="shared" si="19"/>
        <v>2.8904730508017583E-2</v>
      </c>
      <c r="O302" s="18">
        <f t="shared" si="20"/>
        <v>0.55314524955456457</v>
      </c>
      <c r="U302" s="21"/>
      <c r="V302" s="21"/>
      <c r="W302" s="21"/>
      <c r="AA302" s="21"/>
      <c r="AB302" s="21"/>
      <c r="AC302" s="21"/>
      <c r="AD302" s="21"/>
    </row>
    <row r="303" spans="1:30" ht="14.4">
      <c r="A303" s="8">
        <v>71302</v>
      </c>
      <c r="B303" s="9" t="s">
        <v>316</v>
      </c>
      <c r="C303" s="8">
        <v>147</v>
      </c>
      <c r="D303" s="8">
        <v>53.888890147209167</v>
      </c>
      <c r="E303" s="8">
        <v>1664</v>
      </c>
      <c r="F303" s="18">
        <f t="shared" si="14"/>
        <v>8.8341346153846159E-2</v>
      </c>
      <c r="G303" s="18">
        <f t="shared" si="15"/>
        <v>0.36659108943679708</v>
      </c>
      <c r="H303" s="18">
        <f t="shared" si="16"/>
        <v>3.238515032885167E-2</v>
      </c>
      <c r="I303" s="8">
        <v>267</v>
      </c>
      <c r="J303" s="8">
        <v>97.666668921709061</v>
      </c>
      <c r="K303" s="8">
        <v>4294</v>
      </c>
      <c r="L303" s="18">
        <f t="shared" si="17"/>
        <v>6.2179785747554728E-2</v>
      </c>
      <c r="M303" s="18">
        <f t="shared" si="18"/>
        <v>0.36579276749703771</v>
      </c>
      <c r="N303" s="18">
        <f t="shared" si="19"/>
        <v>2.2744915910970904E-2</v>
      </c>
      <c r="O303" s="18">
        <f t="shared" si="20"/>
        <v>0.70232546954422015</v>
      </c>
      <c r="U303" s="21"/>
      <c r="V303" s="21"/>
      <c r="W303" s="21"/>
      <c r="AA303" s="21"/>
      <c r="AB303" s="21"/>
      <c r="AC303" s="21"/>
      <c r="AD303" s="21"/>
    </row>
    <row r="304" spans="1:30" ht="14.4">
      <c r="A304" s="8">
        <v>71401</v>
      </c>
      <c r="B304" s="9" t="s">
        <v>317</v>
      </c>
      <c r="C304" s="8">
        <v>299</v>
      </c>
      <c r="D304" s="8">
        <v>109.22222492098808</v>
      </c>
      <c r="E304" s="8">
        <v>3201</v>
      </c>
      <c r="F304" s="18">
        <f t="shared" si="14"/>
        <v>9.3408309903155268E-2</v>
      </c>
      <c r="G304" s="18">
        <f t="shared" si="15"/>
        <v>0.36529172214377287</v>
      </c>
      <c r="H304" s="18">
        <f t="shared" si="16"/>
        <v>3.4121282387062822E-2</v>
      </c>
      <c r="I304" s="8">
        <v>470</v>
      </c>
      <c r="J304" s="8">
        <v>165.33333748579025</v>
      </c>
      <c r="K304" s="8">
        <v>13043</v>
      </c>
      <c r="L304" s="18">
        <f t="shared" si="17"/>
        <v>3.6034654604002146E-2</v>
      </c>
      <c r="M304" s="18">
        <f t="shared" si="18"/>
        <v>0.3517730584804048</v>
      </c>
      <c r="N304" s="18">
        <f t="shared" si="19"/>
        <v>1.2676020661334836E-2</v>
      </c>
      <c r="O304" s="18">
        <f t="shared" si="20"/>
        <v>0.37149895239989528</v>
      </c>
      <c r="U304" s="21"/>
      <c r="V304" s="21"/>
      <c r="W304" s="21"/>
      <c r="AA304" s="21"/>
      <c r="AB304" s="21"/>
      <c r="AC304" s="21"/>
      <c r="AD304" s="21"/>
    </row>
    <row r="305" spans="1:30" ht="14.4">
      <c r="A305" s="8">
        <v>71402</v>
      </c>
      <c r="B305" s="9" t="s">
        <v>318</v>
      </c>
      <c r="C305" s="8">
        <v>171</v>
      </c>
      <c r="D305" s="8">
        <v>62.4444460272789</v>
      </c>
      <c r="E305" s="8">
        <v>3068</v>
      </c>
      <c r="F305" s="18">
        <f t="shared" si="14"/>
        <v>5.573663624511082E-2</v>
      </c>
      <c r="G305" s="18">
        <f t="shared" si="15"/>
        <v>0.36517219898993508</v>
      </c>
      <c r="H305" s="18">
        <f t="shared" si="16"/>
        <v>2.0353470021929235E-2</v>
      </c>
      <c r="I305" s="8">
        <v>768</v>
      </c>
      <c r="J305" s="8">
        <v>272.66667354106903</v>
      </c>
      <c r="K305" s="8">
        <v>14110</v>
      </c>
      <c r="L305" s="18">
        <f t="shared" si="17"/>
        <v>5.4429482636428064E-2</v>
      </c>
      <c r="M305" s="18">
        <f t="shared" si="18"/>
        <v>0.35503473117326695</v>
      </c>
      <c r="N305" s="18">
        <f t="shared" si="19"/>
        <v>1.9324356735724239E-2</v>
      </c>
      <c r="O305" s="18">
        <f t="shared" si="20"/>
        <v>0.94943794423770456</v>
      </c>
      <c r="U305" s="21"/>
      <c r="V305" s="21"/>
      <c r="W305" s="21"/>
      <c r="AA305" s="21"/>
      <c r="AB305" s="21"/>
      <c r="AC305" s="21"/>
      <c r="AD305" s="21"/>
    </row>
    <row r="306" spans="1:30" ht="14.4">
      <c r="A306" s="8">
        <v>71403</v>
      </c>
      <c r="B306" s="9" t="s">
        <v>319</v>
      </c>
      <c r="C306" s="8">
        <v>532</v>
      </c>
      <c r="D306" s="8">
        <v>206.77778336405754</v>
      </c>
      <c r="E306" s="8">
        <v>3010</v>
      </c>
      <c r="F306" s="18">
        <f t="shared" si="14"/>
        <v>0.17674418604651163</v>
      </c>
      <c r="G306" s="18">
        <f t="shared" si="15"/>
        <v>0.38868004391740141</v>
      </c>
      <c r="H306" s="18">
        <f t="shared" si="16"/>
        <v>6.86969379947035E-2</v>
      </c>
      <c r="I306" s="8">
        <v>381</v>
      </c>
      <c r="J306" s="8">
        <v>134.3333368897438</v>
      </c>
      <c r="K306" s="8">
        <v>5502</v>
      </c>
      <c r="L306" s="18">
        <f t="shared" si="17"/>
        <v>6.9247546346782984E-2</v>
      </c>
      <c r="M306" s="18">
        <f t="shared" si="18"/>
        <v>0.35258093671848767</v>
      </c>
      <c r="N306" s="18">
        <f t="shared" si="19"/>
        <v>2.4415364756405634E-2</v>
      </c>
      <c r="O306" s="18">
        <f t="shared" si="20"/>
        <v>0.35540688521354541</v>
      </c>
      <c r="U306" s="21"/>
      <c r="V306" s="21"/>
      <c r="W306" s="21"/>
      <c r="AA306" s="21"/>
      <c r="AB306" s="21"/>
      <c r="AC306" s="21"/>
      <c r="AD306" s="21"/>
    </row>
    <row r="307" spans="1:30" ht="14.4">
      <c r="A307" s="8">
        <v>71501</v>
      </c>
      <c r="B307" s="9" t="s">
        <v>320</v>
      </c>
      <c r="C307" s="8">
        <v>3898</v>
      </c>
      <c r="D307" s="8">
        <v>1492.1111482083797</v>
      </c>
      <c r="E307" s="8">
        <v>17805</v>
      </c>
      <c r="F307" s="18">
        <f t="shared" si="14"/>
        <v>0.21892726762145465</v>
      </c>
      <c r="G307" s="18">
        <f t="shared" si="15"/>
        <v>0.38278890410681882</v>
      </c>
      <c r="H307" s="18">
        <f t="shared" si="16"/>
        <v>8.3802928851916869E-2</v>
      </c>
      <c r="I307" s="8">
        <v>2866</v>
      </c>
      <c r="J307" s="8">
        <v>1086.0000278353691</v>
      </c>
      <c r="K307" s="8">
        <v>15909</v>
      </c>
      <c r="L307" s="18">
        <f t="shared" si="17"/>
        <v>0.18014960085486204</v>
      </c>
      <c r="M307" s="18">
        <f t="shared" si="18"/>
        <v>0.37892534118470661</v>
      </c>
      <c r="N307" s="18">
        <f t="shared" si="19"/>
        <v>6.826324896821731E-2</v>
      </c>
      <c r="O307" s="18">
        <f t="shared" si="20"/>
        <v>0.81456877347140466</v>
      </c>
      <c r="U307" s="21"/>
      <c r="V307" s="21"/>
      <c r="W307" s="21"/>
      <c r="AA307" s="21"/>
      <c r="AB307" s="21"/>
      <c r="AC307" s="21"/>
      <c r="AD307" s="21"/>
    </row>
    <row r="308" spans="1:30" ht="14.4">
      <c r="A308" s="8">
        <v>71502</v>
      </c>
      <c r="B308" s="9" t="s">
        <v>321</v>
      </c>
      <c r="C308" s="8">
        <v>820</v>
      </c>
      <c r="D308" s="8">
        <v>305.111118465662</v>
      </c>
      <c r="E308" s="8">
        <v>5904</v>
      </c>
      <c r="F308" s="18">
        <f t="shared" si="14"/>
        <v>0.1388888888888889</v>
      </c>
      <c r="G308" s="18">
        <f t="shared" si="15"/>
        <v>0.37208672983617319</v>
      </c>
      <c r="H308" s="18">
        <f t="shared" si="16"/>
        <v>5.1678712477246279E-2</v>
      </c>
      <c r="I308" s="8">
        <v>67</v>
      </c>
      <c r="J308" s="8">
        <v>23.777778387069702</v>
      </c>
      <c r="K308" s="8">
        <v>483</v>
      </c>
      <c r="L308" s="18">
        <f t="shared" si="17"/>
        <v>0.13871635610766045</v>
      </c>
      <c r="M308" s="18">
        <f t="shared" si="18"/>
        <v>0.35489221473238364</v>
      </c>
      <c r="N308" s="18">
        <f t="shared" si="19"/>
        <v>4.9229354838653629E-2</v>
      </c>
      <c r="O308" s="18">
        <f t="shared" si="20"/>
        <v>0.9526041280600579</v>
      </c>
      <c r="U308" s="21"/>
      <c r="V308" s="21"/>
      <c r="W308" s="21"/>
      <c r="AA308" s="21"/>
      <c r="AB308" s="21"/>
      <c r="AC308" s="21"/>
      <c r="AD308" s="21"/>
    </row>
    <row r="309" spans="1:30" ht="14.4">
      <c r="A309" s="8">
        <v>71503</v>
      </c>
      <c r="B309" s="9" t="s">
        <v>266</v>
      </c>
      <c r="C309" s="8">
        <v>1138</v>
      </c>
      <c r="D309" s="8">
        <v>428.00001028180122</v>
      </c>
      <c r="E309" s="8">
        <v>7673</v>
      </c>
      <c r="F309" s="18">
        <f t="shared" si="14"/>
        <v>0.14831226378209306</v>
      </c>
      <c r="G309" s="18">
        <f t="shared" si="15"/>
        <v>0.37609842731265486</v>
      </c>
      <c r="H309" s="18">
        <f t="shared" si="16"/>
        <v>5.5780009159624819E-2</v>
      </c>
      <c r="I309" s="8">
        <v>1275</v>
      </c>
      <c r="J309" s="8">
        <v>466.77778962254524</v>
      </c>
      <c r="K309" s="8">
        <v>9197</v>
      </c>
      <c r="L309" s="18">
        <f t="shared" si="17"/>
        <v>0.13863216266173753</v>
      </c>
      <c r="M309" s="18">
        <f t="shared" si="18"/>
        <v>0.36610022715493745</v>
      </c>
      <c r="N309" s="18">
        <f t="shared" si="19"/>
        <v>5.075326624144235E-2</v>
      </c>
      <c r="O309" s="18">
        <f t="shared" si="20"/>
        <v>0.90988271615736893</v>
      </c>
      <c r="U309" s="21"/>
      <c r="V309" s="21"/>
      <c r="W309" s="21"/>
      <c r="AA309" s="21"/>
      <c r="AB309" s="21"/>
      <c r="AC309" s="21"/>
      <c r="AD309" s="21"/>
    </row>
    <row r="310" spans="1:30" ht="14.4">
      <c r="A310" s="8">
        <v>80101</v>
      </c>
      <c r="B310" s="9" t="s">
        <v>322</v>
      </c>
      <c r="C310" s="8">
        <v>2723</v>
      </c>
      <c r="D310" s="8">
        <v>987.44447019696236</v>
      </c>
      <c r="E310" s="8">
        <v>25708</v>
      </c>
      <c r="F310" s="18">
        <f t="shared" si="14"/>
        <v>0.10592033608215341</v>
      </c>
      <c r="G310" s="18">
        <f t="shared" si="15"/>
        <v>0.36263109445353003</v>
      </c>
      <c r="H310" s="18">
        <f t="shared" si="16"/>
        <v>3.8410007398357017E-2</v>
      </c>
      <c r="I310" s="8">
        <v>9200</v>
      </c>
      <c r="J310" s="8">
        <v>3318.3334177434444</v>
      </c>
      <c r="K310" s="8">
        <v>98087</v>
      </c>
      <c r="L310" s="18">
        <f t="shared" si="17"/>
        <v>9.3794284665653954E-2</v>
      </c>
      <c r="M310" s="18">
        <f t="shared" si="18"/>
        <v>0.36068841497211351</v>
      </c>
      <c r="N310" s="18">
        <f t="shared" si="19"/>
        <v>3.383051186949794E-2</v>
      </c>
      <c r="O310" s="18">
        <f t="shared" si="20"/>
        <v>0.88077337550695278</v>
      </c>
      <c r="U310" s="21"/>
      <c r="V310" s="21"/>
      <c r="W310" s="21"/>
      <c r="AA310" s="21"/>
      <c r="AB310" s="21"/>
      <c r="AC310" s="21"/>
      <c r="AD310" s="21"/>
    </row>
    <row r="311" spans="1:30" ht="14.4">
      <c r="A311" s="8">
        <v>80102</v>
      </c>
      <c r="B311" s="9" t="s">
        <v>309</v>
      </c>
      <c r="C311" s="8">
        <v>1018</v>
      </c>
      <c r="D311" s="8">
        <v>375.22223073244095</v>
      </c>
      <c r="E311" s="8">
        <v>4805</v>
      </c>
      <c r="F311" s="18">
        <f t="shared" si="14"/>
        <v>0.21186264308012487</v>
      </c>
      <c r="G311" s="18">
        <f t="shared" si="15"/>
        <v>0.36858765297882212</v>
      </c>
      <c r="H311" s="18">
        <f t="shared" si="16"/>
        <v>7.8089954366793113E-2</v>
      </c>
      <c r="I311" s="8">
        <v>551</v>
      </c>
      <c r="J311" s="8">
        <v>204.33333843946457</v>
      </c>
      <c r="K311" s="8">
        <v>2947</v>
      </c>
      <c r="L311" s="18">
        <f t="shared" si="17"/>
        <v>0.18696979979640313</v>
      </c>
      <c r="M311" s="18">
        <f t="shared" si="18"/>
        <v>0.37084090460882863</v>
      </c>
      <c r="N311" s="18">
        <f t="shared" si="19"/>
        <v>6.9336049691029716E-2</v>
      </c>
      <c r="O311" s="18">
        <f t="shared" si="20"/>
        <v>0.88789973375261833</v>
      </c>
      <c r="U311" s="21"/>
      <c r="V311" s="21"/>
      <c r="W311" s="21"/>
      <c r="AA311" s="21"/>
      <c r="AB311" s="21"/>
      <c r="AC311" s="21"/>
      <c r="AD311" s="21"/>
    </row>
    <row r="312" spans="1:30" ht="14.4">
      <c r="A312" s="8">
        <v>80201</v>
      </c>
      <c r="B312" s="9" t="s">
        <v>323</v>
      </c>
      <c r="C312" s="8">
        <v>4115</v>
      </c>
      <c r="D312" s="8">
        <v>1545.222260594368</v>
      </c>
      <c r="E312" s="8">
        <v>16690</v>
      </c>
      <c r="F312" s="18">
        <f t="shared" si="14"/>
        <v>0.24655482324745356</v>
      </c>
      <c r="G312" s="18">
        <f t="shared" si="15"/>
        <v>0.37550966235586097</v>
      </c>
      <c r="H312" s="18">
        <f t="shared" si="16"/>
        <v>9.2583718429860268E-2</v>
      </c>
      <c r="I312" s="8">
        <v>22719</v>
      </c>
      <c r="J312" s="8">
        <v>8402.2224347293377</v>
      </c>
      <c r="K312" s="8">
        <v>91126</v>
      </c>
      <c r="L312" s="18">
        <f t="shared" si="17"/>
        <v>0.24931413647038167</v>
      </c>
      <c r="M312" s="18">
        <f t="shared" si="18"/>
        <v>0.36983240612391999</v>
      </c>
      <c r="N312" s="18">
        <f t="shared" si="19"/>
        <v>9.2204446971548601E-2</v>
      </c>
      <c r="O312" s="18">
        <f t="shared" si="20"/>
        <v>0.99590347563541648</v>
      </c>
      <c r="U312" s="21"/>
      <c r="V312" s="21"/>
      <c r="W312" s="21"/>
      <c r="AA312" s="21"/>
      <c r="AB312" s="21"/>
      <c r="AC312" s="21"/>
      <c r="AD312" s="21"/>
    </row>
    <row r="313" spans="1:30" ht="14.4">
      <c r="A313" s="8">
        <v>80202</v>
      </c>
      <c r="B313" s="9" t="s">
        <v>324</v>
      </c>
      <c r="C313" s="8">
        <v>872</v>
      </c>
      <c r="D313" s="8">
        <v>314.11111882328987</v>
      </c>
      <c r="E313" s="8">
        <v>5416</v>
      </c>
      <c r="F313" s="18">
        <f t="shared" si="14"/>
        <v>0.16100443131462333</v>
      </c>
      <c r="G313" s="18">
        <f t="shared" si="15"/>
        <v>0.3602191729624884</v>
      </c>
      <c r="H313" s="18">
        <f t="shared" si="16"/>
        <v>5.7996883091449382E-2</v>
      </c>
      <c r="I313" s="8">
        <v>3317</v>
      </c>
      <c r="J313" s="8">
        <v>1203.5555864870548</v>
      </c>
      <c r="K313" s="8">
        <v>34714</v>
      </c>
      <c r="L313" s="18">
        <f t="shared" si="17"/>
        <v>9.5552226767298493E-2</v>
      </c>
      <c r="M313" s="18">
        <f t="shared" si="18"/>
        <v>0.36284461455744793</v>
      </c>
      <c r="N313" s="18">
        <f t="shared" si="19"/>
        <v>3.4670610891486278E-2</v>
      </c>
      <c r="O313" s="18">
        <f t="shared" si="20"/>
        <v>0.59780127902421443</v>
      </c>
      <c r="U313" s="21"/>
      <c r="V313" s="21"/>
      <c r="W313" s="21"/>
      <c r="AA313" s="21"/>
      <c r="AB313" s="21"/>
      <c r="AC313" s="21"/>
      <c r="AD313" s="21"/>
    </row>
    <row r="314" spans="1:30" ht="14.4">
      <c r="A314" s="8">
        <v>80301</v>
      </c>
      <c r="B314" s="9" t="s">
        <v>325</v>
      </c>
      <c r="C314" s="8">
        <v>1288</v>
      </c>
      <c r="D314" s="8">
        <v>482.11112385988235</v>
      </c>
      <c r="E314" s="8">
        <v>5913</v>
      </c>
      <c r="F314" s="18">
        <f t="shared" si="14"/>
        <v>0.21782513106714019</v>
      </c>
      <c r="G314" s="18">
        <f t="shared" si="15"/>
        <v>0.3743098787732006</v>
      </c>
      <c r="H314" s="18">
        <f t="shared" si="16"/>
        <v>8.1534098403497776E-2</v>
      </c>
      <c r="I314" s="8">
        <v>1187</v>
      </c>
      <c r="J314" s="8">
        <v>434.88889968395233</v>
      </c>
      <c r="K314" s="8">
        <v>5371</v>
      </c>
      <c r="L314" s="18">
        <f t="shared" si="17"/>
        <v>0.22100167566561163</v>
      </c>
      <c r="M314" s="18">
        <f t="shared" si="18"/>
        <v>0.36637649510021258</v>
      </c>
      <c r="N314" s="18">
        <f t="shared" si="19"/>
        <v>8.0969819341640728E-2</v>
      </c>
      <c r="O314" s="18">
        <f t="shared" si="20"/>
        <v>0.99307922607956578</v>
      </c>
      <c r="U314" s="21"/>
      <c r="V314" s="21"/>
      <c r="W314" s="21"/>
      <c r="AA314" s="21"/>
      <c r="AB314" s="21"/>
      <c r="AC314" s="21"/>
      <c r="AD314" s="21"/>
    </row>
    <row r="315" spans="1:30" ht="14.4">
      <c r="A315" s="8">
        <v>80302</v>
      </c>
      <c r="B315" s="9" t="s">
        <v>326</v>
      </c>
      <c r="C315" s="8">
        <v>13842</v>
      </c>
      <c r="D315" s="8">
        <v>6540.4446166455746</v>
      </c>
      <c r="E315" s="8">
        <v>27328</v>
      </c>
      <c r="F315" s="18">
        <f t="shared" si="14"/>
        <v>0.50651346604215453</v>
      </c>
      <c r="G315" s="18">
        <f t="shared" si="15"/>
        <v>0.47250719669452207</v>
      </c>
      <c r="H315" s="18">
        <f t="shared" si="16"/>
        <v>0.23933125792760443</v>
      </c>
      <c r="I315" s="8">
        <v>2123</v>
      </c>
      <c r="J315" s="8">
        <v>786.66668713092804</v>
      </c>
      <c r="K315" s="8">
        <v>18050</v>
      </c>
      <c r="L315" s="18">
        <f t="shared" si="17"/>
        <v>0.11761772853185595</v>
      </c>
      <c r="M315" s="18">
        <f t="shared" si="18"/>
        <v>0.37054483614268868</v>
      </c>
      <c r="N315" s="18">
        <f t="shared" si="19"/>
        <v>4.3582641946311805E-2</v>
      </c>
      <c r="O315" s="18">
        <f t="shared" si="20"/>
        <v>0.18210175437884157</v>
      </c>
      <c r="U315" s="21"/>
      <c r="V315" s="21"/>
      <c r="W315" s="21"/>
      <c r="AA315" s="21"/>
      <c r="AB315" s="21"/>
      <c r="AC315" s="21"/>
      <c r="AD315" s="21"/>
    </row>
    <row r="316" spans="1:30" ht="14.4">
      <c r="A316" s="8">
        <v>80303</v>
      </c>
      <c r="B316" s="9" t="s">
        <v>327</v>
      </c>
      <c r="C316" s="8">
        <v>389</v>
      </c>
      <c r="D316" s="8">
        <v>152.66667038202286</v>
      </c>
      <c r="E316" s="8">
        <v>1701</v>
      </c>
      <c r="F316" s="18">
        <f t="shared" si="14"/>
        <v>0.22868900646678425</v>
      </c>
      <c r="G316" s="18">
        <f t="shared" si="15"/>
        <v>0.3924593068946603</v>
      </c>
      <c r="H316" s="18">
        <f t="shared" si="16"/>
        <v>8.9751128972382632E-2</v>
      </c>
      <c r="I316" s="8">
        <v>847</v>
      </c>
      <c r="J316" s="8">
        <v>313.33334147930145</v>
      </c>
      <c r="K316" s="8">
        <v>9252</v>
      </c>
      <c r="L316" s="18">
        <f t="shared" si="17"/>
        <v>9.1547773454388234E-2</v>
      </c>
      <c r="M316" s="18">
        <f t="shared" si="18"/>
        <v>0.36993310682326025</v>
      </c>
      <c r="N316" s="18">
        <f t="shared" si="19"/>
        <v>3.386655225673383E-2</v>
      </c>
      <c r="O316" s="18">
        <f t="shared" si="20"/>
        <v>0.37733845406173022</v>
      </c>
      <c r="U316" s="21"/>
      <c r="V316" s="21"/>
      <c r="W316" s="21"/>
      <c r="AA316" s="21"/>
      <c r="AB316" s="21"/>
      <c r="AC316" s="21"/>
      <c r="AD316" s="21"/>
    </row>
    <row r="317" spans="1:30" ht="14.4">
      <c r="A317" s="8">
        <v>80304</v>
      </c>
      <c r="B317" s="9" t="s">
        <v>328</v>
      </c>
      <c r="C317" s="8">
        <v>2220</v>
      </c>
      <c r="D317" s="8">
        <v>911.22224500775337</v>
      </c>
      <c r="E317" s="8">
        <v>9363</v>
      </c>
      <c r="F317" s="18">
        <f t="shared" si="14"/>
        <v>0.23710349247036205</v>
      </c>
      <c r="G317" s="18">
        <f t="shared" si="15"/>
        <v>0.41046047072421321</v>
      </c>
      <c r="H317" s="18">
        <f t="shared" si="16"/>
        <v>9.7321611129739749E-2</v>
      </c>
      <c r="I317" s="8">
        <v>784</v>
      </c>
      <c r="J317" s="8">
        <v>289.77778545022011</v>
      </c>
      <c r="K317" s="8">
        <v>11093</v>
      </c>
      <c r="L317" s="18">
        <f t="shared" si="17"/>
        <v>7.067520057694042E-2</v>
      </c>
      <c r="M317" s="18">
        <f t="shared" si="18"/>
        <v>0.36961452225793379</v>
      </c>
      <c r="N317" s="18">
        <f t="shared" si="19"/>
        <v>2.612258049672948E-2</v>
      </c>
      <c r="O317" s="18">
        <f t="shared" si="20"/>
        <v>0.26841500252092398</v>
      </c>
      <c r="U317" s="21"/>
      <c r="V317" s="21"/>
      <c r="W317" s="21"/>
      <c r="AA317" s="21"/>
      <c r="AB317" s="21"/>
      <c r="AC317" s="21"/>
      <c r="AD317" s="21"/>
    </row>
    <row r="318" spans="1:30" ht="14.4">
      <c r="A318" s="8">
        <v>80401</v>
      </c>
      <c r="B318" s="9" t="s">
        <v>329</v>
      </c>
      <c r="C318" s="8">
        <v>2776</v>
      </c>
      <c r="D318" s="8">
        <v>1387.2222566306591</v>
      </c>
      <c r="E318" s="8">
        <v>9879</v>
      </c>
      <c r="F318" s="18">
        <f t="shared" si="14"/>
        <v>0.28100010122482033</v>
      </c>
      <c r="G318" s="18">
        <f t="shared" si="15"/>
        <v>0.49971983308020862</v>
      </c>
      <c r="H318" s="18">
        <f t="shared" si="16"/>
        <v>0.14042132367958896</v>
      </c>
      <c r="I318" s="8">
        <v>944</v>
      </c>
      <c r="J318" s="8">
        <v>368.88889753818512</v>
      </c>
      <c r="K318" s="8">
        <v>8018</v>
      </c>
      <c r="L318" s="18">
        <f t="shared" si="17"/>
        <v>0.11773509603392367</v>
      </c>
      <c r="M318" s="18">
        <f t="shared" si="18"/>
        <v>0.39077213722265375</v>
      </c>
      <c r="N318" s="18">
        <f t="shared" si="19"/>
        <v>4.6007595103290735E-2</v>
      </c>
      <c r="O318" s="18">
        <f t="shared" si="20"/>
        <v>0.32763966253636878</v>
      </c>
      <c r="U318" s="21"/>
      <c r="V318" s="21"/>
      <c r="W318" s="21"/>
      <c r="AA318" s="21"/>
      <c r="AB318" s="21"/>
      <c r="AC318" s="21"/>
      <c r="AD318" s="21"/>
    </row>
    <row r="319" spans="1:30" ht="14.4">
      <c r="A319" s="8">
        <v>80402</v>
      </c>
      <c r="B319" s="9" t="s">
        <v>330</v>
      </c>
      <c r="C319" s="8">
        <v>1120</v>
      </c>
      <c r="D319" s="8">
        <v>443.2222335934639</v>
      </c>
      <c r="E319" s="8">
        <v>3619</v>
      </c>
      <c r="F319" s="18">
        <f t="shared" si="14"/>
        <v>0.30947775628626695</v>
      </c>
      <c r="G319" s="18">
        <f t="shared" si="15"/>
        <v>0.39573413713702132</v>
      </c>
      <c r="H319" s="18">
        <f t="shared" si="16"/>
        <v>0.12247091284704723</v>
      </c>
      <c r="I319" s="8">
        <v>774</v>
      </c>
      <c r="J319" s="8">
        <v>284.00000700354576</v>
      </c>
      <c r="K319" s="8">
        <v>4191</v>
      </c>
      <c r="L319" s="18">
        <f t="shared" si="17"/>
        <v>0.18468146027201146</v>
      </c>
      <c r="M319" s="18">
        <f t="shared" si="18"/>
        <v>0.36692507364799193</v>
      </c>
      <c r="N319" s="18">
        <f t="shared" si="19"/>
        <v>6.7764258411726494E-2</v>
      </c>
      <c r="O319" s="18">
        <f t="shared" si="20"/>
        <v>0.55330900077765111</v>
      </c>
      <c r="U319" s="21"/>
      <c r="V319" s="21"/>
      <c r="W319" s="21"/>
      <c r="AA319" s="21"/>
      <c r="AB319" s="21"/>
      <c r="AC319" s="21"/>
      <c r="AD319" s="21"/>
    </row>
    <row r="320" spans="1:30" ht="14.4">
      <c r="A320" s="8">
        <v>80501</v>
      </c>
      <c r="B320" s="9" t="s">
        <v>331</v>
      </c>
      <c r="C320" s="8">
        <v>3613</v>
      </c>
      <c r="D320" s="8">
        <v>1582.7778215408325</v>
      </c>
      <c r="E320" s="8">
        <v>16511</v>
      </c>
      <c r="F320" s="18">
        <f t="shared" si="14"/>
        <v>0.21882381442674581</v>
      </c>
      <c r="G320" s="18">
        <f t="shared" si="15"/>
        <v>0.43807855564373999</v>
      </c>
      <c r="H320" s="18">
        <f t="shared" si="16"/>
        <v>9.5862020564522601E-2</v>
      </c>
      <c r="I320" s="8">
        <v>464</v>
      </c>
      <c r="J320" s="8">
        <v>178.22222694754601</v>
      </c>
      <c r="K320" s="8">
        <v>4561</v>
      </c>
      <c r="L320" s="18">
        <f t="shared" si="17"/>
        <v>0.10173207629905723</v>
      </c>
      <c r="M320" s="18">
        <f t="shared" si="18"/>
        <v>0.38409962704212502</v>
      </c>
      <c r="N320" s="18">
        <f t="shared" si="19"/>
        <v>3.9075252564688891E-2</v>
      </c>
      <c r="O320" s="18">
        <f t="shared" si="20"/>
        <v>0.4076197469506519</v>
      </c>
      <c r="U320" s="21"/>
      <c r="V320" s="21"/>
      <c r="W320" s="21"/>
      <c r="AA320" s="21"/>
      <c r="AB320" s="21"/>
      <c r="AC320" s="21"/>
      <c r="AD320" s="21"/>
    </row>
    <row r="321" spans="1:30" ht="14.4">
      <c r="A321" s="8">
        <v>80601</v>
      </c>
      <c r="B321" s="9" t="s">
        <v>332</v>
      </c>
      <c r="C321" s="8">
        <v>770</v>
      </c>
      <c r="D321" s="8">
        <v>319.22223022580147</v>
      </c>
      <c r="E321" s="8">
        <v>2142</v>
      </c>
      <c r="F321" s="18">
        <f t="shared" si="14"/>
        <v>0.35947712418300654</v>
      </c>
      <c r="G321" s="18">
        <f t="shared" si="15"/>
        <v>0.41457432496857333</v>
      </c>
      <c r="H321" s="18">
        <f t="shared" si="16"/>
        <v>0.14902998609981394</v>
      </c>
      <c r="I321" s="8">
        <v>322</v>
      </c>
      <c r="J321" s="8">
        <v>137.88889229297638</v>
      </c>
      <c r="K321" s="8">
        <v>2099</v>
      </c>
      <c r="L321" s="18">
        <f t="shared" si="17"/>
        <v>0.15340638399237733</v>
      </c>
      <c r="M321" s="18">
        <f t="shared" si="18"/>
        <v>0.428226373580672</v>
      </c>
      <c r="N321" s="18">
        <f t="shared" si="19"/>
        <v>6.5692659501179793E-2</v>
      </c>
      <c r="O321" s="18">
        <f t="shared" si="20"/>
        <v>0.44080162134069883</v>
      </c>
      <c r="U321" s="21"/>
      <c r="V321" s="21"/>
      <c r="W321" s="21"/>
      <c r="AA321" s="21"/>
      <c r="AB321" s="21"/>
      <c r="AC321" s="21"/>
      <c r="AD321" s="21"/>
    </row>
    <row r="322" spans="1:30" ht="14.4">
      <c r="A322" s="8">
        <v>80602</v>
      </c>
      <c r="B322" s="9" t="s">
        <v>333</v>
      </c>
      <c r="C322" s="8">
        <v>1428</v>
      </c>
      <c r="D322" s="8">
        <v>533.77779164910316</v>
      </c>
      <c r="E322" s="8">
        <v>8097</v>
      </c>
      <c r="F322" s="18">
        <f t="shared" si="14"/>
        <v>0.17636161541311596</v>
      </c>
      <c r="G322" s="18">
        <f t="shared" si="15"/>
        <v>0.37379397174306944</v>
      </c>
      <c r="H322" s="18">
        <f t="shared" si="16"/>
        <v>6.5922908688292342E-2</v>
      </c>
      <c r="I322" s="8">
        <v>921</v>
      </c>
      <c r="J322" s="8">
        <v>332.2222304046154</v>
      </c>
      <c r="K322" s="8">
        <v>6890</v>
      </c>
      <c r="L322" s="18">
        <f t="shared" si="17"/>
        <v>0.13367198838896951</v>
      </c>
      <c r="M322" s="18">
        <f t="shared" si="18"/>
        <v>0.36071903409838807</v>
      </c>
      <c r="N322" s="18">
        <f t="shared" si="19"/>
        <v>4.8218030537680028E-2</v>
      </c>
      <c r="O322" s="18">
        <f t="shared" si="20"/>
        <v>0.7314305678724301</v>
      </c>
      <c r="U322" s="21"/>
      <c r="V322" s="21"/>
      <c r="W322" s="21"/>
      <c r="AA322" s="21"/>
      <c r="AB322" s="21"/>
      <c r="AC322" s="21"/>
      <c r="AD322" s="21"/>
    </row>
    <row r="323" spans="1:30" ht="14.4">
      <c r="A323" s="8">
        <v>80701</v>
      </c>
      <c r="B323" s="9" t="s">
        <v>334</v>
      </c>
      <c r="C323" s="8">
        <v>424</v>
      </c>
      <c r="D323" s="8">
        <v>159.66667079925537</v>
      </c>
      <c r="E323" s="8">
        <v>2933</v>
      </c>
      <c r="F323" s="18">
        <f t="shared" si="14"/>
        <v>0.14456188203204909</v>
      </c>
      <c r="G323" s="18">
        <f t="shared" si="15"/>
        <v>0.37657233679069663</v>
      </c>
      <c r="H323" s="18">
        <f t="shared" si="16"/>
        <v>5.4438005727669742E-2</v>
      </c>
      <c r="I323" s="8">
        <v>450</v>
      </c>
      <c r="J323" s="8">
        <v>163.88889268040657</v>
      </c>
      <c r="K323" s="8">
        <v>3389</v>
      </c>
      <c r="L323" s="18">
        <f t="shared" si="17"/>
        <v>0.13278253172027146</v>
      </c>
      <c r="M323" s="18">
        <f t="shared" si="18"/>
        <v>0.36419753928979237</v>
      </c>
      <c r="N323" s="18">
        <f t="shared" si="19"/>
        <v>4.8359071313191671E-2</v>
      </c>
      <c r="O323" s="18">
        <f t="shared" si="20"/>
        <v>0.88833289660006276</v>
      </c>
      <c r="U323" s="21"/>
      <c r="V323" s="21"/>
      <c r="W323" s="21"/>
      <c r="AA323" s="21"/>
      <c r="AB323" s="21"/>
      <c r="AC323" s="21"/>
      <c r="AD323" s="21"/>
    </row>
    <row r="324" spans="1:30" ht="14.4">
      <c r="A324" s="8">
        <v>80702</v>
      </c>
      <c r="B324" s="9" t="s">
        <v>310</v>
      </c>
      <c r="C324" s="8">
        <v>354</v>
      </c>
      <c r="D324" s="8">
        <v>131.00000330805779</v>
      </c>
      <c r="E324" s="8">
        <v>1879</v>
      </c>
      <c r="F324" s="18">
        <f t="shared" si="14"/>
        <v>0.18839808408728048</v>
      </c>
      <c r="G324" s="18">
        <f t="shared" si="15"/>
        <v>0.37005650651993727</v>
      </c>
      <c r="H324" s="18">
        <f t="shared" si="16"/>
        <v>6.9717936832388402E-2</v>
      </c>
      <c r="I324" s="8">
        <v>380</v>
      </c>
      <c r="J324" s="8">
        <v>146.22222551703453</v>
      </c>
      <c r="K324" s="8">
        <v>3475</v>
      </c>
      <c r="L324" s="18">
        <f t="shared" si="17"/>
        <v>0.10935251798561151</v>
      </c>
      <c r="M324" s="18">
        <f t="shared" si="18"/>
        <v>0.38479533030798563</v>
      </c>
      <c r="N324" s="18">
        <f t="shared" si="19"/>
        <v>4.207833827828332E-2</v>
      </c>
      <c r="O324" s="18">
        <f t="shared" si="20"/>
        <v>0.60355111166650677</v>
      </c>
      <c r="U324" s="21"/>
      <c r="V324" s="21"/>
      <c r="W324" s="21"/>
      <c r="AA324" s="21"/>
      <c r="AB324" s="21"/>
      <c r="AC324" s="21"/>
      <c r="AD324" s="21"/>
    </row>
    <row r="325" spans="1:30" ht="14.4">
      <c r="A325" s="8">
        <v>80703</v>
      </c>
      <c r="B325" s="9" t="s">
        <v>335</v>
      </c>
      <c r="C325" s="8">
        <v>53</v>
      </c>
      <c r="D325" s="8">
        <v>19.444444864988327</v>
      </c>
      <c r="E325" s="8">
        <v>409</v>
      </c>
      <c r="F325" s="18">
        <f t="shared" si="14"/>
        <v>0.1295843520782396</v>
      </c>
      <c r="G325" s="18">
        <f t="shared" si="15"/>
        <v>0.36687631820732691</v>
      </c>
      <c r="H325" s="18">
        <f t="shared" si="16"/>
        <v>4.7541429987746513E-2</v>
      </c>
      <c r="I325" s="8">
        <v>50</v>
      </c>
      <c r="J325" s="8">
        <v>21.111111789941788</v>
      </c>
      <c r="K325" s="8">
        <v>670</v>
      </c>
      <c r="L325" s="18">
        <f t="shared" si="17"/>
        <v>7.4626865671641784E-2</v>
      </c>
      <c r="M325" s="18">
        <f t="shared" si="18"/>
        <v>0.42222223579883578</v>
      </c>
      <c r="N325" s="18">
        <f t="shared" si="19"/>
        <v>3.1509122074539979E-2</v>
      </c>
      <c r="O325" s="18">
        <f t="shared" si="20"/>
        <v>0.66277186198777038</v>
      </c>
      <c r="U325" s="21"/>
      <c r="V325" s="21"/>
      <c r="W325" s="21"/>
      <c r="AA325" s="21"/>
      <c r="AB325" s="21"/>
      <c r="AC325" s="21"/>
      <c r="AD325" s="21"/>
    </row>
    <row r="326" spans="1:30" ht="14.4">
      <c r="A326" s="8">
        <v>80801</v>
      </c>
      <c r="B326" s="9" t="s">
        <v>336</v>
      </c>
      <c r="C326" s="8">
        <v>802</v>
      </c>
      <c r="D326" s="8">
        <v>294.22222954034805</v>
      </c>
      <c r="E326" s="8">
        <v>4863</v>
      </c>
      <c r="F326" s="18">
        <f t="shared" si="14"/>
        <v>0.16491877441908287</v>
      </c>
      <c r="G326" s="18">
        <f t="shared" si="15"/>
        <v>0.36686063533709234</v>
      </c>
      <c r="H326" s="18">
        <f t="shared" si="16"/>
        <v>6.0502206362399356E-2</v>
      </c>
      <c r="I326" s="8">
        <v>1281</v>
      </c>
      <c r="J326" s="8">
        <v>466.55556774139404</v>
      </c>
      <c r="K326" s="8">
        <v>7704</v>
      </c>
      <c r="L326" s="18">
        <f t="shared" si="17"/>
        <v>0.1662772585669782</v>
      </c>
      <c r="M326" s="18">
        <f t="shared" si="18"/>
        <v>0.36421199667556131</v>
      </c>
      <c r="N326" s="18">
        <f t="shared" si="19"/>
        <v>6.0560172344417712E-2</v>
      </c>
      <c r="O326" s="18">
        <f t="shared" si="20"/>
        <v>1.0009580804652172</v>
      </c>
      <c r="U326" s="21"/>
      <c r="V326" s="21"/>
      <c r="W326" s="21"/>
      <c r="AA326" s="21"/>
      <c r="AB326" s="21"/>
      <c r="AC326" s="21"/>
      <c r="AD326" s="21"/>
    </row>
    <row r="327" spans="1:30" ht="14.4">
      <c r="A327" s="8">
        <v>80802</v>
      </c>
      <c r="B327" s="9" t="s">
        <v>337</v>
      </c>
      <c r="C327" s="8">
        <v>810</v>
      </c>
      <c r="D327" s="8">
        <v>301.33334106206894</v>
      </c>
      <c r="E327" s="8">
        <v>4220</v>
      </c>
      <c r="F327" s="18">
        <f t="shared" si="14"/>
        <v>0.19194312796208532</v>
      </c>
      <c r="G327" s="18">
        <f t="shared" si="15"/>
        <v>0.3720164704469987</v>
      </c>
      <c r="H327" s="18">
        <f t="shared" si="16"/>
        <v>7.1406004991011601E-2</v>
      </c>
      <c r="I327" s="8">
        <v>407</v>
      </c>
      <c r="J327" s="8">
        <v>144.77778151631355</v>
      </c>
      <c r="K327" s="8">
        <v>2942</v>
      </c>
      <c r="L327" s="18">
        <f t="shared" si="17"/>
        <v>0.13834126444595513</v>
      </c>
      <c r="M327" s="18">
        <f t="shared" si="18"/>
        <v>0.35571936490494732</v>
      </c>
      <c r="N327" s="18">
        <f t="shared" si="19"/>
        <v>4.9210666728862526E-2</v>
      </c>
      <c r="O327" s="18">
        <f t="shared" si="20"/>
        <v>0.68916706284096185</v>
      </c>
      <c r="U327" s="21"/>
      <c r="V327" s="21"/>
      <c r="W327" s="21"/>
      <c r="AA327" s="21"/>
      <c r="AB327" s="21"/>
      <c r="AC327" s="21"/>
      <c r="AD327" s="21"/>
    </row>
    <row r="328" spans="1:30" ht="14.4">
      <c r="A328" s="8">
        <v>80803</v>
      </c>
      <c r="B328" s="9" t="s">
        <v>338</v>
      </c>
      <c r="C328" s="8">
        <v>112</v>
      </c>
      <c r="D328" s="8">
        <v>42.222223371267319</v>
      </c>
      <c r="E328" s="8">
        <v>1056</v>
      </c>
      <c r="F328" s="18">
        <f t="shared" si="14"/>
        <v>0.10606060606060606</v>
      </c>
      <c r="G328" s="18">
        <f t="shared" si="15"/>
        <v>0.37698413724345819</v>
      </c>
      <c r="H328" s="18">
        <f t="shared" si="16"/>
        <v>3.9983166071275868E-2</v>
      </c>
      <c r="I328" s="8">
        <v>481</v>
      </c>
      <c r="J328" s="8">
        <v>180.22222682833672</v>
      </c>
      <c r="K328" s="8">
        <v>3537</v>
      </c>
      <c r="L328" s="18">
        <f t="shared" si="17"/>
        <v>0.13599095278484591</v>
      </c>
      <c r="M328" s="18">
        <f t="shared" si="18"/>
        <v>0.37468238425849631</v>
      </c>
      <c r="N328" s="18">
        <f t="shared" si="19"/>
        <v>5.0953414427010665E-2</v>
      </c>
      <c r="O328" s="18">
        <f t="shared" si="20"/>
        <v>1.2743716777250385</v>
      </c>
      <c r="U328" s="21"/>
      <c r="V328" s="21"/>
      <c r="W328" s="21"/>
      <c r="AA328" s="21"/>
      <c r="AB328" s="21"/>
      <c r="AC328" s="21"/>
      <c r="AD328" s="21"/>
    </row>
    <row r="329" spans="1:30" ht="14.4">
      <c r="A329" s="8">
        <v>80901</v>
      </c>
      <c r="B329" s="9" t="s">
        <v>339</v>
      </c>
      <c r="C329" s="8">
        <v>1240</v>
      </c>
      <c r="D329" s="8">
        <v>636.88890624046326</v>
      </c>
      <c r="E329" s="8">
        <v>3704</v>
      </c>
      <c r="F329" s="18">
        <f t="shared" si="14"/>
        <v>0.33477321814254862</v>
      </c>
      <c r="G329" s="18">
        <f t="shared" si="15"/>
        <v>0.51362008567779294</v>
      </c>
      <c r="H329" s="18">
        <f t="shared" si="16"/>
        <v>0.17194624898500629</v>
      </c>
      <c r="I329" s="8">
        <v>58</v>
      </c>
      <c r="J329" s="8">
        <v>25.555556237697601</v>
      </c>
      <c r="K329" s="8">
        <v>239</v>
      </c>
      <c r="L329" s="18">
        <f t="shared" si="17"/>
        <v>0.24267782426778242</v>
      </c>
      <c r="M329" s="18">
        <f t="shared" si="18"/>
        <v>0.4406130385809931</v>
      </c>
      <c r="N329" s="18">
        <f t="shared" si="19"/>
        <v>0.10692701354685188</v>
      </c>
      <c r="O329" s="18">
        <f t="shared" si="20"/>
        <v>0.6218630192751452</v>
      </c>
      <c r="U329" s="21"/>
      <c r="V329" s="21"/>
      <c r="W329" s="21"/>
      <c r="AA329" s="21"/>
      <c r="AB329" s="21"/>
      <c r="AC329" s="21"/>
      <c r="AD329" s="21"/>
    </row>
    <row r="330" spans="1:30" ht="14.4">
      <c r="A330" s="8">
        <v>90101</v>
      </c>
      <c r="B330" s="9" t="s">
        <v>340</v>
      </c>
      <c r="C330" s="8">
        <v>440</v>
      </c>
      <c r="D330" s="8">
        <v>158.66667062044144</v>
      </c>
      <c r="E330" s="8">
        <v>9777</v>
      </c>
      <c r="F330" s="18">
        <f t="shared" si="14"/>
        <v>4.5003579830213768E-2</v>
      </c>
      <c r="G330" s="18">
        <f t="shared" si="15"/>
        <v>0.36060606959191238</v>
      </c>
      <c r="H330" s="18">
        <f t="shared" si="16"/>
        <v>1.622856404013925E-2</v>
      </c>
      <c r="I330" s="8">
        <v>2323</v>
      </c>
      <c r="J330" s="8">
        <v>838.88891032338142</v>
      </c>
      <c r="K330" s="8">
        <v>42131</v>
      </c>
      <c r="L330" s="18">
        <f t="shared" si="17"/>
        <v>5.5137547174289717E-2</v>
      </c>
      <c r="M330" s="18">
        <f t="shared" si="18"/>
        <v>0.36112307805569582</v>
      </c>
      <c r="N330" s="18">
        <f t="shared" si="19"/>
        <v>1.9911440752020636E-2</v>
      </c>
      <c r="O330" s="18">
        <f t="shared" si="20"/>
        <v>1.2269379288748079</v>
      </c>
      <c r="U330" s="21"/>
      <c r="V330" s="21"/>
      <c r="W330" s="21"/>
      <c r="AA330" s="21"/>
      <c r="AB330" s="21"/>
      <c r="AC330" s="21"/>
      <c r="AD330" s="21"/>
    </row>
    <row r="331" spans="1:30" ht="14.4">
      <c r="A331" s="8">
        <v>90102</v>
      </c>
      <c r="B331" s="9" t="s">
        <v>341</v>
      </c>
      <c r="C331" s="8">
        <v>117</v>
      </c>
      <c r="D331" s="8">
        <v>44.111112236976624</v>
      </c>
      <c r="E331" s="8">
        <v>1442</v>
      </c>
      <c r="F331" s="18">
        <f t="shared" si="14"/>
        <v>8.1137309292649104E-2</v>
      </c>
      <c r="G331" s="18">
        <f t="shared" si="15"/>
        <v>0.3770180533074925</v>
      </c>
      <c r="H331" s="18">
        <f t="shared" si="16"/>
        <v>3.0590230400122487E-2</v>
      </c>
      <c r="I331" s="8">
        <v>759</v>
      </c>
      <c r="J331" s="8">
        <v>279.3333400785923</v>
      </c>
      <c r="K331" s="8">
        <v>7654</v>
      </c>
      <c r="L331" s="18">
        <f t="shared" si="17"/>
        <v>9.9163835902795927E-2</v>
      </c>
      <c r="M331" s="18">
        <f t="shared" si="18"/>
        <v>0.36802811604557617</v>
      </c>
      <c r="N331" s="18">
        <f t="shared" si="19"/>
        <v>3.6495079707158651E-2</v>
      </c>
      <c r="O331" s="18">
        <f t="shared" si="20"/>
        <v>1.1930305600775246</v>
      </c>
      <c r="U331" s="21"/>
      <c r="V331" s="21"/>
      <c r="W331" s="21"/>
      <c r="AA331" s="21"/>
      <c r="AB331" s="21"/>
      <c r="AC331" s="21"/>
      <c r="AD331" s="21"/>
    </row>
    <row r="332" spans="1:30" ht="14.4">
      <c r="A332" s="8">
        <v>90103</v>
      </c>
      <c r="B332" s="9" t="s">
        <v>342</v>
      </c>
      <c r="C332" s="8">
        <v>141</v>
      </c>
      <c r="D332" s="8">
        <v>51.222223520278931</v>
      </c>
      <c r="E332" s="8">
        <v>824</v>
      </c>
      <c r="F332" s="18">
        <f t="shared" si="14"/>
        <v>0.17111650485436894</v>
      </c>
      <c r="G332" s="18">
        <f t="shared" si="15"/>
        <v>0.36327818099488601</v>
      </c>
      <c r="H332" s="18">
        <f t="shared" si="16"/>
        <v>6.2162892621697732E-2</v>
      </c>
      <c r="I332" s="8">
        <v>181</v>
      </c>
      <c r="J332" s="8">
        <v>66.555557370185852</v>
      </c>
      <c r="K332" s="8">
        <v>1514</v>
      </c>
      <c r="L332" s="18">
        <f t="shared" si="17"/>
        <v>0.11955085865257596</v>
      </c>
      <c r="M332" s="18">
        <f t="shared" si="18"/>
        <v>0.367710261713734</v>
      </c>
      <c r="N332" s="18">
        <f t="shared" si="19"/>
        <v>4.3960077523240326E-2</v>
      </c>
      <c r="O332" s="18">
        <f t="shared" si="20"/>
        <v>0.7071755458801835</v>
      </c>
      <c r="U332" s="21"/>
      <c r="V332" s="21"/>
      <c r="W332" s="21"/>
      <c r="AA332" s="21"/>
      <c r="AB332" s="21"/>
      <c r="AC332" s="21"/>
      <c r="AD332" s="21"/>
    </row>
    <row r="333" spans="1:30" ht="14.4">
      <c r="A333" s="8">
        <v>90104</v>
      </c>
      <c r="B333" s="9" t="s">
        <v>343</v>
      </c>
      <c r="C333" s="8">
        <v>161</v>
      </c>
      <c r="D333" s="8">
        <v>62.222223490476608</v>
      </c>
      <c r="E333" s="8">
        <v>1202</v>
      </c>
      <c r="F333" s="18">
        <f t="shared" si="14"/>
        <v>0.13394342762063227</v>
      </c>
      <c r="G333" s="18">
        <f t="shared" si="15"/>
        <v>0.38647343782904725</v>
      </c>
      <c r="H333" s="18">
        <f t="shared" si="16"/>
        <v>5.1765576947151913E-2</v>
      </c>
      <c r="I333" s="8">
        <v>310</v>
      </c>
      <c r="J333" s="8">
        <v>120.4444477558136</v>
      </c>
      <c r="K333" s="8">
        <v>2219</v>
      </c>
      <c r="L333" s="18">
        <f t="shared" si="17"/>
        <v>0.13970256872465076</v>
      </c>
      <c r="M333" s="18">
        <f t="shared" si="18"/>
        <v>0.3885304766316568</v>
      </c>
      <c r="N333" s="18">
        <f t="shared" si="19"/>
        <v>5.4278705613255346E-2</v>
      </c>
      <c r="O333" s="18">
        <f t="shared" si="20"/>
        <v>1.0485482595638627</v>
      </c>
      <c r="U333" s="21"/>
      <c r="V333" s="21"/>
      <c r="W333" s="21"/>
      <c r="AA333" s="21"/>
      <c r="AB333" s="21"/>
      <c r="AC333" s="21"/>
      <c r="AD333" s="21"/>
    </row>
    <row r="334" spans="1:30" ht="14.4">
      <c r="A334" s="8">
        <v>90201</v>
      </c>
      <c r="B334" s="9" t="s">
        <v>344</v>
      </c>
      <c r="C334" s="8">
        <v>247</v>
      </c>
      <c r="D334" s="8">
        <v>94.666669100522995</v>
      </c>
      <c r="E334" s="8">
        <v>2031</v>
      </c>
      <c r="F334" s="18">
        <f t="shared" si="14"/>
        <v>0.12161496799606106</v>
      </c>
      <c r="G334" s="18">
        <f t="shared" si="15"/>
        <v>0.38326586680373681</v>
      </c>
      <c r="H334" s="18">
        <f t="shared" si="16"/>
        <v>4.6610866125319055E-2</v>
      </c>
      <c r="I334" s="8">
        <v>731</v>
      </c>
      <c r="J334" s="8">
        <v>272.00000670552254</v>
      </c>
      <c r="K334" s="8">
        <v>4839</v>
      </c>
      <c r="L334" s="18">
        <f t="shared" si="17"/>
        <v>0.1510642694771647</v>
      </c>
      <c r="M334" s="18">
        <f t="shared" si="18"/>
        <v>0.37209303242889541</v>
      </c>
      <c r="N334" s="18">
        <f t="shared" si="19"/>
        <v>5.6209962121414041E-2</v>
      </c>
      <c r="O334" s="18">
        <f t="shared" si="20"/>
        <v>1.2059411633820885</v>
      </c>
      <c r="U334" s="21"/>
      <c r="V334" s="21"/>
      <c r="W334" s="21"/>
      <c r="AA334" s="21"/>
      <c r="AB334" s="21"/>
      <c r="AC334" s="21"/>
      <c r="AD334" s="21"/>
    </row>
    <row r="335" spans="1:30" ht="14.4">
      <c r="A335" s="8">
        <v>90202</v>
      </c>
      <c r="B335" s="9" t="s">
        <v>307</v>
      </c>
      <c r="C335" s="8">
        <v>368</v>
      </c>
      <c r="D335" s="8">
        <v>139.77778103947639</v>
      </c>
      <c r="E335" s="8">
        <v>1014</v>
      </c>
      <c r="F335" s="18">
        <f t="shared" si="14"/>
        <v>0.3629191321499014</v>
      </c>
      <c r="G335" s="18">
        <f t="shared" si="15"/>
        <v>0.37983092673770757</v>
      </c>
      <c r="H335" s="18">
        <f t="shared" si="16"/>
        <v>0.1378479102953416</v>
      </c>
      <c r="I335" s="8">
        <v>1118</v>
      </c>
      <c r="J335" s="8">
        <v>434.66667732596397</v>
      </c>
      <c r="K335" s="8">
        <v>2234</v>
      </c>
      <c r="L335" s="18">
        <f t="shared" si="17"/>
        <v>0.50044762757385852</v>
      </c>
      <c r="M335" s="18">
        <f t="shared" si="18"/>
        <v>0.38878951460283001</v>
      </c>
      <c r="N335" s="18">
        <f t="shared" si="19"/>
        <v>0.19456879020857831</v>
      </c>
      <c r="O335" s="18">
        <f t="shared" si="20"/>
        <v>1.4114743545383548</v>
      </c>
      <c r="U335" s="21"/>
      <c r="V335" s="21"/>
      <c r="W335" s="21"/>
      <c r="AA335" s="21"/>
      <c r="AB335" s="21"/>
      <c r="AC335" s="21"/>
      <c r="AD335" s="21"/>
    </row>
    <row r="336" spans="1:30" ht="14.4">
      <c r="A336" s="8">
        <v>90203</v>
      </c>
      <c r="B336" s="9" t="s">
        <v>345</v>
      </c>
      <c r="C336" s="8">
        <v>343</v>
      </c>
      <c r="D336" s="8">
        <v>128.00000327825546</v>
      </c>
      <c r="E336" s="8">
        <v>2250</v>
      </c>
      <c r="F336" s="18">
        <f t="shared" si="14"/>
        <v>0.15244444444444444</v>
      </c>
      <c r="G336" s="18">
        <f t="shared" si="15"/>
        <v>0.37317785212319377</v>
      </c>
      <c r="H336" s="18">
        <f t="shared" si="16"/>
        <v>5.6888890345891313E-2</v>
      </c>
      <c r="I336" s="8">
        <v>663</v>
      </c>
      <c r="J336" s="8">
        <v>252.22222879528999</v>
      </c>
      <c r="K336" s="8">
        <v>5743</v>
      </c>
      <c r="L336" s="18">
        <f t="shared" si="17"/>
        <v>0.11544488943061118</v>
      </c>
      <c r="M336" s="18">
        <f t="shared" si="18"/>
        <v>0.38042568445745095</v>
      </c>
      <c r="N336" s="18">
        <f t="shared" si="19"/>
        <v>4.3918201078755006E-2</v>
      </c>
      <c r="O336" s="18">
        <f t="shared" si="20"/>
        <v>0.77199960856552219</v>
      </c>
      <c r="U336" s="21"/>
      <c r="V336" s="21"/>
      <c r="W336" s="21"/>
      <c r="AA336" s="21"/>
      <c r="AB336" s="21"/>
      <c r="AC336" s="21"/>
      <c r="AD336" s="21"/>
    </row>
    <row r="337" spans="1:30" ht="14.4">
      <c r="A337" s="8">
        <v>90301</v>
      </c>
      <c r="B337" s="9" t="s">
        <v>346</v>
      </c>
      <c r="C337" s="8">
        <v>1618</v>
      </c>
      <c r="D337" s="8">
        <v>613.00001576542854</v>
      </c>
      <c r="E337" s="8">
        <v>7820</v>
      </c>
      <c r="F337" s="18">
        <f t="shared" si="14"/>
        <v>0.20690537084398977</v>
      </c>
      <c r="G337" s="18">
        <f t="shared" si="15"/>
        <v>0.37886280331608685</v>
      </c>
      <c r="H337" s="18">
        <f t="shared" si="16"/>
        <v>7.8388748819108511E-2</v>
      </c>
      <c r="I337" s="8">
        <v>816</v>
      </c>
      <c r="J337" s="8">
        <v>305.77778491377831</v>
      </c>
      <c r="K337" s="8">
        <v>3940</v>
      </c>
      <c r="L337" s="18">
        <f t="shared" si="17"/>
        <v>0.20710659898477157</v>
      </c>
      <c r="M337" s="18">
        <f t="shared" si="18"/>
        <v>0.37472767759041459</v>
      </c>
      <c r="N337" s="18">
        <f t="shared" si="19"/>
        <v>7.7608574851212767E-2</v>
      </c>
      <c r="O337" s="18">
        <f t="shared" si="20"/>
        <v>0.99004737312881352</v>
      </c>
      <c r="U337" s="21"/>
      <c r="V337" s="21"/>
      <c r="W337" s="21"/>
      <c r="AA337" s="21"/>
      <c r="AB337" s="21"/>
      <c r="AC337" s="21"/>
      <c r="AD337" s="21"/>
    </row>
    <row r="338" spans="1:30" ht="14.4">
      <c r="A338" s="8">
        <v>90302</v>
      </c>
      <c r="B338" s="9" t="s">
        <v>347</v>
      </c>
      <c r="C338" s="8">
        <v>1214</v>
      </c>
      <c r="D338" s="8">
        <v>459.77778914570808</v>
      </c>
      <c r="E338" s="8">
        <v>7782</v>
      </c>
      <c r="F338" s="18">
        <f t="shared" si="14"/>
        <v>0.15600102801336418</v>
      </c>
      <c r="G338" s="18">
        <f t="shared" si="15"/>
        <v>0.37872964509531143</v>
      </c>
      <c r="H338" s="18">
        <f t="shared" si="16"/>
        <v>5.9082213974005156E-2</v>
      </c>
      <c r="I338" s="8">
        <v>339</v>
      </c>
      <c r="J338" s="8">
        <v>131.22222518920898</v>
      </c>
      <c r="K338" s="8">
        <v>1820</v>
      </c>
      <c r="L338" s="18">
        <f t="shared" si="17"/>
        <v>0.18626373626373627</v>
      </c>
      <c r="M338" s="18">
        <f t="shared" si="18"/>
        <v>0.38708620999766663</v>
      </c>
      <c r="N338" s="18">
        <f t="shared" si="19"/>
        <v>7.2100123730334614E-2</v>
      </c>
      <c r="O338" s="18">
        <f t="shared" si="20"/>
        <v>1.2203355101428164</v>
      </c>
      <c r="U338" s="21"/>
      <c r="V338" s="21"/>
      <c r="W338" s="21"/>
      <c r="AA338" s="21"/>
      <c r="AB338" s="21"/>
      <c r="AC338" s="21"/>
      <c r="AD338" s="21"/>
    </row>
    <row r="339" spans="1:30" ht="14.4">
      <c r="A339" s="8">
        <v>90303</v>
      </c>
      <c r="B339" s="9" t="s">
        <v>348</v>
      </c>
      <c r="C339" s="8">
        <v>1251</v>
      </c>
      <c r="D339" s="8">
        <v>478.11112385988235</v>
      </c>
      <c r="E339" s="8">
        <v>4435</v>
      </c>
      <c r="F339" s="18">
        <f t="shared" si="14"/>
        <v>0.28207440811724915</v>
      </c>
      <c r="G339" s="18">
        <f t="shared" si="15"/>
        <v>0.38218315256585322</v>
      </c>
      <c r="H339" s="18">
        <f t="shared" si="16"/>
        <v>0.10780408655239739</v>
      </c>
      <c r="I339" s="8">
        <v>1585</v>
      </c>
      <c r="J339" s="8">
        <v>601.44445925951004</v>
      </c>
      <c r="K339" s="8">
        <v>5812</v>
      </c>
      <c r="L339" s="18">
        <f t="shared" si="17"/>
        <v>0.2727116311080523</v>
      </c>
      <c r="M339" s="18">
        <f t="shared" si="18"/>
        <v>0.37946022666215146</v>
      </c>
      <c r="N339" s="18">
        <f t="shared" si="19"/>
        <v>0.10348321735366656</v>
      </c>
      <c r="O339" s="18">
        <f t="shared" si="20"/>
        <v>0.95991924483650537</v>
      </c>
      <c r="U339" s="21"/>
      <c r="V339" s="21"/>
      <c r="W339" s="21"/>
      <c r="AA339" s="21"/>
      <c r="AB339" s="21"/>
      <c r="AC339" s="21"/>
      <c r="AD339" s="21"/>
    </row>
    <row r="340" spans="1:30" ht="14.4">
      <c r="A340" s="8">
        <v>90401</v>
      </c>
      <c r="B340" s="9" t="s">
        <v>349</v>
      </c>
      <c r="C340" s="8">
        <v>105</v>
      </c>
      <c r="D340" s="8">
        <v>40.22222313284874</v>
      </c>
      <c r="E340" s="8">
        <v>1030</v>
      </c>
      <c r="F340" s="18">
        <f t="shared" si="14"/>
        <v>0.10194174757281553</v>
      </c>
      <c r="G340" s="18">
        <f t="shared" si="15"/>
        <v>0.38306879174141656</v>
      </c>
      <c r="H340" s="18">
        <f t="shared" si="16"/>
        <v>3.9050702070726931E-2</v>
      </c>
      <c r="I340" s="8">
        <v>199</v>
      </c>
      <c r="J340" s="8">
        <v>76.444446593523026</v>
      </c>
      <c r="K340" s="8">
        <v>1797</v>
      </c>
      <c r="L340" s="18">
        <f t="shared" si="17"/>
        <v>0.110740122426266</v>
      </c>
      <c r="M340" s="18">
        <f t="shared" si="18"/>
        <v>0.38414294770614588</v>
      </c>
      <c r="N340" s="18">
        <f t="shared" si="19"/>
        <v>4.2540037058165295E-2</v>
      </c>
      <c r="O340" s="18">
        <f t="shared" si="20"/>
        <v>1.0893539629868532</v>
      </c>
      <c r="U340" s="21"/>
      <c r="V340" s="21"/>
      <c r="W340" s="21"/>
      <c r="AA340" s="21"/>
      <c r="AB340" s="21"/>
      <c r="AC340" s="21"/>
      <c r="AD340" s="21"/>
    </row>
    <row r="341" spans="1:30" ht="14.4">
      <c r="A341" s="8">
        <v>90402</v>
      </c>
      <c r="B341" s="9" t="s">
        <v>350</v>
      </c>
      <c r="C341" s="8">
        <v>196</v>
      </c>
      <c r="D341" s="8">
        <v>71.222223848104477</v>
      </c>
      <c r="E341" s="8">
        <v>698</v>
      </c>
      <c r="F341" s="18">
        <f t="shared" si="14"/>
        <v>0.28080229226361031</v>
      </c>
      <c r="G341" s="18">
        <f t="shared" si="15"/>
        <v>0.36337869310257387</v>
      </c>
      <c r="H341" s="18">
        <f t="shared" si="16"/>
        <v>0.10203756998295771</v>
      </c>
      <c r="I341" s="8">
        <v>523</v>
      </c>
      <c r="J341" s="8">
        <v>195.77778211236</v>
      </c>
      <c r="K341" s="8">
        <v>1847</v>
      </c>
      <c r="L341" s="18">
        <f t="shared" si="17"/>
        <v>0.28316188413643745</v>
      </c>
      <c r="M341" s="18">
        <f t="shared" si="18"/>
        <v>0.37433610346531548</v>
      </c>
      <c r="N341" s="18">
        <f t="shared" si="19"/>
        <v>0.10599771635753112</v>
      </c>
      <c r="O341" s="18">
        <f t="shared" si="20"/>
        <v>1.0388106691999313</v>
      </c>
      <c r="U341" s="21"/>
      <c r="V341" s="21"/>
      <c r="W341" s="21"/>
      <c r="AA341" s="21"/>
      <c r="AB341" s="21"/>
      <c r="AC341" s="21"/>
      <c r="AD341" s="21"/>
    </row>
    <row r="342" spans="1:30" ht="14.4">
      <c r="A342" s="8">
        <v>90501</v>
      </c>
      <c r="B342" s="9" t="s">
        <v>351</v>
      </c>
      <c r="C342" s="8">
        <v>143</v>
      </c>
      <c r="D342" s="8">
        <v>53.555557042360306</v>
      </c>
      <c r="E342" s="8">
        <v>817</v>
      </c>
      <c r="F342" s="18">
        <f t="shared" si="14"/>
        <v>0.17503059975520197</v>
      </c>
      <c r="G342" s="18">
        <f t="shared" si="15"/>
        <v>0.37451438491161054</v>
      </c>
      <c r="H342" s="18">
        <f t="shared" si="16"/>
        <v>6.555147740802976E-2</v>
      </c>
      <c r="I342" s="8">
        <v>129</v>
      </c>
      <c r="J342" s="8">
        <v>47.444445550441742</v>
      </c>
      <c r="K342" s="8">
        <v>755</v>
      </c>
      <c r="L342" s="18">
        <f t="shared" si="17"/>
        <v>0.17086092715231788</v>
      </c>
      <c r="M342" s="18">
        <f t="shared" si="18"/>
        <v>0.36778639961582743</v>
      </c>
      <c r="N342" s="18">
        <f t="shared" si="19"/>
        <v>6.2840325232373165E-2</v>
      </c>
      <c r="O342" s="18">
        <f t="shared" si="20"/>
        <v>0.95864086847683327</v>
      </c>
      <c r="U342" s="21"/>
      <c r="V342" s="21"/>
      <c r="W342" s="21"/>
      <c r="AA342" s="21"/>
      <c r="AB342" s="21"/>
      <c r="AC342" s="21"/>
      <c r="AD342" s="21"/>
    </row>
    <row r="343" spans="1:30" ht="14.4">
      <c r="A343" s="8">
        <v>90502</v>
      </c>
      <c r="B343" s="9" t="s">
        <v>352</v>
      </c>
      <c r="C343" s="8">
        <v>147</v>
      </c>
      <c r="D343" s="8">
        <v>55.888889998197556</v>
      </c>
      <c r="E343" s="8">
        <v>847</v>
      </c>
      <c r="F343" s="18">
        <f t="shared" si="14"/>
        <v>0.17355371900826447</v>
      </c>
      <c r="G343" s="18">
        <f t="shared" si="15"/>
        <v>0.38019653059998337</v>
      </c>
      <c r="H343" s="18">
        <f t="shared" si="16"/>
        <v>6.5984521839666535E-2</v>
      </c>
      <c r="I343" s="8">
        <v>240</v>
      </c>
      <c r="J343" s="8">
        <v>84.000002384185791</v>
      </c>
      <c r="K343" s="8">
        <v>1638</v>
      </c>
      <c r="L343" s="18">
        <f t="shared" si="17"/>
        <v>0.14652014652014653</v>
      </c>
      <c r="M343" s="18">
        <f t="shared" si="18"/>
        <v>0.35000000993410746</v>
      </c>
      <c r="N343" s="18">
        <f t="shared" si="19"/>
        <v>5.1282052737598165E-2</v>
      </c>
      <c r="O343" s="18">
        <f t="shared" si="20"/>
        <v>0.77718306214609867</v>
      </c>
      <c r="U343" s="21"/>
      <c r="V343" s="21"/>
      <c r="W343" s="21"/>
      <c r="AA343" s="21"/>
      <c r="AB343" s="21"/>
      <c r="AC343" s="21"/>
      <c r="AD343" s="21"/>
    </row>
    <row r="344" spans="1:30" ht="14.4">
      <c r="A344" s="8">
        <v>90503</v>
      </c>
      <c r="B344" s="9" t="s">
        <v>353</v>
      </c>
      <c r="C344" s="8">
        <v>113</v>
      </c>
      <c r="D344" s="8">
        <v>43.222223341464996</v>
      </c>
      <c r="E344" s="8">
        <v>679</v>
      </c>
      <c r="F344" s="18">
        <f t="shared" si="14"/>
        <v>0.16642120765832105</v>
      </c>
      <c r="G344" s="18">
        <f t="shared" si="15"/>
        <v>0.38249755169438049</v>
      </c>
      <c r="H344" s="18">
        <f t="shared" si="16"/>
        <v>6.3655704479329889E-2</v>
      </c>
      <c r="I344" s="8">
        <v>352</v>
      </c>
      <c r="J344" s="8">
        <v>136.66667038202286</v>
      </c>
      <c r="K344" s="8">
        <v>1603</v>
      </c>
      <c r="L344" s="18">
        <f t="shared" si="17"/>
        <v>0.21958827199001871</v>
      </c>
      <c r="M344" s="18">
        <f t="shared" si="18"/>
        <v>0.38825758631256496</v>
      </c>
      <c r="N344" s="18">
        <f t="shared" si="19"/>
        <v>8.5256812465391685E-2</v>
      </c>
      <c r="O344" s="18">
        <f t="shared" si="20"/>
        <v>1.3393428470040112</v>
      </c>
      <c r="U344" s="21"/>
      <c r="V344" s="21"/>
      <c r="W344" s="21"/>
      <c r="AA344" s="21"/>
      <c r="AB344" s="21"/>
      <c r="AC344" s="21"/>
      <c r="AD344" s="21"/>
    </row>
    <row r="345" spans="1:30" ht="14.4">
      <c r="A345" s="9">
        <v>10</v>
      </c>
      <c r="B345" s="9" t="s">
        <v>354</v>
      </c>
      <c r="C345" s="8">
        <f t="shared" ref="C345:E345" si="21">SUM(C246:C248)</f>
        <v>4112</v>
      </c>
      <c r="D345" s="8">
        <f t="shared" si="21"/>
        <v>1589.3333727419376</v>
      </c>
      <c r="E345" s="8">
        <f t="shared" si="21"/>
        <v>36985</v>
      </c>
      <c r="F345" s="18">
        <f t="shared" si="14"/>
        <v>0.11118020819251048</v>
      </c>
      <c r="G345" s="18">
        <f t="shared" si="15"/>
        <v>0.38651103422712491</v>
      </c>
      <c r="H345" s="18">
        <f t="shared" si="16"/>
        <v>4.2972377254074288E-2</v>
      </c>
      <c r="I345" s="8">
        <f t="shared" ref="I345:K345" si="22">SUM(I246:I248)</f>
        <v>3799</v>
      </c>
      <c r="J345" s="8">
        <f t="shared" si="22"/>
        <v>1370.777813911438</v>
      </c>
      <c r="K345" s="8">
        <f t="shared" si="22"/>
        <v>117931</v>
      </c>
      <c r="L345" s="18">
        <f t="shared" si="17"/>
        <v>3.221375210928424E-2</v>
      </c>
      <c r="M345" s="18">
        <f t="shared" si="18"/>
        <v>0.36082595786034166</v>
      </c>
      <c r="N345" s="18">
        <f t="shared" si="19"/>
        <v>1.1623557961108087E-2</v>
      </c>
      <c r="O345" s="18">
        <f t="shared" si="20"/>
        <v>0.27048906073740747</v>
      </c>
      <c r="U345" s="21"/>
      <c r="V345" s="21"/>
      <c r="W345" s="21"/>
      <c r="AA345" s="21"/>
      <c r="AB345" s="21"/>
      <c r="AC345" s="21"/>
      <c r="AD345" s="21"/>
    </row>
    <row r="346" spans="1:30" ht="14.4">
      <c r="A346" s="9">
        <v>11</v>
      </c>
      <c r="B346" s="9" t="s">
        <v>355</v>
      </c>
      <c r="C346" s="8">
        <f t="shared" ref="C346:E346" si="23">SUM(C2:C344)</f>
        <v>688547</v>
      </c>
      <c r="D346" s="8">
        <f t="shared" si="23"/>
        <v>262644.3399258852</v>
      </c>
      <c r="E346" s="8">
        <f t="shared" si="23"/>
        <v>5169554</v>
      </c>
      <c r="F346" s="18">
        <f t="shared" si="14"/>
        <v>0.13319272803804738</v>
      </c>
      <c r="G346" s="18">
        <f t="shared" si="15"/>
        <v>0.38144722136017611</v>
      </c>
      <c r="H346" s="18">
        <f t="shared" si="16"/>
        <v>5.0805996015494792E-2</v>
      </c>
      <c r="I346" s="8">
        <f t="shared" ref="I346:K346" si="24">SUM(I2:I344)</f>
        <v>289037</v>
      </c>
      <c r="J346" s="8">
        <f t="shared" si="24"/>
        <v>106258.11381646991</v>
      </c>
      <c r="K346" s="8">
        <f t="shared" si="24"/>
        <v>5964576</v>
      </c>
      <c r="L346" s="18">
        <f t="shared" si="17"/>
        <v>4.8458934884893744E-2</v>
      </c>
      <c r="M346" s="18">
        <f t="shared" si="18"/>
        <v>0.36762806774381795</v>
      </c>
      <c r="N346" s="18">
        <f t="shared" si="19"/>
        <v>1.781486459665698E-2</v>
      </c>
      <c r="O346" s="18">
        <f t="shared" si="20"/>
        <v>0.35064492370593048</v>
      </c>
      <c r="U346" s="21"/>
      <c r="V346" s="21"/>
      <c r="W346" s="21"/>
      <c r="AA346" s="21"/>
      <c r="AB346" s="21"/>
      <c r="AC346" s="21"/>
      <c r="AD346" s="21"/>
    </row>
    <row r="347" spans="1:30" ht="14.4">
      <c r="C347" s="15"/>
      <c r="D347" s="15"/>
      <c r="E347" s="15"/>
      <c r="F347" s="21"/>
      <c r="G347" s="21"/>
      <c r="H347" s="21"/>
      <c r="L347" s="21"/>
      <c r="M347" s="21"/>
      <c r="N347" s="21"/>
      <c r="O347" s="21"/>
      <c r="U347" s="21"/>
      <c r="V347" s="21"/>
      <c r="W347" s="21"/>
      <c r="AA347" s="21"/>
      <c r="AB347" s="21"/>
      <c r="AC347" s="21"/>
      <c r="AD347" s="21"/>
    </row>
    <row r="348" spans="1:30" ht="14.4">
      <c r="C348" s="15"/>
      <c r="D348" s="15"/>
      <c r="E348" s="15"/>
      <c r="F348" s="21"/>
      <c r="G348" s="21"/>
      <c r="H348" s="21"/>
      <c r="L348" s="21"/>
      <c r="M348" s="21"/>
      <c r="N348" s="21"/>
      <c r="O348" s="21"/>
      <c r="U348" s="21"/>
      <c r="V348" s="21"/>
      <c r="W348" s="21"/>
      <c r="AA348" s="21"/>
      <c r="AB348" s="21"/>
      <c r="AC348" s="21"/>
      <c r="AD348" s="21"/>
    </row>
    <row r="349" spans="1:30" ht="14.4">
      <c r="C349" s="15"/>
      <c r="D349" s="15"/>
      <c r="E349" s="15"/>
      <c r="F349" s="21"/>
      <c r="G349" s="21"/>
      <c r="H349" s="21"/>
      <c r="L349" s="21"/>
      <c r="M349" s="21"/>
      <c r="N349" s="21"/>
      <c r="O349" s="21"/>
      <c r="U349" s="21"/>
      <c r="V349" s="21"/>
      <c r="W349" s="21"/>
      <c r="AA349" s="21"/>
      <c r="AB349" s="21"/>
      <c r="AC349" s="21"/>
      <c r="AD349" s="21"/>
    </row>
    <row r="350" spans="1:30" ht="14.4">
      <c r="C350" s="15"/>
      <c r="D350" s="15"/>
      <c r="E350" s="15"/>
      <c r="F350" s="21"/>
      <c r="G350" s="21"/>
      <c r="H350" s="21"/>
      <c r="L350" s="21"/>
      <c r="M350" s="21"/>
      <c r="N350" s="21"/>
      <c r="O350" s="21"/>
      <c r="U350" s="21"/>
      <c r="V350" s="21"/>
      <c r="W350" s="21"/>
      <c r="AA350" s="21"/>
      <c r="AB350" s="21"/>
      <c r="AC350" s="21"/>
      <c r="AD350" s="21"/>
    </row>
    <row r="351" spans="1:30" ht="14.4">
      <c r="C351" s="15"/>
      <c r="D351" s="15"/>
      <c r="E351" s="15"/>
      <c r="F351" s="21"/>
      <c r="G351" s="21"/>
      <c r="H351" s="21"/>
      <c r="L351" s="21"/>
      <c r="M351" s="21"/>
      <c r="N351" s="21"/>
      <c r="O351" s="21"/>
      <c r="U351" s="21"/>
      <c r="V351" s="21"/>
      <c r="W351" s="21"/>
      <c r="AA351" s="21"/>
      <c r="AB351" s="21"/>
      <c r="AC351" s="21"/>
      <c r="AD351" s="21"/>
    </row>
    <row r="352" spans="1:30" ht="14.4">
      <c r="C352" s="15"/>
      <c r="D352" s="15"/>
      <c r="E352" s="15"/>
      <c r="F352" s="21"/>
      <c r="G352" s="21"/>
      <c r="H352" s="21"/>
      <c r="L352" s="21"/>
      <c r="M352" s="21"/>
      <c r="N352" s="21"/>
      <c r="O352" s="21"/>
      <c r="U352" s="21"/>
      <c r="V352" s="21"/>
      <c r="W352" s="21"/>
      <c r="AA352" s="21"/>
      <c r="AB352" s="21"/>
      <c r="AC352" s="21"/>
      <c r="AD352" s="21"/>
    </row>
    <row r="353" spans="3:30" ht="14.4">
      <c r="C353" s="15"/>
      <c r="D353" s="15"/>
      <c r="E353" s="15"/>
      <c r="F353" s="21"/>
      <c r="G353" s="21"/>
      <c r="H353" s="21"/>
      <c r="L353" s="21"/>
      <c r="M353" s="21"/>
      <c r="N353" s="21"/>
      <c r="O353" s="21"/>
      <c r="U353" s="21"/>
      <c r="V353" s="21"/>
      <c r="W353" s="21"/>
      <c r="AA353" s="21"/>
      <c r="AB353" s="21"/>
      <c r="AC353" s="21"/>
      <c r="AD353" s="21"/>
    </row>
    <row r="354" spans="3:30" ht="14.4">
      <c r="C354" s="15"/>
      <c r="D354" s="15"/>
      <c r="E354" s="15"/>
      <c r="F354" s="21"/>
      <c r="G354" s="21"/>
      <c r="H354" s="21"/>
      <c r="L354" s="21"/>
      <c r="M354" s="21"/>
      <c r="N354" s="21"/>
      <c r="O354" s="21"/>
      <c r="U354" s="21"/>
      <c r="V354" s="21"/>
      <c r="W354" s="21"/>
      <c r="AA354" s="21"/>
      <c r="AB354" s="21"/>
      <c r="AC354" s="21"/>
      <c r="AD354" s="21"/>
    </row>
    <row r="355" spans="3:30" ht="14.4">
      <c r="C355" s="15"/>
      <c r="D355" s="15"/>
      <c r="E355" s="15"/>
      <c r="F355" s="21"/>
      <c r="G355" s="21"/>
      <c r="H355" s="21"/>
      <c r="L355" s="21"/>
      <c r="M355" s="21"/>
      <c r="N355" s="21"/>
      <c r="O355" s="21"/>
      <c r="U355" s="21"/>
      <c r="V355" s="21"/>
      <c r="W355" s="21"/>
      <c r="AA355" s="21"/>
      <c r="AB355" s="21"/>
      <c r="AC355" s="21"/>
      <c r="AD355" s="21"/>
    </row>
    <row r="356" spans="3:30" ht="14.4">
      <c r="C356" s="15"/>
      <c r="D356" s="15"/>
      <c r="E356" s="15"/>
      <c r="F356" s="21"/>
      <c r="G356" s="21"/>
      <c r="H356" s="21"/>
      <c r="L356" s="21"/>
      <c r="M356" s="21"/>
      <c r="N356" s="21"/>
      <c r="O356" s="21"/>
      <c r="U356" s="21"/>
      <c r="V356" s="21"/>
      <c r="W356" s="21"/>
      <c r="AA356" s="21"/>
      <c r="AB356" s="21"/>
      <c r="AC356" s="21"/>
      <c r="AD356" s="21"/>
    </row>
    <row r="357" spans="3:30" ht="14.4">
      <c r="C357" s="15"/>
      <c r="D357" s="15"/>
      <c r="E357" s="15"/>
      <c r="F357" s="21"/>
      <c r="G357" s="21"/>
      <c r="H357" s="21"/>
      <c r="L357" s="21"/>
      <c r="M357" s="21"/>
      <c r="N357" s="21"/>
      <c r="O357" s="21"/>
      <c r="U357" s="21"/>
      <c r="V357" s="21"/>
      <c r="W357" s="21"/>
      <c r="AA357" s="21"/>
      <c r="AB357" s="21"/>
      <c r="AC357" s="21"/>
      <c r="AD357" s="21"/>
    </row>
    <row r="358" spans="3:30" ht="14.4">
      <c r="C358" s="15"/>
      <c r="D358" s="15"/>
      <c r="E358" s="15"/>
      <c r="F358" s="21"/>
      <c r="G358" s="21"/>
      <c r="H358" s="21"/>
      <c r="L358" s="21"/>
      <c r="M358" s="21"/>
      <c r="N358" s="21"/>
      <c r="O358" s="21"/>
      <c r="U358" s="21"/>
      <c r="V358" s="21"/>
      <c r="W358" s="21"/>
      <c r="AA358" s="21"/>
      <c r="AB358" s="21"/>
      <c r="AC358" s="21"/>
      <c r="AD358" s="21"/>
    </row>
    <row r="359" spans="3:30" ht="14.4">
      <c r="C359" s="15"/>
      <c r="D359" s="15"/>
      <c r="E359" s="15"/>
      <c r="F359" s="21"/>
      <c r="G359" s="21"/>
      <c r="H359" s="21"/>
      <c r="L359" s="21"/>
      <c r="M359" s="21"/>
      <c r="N359" s="21"/>
      <c r="O359" s="21"/>
      <c r="U359" s="21"/>
      <c r="V359" s="21"/>
      <c r="W359" s="21"/>
      <c r="AA359" s="21"/>
      <c r="AB359" s="21"/>
      <c r="AC359" s="21"/>
      <c r="AD359" s="21"/>
    </row>
    <row r="360" spans="3:30" ht="14.4">
      <c r="C360" s="15"/>
      <c r="D360" s="15"/>
      <c r="E360" s="15"/>
      <c r="F360" s="21"/>
      <c r="G360" s="21"/>
      <c r="H360" s="21"/>
      <c r="L360" s="21"/>
      <c r="M360" s="21"/>
      <c r="N360" s="21"/>
      <c r="O360" s="21"/>
      <c r="U360" s="21"/>
      <c r="V360" s="21"/>
      <c r="W360" s="21"/>
      <c r="AA360" s="21"/>
      <c r="AB360" s="21"/>
      <c r="AC360" s="21"/>
      <c r="AD360" s="21"/>
    </row>
    <row r="361" spans="3:30" ht="14.4">
      <c r="C361" s="15"/>
      <c r="D361" s="15"/>
      <c r="E361" s="15"/>
      <c r="F361" s="21"/>
      <c r="G361" s="21"/>
      <c r="H361" s="21"/>
      <c r="L361" s="21"/>
      <c r="M361" s="21"/>
      <c r="N361" s="21"/>
      <c r="O361" s="21"/>
      <c r="U361" s="21"/>
      <c r="V361" s="21"/>
      <c r="W361" s="21"/>
      <c r="AA361" s="21"/>
      <c r="AB361" s="21"/>
      <c r="AC361" s="21"/>
      <c r="AD361" s="21"/>
    </row>
    <row r="362" spans="3:30" ht="14.4">
      <c r="C362" s="15"/>
      <c r="D362" s="15"/>
      <c r="E362" s="15"/>
      <c r="F362" s="21"/>
      <c r="G362" s="21"/>
      <c r="H362" s="21"/>
      <c r="L362" s="21"/>
      <c r="M362" s="21"/>
      <c r="N362" s="21"/>
      <c r="O362" s="21"/>
      <c r="U362" s="21"/>
      <c r="V362" s="21"/>
      <c r="W362" s="21"/>
      <c r="AA362" s="21"/>
      <c r="AB362" s="21"/>
      <c r="AC362" s="21"/>
      <c r="AD362" s="21"/>
    </row>
    <row r="363" spans="3:30" ht="14.4">
      <c r="C363" s="15"/>
      <c r="D363" s="15"/>
      <c r="E363" s="15"/>
      <c r="F363" s="21"/>
      <c r="G363" s="21"/>
      <c r="H363" s="21"/>
      <c r="L363" s="21"/>
      <c r="M363" s="21"/>
      <c r="N363" s="21"/>
      <c r="O363" s="21"/>
      <c r="U363" s="21"/>
      <c r="V363" s="21"/>
      <c r="W363" s="21"/>
      <c r="AA363" s="21"/>
      <c r="AB363" s="21"/>
      <c r="AC363" s="21"/>
      <c r="AD363" s="21"/>
    </row>
    <row r="364" spans="3:30" ht="14.4">
      <c r="C364" s="15"/>
      <c r="D364" s="15"/>
      <c r="E364" s="15"/>
      <c r="F364" s="21"/>
      <c r="G364" s="21"/>
      <c r="H364" s="21"/>
      <c r="L364" s="21"/>
      <c r="M364" s="21"/>
      <c r="N364" s="21"/>
      <c r="O364" s="21"/>
      <c r="U364" s="21"/>
      <c r="V364" s="21"/>
      <c r="W364" s="21"/>
      <c r="AA364" s="21"/>
      <c r="AB364" s="21"/>
      <c r="AC364" s="21"/>
      <c r="AD364" s="21"/>
    </row>
    <row r="365" spans="3:30" ht="14.4">
      <c r="C365" s="15"/>
      <c r="D365" s="15"/>
      <c r="E365" s="15"/>
      <c r="F365" s="21"/>
      <c r="G365" s="21"/>
      <c r="H365" s="21"/>
      <c r="L365" s="21"/>
      <c r="M365" s="21"/>
      <c r="N365" s="21"/>
      <c r="O365" s="21"/>
      <c r="U365" s="21"/>
      <c r="V365" s="21"/>
      <c r="W365" s="21"/>
      <c r="AA365" s="21"/>
      <c r="AB365" s="21"/>
      <c r="AC365" s="21"/>
      <c r="AD365" s="21"/>
    </row>
    <row r="366" spans="3:30" ht="14.4">
      <c r="C366" s="15"/>
      <c r="D366" s="15"/>
      <c r="E366" s="15"/>
      <c r="F366" s="21"/>
      <c r="G366" s="21"/>
      <c r="H366" s="21"/>
      <c r="L366" s="21"/>
      <c r="M366" s="21"/>
      <c r="N366" s="21"/>
      <c r="O366" s="21"/>
      <c r="U366" s="21"/>
      <c r="V366" s="21"/>
      <c r="W366" s="21"/>
      <c r="AA366" s="21"/>
      <c r="AB366" s="21"/>
      <c r="AC366" s="21"/>
      <c r="AD366" s="21"/>
    </row>
    <row r="367" spans="3:30" ht="14.4">
      <c r="C367" s="15"/>
      <c r="D367" s="15"/>
      <c r="E367" s="15"/>
      <c r="F367" s="21"/>
      <c r="G367" s="21"/>
      <c r="H367" s="21"/>
      <c r="L367" s="21"/>
      <c r="M367" s="21"/>
      <c r="N367" s="21"/>
      <c r="O367" s="21"/>
      <c r="U367" s="21"/>
      <c r="V367" s="21"/>
      <c r="W367" s="21"/>
      <c r="AA367" s="21"/>
      <c r="AB367" s="21"/>
      <c r="AC367" s="21"/>
      <c r="AD367" s="21"/>
    </row>
    <row r="368" spans="3:30" ht="14.4">
      <c r="C368" s="15"/>
      <c r="D368" s="15"/>
      <c r="E368" s="15"/>
      <c r="F368" s="21"/>
      <c r="G368" s="21"/>
      <c r="H368" s="21"/>
      <c r="L368" s="21"/>
      <c r="M368" s="21"/>
      <c r="N368" s="21"/>
      <c r="O368" s="21"/>
      <c r="U368" s="21"/>
      <c r="V368" s="21"/>
      <c r="W368" s="21"/>
      <c r="AA368" s="21"/>
      <c r="AB368" s="21"/>
      <c r="AC368" s="21"/>
      <c r="AD368" s="21"/>
    </row>
    <row r="369" spans="3:30" ht="14.4">
      <c r="C369" s="15"/>
      <c r="D369" s="15"/>
      <c r="E369" s="15"/>
      <c r="F369" s="21"/>
      <c r="G369" s="21"/>
      <c r="H369" s="21"/>
      <c r="L369" s="21"/>
      <c r="M369" s="21"/>
      <c r="N369" s="21"/>
      <c r="O369" s="21"/>
      <c r="U369" s="21"/>
      <c r="V369" s="21"/>
      <c r="W369" s="21"/>
      <c r="AA369" s="21"/>
      <c r="AB369" s="21"/>
      <c r="AC369" s="21"/>
      <c r="AD369" s="21"/>
    </row>
    <row r="370" spans="3:30" ht="14.4">
      <c r="C370" s="15"/>
      <c r="D370" s="15"/>
      <c r="E370" s="15"/>
      <c r="F370" s="21"/>
      <c r="G370" s="21"/>
      <c r="H370" s="21"/>
      <c r="L370" s="21"/>
      <c r="M370" s="21"/>
      <c r="N370" s="21"/>
      <c r="O370" s="21"/>
      <c r="U370" s="21"/>
      <c r="V370" s="21"/>
      <c r="W370" s="21"/>
      <c r="AA370" s="21"/>
      <c r="AB370" s="21"/>
      <c r="AC370" s="21"/>
      <c r="AD370" s="21"/>
    </row>
    <row r="371" spans="3:30" ht="14.4">
      <c r="C371" s="15"/>
      <c r="D371" s="15"/>
      <c r="E371" s="15"/>
      <c r="F371" s="21"/>
      <c r="G371" s="21"/>
      <c r="H371" s="21"/>
      <c r="L371" s="21"/>
      <c r="M371" s="21"/>
      <c r="N371" s="21"/>
      <c r="O371" s="21"/>
      <c r="U371" s="21"/>
      <c r="V371" s="21"/>
      <c r="W371" s="21"/>
      <c r="AA371" s="21"/>
      <c r="AB371" s="21"/>
      <c r="AC371" s="21"/>
      <c r="AD371" s="21"/>
    </row>
    <row r="372" spans="3:30" ht="14.4">
      <c r="C372" s="15"/>
      <c r="D372" s="15"/>
      <c r="E372" s="15"/>
      <c r="F372" s="21"/>
      <c r="G372" s="21"/>
      <c r="H372" s="21"/>
      <c r="L372" s="21"/>
      <c r="M372" s="21"/>
      <c r="N372" s="21"/>
      <c r="O372" s="21"/>
      <c r="U372" s="21"/>
      <c r="V372" s="21"/>
      <c r="W372" s="21"/>
      <c r="AA372" s="21"/>
      <c r="AB372" s="21"/>
      <c r="AC372" s="21"/>
      <c r="AD372" s="21"/>
    </row>
    <row r="373" spans="3:30" ht="14.4">
      <c r="C373" s="15"/>
      <c r="D373" s="15"/>
      <c r="E373" s="15"/>
      <c r="F373" s="21"/>
      <c r="G373" s="21"/>
      <c r="H373" s="21"/>
      <c r="L373" s="21"/>
      <c r="M373" s="21"/>
      <c r="N373" s="21"/>
      <c r="O373" s="21"/>
      <c r="U373" s="21"/>
      <c r="V373" s="21"/>
      <c r="W373" s="21"/>
      <c r="AA373" s="21"/>
      <c r="AB373" s="21"/>
      <c r="AC373" s="21"/>
      <c r="AD373" s="21"/>
    </row>
    <row r="374" spans="3:30" ht="14.4">
      <c r="C374" s="15"/>
      <c r="D374" s="15"/>
      <c r="E374" s="15"/>
      <c r="F374" s="21"/>
      <c r="G374" s="21"/>
      <c r="H374" s="21"/>
      <c r="L374" s="21"/>
      <c r="M374" s="21"/>
      <c r="N374" s="21"/>
      <c r="O374" s="21"/>
      <c r="U374" s="21"/>
      <c r="V374" s="21"/>
      <c r="W374" s="21"/>
      <c r="AA374" s="21"/>
      <c r="AB374" s="21"/>
      <c r="AC374" s="21"/>
      <c r="AD374" s="21"/>
    </row>
    <row r="375" spans="3:30" ht="14.4">
      <c r="C375" s="15"/>
      <c r="D375" s="15"/>
      <c r="E375" s="15"/>
      <c r="F375" s="21"/>
      <c r="G375" s="21"/>
      <c r="H375" s="21"/>
      <c r="L375" s="21"/>
      <c r="M375" s="21"/>
      <c r="N375" s="21"/>
      <c r="O375" s="21"/>
      <c r="U375" s="21"/>
      <c r="V375" s="21"/>
      <c r="W375" s="21"/>
      <c r="AA375" s="21"/>
      <c r="AB375" s="21"/>
      <c r="AC375" s="21"/>
      <c r="AD375" s="21"/>
    </row>
    <row r="376" spans="3:30" ht="14.4">
      <c r="C376" s="15"/>
      <c r="D376" s="15"/>
      <c r="E376" s="15"/>
      <c r="F376" s="21"/>
      <c r="G376" s="21"/>
      <c r="H376" s="21"/>
      <c r="L376" s="21"/>
      <c r="M376" s="21"/>
      <c r="N376" s="21"/>
      <c r="O376" s="21"/>
      <c r="U376" s="21"/>
      <c r="V376" s="21"/>
      <c r="W376" s="21"/>
      <c r="AA376" s="21"/>
      <c r="AB376" s="21"/>
      <c r="AC376" s="21"/>
      <c r="AD376" s="21"/>
    </row>
    <row r="377" spans="3:30" ht="14.4">
      <c r="C377" s="15"/>
      <c r="D377" s="15"/>
      <c r="E377" s="15"/>
      <c r="F377" s="21"/>
      <c r="G377" s="21"/>
      <c r="H377" s="21"/>
      <c r="L377" s="21"/>
      <c r="M377" s="21"/>
      <c r="N377" s="21"/>
      <c r="O377" s="21"/>
      <c r="U377" s="21"/>
      <c r="V377" s="21"/>
      <c r="W377" s="21"/>
      <c r="AA377" s="21"/>
      <c r="AB377" s="21"/>
      <c r="AC377" s="21"/>
      <c r="AD377" s="21"/>
    </row>
    <row r="378" spans="3:30" ht="14.4">
      <c r="C378" s="15"/>
      <c r="D378" s="15"/>
      <c r="E378" s="15"/>
      <c r="F378" s="21"/>
      <c r="G378" s="21"/>
      <c r="H378" s="21"/>
      <c r="L378" s="21"/>
      <c r="M378" s="21"/>
      <c r="N378" s="21"/>
      <c r="O378" s="21"/>
      <c r="U378" s="21"/>
      <c r="V378" s="21"/>
      <c r="W378" s="21"/>
      <c r="AA378" s="21"/>
      <c r="AB378" s="21"/>
      <c r="AC378" s="21"/>
      <c r="AD378" s="21"/>
    </row>
    <row r="379" spans="3:30" ht="14.4">
      <c r="C379" s="15"/>
      <c r="D379" s="15"/>
      <c r="E379" s="15"/>
      <c r="F379" s="21"/>
      <c r="G379" s="21"/>
      <c r="H379" s="21"/>
      <c r="L379" s="21"/>
      <c r="M379" s="21"/>
      <c r="N379" s="21"/>
      <c r="O379" s="21"/>
      <c r="U379" s="21"/>
      <c r="V379" s="21"/>
      <c r="W379" s="21"/>
      <c r="AA379" s="21"/>
      <c r="AB379" s="21"/>
      <c r="AC379" s="21"/>
      <c r="AD379" s="21"/>
    </row>
    <row r="380" spans="3:30" ht="14.4">
      <c r="C380" s="15"/>
      <c r="D380" s="15"/>
      <c r="E380" s="15"/>
      <c r="F380" s="21"/>
      <c r="G380" s="21"/>
      <c r="H380" s="21"/>
      <c r="L380" s="21"/>
      <c r="M380" s="21"/>
      <c r="N380" s="21"/>
      <c r="O380" s="21"/>
      <c r="U380" s="21"/>
      <c r="V380" s="21"/>
      <c r="W380" s="21"/>
      <c r="AA380" s="21"/>
      <c r="AB380" s="21"/>
      <c r="AC380" s="21"/>
      <c r="AD380" s="21"/>
    </row>
    <row r="381" spans="3:30" ht="14.4">
      <c r="C381" s="15"/>
      <c r="D381" s="15"/>
      <c r="E381" s="15"/>
      <c r="F381" s="21"/>
      <c r="G381" s="21"/>
      <c r="H381" s="21"/>
      <c r="L381" s="21"/>
      <c r="M381" s="21"/>
      <c r="N381" s="21"/>
      <c r="O381" s="21"/>
      <c r="U381" s="21"/>
      <c r="V381" s="21"/>
      <c r="W381" s="21"/>
      <c r="AA381" s="21"/>
      <c r="AB381" s="21"/>
      <c r="AC381" s="21"/>
      <c r="AD381" s="21"/>
    </row>
    <row r="382" spans="3:30" ht="14.4">
      <c r="C382" s="15"/>
      <c r="D382" s="15"/>
      <c r="E382" s="15"/>
      <c r="F382" s="21"/>
      <c r="G382" s="21"/>
      <c r="H382" s="21"/>
      <c r="L382" s="21"/>
      <c r="M382" s="21"/>
      <c r="N382" s="21"/>
      <c r="O382" s="21"/>
      <c r="U382" s="21"/>
      <c r="V382" s="21"/>
      <c r="W382" s="21"/>
      <c r="AA382" s="21"/>
      <c r="AB382" s="21"/>
      <c r="AC382" s="21"/>
      <c r="AD382" s="21"/>
    </row>
    <row r="383" spans="3:30" ht="14.4">
      <c r="C383" s="15"/>
      <c r="D383" s="15"/>
      <c r="E383" s="15"/>
      <c r="F383" s="21"/>
      <c r="G383" s="21"/>
      <c r="H383" s="21"/>
      <c r="L383" s="21"/>
      <c r="M383" s="21"/>
      <c r="N383" s="21"/>
      <c r="O383" s="21"/>
      <c r="U383" s="21"/>
      <c r="V383" s="21"/>
      <c r="W383" s="21"/>
      <c r="AA383" s="21"/>
      <c r="AB383" s="21"/>
      <c r="AC383" s="21"/>
      <c r="AD383" s="21"/>
    </row>
    <row r="384" spans="3:30" ht="14.4">
      <c r="C384" s="15"/>
      <c r="D384" s="15"/>
      <c r="E384" s="15"/>
      <c r="F384" s="21"/>
      <c r="G384" s="21"/>
      <c r="H384" s="21"/>
      <c r="L384" s="21"/>
      <c r="M384" s="21"/>
      <c r="N384" s="21"/>
      <c r="O384" s="21"/>
      <c r="U384" s="21"/>
      <c r="V384" s="21"/>
      <c r="W384" s="21"/>
      <c r="AA384" s="21"/>
      <c r="AB384" s="21"/>
      <c r="AC384" s="21"/>
      <c r="AD384" s="21"/>
    </row>
    <row r="385" spans="3:30" ht="14.4">
      <c r="C385" s="15"/>
      <c r="D385" s="15"/>
      <c r="E385" s="15"/>
      <c r="F385" s="21"/>
      <c r="G385" s="21"/>
      <c r="H385" s="21"/>
      <c r="L385" s="21"/>
      <c r="M385" s="21"/>
      <c r="N385" s="21"/>
      <c r="O385" s="21"/>
      <c r="U385" s="21"/>
      <c r="V385" s="21"/>
      <c r="W385" s="21"/>
      <c r="AA385" s="21"/>
      <c r="AB385" s="21"/>
      <c r="AC385" s="21"/>
      <c r="AD385" s="21"/>
    </row>
    <row r="386" spans="3:30" ht="14.4">
      <c r="C386" s="15"/>
      <c r="D386" s="15"/>
      <c r="E386" s="15"/>
      <c r="F386" s="21"/>
      <c r="G386" s="21"/>
      <c r="H386" s="21"/>
      <c r="L386" s="21"/>
      <c r="M386" s="21"/>
      <c r="N386" s="21"/>
      <c r="O386" s="21"/>
      <c r="U386" s="21"/>
      <c r="V386" s="21"/>
      <c r="W386" s="21"/>
      <c r="AA386" s="21"/>
      <c r="AB386" s="21"/>
      <c r="AC386" s="21"/>
      <c r="AD386" s="21"/>
    </row>
    <row r="387" spans="3:30" ht="14.4">
      <c r="C387" s="15"/>
      <c r="D387" s="15"/>
      <c r="E387" s="15"/>
      <c r="F387" s="21"/>
      <c r="G387" s="21"/>
      <c r="H387" s="21"/>
      <c r="L387" s="21"/>
      <c r="M387" s="21"/>
      <c r="N387" s="21"/>
      <c r="O387" s="21"/>
      <c r="U387" s="21"/>
      <c r="V387" s="21"/>
      <c r="W387" s="21"/>
      <c r="AA387" s="21"/>
      <c r="AB387" s="21"/>
      <c r="AC387" s="21"/>
      <c r="AD387" s="21"/>
    </row>
    <row r="388" spans="3:30" ht="14.4">
      <c r="C388" s="15"/>
      <c r="D388" s="15"/>
      <c r="E388" s="15"/>
      <c r="F388" s="21"/>
      <c r="G388" s="21"/>
      <c r="H388" s="21"/>
      <c r="L388" s="21"/>
      <c r="M388" s="21"/>
      <c r="N388" s="21"/>
      <c r="O388" s="21"/>
      <c r="U388" s="21"/>
      <c r="V388" s="21"/>
      <c r="W388" s="21"/>
      <c r="AA388" s="21"/>
      <c r="AB388" s="21"/>
      <c r="AC388" s="21"/>
      <c r="AD388" s="21"/>
    </row>
    <row r="389" spans="3:30" ht="14.4">
      <c r="C389" s="15"/>
      <c r="D389" s="15"/>
      <c r="E389" s="15"/>
      <c r="F389" s="21"/>
      <c r="G389" s="21"/>
      <c r="H389" s="21"/>
      <c r="L389" s="21"/>
      <c r="M389" s="21"/>
      <c r="N389" s="21"/>
      <c r="O389" s="21"/>
      <c r="U389" s="21"/>
      <c r="V389" s="21"/>
      <c r="W389" s="21"/>
      <c r="AA389" s="21"/>
      <c r="AB389" s="21"/>
      <c r="AC389" s="21"/>
      <c r="AD389" s="21"/>
    </row>
    <row r="390" spans="3:30" ht="14.4">
      <c r="C390" s="15"/>
      <c r="D390" s="15"/>
      <c r="E390" s="15"/>
      <c r="F390" s="21"/>
      <c r="G390" s="21"/>
      <c r="H390" s="21"/>
      <c r="L390" s="21"/>
      <c r="M390" s="21"/>
      <c r="N390" s="21"/>
      <c r="O390" s="21"/>
      <c r="U390" s="21"/>
      <c r="V390" s="21"/>
      <c r="W390" s="21"/>
      <c r="AA390" s="21"/>
      <c r="AB390" s="21"/>
      <c r="AC390" s="21"/>
      <c r="AD390" s="21"/>
    </row>
    <row r="391" spans="3:30" ht="14.4">
      <c r="C391" s="15"/>
      <c r="D391" s="15"/>
      <c r="E391" s="15"/>
      <c r="F391" s="21"/>
      <c r="G391" s="21"/>
      <c r="H391" s="21"/>
      <c r="L391" s="21"/>
      <c r="M391" s="21"/>
      <c r="N391" s="21"/>
      <c r="O391" s="21"/>
      <c r="U391" s="21"/>
      <c r="V391" s="21"/>
      <c r="W391" s="21"/>
      <c r="AA391" s="21"/>
      <c r="AB391" s="21"/>
      <c r="AC391" s="21"/>
      <c r="AD391" s="21"/>
    </row>
    <row r="392" spans="3:30" ht="14.4">
      <c r="C392" s="15"/>
      <c r="D392" s="15"/>
      <c r="E392" s="15"/>
      <c r="F392" s="21"/>
      <c r="G392" s="21"/>
      <c r="H392" s="21"/>
      <c r="L392" s="21"/>
      <c r="M392" s="21"/>
      <c r="N392" s="21"/>
      <c r="O392" s="21"/>
      <c r="U392" s="21"/>
      <c r="V392" s="21"/>
      <c r="W392" s="21"/>
      <c r="AA392" s="21"/>
      <c r="AB392" s="21"/>
      <c r="AC392" s="21"/>
      <c r="AD392" s="21"/>
    </row>
    <row r="393" spans="3:30" ht="14.4">
      <c r="C393" s="15"/>
      <c r="D393" s="15"/>
      <c r="E393" s="15"/>
      <c r="F393" s="21"/>
      <c r="G393" s="21"/>
      <c r="H393" s="21"/>
      <c r="L393" s="21"/>
      <c r="M393" s="21"/>
      <c r="N393" s="21"/>
      <c r="O393" s="21"/>
      <c r="U393" s="21"/>
      <c r="V393" s="21"/>
      <c r="W393" s="21"/>
      <c r="AA393" s="21"/>
      <c r="AB393" s="21"/>
      <c r="AC393" s="21"/>
      <c r="AD393" s="21"/>
    </row>
    <row r="394" spans="3:30" ht="14.4">
      <c r="C394" s="15"/>
      <c r="D394" s="15"/>
      <c r="E394" s="15"/>
      <c r="F394" s="21"/>
      <c r="G394" s="21"/>
      <c r="H394" s="21"/>
      <c r="L394" s="21"/>
      <c r="M394" s="21"/>
      <c r="N394" s="21"/>
      <c r="O394" s="21"/>
      <c r="U394" s="21"/>
      <c r="V394" s="21"/>
      <c r="W394" s="21"/>
      <c r="AA394" s="21"/>
      <c r="AB394" s="21"/>
      <c r="AC394" s="21"/>
      <c r="AD394" s="21"/>
    </row>
    <row r="395" spans="3:30" ht="14.4">
      <c r="C395" s="15"/>
      <c r="D395" s="15"/>
      <c r="E395" s="15"/>
      <c r="F395" s="21"/>
      <c r="G395" s="21"/>
      <c r="H395" s="21"/>
      <c r="L395" s="21"/>
      <c r="M395" s="21"/>
      <c r="N395" s="21"/>
      <c r="O395" s="21"/>
      <c r="U395" s="21"/>
      <c r="V395" s="21"/>
      <c r="W395" s="21"/>
      <c r="AA395" s="21"/>
      <c r="AB395" s="21"/>
      <c r="AC395" s="21"/>
      <c r="AD395" s="21"/>
    </row>
    <row r="396" spans="3:30" ht="14.4">
      <c r="C396" s="15"/>
      <c r="D396" s="15"/>
      <c r="E396" s="15"/>
      <c r="F396" s="21"/>
      <c r="G396" s="21"/>
      <c r="H396" s="21"/>
      <c r="L396" s="21"/>
      <c r="M396" s="21"/>
      <c r="N396" s="21"/>
      <c r="O396" s="21"/>
      <c r="U396" s="21"/>
      <c r="V396" s="21"/>
      <c r="W396" s="21"/>
      <c r="AA396" s="21"/>
      <c r="AB396" s="21"/>
      <c r="AC396" s="21"/>
      <c r="AD396" s="21"/>
    </row>
    <row r="397" spans="3:30" ht="14.4">
      <c r="C397" s="15"/>
      <c r="D397" s="15"/>
      <c r="E397" s="15"/>
      <c r="F397" s="21"/>
      <c r="G397" s="21"/>
      <c r="H397" s="21"/>
      <c r="L397" s="21"/>
      <c r="M397" s="21"/>
      <c r="N397" s="21"/>
      <c r="O397" s="21"/>
      <c r="U397" s="21"/>
      <c r="V397" s="21"/>
      <c r="W397" s="21"/>
      <c r="AA397" s="21"/>
      <c r="AB397" s="21"/>
      <c r="AC397" s="21"/>
      <c r="AD397" s="21"/>
    </row>
    <row r="398" spans="3:30" ht="14.4">
      <c r="C398" s="15"/>
      <c r="D398" s="15"/>
      <c r="E398" s="15"/>
      <c r="F398" s="21"/>
      <c r="G398" s="21"/>
      <c r="H398" s="21"/>
      <c r="L398" s="21"/>
      <c r="M398" s="21"/>
      <c r="N398" s="21"/>
      <c r="O398" s="21"/>
      <c r="U398" s="21"/>
      <c r="V398" s="21"/>
      <c r="W398" s="21"/>
      <c r="AA398" s="21"/>
      <c r="AB398" s="21"/>
      <c r="AC398" s="21"/>
      <c r="AD398" s="21"/>
    </row>
    <row r="399" spans="3:30" ht="14.4">
      <c r="C399" s="15"/>
      <c r="D399" s="15"/>
      <c r="E399" s="15"/>
      <c r="F399" s="21"/>
      <c r="G399" s="21"/>
      <c r="H399" s="21"/>
      <c r="L399" s="21"/>
      <c r="M399" s="21"/>
      <c r="N399" s="21"/>
      <c r="O399" s="21"/>
      <c r="U399" s="21"/>
      <c r="V399" s="21"/>
      <c r="W399" s="21"/>
      <c r="AA399" s="21"/>
      <c r="AB399" s="21"/>
      <c r="AC399" s="21"/>
      <c r="AD399" s="21"/>
    </row>
    <row r="400" spans="3:30" ht="14.4">
      <c r="C400" s="15"/>
      <c r="D400" s="15"/>
      <c r="E400" s="15"/>
      <c r="F400" s="21"/>
      <c r="G400" s="21"/>
      <c r="H400" s="21"/>
      <c r="L400" s="21"/>
      <c r="M400" s="21"/>
      <c r="N400" s="21"/>
      <c r="O400" s="21"/>
      <c r="U400" s="21"/>
      <c r="V400" s="21"/>
      <c r="W400" s="21"/>
      <c r="AA400" s="21"/>
      <c r="AB400" s="21"/>
      <c r="AC400" s="21"/>
      <c r="AD400" s="21"/>
    </row>
    <row r="401" spans="3:30" ht="14.4">
      <c r="C401" s="15"/>
      <c r="D401" s="15"/>
      <c r="E401" s="15"/>
      <c r="F401" s="21"/>
      <c r="G401" s="21"/>
      <c r="H401" s="21"/>
      <c r="L401" s="21"/>
      <c r="M401" s="21"/>
      <c r="N401" s="21"/>
      <c r="O401" s="21"/>
      <c r="U401" s="21"/>
      <c r="V401" s="21"/>
      <c r="W401" s="21"/>
      <c r="AA401" s="21"/>
      <c r="AB401" s="21"/>
      <c r="AC401" s="21"/>
      <c r="AD401" s="21"/>
    </row>
    <row r="402" spans="3:30" ht="14.4">
      <c r="C402" s="15"/>
      <c r="D402" s="15"/>
      <c r="E402" s="15"/>
      <c r="F402" s="21"/>
      <c r="G402" s="21"/>
      <c r="H402" s="21"/>
      <c r="L402" s="21"/>
      <c r="M402" s="21"/>
      <c r="N402" s="21"/>
      <c r="O402" s="21"/>
      <c r="U402" s="21"/>
      <c r="V402" s="21"/>
      <c r="W402" s="21"/>
      <c r="AA402" s="21"/>
      <c r="AB402" s="21"/>
      <c r="AC402" s="21"/>
      <c r="AD402" s="21"/>
    </row>
    <row r="403" spans="3:30" ht="14.4">
      <c r="C403" s="15"/>
      <c r="D403" s="15"/>
      <c r="E403" s="15"/>
      <c r="F403" s="21"/>
      <c r="G403" s="21"/>
      <c r="H403" s="21"/>
      <c r="L403" s="21"/>
      <c r="M403" s="21"/>
      <c r="N403" s="21"/>
      <c r="O403" s="21"/>
      <c r="U403" s="21"/>
      <c r="V403" s="21"/>
      <c r="W403" s="21"/>
      <c r="AA403" s="21"/>
      <c r="AB403" s="21"/>
      <c r="AC403" s="21"/>
      <c r="AD403" s="21"/>
    </row>
    <row r="404" spans="3:30" ht="14.4">
      <c r="C404" s="15"/>
      <c r="D404" s="15"/>
      <c r="E404" s="15"/>
      <c r="F404" s="21"/>
      <c r="G404" s="21"/>
      <c r="H404" s="21"/>
      <c r="L404" s="21"/>
      <c r="M404" s="21"/>
      <c r="N404" s="21"/>
      <c r="O404" s="21"/>
      <c r="U404" s="21"/>
      <c r="V404" s="21"/>
      <c r="W404" s="21"/>
      <c r="AA404" s="21"/>
      <c r="AB404" s="21"/>
      <c r="AC404" s="21"/>
      <c r="AD404" s="21"/>
    </row>
    <row r="405" spans="3:30" ht="14.4">
      <c r="C405" s="15"/>
      <c r="D405" s="15"/>
      <c r="E405" s="15"/>
      <c r="F405" s="21"/>
      <c r="G405" s="21"/>
      <c r="H405" s="21"/>
      <c r="L405" s="21"/>
      <c r="M405" s="21"/>
      <c r="N405" s="21"/>
      <c r="O405" s="21"/>
      <c r="U405" s="21"/>
      <c r="V405" s="21"/>
      <c r="W405" s="21"/>
      <c r="AA405" s="21"/>
      <c r="AB405" s="21"/>
      <c r="AC405" s="21"/>
      <c r="AD405" s="21"/>
    </row>
    <row r="406" spans="3:30" ht="14.4">
      <c r="C406" s="15"/>
      <c r="D406" s="15"/>
      <c r="E406" s="15"/>
      <c r="F406" s="21"/>
      <c r="G406" s="21"/>
      <c r="H406" s="21"/>
      <c r="L406" s="21"/>
      <c r="M406" s="21"/>
      <c r="N406" s="21"/>
      <c r="O406" s="21"/>
      <c r="U406" s="21"/>
      <c r="V406" s="21"/>
      <c r="W406" s="21"/>
      <c r="AA406" s="21"/>
      <c r="AB406" s="21"/>
      <c r="AC406" s="21"/>
      <c r="AD406" s="21"/>
    </row>
    <row r="407" spans="3:30" ht="14.4">
      <c r="C407" s="15"/>
      <c r="D407" s="15"/>
      <c r="E407" s="15"/>
      <c r="F407" s="21"/>
      <c r="G407" s="21"/>
      <c r="H407" s="21"/>
      <c r="L407" s="21"/>
      <c r="M407" s="21"/>
      <c r="N407" s="21"/>
      <c r="O407" s="21"/>
      <c r="U407" s="21"/>
      <c r="V407" s="21"/>
      <c r="W407" s="21"/>
      <c r="AA407" s="21"/>
      <c r="AB407" s="21"/>
      <c r="AC407" s="21"/>
      <c r="AD407" s="21"/>
    </row>
    <row r="408" spans="3:30" ht="14.4">
      <c r="C408" s="15"/>
      <c r="D408" s="15"/>
      <c r="E408" s="15"/>
      <c r="F408" s="21"/>
      <c r="G408" s="21"/>
      <c r="H408" s="21"/>
      <c r="L408" s="21"/>
      <c r="M408" s="21"/>
      <c r="N408" s="21"/>
      <c r="O408" s="21"/>
      <c r="U408" s="21"/>
      <c r="V408" s="21"/>
      <c r="W408" s="21"/>
      <c r="AA408" s="21"/>
      <c r="AB408" s="21"/>
      <c r="AC408" s="21"/>
      <c r="AD408" s="21"/>
    </row>
    <row r="409" spans="3:30" ht="14.4">
      <c r="C409" s="15"/>
      <c r="D409" s="15"/>
      <c r="E409" s="15"/>
      <c r="F409" s="21"/>
      <c r="G409" s="21"/>
      <c r="H409" s="21"/>
      <c r="L409" s="21"/>
      <c r="M409" s="21"/>
      <c r="N409" s="21"/>
      <c r="O409" s="21"/>
      <c r="U409" s="21"/>
      <c r="V409" s="21"/>
      <c r="W409" s="21"/>
      <c r="AA409" s="21"/>
      <c r="AB409" s="21"/>
      <c r="AC409" s="21"/>
      <c r="AD409" s="21"/>
    </row>
    <row r="410" spans="3:30" ht="14.4">
      <c r="C410" s="15"/>
      <c r="D410" s="15"/>
      <c r="E410" s="15"/>
      <c r="F410" s="21"/>
      <c r="G410" s="21"/>
      <c r="H410" s="21"/>
      <c r="L410" s="21"/>
      <c r="M410" s="21"/>
      <c r="N410" s="21"/>
      <c r="O410" s="21"/>
      <c r="U410" s="21"/>
      <c r="V410" s="21"/>
      <c r="W410" s="21"/>
      <c r="AA410" s="21"/>
      <c r="AB410" s="21"/>
      <c r="AC410" s="21"/>
      <c r="AD410" s="21"/>
    </row>
    <row r="411" spans="3:30" ht="14.4">
      <c r="C411" s="15"/>
      <c r="D411" s="15"/>
      <c r="E411" s="15"/>
      <c r="F411" s="21"/>
      <c r="G411" s="21"/>
      <c r="H411" s="21"/>
      <c r="L411" s="21"/>
      <c r="M411" s="21"/>
      <c r="N411" s="21"/>
      <c r="O411" s="21"/>
      <c r="U411" s="21"/>
      <c r="V411" s="21"/>
      <c r="W411" s="21"/>
      <c r="AA411" s="21"/>
      <c r="AB411" s="21"/>
      <c r="AC411" s="21"/>
      <c r="AD411" s="21"/>
    </row>
    <row r="412" spans="3:30" ht="14.4">
      <c r="C412" s="15"/>
      <c r="D412" s="15"/>
      <c r="E412" s="15"/>
      <c r="F412" s="21"/>
      <c r="G412" s="21"/>
      <c r="H412" s="21"/>
      <c r="L412" s="21"/>
      <c r="M412" s="21"/>
      <c r="N412" s="21"/>
      <c r="O412" s="21"/>
      <c r="U412" s="21"/>
      <c r="V412" s="21"/>
      <c r="W412" s="21"/>
      <c r="AA412" s="21"/>
      <c r="AB412" s="21"/>
      <c r="AC412" s="21"/>
      <c r="AD412" s="21"/>
    </row>
    <row r="413" spans="3:30" ht="14.4">
      <c r="C413" s="15"/>
      <c r="D413" s="15"/>
      <c r="E413" s="15"/>
      <c r="F413" s="21"/>
      <c r="G413" s="21"/>
      <c r="H413" s="21"/>
      <c r="L413" s="21"/>
      <c r="M413" s="21"/>
      <c r="N413" s="21"/>
      <c r="O413" s="21"/>
      <c r="U413" s="21"/>
      <c r="V413" s="21"/>
      <c r="W413" s="21"/>
      <c r="AA413" s="21"/>
      <c r="AB413" s="21"/>
      <c r="AC413" s="21"/>
      <c r="AD413" s="21"/>
    </row>
    <row r="414" spans="3:30" ht="14.4">
      <c r="C414" s="15"/>
      <c r="D414" s="15"/>
      <c r="E414" s="15"/>
      <c r="F414" s="21"/>
      <c r="G414" s="21"/>
      <c r="H414" s="21"/>
      <c r="L414" s="21"/>
      <c r="M414" s="21"/>
      <c r="N414" s="21"/>
      <c r="O414" s="21"/>
      <c r="U414" s="21"/>
      <c r="V414" s="21"/>
      <c r="W414" s="21"/>
      <c r="AA414" s="21"/>
      <c r="AB414" s="21"/>
      <c r="AC414" s="21"/>
      <c r="AD414" s="21"/>
    </row>
    <row r="415" spans="3:30" ht="14.4">
      <c r="C415" s="15"/>
      <c r="D415" s="15"/>
      <c r="E415" s="15"/>
      <c r="F415" s="21"/>
      <c r="G415" s="21"/>
      <c r="H415" s="21"/>
      <c r="L415" s="21"/>
      <c r="M415" s="21"/>
      <c r="N415" s="21"/>
      <c r="O415" s="21"/>
      <c r="U415" s="21"/>
      <c r="V415" s="21"/>
      <c r="W415" s="21"/>
      <c r="AA415" s="21"/>
      <c r="AB415" s="21"/>
      <c r="AC415" s="21"/>
      <c r="AD415" s="21"/>
    </row>
    <row r="416" spans="3:30" ht="14.4">
      <c r="C416" s="15"/>
      <c r="D416" s="15"/>
      <c r="E416" s="15"/>
      <c r="F416" s="21"/>
      <c r="G416" s="21"/>
      <c r="H416" s="21"/>
      <c r="L416" s="21"/>
      <c r="M416" s="21"/>
      <c r="N416" s="21"/>
      <c r="O416" s="21"/>
      <c r="U416" s="21"/>
      <c r="V416" s="21"/>
      <c r="W416" s="21"/>
      <c r="AA416" s="21"/>
      <c r="AB416" s="21"/>
      <c r="AC416" s="21"/>
      <c r="AD416" s="21"/>
    </row>
    <row r="417" spans="3:30" ht="14.4">
      <c r="C417" s="15"/>
      <c r="D417" s="15"/>
      <c r="E417" s="15"/>
      <c r="F417" s="21"/>
      <c r="G417" s="21"/>
      <c r="H417" s="21"/>
      <c r="L417" s="21"/>
      <c r="M417" s="21"/>
      <c r="N417" s="21"/>
      <c r="O417" s="21"/>
      <c r="U417" s="21"/>
      <c r="V417" s="21"/>
      <c r="W417" s="21"/>
      <c r="AA417" s="21"/>
      <c r="AB417" s="21"/>
      <c r="AC417" s="21"/>
      <c r="AD417" s="21"/>
    </row>
    <row r="418" spans="3:30" ht="14.4">
      <c r="C418" s="15"/>
      <c r="D418" s="15"/>
      <c r="E418" s="15"/>
      <c r="F418" s="21"/>
      <c r="G418" s="21"/>
      <c r="H418" s="21"/>
      <c r="L418" s="21"/>
      <c r="M418" s="21"/>
      <c r="N418" s="21"/>
      <c r="O418" s="21"/>
      <c r="U418" s="21"/>
      <c r="V418" s="21"/>
      <c r="W418" s="21"/>
      <c r="AA418" s="21"/>
      <c r="AB418" s="21"/>
      <c r="AC418" s="21"/>
      <c r="AD418" s="21"/>
    </row>
    <row r="419" spans="3:30" ht="14.4">
      <c r="C419" s="15"/>
      <c r="D419" s="15"/>
      <c r="E419" s="15"/>
      <c r="F419" s="21"/>
      <c r="G419" s="21"/>
      <c r="H419" s="21"/>
      <c r="L419" s="21"/>
      <c r="M419" s="21"/>
      <c r="N419" s="21"/>
      <c r="O419" s="21"/>
      <c r="U419" s="21"/>
      <c r="V419" s="21"/>
      <c r="W419" s="21"/>
      <c r="AA419" s="21"/>
      <c r="AB419" s="21"/>
      <c r="AC419" s="21"/>
      <c r="AD419" s="21"/>
    </row>
    <row r="420" spans="3:30" ht="14.4">
      <c r="C420" s="15"/>
      <c r="D420" s="15"/>
      <c r="E420" s="15"/>
      <c r="F420" s="21"/>
      <c r="G420" s="21"/>
      <c r="H420" s="21"/>
      <c r="L420" s="21"/>
      <c r="M420" s="21"/>
      <c r="N420" s="21"/>
      <c r="O420" s="21"/>
      <c r="U420" s="21"/>
      <c r="V420" s="21"/>
      <c r="W420" s="21"/>
      <c r="AA420" s="21"/>
      <c r="AB420" s="21"/>
      <c r="AC420" s="21"/>
      <c r="AD420" s="21"/>
    </row>
    <row r="421" spans="3:30" ht="14.4">
      <c r="C421" s="15"/>
      <c r="D421" s="15"/>
      <c r="E421" s="15"/>
      <c r="F421" s="21"/>
      <c r="G421" s="21"/>
      <c r="H421" s="21"/>
      <c r="L421" s="21"/>
      <c r="M421" s="21"/>
      <c r="N421" s="21"/>
      <c r="O421" s="21"/>
      <c r="U421" s="21"/>
      <c r="V421" s="21"/>
      <c r="W421" s="21"/>
      <c r="AA421" s="21"/>
      <c r="AB421" s="21"/>
      <c r="AC421" s="21"/>
      <c r="AD421" s="21"/>
    </row>
    <row r="422" spans="3:30" ht="14.4">
      <c r="C422" s="15"/>
      <c r="D422" s="15"/>
      <c r="E422" s="15"/>
      <c r="F422" s="21"/>
      <c r="G422" s="21"/>
      <c r="H422" s="21"/>
      <c r="L422" s="21"/>
      <c r="M422" s="21"/>
      <c r="N422" s="21"/>
      <c r="O422" s="21"/>
      <c r="U422" s="21"/>
      <c r="V422" s="21"/>
      <c r="W422" s="21"/>
      <c r="AA422" s="21"/>
      <c r="AB422" s="21"/>
      <c r="AC422" s="21"/>
      <c r="AD422" s="21"/>
    </row>
    <row r="423" spans="3:30" ht="14.4">
      <c r="C423" s="15"/>
      <c r="D423" s="15"/>
      <c r="E423" s="15"/>
      <c r="F423" s="21"/>
      <c r="G423" s="21"/>
      <c r="H423" s="21"/>
      <c r="L423" s="21"/>
      <c r="M423" s="21"/>
      <c r="N423" s="21"/>
      <c r="O423" s="21"/>
      <c r="U423" s="21"/>
      <c r="V423" s="21"/>
      <c r="W423" s="21"/>
      <c r="AA423" s="21"/>
      <c r="AB423" s="21"/>
      <c r="AC423" s="21"/>
      <c r="AD423" s="21"/>
    </row>
    <row r="424" spans="3:30" ht="14.4">
      <c r="C424" s="15"/>
      <c r="D424" s="15"/>
      <c r="E424" s="15"/>
      <c r="F424" s="21"/>
      <c r="G424" s="21"/>
      <c r="H424" s="21"/>
      <c r="L424" s="21"/>
      <c r="M424" s="21"/>
      <c r="N424" s="21"/>
      <c r="O424" s="21"/>
      <c r="U424" s="21"/>
      <c r="V424" s="21"/>
      <c r="W424" s="21"/>
      <c r="AA424" s="21"/>
      <c r="AB424" s="21"/>
      <c r="AC424" s="21"/>
      <c r="AD424" s="21"/>
    </row>
    <row r="425" spans="3:30" ht="14.4">
      <c r="C425" s="15"/>
      <c r="D425" s="15"/>
      <c r="E425" s="15"/>
      <c r="F425" s="21"/>
      <c r="G425" s="21"/>
      <c r="H425" s="21"/>
      <c r="L425" s="21"/>
      <c r="M425" s="21"/>
      <c r="N425" s="21"/>
      <c r="O425" s="21"/>
      <c r="U425" s="21"/>
      <c r="V425" s="21"/>
      <c r="W425" s="21"/>
      <c r="AA425" s="21"/>
      <c r="AB425" s="21"/>
      <c r="AC425" s="21"/>
      <c r="AD425" s="21"/>
    </row>
    <row r="426" spans="3:30" ht="14.4">
      <c r="C426" s="15"/>
      <c r="D426" s="15"/>
      <c r="E426" s="15"/>
      <c r="F426" s="21"/>
      <c r="G426" s="21"/>
      <c r="H426" s="21"/>
      <c r="L426" s="21"/>
      <c r="M426" s="21"/>
      <c r="N426" s="21"/>
      <c r="O426" s="21"/>
      <c r="U426" s="21"/>
      <c r="V426" s="21"/>
      <c r="W426" s="21"/>
      <c r="AA426" s="21"/>
      <c r="AB426" s="21"/>
      <c r="AC426" s="21"/>
      <c r="AD426" s="21"/>
    </row>
    <row r="427" spans="3:30" ht="14.4">
      <c r="C427" s="15"/>
      <c r="D427" s="15"/>
      <c r="E427" s="15"/>
      <c r="F427" s="21"/>
      <c r="G427" s="21"/>
      <c r="H427" s="21"/>
      <c r="L427" s="21"/>
      <c r="M427" s="21"/>
      <c r="N427" s="21"/>
      <c r="O427" s="21"/>
      <c r="U427" s="21"/>
      <c r="V427" s="21"/>
      <c r="W427" s="21"/>
      <c r="AA427" s="21"/>
      <c r="AB427" s="21"/>
      <c r="AC427" s="21"/>
      <c r="AD427" s="21"/>
    </row>
    <row r="428" spans="3:30" ht="14.4">
      <c r="C428" s="15"/>
      <c r="D428" s="15"/>
      <c r="E428" s="15"/>
      <c r="F428" s="21"/>
      <c r="G428" s="21"/>
      <c r="H428" s="21"/>
      <c r="L428" s="21"/>
      <c r="M428" s="21"/>
      <c r="N428" s="21"/>
      <c r="O428" s="21"/>
      <c r="U428" s="21"/>
      <c r="V428" s="21"/>
      <c r="W428" s="21"/>
      <c r="AA428" s="21"/>
      <c r="AB428" s="21"/>
      <c r="AC428" s="21"/>
      <c r="AD428" s="21"/>
    </row>
    <row r="429" spans="3:30" ht="14.4">
      <c r="C429" s="15"/>
      <c r="D429" s="15"/>
      <c r="E429" s="15"/>
      <c r="F429" s="21"/>
      <c r="G429" s="21"/>
      <c r="H429" s="21"/>
      <c r="L429" s="21"/>
      <c r="M429" s="21"/>
      <c r="N429" s="21"/>
      <c r="O429" s="21"/>
      <c r="U429" s="21"/>
      <c r="V429" s="21"/>
      <c r="W429" s="21"/>
      <c r="AA429" s="21"/>
      <c r="AB429" s="21"/>
      <c r="AC429" s="21"/>
      <c r="AD429" s="21"/>
    </row>
    <row r="430" spans="3:30" ht="14.4">
      <c r="C430" s="15"/>
      <c r="D430" s="15"/>
      <c r="E430" s="15"/>
      <c r="F430" s="21"/>
      <c r="G430" s="21"/>
      <c r="H430" s="21"/>
      <c r="L430" s="21"/>
      <c r="M430" s="21"/>
      <c r="N430" s="21"/>
      <c r="O430" s="21"/>
      <c r="U430" s="21"/>
      <c r="V430" s="21"/>
      <c r="W430" s="21"/>
      <c r="AA430" s="21"/>
      <c r="AB430" s="21"/>
      <c r="AC430" s="21"/>
      <c r="AD430" s="21"/>
    </row>
    <row r="431" spans="3:30" ht="14.4">
      <c r="C431" s="15"/>
      <c r="D431" s="15"/>
      <c r="E431" s="15"/>
      <c r="F431" s="21"/>
      <c r="G431" s="21"/>
      <c r="H431" s="21"/>
      <c r="L431" s="21"/>
      <c r="M431" s="21"/>
      <c r="N431" s="21"/>
      <c r="O431" s="21"/>
      <c r="U431" s="21"/>
      <c r="V431" s="21"/>
      <c r="W431" s="21"/>
      <c r="AA431" s="21"/>
      <c r="AB431" s="21"/>
      <c r="AC431" s="21"/>
      <c r="AD431" s="21"/>
    </row>
    <row r="432" spans="3:30" ht="14.4">
      <c r="C432" s="15"/>
      <c r="D432" s="15"/>
      <c r="E432" s="15"/>
      <c r="F432" s="21"/>
      <c r="G432" s="21"/>
      <c r="H432" s="21"/>
      <c r="L432" s="21"/>
      <c r="M432" s="21"/>
      <c r="N432" s="21"/>
      <c r="O432" s="21"/>
      <c r="U432" s="21"/>
      <c r="V432" s="21"/>
      <c r="W432" s="21"/>
      <c r="AA432" s="21"/>
      <c r="AB432" s="21"/>
      <c r="AC432" s="21"/>
      <c r="AD432" s="21"/>
    </row>
    <row r="433" spans="3:30" ht="14.4">
      <c r="C433" s="15"/>
      <c r="D433" s="15"/>
      <c r="E433" s="15"/>
      <c r="F433" s="21"/>
      <c r="G433" s="21"/>
      <c r="H433" s="21"/>
      <c r="L433" s="21"/>
      <c r="M433" s="21"/>
      <c r="N433" s="21"/>
      <c r="O433" s="21"/>
      <c r="U433" s="21"/>
      <c r="V433" s="21"/>
      <c r="W433" s="21"/>
      <c r="AA433" s="21"/>
      <c r="AB433" s="21"/>
      <c r="AC433" s="21"/>
      <c r="AD433" s="21"/>
    </row>
    <row r="434" spans="3:30" ht="14.4">
      <c r="C434" s="15"/>
      <c r="D434" s="15"/>
      <c r="E434" s="15"/>
      <c r="F434" s="21"/>
      <c r="G434" s="21"/>
      <c r="H434" s="21"/>
      <c r="L434" s="21"/>
      <c r="M434" s="21"/>
      <c r="N434" s="21"/>
      <c r="O434" s="21"/>
      <c r="U434" s="21"/>
      <c r="V434" s="21"/>
      <c r="W434" s="21"/>
      <c r="AA434" s="21"/>
      <c r="AB434" s="21"/>
      <c r="AC434" s="21"/>
      <c r="AD434" s="21"/>
    </row>
    <row r="435" spans="3:30" ht="14.4">
      <c r="C435" s="15"/>
      <c r="D435" s="15"/>
      <c r="E435" s="15"/>
      <c r="F435" s="21"/>
      <c r="G435" s="21"/>
      <c r="H435" s="21"/>
      <c r="L435" s="21"/>
      <c r="M435" s="21"/>
      <c r="N435" s="21"/>
      <c r="O435" s="21"/>
      <c r="U435" s="21"/>
      <c r="V435" s="21"/>
      <c r="W435" s="21"/>
      <c r="AA435" s="21"/>
      <c r="AB435" s="21"/>
      <c r="AC435" s="21"/>
      <c r="AD435" s="21"/>
    </row>
    <row r="436" spans="3:30" ht="14.4">
      <c r="C436" s="15"/>
      <c r="D436" s="15"/>
      <c r="E436" s="15"/>
      <c r="F436" s="21"/>
      <c r="G436" s="21"/>
      <c r="H436" s="21"/>
      <c r="L436" s="21"/>
      <c r="M436" s="21"/>
      <c r="N436" s="21"/>
      <c r="O436" s="21"/>
      <c r="U436" s="21"/>
      <c r="V436" s="21"/>
      <c r="W436" s="21"/>
      <c r="AA436" s="21"/>
      <c r="AB436" s="21"/>
      <c r="AC436" s="21"/>
      <c r="AD436" s="21"/>
    </row>
    <row r="437" spans="3:30" ht="14.4">
      <c r="C437" s="15"/>
      <c r="D437" s="15"/>
      <c r="E437" s="15"/>
      <c r="F437" s="21"/>
      <c r="G437" s="21"/>
      <c r="H437" s="21"/>
      <c r="L437" s="21"/>
      <c r="M437" s="21"/>
      <c r="N437" s="21"/>
      <c r="O437" s="21"/>
      <c r="U437" s="21"/>
      <c r="V437" s="21"/>
      <c r="W437" s="21"/>
      <c r="AA437" s="21"/>
      <c r="AB437" s="21"/>
      <c r="AC437" s="21"/>
      <c r="AD437" s="21"/>
    </row>
    <row r="438" spans="3:30" ht="14.4">
      <c r="C438" s="15"/>
      <c r="D438" s="15"/>
      <c r="E438" s="15"/>
      <c r="F438" s="21"/>
      <c r="G438" s="21"/>
      <c r="H438" s="21"/>
      <c r="L438" s="21"/>
      <c r="M438" s="21"/>
      <c r="N438" s="21"/>
      <c r="O438" s="21"/>
      <c r="U438" s="21"/>
      <c r="V438" s="21"/>
      <c r="W438" s="21"/>
      <c r="AA438" s="21"/>
      <c r="AB438" s="21"/>
      <c r="AC438" s="21"/>
      <c r="AD438" s="21"/>
    </row>
    <row r="439" spans="3:30" ht="14.4">
      <c r="C439" s="15"/>
      <c r="D439" s="15"/>
      <c r="E439" s="15"/>
      <c r="F439" s="21"/>
      <c r="G439" s="21"/>
      <c r="H439" s="21"/>
      <c r="L439" s="21"/>
      <c r="M439" s="21"/>
      <c r="N439" s="21"/>
      <c r="O439" s="21"/>
      <c r="U439" s="21"/>
      <c r="V439" s="21"/>
      <c r="W439" s="21"/>
      <c r="AA439" s="21"/>
      <c r="AB439" s="21"/>
      <c r="AC439" s="21"/>
      <c r="AD439" s="21"/>
    </row>
    <row r="440" spans="3:30" ht="14.4">
      <c r="C440" s="15"/>
      <c r="D440" s="15"/>
      <c r="E440" s="15"/>
      <c r="F440" s="21"/>
      <c r="G440" s="21"/>
      <c r="H440" s="21"/>
      <c r="L440" s="21"/>
      <c r="M440" s="21"/>
      <c r="N440" s="21"/>
      <c r="O440" s="21"/>
      <c r="U440" s="21"/>
      <c r="V440" s="21"/>
      <c r="W440" s="21"/>
      <c r="AA440" s="21"/>
      <c r="AB440" s="21"/>
      <c r="AC440" s="21"/>
      <c r="AD440" s="21"/>
    </row>
    <row r="441" spans="3:30" ht="14.4">
      <c r="C441" s="15"/>
      <c r="D441" s="15"/>
      <c r="E441" s="15"/>
      <c r="F441" s="21"/>
      <c r="G441" s="21"/>
      <c r="H441" s="21"/>
      <c r="L441" s="21"/>
      <c r="M441" s="21"/>
      <c r="N441" s="21"/>
      <c r="O441" s="21"/>
      <c r="U441" s="21"/>
      <c r="V441" s="21"/>
      <c r="W441" s="21"/>
      <c r="AA441" s="21"/>
      <c r="AB441" s="21"/>
      <c r="AC441" s="21"/>
      <c r="AD441" s="21"/>
    </row>
    <row r="442" spans="3:30" ht="14.4">
      <c r="C442" s="15"/>
      <c r="D442" s="15"/>
      <c r="E442" s="15"/>
      <c r="F442" s="21"/>
      <c r="G442" s="21"/>
      <c r="H442" s="21"/>
      <c r="L442" s="21"/>
      <c r="M442" s="21"/>
      <c r="N442" s="21"/>
      <c r="O442" s="21"/>
      <c r="U442" s="21"/>
      <c r="V442" s="21"/>
      <c r="W442" s="21"/>
      <c r="AA442" s="21"/>
      <c r="AB442" s="21"/>
      <c r="AC442" s="21"/>
      <c r="AD442" s="21"/>
    </row>
    <row r="443" spans="3:30" ht="14.4">
      <c r="C443" s="15"/>
      <c r="D443" s="15"/>
      <c r="E443" s="15"/>
      <c r="F443" s="21"/>
      <c r="G443" s="21"/>
      <c r="H443" s="21"/>
      <c r="L443" s="21"/>
      <c r="M443" s="21"/>
      <c r="N443" s="21"/>
      <c r="O443" s="21"/>
      <c r="U443" s="21"/>
      <c r="V443" s="21"/>
      <c r="W443" s="21"/>
      <c r="AA443" s="21"/>
      <c r="AB443" s="21"/>
      <c r="AC443" s="21"/>
      <c r="AD443" s="21"/>
    </row>
    <row r="444" spans="3:30" ht="14.4">
      <c r="C444" s="15"/>
      <c r="D444" s="15"/>
      <c r="E444" s="15"/>
      <c r="F444" s="21"/>
      <c r="G444" s="21"/>
      <c r="H444" s="21"/>
      <c r="L444" s="21"/>
      <c r="M444" s="21"/>
      <c r="N444" s="21"/>
      <c r="O444" s="21"/>
      <c r="U444" s="21"/>
      <c r="V444" s="21"/>
      <c r="W444" s="21"/>
      <c r="AA444" s="21"/>
      <c r="AB444" s="21"/>
      <c r="AC444" s="21"/>
      <c r="AD444" s="21"/>
    </row>
    <row r="445" spans="3:30" ht="14.4">
      <c r="C445" s="15"/>
      <c r="D445" s="15"/>
      <c r="E445" s="15"/>
      <c r="F445" s="21"/>
      <c r="G445" s="21"/>
      <c r="H445" s="21"/>
      <c r="L445" s="21"/>
      <c r="M445" s="21"/>
      <c r="N445" s="21"/>
      <c r="O445" s="21"/>
      <c r="U445" s="21"/>
      <c r="V445" s="21"/>
      <c r="W445" s="21"/>
      <c r="AA445" s="21"/>
      <c r="AB445" s="21"/>
      <c r="AC445" s="21"/>
      <c r="AD445" s="21"/>
    </row>
    <row r="446" spans="3:30" ht="14.4">
      <c r="C446" s="15"/>
      <c r="D446" s="15"/>
      <c r="E446" s="15"/>
      <c r="F446" s="21"/>
      <c r="G446" s="21"/>
      <c r="H446" s="21"/>
      <c r="L446" s="21"/>
      <c r="M446" s="21"/>
      <c r="N446" s="21"/>
      <c r="O446" s="21"/>
      <c r="U446" s="21"/>
      <c r="V446" s="21"/>
      <c r="W446" s="21"/>
      <c r="AA446" s="21"/>
      <c r="AB446" s="21"/>
      <c r="AC446" s="21"/>
      <c r="AD446" s="21"/>
    </row>
    <row r="447" spans="3:30" ht="14.4">
      <c r="C447" s="15"/>
      <c r="D447" s="15"/>
      <c r="E447" s="15"/>
      <c r="F447" s="21"/>
      <c r="G447" s="21"/>
      <c r="H447" s="21"/>
      <c r="L447" s="21"/>
      <c r="M447" s="21"/>
      <c r="N447" s="21"/>
      <c r="O447" s="21"/>
      <c r="U447" s="21"/>
      <c r="V447" s="21"/>
      <c r="W447" s="21"/>
      <c r="AA447" s="21"/>
      <c r="AB447" s="21"/>
      <c r="AC447" s="21"/>
      <c r="AD447" s="21"/>
    </row>
    <row r="448" spans="3:30" ht="14.4">
      <c r="C448" s="15"/>
      <c r="D448" s="15"/>
      <c r="E448" s="15"/>
      <c r="F448" s="21"/>
      <c r="G448" s="21"/>
      <c r="H448" s="21"/>
      <c r="L448" s="21"/>
      <c r="M448" s="21"/>
      <c r="N448" s="21"/>
      <c r="O448" s="21"/>
      <c r="U448" s="21"/>
      <c r="V448" s="21"/>
      <c r="W448" s="21"/>
      <c r="AA448" s="21"/>
      <c r="AB448" s="21"/>
      <c r="AC448" s="21"/>
      <c r="AD448" s="21"/>
    </row>
    <row r="449" spans="3:30" ht="14.4">
      <c r="C449" s="15"/>
      <c r="D449" s="15"/>
      <c r="E449" s="15"/>
      <c r="F449" s="21"/>
      <c r="G449" s="21"/>
      <c r="H449" s="21"/>
      <c r="L449" s="21"/>
      <c r="M449" s="21"/>
      <c r="N449" s="21"/>
      <c r="O449" s="21"/>
      <c r="U449" s="21"/>
      <c r="V449" s="21"/>
      <c r="W449" s="21"/>
      <c r="AA449" s="21"/>
      <c r="AB449" s="21"/>
      <c r="AC449" s="21"/>
      <c r="AD449" s="21"/>
    </row>
    <row r="450" spans="3:30" ht="14.4">
      <c r="C450" s="15"/>
      <c r="D450" s="15"/>
      <c r="E450" s="15"/>
      <c r="F450" s="21"/>
      <c r="G450" s="21"/>
      <c r="H450" s="21"/>
      <c r="L450" s="21"/>
      <c r="M450" s="21"/>
      <c r="N450" s="21"/>
      <c r="O450" s="21"/>
      <c r="U450" s="21"/>
      <c r="V450" s="21"/>
      <c r="W450" s="21"/>
      <c r="AA450" s="21"/>
      <c r="AB450" s="21"/>
      <c r="AC450" s="21"/>
      <c r="AD450" s="21"/>
    </row>
    <row r="451" spans="3:30" ht="14.4">
      <c r="C451" s="15"/>
      <c r="D451" s="15"/>
      <c r="E451" s="15"/>
      <c r="F451" s="21"/>
      <c r="G451" s="21"/>
      <c r="H451" s="21"/>
      <c r="L451" s="21"/>
      <c r="M451" s="21"/>
      <c r="N451" s="21"/>
      <c r="O451" s="21"/>
      <c r="U451" s="21"/>
      <c r="V451" s="21"/>
      <c r="W451" s="21"/>
      <c r="AA451" s="21"/>
      <c r="AB451" s="21"/>
      <c r="AC451" s="21"/>
      <c r="AD451" s="21"/>
    </row>
    <row r="452" spans="3:30" ht="14.4">
      <c r="C452" s="15"/>
      <c r="D452" s="15"/>
      <c r="E452" s="15"/>
      <c r="F452" s="21"/>
      <c r="G452" s="21"/>
      <c r="H452" s="21"/>
      <c r="L452" s="21"/>
      <c r="M452" s="21"/>
      <c r="N452" s="21"/>
      <c r="O452" s="21"/>
      <c r="U452" s="21"/>
      <c r="V452" s="21"/>
      <c r="W452" s="21"/>
      <c r="AA452" s="21"/>
      <c r="AB452" s="21"/>
      <c r="AC452" s="21"/>
      <c r="AD452" s="21"/>
    </row>
    <row r="453" spans="3:30" ht="14.4">
      <c r="C453" s="15"/>
      <c r="D453" s="15"/>
      <c r="E453" s="15"/>
      <c r="F453" s="21"/>
      <c r="G453" s="21"/>
      <c r="H453" s="21"/>
      <c r="L453" s="21"/>
      <c r="M453" s="21"/>
      <c r="N453" s="21"/>
      <c r="O453" s="21"/>
      <c r="U453" s="21"/>
      <c r="V453" s="21"/>
      <c r="W453" s="21"/>
      <c r="AA453" s="21"/>
      <c r="AB453" s="21"/>
      <c r="AC453" s="21"/>
      <c r="AD453" s="21"/>
    </row>
    <row r="454" spans="3:30" ht="14.4">
      <c r="C454" s="15"/>
      <c r="D454" s="15"/>
      <c r="E454" s="15"/>
      <c r="F454" s="21"/>
      <c r="G454" s="21"/>
      <c r="H454" s="21"/>
      <c r="L454" s="21"/>
      <c r="M454" s="21"/>
      <c r="N454" s="21"/>
      <c r="O454" s="21"/>
      <c r="U454" s="21"/>
      <c r="V454" s="21"/>
      <c r="W454" s="21"/>
      <c r="AA454" s="21"/>
      <c r="AB454" s="21"/>
      <c r="AC454" s="21"/>
      <c r="AD454" s="21"/>
    </row>
    <row r="455" spans="3:30" ht="14.4">
      <c r="C455" s="15"/>
      <c r="D455" s="15"/>
      <c r="E455" s="15"/>
      <c r="F455" s="21"/>
      <c r="G455" s="21"/>
      <c r="H455" s="21"/>
      <c r="L455" s="21"/>
      <c r="M455" s="21"/>
      <c r="N455" s="21"/>
      <c r="O455" s="21"/>
      <c r="U455" s="21"/>
      <c r="V455" s="21"/>
      <c r="W455" s="21"/>
      <c r="AA455" s="21"/>
      <c r="AB455" s="21"/>
      <c r="AC455" s="21"/>
      <c r="AD455" s="21"/>
    </row>
    <row r="456" spans="3:30" ht="14.4">
      <c r="C456" s="15"/>
      <c r="D456" s="15"/>
      <c r="E456" s="15"/>
      <c r="F456" s="21"/>
      <c r="G456" s="21"/>
      <c r="H456" s="21"/>
      <c r="L456" s="21"/>
      <c r="M456" s="21"/>
      <c r="N456" s="21"/>
      <c r="O456" s="21"/>
      <c r="U456" s="21"/>
      <c r="V456" s="21"/>
      <c r="W456" s="21"/>
      <c r="AA456" s="21"/>
      <c r="AB456" s="21"/>
      <c r="AC456" s="21"/>
      <c r="AD456" s="21"/>
    </row>
    <row r="457" spans="3:30" ht="14.4">
      <c r="C457" s="15"/>
      <c r="D457" s="15"/>
      <c r="E457" s="15"/>
      <c r="F457" s="21"/>
      <c r="G457" s="21"/>
      <c r="H457" s="21"/>
      <c r="L457" s="21"/>
      <c r="M457" s="21"/>
      <c r="N457" s="21"/>
      <c r="O457" s="21"/>
      <c r="U457" s="21"/>
      <c r="V457" s="21"/>
      <c r="W457" s="21"/>
      <c r="AA457" s="21"/>
      <c r="AB457" s="21"/>
      <c r="AC457" s="21"/>
      <c r="AD457" s="21"/>
    </row>
    <row r="458" spans="3:30" ht="14.4">
      <c r="C458" s="15"/>
      <c r="D458" s="15"/>
      <c r="E458" s="15"/>
      <c r="F458" s="21"/>
      <c r="G458" s="21"/>
      <c r="H458" s="21"/>
      <c r="L458" s="21"/>
      <c r="M458" s="21"/>
      <c r="N458" s="21"/>
      <c r="O458" s="21"/>
      <c r="U458" s="21"/>
      <c r="V458" s="21"/>
      <c r="W458" s="21"/>
      <c r="AA458" s="21"/>
      <c r="AB458" s="21"/>
      <c r="AC458" s="21"/>
      <c r="AD458" s="21"/>
    </row>
    <row r="459" spans="3:30" ht="14.4">
      <c r="C459" s="15"/>
      <c r="D459" s="15"/>
      <c r="E459" s="15"/>
      <c r="F459" s="21"/>
      <c r="G459" s="21"/>
      <c r="H459" s="21"/>
      <c r="L459" s="21"/>
      <c r="M459" s="21"/>
      <c r="N459" s="21"/>
      <c r="O459" s="21"/>
      <c r="U459" s="21"/>
      <c r="V459" s="21"/>
      <c r="W459" s="21"/>
      <c r="AA459" s="21"/>
      <c r="AB459" s="21"/>
      <c r="AC459" s="21"/>
      <c r="AD459" s="21"/>
    </row>
    <row r="460" spans="3:30" ht="14.4">
      <c r="C460" s="15"/>
      <c r="D460" s="15"/>
      <c r="E460" s="15"/>
      <c r="F460" s="21"/>
      <c r="G460" s="21"/>
      <c r="H460" s="21"/>
      <c r="L460" s="21"/>
      <c r="M460" s="21"/>
      <c r="N460" s="21"/>
      <c r="O460" s="21"/>
      <c r="U460" s="21"/>
      <c r="V460" s="21"/>
      <c r="W460" s="21"/>
      <c r="AA460" s="21"/>
      <c r="AB460" s="21"/>
      <c r="AC460" s="21"/>
      <c r="AD460" s="21"/>
    </row>
    <row r="461" spans="3:30" ht="14.4">
      <c r="C461" s="15"/>
      <c r="D461" s="15"/>
      <c r="E461" s="15"/>
      <c r="F461" s="21"/>
      <c r="G461" s="21"/>
      <c r="H461" s="21"/>
      <c r="L461" s="21"/>
      <c r="M461" s="21"/>
      <c r="N461" s="21"/>
      <c r="O461" s="21"/>
      <c r="U461" s="21"/>
      <c r="V461" s="21"/>
      <c r="W461" s="21"/>
      <c r="AA461" s="21"/>
      <c r="AB461" s="21"/>
      <c r="AC461" s="21"/>
      <c r="AD461" s="21"/>
    </row>
    <row r="462" spans="3:30" ht="14.4">
      <c r="C462" s="15"/>
      <c r="D462" s="15"/>
      <c r="E462" s="15"/>
      <c r="F462" s="21"/>
      <c r="G462" s="21"/>
      <c r="H462" s="21"/>
      <c r="L462" s="21"/>
      <c r="M462" s="21"/>
      <c r="N462" s="21"/>
      <c r="O462" s="21"/>
      <c r="U462" s="21"/>
      <c r="V462" s="21"/>
      <c r="W462" s="21"/>
      <c r="AA462" s="21"/>
      <c r="AB462" s="21"/>
      <c r="AC462" s="21"/>
      <c r="AD462" s="21"/>
    </row>
    <row r="463" spans="3:30" ht="14.4">
      <c r="C463" s="15"/>
      <c r="D463" s="15"/>
      <c r="E463" s="15"/>
      <c r="F463" s="21"/>
      <c r="G463" s="21"/>
      <c r="H463" s="21"/>
      <c r="L463" s="21"/>
      <c r="M463" s="21"/>
      <c r="N463" s="21"/>
      <c r="O463" s="21"/>
      <c r="U463" s="21"/>
      <c r="V463" s="21"/>
      <c r="W463" s="21"/>
      <c r="AA463" s="21"/>
      <c r="AB463" s="21"/>
      <c r="AC463" s="21"/>
      <c r="AD463" s="21"/>
    </row>
    <row r="464" spans="3:30" ht="14.4">
      <c r="C464" s="15"/>
      <c r="D464" s="15"/>
      <c r="E464" s="15"/>
      <c r="F464" s="21"/>
      <c r="G464" s="21"/>
      <c r="H464" s="21"/>
      <c r="L464" s="21"/>
      <c r="M464" s="21"/>
      <c r="N464" s="21"/>
      <c r="O464" s="21"/>
      <c r="U464" s="21"/>
      <c r="V464" s="21"/>
      <c r="W464" s="21"/>
      <c r="AA464" s="21"/>
      <c r="AB464" s="21"/>
      <c r="AC464" s="21"/>
      <c r="AD464" s="21"/>
    </row>
    <row r="465" spans="3:30" ht="14.4">
      <c r="C465" s="15"/>
      <c r="D465" s="15"/>
      <c r="E465" s="15"/>
      <c r="F465" s="21"/>
      <c r="G465" s="21"/>
      <c r="H465" s="21"/>
      <c r="L465" s="21"/>
      <c r="M465" s="21"/>
      <c r="N465" s="21"/>
      <c r="O465" s="21"/>
      <c r="U465" s="21"/>
      <c r="V465" s="21"/>
      <c r="W465" s="21"/>
      <c r="AA465" s="21"/>
      <c r="AB465" s="21"/>
      <c r="AC465" s="21"/>
      <c r="AD465" s="21"/>
    </row>
    <row r="466" spans="3:30" ht="14.4">
      <c r="C466" s="15"/>
      <c r="D466" s="15"/>
      <c r="E466" s="15"/>
      <c r="F466" s="21"/>
      <c r="G466" s="21"/>
      <c r="H466" s="21"/>
      <c r="L466" s="21"/>
      <c r="M466" s="21"/>
      <c r="N466" s="21"/>
      <c r="O466" s="21"/>
      <c r="U466" s="21"/>
      <c r="V466" s="21"/>
      <c r="W466" s="21"/>
      <c r="AA466" s="21"/>
      <c r="AB466" s="21"/>
      <c r="AC466" s="21"/>
      <c r="AD466" s="21"/>
    </row>
    <row r="467" spans="3:30" ht="14.4">
      <c r="C467" s="15"/>
      <c r="D467" s="15"/>
      <c r="E467" s="15"/>
      <c r="F467" s="21"/>
      <c r="G467" s="21"/>
      <c r="H467" s="21"/>
      <c r="L467" s="21"/>
      <c r="M467" s="21"/>
      <c r="N467" s="21"/>
      <c r="O467" s="21"/>
      <c r="U467" s="21"/>
      <c r="V467" s="21"/>
      <c r="W467" s="21"/>
      <c r="AA467" s="21"/>
      <c r="AB467" s="21"/>
      <c r="AC467" s="21"/>
      <c r="AD467" s="21"/>
    </row>
    <row r="468" spans="3:30" ht="14.4">
      <c r="C468" s="15"/>
      <c r="D468" s="15"/>
      <c r="E468" s="15"/>
      <c r="F468" s="21"/>
      <c r="G468" s="21"/>
      <c r="H468" s="21"/>
      <c r="L468" s="21"/>
      <c r="M468" s="21"/>
      <c r="N468" s="21"/>
      <c r="O468" s="21"/>
      <c r="U468" s="21"/>
      <c r="V468" s="21"/>
      <c r="W468" s="21"/>
      <c r="AA468" s="21"/>
      <c r="AB468" s="21"/>
      <c r="AC468" s="21"/>
      <c r="AD468" s="21"/>
    </row>
    <row r="469" spans="3:30" ht="14.4">
      <c r="C469" s="15"/>
      <c r="D469" s="15"/>
      <c r="E469" s="15"/>
      <c r="F469" s="21"/>
      <c r="G469" s="21"/>
      <c r="H469" s="21"/>
      <c r="L469" s="21"/>
      <c r="M469" s="21"/>
      <c r="N469" s="21"/>
      <c r="O469" s="21"/>
      <c r="U469" s="21"/>
      <c r="V469" s="21"/>
      <c r="W469" s="21"/>
      <c r="AA469" s="21"/>
      <c r="AB469" s="21"/>
      <c r="AC469" s="21"/>
      <c r="AD469" s="21"/>
    </row>
    <row r="470" spans="3:30" ht="14.4">
      <c r="C470" s="15"/>
      <c r="D470" s="15"/>
      <c r="E470" s="15"/>
      <c r="F470" s="21"/>
      <c r="G470" s="21"/>
      <c r="H470" s="21"/>
      <c r="L470" s="21"/>
      <c r="M470" s="21"/>
      <c r="N470" s="21"/>
      <c r="O470" s="21"/>
      <c r="U470" s="21"/>
      <c r="V470" s="21"/>
      <c r="W470" s="21"/>
      <c r="AA470" s="21"/>
      <c r="AB470" s="21"/>
      <c r="AC470" s="21"/>
      <c r="AD470" s="21"/>
    </row>
    <row r="471" spans="3:30" ht="14.4">
      <c r="C471" s="15"/>
      <c r="D471" s="15"/>
      <c r="E471" s="15"/>
      <c r="F471" s="21"/>
      <c r="G471" s="21"/>
      <c r="H471" s="21"/>
      <c r="L471" s="21"/>
      <c r="M471" s="21"/>
      <c r="N471" s="21"/>
      <c r="O471" s="21"/>
      <c r="U471" s="21"/>
      <c r="V471" s="21"/>
      <c r="W471" s="21"/>
      <c r="AA471" s="21"/>
      <c r="AB471" s="21"/>
      <c r="AC471" s="21"/>
      <c r="AD471" s="21"/>
    </row>
    <row r="472" spans="3:30" ht="14.4">
      <c r="C472" s="15"/>
      <c r="D472" s="15"/>
      <c r="E472" s="15"/>
      <c r="F472" s="21"/>
      <c r="G472" s="21"/>
      <c r="H472" s="21"/>
      <c r="L472" s="21"/>
      <c r="M472" s="21"/>
      <c r="N472" s="21"/>
      <c r="O472" s="21"/>
      <c r="U472" s="21"/>
      <c r="V472" s="21"/>
      <c r="W472" s="21"/>
      <c r="AA472" s="21"/>
      <c r="AB472" s="21"/>
      <c r="AC472" s="21"/>
      <c r="AD472" s="21"/>
    </row>
    <row r="473" spans="3:30" ht="14.4">
      <c r="C473" s="15"/>
      <c r="D473" s="15"/>
      <c r="E473" s="15"/>
      <c r="F473" s="21"/>
      <c r="G473" s="21"/>
      <c r="H473" s="21"/>
      <c r="L473" s="21"/>
      <c r="M473" s="21"/>
      <c r="N473" s="21"/>
      <c r="O473" s="21"/>
      <c r="U473" s="21"/>
      <c r="V473" s="21"/>
      <c r="W473" s="21"/>
      <c r="AA473" s="21"/>
      <c r="AB473" s="21"/>
      <c r="AC473" s="21"/>
      <c r="AD473" s="21"/>
    </row>
    <row r="474" spans="3:30" ht="14.4">
      <c r="C474" s="15"/>
      <c r="D474" s="15"/>
      <c r="E474" s="15"/>
      <c r="F474" s="21"/>
      <c r="G474" s="21"/>
      <c r="H474" s="21"/>
      <c r="L474" s="21"/>
      <c r="M474" s="21"/>
      <c r="N474" s="21"/>
      <c r="O474" s="21"/>
      <c r="U474" s="21"/>
      <c r="V474" s="21"/>
      <c r="W474" s="21"/>
      <c r="AA474" s="21"/>
      <c r="AB474" s="21"/>
      <c r="AC474" s="21"/>
      <c r="AD474" s="21"/>
    </row>
    <row r="475" spans="3:30" ht="14.4">
      <c r="C475" s="15"/>
      <c r="D475" s="15"/>
      <c r="E475" s="15"/>
      <c r="F475" s="21"/>
      <c r="G475" s="21"/>
      <c r="H475" s="21"/>
      <c r="L475" s="21"/>
      <c r="M475" s="21"/>
      <c r="N475" s="21"/>
      <c r="O475" s="21"/>
      <c r="U475" s="21"/>
      <c r="V475" s="21"/>
      <c r="W475" s="21"/>
      <c r="AA475" s="21"/>
      <c r="AB475" s="21"/>
      <c r="AC475" s="21"/>
      <c r="AD475" s="21"/>
    </row>
    <row r="476" spans="3:30" ht="14.4">
      <c r="C476" s="15"/>
      <c r="D476" s="15"/>
      <c r="E476" s="15"/>
      <c r="F476" s="21"/>
      <c r="G476" s="21"/>
      <c r="H476" s="21"/>
      <c r="L476" s="21"/>
      <c r="M476" s="21"/>
      <c r="N476" s="21"/>
      <c r="O476" s="21"/>
      <c r="U476" s="21"/>
      <c r="V476" s="21"/>
      <c r="W476" s="21"/>
      <c r="AA476" s="21"/>
      <c r="AB476" s="21"/>
      <c r="AC476" s="21"/>
      <c r="AD476" s="21"/>
    </row>
    <row r="477" spans="3:30" ht="14.4">
      <c r="C477" s="15"/>
      <c r="D477" s="15"/>
      <c r="E477" s="15"/>
      <c r="F477" s="21"/>
      <c r="G477" s="21"/>
      <c r="H477" s="21"/>
      <c r="L477" s="21"/>
      <c r="M477" s="21"/>
      <c r="N477" s="21"/>
      <c r="O477" s="21"/>
      <c r="U477" s="21"/>
      <c r="V477" s="21"/>
      <c r="W477" s="21"/>
      <c r="AA477" s="21"/>
      <c r="AB477" s="21"/>
      <c r="AC477" s="21"/>
      <c r="AD477" s="21"/>
    </row>
    <row r="478" spans="3:30" ht="14.4">
      <c r="C478" s="15"/>
      <c r="D478" s="15"/>
      <c r="E478" s="15"/>
      <c r="F478" s="21"/>
      <c r="G478" s="21"/>
      <c r="H478" s="21"/>
      <c r="L478" s="21"/>
      <c r="M478" s="21"/>
      <c r="N478" s="21"/>
      <c r="O478" s="21"/>
      <c r="U478" s="21"/>
      <c r="V478" s="21"/>
      <c r="W478" s="21"/>
      <c r="AA478" s="21"/>
      <c r="AB478" s="21"/>
      <c r="AC478" s="21"/>
      <c r="AD478" s="21"/>
    </row>
    <row r="479" spans="3:30" ht="14.4">
      <c r="C479" s="15"/>
      <c r="D479" s="15"/>
      <c r="E479" s="15"/>
      <c r="F479" s="21"/>
      <c r="G479" s="21"/>
      <c r="H479" s="21"/>
      <c r="L479" s="21"/>
      <c r="M479" s="21"/>
      <c r="N479" s="21"/>
      <c r="O479" s="21"/>
      <c r="U479" s="21"/>
      <c r="V479" s="21"/>
      <c r="W479" s="21"/>
      <c r="AA479" s="21"/>
      <c r="AB479" s="21"/>
      <c r="AC479" s="21"/>
      <c r="AD479" s="21"/>
    </row>
    <row r="480" spans="3:30" ht="14.4">
      <c r="C480" s="15"/>
      <c r="D480" s="15"/>
      <c r="E480" s="15"/>
      <c r="F480" s="21"/>
      <c r="G480" s="21"/>
      <c r="H480" s="21"/>
      <c r="L480" s="21"/>
      <c r="M480" s="21"/>
      <c r="N480" s="21"/>
      <c r="O480" s="21"/>
      <c r="U480" s="21"/>
      <c r="V480" s="21"/>
      <c r="W480" s="21"/>
      <c r="AA480" s="21"/>
      <c r="AB480" s="21"/>
      <c r="AC480" s="21"/>
      <c r="AD480" s="21"/>
    </row>
    <row r="481" spans="3:30" ht="14.4">
      <c r="C481" s="15"/>
      <c r="D481" s="15"/>
      <c r="E481" s="15"/>
      <c r="F481" s="21"/>
      <c r="G481" s="21"/>
      <c r="H481" s="21"/>
      <c r="L481" s="21"/>
      <c r="M481" s="21"/>
      <c r="N481" s="21"/>
      <c r="O481" s="21"/>
      <c r="U481" s="21"/>
      <c r="V481" s="21"/>
      <c r="W481" s="21"/>
      <c r="AA481" s="21"/>
      <c r="AB481" s="21"/>
      <c r="AC481" s="21"/>
      <c r="AD481" s="21"/>
    </row>
    <row r="482" spans="3:30" ht="14.4">
      <c r="C482" s="15"/>
      <c r="D482" s="15"/>
      <c r="E482" s="15"/>
      <c r="F482" s="21"/>
      <c r="G482" s="21"/>
      <c r="H482" s="21"/>
      <c r="L482" s="21"/>
      <c r="M482" s="21"/>
      <c r="N482" s="21"/>
      <c r="O482" s="21"/>
      <c r="U482" s="21"/>
      <c r="V482" s="21"/>
      <c r="W482" s="21"/>
      <c r="AA482" s="21"/>
      <c r="AB482" s="21"/>
      <c r="AC482" s="21"/>
      <c r="AD482" s="21"/>
    </row>
    <row r="483" spans="3:30" ht="14.4">
      <c r="C483" s="15"/>
      <c r="D483" s="15"/>
      <c r="E483" s="15"/>
      <c r="F483" s="21"/>
      <c r="G483" s="21"/>
      <c r="H483" s="21"/>
      <c r="L483" s="21"/>
      <c r="M483" s="21"/>
      <c r="N483" s="21"/>
      <c r="O483" s="21"/>
      <c r="U483" s="21"/>
      <c r="V483" s="21"/>
      <c r="W483" s="21"/>
      <c r="AA483" s="21"/>
      <c r="AB483" s="21"/>
      <c r="AC483" s="21"/>
      <c r="AD483" s="21"/>
    </row>
    <row r="484" spans="3:30" ht="14.4">
      <c r="C484" s="15"/>
      <c r="D484" s="15"/>
      <c r="E484" s="15"/>
      <c r="F484" s="21"/>
      <c r="G484" s="21"/>
      <c r="H484" s="21"/>
      <c r="L484" s="21"/>
      <c r="M484" s="21"/>
      <c r="N484" s="21"/>
      <c r="O484" s="21"/>
      <c r="U484" s="21"/>
      <c r="V484" s="21"/>
      <c r="W484" s="21"/>
      <c r="AA484" s="21"/>
      <c r="AB484" s="21"/>
      <c r="AC484" s="21"/>
      <c r="AD484" s="21"/>
    </row>
    <row r="485" spans="3:30" ht="14.4">
      <c r="C485" s="15"/>
      <c r="D485" s="15"/>
      <c r="E485" s="15"/>
      <c r="F485" s="21"/>
      <c r="G485" s="21"/>
      <c r="H485" s="21"/>
      <c r="L485" s="21"/>
      <c r="M485" s="21"/>
      <c r="N485" s="21"/>
      <c r="O485" s="21"/>
      <c r="U485" s="21"/>
      <c r="V485" s="21"/>
      <c r="W485" s="21"/>
      <c r="AA485" s="21"/>
      <c r="AB485" s="21"/>
      <c r="AC485" s="21"/>
      <c r="AD485" s="21"/>
    </row>
    <row r="486" spans="3:30" ht="14.4">
      <c r="C486" s="15"/>
      <c r="D486" s="15"/>
      <c r="E486" s="15"/>
      <c r="F486" s="21"/>
      <c r="G486" s="21"/>
      <c r="H486" s="21"/>
      <c r="L486" s="21"/>
      <c r="M486" s="21"/>
      <c r="N486" s="21"/>
      <c r="O486" s="21"/>
      <c r="U486" s="21"/>
      <c r="V486" s="21"/>
      <c r="W486" s="21"/>
      <c r="AA486" s="21"/>
      <c r="AB486" s="21"/>
      <c r="AC486" s="21"/>
      <c r="AD486" s="21"/>
    </row>
    <row r="487" spans="3:30" ht="14.4">
      <c r="C487" s="15"/>
      <c r="D487" s="15"/>
      <c r="E487" s="15"/>
      <c r="F487" s="21"/>
      <c r="G487" s="21"/>
      <c r="H487" s="21"/>
      <c r="L487" s="21"/>
      <c r="M487" s="21"/>
      <c r="N487" s="21"/>
      <c r="O487" s="21"/>
      <c r="U487" s="21"/>
      <c r="V487" s="21"/>
      <c r="W487" s="21"/>
      <c r="AA487" s="21"/>
      <c r="AB487" s="21"/>
      <c r="AC487" s="21"/>
      <c r="AD487" s="21"/>
    </row>
    <row r="488" spans="3:30" ht="14.4">
      <c r="C488" s="15"/>
      <c r="D488" s="15"/>
      <c r="E488" s="15"/>
      <c r="F488" s="21"/>
      <c r="G488" s="21"/>
      <c r="H488" s="21"/>
      <c r="L488" s="21"/>
      <c r="M488" s="21"/>
      <c r="N488" s="21"/>
      <c r="O488" s="21"/>
      <c r="U488" s="21"/>
      <c r="V488" s="21"/>
      <c r="W488" s="21"/>
      <c r="AA488" s="21"/>
      <c r="AB488" s="21"/>
      <c r="AC488" s="21"/>
      <c r="AD488" s="21"/>
    </row>
    <row r="489" spans="3:30" ht="14.4">
      <c r="C489" s="15"/>
      <c r="D489" s="15"/>
      <c r="E489" s="15"/>
      <c r="F489" s="21"/>
      <c r="G489" s="21"/>
      <c r="H489" s="21"/>
      <c r="L489" s="21"/>
      <c r="M489" s="21"/>
      <c r="N489" s="21"/>
      <c r="O489" s="21"/>
      <c r="U489" s="21"/>
      <c r="V489" s="21"/>
      <c r="W489" s="21"/>
      <c r="AA489" s="21"/>
      <c r="AB489" s="21"/>
      <c r="AC489" s="21"/>
      <c r="AD489" s="21"/>
    </row>
    <row r="490" spans="3:30" ht="14.4">
      <c r="C490" s="15"/>
      <c r="D490" s="15"/>
      <c r="E490" s="15"/>
      <c r="F490" s="21"/>
      <c r="G490" s="21"/>
      <c r="H490" s="21"/>
      <c r="L490" s="21"/>
      <c r="M490" s="21"/>
      <c r="N490" s="21"/>
      <c r="O490" s="21"/>
      <c r="U490" s="21"/>
      <c r="V490" s="21"/>
      <c r="W490" s="21"/>
      <c r="AA490" s="21"/>
      <c r="AB490" s="21"/>
      <c r="AC490" s="21"/>
      <c r="AD490" s="21"/>
    </row>
    <row r="491" spans="3:30" ht="14.4">
      <c r="C491" s="15"/>
      <c r="D491" s="15"/>
      <c r="E491" s="15"/>
      <c r="F491" s="21"/>
      <c r="G491" s="21"/>
      <c r="H491" s="21"/>
      <c r="L491" s="21"/>
      <c r="M491" s="21"/>
      <c r="N491" s="21"/>
      <c r="O491" s="21"/>
      <c r="U491" s="21"/>
      <c r="V491" s="21"/>
      <c r="W491" s="21"/>
      <c r="AA491" s="21"/>
      <c r="AB491" s="21"/>
      <c r="AC491" s="21"/>
      <c r="AD491" s="21"/>
    </row>
    <row r="492" spans="3:30" ht="14.4">
      <c r="C492" s="15"/>
      <c r="D492" s="15"/>
      <c r="E492" s="15"/>
      <c r="F492" s="21"/>
      <c r="G492" s="21"/>
      <c r="H492" s="21"/>
      <c r="L492" s="21"/>
      <c r="M492" s="21"/>
      <c r="N492" s="21"/>
      <c r="O492" s="21"/>
      <c r="U492" s="21"/>
      <c r="V492" s="21"/>
      <c r="W492" s="21"/>
      <c r="AA492" s="21"/>
      <c r="AB492" s="21"/>
      <c r="AC492" s="21"/>
      <c r="AD492" s="21"/>
    </row>
    <row r="493" spans="3:30" ht="14.4">
      <c r="C493" s="15"/>
      <c r="D493" s="15"/>
      <c r="E493" s="15"/>
      <c r="F493" s="21"/>
      <c r="G493" s="21"/>
      <c r="H493" s="21"/>
      <c r="L493" s="21"/>
      <c r="M493" s="21"/>
      <c r="N493" s="21"/>
      <c r="O493" s="21"/>
      <c r="U493" s="21"/>
      <c r="V493" s="21"/>
      <c r="W493" s="21"/>
      <c r="AA493" s="21"/>
      <c r="AB493" s="21"/>
      <c r="AC493" s="21"/>
      <c r="AD493" s="21"/>
    </row>
    <row r="494" spans="3:30" ht="14.4">
      <c r="C494" s="15"/>
      <c r="D494" s="15"/>
      <c r="E494" s="15"/>
      <c r="F494" s="21"/>
      <c r="G494" s="21"/>
      <c r="H494" s="21"/>
      <c r="L494" s="21"/>
      <c r="M494" s="21"/>
      <c r="N494" s="21"/>
      <c r="O494" s="21"/>
      <c r="U494" s="21"/>
      <c r="V494" s="21"/>
      <c r="W494" s="21"/>
      <c r="AA494" s="21"/>
      <c r="AB494" s="21"/>
      <c r="AC494" s="21"/>
      <c r="AD494" s="21"/>
    </row>
    <row r="495" spans="3:30" ht="14.4">
      <c r="C495" s="15"/>
      <c r="D495" s="15"/>
      <c r="E495" s="15"/>
      <c r="F495" s="21"/>
      <c r="G495" s="21"/>
      <c r="H495" s="21"/>
      <c r="L495" s="21"/>
      <c r="M495" s="21"/>
      <c r="N495" s="21"/>
      <c r="O495" s="21"/>
      <c r="U495" s="21"/>
      <c r="V495" s="21"/>
      <c r="W495" s="21"/>
      <c r="AA495" s="21"/>
      <c r="AB495" s="21"/>
      <c r="AC495" s="21"/>
      <c r="AD495" s="21"/>
    </row>
    <row r="496" spans="3:30" ht="14.4">
      <c r="C496" s="15"/>
      <c r="D496" s="15"/>
      <c r="E496" s="15"/>
      <c r="F496" s="21"/>
      <c r="G496" s="21"/>
      <c r="H496" s="21"/>
      <c r="L496" s="21"/>
      <c r="M496" s="21"/>
      <c r="N496" s="21"/>
      <c r="O496" s="21"/>
      <c r="U496" s="21"/>
      <c r="V496" s="21"/>
      <c r="W496" s="21"/>
      <c r="AA496" s="21"/>
      <c r="AB496" s="21"/>
      <c r="AC496" s="21"/>
      <c r="AD496" s="21"/>
    </row>
    <row r="497" spans="3:30" ht="14.4">
      <c r="C497" s="15"/>
      <c r="D497" s="15"/>
      <c r="E497" s="15"/>
      <c r="F497" s="21"/>
      <c r="G497" s="21"/>
      <c r="H497" s="21"/>
      <c r="L497" s="21"/>
      <c r="M497" s="21"/>
      <c r="N497" s="21"/>
      <c r="O497" s="21"/>
      <c r="U497" s="21"/>
      <c r="V497" s="21"/>
      <c r="W497" s="21"/>
      <c r="AA497" s="21"/>
      <c r="AB497" s="21"/>
      <c r="AC497" s="21"/>
      <c r="AD497" s="21"/>
    </row>
    <row r="498" spans="3:30" ht="14.4">
      <c r="C498" s="15"/>
      <c r="D498" s="15"/>
      <c r="E498" s="15"/>
      <c r="F498" s="21"/>
      <c r="G498" s="21"/>
      <c r="H498" s="21"/>
      <c r="L498" s="21"/>
      <c r="M498" s="21"/>
      <c r="N498" s="21"/>
      <c r="O498" s="21"/>
      <c r="U498" s="21"/>
      <c r="V498" s="21"/>
      <c r="W498" s="21"/>
      <c r="AA498" s="21"/>
      <c r="AB498" s="21"/>
      <c r="AC498" s="21"/>
      <c r="AD498" s="21"/>
    </row>
    <row r="499" spans="3:30" ht="14.4">
      <c r="C499" s="15"/>
      <c r="D499" s="15"/>
      <c r="E499" s="15"/>
      <c r="F499" s="21"/>
      <c r="G499" s="21"/>
      <c r="H499" s="21"/>
      <c r="L499" s="21"/>
      <c r="M499" s="21"/>
      <c r="N499" s="21"/>
      <c r="O499" s="21"/>
      <c r="U499" s="21"/>
      <c r="V499" s="21"/>
      <c r="W499" s="21"/>
      <c r="AA499" s="21"/>
      <c r="AB499" s="21"/>
      <c r="AC499" s="21"/>
      <c r="AD499" s="21"/>
    </row>
    <row r="500" spans="3:30" ht="14.4">
      <c r="C500" s="15"/>
      <c r="D500" s="15"/>
      <c r="E500" s="15"/>
      <c r="F500" s="21"/>
      <c r="G500" s="21"/>
      <c r="H500" s="21"/>
      <c r="L500" s="21"/>
      <c r="M500" s="21"/>
      <c r="N500" s="21"/>
      <c r="O500" s="21"/>
      <c r="U500" s="21"/>
      <c r="V500" s="21"/>
      <c r="W500" s="21"/>
      <c r="AA500" s="21"/>
      <c r="AB500" s="21"/>
      <c r="AC500" s="21"/>
      <c r="AD500" s="21"/>
    </row>
    <row r="501" spans="3:30" ht="14.4">
      <c r="C501" s="15"/>
      <c r="D501" s="15"/>
      <c r="E501" s="15"/>
      <c r="F501" s="21"/>
      <c r="G501" s="21"/>
      <c r="H501" s="21"/>
      <c r="L501" s="21"/>
      <c r="M501" s="21"/>
      <c r="N501" s="21"/>
      <c r="O501" s="21"/>
      <c r="U501" s="21"/>
      <c r="V501" s="21"/>
      <c r="W501" s="21"/>
      <c r="AA501" s="21"/>
      <c r="AB501" s="21"/>
      <c r="AC501" s="21"/>
      <c r="AD501" s="21"/>
    </row>
    <row r="502" spans="3:30" ht="14.4">
      <c r="C502" s="15"/>
      <c r="D502" s="15"/>
      <c r="E502" s="15"/>
      <c r="F502" s="21"/>
      <c r="G502" s="21"/>
      <c r="H502" s="21"/>
      <c r="L502" s="21"/>
      <c r="M502" s="21"/>
      <c r="N502" s="21"/>
      <c r="O502" s="21"/>
      <c r="U502" s="21"/>
      <c r="V502" s="21"/>
      <c r="W502" s="21"/>
      <c r="AA502" s="21"/>
      <c r="AB502" s="21"/>
      <c r="AC502" s="21"/>
      <c r="AD502" s="21"/>
    </row>
    <row r="503" spans="3:30" ht="14.4">
      <c r="C503" s="15"/>
      <c r="D503" s="15"/>
      <c r="E503" s="15"/>
      <c r="F503" s="21"/>
      <c r="G503" s="21"/>
      <c r="H503" s="21"/>
      <c r="L503" s="21"/>
      <c r="M503" s="21"/>
      <c r="N503" s="21"/>
      <c r="O503" s="21"/>
      <c r="U503" s="21"/>
      <c r="V503" s="21"/>
      <c r="W503" s="21"/>
      <c r="AA503" s="21"/>
      <c r="AB503" s="21"/>
      <c r="AC503" s="21"/>
      <c r="AD503" s="21"/>
    </row>
    <row r="504" spans="3:30" ht="14.4">
      <c r="C504" s="15"/>
      <c r="D504" s="15"/>
      <c r="E504" s="15"/>
      <c r="F504" s="21"/>
      <c r="G504" s="21"/>
      <c r="H504" s="21"/>
      <c r="L504" s="21"/>
      <c r="M504" s="21"/>
      <c r="N504" s="21"/>
      <c r="O504" s="21"/>
      <c r="U504" s="21"/>
      <c r="V504" s="21"/>
      <c r="W504" s="21"/>
      <c r="AA504" s="21"/>
      <c r="AB504" s="21"/>
      <c r="AC504" s="21"/>
      <c r="AD504" s="21"/>
    </row>
    <row r="505" spans="3:30" ht="14.4">
      <c r="C505" s="15"/>
      <c r="D505" s="15"/>
      <c r="E505" s="15"/>
      <c r="F505" s="21"/>
      <c r="G505" s="21"/>
      <c r="H505" s="21"/>
      <c r="L505" s="21"/>
      <c r="M505" s="21"/>
      <c r="N505" s="21"/>
      <c r="O505" s="21"/>
      <c r="U505" s="21"/>
      <c r="V505" s="21"/>
      <c r="W505" s="21"/>
      <c r="AA505" s="21"/>
      <c r="AB505" s="21"/>
      <c r="AC505" s="21"/>
      <c r="AD505" s="21"/>
    </row>
    <row r="506" spans="3:30" ht="14.4">
      <c r="C506" s="15"/>
      <c r="D506" s="15"/>
      <c r="E506" s="15"/>
      <c r="F506" s="21"/>
      <c r="G506" s="21"/>
      <c r="H506" s="21"/>
      <c r="L506" s="21"/>
      <c r="M506" s="21"/>
      <c r="N506" s="21"/>
      <c r="O506" s="21"/>
      <c r="U506" s="21"/>
      <c r="V506" s="21"/>
      <c r="W506" s="21"/>
      <c r="AA506" s="21"/>
      <c r="AB506" s="21"/>
      <c r="AC506" s="21"/>
      <c r="AD506" s="21"/>
    </row>
    <row r="507" spans="3:30" ht="14.4">
      <c r="C507" s="15"/>
      <c r="D507" s="15"/>
      <c r="E507" s="15"/>
      <c r="F507" s="21"/>
      <c r="G507" s="21"/>
      <c r="H507" s="21"/>
      <c r="L507" s="21"/>
      <c r="M507" s="21"/>
      <c r="N507" s="21"/>
      <c r="O507" s="21"/>
      <c r="U507" s="21"/>
      <c r="V507" s="21"/>
      <c r="W507" s="21"/>
      <c r="AA507" s="21"/>
      <c r="AB507" s="21"/>
      <c r="AC507" s="21"/>
      <c r="AD507" s="21"/>
    </row>
    <row r="508" spans="3:30" ht="14.4">
      <c r="C508" s="15"/>
      <c r="D508" s="15"/>
      <c r="E508" s="15"/>
      <c r="F508" s="21"/>
      <c r="G508" s="21"/>
      <c r="H508" s="21"/>
      <c r="L508" s="21"/>
      <c r="M508" s="21"/>
      <c r="N508" s="21"/>
      <c r="O508" s="21"/>
      <c r="U508" s="21"/>
      <c r="V508" s="21"/>
      <c r="W508" s="21"/>
      <c r="AA508" s="21"/>
      <c r="AB508" s="21"/>
      <c r="AC508" s="21"/>
      <c r="AD508" s="21"/>
    </row>
    <row r="509" spans="3:30" ht="14.4">
      <c r="C509" s="15"/>
      <c r="D509" s="15"/>
      <c r="E509" s="15"/>
      <c r="F509" s="21"/>
      <c r="G509" s="21"/>
      <c r="H509" s="21"/>
      <c r="L509" s="21"/>
      <c r="M509" s="21"/>
      <c r="N509" s="21"/>
      <c r="O509" s="21"/>
      <c r="U509" s="21"/>
      <c r="V509" s="21"/>
      <c r="W509" s="21"/>
      <c r="AA509" s="21"/>
      <c r="AB509" s="21"/>
      <c r="AC509" s="21"/>
      <c r="AD509" s="21"/>
    </row>
    <row r="510" spans="3:30" ht="14.4">
      <c r="C510" s="15"/>
      <c r="D510" s="15"/>
      <c r="E510" s="15"/>
      <c r="F510" s="21"/>
      <c r="G510" s="21"/>
      <c r="H510" s="21"/>
      <c r="L510" s="21"/>
      <c r="M510" s="21"/>
      <c r="N510" s="21"/>
      <c r="O510" s="21"/>
      <c r="U510" s="21"/>
      <c r="V510" s="21"/>
      <c r="W510" s="21"/>
      <c r="AA510" s="21"/>
      <c r="AB510" s="21"/>
      <c r="AC510" s="21"/>
      <c r="AD510" s="21"/>
    </row>
    <row r="511" spans="3:30" ht="14.4">
      <c r="C511" s="15"/>
      <c r="D511" s="15"/>
      <c r="E511" s="15"/>
      <c r="F511" s="21"/>
      <c r="G511" s="21"/>
      <c r="H511" s="21"/>
      <c r="L511" s="21"/>
      <c r="M511" s="21"/>
      <c r="N511" s="21"/>
      <c r="O511" s="21"/>
      <c r="U511" s="21"/>
      <c r="V511" s="21"/>
      <c r="W511" s="21"/>
      <c r="AA511" s="21"/>
      <c r="AB511" s="21"/>
      <c r="AC511" s="21"/>
      <c r="AD511" s="21"/>
    </row>
    <row r="512" spans="3:30" ht="14.4">
      <c r="C512" s="15"/>
      <c r="D512" s="15"/>
      <c r="E512" s="15"/>
      <c r="F512" s="21"/>
      <c r="G512" s="21"/>
      <c r="H512" s="21"/>
      <c r="L512" s="21"/>
      <c r="M512" s="21"/>
      <c r="N512" s="21"/>
      <c r="O512" s="21"/>
      <c r="U512" s="21"/>
      <c r="V512" s="21"/>
      <c r="W512" s="21"/>
      <c r="AA512" s="21"/>
      <c r="AB512" s="21"/>
      <c r="AC512" s="21"/>
      <c r="AD512" s="21"/>
    </row>
    <row r="513" spans="3:30" ht="14.4">
      <c r="C513" s="15"/>
      <c r="D513" s="15"/>
      <c r="E513" s="15"/>
      <c r="F513" s="21"/>
      <c r="G513" s="21"/>
      <c r="H513" s="21"/>
      <c r="L513" s="21"/>
      <c r="M513" s="21"/>
      <c r="N513" s="21"/>
      <c r="O513" s="21"/>
      <c r="U513" s="21"/>
      <c r="V513" s="21"/>
      <c r="W513" s="21"/>
      <c r="AA513" s="21"/>
      <c r="AB513" s="21"/>
      <c r="AC513" s="21"/>
      <c r="AD513" s="21"/>
    </row>
    <row r="514" spans="3:30" ht="14.4">
      <c r="C514" s="15"/>
      <c r="D514" s="15"/>
      <c r="E514" s="15"/>
      <c r="F514" s="21"/>
      <c r="G514" s="21"/>
      <c r="H514" s="21"/>
      <c r="L514" s="21"/>
      <c r="M514" s="21"/>
      <c r="N514" s="21"/>
      <c r="O514" s="21"/>
      <c r="U514" s="21"/>
      <c r="V514" s="21"/>
      <c r="W514" s="21"/>
      <c r="AA514" s="21"/>
      <c r="AB514" s="21"/>
      <c r="AC514" s="21"/>
      <c r="AD514" s="21"/>
    </row>
    <row r="515" spans="3:30" ht="14.4">
      <c r="C515" s="15"/>
      <c r="D515" s="15"/>
      <c r="E515" s="15"/>
      <c r="F515" s="21"/>
      <c r="G515" s="21"/>
      <c r="H515" s="21"/>
      <c r="L515" s="21"/>
      <c r="M515" s="21"/>
      <c r="N515" s="21"/>
      <c r="O515" s="21"/>
      <c r="U515" s="21"/>
      <c r="V515" s="21"/>
      <c r="W515" s="21"/>
      <c r="AA515" s="21"/>
      <c r="AB515" s="21"/>
      <c r="AC515" s="21"/>
      <c r="AD515" s="21"/>
    </row>
    <row r="516" spans="3:30" ht="14.4">
      <c r="C516" s="15"/>
      <c r="D516" s="15"/>
      <c r="E516" s="15"/>
      <c r="F516" s="21"/>
      <c r="G516" s="21"/>
      <c r="H516" s="21"/>
      <c r="L516" s="21"/>
      <c r="M516" s="21"/>
      <c r="N516" s="21"/>
      <c r="O516" s="21"/>
      <c r="U516" s="21"/>
      <c r="V516" s="21"/>
      <c r="W516" s="21"/>
      <c r="AA516" s="21"/>
      <c r="AB516" s="21"/>
      <c r="AC516" s="21"/>
      <c r="AD516" s="21"/>
    </row>
    <row r="517" spans="3:30" ht="14.4">
      <c r="C517" s="15"/>
      <c r="D517" s="15"/>
      <c r="E517" s="15"/>
      <c r="F517" s="21"/>
      <c r="G517" s="21"/>
      <c r="H517" s="21"/>
      <c r="L517" s="21"/>
      <c r="M517" s="21"/>
      <c r="N517" s="21"/>
      <c r="O517" s="21"/>
      <c r="U517" s="21"/>
      <c r="V517" s="21"/>
      <c r="W517" s="21"/>
      <c r="AA517" s="21"/>
      <c r="AB517" s="21"/>
      <c r="AC517" s="21"/>
      <c r="AD517" s="21"/>
    </row>
    <row r="518" spans="3:30" ht="14.4">
      <c r="C518" s="15"/>
      <c r="D518" s="15"/>
      <c r="E518" s="15"/>
      <c r="F518" s="21"/>
      <c r="G518" s="21"/>
      <c r="H518" s="21"/>
      <c r="L518" s="21"/>
      <c r="M518" s="21"/>
      <c r="N518" s="21"/>
      <c r="O518" s="21"/>
      <c r="U518" s="21"/>
      <c r="V518" s="21"/>
      <c r="W518" s="21"/>
      <c r="AA518" s="21"/>
      <c r="AB518" s="21"/>
      <c r="AC518" s="21"/>
      <c r="AD518" s="21"/>
    </row>
    <row r="519" spans="3:30" ht="14.4">
      <c r="C519" s="15"/>
      <c r="D519" s="15"/>
      <c r="E519" s="15"/>
      <c r="F519" s="21"/>
      <c r="G519" s="21"/>
      <c r="H519" s="21"/>
      <c r="L519" s="21"/>
      <c r="M519" s="21"/>
      <c r="N519" s="21"/>
      <c r="O519" s="21"/>
      <c r="U519" s="21"/>
      <c r="V519" s="21"/>
      <c r="W519" s="21"/>
      <c r="AA519" s="21"/>
      <c r="AB519" s="21"/>
      <c r="AC519" s="21"/>
      <c r="AD519" s="21"/>
    </row>
    <row r="520" spans="3:30" ht="14.4">
      <c r="C520" s="15"/>
      <c r="D520" s="15"/>
      <c r="E520" s="15"/>
      <c r="F520" s="21"/>
      <c r="G520" s="21"/>
      <c r="H520" s="21"/>
      <c r="L520" s="21"/>
      <c r="M520" s="21"/>
      <c r="N520" s="21"/>
      <c r="O520" s="21"/>
      <c r="U520" s="21"/>
      <c r="V520" s="21"/>
      <c r="W520" s="21"/>
      <c r="AA520" s="21"/>
      <c r="AB520" s="21"/>
      <c r="AC520" s="21"/>
      <c r="AD520" s="21"/>
    </row>
    <row r="521" spans="3:30" ht="14.4">
      <c r="C521" s="15"/>
      <c r="D521" s="15"/>
      <c r="E521" s="15"/>
      <c r="F521" s="21"/>
      <c r="G521" s="21"/>
      <c r="H521" s="21"/>
      <c r="L521" s="21"/>
      <c r="M521" s="21"/>
      <c r="N521" s="21"/>
      <c r="O521" s="21"/>
      <c r="U521" s="21"/>
      <c r="V521" s="21"/>
      <c r="W521" s="21"/>
      <c r="AA521" s="21"/>
      <c r="AB521" s="21"/>
      <c r="AC521" s="21"/>
      <c r="AD521" s="21"/>
    </row>
    <row r="522" spans="3:30" ht="14.4">
      <c r="C522" s="15"/>
      <c r="D522" s="15"/>
      <c r="E522" s="15"/>
      <c r="F522" s="21"/>
      <c r="G522" s="21"/>
      <c r="H522" s="21"/>
      <c r="L522" s="21"/>
      <c r="M522" s="21"/>
      <c r="N522" s="21"/>
      <c r="O522" s="21"/>
      <c r="U522" s="21"/>
      <c r="V522" s="21"/>
      <c r="W522" s="21"/>
      <c r="AA522" s="21"/>
      <c r="AB522" s="21"/>
      <c r="AC522" s="21"/>
      <c r="AD522" s="21"/>
    </row>
    <row r="523" spans="3:30" ht="14.4">
      <c r="C523" s="15"/>
      <c r="D523" s="15"/>
      <c r="E523" s="15"/>
      <c r="F523" s="21"/>
      <c r="G523" s="21"/>
      <c r="H523" s="21"/>
      <c r="L523" s="21"/>
      <c r="M523" s="21"/>
      <c r="N523" s="21"/>
      <c r="O523" s="21"/>
      <c r="U523" s="21"/>
      <c r="V523" s="21"/>
      <c r="W523" s="21"/>
      <c r="AA523" s="21"/>
      <c r="AB523" s="21"/>
      <c r="AC523" s="21"/>
      <c r="AD523" s="21"/>
    </row>
    <row r="524" spans="3:30" ht="14.4">
      <c r="C524" s="15"/>
      <c r="D524" s="15"/>
      <c r="E524" s="15"/>
      <c r="F524" s="21"/>
      <c r="G524" s="21"/>
      <c r="H524" s="21"/>
      <c r="L524" s="21"/>
      <c r="M524" s="21"/>
      <c r="N524" s="21"/>
      <c r="O524" s="21"/>
      <c r="U524" s="21"/>
      <c r="V524" s="21"/>
      <c r="W524" s="21"/>
      <c r="AA524" s="21"/>
      <c r="AB524" s="21"/>
      <c r="AC524" s="21"/>
      <c r="AD524" s="21"/>
    </row>
    <row r="525" spans="3:30" ht="14.4">
      <c r="C525" s="15"/>
      <c r="D525" s="15"/>
      <c r="E525" s="15"/>
      <c r="F525" s="21"/>
      <c r="G525" s="21"/>
      <c r="H525" s="21"/>
      <c r="L525" s="21"/>
      <c r="M525" s="21"/>
      <c r="N525" s="21"/>
      <c r="O525" s="21"/>
      <c r="U525" s="21"/>
      <c r="V525" s="21"/>
      <c r="W525" s="21"/>
      <c r="AA525" s="21"/>
      <c r="AB525" s="21"/>
      <c r="AC525" s="21"/>
      <c r="AD525" s="21"/>
    </row>
    <row r="526" spans="3:30" ht="14.4">
      <c r="C526" s="15"/>
      <c r="D526" s="15"/>
      <c r="E526" s="15"/>
      <c r="F526" s="21"/>
      <c r="G526" s="21"/>
      <c r="H526" s="21"/>
      <c r="L526" s="21"/>
      <c r="M526" s="21"/>
      <c r="N526" s="21"/>
      <c r="O526" s="21"/>
      <c r="U526" s="21"/>
      <c r="V526" s="21"/>
      <c r="W526" s="21"/>
      <c r="AA526" s="21"/>
      <c r="AB526" s="21"/>
      <c r="AC526" s="21"/>
      <c r="AD526" s="21"/>
    </row>
    <row r="527" spans="3:30" ht="14.4">
      <c r="C527" s="15"/>
      <c r="D527" s="15"/>
      <c r="E527" s="15"/>
      <c r="F527" s="21"/>
      <c r="G527" s="21"/>
      <c r="H527" s="21"/>
      <c r="L527" s="21"/>
      <c r="M527" s="21"/>
      <c r="N527" s="21"/>
      <c r="O527" s="21"/>
      <c r="U527" s="21"/>
      <c r="V527" s="21"/>
      <c r="W527" s="21"/>
      <c r="AA527" s="21"/>
      <c r="AB527" s="21"/>
      <c r="AC527" s="21"/>
      <c r="AD527" s="21"/>
    </row>
    <row r="528" spans="3:30" ht="14.4">
      <c r="C528" s="15"/>
      <c r="D528" s="15"/>
      <c r="E528" s="15"/>
      <c r="F528" s="21"/>
      <c r="G528" s="21"/>
      <c r="H528" s="21"/>
      <c r="L528" s="21"/>
      <c r="M528" s="21"/>
      <c r="N528" s="21"/>
      <c r="O528" s="21"/>
      <c r="U528" s="21"/>
      <c r="V528" s="21"/>
      <c r="W528" s="21"/>
      <c r="AA528" s="21"/>
      <c r="AB528" s="21"/>
      <c r="AC528" s="21"/>
      <c r="AD528" s="21"/>
    </row>
    <row r="529" spans="3:30" ht="14.4">
      <c r="C529" s="15"/>
      <c r="D529" s="15"/>
      <c r="E529" s="15"/>
      <c r="F529" s="21"/>
      <c r="G529" s="21"/>
      <c r="H529" s="21"/>
      <c r="L529" s="21"/>
      <c r="M529" s="21"/>
      <c r="N529" s="21"/>
      <c r="O529" s="21"/>
      <c r="U529" s="21"/>
      <c r="V529" s="21"/>
      <c r="W529" s="21"/>
      <c r="AA529" s="21"/>
      <c r="AB529" s="21"/>
      <c r="AC529" s="21"/>
      <c r="AD529" s="21"/>
    </row>
    <row r="530" spans="3:30" ht="14.4">
      <c r="C530" s="15"/>
      <c r="D530" s="15"/>
      <c r="E530" s="15"/>
      <c r="F530" s="21"/>
      <c r="G530" s="21"/>
      <c r="H530" s="21"/>
      <c r="L530" s="21"/>
      <c r="M530" s="21"/>
      <c r="N530" s="21"/>
      <c r="O530" s="21"/>
      <c r="U530" s="21"/>
      <c r="V530" s="21"/>
      <c r="W530" s="21"/>
      <c r="AA530" s="21"/>
      <c r="AB530" s="21"/>
      <c r="AC530" s="21"/>
      <c r="AD530" s="21"/>
    </row>
    <row r="531" spans="3:30" ht="14.4">
      <c r="C531" s="15"/>
      <c r="D531" s="15"/>
      <c r="E531" s="15"/>
      <c r="F531" s="21"/>
      <c r="G531" s="21"/>
      <c r="H531" s="21"/>
      <c r="L531" s="21"/>
      <c r="M531" s="21"/>
      <c r="N531" s="21"/>
      <c r="O531" s="21"/>
      <c r="U531" s="21"/>
      <c r="V531" s="21"/>
      <c r="W531" s="21"/>
      <c r="AA531" s="21"/>
      <c r="AB531" s="21"/>
      <c r="AC531" s="21"/>
      <c r="AD531" s="21"/>
    </row>
    <row r="532" spans="3:30" ht="14.4">
      <c r="C532" s="15"/>
      <c r="D532" s="15"/>
      <c r="E532" s="15"/>
      <c r="F532" s="21"/>
      <c r="G532" s="21"/>
      <c r="H532" s="21"/>
      <c r="L532" s="21"/>
      <c r="M532" s="21"/>
      <c r="N532" s="21"/>
      <c r="O532" s="21"/>
      <c r="U532" s="21"/>
      <c r="V532" s="21"/>
      <c r="W532" s="21"/>
      <c r="AA532" s="21"/>
      <c r="AB532" s="21"/>
      <c r="AC532" s="21"/>
      <c r="AD532" s="21"/>
    </row>
    <row r="533" spans="3:30" ht="14.4">
      <c r="C533" s="15"/>
      <c r="D533" s="15"/>
      <c r="E533" s="15"/>
      <c r="F533" s="21"/>
      <c r="G533" s="21"/>
      <c r="H533" s="21"/>
      <c r="L533" s="21"/>
      <c r="M533" s="21"/>
      <c r="N533" s="21"/>
      <c r="O533" s="21"/>
      <c r="U533" s="21"/>
      <c r="V533" s="21"/>
      <c r="W533" s="21"/>
      <c r="AA533" s="21"/>
      <c r="AB533" s="21"/>
      <c r="AC533" s="21"/>
      <c r="AD533" s="21"/>
    </row>
    <row r="534" spans="3:30" ht="14.4">
      <c r="C534" s="15"/>
      <c r="D534" s="15"/>
      <c r="E534" s="15"/>
      <c r="F534" s="21"/>
      <c r="G534" s="21"/>
      <c r="H534" s="21"/>
      <c r="L534" s="21"/>
      <c r="M534" s="21"/>
      <c r="N534" s="21"/>
      <c r="O534" s="21"/>
      <c r="U534" s="21"/>
      <c r="V534" s="21"/>
      <c r="W534" s="21"/>
      <c r="AA534" s="21"/>
      <c r="AB534" s="21"/>
      <c r="AC534" s="21"/>
      <c r="AD534" s="21"/>
    </row>
    <row r="535" spans="3:30" ht="14.4">
      <c r="C535" s="15"/>
      <c r="D535" s="15"/>
      <c r="E535" s="15"/>
      <c r="F535" s="21"/>
      <c r="G535" s="21"/>
      <c r="H535" s="21"/>
      <c r="L535" s="21"/>
      <c r="M535" s="21"/>
      <c r="N535" s="21"/>
      <c r="O535" s="21"/>
      <c r="U535" s="21"/>
      <c r="V535" s="21"/>
      <c r="W535" s="21"/>
      <c r="AA535" s="21"/>
      <c r="AB535" s="21"/>
      <c r="AC535" s="21"/>
      <c r="AD535" s="21"/>
    </row>
    <row r="536" spans="3:30" ht="14.4">
      <c r="C536" s="15"/>
      <c r="D536" s="15"/>
      <c r="E536" s="15"/>
      <c r="F536" s="21"/>
      <c r="G536" s="21"/>
      <c r="H536" s="21"/>
      <c r="L536" s="21"/>
      <c r="M536" s="21"/>
      <c r="N536" s="21"/>
      <c r="O536" s="21"/>
      <c r="U536" s="21"/>
      <c r="V536" s="21"/>
      <c r="W536" s="21"/>
      <c r="AA536" s="21"/>
      <c r="AB536" s="21"/>
      <c r="AC536" s="21"/>
      <c r="AD536" s="21"/>
    </row>
    <row r="537" spans="3:30" ht="14.4">
      <c r="C537" s="15"/>
      <c r="D537" s="15"/>
      <c r="E537" s="15"/>
      <c r="F537" s="21"/>
      <c r="G537" s="21"/>
      <c r="H537" s="21"/>
      <c r="L537" s="21"/>
      <c r="M537" s="21"/>
      <c r="N537" s="21"/>
      <c r="O537" s="21"/>
      <c r="U537" s="21"/>
      <c r="V537" s="21"/>
      <c r="W537" s="21"/>
      <c r="AA537" s="21"/>
      <c r="AB537" s="21"/>
      <c r="AC537" s="21"/>
      <c r="AD537" s="21"/>
    </row>
    <row r="538" spans="3:30" ht="14.4">
      <c r="C538" s="15"/>
      <c r="D538" s="15"/>
      <c r="E538" s="15"/>
      <c r="F538" s="21"/>
      <c r="G538" s="21"/>
      <c r="H538" s="21"/>
      <c r="L538" s="21"/>
      <c r="M538" s="21"/>
      <c r="N538" s="21"/>
      <c r="O538" s="21"/>
      <c r="U538" s="21"/>
      <c r="V538" s="21"/>
      <c r="W538" s="21"/>
      <c r="AA538" s="21"/>
      <c r="AB538" s="21"/>
      <c r="AC538" s="21"/>
      <c r="AD538" s="21"/>
    </row>
    <row r="539" spans="3:30" ht="14.4">
      <c r="C539" s="15"/>
      <c r="D539" s="15"/>
      <c r="E539" s="15"/>
      <c r="F539" s="21"/>
      <c r="G539" s="21"/>
      <c r="H539" s="21"/>
      <c r="L539" s="21"/>
      <c r="M539" s="21"/>
      <c r="N539" s="21"/>
      <c r="O539" s="21"/>
      <c r="U539" s="21"/>
      <c r="V539" s="21"/>
      <c r="W539" s="21"/>
      <c r="AA539" s="21"/>
      <c r="AB539" s="21"/>
      <c r="AC539" s="21"/>
      <c r="AD539" s="21"/>
    </row>
    <row r="540" spans="3:30" ht="14.4">
      <c r="C540" s="15"/>
      <c r="D540" s="15"/>
      <c r="E540" s="15"/>
      <c r="F540" s="21"/>
      <c r="G540" s="21"/>
      <c r="H540" s="21"/>
      <c r="L540" s="21"/>
      <c r="M540" s="21"/>
      <c r="N540" s="21"/>
      <c r="O540" s="21"/>
      <c r="U540" s="21"/>
      <c r="V540" s="21"/>
      <c r="W540" s="21"/>
      <c r="AA540" s="21"/>
      <c r="AB540" s="21"/>
      <c r="AC540" s="21"/>
      <c r="AD540" s="21"/>
    </row>
    <row r="541" spans="3:30" ht="14.4">
      <c r="C541" s="15"/>
      <c r="D541" s="15"/>
      <c r="E541" s="15"/>
      <c r="F541" s="21"/>
      <c r="G541" s="21"/>
      <c r="H541" s="21"/>
      <c r="L541" s="21"/>
      <c r="M541" s="21"/>
      <c r="N541" s="21"/>
      <c r="O541" s="21"/>
      <c r="U541" s="21"/>
      <c r="V541" s="21"/>
      <c r="W541" s="21"/>
      <c r="AA541" s="21"/>
      <c r="AB541" s="21"/>
      <c r="AC541" s="21"/>
      <c r="AD541" s="21"/>
    </row>
    <row r="542" spans="3:30" ht="14.4">
      <c r="C542" s="15"/>
      <c r="D542" s="15"/>
      <c r="E542" s="15"/>
      <c r="F542" s="21"/>
      <c r="G542" s="21"/>
      <c r="H542" s="21"/>
      <c r="L542" s="21"/>
      <c r="M542" s="21"/>
      <c r="N542" s="21"/>
      <c r="O542" s="21"/>
      <c r="U542" s="21"/>
      <c r="V542" s="21"/>
      <c r="W542" s="21"/>
      <c r="AA542" s="21"/>
      <c r="AB542" s="21"/>
      <c r="AC542" s="21"/>
      <c r="AD542" s="21"/>
    </row>
    <row r="543" spans="3:30" ht="14.4">
      <c r="C543" s="15"/>
      <c r="D543" s="15"/>
      <c r="E543" s="15"/>
      <c r="F543" s="21"/>
      <c r="G543" s="21"/>
      <c r="H543" s="21"/>
      <c r="L543" s="21"/>
      <c r="M543" s="21"/>
      <c r="N543" s="21"/>
      <c r="O543" s="21"/>
      <c r="U543" s="21"/>
      <c r="V543" s="21"/>
      <c r="W543" s="21"/>
      <c r="AA543" s="21"/>
      <c r="AB543" s="21"/>
      <c r="AC543" s="21"/>
      <c r="AD543" s="21"/>
    </row>
    <row r="544" spans="3:30" ht="14.4">
      <c r="C544" s="15"/>
      <c r="D544" s="15"/>
      <c r="E544" s="15"/>
      <c r="F544" s="21"/>
      <c r="G544" s="21"/>
      <c r="H544" s="21"/>
      <c r="L544" s="21"/>
      <c r="M544" s="21"/>
      <c r="N544" s="21"/>
      <c r="O544" s="21"/>
      <c r="U544" s="21"/>
      <c r="V544" s="21"/>
      <c r="W544" s="21"/>
      <c r="AA544" s="21"/>
      <c r="AB544" s="21"/>
      <c r="AC544" s="21"/>
      <c r="AD544" s="21"/>
    </row>
    <row r="545" spans="3:30" ht="14.4">
      <c r="C545" s="15"/>
      <c r="D545" s="15"/>
      <c r="E545" s="15"/>
      <c r="F545" s="21"/>
      <c r="G545" s="21"/>
      <c r="H545" s="21"/>
      <c r="L545" s="21"/>
      <c r="M545" s="21"/>
      <c r="N545" s="21"/>
      <c r="O545" s="21"/>
      <c r="U545" s="21"/>
      <c r="V545" s="21"/>
      <c r="W545" s="21"/>
      <c r="AA545" s="21"/>
      <c r="AB545" s="21"/>
      <c r="AC545" s="21"/>
      <c r="AD545" s="21"/>
    </row>
    <row r="546" spans="3:30" ht="14.4">
      <c r="C546" s="15"/>
      <c r="D546" s="15"/>
      <c r="E546" s="15"/>
      <c r="F546" s="21"/>
      <c r="G546" s="21"/>
      <c r="H546" s="21"/>
      <c r="L546" s="21"/>
      <c r="M546" s="21"/>
      <c r="N546" s="21"/>
      <c r="O546" s="21"/>
      <c r="U546" s="21"/>
      <c r="V546" s="21"/>
      <c r="W546" s="21"/>
      <c r="AA546" s="21"/>
      <c r="AB546" s="21"/>
      <c r="AC546" s="21"/>
      <c r="AD546" s="21"/>
    </row>
    <row r="547" spans="3:30" ht="14.4">
      <c r="C547" s="15"/>
      <c r="D547" s="15"/>
      <c r="E547" s="15"/>
      <c r="F547" s="21"/>
      <c r="G547" s="21"/>
      <c r="H547" s="21"/>
      <c r="L547" s="21"/>
      <c r="M547" s="21"/>
      <c r="N547" s="21"/>
      <c r="O547" s="21"/>
      <c r="U547" s="21"/>
      <c r="V547" s="21"/>
      <c r="W547" s="21"/>
      <c r="AA547" s="21"/>
      <c r="AB547" s="21"/>
      <c r="AC547" s="21"/>
      <c r="AD547" s="21"/>
    </row>
    <row r="548" spans="3:30" ht="14.4">
      <c r="C548" s="15"/>
      <c r="D548" s="15"/>
      <c r="E548" s="15"/>
      <c r="F548" s="21"/>
      <c r="G548" s="21"/>
      <c r="H548" s="21"/>
      <c r="L548" s="21"/>
      <c r="M548" s="21"/>
      <c r="N548" s="21"/>
      <c r="O548" s="21"/>
      <c r="U548" s="21"/>
      <c r="V548" s="21"/>
      <c r="W548" s="21"/>
      <c r="AA548" s="21"/>
      <c r="AB548" s="21"/>
      <c r="AC548" s="21"/>
      <c r="AD548" s="21"/>
    </row>
    <row r="549" spans="3:30" ht="14.4">
      <c r="C549" s="15"/>
      <c r="D549" s="15"/>
      <c r="E549" s="15"/>
      <c r="F549" s="21"/>
      <c r="G549" s="21"/>
      <c r="H549" s="21"/>
      <c r="L549" s="21"/>
      <c r="M549" s="21"/>
      <c r="N549" s="21"/>
      <c r="O549" s="21"/>
      <c r="U549" s="21"/>
      <c r="V549" s="21"/>
      <c r="W549" s="21"/>
      <c r="AA549" s="21"/>
      <c r="AB549" s="21"/>
      <c r="AC549" s="21"/>
      <c r="AD549" s="21"/>
    </row>
    <row r="550" spans="3:30" ht="14.4">
      <c r="C550" s="15"/>
      <c r="D550" s="15"/>
      <c r="E550" s="15"/>
      <c r="F550" s="21"/>
      <c r="G550" s="21"/>
      <c r="H550" s="21"/>
      <c r="L550" s="21"/>
      <c r="M550" s="21"/>
      <c r="N550" s="21"/>
      <c r="O550" s="21"/>
      <c r="U550" s="21"/>
      <c r="V550" s="21"/>
      <c r="W550" s="21"/>
      <c r="AA550" s="21"/>
      <c r="AB550" s="21"/>
      <c r="AC550" s="21"/>
      <c r="AD550" s="21"/>
    </row>
    <row r="551" spans="3:30" ht="14.4">
      <c r="C551" s="15"/>
      <c r="D551" s="15"/>
      <c r="E551" s="15"/>
      <c r="F551" s="21"/>
      <c r="G551" s="21"/>
      <c r="H551" s="21"/>
      <c r="L551" s="21"/>
      <c r="M551" s="21"/>
      <c r="N551" s="21"/>
      <c r="O551" s="21"/>
      <c r="U551" s="21"/>
      <c r="V551" s="21"/>
      <c r="W551" s="21"/>
      <c r="AA551" s="21"/>
      <c r="AB551" s="21"/>
      <c r="AC551" s="21"/>
      <c r="AD551" s="21"/>
    </row>
    <row r="552" spans="3:30" ht="14.4">
      <c r="C552" s="15"/>
      <c r="D552" s="15"/>
      <c r="E552" s="15"/>
      <c r="F552" s="21"/>
      <c r="G552" s="21"/>
      <c r="H552" s="21"/>
      <c r="L552" s="21"/>
      <c r="M552" s="21"/>
      <c r="N552" s="21"/>
      <c r="O552" s="21"/>
      <c r="U552" s="21"/>
      <c r="V552" s="21"/>
      <c r="W552" s="21"/>
      <c r="AA552" s="21"/>
      <c r="AB552" s="21"/>
      <c r="AC552" s="21"/>
      <c r="AD552" s="21"/>
    </row>
    <row r="553" spans="3:30" ht="14.4">
      <c r="C553" s="15"/>
      <c r="D553" s="15"/>
      <c r="E553" s="15"/>
      <c r="F553" s="21"/>
      <c r="G553" s="21"/>
      <c r="H553" s="21"/>
      <c r="L553" s="21"/>
      <c r="M553" s="21"/>
      <c r="N553" s="21"/>
      <c r="O553" s="21"/>
      <c r="U553" s="21"/>
      <c r="V553" s="21"/>
      <c r="W553" s="21"/>
      <c r="AA553" s="21"/>
      <c r="AB553" s="21"/>
      <c r="AC553" s="21"/>
      <c r="AD553" s="21"/>
    </row>
    <row r="554" spans="3:30" ht="14.4">
      <c r="C554" s="15"/>
      <c r="D554" s="15"/>
      <c r="E554" s="15"/>
      <c r="F554" s="21"/>
      <c r="G554" s="21"/>
      <c r="H554" s="21"/>
      <c r="L554" s="21"/>
      <c r="M554" s="21"/>
      <c r="N554" s="21"/>
      <c r="O554" s="21"/>
      <c r="U554" s="21"/>
      <c r="V554" s="21"/>
      <c r="W554" s="21"/>
      <c r="AA554" s="21"/>
      <c r="AB554" s="21"/>
      <c r="AC554" s="21"/>
      <c r="AD554" s="21"/>
    </row>
    <row r="555" spans="3:30" ht="14.4">
      <c r="C555" s="15"/>
      <c r="D555" s="15"/>
      <c r="E555" s="15"/>
      <c r="F555" s="21"/>
      <c r="G555" s="21"/>
      <c r="H555" s="21"/>
      <c r="L555" s="21"/>
      <c r="M555" s="21"/>
      <c r="N555" s="21"/>
      <c r="O555" s="21"/>
      <c r="U555" s="21"/>
      <c r="V555" s="21"/>
      <c r="W555" s="21"/>
      <c r="AA555" s="21"/>
      <c r="AB555" s="21"/>
      <c r="AC555" s="21"/>
      <c r="AD555" s="21"/>
    </row>
    <row r="556" spans="3:30" ht="14.4">
      <c r="C556" s="15"/>
      <c r="D556" s="15"/>
      <c r="E556" s="15"/>
      <c r="F556" s="21"/>
      <c r="G556" s="21"/>
      <c r="H556" s="21"/>
      <c r="L556" s="21"/>
      <c r="M556" s="21"/>
      <c r="N556" s="21"/>
      <c r="O556" s="21"/>
      <c r="U556" s="21"/>
      <c r="V556" s="21"/>
      <c r="W556" s="21"/>
      <c r="AA556" s="21"/>
      <c r="AB556" s="21"/>
      <c r="AC556" s="21"/>
      <c r="AD556" s="21"/>
    </row>
    <row r="557" spans="3:30" ht="14.4">
      <c r="C557" s="15"/>
      <c r="D557" s="15"/>
      <c r="E557" s="15"/>
      <c r="F557" s="21"/>
      <c r="G557" s="21"/>
      <c r="H557" s="21"/>
      <c r="L557" s="21"/>
      <c r="M557" s="21"/>
      <c r="N557" s="21"/>
      <c r="O557" s="21"/>
      <c r="U557" s="21"/>
      <c r="V557" s="21"/>
      <c r="W557" s="21"/>
      <c r="AA557" s="21"/>
      <c r="AB557" s="21"/>
      <c r="AC557" s="21"/>
      <c r="AD557" s="21"/>
    </row>
    <row r="558" spans="3:30" ht="14.4">
      <c r="C558" s="15"/>
      <c r="D558" s="15"/>
      <c r="E558" s="15"/>
      <c r="F558" s="21"/>
      <c r="G558" s="21"/>
      <c r="H558" s="21"/>
      <c r="L558" s="21"/>
      <c r="M558" s="21"/>
      <c r="N558" s="21"/>
      <c r="O558" s="21"/>
      <c r="U558" s="21"/>
      <c r="V558" s="21"/>
      <c r="W558" s="21"/>
      <c r="AA558" s="21"/>
      <c r="AB558" s="21"/>
      <c r="AC558" s="21"/>
      <c r="AD558" s="21"/>
    </row>
    <row r="559" spans="3:30" ht="14.4">
      <c r="C559" s="15"/>
      <c r="D559" s="15"/>
      <c r="E559" s="15"/>
      <c r="F559" s="21"/>
      <c r="G559" s="21"/>
      <c r="H559" s="21"/>
      <c r="L559" s="21"/>
      <c r="M559" s="21"/>
      <c r="N559" s="21"/>
      <c r="O559" s="21"/>
      <c r="U559" s="21"/>
      <c r="V559" s="21"/>
      <c r="W559" s="21"/>
      <c r="AA559" s="21"/>
      <c r="AB559" s="21"/>
      <c r="AC559" s="21"/>
      <c r="AD559" s="21"/>
    </row>
    <row r="560" spans="3:30" ht="14.4">
      <c r="C560" s="15"/>
      <c r="D560" s="15"/>
      <c r="E560" s="15"/>
      <c r="F560" s="21"/>
      <c r="G560" s="21"/>
      <c r="H560" s="21"/>
      <c r="L560" s="21"/>
      <c r="M560" s="21"/>
      <c r="N560" s="21"/>
      <c r="O560" s="21"/>
      <c r="U560" s="21"/>
      <c r="V560" s="21"/>
      <c r="W560" s="21"/>
      <c r="AA560" s="21"/>
      <c r="AB560" s="21"/>
      <c r="AC560" s="21"/>
      <c r="AD560" s="21"/>
    </row>
    <row r="561" spans="3:30" ht="14.4">
      <c r="C561" s="15"/>
      <c r="D561" s="15"/>
      <c r="E561" s="15"/>
      <c r="F561" s="21"/>
      <c r="G561" s="21"/>
      <c r="H561" s="21"/>
      <c r="L561" s="21"/>
      <c r="M561" s="21"/>
      <c r="N561" s="21"/>
      <c r="O561" s="21"/>
      <c r="U561" s="21"/>
      <c r="V561" s="21"/>
      <c r="W561" s="21"/>
      <c r="AA561" s="21"/>
      <c r="AB561" s="21"/>
      <c r="AC561" s="21"/>
      <c r="AD561" s="21"/>
    </row>
    <row r="562" spans="3:30" ht="14.4">
      <c r="C562" s="15"/>
      <c r="D562" s="15"/>
      <c r="E562" s="15"/>
      <c r="F562" s="21"/>
      <c r="G562" s="21"/>
      <c r="H562" s="21"/>
      <c r="L562" s="21"/>
      <c r="M562" s="21"/>
      <c r="N562" s="21"/>
      <c r="O562" s="21"/>
      <c r="U562" s="21"/>
      <c r="V562" s="21"/>
      <c r="W562" s="21"/>
      <c r="AA562" s="21"/>
      <c r="AB562" s="21"/>
      <c r="AC562" s="21"/>
      <c r="AD562" s="21"/>
    </row>
    <row r="563" spans="3:30" ht="14.4">
      <c r="C563" s="15"/>
      <c r="D563" s="15"/>
      <c r="E563" s="15"/>
      <c r="F563" s="21"/>
      <c r="G563" s="21"/>
      <c r="H563" s="21"/>
      <c r="L563" s="21"/>
      <c r="M563" s="21"/>
      <c r="N563" s="21"/>
      <c r="O563" s="21"/>
      <c r="U563" s="21"/>
      <c r="V563" s="21"/>
      <c r="W563" s="21"/>
      <c r="AA563" s="21"/>
      <c r="AB563" s="21"/>
      <c r="AC563" s="21"/>
      <c r="AD563" s="21"/>
    </row>
    <row r="564" spans="3:30" ht="14.4">
      <c r="C564" s="15"/>
      <c r="D564" s="15"/>
      <c r="E564" s="15"/>
      <c r="F564" s="21"/>
      <c r="G564" s="21"/>
      <c r="H564" s="21"/>
      <c r="L564" s="21"/>
      <c r="M564" s="21"/>
      <c r="N564" s="21"/>
      <c r="O564" s="21"/>
      <c r="U564" s="21"/>
      <c r="V564" s="21"/>
      <c r="W564" s="21"/>
      <c r="AA564" s="21"/>
      <c r="AB564" s="21"/>
      <c r="AC564" s="21"/>
      <c r="AD564" s="21"/>
    </row>
    <row r="565" spans="3:30" ht="14.4">
      <c r="C565" s="15"/>
      <c r="D565" s="15"/>
      <c r="E565" s="15"/>
      <c r="F565" s="21"/>
      <c r="G565" s="21"/>
      <c r="H565" s="21"/>
      <c r="L565" s="21"/>
      <c r="M565" s="21"/>
      <c r="N565" s="21"/>
      <c r="O565" s="21"/>
      <c r="U565" s="21"/>
      <c r="V565" s="21"/>
      <c r="W565" s="21"/>
      <c r="AA565" s="21"/>
      <c r="AB565" s="21"/>
      <c r="AC565" s="21"/>
      <c r="AD565" s="21"/>
    </row>
    <row r="566" spans="3:30" ht="14.4">
      <c r="C566" s="15"/>
      <c r="D566" s="15"/>
      <c r="E566" s="15"/>
      <c r="F566" s="21"/>
      <c r="G566" s="21"/>
      <c r="H566" s="21"/>
      <c r="L566" s="21"/>
      <c r="M566" s="21"/>
      <c r="N566" s="21"/>
      <c r="O566" s="21"/>
      <c r="U566" s="21"/>
      <c r="V566" s="21"/>
      <c r="W566" s="21"/>
      <c r="AA566" s="21"/>
      <c r="AB566" s="21"/>
      <c r="AC566" s="21"/>
      <c r="AD566" s="21"/>
    </row>
    <row r="567" spans="3:30" ht="14.4">
      <c r="C567" s="15"/>
      <c r="D567" s="15"/>
      <c r="E567" s="15"/>
      <c r="F567" s="21"/>
      <c r="G567" s="21"/>
      <c r="H567" s="21"/>
      <c r="L567" s="21"/>
      <c r="M567" s="21"/>
      <c r="N567" s="21"/>
      <c r="O567" s="21"/>
      <c r="U567" s="21"/>
      <c r="V567" s="21"/>
      <c r="W567" s="21"/>
      <c r="AA567" s="21"/>
      <c r="AB567" s="21"/>
      <c r="AC567" s="21"/>
      <c r="AD567" s="21"/>
    </row>
    <row r="568" spans="3:30" ht="14.4">
      <c r="C568" s="15"/>
      <c r="D568" s="15"/>
      <c r="E568" s="15"/>
      <c r="F568" s="21"/>
      <c r="G568" s="21"/>
      <c r="H568" s="21"/>
      <c r="L568" s="21"/>
      <c r="M568" s="21"/>
      <c r="N568" s="21"/>
      <c r="O568" s="21"/>
      <c r="U568" s="21"/>
      <c r="V568" s="21"/>
      <c r="W568" s="21"/>
      <c r="AA568" s="21"/>
      <c r="AB568" s="21"/>
      <c r="AC568" s="21"/>
      <c r="AD568" s="21"/>
    </row>
    <row r="569" spans="3:30" ht="14.4">
      <c r="C569" s="15"/>
      <c r="D569" s="15"/>
      <c r="E569" s="15"/>
      <c r="F569" s="21"/>
      <c r="G569" s="21"/>
      <c r="H569" s="21"/>
      <c r="L569" s="21"/>
      <c r="M569" s="21"/>
      <c r="N569" s="21"/>
      <c r="O569" s="21"/>
      <c r="U569" s="21"/>
      <c r="V569" s="21"/>
      <c r="W569" s="21"/>
      <c r="AA569" s="21"/>
      <c r="AB569" s="21"/>
      <c r="AC569" s="21"/>
      <c r="AD569" s="21"/>
    </row>
    <row r="570" spans="3:30" ht="14.4">
      <c r="C570" s="15"/>
      <c r="D570" s="15"/>
      <c r="E570" s="15"/>
      <c r="F570" s="21"/>
      <c r="G570" s="21"/>
      <c r="H570" s="21"/>
      <c r="L570" s="21"/>
      <c r="M570" s="21"/>
      <c r="N570" s="21"/>
      <c r="O570" s="21"/>
      <c r="U570" s="21"/>
      <c r="V570" s="21"/>
      <c r="W570" s="21"/>
      <c r="AA570" s="21"/>
      <c r="AB570" s="21"/>
      <c r="AC570" s="21"/>
      <c r="AD570" s="21"/>
    </row>
    <row r="571" spans="3:30" ht="14.4">
      <c r="C571" s="15"/>
      <c r="D571" s="15"/>
      <c r="E571" s="15"/>
      <c r="F571" s="21"/>
      <c r="G571" s="21"/>
      <c r="H571" s="21"/>
      <c r="L571" s="21"/>
      <c r="M571" s="21"/>
      <c r="N571" s="21"/>
      <c r="O571" s="21"/>
      <c r="U571" s="21"/>
      <c r="V571" s="21"/>
      <c r="W571" s="21"/>
      <c r="AA571" s="21"/>
      <c r="AB571" s="21"/>
      <c r="AC571" s="21"/>
      <c r="AD571" s="21"/>
    </row>
    <row r="572" spans="3:30" ht="14.4">
      <c r="C572" s="15"/>
      <c r="D572" s="15"/>
      <c r="E572" s="15"/>
      <c r="F572" s="21"/>
      <c r="G572" s="21"/>
      <c r="H572" s="21"/>
      <c r="L572" s="21"/>
      <c r="M572" s="21"/>
      <c r="N572" s="21"/>
      <c r="O572" s="21"/>
      <c r="U572" s="21"/>
      <c r="V572" s="21"/>
      <c r="W572" s="21"/>
      <c r="AA572" s="21"/>
      <c r="AB572" s="21"/>
      <c r="AC572" s="21"/>
      <c r="AD572" s="21"/>
    </row>
    <row r="573" spans="3:30" ht="14.4">
      <c r="C573" s="15"/>
      <c r="D573" s="15"/>
      <c r="E573" s="15"/>
      <c r="F573" s="21"/>
      <c r="G573" s="21"/>
      <c r="H573" s="21"/>
      <c r="L573" s="21"/>
      <c r="M573" s="21"/>
      <c r="N573" s="21"/>
      <c r="O573" s="21"/>
      <c r="U573" s="21"/>
      <c r="V573" s="21"/>
      <c r="W573" s="21"/>
      <c r="AA573" s="21"/>
      <c r="AB573" s="21"/>
      <c r="AC573" s="21"/>
      <c r="AD573" s="21"/>
    </row>
    <row r="574" spans="3:30" ht="14.4">
      <c r="C574" s="15"/>
      <c r="D574" s="15"/>
      <c r="E574" s="15"/>
      <c r="F574" s="21"/>
      <c r="G574" s="21"/>
      <c r="H574" s="21"/>
      <c r="L574" s="21"/>
      <c r="M574" s="21"/>
      <c r="N574" s="21"/>
      <c r="O574" s="21"/>
      <c r="U574" s="21"/>
      <c r="V574" s="21"/>
      <c r="W574" s="21"/>
      <c r="AA574" s="21"/>
      <c r="AB574" s="21"/>
      <c r="AC574" s="21"/>
      <c r="AD574" s="21"/>
    </row>
    <row r="575" spans="3:30" ht="14.4">
      <c r="C575" s="15"/>
      <c r="D575" s="15"/>
      <c r="E575" s="15"/>
      <c r="F575" s="21"/>
      <c r="G575" s="21"/>
      <c r="H575" s="21"/>
      <c r="L575" s="21"/>
      <c r="M575" s="21"/>
      <c r="N575" s="21"/>
      <c r="O575" s="21"/>
      <c r="U575" s="21"/>
      <c r="V575" s="21"/>
      <c r="W575" s="21"/>
      <c r="AA575" s="21"/>
      <c r="AB575" s="21"/>
      <c r="AC575" s="21"/>
      <c r="AD575" s="21"/>
    </row>
    <row r="576" spans="3:30" ht="14.4">
      <c r="C576" s="15"/>
      <c r="D576" s="15"/>
      <c r="E576" s="15"/>
      <c r="F576" s="21"/>
      <c r="G576" s="21"/>
      <c r="H576" s="21"/>
      <c r="L576" s="21"/>
      <c r="M576" s="21"/>
      <c r="N576" s="21"/>
      <c r="O576" s="21"/>
      <c r="U576" s="21"/>
      <c r="V576" s="21"/>
      <c r="W576" s="21"/>
      <c r="AA576" s="21"/>
      <c r="AB576" s="21"/>
      <c r="AC576" s="21"/>
      <c r="AD576" s="21"/>
    </row>
    <row r="577" spans="3:30" ht="14.4">
      <c r="C577" s="15"/>
      <c r="D577" s="15"/>
      <c r="E577" s="15"/>
      <c r="F577" s="21"/>
      <c r="G577" s="21"/>
      <c r="H577" s="21"/>
      <c r="L577" s="21"/>
      <c r="M577" s="21"/>
      <c r="N577" s="21"/>
      <c r="O577" s="21"/>
      <c r="U577" s="21"/>
      <c r="V577" s="21"/>
      <c r="W577" s="21"/>
      <c r="AA577" s="21"/>
      <c r="AB577" s="21"/>
      <c r="AC577" s="21"/>
      <c r="AD577" s="21"/>
    </row>
    <row r="578" spans="3:30" ht="14.4">
      <c r="C578" s="15"/>
      <c r="D578" s="15"/>
      <c r="E578" s="15"/>
      <c r="F578" s="21"/>
      <c r="G578" s="21"/>
      <c r="H578" s="21"/>
      <c r="L578" s="21"/>
      <c r="M578" s="21"/>
      <c r="N578" s="21"/>
      <c r="O578" s="21"/>
      <c r="U578" s="21"/>
      <c r="V578" s="21"/>
      <c r="W578" s="21"/>
      <c r="AA578" s="21"/>
      <c r="AB578" s="21"/>
      <c r="AC578" s="21"/>
      <c r="AD578" s="21"/>
    </row>
    <row r="579" spans="3:30" ht="14.4">
      <c r="C579" s="15"/>
      <c r="D579" s="15"/>
      <c r="E579" s="15"/>
      <c r="F579" s="21"/>
      <c r="G579" s="21"/>
      <c r="H579" s="21"/>
      <c r="L579" s="21"/>
      <c r="M579" s="21"/>
      <c r="N579" s="21"/>
      <c r="O579" s="21"/>
      <c r="U579" s="21"/>
      <c r="V579" s="21"/>
      <c r="W579" s="21"/>
      <c r="AA579" s="21"/>
      <c r="AB579" s="21"/>
      <c r="AC579" s="21"/>
      <c r="AD579" s="21"/>
    </row>
    <row r="580" spans="3:30" ht="14.4">
      <c r="C580" s="15"/>
      <c r="D580" s="15"/>
      <c r="E580" s="15"/>
      <c r="F580" s="21"/>
      <c r="G580" s="21"/>
      <c r="H580" s="21"/>
      <c r="L580" s="21"/>
      <c r="M580" s="21"/>
      <c r="N580" s="21"/>
      <c r="O580" s="21"/>
      <c r="U580" s="21"/>
      <c r="V580" s="21"/>
      <c r="W580" s="21"/>
      <c r="AA580" s="21"/>
      <c r="AB580" s="21"/>
      <c r="AC580" s="21"/>
      <c r="AD580" s="21"/>
    </row>
    <row r="581" spans="3:30" ht="14.4">
      <c r="C581" s="15"/>
      <c r="D581" s="15"/>
      <c r="E581" s="15"/>
      <c r="F581" s="21"/>
      <c r="G581" s="21"/>
      <c r="H581" s="21"/>
      <c r="L581" s="21"/>
      <c r="M581" s="21"/>
      <c r="N581" s="21"/>
      <c r="O581" s="21"/>
      <c r="U581" s="21"/>
      <c r="V581" s="21"/>
      <c r="W581" s="21"/>
      <c r="AA581" s="21"/>
      <c r="AB581" s="21"/>
      <c r="AC581" s="21"/>
      <c r="AD581" s="21"/>
    </row>
    <row r="582" spans="3:30" ht="14.4">
      <c r="C582" s="15"/>
      <c r="D582" s="15"/>
      <c r="E582" s="15"/>
      <c r="F582" s="21"/>
      <c r="G582" s="21"/>
      <c r="H582" s="21"/>
      <c r="L582" s="21"/>
      <c r="M582" s="21"/>
      <c r="N582" s="21"/>
      <c r="O582" s="21"/>
      <c r="U582" s="21"/>
      <c r="V582" s="21"/>
      <c r="W582" s="21"/>
      <c r="AA582" s="21"/>
      <c r="AB582" s="21"/>
      <c r="AC582" s="21"/>
      <c r="AD582" s="21"/>
    </row>
    <row r="583" spans="3:30" ht="14.4">
      <c r="C583" s="15"/>
      <c r="D583" s="15"/>
      <c r="E583" s="15"/>
      <c r="F583" s="21"/>
      <c r="G583" s="21"/>
      <c r="H583" s="21"/>
      <c r="L583" s="21"/>
      <c r="M583" s="21"/>
      <c r="N583" s="21"/>
      <c r="O583" s="21"/>
      <c r="U583" s="21"/>
      <c r="V583" s="21"/>
      <c r="W583" s="21"/>
      <c r="AA583" s="21"/>
      <c r="AB583" s="21"/>
      <c r="AC583" s="21"/>
      <c r="AD583" s="21"/>
    </row>
    <row r="584" spans="3:30" ht="14.4">
      <c r="C584" s="15"/>
      <c r="D584" s="15"/>
      <c r="E584" s="15"/>
      <c r="F584" s="21"/>
      <c r="G584" s="21"/>
      <c r="H584" s="21"/>
      <c r="L584" s="21"/>
      <c r="M584" s="21"/>
      <c r="N584" s="21"/>
      <c r="O584" s="21"/>
      <c r="U584" s="21"/>
      <c r="V584" s="21"/>
      <c r="W584" s="21"/>
      <c r="AA584" s="21"/>
      <c r="AB584" s="21"/>
      <c r="AC584" s="21"/>
      <c r="AD584" s="21"/>
    </row>
    <row r="585" spans="3:30" ht="14.4">
      <c r="C585" s="15"/>
      <c r="D585" s="15"/>
      <c r="E585" s="15"/>
      <c r="F585" s="21"/>
      <c r="G585" s="21"/>
      <c r="H585" s="21"/>
      <c r="L585" s="21"/>
      <c r="M585" s="21"/>
      <c r="N585" s="21"/>
      <c r="O585" s="21"/>
      <c r="U585" s="21"/>
      <c r="V585" s="21"/>
      <c r="W585" s="21"/>
      <c r="AA585" s="21"/>
      <c r="AB585" s="21"/>
      <c r="AC585" s="21"/>
      <c r="AD585" s="21"/>
    </row>
    <row r="586" spans="3:30" ht="14.4">
      <c r="C586" s="15"/>
      <c r="D586" s="15"/>
      <c r="E586" s="15"/>
      <c r="F586" s="21"/>
      <c r="G586" s="21"/>
      <c r="H586" s="21"/>
      <c r="L586" s="21"/>
      <c r="M586" s="21"/>
      <c r="N586" s="21"/>
      <c r="O586" s="21"/>
      <c r="U586" s="21"/>
      <c r="V586" s="21"/>
      <c r="W586" s="21"/>
      <c r="AA586" s="21"/>
      <c r="AB586" s="21"/>
      <c r="AC586" s="21"/>
      <c r="AD586" s="21"/>
    </row>
    <row r="587" spans="3:30" ht="14.4">
      <c r="C587" s="15"/>
      <c r="D587" s="15"/>
      <c r="E587" s="15"/>
      <c r="F587" s="21"/>
      <c r="G587" s="21"/>
      <c r="H587" s="21"/>
      <c r="L587" s="21"/>
      <c r="M587" s="21"/>
      <c r="N587" s="21"/>
      <c r="O587" s="21"/>
      <c r="U587" s="21"/>
      <c r="V587" s="21"/>
      <c r="W587" s="21"/>
      <c r="AA587" s="21"/>
      <c r="AB587" s="21"/>
      <c r="AC587" s="21"/>
      <c r="AD587" s="21"/>
    </row>
    <row r="588" spans="3:30" ht="14.4">
      <c r="C588" s="15"/>
      <c r="D588" s="15"/>
      <c r="E588" s="15"/>
      <c r="F588" s="21"/>
      <c r="G588" s="21"/>
      <c r="H588" s="21"/>
      <c r="L588" s="21"/>
      <c r="M588" s="21"/>
      <c r="N588" s="21"/>
      <c r="O588" s="21"/>
      <c r="U588" s="21"/>
      <c r="V588" s="21"/>
      <c r="W588" s="21"/>
      <c r="AA588" s="21"/>
      <c r="AB588" s="21"/>
      <c r="AC588" s="21"/>
      <c r="AD588" s="21"/>
    </row>
    <row r="589" spans="3:30" ht="14.4">
      <c r="C589" s="15"/>
      <c r="D589" s="15"/>
      <c r="E589" s="15"/>
      <c r="F589" s="21"/>
      <c r="G589" s="21"/>
      <c r="H589" s="21"/>
      <c r="L589" s="21"/>
      <c r="M589" s="21"/>
      <c r="N589" s="21"/>
      <c r="O589" s="21"/>
      <c r="U589" s="21"/>
      <c r="V589" s="21"/>
      <c r="W589" s="21"/>
      <c r="AA589" s="21"/>
      <c r="AB589" s="21"/>
      <c r="AC589" s="21"/>
      <c r="AD589" s="21"/>
    </row>
    <row r="590" spans="3:30" ht="14.4">
      <c r="C590" s="15"/>
      <c r="D590" s="15"/>
      <c r="E590" s="15"/>
      <c r="F590" s="21"/>
      <c r="G590" s="21"/>
      <c r="H590" s="21"/>
      <c r="L590" s="21"/>
      <c r="M590" s="21"/>
      <c r="N590" s="21"/>
      <c r="O590" s="21"/>
      <c r="U590" s="21"/>
      <c r="V590" s="21"/>
      <c r="W590" s="21"/>
      <c r="AA590" s="21"/>
      <c r="AB590" s="21"/>
      <c r="AC590" s="21"/>
      <c r="AD590" s="21"/>
    </row>
    <row r="591" spans="3:30" ht="14.4">
      <c r="C591" s="15"/>
      <c r="D591" s="15"/>
      <c r="E591" s="15"/>
      <c r="F591" s="21"/>
      <c r="G591" s="21"/>
      <c r="H591" s="21"/>
      <c r="L591" s="21"/>
      <c r="M591" s="21"/>
      <c r="N591" s="21"/>
      <c r="O591" s="21"/>
      <c r="U591" s="21"/>
      <c r="V591" s="21"/>
      <c r="W591" s="21"/>
      <c r="AA591" s="21"/>
      <c r="AB591" s="21"/>
      <c r="AC591" s="21"/>
      <c r="AD591" s="21"/>
    </row>
    <row r="592" spans="3:30" ht="14.4">
      <c r="C592" s="15"/>
      <c r="D592" s="15"/>
      <c r="E592" s="15"/>
      <c r="F592" s="21"/>
      <c r="G592" s="21"/>
      <c r="H592" s="21"/>
      <c r="L592" s="21"/>
      <c r="M592" s="21"/>
      <c r="N592" s="21"/>
      <c r="O592" s="21"/>
      <c r="U592" s="21"/>
      <c r="V592" s="21"/>
      <c r="W592" s="21"/>
      <c r="AA592" s="21"/>
      <c r="AB592" s="21"/>
      <c r="AC592" s="21"/>
      <c r="AD592" s="21"/>
    </row>
    <row r="593" spans="3:30" ht="14.4">
      <c r="C593" s="15"/>
      <c r="D593" s="15"/>
      <c r="E593" s="15"/>
      <c r="F593" s="21"/>
      <c r="G593" s="21"/>
      <c r="H593" s="21"/>
      <c r="L593" s="21"/>
      <c r="M593" s="21"/>
      <c r="N593" s="21"/>
      <c r="O593" s="21"/>
      <c r="U593" s="21"/>
      <c r="V593" s="21"/>
      <c r="W593" s="21"/>
      <c r="AA593" s="21"/>
      <c r="AB593" s="21"/>
      <c r="AC593" s="21"/>
      <c r="AD593" s="21"/>
    </row>
    <row r="594" spans="3:30" ht="14.4">
      <c r="C594" s="15"/>
      <c r="D594" s="15"/>
      <c r="E594" s="15"/>
      <c r="F594" s="21"/>
      <c r="G594" s="21"/>
      <c r="H594" s="21"/>
      <c r="L594" s="21"/>
      <c r="M594" s="21"/>
      <c r="N594" s="21"/>
      <c r="O594" s="21"/>
      <c r="U594" s="21"/>
      <c r="V594" s="21"/>
      <c r="W594" s="21"/>
      <c r="AA594" s="21"/>
      <c r="AB594" s="21"/>
      <c r="AC594" s="21"/>
      <c r="AD594" s="21"/>
    </row>
    <row r="595" spans="3:30" ht="14.4">
      <c r="C595" s="15"/>
      <c r="D595" s="15"/>
      <c r="E595" s="15"/>
      <c r="F595" s="21"/>
      <c r="G595" s="21"/>
      <c r="H595" s="21"/>
      <c r="L595" s="21"/>
      <c r="M595" s="21"/>
      <c r="N595" s="21"/>
      <c r="O595" s="21"/>
      <c r="U595" s="21"/>
      <c r="V595" s="21"/>
      <c r="W595" s="21"/>
      <c r="AA595" s="21"/>
      <c r="AB595" s="21"/>
      <c r="AC595" s="21"/>
      <c r="AD595" s="21"/>
    </row>
    <row r="596" spans="3:30" ht="14.4">
      <c r="C596" s="15"/>
      <c r="D596" s="15"/>
      <c r="E596" s="15"/>
      <c r="F596" s="21"/>
      <c r="G596" s="21"/>
      <c r="H596" s="21"/>
      <c r="L596" s="21"/>
      <c r="M596" s="21"/>
      <c r="N596" s="21"/>
      <c r="O596" s="21"/>
      <c r="U596" s="21"/>
      <c r="V596" s="21"/>
      <c r="W596" s="21"/>
      <c r="AA596" s="21"/>
      <c r="AB596" s="21"/>
      <c r="AC596" s="21"/>
      <c r="AD596" s="21"/>
    </row>
    <row r="597" spans="3:30" ht="14.4">
      <c r="C597" s="15"/>
      <c r="D597" s="15"/>
      <c r="E597" s="15"/>
      <c r="F597" s="21"/>
      <c r="G597" s="21"/>
      <c r="H597" s="21"/>
      <c r="L597" s="21"/>
      <c r="M597" s="21"/>
      <c r="N597" s="21"/>
      <c r="O597" s="21"/>
      <c r="U597" s="21"/>
      <c r="V597" s="21"/>
      <c r="W597" s="21"/>
      <c r="AA597" s="21"/>
      <c r="AB597" s="21"/>
      <c r="AC597" s="21"/>
      <c r="AD597" s="21"/>
    </row>
    <row r="598" spans="3:30" ht="14.4">
      <c r="C598" s="15"/>
      <c r="D598" s="15"/>
      <c r="E598" s="15"/>
      <c r="F598" s="21"/>
      <c r="G598" s="21"/>
      <c r="H598" s="21"/>
      <c r="L598" s="21"/>
      <c r="M598" s="21"/>
      <c r="N598" s="21"/>
      <c r="O598" s="21"/>
      <c r="U598" s="21"/>
      <c r="V598" s="21"/>
      <c r="W598" s="21"/>
      <c r="AA598" s="21"/>
      <c r="AB598" s="21"/>
      <c r="AC598" s="21"/>
      <c r="AD598" s="21"/>
    </row>
    <row r="599" spans="3:30" ht="14.4">
      <c r="C599" s="15"/>
      <c r="D599" s="15"/>
      <c r="E599" s="15"/>
      <c r="F599" s="21"/>
      <c r="G599" s="21"/>
      <c r="H599" s="21"/>
      <c r="L599" s="21"/>
      <c r="M599" s="21"/>
      <c r="N599" s="21"/>
      <c r="O599" s="21"/>
      <c r="U599" s="21"/>
      <c r="V599" s="21"/>
      <c r="W599" s="21"/>
      <c r="AA599" s="21"/>
      <c r="AB599" s="21"/>
      <c r="AC599" s="21"/>
      <c r="AD599" s="21"/>
    </row>
    <row r="600" spans="3:30" ht="14.4">
      <c r="C600" s="15"/>
      <c r="D600" s="15"/>
      <c r="E600" s="15"/>
      <c r="F600" s="21"/>
      <c r="G600" s="21"/>
      <c r="H600" s="21"/>
      <c r="L600" s="21"/>
      <c r="M600" s="21"/>
      <c r="N600" s="21"/>
      <c r="O600" s="21"/>
      <c r="U600" s="21"/>
      <c r="V600" s="21"/>
      <c r="W600" s="21"/>
      <c r="AA600" s="21"/>
      <c r="AB600" s="21"/>
      <c r="AC600" s="21"/>
      <c r="AD600" s="21"/>
    </row>
    <row r="601" spans="3:30" ht="14.4">
      <c r="C601" s="15"/>
      <c r="D601" s="15"/>
      <c r="E601" s="15"/>
      <c r="F601" s="21"/>
      <c r="G601" s="21"/>
      <c r="H601" s="21"/>
      <c r="L601" s="21"/>
      <c r="M601" s="21"/>
      <c r="N601" s="21"/>
      <c r="O601" s="21"/>
      <c r="U601" s="21"/>
      <c r="V601" s="21"/>
      <c r="W601" s="21"/>
      <c r="AA601" s="21"/>
      <c r="AB601" s="21"/>
      <c r="AC601" s="21"/>
      <c r="AD601" s="21"/>
    </row>
    <row r="602" spans="3:30" ht="14.4">
      <c r="C602" s="15"/>
      <c r="D602" s="15"/>
      <c r="E602" s="15"/>
      <c r="F602" s="21"/>
      <c r="G602" s="21"/>
      <c r="H602" s="21"/>
      <c r="L602" s="21"/>
      <c r="M602" s="21"/>
      <c r="N602" s="21"/>
      <c r="O602" s="21"/>
      <c r="U602" s="21"/>
      <c r="V602" s="21"/>
      <c r="W602" s="21"/>
      <c r="AA602" s="21"/>
      <c r="AB602" s="21"/>
      <c r="AC602" s="21"/>
      <c r="AD602" s="21"/>
    </row>
    <row r="603" spans="3:30" ht="14.4">
      <c r="C603" s="15"/>
      <c r="D603" s="15"/>
      <c r="E603" s="15"/>
      <c r="F603" s="21"/>
      <c r="G603" s="21"/>
      <c r="H603" s="21"/>
      <c r="L603" s="21"/>
      <c r="M603" s="21"/>
      <c r="N603" s="21"/>
      <c r="O603" s="21"/>
      <c r="U603" s="21"/>
      <c r="V603" s="21"/>
      <c r="W603" s="21"/>
      <c r="AA603" s="21"/>
      <c r="AB603" s="21"/>
      <c r="AC603" s="21"/>
      <c r="AD603" s="21"/>
    </row>
    <row r="604" spans="3:30" ht="14.4">
      <c r="C604" s="15"/>
      <c r="D604" s="15"/>
      <c r="E604" s="15"/>
      <c r="F604" s="21"/>
      <c r="G604" s="21"/>
      <c r="H604" s="21"/>
      <c r="L604" s="21"/>
      <c r="M604" s="21"/>
      <c r="N604" s="21"/>
      <c r="O604" s="21"/>
      <c r="U604" s="21"/>
      <c r="V604" s="21"/>
      <c r="W604" s="21"/>
      <c r="AA604" s="21"/>
      <c r="AB604" s="21"/>
      <c r="AC604" s="21"/>
      <c r="AD604" s="21"/>
    </row>
    <row r="605" spans="3:30" ht="14.4">
      <c r="C605" s="15"/>
      <c r="D605" s="15"/>
      <c r="E605" s="15"/>
      <c r="F605" s="21"/>
      <c r="G605" s="21"/>
      <c r="H605" s="21"/>
      <c r="L605" s="21"/>
      <c r="M605" s="21"/>
      <c r="N605" s="21"/>
      <c r="O605" s="21"/>
      <c r="U605" s="21"/>
      <c r="V605" s="21"/>
      <c r="W605" s="21"/>
      <c r="AA605" s="21"/>
      <c r="AB605" s="21"/>
      <c r="AC605" s="21"/>
      <c r="AD605" s="21"/>
    </row>
    <row r="606" spans="3:30" ht="14.4">
      <c r="C606" s="15"/>
      <c r="D606" s="15"/>
      <c r="E606" s="15"/>
      <c r="F606" s="21"/>
      <c r="G606" s="21"/>
      <c r="H606" s="21"/>
      <c r="L606" s="21"/>
      <c r="M606" s="21"/>
      <c r="N606" s="21"/>
      <c r="O606" s="21"/>
      <c r="U606" s="21"/>
      <c r="V606" s="21"/>
      <c r="W606" s="21"/>
      <c r="AA606" s="21"/>
      <c r="AB606" s="21"/>
      <c r="AC606" s="21"/>
      <c r="AD606" s="21"/>
    </row>
    <row r="607" spans="3:30" ht="14.4">
      <c r="C607" s="15"/>
      <c r="D607" s="15"/>
      <c r="E607" s="15"/>
      <c r="F607" s="21"/>
      <c r="G607" s="21"/>
      <c r="H607" s="21"/>
      <c r="L607" s="21"/>
      <c r="M607" s="21"/>
      <c r="N607" s="21"/>
      <c r="O607" s="21"/>
      <c r="U607" s="21"/>
      <c r="V607" s="21"/>
      <c r="W607" s="21"/>
      <c r="AA607" s="21"/>
      <c r="AB607" s="21"/>
      <c r="AC607" s="21"/>
      <c r="AD607" s="21"/>
    </row>
    <row r="608" spans="3:30" ht="14.4">
      <c r="C608" s="15"/>
      <c r="D608" s="15"/>
      <c r="E608" s="15"/>
      <c r="F608" s="21"/>
      <c r="G608" s="21"/>
      <c r="H608" s="21"/>
      <c r="L608" s="21"/>
      <c r="M608" s="21"/>
      <c r="N608" s="21"/>
      <c r="O608" s="21"/>
      <c r="U608" s="21"/>
      <c r="V608" s="21"/>
      <c r="W608" s="21"/>
      <c r="AA608" s="21"/>
      <c r="AB608" s="21"/>
      <c r="AC608" s="21"/>
      <c r="AD608" s="21"/>
    </row>
    <row r="609" spans="3:30" ht="14.4">
      <c r="C609" s="15"/>
      <c r="D609" s="15"/>
      <c r="E609" s="15"/>
      <c r="F609" s="21"/>
      <c r="G609" s="21"/>
      <c r="H609" s="21"/>
      <c r="L609" s="21"/>
      <c r="M609" s="21"/>
      <c r="N609" s="21"/>
      <c r="O609" s="21"/>
      <c r="U609" s="21"/>
      <c r="V609" s="21"/>
      <c r="W609" s="21"/>
      <c r="AA609" s="21"/>
      <c r="AB609" s="21"/>
      <c r="AC609" s="21"/>
      <c r="AD609" s="21"/>
    </row>
    <row r="610" spans="3:30" ht="14.4">
      <c r="C610" s="15"/>
      <c r="D610" s="15"/>
      <c r="E610" s="15"/>
      <c r="F610" s="21"/>
      <c r="G610" s="21"/>
      <c r="H610" s="21"/>
      <c r="L610" s="21"/>
      <c r="M610" s="21"/>
      <c r="N610" s="21"/>
      <c r="O610" s="21"/>
      <c r="U610" s="21"/>
      <c r="V610" s="21"/>
      <c r="W610" s="21"/>
      <c r="AA610" s="21"/>
      <c r="AB610" s="21"/>
      <c r="AC610" s="21"/>
      <c r="AD610" s="21"/>
    </row>
    <row r="611" spans="3:30" ht="14.4">
      <c r="C611" s="15"/>
      <c r="D611" s="15"/>
      <c r="E611" s="15"/>
      <c r="F611" s="21"/>
      <c r="G611" s="21"/>
      <c r="H611" s="21"/>
      <c r="L611" s="21"/>
      <c r="M611" s="21"/>
      <c r="N611" s="21"/>
      <c r="O611" s="21"/>
      <c r="U611" s="21"/>
      <c r="V611" s="21"/>
      <c r="W611" s="21"/>
      <c r="AA611" s="21"/>
      <c r="AB611" s="21"/>
      <c r="AC611" s="21"/>
      <c r="AD611" s="21"/>
    </row>
    <row r="612" spans="3:30" ht="14.4">
      <c r="C612" s="15"/>
      <c r="D612" s="15"/>
      <c r="E612" s="15"/>
      <c r="F612" s="21"/>
      <c r="G612" s="21"/>
      <c r="H612" s="21"/>
      <c r="L612" s="21"/>
      <c r="M612" s="21"/>
      <c r="N612" s="21"/>
      <c r="O612" s="21"/>
      <c r="U612" s="21"/>
      <c r="V612" s="21"/>
      <c r="W612" s="21"/>
      <c r="AA612" s="21"/>
      <c r="AB612" s="21"/>
      <c r="AC612" s="21"/>
      <c r="AD612" s="21"/>
    </row>
    <row r="613" spans="3:30" ht="14.4">
      <c r="C613" s="15"/>
      <c r="D613" s="15"/>
      <c r="E613" s="15"/>
      <c r="F613" s="21"/>
      <c r="G613" s="21"/>
      <c r="H613" s="21"/>
      <c r="L613" s="21"/>
      <c r="M613" s="21"/>
      <c r="N613" s="21"/>
      <c r="O613" s="21"/>
      <c r="U613" s="21"/>
      <c r="V613" s="21"/>
      <c r="W613" s="21"/>
      <c r="AA613" s="21"/>
      <c r="AB613" s="21"/>
      <c r="AC613" s="21"/>
      <c r="AD613" s="21"/>
    </row>
    <row r="614" spans="3:30" ht="14.4">
      <c r="C614" s="15"/>
      <c r="D614" s="15"/>
      <c r="E614" s="15"/>
      <c r="F614" s="21"/>
      <c r="G614" s="21"/>
      <c r="H614" s="21"/>
      <c r="L614" s="21"/>
      <c r="M614" s="21"/>
      <c r="N614" s="21"/>
      <c r="O614" s="21"/>
      <c r="U614" s="21"/>
      <c r="V614" s="21"/>
      <c r="W614" s="21"/>
      <c r="AA614" s="21"/>
      <c r="AB614" s="21"/>
      <c r="AC614" s="21"/>
      <c r="AD614" s="21"/>
    </row>
    <row r="615" spans="3:30" ht="14.4">
      <c r="C615" s="15"/>
      <c r="D615" s="15"/>
      <c r="E615" s="15"/>
      <c r="F615" s="21"/>
      <c r="G615" s="21"/>
      <c r="H615" s="21"/>
      <c r="L615" s="21"/>
      <c r="M615" s="21"/>
      <c r="N615" s="21"/>
      <c r="O615" s="21"/>
      <c r="U615" s="21"/>
      <c r="V615" s="21"/>
      <c r="W615" s="21"/>
      <c r="AA615" s="21"/>
      <c r="AB615" s="21"/>
      <c r="AC615" s="21"/>
      <c r="AD615" s="21"/>
    </row>
    <row r="616" spans="3:30" ht="14.4">
      <c r="C616" s="15"/>
      <c r="D616" s="15"/>
      <c r="E616" s="15"/>
      <c r="F616" s="21"/>
      <c r="G616" s="21"/>
      <c r="H616" s="21"/>
      <c r="L616" s="21"/>
      <c r="M616" s="21"/>
      <c r="N616" s="21"/>
      <c r="O616" s="21"/>
      <c r="U616" s="21"/>
      <c r="V616" s="21"/>
      <c r="W616" s="21"/>
      <c r="AA616" s="21"/>
      <c r="AB616" s="21"/>
      <c r="AC616" s="21"/>
      <c r="AD616" s="21"/>
    </row>
    <row r="617" spans="3:30" ht="14.4">
      <c r="C617" s="15"/>
      <c r="D617" s="15"/>
      <c r="E617" s="15"/>
      <c r="F617" s="21"/>
      <c r="G617" s="21"/>
      <c r="H617" s="21"/>
      <c r="L617" s="21"/>
      <c r="M617" s="21"/>
      <c r="N617" s="21"/>
      <c r="O617" s="21"/>
      <c r="U617" s="21"/>
      <c r="V617" s="21"/>
      <c r="W617" s="21"/>
      <c r="AA617" s="21"/>
      <c r="AB617" s="21"/>
      <c r="AC617" s="21"/>
      <c r="AD617" s="21"/>
    </row>
    <row r="618" spans="3:30" ht="14.4">
      <c r="C618" s="15"/>
      <c r="D618" s="15"/>
      <c r="E618" s="15"/>
      <c r="F618" s="21"/>
      <c r="G618" s="21"/>
      <c r="H618" s="21"/>
      <c r="L618" s="21"/>
      <c r="M618" s="21"/>
      <c r="N618" s="21"/>
      <c r="O618" s="21"/>
      <c r="U618" s="21"/>
      <c r="V618" s="21"/>
      <c r="W618" s="21"/>
      <c r="AA618" s="21"/>
      <c r="AB618" s="21"/>
      <c r="AC618" s="21"/>
      <c r="AD618" s="21"/>
    </row>
    <row r="619" spans="3:30" ht="14.4">
      <c r="C619" s="15"/>
      <c r="D619" s="15"/>
      <c r="E619" s="15"/>
      <c r="F619" s="21"/>
      <c r="G619" s="21"/>
      <c r="H619" s="21"/>
      <c r="L619" s="21"/>
      <c r="M619" s="21"/>
      <c r="N619" s="21"/>
      <c r="O619" s="21"/>
      <c r="U619" s="21"/>
      <c r="V619" s="21"/>
      <c r="W619" s="21"/>
      <c r="AA619" s="21"/>
      <c r="AB619" s="21"/>
      <c r="AC619" s="21"/>
      <c r="AD619" s="21"/>
    </row>
    <row r="620" spans="3:30" ht="14.4">
      <c r="C620" s="15"/>
      <c r="D620" s="15"/>
      <c r="E620" s="15"/>
      <c r="F620" s="21"/>
      <c r="G620" s="21"/>
      <c r="H620" s="21"/>
      <c r="L620" s="21"/>
      <c r="M620" s="21"/>
      <c r="N620" s="21"/>
      <c r="O620" s="21"/>
      <c r="U620" s="21"/>
      <c r="V620" s="21"/>
      <c r="W620" s="21"/>
      <c r="AA620" s="21"/>
      <c r="AB620" s="21"/>
      <c r="AC620" s="21"/>
      <c r="AD620" s="21"/>
    </row>
    <row r="621" spans="3:30" ht="14.4">
      <c r="C621" s="15"/>
      <c r="D621" s="15"/>
      <c r="E621" s="15"/>
      <c r="F621" s="21"/>
      <c r="G621" s="21"/>
      <c r="H621" s="21"/>
      <c r="L621" s="21"/>
      <c r="M621" s="21"/>
      <c r="N621" s="21"/>
      <c r="O621" s="21"/>
      <c r="U621" s="21"/>
      <c r="V621" s="21"/>
      <c r="W621" s="21"/>
      <c r="AA621" s="21"/>
      <c r="AB621" s="21"/>
      <c r="AC621" s="21"/>
      <c r="AD621" s="21"/>
    </row>
    <row r="622" spans="3:30" ht="14.4">
      <c r="C622" s="15"/>
      <c r="D622" s="15"/>
      <c r="E622" s="15"/>
      <c r="F622" s="21"/>
      <c r="G622" s="21"/>
      <c r="H622" s="21"/>
      <c r="L622" s="21"/>
      <c r="M622" s="21"/>
      <c r="N622" s="21"/>
      <c r="O622" s="21"/>
      <c r="U622" s="21"/>
      <c r="V622" s="21"/>
      <c r="W622" s="21"/>
      <c r="AA622" s="21"/>
      <c r="AB622" s="21"/>
      <c r="AC622" s="21"/>
      <c r="AD622" s="21"/>
    </row>
    <row r="623" spans="3:30" ht="14.4">
      <c r="C623" s="15"/>
      <c r="D623" s="15"/>
      <c r="E623" s="15"/>
      <c r="F623" s="21"/>
      <c r="G623" s="21"/>
      <c r="H623" s="21"/>
      <c r="L623" s="21"/>
      <c r="M623" s="21"/>
      <c r="N623" s="21"/>
      <c r="O623" s="21"/>
      <c r="U623" s="21"/>
      <c r="V623" s="21"/>
      <c r="W623" s="21"/>
      <c r="AA623" s="21"/>
      <c r="AB623" s="21"/>
      <c r="AC623" s="21"/>
      <c r="AD623" s="21"/>
    </row>
    <row r="624" spans="3:30" ht="14.4">
      <c r="C624" s="15"/>
      <c r="D624" s="15"/>
      <c r="E624" s="15"/>
      <c r="F624" s="21"/>
      <c r="G624" s="21"/>
      <c r="H624" s="21"/>
      <c r="L624" s="21"/>
      <c r="M624" s="21"/>
      <c r="N624" s="21"/>
      <c r="O624" s="21"/>
      <c r="U624" s="21"/>
      <c r="V624" s="21"/>
      <c r="W624" s="21"/>
      <c r="AA624" s="21"/>
      <c r="AB624" s="21"/>
      <c r="AC624" s="21"/>
      <c r="AD624" s="21"/>
    </row>
    <row r="625" spans="3:30" ht="14.4">
      <c r="C625" s="15"/>
      <c r="D625" s="15"/>
      <c r="E625" s="15"/>
      <c r="F625" s="21"/>
      <c r="G625" s="21"/>
      <c r="H625" s="21"/>
      <c r="L625" s="21"/>
      <c r="M625" s="21"/>
      <c r="N625" s="21"/>
      <c r="O625" s="21"/>
      <c r="U625" s="21"/>
      <c r="V625" s="21"/>
      <c r="W625" s="21"/>
      <c r="AA625" s="21"/>
      <c r="AB625" s="21"/>
      <c r="AC625" s="21"/>
      <c r="AD625" s="21"/>
    </row>
    <row r="626" spans="3:30" ht="14.4">
      <c r="C626" s="15"/>
      <c r="D626" s="15"/>
      <c r="E626" s="15"/>
      <c r="F626" s="21"/>
      <c r="G626" s="21"/>
      <c r="H626" s="21"/>
      <c r="L626" s="21"/>
      <c r="M626" s="21"/>
      <c r="N626" s="21"/>
      <c r="O626" s="21"/>
      <c r="U626" s="21"/>
      <c r="V626" s="21"/>
      <c r="W626" s="21"/>
      <c r="AA626" s="21"/>
      <c r="AB626" s="21"/>
      <c r="AC626" s="21"/>
      <c r="AD626" s="21"/>
    </row>
    <row r="627" spans="3:30" ht="14.4">
      <c r="C627" s="15"/>
      <c r="D627" s="15"/>
      <c r="E627" s="15"/>
      <c r="F627" s="21"/>
      <c r="G627" s="21"/>
      <c r="H627" s="21"/>
      <c r="L627" s="21"/>
      <c r="M627" s="21"/>
      <c r="N627" s="21"/>
      <c r="O627" s="21"/>
      <c r="U627" s="21"/>
      <c r="V627" s="21"/>
      <c r="W627" s="21"/>
      <c r="AA627" s="21"/>
      <c r="AB627" s="21"/>
      <c r="AC627" s="21"/>
      <c r="AD627" s="21"/>
    </row>
    <row r="628" spans="3:30" ht="14.4">
      <c r="C628" s="15"/>
      <c r="D628" s="15"/>
      <c r="E628" s="15"/>
      <c r="F628" s="21"/>
      <c r="G628" s="21"/>
      <c r="H628" s="21"/>
      <c r="L628" s="21"/>
      <c r="M628" s="21"/>
      <c r="N628" s="21"/>
      <c r="O628" s="21"/>
      <c r="U628" s="21"/>
      <c r="V628" s="21"/>
      <c r="W628" s="21"/>
      <c r="AA628" s="21"/>
      <c r="AB628" s="21"/>
      <c r="AC628" s="21"/>
      <c r="AD628" s="21"/>
    </row>
    <row r="629" spans="3:30" ht="14.4">
      <c r="C629" s="15"/>
      <c r="D629" s="15"/>
      <c r="E629" s="15"/>
      <c r="F629" s="21"/>
      <c r="G629" s="21"/>
      <c r="H629" s="21"/>
      <c r="L629" s="21"/>
      <c r="M629" s="21"/>
      <c r="N629" s="21"/>
      <c r="O629" s="21"/>
      <c r="U629" s="21"/>
      <c r="V629" s="21"/>
      <c r="W629" s="21"/>
      <c r="AA629" s="21"/>
      <c r="AB629" s="21"/>
      <c r="AC629" s="21"/>
      <c r="AD629" s="21"/>
    </row>
    <row r="630" spans="3:30" ht="14.4">
      <c r="C630" s="15"/>
      <c r="D630" s="15"/>
      <c r="E630" s="15"/>
      <c r="F630" s="21"/>
      <c r="G630" s="21"/>
      <c r="H630" s="21"/>
      <c r="L630" s="21"/>
      <c r="M630" s="21"/>
      <c r="N630" s="21"/>
      <c r="O630" s="21"/>
      <c r="U630" s="21"/>
      <c r="V630" s="21"/>
      <c r="W630" s="21"/>
      <c r="AA630" s="21"/>
      <c r="AB630" s="21"/>
      <c r="AC630" s="21"/>
      <c r="AD630" s="21"/>
    </row>
    <row r="631" spans="3:30" ht="14.4">
      <c r="C631" s="15"/>
      <c r="D631" s="15"/>
      <c r="E631" s="15"/>
      <c r="F631" s="21"/>
      <c r="G631" s="21"/>
      <c r="H631" s="21"/>
      <c r="L631" s="21"/>
      <c r="M631" s="21"/>
      <c r="N631" s="21"/>
      <c r="O631" s="21"/>
      <c r="U631" s="21"/>
      <c r="V631" s="21"/>
      <c r="W631" s="21"/>
      <c r="AA631" s="21"/>
      <c r="AB631" s="21"/>
      <c r="AC631" s="21"/>
      <c r="AD631" s="21"/>
    </row>
    <row r="632" spans="3:30" ht="14.4">
      <c r="C632" s="15"/>
      <c r="D632" s="15"/>
      <c r="E632" s="15"/>
      <c r="F632" s="21"/>
      <c r="G632" s="21"/>
      <c r="H632" s="21"/>
      <c r="L632" s="21"/>
      <c r="M632" s="21"/>
      <c r="N632" s="21"/>
      <c r="O632" s="21"/>
      <c r="U632" s="21"/>
      <c r="V632" s="21"/>
      <c r="W632" s="21"/>
      <c r="AA632" s="21"/>
      <c r="AB632" s="21"/>
      <c r="AC632" s="21"/>
      <c r="AD632" s="21"/>
    </row>
    <row r="633" spans="3:30" ht="14.4">
      <c r="C633" s="15"/>
      <c r="D633" s="15"/>
      <c r="E633" s="15"/>
      <c r="F633" s="21"/>
      <c r="G633" s="21"/>
      <c r="H633" s="21"/>
      <c r="L633" s="21"/>
      <c r="M633" s="21"/>
      <c r="N633" s="21"/>
      <c r="O633" s="21"/>
      <c r="U633" s="21"/>
      <c r="V633" s="21"/>
      <c r="W633" s="21"/>
      <c r="AA633" s="21"/>
      <c r="AB633" s="21"/>
      <c r="AC633" s="21"/>
      <c r="AD633" s="21"/>
    </row>
    <row r="634" spans="3:30" ht="14.4">
      <c r="C634" s="15"/>
      <c r="D634" s="15"/>
      <c r="E634" s="15"/>
      <c r="F634" s="21"/>
      <c r="G634" s="21"/>
      <c r="H634" s="21"/>
      <c r="L634" s="21"/>
      <c r="M634" s="21"/>
      <c r="N634" s="21"/>
      <c r="O634" s="21"/>
      <c r="U634" s="21"/>
      <c r="V634" s="21"/>
      <c r="W634" s="21"/>
      <c r="AA634" s="21"/>
      <c r="AB634" s="21"/>
      <c r="AC634" s="21"/>
      <c r="AD634" s="21"/>
    </row>
    <row r="635" spans="3:30" ht="14.4">
      <c r="C635" s="15"/>
      <c r="D635" s="15"/>
      <c r="E635" s="15"/>
      <c r="F635" s="21"/>
      <c r="G635" s="21"/>
      <c r="H635" s="21"/>
      <c r="L635" s="21"/>
      <c r="M635" s="21"/>
      <c r="N635" s="21"/>
      <c r="O635" s="21"/>
      <c r="U635" s="21"/>
      <c r="V635" s="21"/>
      <c r="W635" s="21"/>
      <c r="AA635" s="21"/>
      <c r="AB635" s="21"/>
      <c r="AC635" s="21"/>
      <c r="AD635" s="21"/>
    </row>
    <row r="636" spans="3:30" ht="14.4">
      <c r="C636" s="15"/>
      <c r="D636" s="15"/>
      <c r="E636" s="15"/>
      <c r="F636" s="21"/>
      <c r="G636" s="21"/>
      <c r="H636" s="21"/>
      <c r="L636" s="21"/>
      <c r="M636" s="21"/>
      <c r="N636" s="21"/>
      <c r="O636" s="21"/>
      <c r="U636" s="21"/>
      <c r="V636" s="21"/>
      <c r="W636" s="21"/>
      <c r="AA636" s="21"/>
      <c r="AB636" s="21"/>
      <c r="AC636" s="21"/>
      <c r="AD636" s="21"/>
    </row>
    <row r="637" spans="3:30" ht="14.4">
      <c r="C637" s="15"/>
      <c r="D637" s="15"/>
      <c r="E637" s="15"/>
      <c r="F637" s="21"/>
      <c r="G637" s="21"/>
      <c r="H637" s="21"/>
      <c r="L637" s="21"/>
      <c r="M637" s="21"/>
      <c r="N637" s="21"/>
      <c r="O637" s="21"/>
      <c r="U637" s="21"/>
      <c r="V637" s="21"/>
      <c r="W637" s="21"/>
      <c r="AA637" s="21"/>
      <c r="AB637" s="21"/>
      <c r="AC637" s="21"/>
      <c r="AD637" s="21"/>
    </row>
    <row r="638" spans="3:30" ht="14.4">
      <c r="C638" s="15"/>
      <c r="D638" s="15"/>
      <c r="E638" s="15"/>
      <c r="F638" s="21"/>
      <c r="G638" s="21"/>
      <c r="H638" s="21"/>
      <c r="L638" s="21"/>
      <c r="M638" s="21"/>
      <c r="N638" s="21"/>
      <c r="O638" s="21"/>
      <c r="U638" s="21"/>
      <c r="V638" s="21"/>
      <c r="W638" s="21"/>
      <c r="AA638" s="21"/>
      <c r="AB638" s="21"/>
      <c r="AC638" s="21"/>
      <c r="AD638" s="21"/>
    </row>
    <row r="639" spans="3:30" ht="14.4">
      <c r="C639" s="15"/>
      <c r="D639" s="15"/>
      <c r="E639" s="15"/>
      <c r="F639" s="21"/>
      <c r="G639" s="21"/>
      <c r="H639" s="21"/>
      <c r="L639" s="21"/>
      <c r="M639" s="21"/>
      <c r="N639" s="21"/>
      <c r="O639" s="21"/>
      <c r="U639" s="21"/>
      <c r="V639" s="21"/>
      <c r="W639" s="21"/>
      <c r="AA639" s="21"/>
      <c r="AB639" s="21"/>
      <c r="AC639" s="21"/>
      <c r="AD639" s="21"/>
    </row>
    <row r="640" spans="3:30" ht="14.4">
      <c r="C640" s="15"/>
      <c r="D640" s="15"/>
      <c r="E640" s="15"/>
      <c r="F640" s="21"/>
      <c r="G640" s="21"/>
      <c r="H640" s="21"/>
      <c r="L640" s="21"/>
      <c r="M640" s="21"/>
      <c r="N640" s="21"/>
      <c r="O640" s="21"/>
      <c r="U640" s="21"/>
      <c r="V640" s="21"/>
      <c r="W640" s="21"/>
      <c r="AA640" s="21"/>
      <c r="AB640" s="21"/>
      <c r="AC640" s="21"/>
      <c r="AD640" s="21"/>
    </row>
    <row r="641" spans="3:30" ht="14.4">
      <c r="C641" s="15"/>
      <c r="D641" s="15"/>
      <c r="E641" s="15"/>
      <c r="F641" s="21"/>
      <c r="G641" s="21"/>
      <c r="H641" s="21"/>
      <c r="L641" s="21"/>
      <c r="M641" s="21"/>
      <c r="N641" s="21"/>
      <c r="O641" s="21"/>
      <c r="U641" s="21"/>
      <c r="V641" s="21"/>
      <c r="W641" s="21"/>
      <c r="AA641" s="21"/>
      <c r="AB641" s="21"/>
      <c r="AC641" s="21"/>
      <c r="AD641" s="21"/>
    </row>
    <row r="642" spans="3:30" ht="14.4">
      <c r="C642" s="15"/>
      <c r="D642" s="15"/>
      <c r="E642" s="15"/>
      <c r="F642" s="21"/>
      <c r="G642" s="21"/>
      <c r="H642" s="21"/>
      <c r="L642" s="21"/>
      <c r="M642" s="21"/>
      <c r="N642" s="21"/>
      <c r="O642" s="21"/>
      <c r="U642" s="21"/>
      <c r="V642" s="21"/>
      <c r="W642" s="21"/>
      <c r="AA642" s="21"/>
      <c r="AB642" s="21"/>
      <c r="AC642" s="21"/>
      <c r="AD642" s="21"/>
    </row>
    <row r="643" spans="3:30" ht="14.4">
      <c r="C643" s="15"/>
      <c r="D643" s="15"/>
      <c r="E643" s="15"/>
      <c r="F643" s="21"/>
      <c r="G643" s="21"/>
      <c r="H643" s="21"/>
      <c r="L643" s="21"/>
      <c r="M643" s="21"/>
      <c r="N643" s="21"/>
      <c r="O643" s="21"/>
      <c r="U643" s="21"/>
      <c r="V643" s="21"/>
      <c r="W643" s="21"/>
      <c r="AA643" s="21"/>
      <c r="AB643" s="21"/>
      <c r="AC643" s="21"/>
      <c r="AD643" s="21"/>
    </row>
    <row r="644" spans="3:30" ht="14.4">
      <c r="C644" s="15"/>
      <c r="D644" s="15"/>
      <c r="E644" s="15"/>
      <c r="F644" s="21"/>
      <c r="G644" s="21"/>
      <c r="H644" s="21"/>
      <c r="L644" s="21"/>
      <c r="M644" s="21"/>
      <c r="N644" s="21"/>
      <c r="O644" s="21"/>
      <c r="U644" s="21"/>
      <c r="V644" s="21"/>
      <c r="W644" s="21"/>
      <c r="AA644" s="21"/>
      <c r="AB644" s="21"/>
      <c r="AC644" s="21"/>
      <c r="AD644" s="21"/>
    </row>
    <row r="645" spans="3:30" ht="14.4">
      <c r="C645" s="15"/>
      <c r="D645" s="15"/>
      <c r="E645" s="15"/>
      <c r="F645" s="21"/>
      <c r="G645" s="21"/>
      <c r="H645" s="21"/>
      <c r="L645" s="21"/>
      <c r="M645" s="21"/>
      <c r="N645" s="21"/>
      <c r="O645" s="21"/>
      <c r="U645" s="21"/>
      <c r="V645" s="21"/>
      <c r="W645" s="21"/>
      <c r="AA645" s="21"/>
      <c r="AB645" s="21"/>
      <c r="AC645" s="21"/>
      <c r="AD645" s="21"/>
    </row>
    <row r="646" spans="3:30" ht="14.4">
      <c r="C646" s="15"/>
      <c r="D646" s="15"/>
      <c r="E646" s="15"/>
      <c r="F646" s="21"/>
      <c r="G646" s="21"/>
      <c r="H646" s="21"/>
      <c r="L646" s="21"/>
      <c r="M646" s="21"/>
      <c r="N646" s="21"/>
      <c r="O646" s="21"/>
      <c r="U646" s="21"/>
      <c r="V646" s="21"/>
      <c r="W646" s="21"/>
      <c r="AA646" s="21"/>
      <c r="AB646" s="21"/>
      <c r="AC646" s="21"/>
      <c r="AD646" s="21"/>
    </row>
    <row r="647" spans="3:30" ht="14.4">
      <c r="C647" s="15"/>
      <c r="D647" s="15"/>
      <c r="E647" s="15"/>
      <c r="F647" s="21"/>
      <c r="G647" s="21"/>
      <c r="H647" s="21"/>
      <c r="L647" s="21"/>
      <c r="M647" s="21"/>
      <c r="N647" s="21"/>
      <c r="O647" s="21"/>
      <c r="U647" s="21"/>
      <c r="V647" s="21"/>
      <c r="W647" s="21"/>
      <c r="AA647" s="21"/>
      <c r="AB647" s="21"/>
      <c r="AC647" s="21"/>
      <c r="AD647" s="21"/>
    </row>
    <row r="648" spans="3:30" ht="14.4">
      <c r="C648" s="15"/>
      <c r="D648" s="15"/>
      <c r="E648" s="15"/>
      <c r="F648" s="21"/>
      <c r="G648" s="21"/>
      <c r="H648" s="21"/>
      <c r="L648" s="21"/>
      <c r="M648" s="21"/>
      <c r="N648" s="21"/>
      <c r="O648" s="21"/>
      <c r="U648" s="21"/>
      <c r="V648" s="21"/>
      <c r="W648" s="21"/>
      <c r="AA648" s="21"/>
      <c r="AB648" s="21"/>
      <c r="AC648" s="21"/>
      <c r="AD648" s="21"/>
    </row>
    <row r="649" spans="3:30" ht="14.4">
      <c r="C649" s="15"/>
      <c r="D649" s="15"/>
      <c r="E649" s="15"/>
      <c r="F649" s="21"/>
      <c r="G649" s="21"/>
      <c r="H649" s="21"/>
      <c r="L649" s="21"/>
      <c r="M649" s="21"/>
      <c r="N649" s="21"/>
      <c r="O649" s="21"/>
      <c r="U649" s="21"/>
      <c r="V649" s="21"/>
      <c r="W649" s="21"/>
      <c r="AA649" s="21"/>
      <c r="AB649" s="21"/>
      <c r="AC649" s="21"/>
      <c r="AD649" s="21"/>
    </row>
    <row r="650" spans="3:30" ht="14.4">
      <c r="C650" s="15"/>
      <c r="D650" s="15"/>
      <c r="E650" s="15"/>
      <c r="F650" s="21"/>
      <c r="G650" s="21"/>
      <c r="H650" s="21"/>
      <c r="L650" s="21"/>
      <c r="M650" s="21"/>
      <c r="N650" s="21"/>
      <c r="O650" s="21"/>
      <c r="U650" s="21"/>
      <c r="V650" s="21"/>
      <c r="W650" s="21"/>
      <c r="AA650" s="21"/>
      <c r="AB650" s="21"/>
      <c r="AC650" s="21"/>
      <c r="AD650" s="21"/>
    </row>
    <row r="651" spans="3:30" ht="14.4">
      <c r="C651" s="15"/>
      <c r="D651" s="15"/>
      <c r="E651" s="15"/>
      <c r="F651" s="21"/>
      <c r="G651" s="21"/>
      <c r="H651" s="21"/>
      <c r="L651" s="21"/>
      <c r="M651" s="21"/>
      <c r="N651" s="21"/>
      <c r="O651" s="21"/>
      <c r="U651" s="21"/>
      <c r="V651" s="21"/>
      <c r="W651" s="21"/>
      <c r="AA651" s="21"/>
      <c r="AB651" s="21"/>
      <c r="AC651" s="21"/>
      <c r="AD651" s="21"/>
    </row>
    <row r="652" spans="3:30" ht="14.4">
      <c r="C652" s="15"/>
      <c r="D652" s="15"/>
      <c r="E652" s="15"/>
      <c r="F652" s="21"/>
      <c r="G652" s="21"/>
      <c r="H652" s="21"/>
      <c r="L652" s="21"/>
      <c r="M652" s="21"/>
      <c r="N652" s="21"/>
      <c r="O652" s="21"/>
      <c r="U652" s="21"/>
      <c r="V652" s="21"/>
      <c r="W652" s="21"/>
      <c r="AA652" s="21"/>
      <c r="AB652" s="21"/>
      <c r="AC652" s="21"/>
      <c r="AD652" s="21"/>
    </row>
    <row r="653" spans="3:30" ht="14.4">
      <c r="C653" s="15"/>
      <c r="D653" s="15"/>
      <c r="E653" s="15"/>
      <c r="F653" s="21"/>
      <c r="G653" s="21"/>
      <c r="H653" s="21"/>
      <c r="L653" s="21"/>
      <c r="M653" s="21"/>
      <c r="N653" s="21"/>
      <c r="O653" s="21"/>
      <c r="U653" s="21"/>
      <c r="V653" s="21"/>
      <c r="W653" s="21"/>
      <c r="AA653" s="21"/>
      <c r="AB653" s="21"/>
      <c r="AC653" s="21"/>
      <c r="AD653" s="21"/>
    </row>
    <row r="654" spans="3:30" ht="14.4">
      <c r="C654" s="15"/>
      <c r="D654" s="15"/>
      <c r="E654" s="15"/>
      <c r="F654" s="21"/>
      <c r="G654" s="21"/>
      <c r="H654" s="21"/>
      <c r="L654" s="21"/>
      <c r="M654" s="21"/>
      <c r="N654" s="21"/>
      <c r="O654" s="21"/>
      <c r="U654" s="21"/>
      <c r="V654" s="21"/>
      <c r="W654" s="21"/>
      <c r="AA654" s="21"/>
      <c r="AB654" s="21"/>
      <c r="AC654" s="21"/>
      <c r="AD654" s="21"/>
    </row>
    <row r="655" spans="3:30" ht="14.4">
      <c r="C655" s="15"/>
      <c r="D655" s="15"/>
      <c r="E655" s="15"/>
      <c r="F655" s="21"/>
      <c r="G655" s="21"/>
      <c r="H655" s="21"/>
      <c r="L655" s="21"/>
      <c r="M655" s="21"/>
      <c r="N655" s="21"/>
      <c r="O655" s="21"/>
      <c r="U655" s="21"/>
      <c r="V655" s="21"/>
      <c r="W655" s="21"/>
      <c r="AA655" s="21"/>
      <c r="AB655" s="21"/>
      <c r="AC655" s="21"/>
      <c r="AD655" s="21"/>
    </row>
    <row r="656" spans="3:30" ht="14.4">
      <c r="C656" s="15"/>
      <c r="D656" s="15"/>
      <c r="E656" s="15"/>
      <c r="F656" s="21"/>
      <c r="G656" s="21"/>
      <c r="H656" s="21"/>
      <c r="L656" s="21"/>
      <c r="M656" s="21"/>
      <c r="N656" s="21"/>
      <c r="O656" s="21"/>
      <c r="U656" s="21"/>
      <c r="V656" s="21"/>
      <c r="W656" s="21"/>
      <c r="AA656" s="21"/>
      <c r="AB656" s="21"/>
      <c r="AC656" s="21"/>
      <c r="AD656" s="21"/>
    </row>
    <row r="657" spans="3:30" ht="14.4">
      <c r="C657" s="15"/>
      <c r="D657" s="15"/>
      <c r="E657" s="15"/>
      <c r="F657" s="21"/>
      <c r="G657" s="21"/>
      <c r="H657" s="21"/>
      <c r="L657" s="21"/>
      <c r="M657" s="21"/>
      <c r="N657" s="21"/>
      <c r="O657" s="21"/>
      <c r="U657" s="21"/>
      <c r="V657" s="21"/>
      <c r="W657" s="21"/>
      <c r="AA657" s="21"/>
      <c r="AB657" s="21"/>
      <c r="AC657" s="21"/>
      <c r="AD657" s="21"/>
    </row>
    <row r="658" spans="3:30" ht="14.4">
      <c r="C658" s="15"/>
      <c r="D658" s="15"/>
      <c r="E658" s="15"/>
      <c r="F658" s="21"/>
      <c r="G658" s="21"/>
      <c r="H658" s="21"/>
      <c r="L658" s="21"/>
      <c r="M658" s="21"/>
      <c r="N658" s="21"/>
      <c r="O658" s="21"/>
      <c r="U658" s="21"/>
      <c r="V658" s="21"/>
      <c r="W658" s="21"/>
      <c r="AA658" s="21"/>
      <c r="AB658" s="21"/>
      <c r="AC658" s="21"/>
      <c r="AD658" s="21"/>
    </row>
    <row r="659" spans="3:30" ht="14.4">
      <c r="C659" s="15"/>
      <c r="D659" s="15"/>
      <c r="E659" s="15"/>
      <c r="F659" s="21"/>
      <c r="G659" s="21"/>
      <c r="H659" s="21"/>
      <c r="L659" s="21"/>
      <c r="M659" s="21"/>
      <c r="N659" s="21"/>
      <c r="O659" s="21"/>
      <c r="U659" s="21"/>
      <c r="V659" s="21"/>
      <c r="W659" s="21"/>
      <c r="AA659" s="21"/>
      <c r="AB659" s="21"/>
      <c r="AC659" s="21"/>
      <c r="AD659" s="21"/>
    </row>
    <row r="660" spans="3:30" ht="14.4">
      <c r="C660" s="15"/>
      <c r="D660" s="15"/>
      <c r="E660" s="15"/>
      <c r="F660" s="21"/>
      <c r="G660" s="21"/>
      <c r="H660" s="21"/>
      <c r="L660" s="21"/>
      <c r="M660" s="21"/>
      <c r="N660" s="21"/>
      <c r="O660" s="21"/>
      <c r="U660" s="21"/>
      <c r="V660" s="21"/>
      <c r="W660" s="21"/>
      <c r="AA660" s="21"/>
      <c r="AB660" s="21"/>
      <c r="AC660" s="21"/>
      <c r="AD660" s="21"/>
    </row>
    <row r="661" spans="3:30" ht="14.4">
      <c r="C661" s="15"/>
      <c r="D661" s="15"/>
      <c r="E661" s="15"/>
      <c r="F661" s="21"/>
      <c r="G661" s="21"/>
      <c r="H661" s="21"/>
      <c r="L661" s="21"/>
      <c r="M661" s="21"/>
      <c r="N661" s="21"/>
      <c r="O661" s="21"/>
      <c r="U661" s="21"/>
      <c r="V661" s="21"/>
      <c r="W661" s="21"/>
      <c r="AA661" s="21"/>
      <c r="AB661" s="21"/>
      <c r="AC661" s="21"/>
      <c r="AD661" s="21"/>
    </row>
    <row r="662" spans="3:30" ht="14.4">
      <c r="C662" s="15"/>
      <c r="D662" s="15"/>
      <c r="E662" s="15"/>
      <c r="F662" s="21"/>
      <c r="G662" s="21"/>
      <c r="H662" s="21"/>
      <c r="L662" s="21"/>
      <c r="M662" s="21"/>
      <c r="N662" s="21"/>
      <c r="O662" s="21"/>
      <c r="U662" s="21"/>
      <c r="V662" s="21"/>
      <c r="W662" s="21"/>
      <c r="AA662" s="21"/>
      <c r="AB662" s="21"/>
      <c r="AC662" s="21"/>
      <c r="AD662" s="21"/>
    </row>
    <row r="663" spans="3:30" ht="14.4">
      <c r="C663" s="15"/>
      <c r="D663" s="15"/>
      <c r="E663" s="15"/>
      <c r="F663" s="21"/>
      <c r="G663" s="21"/>
      <c r="H663" s="21"/>
      <c r="L663" s="21"/>
      <c r="M663" s="21"/>
      <c r="N663" s="21"/>
      <c r="O663" s="21"/>
      <c r="U663" s="21"/>
      <c r="V663" s="21"/>
      <c r="W663" s="21"/>
      <c r="AA663" s="21"/>
      <c r="AB663" s="21"/>
      <c r="AC663" s="21"/>
      <c r="AD663" s="21"/>
    </row>
    <row r="664" spans="3:30" ht="14.4">
      <c r="C664" s="15"/>
      <c r="D664" s="15"/>
      <c r="E664" s="15"/>
      <c r="F664" s="21"/>
      <c r="G664" s="21"/>
      <c r="H664" s="21"/>
      <c r="L664" s="21"/>
      <c r="M664" s="21"/>
      <c r="N664" s="21"/>
      <c r="O664" s="21"/>
      <c r="U664" s="21"/>
      <c r="V664" s="21"/>
      <c r="W664" s="21"/>
      <c r="AA664" s="21"/>
      <c r="AB664" s="21"/>
      <c r="AC664" s="21"/>
      <c r="AD664" s="21"/>
    </row>
    <row r="665" spans="3:30" ht="14.4">
      <c r="C665" s="15"/>
      <c r="D665" s="15"/>
      <c r="E665" s="15"/>
      <c r="F665" s="21"/>
      <c r="G665" s="21"/>
      <c r="H665" s="21"/>
      <c r="L665" s="21"/>
      <c r="M665" s="21"/>
      <c r="N665" s="21"/>
      <c r="O665" s="21"/>
      <c r="U665" s="21"/>
      <c r="V665" s="21"/>
      <c r="W665" s="21"/>
      <c r="AA665" s="21"/>
      <c r="AB665" s="21"/>
      <c r="AC665" s="21"/>
      <c r="AD665" s="21"/>
    </row>
    <row r="666" spans="3:30" ht="14.4">
      <c r="C666" s="15"/>
      <c r="D666" s="15"/>
      <c r="E666" s="15"/>
      <c r="F666" s="21"/>
      <c r="G666" s="21"/>
      <c r="H666" s="21"/>
      <c r="L666" s="21"/>
      <c r="M666" s="21"/>
      <c r="N666" s="21"/>
      <c r="O666" s="21"/>
      <c r="U666" s="21"/>
      <c r="V666" s="21"/>
      <c r="W666" s="21"/>
      <c r="AA666" s="21"/>
      <c r="AB666" s="21"/>
      <c r="AC666" s="21"/>
      <c r="AD666" s="21"/>
    </row>
    <row r="667" spans="3:30" ht="14.4">
      <c r="C667" s="15"/>
      <c r="D667" s="15"/>
      <c r="E667" s="15"/>
      <c r="F667" s="21"/>
      <c r="G667" s="21"/>
      <c r="H667" s="21"/>
      <c r="L667" s="21"/>
      <c r="M667" s="21"/>
      <c r="N667" s="21"/>
      <c r="O667" s="21"/>
      <c r="U667" s="21"/>
      <c r="V667" s="21"/>
      <c r="W667" s="21"/>
      <c r="AA667" s="21"/>
      <c r="AB667" s="21"/>
      <c r="AC667" s="21"/>
      <c r="AD667" s="21"/>
    </row>
    <row r="668" spans="3:30" ht="14.4">
      <c r="C668" s="15"/>
      <c r="D668" s="15"/>
      <c r="E668" s="15"/>
      <c r="F668" s="21"/>
      <c r="G668" s="21"/>
      <c r="H668" s="21"/>
      <c r="L668" s="21"/>
      <c r="M668" s="21"/>
      <c r="N668" s="21"/>
      <c r="O668" s="21"/>
      <c r="U668" s="21"/>
      <c r="V668" s="21"/>
      <c r="W668" s="21"/>
      <c r="AA668" s="21"/>
      <c r="AB668" s="21"/>
      <c r="AC668" s="21"/>
      <c r="AD668" s="21"/>
    </row>
    <row r="669" spans="3:30" ht="14.4">
      <c r="C669" s="15"/>
      <c r="D669" s="15"/>
      <c r="E669" s="15"/>
      <c r="F669" s="21"/>
      <c r="G669" s="21"/>
      <c r="H669" s="21"/>
      <c r="L669" s="21"/>
      <c r="M669" s="21"/>
      <c r="N669" s="21"/>
      <c r="O669" s="21"/>
      <c r="U669" s="21"/>
      <c r="V669" s="21"/>
      <c r="W669" s="21"/>
      <c r="AA669" s="21"/>
      <c r="AB669" s="21"/>
      <c r="AC669" s="21"/>
      <c r="AD669" s="21"/>
    </row>
    <row r="670" spans="3:30" ht="14.4">
      <c r="C670" s="15"/>
      <c r="D670" s="15"/>
      <c r="E670" s="15"/>
      <c r="F670" s="21"/>
      <c r="G670" s="21"/>
      <c r="H670" s="21"/>
      <c r="L670" s="21"/>
      <c r="M670" s="21"/>
      <c r="N670" s="21"/>
      <c r="O670" s="21"/>
      <c r="U670" s="21"/>
      <c r="V670" s="21"/>
      <c r="W670" s="21"/>
      <c r="AA670" s="21"/>
      <c r="AB670" s="21"/>
      <c r="AC670" s="21"/>
      <c r="AD670" s="21"/>
    </row>
    <row r="671" spans="3:30" ht="14.4">
      <c r="C671" s="15"/>
      <c r="D671" s="15"/>
      <c r="E671" s="15"/>
      <c r="F671" s="21"/>
      <c r="G671" s="21"/>
      <c r="H671" s="21"/>
      <c r="L671" s="21"/>
      <c r="M671" s="21"/>
      <c r="N671" s="21"/>
      <c r="O671" s="21"/>
      <c r="U671" s="21"/>
      <c r="V671" s="21"/>
      <c r="W671" s="21"/>
      <c r="AA671" s="21"/>
      <c r="AB671" s="21"/>
      <c r="AC671" s="21"/>
      <c r="AD671" s="21"/>
    </row>
    <row r="672" spans="3:30" ht="14.4">
      <c r="C672" s="15"/>
      <c r="D672" s="15"/>
      <c r="E672" s="15"/>
      <c r="F672" s="21"/>
      <c r="G672" s="21"/>
      <c r="H672" s="21"/>
      <c r="L672" s="21"/>
      <c r="M672" s="21"/>
      <c r="N672" s="21"/>
      <c r="O672" s="21"/>
      <c r="U672" s="21"/>
      <c r="V672" s="21"/>
      <c r="W672" s="21"/>
      <c r="AA672" s="21"/>
      <c r="AB672" s="21"/>
      <c r="AC672" s="21"/>
      <c r="AD672" s="21"/>
    </row>
    <row r="673" spans="3:30" ht="14.4">
      <c r="C673" s="15"/>
      <c r="D673" s="15"/>
      <c r="E673" s="15"/>
      <c r="F673" s="21"/>
      <c r="G673" s="21"/>
      <c r="H673" s="21"/>
      <c r="L673" s="21"/>
      <c r="M673" s="21"/>
      <c r="N673" s="21"/>
      <c r="O673" s="21"/>
      <c r="U673" s="21"/>
      <c r="V673" s="21"/>
      <c r="W673" s="21"/>
      <c r="AA673" s="21"/>
      <c r="AB673" s="21"/>
      <c r="AC673" s="21"/>
      <c r="AD673" s="21"/>
    </row>
    <row r="674" spans="3:30" ht="14.4">
      <c r="C674" s="15"/>
      <c r="D674" s="15"/>
      <c r="E674" s="15"/>
      <c r="F674" s="21"/>
      <c r="G674" s="21"/>
      <c r="H674" s="21"/>
      <c r="L674" s="21"/>
      <c r="M674" s="21"/>
      <c r="N674" s="21"/>
      <c r="O674" s="21"/>
      <c r="U674" s="21"/>
      <c r="V674" s="21"/>
      <c r="W674" s="21"/>
      <c r="AA674" s="21"/>
      <c r="AB674" s="21"/>
      <c r="AC674" s="21"/>
      <c r="AD674" s="21"/>
    </row>
    <row r="675" spans="3:30" ht="14.4">
      <c r="C675" s="15"/>
      <c r="D675" s="15"/>
      <c r="E675" s="15"/>
      <c r="F675" s="21"/>
      <c r="G675" s="21"/>
      <c r="H675" s="21"/>
      <c r="L675" s="21"/>
      <c r="M675" s="21"/>
      <c r="N675" s="21"/>
      <c r="O675" s="21"/>
      <c r="U675" s="21"/>
      <c r="V675" s="21"/>
      <c r="W675" s="21"/>
      <c r="AA675" s="21"/>
      <c r="AB675" s="21"/>
      <c r="AC675" s="21"/>
      <c r="AD675" s="21"/>
    </row>
    <row r="676" spans="3:30" ht="14.4">
      <c r="C676" s="15"/>
      <c r="D676" s="15"/>
      <c r="E676" s="15"/>
      <c r="F676" s="21"/>
      <c r="G676" s="21"/>
      <c r="H676" s="21"/>
      <c r="L676" s="21"/>
      <c r="M676" s="21"/>
      <c r="N676" s="21"/>
      <c r="O676" s="21"/>
      <c r="U676" s="21"/>
      <c r="V676" s="21"/>
      <c r="W676" s="21"/>
      <c r="AA676" s="21"/>
      <c r="AB676" s="21"/>
      <c r="AC676" s="21"/>
      <c r="AD676" s="21"/>
    </row>
    <row r="677" spans="3:30" ht="14.4">
      <c r="C677" s="15"/>
      <c r="D677" s="15"/>
      <c r="E677" s="15"/>
      <c r="F677" s="21"/>
      <c r="G677" s="21"/>
      <c r="H677" s="21"/>
      <c r="L677" s="21"/>
      <c r="M677" s="21"/>
      <c r="N677" s="21"/>
      <c r="O677" s="21"/>
      <c r="U677" s="21"/>
      <c r="V677" s="21"/>
      <c r="W677" s="21"/>
      <c r="AA677" s="21"/>
      <c r="AB677" s="21"/>
      <c r="AC677" s="21"/>
      <c r="AD677" s="21"/>
    </row>
    <row r="678" spans="3:30" ht="14.4">
      <c r="C678" s="15"/>
      <c r="D678" s="15"/>
      <c r="E678" s="15"/>
      <c r="F678" s="21"/>
      <c r="G678" s="21"/>
      <c r="H678" s="21"/>
      <c r="L678" s="21"/>
      <c r="M678" s="21"/>
      <c r="N678" s="21"/>
      <c r="O678" s="21"/>
      <c r="U678" s="21"/>
      <c r="V678" s="21"/>
      <c r="W678" s="21"/>
      <c r="AA678" s="21"/>
      <c r="AB678" s="21"/>
      <c r="AC678" s="21"/>
      <c r="AD678" s="21"/>
    </row>
    <row r="679" spans="3:30" ht="14.4">
      <c r="C679" s="15"/>
      <c r="D679" s="15"/>
      <c r="E679" s="15"/>
      <c r="F679" s="21"/>
      <c r="G679" s="21"/>
      <c r="H679" s="21"/>
      <c r="L679" s="21"/>
      <c r="M679" s="21"/>
      <c r="N679" s="21"/>
      <c r="O679" s="21"/>
      <c r="U679" s="21"/>
      <c r="V679" s="21"/>
      <c r="W679" s="21"/>
      <c r="AA679" s="21"/>
      <c r="AB679" s="21"/>
      <c r="AC679" s="21"/>
      <c r="AD679" s="21"/>
    </row>
    <row r="680" spans="3:30" ht="14.4">
      <c r="C680" s="15"/>
      <c r="D680" s="15"/>
      <c r="E680" s="15"/>
      <c r="F680" s="21"/>
      <c r="G680" s="21"/>
      <c r="H680" s="21"/>
      <c r="L680" s="21"/>
      <c r="M680" s="21"/>
      <c r="N680" s="21"/>
      <c r="O680" s="21"/>
      <c r="U680" s="21"/>
      <c r="V680" s="21"/>
      <c r="W680" s="21"/>
      <c r="AA680" s="21"/>
      <c r="AB680" s="21"/>
      <c r="AC680" s="21"/>
      <c r="AD680" s="21"/>
    </row>
    <row r="681" spans="3:30" ht="14.4">
      <c r="C681" s="15"/>
      <c r="D681" s="15"/>
      <c r="E681" s="15"/>
      <c r="F681" s="21"/>
      <c r="G681" s="21"/>
      <c r="H681" s="21"/>
      <c r="L681" s="21"/>
      <c r="M681" s="21"/>
      <c r="N681" s="21"/>
      <c r="O681" s="21"/>
      <c r="U681" s="21"/>
      <c r="V681" s="21"/>
      <c r="W681" s="21"/>
      <c r="AA681" s="21"/>
      <c r="AB681" s="21"/>
      <c r="AC681" s="21"/>
      <c r="AD681" s="21"/>
    </row>
    <row r="682" spans="3:30" ht="14.4">
      <c r="C682" s="15"/>
      <c r="D682" s="15"/>
      <c r="E682" s="15"/>
      <c r="F682" s="21"/>
      <c r="G682" s="21"/>
      <c r="H682" s="21"/>
      <c r="L682" s="21"/>
      <c r="M682" s="21"/>
      <c r="N682" s="21"/>
      <c r="O682" s="21"/>
      <c r="U682" s="21"/>
      <c r="V682" s="21"/>
      <c r="W682" s="21"/>
      <c r="AA682" s="21"/>
      <c r="AB682" s="21"/>
      <c r="AC682" s="21"/>
      <c r="AD682" s="21"/>
    </row>
    <row r="683" spans="3:30" ht="14.4">
      <c r="C683" s="15"/>
      <c r="D683" s="15"/>
      <c r="E683" s="15"/>
      <c r="F683" s="21"/>
      <c r="G683" s="21"/>
      <c r="H683" s="21"/>
      <c r="L683" s="21"/>
      <c r="M683" s="21"/>
      <c r="N683" s="21"/>
      <c r="O683" s="21"/>
      <c r="U683" s="21"/>
      <c r="V683" s="21"/>
      <c r="W683" s="21"/>
      <c r="AA683" s="21"/>
      <c r="AB683" s="21"/>
      <c r="AC683" s="21"/>
      <c r="AD683" s="21"/>
    </row>
    <row r="684" spans="3:30" ht="14.4">
      <c r="C684" s="15"/>
      <c r="D684" s="15"/>
      <c r="E684" s="15"/>
      <c r="F684" s="21"/>
      <c r="G684" s="21"/>
      <c r="H684" s="21"/>
      <c r="L684" s="21"/>
      <c r="M684" s="21"/>
      <c r="N684" s="21"/>
      <c r="O684" s="21"/>
      <c r="U684" s="21"/>
      <c r="V684" s="21"/>
      <c r="W684" s="21"/>
      <c r="AA684" s="21"/>
      <c r="AB684" s="21"/>
      <c r="AC684" s="21"/>
      <c r="AD684" s="21"/>
    </row>
    <row r="685" spans="3:30" ht="14.4">
      <c r="C685" s="15"/>
      <c r="D685" s="15"/>
      <c r="E685" s="15"/>
      <c r="F685" s="21"/>
      <c r="G685" s="21"/>
      <c r="H685" s="21"/>
      <c r="L685" s="21"/>
      <c r="M685" s="21"/>
      <c r="N685" s="21"/>
      <c r="O685" s="21"/>
      <c r="U685" s="21"/>
      <c r="V685" s="21"/>
      <c r="W685" s="21"/>
      <c r="AA685" s="21"/>
      <c r="AB685" s="21"/>
      <c r="AC685" s="21"/>
      <c r="AD685" s="21"/>
    </row>
    <row r="686" spans="3:30" ht="14.4">
      <c r="C686" s="15"/>
      <c r="D686" s="15"/>
      <c r="E686" s="15"/>
      <c r="F686" s="21"/>
      <c r="G686" s="21"/>
      <c r="H686" s="21"/>
      <c r="L686" s="21"/>
      <c r="M686" s="21"/>
      <c r="N686" s="21"/>
      <c r="O686" s="21"/>
      <c r="U686" s="21"/>
      <c r="V686" s="21"/>
      <c r="W686" s="21"/>
      <c r="AA686" s="21"/>
      <c r="AB686" s="21"/>
      <c r="AC686" s="21"/>
      <c r="AD686" s="21"/>
    </row>
    <row r="687" spans="3:30" ht="14.4">
      <c r="C687" s="15"/>
      <c r="D687" s="15"/>
      <c r="E687" s="15"/>
      <c r="F687" s="21"/>
      <c r="G687" s="21"/>
      <c r="H687" s="21"/>
      <c r="L687" s="21"/>
      <c r="M687" s="21"/>
      <c r="N687" s="21"/>
      <c r="O687" s="21"/>
      <c r="U687" s="21"/>
      <c r="V687" s="21"/>
      <c r="W687" s="21"/>
      <c r="AA687" s="21"/>
      <c r="AB687" s="21"/>
      <c r="AC687" s="21"/>
      <c r="AD687" s="21"/>
    </row>
    <row r="688" spans="3:30" ht="13.2">
      <c r="F688" s="21"/>
      <c r="G688" s="21"/>
      <c r="H688" s="21"/>
      <c r="L688" s="21"/>
      <c r="M688" s="21"/>
      <c r="N688" s="21"/>
      <c r="O688" s="21"/>
      <c r="U688" s="21"/>
      <c r="V688" s="21"/>
      <c r="W688" s="21"/>
      <c r="AA688" s="21"/>
      <c r="AB688" s="21"/>
      <c r="AC688" s="21"/>
      <c r="AD688" s="21"/>
    </row>
    <row r="689" spans="6:30" ht="13.2">
      <c r="F689" s="21"/>
      <c r="G689" s="21"/>
      <c r="H689" s="21"/>
      <c r="L689" s="21"/>
      <c r="M689" s="21"/>
      <c r="N689" s="21"/>
      <c r="O689" s="21"/>
      <c r="U689" s="21"/>
      <c r="V689" s="21"/>
      <c r="W689" s="21"/>
      <c r="AA689" s="21"/>
      <c r="AB689" s="21"/>
      <c r="AC689" s="21"/>
      <c r="AD689" s="21"/>
    </row>
    <row r="690" spans="6:30" ht="13.2">
      <c r="F690" s="21"/>
      <c r="G690" s="21"/>
      <c r="H690" s="21"/>
      <c r="L690" s="21"/>
      <c r="M690" s="21"/>
      <c r="N690" s="21"/>
      <c r="O690" s="21"/>
      <c r="U690" s="21"/>
      <c r="V690" s="21"/>
      <c r="W690" s="21"/>
      <c r="AA690" s="21"/>
      <c r="AB690" s="21"/>
      <c r="AC690" s="21"/>
      <c r="AD690" s="21"/>
    </row>
    <row r="691" spans="6:30" ht="13.2">
      <c r="F691" s="21"/>
      <c r="G691" s="21"/>
      <c r="H691" s="21"/>
      <c r="L691" s="21"/>
      <c r="M691" s="21"/>
      <c r="N691" s="21"/>
      <c r="O691" s="21"/>
      <c r="U691" s="21"/>
      <c r="V691" s="21"/>
      <c r="W691" s="21"/>
      <c r="AA691" s="21"/>
      <c r="AB691" s="21"/>
      <c r="AC691" s="21"/>
      <c r="AD691" s="21"/>
    </row>
    <row r="692" spans="6:30" ht="13.2">
      <c r="F692" s="21"/>
      <c r="G692" s="21"/>
      <c r="H692" s="21"/>
      <c r="L692" s="21"/>
      <c r="M692" s="21"/>
      <c r="N692" s="21"/>
      <c r="O692" s="21"/>
      <c r="U692" s="21"/>
      <c r="V692" s="21"/>
      <c r="W692" s="21"/>
      <c r="AA692" s="21"/>
      <c r="AB692" s="21"/>
      <c r="AC692" s="21"/>
      <c r="AD692" s="21"/>
    </row>
    <row r="693" spans="6:30" ht="13.2">
      <c r="F693" s="21"/>
      <c r="G693" s="21"/>
      <c r="H693" s="21"/>
      <c r="L693" s="21"/>
      <c r="M693" s="21"/>
      <c r="N693" s="21"/>
      <c r="O693" s="21"/>
      <c r="U693" s="21"/>
      <c r="V693" s="21"/>
      <c r="W693" s="21"/>
      <c r="AA693" s="21"/>
      <c r="AB693" s="21"/>
      <c r="AC693" s="21"/>
      <c r="AD693" s="21"/>
    </row>
    <row r="694" spans="6:30" ht="13.2">
      <c r="F694" s="21"/>
      <c r="G694" s="21"/>
      <c r="H694" s="21"/>
      <c r="L694" s="21"/>
      <c r="M694" s="21"/>
      <c r="N694" s="21"/>
      <c r="O694" s="21"/>
      <c r="U694" s="21"/>
      <c r="V694" s="21"/>
      <c r="W694" s="21"/>
      <c r="AA694" s="21"/>
      <c r="AB694" s="21"/>
      <c r="AC694" s="21"/>
      <c r="AD694" s="21"/>
    </row>
    <row r="695" spans="6:30" ht="13.2">
      <c r="F695" s="21"/>
      <c r="G695" s="21"/>
      <c r="H695" s="21"/>
      <c r="L695" s="21"/>
      <c r="M695" s="21"/>
      <c r="N695" s="21"/>
      <c r="O695" s="21"/>
      <c r="U695" s="21"/>
      <c r="V695" s="21"/>
      <c r="W695" s="21"/>
      <c r="AA695" s="21"/>
      <c r="AB695" s="21"/>
      <c r="AC695" s="21"/>
      <c r="AD695" s="21"/>
    </row>
    <row r="696" spans="6:30" ht="13.2">
      <c r="F696" s="21"/>
      <c r="G696" s="21"/>
      <c r="H696" s="21"/>
      <c r="L696" s="21"/>
      <c r="M696" s="21"/>
      <c r="N696" s="21"/>
      <c r="O696" s="21"/>
      <c r="U696" s="21"/>
      <c r="V696" s="21"/>
      <c r="W696" s="21"/>
      <c r="AA696" s="21"/>
      <c r="AB696" s="21"/>
      <c r="AC696" s="21"/>
      <c r="AD696" s="21"/>
    </row>
    <row r="697" spans="6:30" ht="13.2">
      <c r="F697" s="21"/>
      <c r="G697" s="21"/>
      <c r="H697" s="21"/>
      <c r="L697" s="21"/>
      <c r="M697" s="21"/>
      <c r="N697" s="21"/>
      <c r="O697" s="21"/>
      <c r="U697" s="21"/>
      <c r="V697" s="21"/>
      <c r="W697" s="21"/>
      <c r="AA697" s="21"/>
      <c r="AB697" s="21"/>
      <c r="AC697" s="21"/>
      <c r="AD697" s="21"/>
    </row>
    <row r="698" spans="6:30" ht="13.2">
      <c r="F698" s="21"/>
      <c r="G698" s="21"/>
      <c r="H698" s="21"/>
      <c r="L698" s="21"/>
      <c r="M698" s="21"/>
      <c r="N698" s="21"/>
      <c r="O698" s="21"/>
      <c r="U698" s="21"/>
      <c r="V698" s="21"/>
      <c r="W698" s="21"/>
      <c r="AA698" s="21"/>
      <c r="AB698" s="21"/>
      <c r="AC698" s="21"/>
      <c r="AD698" s="21"/>
    </row>
    <row r="699" spans="6:30" ht="13.2">
      <c r="F699" s="21"/>
      <c r="G699" s="21"/>
      <c r="H699" s="21"/>
      <c r="L699" s="21"/>
      <c r="M699" s="21"/>
      <c r="N699" s="21"/>
      <c r="O699" s="21"/>
      <c r="U699" s="21"/>
      <c r="V699" s="21"/>
      <c r="W699" s="21"/>
      <c r="AA699" s="21"/>
      <c r="AB699" s="21"/>
      <c r="AC699" s="21"/>
      <c r="AD699" s="21"/>
    </row>
    <row r="700" spans="6:30" ht="13.2">
      <c r="F700" s="21"/>
      <c r="G700" s="21"/>
      <c r="H700" s="21"/>
      <c r="L700" s="21"/>
      <c r="M700" s="21"/>
      <c r="N700" s="21"/>
      <c r="O700" s="21"/>
      <c r="U700" s="21"/>
      <c r="V700" s="21"/>
      <c r="W700" s="21"/>
      <c r="AA700" s="21"/>
      <c r="AB700" s="21"/>
      <c r="AC700" s="21"/>
      <c r="AD700" s="21"/>
    </row>
    <row r="701" spans="6:30" ht="13.2">
      <c r="F701" s="21"/>
      <c r="G701" s="21"/>
      <c r="H701" s="21"/>
      <c r="L701" s="21"/>
      <c r="M701" s="21"/>
      <c r="N701" s="21"/>
      <c r="O701" s="21"/>
      <c r="U701" s="21"/>
      <c r="V701" s="21"/>
      <c r="W701" s="21"/>
      <c r="AA701" s="21"/>
      <c r="AB701" s="21"/>
      <c r="AC701" s="21"/>
      <c r="AD701" s="21"/>
    </row>
    <row r="702" spans="6:30" ht="13.2">
      <c r="F702" s="21"/>
      <c r="G702" s="21"/>
      <c r="H702" s="21"/>
      <c r="L702" s="21"/>
      <c r="M702" s="21"/>
      <c r="N702" s="21"/>
      <c r="O702" s="21"/>
      <c r="U702" s="21"/>
      <c r="V702" s="21"/>
      <c r="W702" s="21"/>
      <c r="AA702" s="21"/>
      <c r="AB702" s="21"/>
      <c r="AC702" s="21"/>
      <c r="AD702" s="21"/>
    </row>
    <row r="703" spans="6:30" ht="13.2">
      <c r="F703" s="21"/>
      <c r="G703" s="21"/>
      <c r="H703" s="21"/>
      <c r="L703" s="21"/>
      <c r="M703" s="21"/>
      <c r="N703" s="21"/>
      <c r="O703" s="21"/>
      <c r="U703" s="21"/>
      <c r="V703" s="21"/>
      <c r="W703" s="21"/>
      <c r="AA703" s="21"/>
      <c r="AB703" s="21"/>
      <c r="AC703" s="21"/>
      <c r="AD703" s="21"/>
    </row>
    <row r="704" spans="6:30" ht="13.2">
      <c r="F704" s="21"/>
      <c r="G704" s="21"/>
      <c r="H704" s="21"/>
      <c r="L704" s="21"/>
      <c r="M704" s="21"/>
      <c r="N704" s="21"/>
      <c r="O704" s="21"/>
      <c r="U704" s="21"/>
      <c r="V704" s="21"/>
      <c r="W704" s="21"/>
      <c r="AA704" s="21"/>
      <c r="AB704" s="21"/>
      <c r="AC704" s="21"/>
      <c r="AD704" s="21"/>
    </row>
    <row r="705" spans="6:30" ht="13.2">
      <c r="F705" s="21"/>
      <c r="G705" s="21"/>
      <c r="H705" s="21"/>
      <c r="L705" s="21"/>
      <c r="M705" s="21"/>
      <c r="N705" s="21"/>
      <c r="O705" s="21"/>
      <c r="U705" s="21"/>
      <c r="V705" s="21"/>
      <c r="W705" s="21"/>
      <c r="AA705" s="21"/>
      <c r="AB705" s="21"/>
      <c r="AC705" s="21"/>
      <c r="AD705" s="21"/>
    </row>
    <row r="706" spans="6:30" ht="13.2">
      <c r="F706" s="21"/>
      <c r="G706" s="21"/>
      <c r="H706" s="21"/>
      <c r="L706" s="21"/>
      <c r="M706" s="21"/>
      <c r="N706" s="21"/>
      <c r="O706" s="21"/>
      <c r="U706" s="21"/>
      <c r="V706" s="21"/>
      <c r="W706" s="21"/>
      <c r="AA706" s="21"/>
      <c r="AB706" s="21"/>
      <c r="AC706" s="21"/>
      <c r="AD706" s="21"/>
    </row>
    <row r="707" spans="6:30" ht="13.2">
      <c r="F707" s="21"/>
      <c r="G707" s="21"/>
      <c r="H707" s="21"/>
      <c r="L707" s="21"/>
      <c r="M707" s="21"/>
      <c r="N707" s="21"/>
      <c r="O707" s="21"/>
      <c r="U707" s="21"/>
      <c r="V707" s="21"/>
      <c r="W707" s="21"/>
      <c r="AA707" s="21"/>
      <c r="AB707" s="21"/>
      <c r="AC707" s="21"/>
      <c r="AD707" s="21"/>
    </row>
    <row r="708" spans="6:30" ht="13.2">
      <c r="F708" s="21"/>
      <c r="G708" s="21"/>
      <c r="H708" s="21"/>
      <c r="L708" s="21"/>
      <c r="M708" s="21"/>
      <c r="N708" s="21"/>
      <c r="O708" s="21"/>
      <c r="U708" s="21"/>
      <c r="V708" s="21"/>
      <c r="W708" s="21"/>
      <c r="AA708" s="21"/>
      <c r="AB708" s="21"/>
      <c r="AC708" s="21"/>
      <c r="AD708" s="21"/>
    </row>
    <row r="709" spans="6:30" ht="13.2">
      <c r="F709" s="21"/>
      <c r="G709" s="21"/>
      <c r="H709" s="21"/>
      <c r="L709" s="21"/>
      <c r="M709" s="21"/>
      <c r="N709" s="21"/>
      <c r="O709" s="21"/>
      <c r="U709" s="21"/>
      <c r="V709" s="21"/>
      <c r="W709" s="21"/>
      <c r="AA709" s="21"/>
      <c r="AB709" s="21"/>
      <c r="AC709" s="21"/>
      <c r="AD709" s="21"/>
    </row>
    <row r="710" spans="6:30" ht="13.2">
      <c r="F710" s="21"/>
      <c r="G710" s="21"/>
      <c r="H710" s="21"/>
      <c r="L710" s="21"/>
      <c r="M710" s="21"/>
      <c r="N710" s="21"/>
      <c r="O710" s="21"/>
      <c r="U710" s="21"/>
      <c r="V710" s="21"/>
      <c r="W710" s="21"/>
      <c r="AA710" s="21"/>
      <c r="AB710" s="21"/>
      <c r="AC710" s="21"/>
      <c r="AD710" s="21"/>
    </row>
    <row r="711" spans="6:30" ht="13.2">
      <c r="F711" s="21"/>
      <c r="G711" s="21"/>
      <c r="H711" s="21"/>
      <c r="L711" s="21"/>
      <c r="M711" s="21"/>
      <c r="N711" s="21"/>
      <c r="O711" s="21"/>
      <c r="U711" s="21"/>
      <c r="V711" s="21"/>
      <c r="W711" s="21"/>
      <c r="AA711" s="21"/>
      <c r="AB711" s="21"/>
      <c r="AC711" s="21"/>
      <c r="AD711" s="21"/>
    </row>
    <row r="712" spans="6:30" ht="13.2">
      <c r="F712" s="21"/>
      <c r="G712" s="21"/>
      <c r="H712" s="21"/>
      <c r="L712" s="21"/>
      <c r="M712" s="21"/>
      <c r="N712" s="21"/>
      <c r="O712" s="21"/>
      <c r="U712" s="21"/>
      <c r="V712" s="21"/>
      <c r="W712" s="21"/>
      <c r="AA712" s="21"/>
      <c r="AB712" s="21"/>
      <c r="AC712" s="21"/>
      <c r="AD712" s="21"/>
    </row>
    <row r="713" spans="6:30" ht="13.2">
      <c r="F713" s="21"/>
      <c r="G713" s="21"/>
      <c r="H713" s="21"/>
      <c r="L713" s="21"/>
      <c r="M713" s="21"/>
      <c r="N713" s="21"/>
      <c r="O713" s="21"/>
      <c r="U713" s="21"/>
      <c r="V713" s="21"/>
      <c r="W713" s="21"/>
      <c r="AA713" s="21"/>
      <c r="AB713" s="21"/>
      <c r="AC713" s="21"/>
      <c r="AD713" s="21"/>
    </row>
    <row r="714" spans="6:30" ht="13.2">
      <c r="F714" s="21"/>
      <c r="G714" s="21"/>
      <c r="H714" s="21"/>
      <c r="L714" s="21"/>
      <c r="M714" s="21"/>
      <c r="N714" s="21"/>
      <c r="O714" s="21"/>
      <c r="U714" s="21"/>
      <c r="V714" s="21"/>
      <c r="W714" s="21"/>
      <c r="AA714" s="21"/>
      <c r="AB714" s="21"/>
      <c r="AC714" s="21"/>
      <c r="AD714" s="21"/>
    </row>
    <row r="715" spans="6:30" ht="13.2">
      <c r="F715" s="21"/>
      <c r="G715" s="21"/>
      <c r="H715" s="21"/>
      <c r="L715" s="21"/>
      <c r="M715" s="21"/>
      <c r="N715" s="21"/>
      <c r="O715" s="21"/>
      <c r="U715" s="21"/>
      <c r="V715" s="21"/>
      <c r="W715" s="21"/>
      <c r="AA715" s="21"/>
      <c r="AB715" s="21"/>
      <c r="AC715" s="21"/>
      <c r="AD715" s="21"/>
    </row>
    <row r="716" spans="6:30" ht="13.2">
      <c r="F716" s="21"/>
      <c r="G716" s="21"/>
      <c r="H716" s="21"/>
      <c r="L716" s="21"/>
      <c r="M716" s="21"/>
      <c r="N716" s="21"/>
      <c r="O716" s="21"/>
      <c r="U716" s="21"/>
      <c r="V716" s="21"/>
      <c r="W716" s="21"/>
      <c r="AA716" s="21"/>
      <c r="AB716" s="21"/>
      <c r="AC716" s="21"/>
      <c r="AD716" s="21"/>
    </row>
    <row r="717" spans="6:30" ht="13.2">
      <c r="F717" s="21"/>
      <c r="G717" s="21"/>
      <c r="H717" s="21"/>
      <c r="L717" s="21"/>
      <c r="M717" s="21"/>
      <c r="N717" s="21"/>
      <c r="O717" s="21"/>
      <c r="U717" s="21"/>
      <c r="V717" s="21"/>
      <c r="W717" s="21"/>
      <c r="AA717" s="21"/>
      <c r="AB717" s="21"/>
      <c r="AC717" s="21"/>
      <c r="AD717" s="21"/>
    </row>
    <row r="718" spans="6:30" ht="13.2">
      <c r="F718" s="21"/>
      <c r="G718" s="21"/>
      <c r="H718" s="21"/>
      <c r="L718" s="21"/>
      <c r="M718" s="21"/>
      <c r="N718" s="21"/>
      <c r="O718" s="21"/>
      <c r="U718" s="21"/>
      <c r="V718" s="21"/>
      <c r="W718" s="21"/>
      <c r="AA718" s="21"/>
      <c r="AB718" s="21"/>
      <c r="AC718" s="21"/>
      <c r="AD718" s="21"/>
    </row>
    <row r="719" spans="6:30" ht="13.2">
      <c r="F719" s="21"/>
      <c r="G719" s="21"/>
      <c r="H719" s="21"/>
      <c r="L719" s="21"/>
      <c r="M719" s="21"/>
      <c r="N719" s="21"/>
      <c r="O719" s="21"/>
      <c r="U719" s="21"/>
      <c r="V719" s="21"/>
      <c r="W719" s="21"/>
      <c r="AA719" s="21"/>
      <c r="AB719" s="21"/>
      <c r="AC719" s="21"/>
      <c r="AD719" s="21"/>
    </row>
    <row r="720" spans="6:30" ht="13.2">
      <c r="F720" s="21"/>
      <c r="G720" s="21"/>
      <c r="H720" s="21"/>
      <c r="L720" s="21"/>
      <c r="M720" s="21"/>
      <c r="N720" s="21"/>
      <c r="O720" s="21"/>
      <c r="U720" s="21"/>
      <c r="V720" s="21"/>
      <c r="W720" s="21"/>
      <c r="AA720" s="21"/>
      <c r="AB720" s="21"/>
      <c r="AC720" s="21"/>
      <c r="AD720" s="21"/>
    </row>
    <row r="721" spans="6:30" ht="13.2">
      <c r="F721" s="21"/>
      <c r="G721" s="21"/>
      <c r="H721" s="21"/>
      <c r="L721" s="21"/>
      <c r="M721" s="21"/>
      <c r="N721" s="21"/>
      <c r="O721" s="21"/>
      <c r="U721" s="21"/>
      <c r="V721" s="21"/>
      <c r="W721" s="21"/>
      <c r="AA721" s="21"/>
      <c r="AB721" s="21"/>
      <c r="AC721" s="21"/>
      <c r="AD721" s="21"/>
    </row>
    <row r="722" spans="6:30" ht="13.2">
      <c r="F722" s="21"/>
      <c r="G722" s="21"/>
      <c r="H722" s="21"/>
      <c r="L722" s="21"/>
      <c r="M722" s="21"/>
      <c r="N722" s="21"/>
      <c r="O722" s="21"/>
      <c r="U722" s="21"/>
      <c r="V722" s="21"/>
      <c r="W722" s="21"/>
      <c r="AA722" s="21"/>
      <c r="AB722" s="21"/>
      <c r="AC722" s="21"/>
      <c r="AD722" s="21"/>
    </row>
    <row r="723" spans="6:30" ht="13.2">
      <c r="F723" s="21"/>
      <c r="G723" s="21"/>
      <c r="H723" s="21"/>
      <c r="L723" s="21"/>
      <c r="M723" s="21"/>
      <c r="N723" s="21"/>
      <c r="O723" s="21"/>
      <c r="U723" s="21"/>
      <c r="V723" s="21"/>
      <c r="W723" s="21"/>
      <c r="AA723" s="21"/>
      <c r="AB723" s="21"/>
      <c r="AC723" s="21"/>
      <c r="AD723" s="21"/>
    </row>
    <row r="724" spans="6:30" ht="13.2">
      <c r="F724" s="21"/>
      <c r="G724" s="21"/>
      <c r="H724" s="21"/>
      <c r="L724" s="21"/>
      <c r="M724" s="21"/>
      <c r="N724" s="21"/>
      <c r="O724" s="21"/>
      <c r="U724" s="21"/>
      <c r="V724" s="21"/>
      <c r="W724" s="21"/>
      <c r="AA724" s="21"/>
      <c r="AB724" s="21"/>
      <c r="AC724" s="21"/>
      <c r="AD724" s="21"/>
    </row>
    <row r="725" spans="6:30" ht="13.2">
      <c r="F725" s="21"/>
      <c r="G725" s="21"/>
      <c r="H725" s="21"/>
      <c r="L725" s="21"/>
      <c r="M725" s="21"/>
      <c r="N725" s="21"/>
      <c r="O725" s="21"/>
      <c r="U725" s="21"/>
      <c r="V725" s="21"/>
      <c r="W725" s="21"/>
      <c r="AA725" s="21"/>
      <c r="AB725" s="21"/>
      <c r="AC725" s="21"/>
      <c r="AD725" s="21"/>
    </row>
    <row r="726" spans="6:30" ht="13.2">
      <c r="F726" s="21"/>
      <c r="G726" s="21"/>
      <c r="H726" s="21"/>
      <c r="L726" s="21"/>
      <c r="M726" s="21"/>
      <c r="N726" s="21"/>
      <c r="O726" s="21"/>
      <c r="U726" s="21"/>
      <c r="V726" s="21"/>
      <c r="W726" s="21"/>
      <c r="AA726" s="21"/>
      <c r="AB726" s="21"/>
      <c r="AC726" s="21"/>
      <c r="AD726" s="21"/>
    </row>
    <row r="727" spans="6:30" ht="13.2">
      <c r="F727" s="21"/>
      <c r="G727" s="21"/>
      <c r="H727" s="21"/>
      <c r="L727" s="21"/>
      <c r="M727" s="21"/>
      <c r="N727" s="21"/>
      <c r="O727" s="21"/>
      <c r="U727" s="21"/>
      <c r="V727" s="21"/>
      <c r="W727" s="21"/>
      <c r="AA727" s="21"/>
      <c r="AB727" s="21"/>
      <c r="AC727" s="21"/>
      <c r="AD727" s="21"/>
    </row>
    <row r="728" spans="6:30" ht="13.2">
      <c r="F728" s="21"/>
      <c r="G728" s="21"/>
      <c r="H728" s="21"/>
      <c r="L728" s="21"/>
      <c r="M728" s="21"/>
      <c r="N728" s="21"/>
      <c r="O728" s="21"/>
      <c r="U728" s="21"/>
      <c r="V728" s="21"/>
      <c r="W728" s="21"/>
      <c r="AA728" s="21"/>
      <c r="AB728" s="21"/>
      <c r="AC728" s="21"/>
      <c r="AD728" s="21"/>
    </row>
    <row r="729" spans="6:30" ht="13.2">
      <c r="F729" s="21"/>
      <c r="G729" s="21"/>
      <c r="H729" s="21"/>
      <c r="L729" s="21"/>
      <c r="M729" s="21"/>
      <c r="N729" s="21"/>
      <c r="O729" s="21"/>
      <c r="U729" s="21"/>
      <c r="V729" s="21"/>
      <c r="W729" s="21"/>
      <c r="AA729" s="21"/>
      <c r="AB729" s="21"/>
      <c r="AC729" s="21"/>
      <c r="AD729" s="21"/>
    </row>
    <row r="730" spans="6:30" ht="13.2">
      <c r="F730" s="21"/>
      <c r="G730" s="21"/>
      <c r="H730" s="21"/>
      <c r="L730" s="21"/>
      <c r="M730" s="21"/>
      <c r="N730" s="21"/>
      <c r="O730" s="21"/>
      <c r="U730" s="21"/>
      <c r="V730" s="21"/>
      <c r="W730" s="21"/>
      <c r="AA730" s="21"/>
      <c r="AB730" s="21"/>
      <c r="AC730" s="21"/>
      <c r="AD730" s="21"/>
    </row>
    <row r="731" spans="6:30" ht="13.2">
      <c r="F731" s="21"/>
      <c r="G731" s="21"/>
      <c r="H731" s="21"/>
      <c r="L731" s="21"/>
      <c r="M731" s="21"/>
      <c r="N731" s="21"/>
      <c r="O731" s="21"/>
      <c r="U731" s="21"/>
      <c r="V731" s="21"/>
      <c r="W731" s="21"/>
      <c r="AA731" s="21"/>
      <c r="AB731" s="21"/>
      <c r="AC731" s="21"/>
      <c r="AD731" s="21"/>
    </row>
    <row r="732" spans="6:30" ht="13.2">
      <c r="F732" s="21"/>
      <c r="G732" s="21"/>
      <c r="H732" s="21"/>
      <c r="L732" s="21"/>
      <c r="M732" s="21"/>
      <c r="N732" s="21"/>
      <c r="O732" s="21"/>
      <c r="U732" s="21"/>
      <c r="V732" s="21"/>
      <c r="W732" s="21"/>
      <c r="AA732" s="21"/>
      <c r="AB732" s="21"/>
      <c r="AC732" s="21"/>
      <c r="AD732" s="21"/>
    </row>
    <row r="733" spans="6:30" ht="13.2">
      <c r="F733" s="21"/>
      <c r="G733" s="21"/>
      <c r="H733" s="21"/>
      <c r="L733" s="21"/>
      <c r="M733" s="21"/>
      <c r="N733" s="21"/>
      <c r="O733" s="21"/>
      <c r="U733" s="21"/>
      <c r="V733" s="21"/>
      <c r="W733" s="21"/>
      <c r="AA733" s="21"/>
      <c r="AB733" s="21"/>
      <c r="AC733" s="21"/>
      <c r="AD733" s="21"/>
    </row>
    <row r="734" spans="6:30" ht="13.2">
      <c r="F734" s="21"/>
      <c r="G734" s="21"/>
      <c r="H734" s="21"/>
      <c r="L734" s="21"/>
      <c r="M734" s="21"/>
      <c r="N734" s="21"/>
      <c r="O734" s="21"/>
      <c r="U734" s="21"/>
      <c r="V734" s="21"/>
      <c r="W734" s="21"/>
      <c r="AA734" s="21"/>
      <c r="AB734" s="21"/>
      <c r="AC734" s="21"/>
      <c r="AD734" s="21"/>
    </row>
    <row r="735" spans="6:30" ht="13.2">
      <c r="F735" s="21"/>
      <c r="G735" s="21"/>
      <c r="H735" s="21"/>
      <c r="L735" s="21"/>
      <c r="M735" s="21"/>
      <c r="N735" s="21"/>
      <c r="O735" s="21"/>
      <c r="U735" s="21"/>
      <c r="V735" s="21"/>
      <c r="W735" s="21"/>
      <c r="AA735" s="21"/>
      <c r="AB735" s="21"/>
      <c r="AC735" s="21"/>
      <c r="AD735" s="21"/>
    </row>
    <row r="736" spans="6:30" ht="13.2">
      <c r="F736" s="21"/>
      <c r="G736" s="21"/>
      <c r="H736" s="21"/>
      <c r="L736" s="21"/>
      <c r="M736" s="21"/>
      <c r="N736" s="21"/>
      <c r="O736" s="21"/>
      <c r="U736" s="21"/>
      <c r="V736" s="21"/>
      <c r="W736" s="21"/>
      <c r="AA736" s="21"/>
      <c r="AB736" s="21"/>
      <c r="AC736" s="21"/>
      <c r="AD736" s="21"/>
    </row>
    <row r="737" spans="6:30" ht="13.2">
      <c r="F737" s="21"/>
      <c r="G737" s="21"/>
      <c r="H737" s="21"/>
      <c r="L737" s="21"/>
      <c r="M737" s="21"/>
      <c r="N737" s="21"/>
      <c r="O737" s="21"/>
      <c r="U737" s="21"/>
      <c r="V737" s="21"/>
      <c r="W737" s="21"/>
      <c r="AA737" s="21"/>
      <c r="AB737" s="21"/>
      <c r="AC737" s="21"/>
      <c r="AD737" s="21"/>
    </row>
    <row r="738" spans="6:30" ht="13.2">
      <c r="F738" s="21"/>
      <c r="G738" s="21"/>
      <c r="H738" s="21"/>
      <c r="L738" s="21"/>
      <c r="M738" s="21"/>
      <c r="N738" s="21"/>
      <c r="O738" s="21"/>
      <c r="U738" s="21"/>
      <c r="V738" s="21"/>
      <c r="W738" s="21"/>
      <c r="AA738" s="21"/>
      <c r="AB738" s="21"/>
      <c r="AC738" s="21"/>
      <c r="AD738" s="21"/>
    </row>
    <row r="739" spans="6:30" ht="13.2">
      <c r="F739" s="21"/>
      <c r="G739" s="21"/>
      <c r="H739" s="21"/>
      <c r="L739" s="21"/>
      <c r="M739" s="21"/>
      <c r="N739" s="21"/>
      <c r="O739" s="21"/>
      <c r="U739" s="21"/>
      <c r="V739" s="21"/>
      <c r="W739" s="21"/>
      <c r="AA739" s="21"/>
      <c r="AB739" s="21"/>
      <c r="AC739" s="21"/>
      <c r="AD739" s="21"/>
    </row>
    <row r="740" spans="6:30" ht="13.2">
      <c r="F740" s="21"/>
      <c r="G740" s="21"/>
      <c r="H740" s="21"/>
      <c r="L740" s="21"/>
      <c r="M740" s="21"/>
      <c r="N740" s="21"/>
      <c r="O740" s="21"/>
      <c r="U740" s="21"/>
      <c r="V740" s="21"/>
      <c r="W740" s="21"/>
      <c r="AA740" s="21"/>
      <c r="AB740" s="21"/>
      <c r="AC740" s="21"/>
      <c r="AD740" s="21"/>
    </row>
    <row r="741" spans="6:30" ht="13.2">
      <c r="F741" s="21"/>
      <c r="G741" s="21"/>
      <c r="H741" s="21"/>
      <c r="L741" s="21"/>
      <c r="M741" s="21"/>
      <c r="N741" s="21"/>
      <c r="O741" s="21"/>
      <c r="U741" s="21"/>
      <c r="V741" s="21"/>
      <c r="W741" s="21"/>
      <c r="AA741" s="21"/>
      <c r="AB741" s="21"/>
      <c r="AC741" s="21"/>
      <c r="AD741" s="21"/>
    </row>
    <row r="742" spans="6:30" ht="13.2">
      <c r="F742" s="21"/>
      <c r="G742" s="21"/>
      <c r="H742" s="21"/>
      <c r="L742" s="21"/>
      <c r="M742" s="21"/>
      <c r="N742" s="21"/>
      <c r="O742" s="21"/>
      <c r="U742" s="21"/>
      <c r="V742" s="21"/>
      <c r="W742" s="21"/>
      <c r="AA742" s="21"/>
      <c r="AB742" s="21"/>
      <c r="AC742" s="21"/>
      <c r="AD742" s="21"/>
    </row>
    <row r="743" spans="6:30" ht="13.2">
      <c r="F743" s="21"/>
      <c r="G743" s="21"/>
      <c r="H743" s="21"/>
      <c r="L743" s="21"/>
      <c r="M743" s="21"/>
      <c r="N743" s="21"/>
      <c r="O743" s="21"/>
      <c r="U743" s="21"/>
      <c r="V743" s="21"/>
      <c r="W743" s="21"/>
      <c r="AA743" s="21"/>
      <c r="AB743" s="21"/>
      <c r="AC743" s="21"/>
      <c r="AD743" s="21"/>
    </row>
    <row r="744" spans="6:30" ht="13.2">
      <c r="F744" s="21"/>
      <c r="G744" s="21"/>
      <c r="H744" s="21"/>
      <c r="L744" s="21"/>
      <c r="M744" s="21"/>
      <c r="N744" s="21"/>
      <c r="O744" s="21"/>
      <c r="U744" s="21"/>
      <c r="V744" s="21"/>
      <c r="W744" s="21"/>
      <c r="AA744" s="21"/>
      <c r="AB744" s="21"/>
      <c r="AC744" s="21"/>
      <c r="AD744" s="21"/>
    </row>
    <row r="745" spans="6:30" ht="13.2">
      <c r="F745" s="21"/>
      <c r="G745" s="21"/>
      <c r="H745" s="21"/>
      <c r="L745" s="21"/>
      <c r="M745" s="21"/>
      <c r="N745" s="21"/>
      <c r="O745" s="21"/>
      <c r="U745" s="21"/>
      <c r="V745" s="21"/>
      <c r="W745" s="21"/>
      <c r="AA745" s="21"/>
      <c r="AB745" s="21"/>
      <c r="AC745" s="21"/>
      <c r="AD745" s="21"/>
    </row>
    <row r="746" spans="6:30" ht="13.2">
      <c r="F746" s="21"/>
      <c r="G746" s="21"/>
      <c r="H746" s="21"/>
      <c r="L746" s="21"/>
      <c r="M746" s="21"/>
      <c r="N746" s="21"/>
      <c r="O746" s="21"/>
      <c r="U746" s="21"/>
      <c r="V746" s="21"/>
      <c r="W746" s="21"/>
      <c r="AA746" s="21"/>
      <c r="AB746" s="21"/>
      <c r="AC746" s="21"/>
      <c r="AD746" s="21"/>
    </row>
    <row r="747" spans="6:30" ht="13.2">
      <c r="F747" s="21"/>
      <c r="G747" s="21"/>
      <c r="H747" s="21"/>
      <c r="L747" s="21"/>
      <c r="M747" s="21"/>
      <c r="N747" s="21"/>
      <c r="O747" s="21"/>
      <c r="U747" s="21"/>
      <c r="V747" s="21"/>
      <c r="W747" s="21"/>
      <c r="AA747" s="21"/>
      <c r="AB747" s="21"/>
      <c r="AC747" s="21"/>
      <c r="AD747" s="21"/>
    </row>
    <row r="748" spans="6:30" ht="13.2">
      <c r="F748" s="21"/>
      <c r="G748" s="21"/>
      <c r="H748" s="21"/>
      <c r="L748" s="21"/>
      <c r="M748" s="21"/>
      <c r="N748" s="21"/>
      <c r="O748" s="21"/>
      <c r="U748" s="21"/>
      <c r="V748" s="21"/>
      <c r="W748" s="21"/>
      <c r="AA748" s="21"/>
      <c r="AB748" s="21"/>
      <c r="AC748" s="21"/>
      <c r="AD748" s="21"/>
    </row>
    <row r="749" spans="6:30" ht="13.2">
      <c r="F749" s="21"/>
      <c r="G749" s="21"/>
      <c r="H749" s="21"/>
      <c r="L749" s="21"/>
      <c r="M749" s="21"/>
      <c r="N749" s="21"/>
      <c r="O749" s="21"/>
      <c r="U749" s="21"/>
      <c r="V749" s="21"/>
      <c r="W749" s="21"/>
      <c r="AA749" s="21"/>
      <c r="AB749" s="21"/>
      <c r="AC749" s="21"/>
      <c r="AD749" s="21"/>
    </row>
    <row r="750" spans="6:30" ht="13.2">
      <c r="F750" s="21"/>
      <c r="G750" s="21"/>
      <c r="H750" s="21"/>
      <c r="L750" s="21"/>
      <c r="M750" s="21"/>
      <c r="N750" s="21"/>
      <c r="O750" s="21"/>
      <c r="U750" s="21"/>
      <c r="V750" s="21"/>
      <c r="W750" s="21"/>
      <c r="AA750" s="21"/>
      <c r="AB750" s="21"/>
      <c r="AC750" s="21"/>
      <c r="AD750" s="21"/>
    </row>
    <row r="751" spans="6:30" ht="13.2">
      <c r="F751" s="21"/>
      <c r="G751" s="21"/>
      <c r="H751" s="21"/>
      <c r="L751" s="21"/>
      <c r="M751" s="21"/>
      <c r="N751" s="21"/>
      <c r="O751" s="21"/>
      <c r="U751" s="21"/>
      <c r="V751" s="21"/>
      <c r="W751" s="21"/>
      <c r="AA751" s="21"/>
      <c r="AB751" s="21"/>
      <c r="AC751" s="21"/>
      <c r="AD751" s="21"/>
    </row>
    <row r="752" spans="6:30" ht="13.2">
      <c r="F752" s="21"/>
      <c r="G752" s="21"/>
      <c r="H752" s="21"/>
      <c r="L752" s="21"/>
      <c r="M752" s="21"/>
      <c r="N752" s="21"/>
      <c r="O752" s="21"/>
      <c r="U752" s="21"/>
      <c r="V752" s="21"/>
      <c r="W752" s="21"/>
      <c r="AA752" s="21"/>
      <c r="AB752" s="21"/>
      <c r="AC752" s="21"/>
      <c r="AD752" s="21"/>
    </row>
    <row r="753" spans="6:30" ht="13.2">
      <c r="F753" s="21"/>
      <c r="G753" s="21"/>
      <c r="H753" s="21"/>
      <c r="L753" s="21"/>
      <c r="M753" s="21"/>
      <c r="N753" s="21"/>
      <c r="O753" s="21"/>
      <c r="U753" s="21"/>
      <c r="V753" s="21"/>
      <c r="W753" s="21"/>
      <c r="AA753" s="21"/>
      <c r="AB753" s="21"/>
      <c r="AC753" s="21"/>
      <c r="AD753" s="21"/>
    </row>
    <row r="754" spans="6:30" ht="13.2">
      <c r="F754" s="21"/>
      <c r="G754" s="21"/>
      <c r="H754" s="21"/>
      <c r="L754" s="21"/>
      <c r="M754" s="21"/>
      <c r="N754" s="21"/>
      <c r="O754" s="21"/>
      <c r="U754" s="21"/>
      <c r="V754" s="21"/>
      <c r="W754" s="21"/>
      <c r="AA754" s="21"/>
      <c r="AB754" s="21"/>
      <c r="AC754" s="21"/>
      <c r="AD754" s="21"/>
    </row>
    <row r="755" spans="6:30" ht="13.2">
      <c r="F755" s="21"/>
      <c r="G755" s="21"/>
      <c r="H755" s="21"/>
      <c r="L755" s="21"/>
      <c r="M755" s="21"/>
      <c r="N755" s="21"/>
      <c r="O755" s="21"/>
      <c r="U755" s="21"/>
      <c r="V755" s="21"/>
      <c r="W755" s="21"/>
      <c r="AA755" s="21"/>
      <c r="AB755" s="21"/>
      <c r="AC755" s="21"/>
      <c r="AD755" s="21"/>
    </row>
    <row r="756" spans="6:30" ht="13.2">
      <c r="F756" s="21"/>
      <c r="G756" s="21"/>
      <c r="H756" s="21"/>
      <c r="L756" s="21"/>
      <c r="M756" s="21"/>
      <c r="N756" s="21"/>
      <c r="O756" s="21"/>
      <c r="U756" s="21"/>
      <c r="V756" s="21"/>
      <c r="W756" s="21"/>
      <c r="AA756" s="21"/>
      <c r="AB756" s="21"/>
      <c r="AC756" s="21"/>
      <c r="AD756" s="21"/>
    </row>
    <row r="757" spans="6:30" ht="13.2">
      <c r="F757" s="21"/>
      <c r="G757" s="21"/>
      <c r="H757" s="21"/>
      <c r="L757" s="21"/>
      <c r="M757" s="21"/>
      <c r="N757" s="21"/>
      <c r="O757" s="21"/>
      <c r="U757" s="21"/>
      <c r="V757" s="21"/>
      <c r="W757" s="21"/>
      <c r="AA757" s="21"/>
      <c r="AB757" s="21"/>
      <c r="AC757" s="21"/>
      <c r="AD757" s="21"/>
    </row>
    <row r="758" spans="6:30" ht="13.2">
      <c r="F758" s="21"/>
      <c r="G758" s="21"/>
      <c r="H758" s="21"/>
      <c r="L758" s="21"/>
      <c r="M758" s="21"/>
      <c r="N758" s="21"/>
      <c r="O758" s="21"/>
      <c r="U758" s="21"/>
      <c r="V758" s="21"/>
      <c r="W758" s="21"/>
      <c r="AA758" s="21"/>
      <c r="AB758" s="21"/>
      <c r="AC758" s="21"/>
      <c r="AD758" s="21"/>
    </row>
    <row r="759" spans="6:30" ht="13.2">
      <c r="F759" s="21"/>
      <c r="G759" s="21"/>
      <c r="H759" s="21"/>
      <c r="L759" s="21"/>
      <c r="M759" s="21"/>
      <c r="N759" s="21"/>
      <c r="O759" s="21"/>
      <c r="U759" s="21"/>
      <c r="V759" s="21"/>
      <c r="W759" s="21"/>
      <c r="AA759" s="21"/>
      <c r="AB759" s="21"/>
      <c r="AC759" s="21"/>
      <c r="AD759" s="21"/>
    </row>
    <row r="760" spans="6:30" ht="13.2">
      <c r="F760" s="21"/>
      <c r="G760" s="21"/>
      <c r="H760" s="21"/>
      <c r="L760" s="21"/>
      <c r="M760" s="21"/>
      <c r="N760" s="21"/>
      <c r="O760" s="21"/>
      <c r="U760" s="21"/>
      <c r="V760" s="21"/>
      <c r="W760" s="21"/>
      <c r="AA760" s="21"/>
      <c r="AB760" s="21"/>
      <c r="AC760" s="21"/>
      <c r="AD760" s="21"/>
    </row>
    <row r="761" spans="6:30" ht="13.2">
      <c r="F761" s="21"/>
      <c r="G761" s="21"/>
      <c r="H761" s="21"/>
      <c r="L761" s="21"/>
      <c r="M761" s="21"/>
      <c r="N761" s="21"/>
      <c r="O761" s="21"/>
      <c r="U761" s="21"/>
      <c r="V761" s="21"/>
      <c r="W761" s="21"/>
      <c r="AA761" s="21"/>
      <c r="AB761" s="21"/>
      <c r="AC761" s="21"/>
      <c r="AD761" s="21"/>
    </row>
    <row r="762" spans="6:30" ht="13.2">
      <c r="F762" s="21"/>
      <c r="G762" s="21"/>
      <c r="H762" s="21"/>
      <c r="L762" s="21"/>
      <c r="M762" s="21"/>
      <c r="N762" s="21"/>
      <c r="O762" s="21"/>
      <c r="U762" s="21"/>
      <c r="V762" s="21"/>
      <c r="W762" s="21"/>
      <c r="AA762" s="21"/>
      <c r="AB762" s="21"/>
      <c r="AC762" s="21"/>
      <c r="AD762" s="21"/>
    </row>
    <row r="763" spans="6:30" ht="13.2">
      <c r="F763" s="21"/>
      <c r="G763" s="21"/>
      <c r="H763" s="21"/>
      <c r="L763" s="21"/>
      <c r="M763" s="21"/>
      <c r="N763" s="21"/>
      <c r="O763" s="21"/>
      <c r="U763" s="21"/>
      <c r="V763" s="21"/>
      <c r="W763" s="21"/>
      <c r="AA763" s="21"/>
      <c r="AB763" s="21"/>
      <c r="AC763" s="21"/>
      <c r="AD763" s="21"/>
    </row>
    <row r="764" spans="6:30" ht="13.2">
      <c r="F764" s="21"/>
      <c r="G764" s="21"/>
      <c r="H764" s="21"/>
      <c r="L764" s="21"/>
      <c r="M764" s="21"/>
      <c r="N764" s="21"/>
      <c r="O764" s="21"/>
      <c r="U764" s="21"/>
      <c r="V764" s="21"/>
      <c r="W764" s="21"/>
      <c r="AA764" s="21"/>
      <c r="AB764" s="21"/>
      <c r="AC764" s="21"/>
      <c r="AD764" s="21"/>
    </row>
    <row r="765" spans="6:30" ht="13.2">
      <c r="F765" s="21"/>
      <c r="G765" s="21"/>
      <c r="H765" s="21"/>
      <c r="L765" s="21"/>
      <c r="M765" s="21"/>
      <c r="N765" s="21"/>
      <c r="O765" s="21"/>
      <c r="U765" s="21"/>
      <c r="V765" s="21"/>
      <c r="W765" s="21"/>
      <c r="AA765" s="21"/>
      <c r="AB765" s="21"/>
      <c r="AC765" s="21"/>
      <c r="AD765" s="21"/>
    </row>
    <row r="766" spans="6:30" ht="13.2">
      <c r="F766" s="21"/>
      <c r="G766" s="21"/>
      <c r="H766" s="21"/>
      <c r="L766" s="21"/>
      <c r="M766" s="21"/>
      <c r="N766" s="21"/>
      <c r="O766" s="21"/>
      <c r="U766" s="21"/>
      <c r="V766" s="21"/>
      <c r="W766" s="21"/>
      <c r="AA766" s="21"/>
      <c r="AB766" s="21"/>
      <c r="AC766" s="21"/>
      <c r="AD766" s="21"/>
    </row>
    <row r="767" spans="6:30" ht="13.2">
      <c r="F767" s="21"/>
      <c r="G767" s="21"/>
      <c r="H767" s="21"/>
      <c r="L767" s="21"/>
      <c r="M767" s="21"/>
      <c r="N767" s="21"/>
      <c r="O767" s="21"/>
      <c r="U767" s="21"/>
      <c r="V767" s="21"/>
      <c r="W767" s="21"/>
      <c r="AA767" s="21"/>
      <c r="AB767" s="21"/>
      <c r="AC767" s="21"/>
      <c r="AD767" s="21"/>
    </row>
    <row r="768" spans="6:30" ht="13.2">
      <c r="F768" s="21"/>
      <c r="G768" s="21"/>
      <c r="H768" s="21"/>
      <c r="L768" s="21"/>
      <c r="M768" s="21"/>
      <c r="N768" s="21"/>
      <c r="O768" s="21"/>
      <c r="U768" s="21"/>
      <c r="V768" s="21"/>
      <c r="W768" s="21"/>
      <c r="AA768" s="21"/>
      <c r="AB768" s="21"/>
      <c r="AC768" s="21"/>
      <c r="AD768" s="21"/>
    </row>
    <row r="769" spans="6:30" ht="13.2">
      <c r="F769" s="21"/>
      <c r="G769" s="21"/>
      <c r="H769" s="21"/>
      <c r="L769" s="21"/>
      <c r="M769" s="21"/>
      <c r="N769" s="21"/>
      <c r="O769" s="21"/>
      <c r="U769" s="21"/>
      <c r="V769" s="21"/>
      <c r="W769" s="21"/>
      <c r="AA769" s="21"/>
      <c r="AB769" s="21"/>
      <c r="AC769" s="21"/>
      <c r="AD769" s="21"/>
    </row>
    <row r="770" spans="6:30" ht="13.2">
      <c r="F770" s="21"/>
      <c r="G770" s="21"/>
      <c r="H770" s="21"/>
      <c r="L770" s="21"/>
      <c r="M770" s="21"/>
      <c r="N770" s="21"/>
      <c r="O770" s="21"/>
      <c r="U770" s="21"/>
      <c r="V770" s="21"/>
      <c r="W770" s="21"/>
      <c r="AA770" s="21"/>
      <c r="AB770" s="21"/>
      <c r="AC770" s="21"/>
      <c r="AD770" s="21"/>
    </row>
    <row r="771" spans="6:30" ht="13.2">
      <c r="F771" s="21"/>
      <c r="G771" s="21"/>
      <c r="H771" s="21"/>
      <c r="L771" s="21"/>
      <c r="M771" s="21"/>
      <c r="N771" s="21"/>
      <c r="O771" s="21"/>
      <c r="U771" s="21"/>
      <c r="V771" s="21"/>
      <c r="W771" s="21"/>
      <c r="AA771" s="21"/>
      <c r="AB771" s="21"/>
      <c r="AC771" s="21"/>
      <c r="AD771" s="21"/>
    </row>
    <row r="772" spans="6:30" ht="13.2">
      <c r="F772" s="21"/>
      <c r="G772" s="21"/>
      <c r="H772" s="21"/>
      <c r="L772" s="21"/>
      <c r="M772" s="21"/>
      <c r="N772" s="21"/>
      <c r="O772" s="21"/>
      <c r="U772" s="21"/>
      <c r="V772" s="21"/>
      <c r="W772" s="21"/>
      <c r="AA772" s="21"/>
      <c r="AB772" s="21"/>
      <c r="AC772" s="21"/>
      <c r="AD772" s="21"/>
    </row>
    <row r="773" spans="6:30" ht="13.2">
      <c r="F773" s="21"/>
      <c r="G773" s="21"/>
      <c r="H773" s="21"/>
      <c r="L773" s="21"/>
      <c r="M773" s="21"/>
      <c r="N773" s="21"/>
      <c r="O773" s="21"/>
      <c r="U773" s="21"/>
      <c r="V773" s="21"/>
      <c r="W773" s="21"/>
      <c r="AA773" s="21"/>
      <c r="AB773" s="21"/>
      <c r="AC773" s="21"/>
      <c r="AD773" s="21"/>
    </row>
    <row r="774" spans="6:30" ht="13.2">
      <c r="F774" s="21"/>
      <c r="G774" s="21"/>
      <c r="H774" s="21"/>
      <c r="L774" s="21"/>
      <c r="M774" s="21"/>
      <c r="N774" s="21"/>
      <c r="O774" s="21"/>
      <c r="U774" s="21"/>
      <c r="V774" s="21"/>
      <c r="W774" s="21"/>
      <c r="AA774" s="21"/>
      <c r="AB774" s="21"/>
      <c r="AC774" s="21"/>
      <c r="AD774" s="21"/>
    </row>
    <row r="775" spans="6:30" ht="13.2">
      <c r="F775" s="21"/>
      <c r="G775" s="21"/>
      <c r="H775" s="21"/>
      <c r="L775" s="21"/>
      <c r="M775" s="21"/>
      <c r="N775" s="21"/>
      <c r="O775" s="21"/>
      <c r="U775" s="21"/>
      <c r="V775" s="21"/>
      <c r="W775" s="21"/>
      <c r="AA775" s="21"/>
      <c r="AB775" s="21"/>
      <c r="AC775" s="21"/>
      <c r="AD775" s="21"/>
    </row>
    <row r="776" spans="6:30" ht="13.2">
      <c r="F776" s="21"/>
      <c r="G776" s="21"/>
      <c r="H776" s="21"/>
      <c r="L776" s="21"/>
      <c r="M776" s="21"/>
      <c r="N776" s="21"/>
      <c r="O776" s="21"/>
      <c r="U776" s="21"/>
      <c r="V776" s="21"/>
      <c r="W776" s="21"/>
      <c r="AA776" s="21"/>
      <c r="AB776" s="21"/>
      <c r="AC776" s="21"/>
      <c r="AD776" s="21"/>
    </row>
    <row r="777" spans="6:30" ht="13.2">
      <c r="F777" s="21"/>
      <c r="G777" s="21"/>
      <c r="H777" s="21"/>
      <c r="L777" s="21"/>
      <c r="M777" s="21"/>
      <c r="N777" s="21"/>
      <c r="O777" s="21"/>
      <c r="U777" s="21"/>
      <c r="V777" s="21"/>
      <c r="W777" s="21"/>
      <c r="AA777" s="21"/>
      <c r="AB777" s="21"/>
      <c r="AC777" s="21"/>
      <c r="AD777" s="21"/>
    </row>
    <row r="778" spans="6:30" ht="13.2">
      <c r="F778" s="21"/>
      <c r="G778" s="21"/>
      <c r="H778" s="21"/>
      <c r="L778" s="21"/>
      <c r="M778" s="21"/>
      <c r="N778" s="21"/>
      <c r="O778" s="21"/>
      <c r="U778" s="21"/>
      <c r="V778" s="21"/>
      <c r="W778" s="21"/>
      <c r="AA778" s="21"/>
      <c r="AB778" s="21"/>
      <c r="AC778" s="21"/>
      <c r="AD778" s="21"/>
    </row>
    <row r="779" spans="6:30" ht="13.2">
      <c r="F779" s="21"/>
      <c r="G779" s="21"/>
      <c r="H779" s="21"/>
      <c r="L779" s="21"/>
      <c r="M779" s="21"/>
      <c r="N779" s="21"/>
      <c r="O779" s="21"/>
      <c r="U779" s="21"/>
      <c r="V779" s="21"/>
      <c r="W779" s="21"/>
      <c r="AA779" s="21"/>
      <c r="AB779" s="21"/>
      <c r="AC779" s="21"/>
      <c r="AD779" s="21"/>
    </row>
    <row r="780" spans="6:30" ht="13.2">
      <c r="F780" s="21"/>
      <c r="G780" s="21"/>
      <c r="H780" s="21"/>
      <c r="L780" s="21"/>
      <c r="M780" s="21"/>
      <c r="N780" s="21"/>
      <c r="O780" s="21"/>
      <c r="U780" s="21"/>
      <c r="V780" s="21"/>
      <c r="W780" s="21"/>
      <c r="AA780" s="21"/>
      <c r="AB780" s="21"/>
      <c r="AC780" s="21"/>
      <c r="AD780" s="21"/>
    </row>
    <row r="781" spans="6:30" ht="13.2">
      <c r="F781" s="21"/>
      <c r="G781" s="21"/>
      <c r="H781" s="21"/>
      <c r="L781" s="21"/>
      <c r="M781" s="21"/>
      <c r="N781" s="21"/>
      <c r="O781" s="21"/>
      <c r="U781" s="21"/>
      <c r="V781" s="21"/>
      <c r="W781" s="21"/>
      <c r="AA781" s="21"/>
      <c r="AB781" s="21"/>
      <c r="AC781" s="21"/>
      <c r="AD781" s="21"/>
    </row>
    <row r="782" spans="6:30" ht="13.2">
      <c r="F782" s="21"/>
      <c r="G782" s="21"/>
      <c r="H782" s="21"/>
      <c r="L782" s="21"/>
      <c r="M782" s="21"/>
      <c r="N782" s="21"/>
      <c r="O782" s="21"/>
      <c r="U782" s="21"/>
      <c r="V782" s="21"/>
      <c r="W782" s="21"/>
      <c r="AA782" s="21"/>
      <c r="AB782" s="21"/>
      <c r="AC782" s="21"/>
      <c r="AD782" s="21"/>
    </row>
    <row r="783" spans="6:30" ht="13.2">
      <c r="F783" s="21"/>
      <c r="G783" s="21"/>
      <c r="H783" s="21"/>
      <c r="L783" s="21"/>
      <c r="M783" s="21"/>
      <c r="N783" s="21"/>
      <c r="O783" s="21"/>
      <c r="U783" s="21"/>
      <c r="V783" s="21"/>
      <c r="W783" s="21"/>
      <c r="AA783" s="21"/>
      <c r="AB783" s="21"/>
      <c r="AC783" s="21"/>
      <c r="AD783" s="21"/>
    </row>
    <row r="784" spans="6:30" ht="13.2">
      <c r="F784" s="21"/>
      <c r="G784" s="21"/>
      <c r="H784" s="21"/>
      <c r="L784" s="21"/>
      <c r="M784" s="21"/>
      <c r="N784" s="21"/>
      <c r="O784" s="21"/>
      <c r="U784" s="21"/>
      <c r="V784" s="21"/>
      <c r="W784" s="21"/>
      <c r="AA784" s="21"/>
      <c r="AB784" s="21"/>
      <c r="AC784" s="21"/>
      <c r="AD784" s="21"/>
    </row>
    <row r="785" spans="6:30" ht="13.2">
      <c r="F785" s="21"/>
      <c r="G785" s="21"/>
      <c r="H785" s="21"/>
      <c r="L785" s="21"/>
      <c r="M785" s="21"/>
      <c r="N785" s="21"/>
      <c r="O785" s="21"/>
      <c r="U785" s="21"/>
      <c r="V785" s="21"/>
      <c r="W785" s="21"/>
      <c r="AA785" s="21"/>
      <c r="AB785" s="21"/>
      <c r="AC785" s="21"/>
      <c r="AD785" s="21"/>
    </row>
    <row r="786" spans="6:30" ht="13.2">
      <c r="F786" s="21"/>
      <c r="G786" s="21"/>
      <c r="H786" s="21"/>
      <c r="L786" s="21"/>
      <c r="M786" s="21"/>
      <c r="N786" s="21"/>
      <c r="O786" s="21"/>
      <c r="U786" s="21"/>
      <c r="V786" s="21"/>
      <c r="W786" s="21"/>
      <c r="AA786" s="21"/>
      <c r="AB786" s="21"/>
      <c r="AC786" s="21"/>
      <c r="AD786" s="21"/>
    </row>
    <row r="787" spans="6:30" ht="13.2">
      <c r="F787" s="21"/>
      <c r="G787" s="21"/>
      <c r="H787" s="21"/>
      <c r="L787" s="21"/>
      <c r="M787" s="21"/>
      <c r="N787" s="21"/>
      <c r="O787" s="21"/>
      <c r="U787" s="21"/>
      <c r="V787" s="21"/>
      <c r="W787" s="21"/>
      <c r="AA787" s="21"/>
      <c r="AB787" s="21"/>
      <c r="AC787" s="21"/>
      <c r="AD787" s="21"/>
    </row>
    <row r="788" spans="6:30" ht="13.2">
      <c r="F788" s="21"/>
      <c r="G788" s="21"/>
      <c r="H788" s="21"/>
      <c r="L788" s="21"/>
      <c r="M788" s="21"/>
      <c r="N788" s="21"/>
      <c r="O788" s="21"/>
      <c r="U788" s="21"/>
      <c r="V788" s="21"/>
      <c r="W788" s="21"/>
      <c r="AA788" s="21"/>
      <c r="AB788" s="21"/>
      <c r="AC788" s="21"/>
      <c r="AD788" s="21"/>
    </row>
    <row r="789" spans="6:30" ht="13.2">
      <c r="F789" s="21"/>
      <c r="G789" s="21"/>
      <c r="H789" s="21"/>
      <c r="L789" s="21"/>
      <c r="M789" s="21"/>
      <c r="N789" s="21"/>
      <c r="O789" s="21"/>
      <c r="U789" s="21"/>
      <c r="V789" s="21"/>
      <c r="W789" s="21"/>
      <c r="AA789" s="21"/>
      <c r="AB789" s="21"/>
      <c r="AC789" s="21"/>
      <c r="AD789" s="21"/>
    </row>
    <row r="790" spans="6:30" ht="13.2">
      <c r="F790" s="21"/>
      <c r="G790" s="21"/>
      <c r="H790" s="21"/>
      <c r="L790" s="21"/>
      <c r="M790" s="21"/>
      <c r="N790" s="21"/>
      <c r="O790" s="21"/>
      <c r="U790" s="21"/>
      <c r="V790" s="21"/>
      <c r="W790" s="21"/>
      <c r="AA790" s="21"/>
      <c r="AB790" s="21"/>
      <c r="AC790" s="21"/>
      <c r="AD790" s="21"/>
    </row>
    <row r="791" spans="6:30" ht="13.2">
      <c r="F791" s="21"/>
      <c r="G791" s="21"/>
      <c r="H791" s="21"/>
      <c r="L791" s="21"/>
      <c r="M791" s="21"/>
      <c r="N791" s="21"/>
      <c r="O791" s="21"/>
      <c r="U791" s="21"/>
      <c r="V791" s="21"/>
      <c r="W791" s="21"/>
      <c r="AA791" s="21"/>
      <c r="AB791" s="21"/>
      <c r="AC791" s="21"/>
      <c r="AD791" s="21"/>
    </row>
    <row r="792" spans="6:30" ht="13.2">
      <c r="F792" s="21"/>
      <c r="G792" s="21"/>
      <c r="H792" s="21"/>
      <c r="L792" s="21"/>
      <c r="M792" s="21"/>
      <c r="N792" s="21"/>
      <c r="O792" s="21"/>
      <c r="U792" s="21"/>
      <c r="V792" s="21"/>
      <c r="W792" s="21"/>
      <c r="AA792" s="21"/>
      <c r="AB792" s="21"/>
      <c r="AC792" s="21"/>
      <c r="AD792" s="21"/>
    </row>
    <row r="793" spans="6:30" ht="13.2">
      <c r="F793" s="21"/>
      <c r="G793" s="21"/>
      <c r="H793" s="21"/>
      <c r="L793" s="21"/>
      <c r="M793" s="21"/>
      <c r="N793" s="21"/>
      <c r="O793" s="21"/>
      <c r="U793" s="21"/>
      <c r="V793" s="21"/>
      <c r="W793" s="21"/>
      <c r="AA793" s="21"/>
      <c r="AB793" s="21"/>
      <c r="AC793" s="21"/>
      <c r="AD793" s="21"/>
    </row>
    <row r="794" spans="6:30" ht="13.2">
      <c r="F794" s="21"/>
      <c r="G794" s="21"/>
      <c r="H794" s="21"/>
      <c r="L794" s="21"/>
      <c r="M794" s="21"/>
      <c r="N794" s="21"/>
      <c r="O794" s="21"/>
      <c r="U794" s="21"/>
      <c r="V794" s="21"/>
      <c r="W794" s="21"/>
      <c r="AA794" s="21"/>
      <c r="AB794" s="21"/>
      <c r="AC794" s="21"/>
      <c r="AD794" s="21"/>
    </row>
    <row r="795" spans="6:30" ht="13.2">
      <c r="F795" s="21"/>
      <c r="G795" s="21"/>
      <c r="H795" s="21"/>
      <c r="L795" s="21"/>
      <c r="M795" s="21"/>
      <c r="N795" s="21"/>
      <c r="O795" s="21"/>
      <c r="U795" s="21"/>
      <c r="V795" s="21"/>
      <c r="W795" s="21"/>
      <c r="AA795" s="21"/>
      <c r="AB795" s="21"/>
      <c r="AC795" s="21"/>
      <c r="AD795" s="21"/>
    </row>
    <row r="796" spans="6:30" ht="13.2">
      <c r="F796" s="21"/>
      <c r="G796" s="21"/>
      <c r="H796" s="21"/>
      <c r="L796" s="21"/>
      <c r="M796" s="21"/>
      <c r="N796" s="21"/>
      <c r="O796" s="21"/>
      <c r="U796" s="21"/>
      <c r="V796" s="21"/>
      <c r="W796" s="21"/>
      <c r="AA796" s="21"/>
      <c r="AB796" s="21"/>
      <c r="AC796" s="21"/>
      <c r="AD796" s="21"/>
    </row>
    <row r="797" spans="6:30" ht="13.2">
      <c r="F797" s="21"/>
      <c r="G797" s="21"/>
      <c r="H797" s="21"/>
      <c r="L797" s="21"/>
      <c r="M797" s="21"/>
      <c r="N797" s="21"/>
      <c r="O797" s="21"/>
      <c r="U797" s="21"/>
      <c r="V797" s="21"/>
      <c r="W797" s="21"/>
      <c r="AA797" s="21"/>
      <c r="AB797" s="21"/>
      <c r="AC797" s="21"/>
      <c r="AD797" s="21"/>
    </row>
    <row r="798" spans="6:30" ht="13.2">
      <c r="F798" s="21"/>
      <c r="G798" s="21"/>
      <c r="H798" s="21"/>
      <c r="L798" s="21"/>
      <c r="M798" s="21"/>
      <c r="N798" s="21"/>
      <c r="O798" s="21"/>
      <c r="U798" s="21"/>
      <c r="V798" s="21"/>
      <c r="W798" s="21"/>
      <c r="AA798" s="21"/>
      <c r="AB798" s="21"/>
      <c r="AC798" s="21"/>
      <c r="AD798" s="21"/>
    </row>
    <row r="799" spans="6:30" ht="13.2">
      <c r="F799" s="21"/>
      <c r="G799" s="21"/>
      <c r="H799" s="21"/>
      <c r="L799" s="21"/>
      <c r="M799" s="21"/>
      <c r="N799" s="21"/>
      <c r="O799" s="21"/>
      <c r="U799" s="21"/>
      <c r="V799" s="21"/>
      <c r="W799" s="21"/>
      <c r="AA799" s="21"/>
      <c r="AB799" s="21"/>
      <c r="AC799" s="21"/>
      <c r="AD799" s="21"/>
    </row>
    <row r="800" spans="6:30" ht="13.2">
      <c r="F800" s="21"/>
      <c r="G800" s="21"/>
      <c r="H800" s="21"/>
      <c r="L800" s="21"/>
      <c r="M800" s="21"/>
      <c r="N800" s="21"/>
      <c r="O800" s="21"/>
      <c r="U800" s="21"/>
      <c r="V800" s="21"/>
      <c r="W800" s="21"/>
      <c r="AA800" s="21"/>
      <c r="AB800" s="21"/>
      <c r="AC800" s="21"/>
      <c r="AD800" s="21"/>
    </row>
    <row r="801" spans="6:30" ht="13.2">
      <c r="F801" s="21"/>
      <c r="G801" s="21"/>
      <c r="H801" s="21"/>
      <c r="L801" s="21"/>
      <c r="M801" s="21"/>
      <c r="N801" s="21"/>
      <c r="O801" s="21"/>
      <c r="U801" s="21"/>
      <c r="V801" s="21"/>
      <c r="W801" s="21"/>
      <c r="AA801" s="21"/>
      <c r="AB801" s="21"/>
      <c r="AC801" s="21"/>
      <c r="AD801" s="21"/>
    </row>
    <row r="802" spans="6:30" ht="13.2">
      <c r="F802" s="21"/>
      <c r="G802" s="21"/>
      <c r="H802" s="21"/>
      <c r="L802" s="21"/>
      <c r="M802" s="21"/>
      <c r="N802" s="21"/>
      <c r="O802" s="21"/>
      <c r="U802" s="21"/>
      <c r="V802" s="21"/>
      <c r="W802" s="21"/>
      <c r="AA802" s="21"/>
      <c r="AB802" s="21"/>
      <c r="AC802" s="21"/>
      <c r="AD802" s="21"/>
    </row>
    <row r="803" spans="6:30" ht="13.2">
      <c r="F803" s="21"/>
      <c r="G803" s="21"/>
      <c r="H803" s="21"/>
      <c r="L803" s="21"/>
      <c r="M803" s="21"/>
      <c r="N803" s="21"/>
      <c r="O803" s="21"/>
      <c r="U803" s="21"/>
      <c r="V803" s="21"/>
      <c r="W803" s="21"/>
      <c r="AA803" s="21"/>
      <c r="AB803" s="21"/>
      <c r="AC803" s="21"/>
      <c r="AD803" s="21"/>
    </row>
    <row r="804" spans="6:30" ht="13.2">
      <c r="F804" s="21"/>
      <c r="G804" s="21"/>
      <c r="H804" s="21"/>
      <c r="L804" s="21"/>
      <c r="M804" s="21"/>
      <c r="N804" s="21"/>
      <c r="O804" s="21"/>
      <c r="U804" s="21"/>
      <c r="V804" s="21"/>
      <c r="W804" s="21"/>
      <c r="AA804" s="21"/>
      <c r="AB804" s="21"/>
      <c r="AC804" s="21"/>
      <c r="AD804" s="21"/>
    </row>
    <row r="805" spans="6:30" ht="13.2">
      <c r="F805" s="21"/>
      <c r="G805" s="21"/>
      <c r="H805" s="21"/>
      <c r="L805" s="21"/>
      <c r="M805" s="21"/>
      <c r="N805" s="21"/>
      <c r="O805" s="21"/>
      <c r="U805" s="21"/>
      <c r="V805" s="21"/>
      <c r="W805" s="21"/>
      <c r="AA805" s="21"/>
      <c r="AB805" s="21"/>
      <c r="AC805" s="21"/>
      <c r="AD805" s="21"/>
    </row>
    <row r="806" spans="6:30" ht="13.2">
      <c r="F806" s="21"/>
      <c r="G806" s="21"/>
      <c r="H806" s="21"/>
      <c r="L806" s="21"/>
      <c r="M806" s="21"/>
      <c r="N806" s="21"/>
      <c r="O806" s="21"/>
      <c r="U806" s="21"/>
      <c r="V806" s="21"/>
      <c r="W806" s="21"/>
      <c r="AA806" s="21"/>
      <c r="AB806" s="21"/>
      <c r="AC806" s="21"/>
      <c r="AD806" s="21"/>
    </row>
    <row r="807" spans="6:30" ht="13.2">
      <c r="F807" s="21"/>
      <c r="G807" s="21"/>
      <c r="H807" s="21"/>
      <c r="L807" s="21"/>
      <c r="M807" s="21"/>
      <c r="N807" s="21"/>
      <c r="O807" s="21"/>
      <c r="U807" s="21"/>
      <c r="V807" s="21"/>
      <c r="W807" s="21"/>
      <c r="AA807" s="21"/>
      <c r="AB807" s="21"/>
      <c r="AC807" s="21"/>
      <c r="AD807" s="21"/>
    </row>
    <row r="808" spans="6:30" ht="13.2">
      <c r="F808" s="21"/>
      <c r="G808" s="21"/>
      <c r="H808" s="21"/>
      <c r="L808" s="21"/>
      <c r="M808" s="21"/>
      <c r="N808" s="21"/>
      <c r="O808" s="21"/>
      <c r="U808" s="21"/>
      <c r="V808" s="21"/>
      <c r="W808" s="21"/>
      <c r="AA808" s="21"/>
      <c r="AB808" s="21"/>
      <c r="AC808" s="21"/>
      <c r="AD808" s="21"/>
    </row>
    <row r="809" spans="6:30" ht="13.2">
      <c r="F809" s="21"/>
      <c r="G809" s="21"/>
      <c r="H809" s="21"/>
      <c r="L809" s="21"/>
      <c r="M809" s="21"/>
      <c r="N809" s="21"/>
      <c r="O809" s="21"/>
      <c r="U809" s="21"/>
      <c r="V809" s="21"/>
      <c r="W809" s="21"/>
      <c r="AA809" s="21"/>
      <c r="AB809" s="21"/>
      <c r="AC809" s="21"/>
      <c r="AD809" s="21"/>
    </row>
    <row r="810" spans="6:30" ht="13.2">
      <c r="F810" s="21"/>
      <c r="G810" s="21"/>
      <c r="H810" s="21"/>
      <c r="L810" s="21"/>
      <c r="M810" s="21"/>
      <c r="N810" s="21"/>
      <c r="O810" s="21"/>
      <c r="U810" s="21"/>
      <c r="V810" s="21"/>
      <c r="W810" s="21"/>
      <c r="AA810" s="21"/>
      <c r="AB810" s="21"/>
      <c r="AC810" s="21"/>
      <c r="AD810" s="21"/>
    </row>
    <row r="811" spans="6:30" ht="13.2">
      <c r="F811" s="21"/>
      <c r="G811" s="21"/>
      <c r="H811" s="21"/>
      <c r="L811" s="21"/>
      <c r="M811" s="21"/>
      <c r="N811" s="21"/>
      <c r="O811" s="21"/>
      <c r="U811" s="21"/>
      <c r="V811" s="21"/>
      <c r="W811" s="21"/>
      <c r="AA811" s="21"/>
      <c r="AB811" s="21"/>
      <c r="AC811" s="21"/>
      <c r="AD811" s="21"/>
    </row>
    <row r="812" spans="6:30" ht="13.2">
      <c r="F812" s="21"/>
      <c r="G812" s="21"/>
      <c r="H812" s="21"/>
      <c r="L812" s="21"/>
      <c r="M812" s="21"/>
      <c r="N812" s="21"/>
      <c r="O812" s="21"/>
      <c r="U812" s="21"/>
      <c r="V812" s="21"/>
      <c r="W812" s="21"/>
      <c r="AA812" s="21"/>
      <c r="AB812" s="21"/>
      <c r="AC812" s="21"/>
      <c r="AD812" s="21"/>
    </row>
    <row r="813" spans="6:30" ht="13.2">
      <c r="F813" s="21"/>
      <c r="G813" s="21"/>
      <c r="H813" s="21"/>
      <c r="L813" s="21"/>
      <c r="M813" s="21"/>
      <c r="N813" s="21"/>
      <c r="O813" s="21"/>
      <c r="U813" s="21"/>
      <c r="V813" s="21"/>
      <c r="W813" s="21"/>
      <c r="AA813" s="21"/>
      <c r="AB813" s="21"/>
      <c r="AC813" s="21"/>
      <c r="AD813" s="21"/>
    </row>
    <row r="814" spans="6:30" ht="13.2">
      <c r="F814" s="21"/>
      <c r="G814" s="21"/>
      <c r="H814" s="21"/>
      <c r="L814" s="21"/>
      <c r="M814" s="21"/>
      <c r="N814" s="21"/>
      <c r="O814" s="21"/>
      <c r="U814" s="21"/>
      <c r="V814" s="21"/>
      <c r="W814" s="21"/>
      <c r="AA814" s="21"/>
      <c r="AB814" s="21"/>
      <c r="AC814" s="21"/>
      <c r="AD814" s="21"/>
    </row>
    <row r="815" spans="6:30" ht="13.2">
      <c r="F815" s="21"/>
      <c r="G815" s="21"/>
      <c r="H815" s="21"/>
      <c r="L815" s="21"/>
      <c r="M815" s="21"/>
      <c r="N815" s="21"/>
      <c r="O815" s="21"/>
      <c r="U815" s="21"/>
      <c r="V815" s="21"/>
      <c r="W815" s="21"/>
      <c r="AA815" s="21"/>
      <c r="AB815" s="21"/>
      <c r="AC815" s="21"/>
      <c r="AD815" s="21"/>
    </row>
    <row r="816" spans="6:30" ht="13.2">
      <c r="F816" s="21"/>
      <c r="G816" s="21"/>
      <c r="H816" s="21"/>
      <c r="L816" s="21"/>
      <c r="M816" s="21"/>
      <c r="N816" s="21"/>
      <c r="O816" s="21"/>
      <c r="U816" s="21"/>
      <c r="V816" s="21"/>
      <c r="W816" s="21"/>
      <c r="AA816" s="21"/>
      <c r="AB816" s="21"/>
      <c r="AC816" s="21"/>
      <c r="AD816" s="21"/>
    </row>
    <row r="817" spans="6:30" ht="13.2">
      <c r="F817" s="21"/>
      <c r="G817" s="21"/>
      <c r="H817" s="21"/>
      <c r="L817" s="21"/>
      <c r="M817" s="21"/>
      <c r="N817" s="21"/>
      <c r="O817" s="21"/>
      <c r="U817" s="21"/>
      <c r="V817" s="21"/>
      <c r="W817" s="21"/>
      <c r="AA817" s="21"/>
      <c r="AB817" s="21"/>
      <c r="AC817" s="21"/>
      <c r="AD817" s="21"/>
    </row>
    <row r="818" spans="6:30" ht="13.2">
      <c r="F818" s="21"/>
      <c r="G818" s="21"/>
      <c r="H818" s="21"/>
      <c r="L818" s="21"/>
      <c r="M818" s="21"/>
      <c r="N818" s="21"/>
      <c r="O818" s="21"/>
      <c r="U818" s="21"/>
      <c r="V818" s="21"/>
      <c r="W818" s="21"/>
      <c r="AA818" s="21"/>
      <c r="AB818" s="21"/>
      <c r="AC818" s="21"/>
      <c r="AD818" s="21"/>
    </row>
    <row r="819" spans="6:30" ht="13.2">
      <c r="F819" s="21"/>
      <c r="G819" s="21"/>
      <c r="H819" s="21"/>
      <c r="L819" s="21"/>
      <c r="M819" s="21"/>
      <c r="N819" s="21"/>
      <c r="O819" s="21"/>
      <c r="U819" s="21"/>
      <c r="V819" s="21"/>
      <c r="W819" s="21"/>
      <c r="AA819" s="21"/>
      <c r="AB819" s="21"/>
      <c r="AC819" s="21"/>
      <c r="AD819" s="21"/>
    </row>
    <row r="820" spans="6:30" ht="13.2">
      <c r="F820" s="21"/>
      <c r="G820" s="21"/>
      <c r="H820" s="21"/>
      <c r="L820" s="21"/>
      <c r="M820" s="21"/>
      <c r="N820" s="21"/>
      <c r="O820" s="21"/>
      <c r="U820" s="21"/>
      <c r="V820" s="21"/>
      <c r="W820" s="21"/>
      <c r="AA820" s="21"/>
      <c r="AB820" s="21"/>
      <c r="AC820" s="21"/>
      <c r="AD820" s="21"/>
    </row>
    <row r="821" spans="6:30" ht="13.2">
      <c r="F821" s="21"/>
      <c r="G821" s="21"/>
      <c r="H821" s="21"/>
      <c r="L821" s="21"/>
      <c r="M821" s="21"/>
      <c r="N821" s="21"/>
      <c r="O821" s="21"/>
      <c r="U821" s="21"/>
      <c r="V821" s="21"/>
      <c r="W821" s="21"/>
      <c r="AA821" s="21"/>
      <c r="AB821" s="21"/>
      <c r="AC821" s="21"/>
      <c r="AD821" s="21"/>
    </row>
    <row r="822" spans="6:30" ht="13.2">
      <c r="F822" s="21"/>
      <c r="G822" s="21"/>
      <c r="H822" s="21"/>
      <c r="L822" s="21"/>
      <c r="M822" s="21"/>
      <c r="N822" s="21"/>
      <c r="O822" s="21"/>
      <c r="U822" s="21"/>
      <c r="V822" s="21"/>
      <c r="W822" s="21"/>
      <c r="AA822" s="21"/>
      <c r="AB822" s="21"/>
      <c r="AC822" s="21"/>
      <c r="AD822" s="21"/>
    </row>
    <row r="823" spans="6:30" ht="13.2">
      <c r="F823" s="21"/>
      <c r="G823" s="21"/>
      <c r="H823" s="21"/>
      <c r="L823" s="21"/>
      <c r="M823" s="21"/>
      <c r="N823" s="21"/>
      <c r="O823" s="21"/>
      <c r="U823" s="21"/>
      <c r="V823" s="21"/>
      <c r="W823" s="21"/>
      <c r="AA823" s="21"/>
      <c r="AB823" s="21"/>
      <c r="AC823" s="21"/>
      <c r="AD823" s="21"/>
    </row>
    <row r="824" spans="6:30" ht="13.2">
      <c r="F824" s="21"/>
      <c r="G824" s="21"/>
      <c r="H824" s="21"/>
      <c r="L824" s="21"/>
      <c r="M824" s="21"/>
      <c r="N824" s="21"/>
      <c r="O824" s="21"/>
      <c r="U824" s="21"/>
      <c r="V824" s="21"/>
      <c r="W824" s="21"/>
      <c r="AA824" s="21"/>
      <c r="AB824" s="21"/>
      <c r="AC824" s="21"/>
      <c r="AD824" s="21"/>
    </row>
    <row r="825" spans="6:30" ht="13.2">
      <c r="F825" s="21"/>
      <c r="G825" s="21"/>
      <c r="H825" s="21"/>
      <c r="L825" s="21"/>
      <c r="M825" s="21"/>
      <c r="N825" s="21"/>
      <c r="O825" s="21"/>
      <c r="U825" s="21"/>
      <c r="V825" s="21"/>
      <c r="W825" s="21"/>
      <c r="AA825" s="21"/>
      <c r="AB825" s="21"/>
      <c r="AC825" s="21"/>
      <c r="AD825" s="21"/>
    </row>
    <row r="826" spans="6:30" ht="13.2">
      <c r="F826" s="21"/>
      <c r="G826" s="21"/>
      <c r="H826" s="21"/>
      <c r="L826" s="21"/>
      <c r="M826" s="21"/>
      <c r="N826" s="21"/>
      <c r="O826" s="21"/>
      <c r="U826" s="21"/>
      <c r="V826" s="21"/>
      <c r="W826" s="21"/>
      <c r="AA826" s="21"/>
      <c r="AB826" s="21"/>
      <c r="AC826" s="21"/>
      <c r="AD826" s="21"/>
    </row>
    <row r="827" spans="6:30" ht="13.2">
      <c r="F827" s="21"/>
      <c r="G827" s="21"/>
      <c r="H827" s="21"/>
      <c r="L827" s="21"/>
      <c r="M827" s="21"/>
      <c r="N827" s="21"/>
      <c r="O827" s="21"/>
      <c r="U827" s="21"/>
      <c r="V827" s="21"/>
      <c r="W827" s="21"/>
      <c r="AA827" s="21"/>
      <c r="AB827" s="21"/>
      <c r="AC827" s="21"/>
      <c r="AD827" s="21"/>
    </row>
    <row r="828" spans="6:30" ht="13.2">
      <c r="F828" s="21"/>
      <c r="G828" s="21"/>
      <c r="H828" s="21"/>
      <c r="L828" s="21"/>
      <c r="M828" s="21"/>
      <c r="N828" s="21"/>
      <c r="O828" s="21"/>
      <c r="U828" s="21"/>
      <c r="V828" s="21"/>
      <c r="W828" s="21"/>
      <c r="AA828" s="21"/>
      <c r="AB828" s="21"/>
      <c r="AC828" s="21"/>
      <c r="AD828" s="21"/>
    </row>
    <row r="829" spans="6:30" ht="13.2">
      <c r="F829" s="21"/>
      <c r="G829" s="21"/>
      <c r="H829" s="21"/>
      <c r="L829" s="21"/>
      <c r="M829" s="21"/>
      <c r="N829" s="21"/>
      <c r="O829" s="21"/>
      <c r="U829" s="21"/>
      <c r="V829" s="21"/>
      <c r="W829" s="21"/>
      <c r="AA829" s="21"/>
      <c r="AB829" s="21"/>
      <c r="AC829" s="21"/>
      <c r="AD829" s="21"/>
    </row>
    <row r="830" spans="6:30" ht="13.2">
      <c r="F830" s="21"/>
      <c r="G830" s="21"/>
      <c r="H830" s="21"/>
      <c r="L830" s="21"/>
      <c r="M830" s="21"/>
      <c r="N830" s="21"/>
      <c r="O830" s="21"/>
      <c r="U830" s="21"/>
      <c r="V830" s="21"/>
      <c r="W830" s="21"/>
      <c r="AA830" s="21"/>
      <c r="AB830" s="21"/>
      <c r="AC830" s="21"/>
      <c r="AD830" s="21"/>
    </row>
    <row r="831" spans="6:30" ht="13.2">
      <c r="F831" s="21"/>
      <c r="G831" s="21"/>
      <c r="H831" s="21"/>
      <c r="L831" s="21"/>
      <c r="M831" s="21"/>
      <c r="N831" s="21"/>
      <c r="O831" s="21"/>
      <c r="U831" s="21"/>
      <c r="V831" s="21"/>
      <c r="W831" s="21"/>
      <c r="AA831" s="21"/>
      <c r="AB831" s="21"/>
      <c r="AC831" s="21"/>
      <c r="AD831" s="21"/>
    </row>
    <row r="832" spans="6:30" ht="13.2">
      <c r="F832" s="21"/>
      <c r="G832" s="21"/>
      <c r="H832" s="21"/>
      <c r="L832" s="21"/>
      <c r="M832" s="21"/>
      <c r="N832" s="21"/>
      <c r="O832" s="21"/>
      <c r="U832" s="21"/>
      <c r="V832" s="21"/>
      <c r="W832" s="21"/>
      <c r="AA832" s="21"/>
      <c r="AB832" s="21"/>
      <c r="AC832" s="21"/>
      <c r="AD832" s="21"/>
    </row>
    <row r="833" spans="6:30" ht="13.2">
      <c r="F833" s="21"/>
      <c r="G833" s="21"/>
      <c r="H833" s="21"/>
      <c r="L833" s="21"/>
      <c r="M833" s="21"/>
      <c r="N833" s="21"/>
      <c r="O833" s="21"/>
      <c r="U833" s="21"/>
      <c r="V833" s="21"/>
      <c r="W833" s="21"/>
      <c r="AA833" s="21"/>
      <c r="AB833" s="21"/>
      <c r="AC833" s="21"/>
      <c r="AD833" s="21"/>
    </row>
    <row r="834" spans="6:30" ht="13.2">
      <c r="F834" s="21"/>
      <c r="G834" s="21"/>
      <c r="H834" s="21"/>
      <c r="L834" s="21"/>
      <c r="M834" s="21"/>
      <c r="N834" s="21"/>
      <c r="O834" s="21"/>
      <c r="U834" s="21"/>
      <c r="V834" s="21"/>
      <c r="W834" s="21"/>
      <c r="AA834" s="21"/>
      <c r="AB834" s="21"/>
      <c r="AC834" s="21"/>
      <c r="AD834" s="21"/>
    </row>
    <row r="835" spans="6:30" ht="13.2">
      <c r="F835" s="21"/>
      <c r="G835" s="21"/>
      <c r="H835" s="21"/>
      <c r="L835" s="21"/>
      <c r="M835" s="21"/>
      <c r="N835" s="21"/>
      <c r="O835" s="21"/>
      <c r="U835" s="21"/>
      <c r="V835" s="21"/>
      <c r="W835" s="21"/>
      <c r="AA835" s="21"/>
      <c r="AB835" s="21"/>
      <c r="AC835" s="21"/>
      <c r="AD835" s="21"/>
    </row>
    <row r="836" spans="6:30" ht="13.2">
      <c r="F836" s="21"/>
      <c r="G836" s="21"/>
      <c r="H836" s="21"/>
      <c r="L836" s="21"/>
      <c r="M836" s="21"/>
      <c r="N836" s="21"/>
      <c r="O836" s="21"/>
      <c r="U836" s="21"/>
      <c r="V836" s="21"/>
      <c r="W836" s="21"/>
      <c r="AA836" s="21"/>
      <c r="AB836" s="21"/>
      <c r="AC836" s="21"/>
      <c r="AD836" s="21"/>
    </row>
    <row r="837" spans="6:30" ht="13.2">
      <c r="F837" s="21"/>
      <c r="G837" s="21"/>
      <c r="H837" s="21"/>
      <c r="L837" s="21"/>
      <c r="M837" s="21"/>
      <c r="N837" s="21"/>
      <c r="O837" s="21"/>
      <c r="U837" s="21"/>
      <c r="V837" s="21"/>
      <c r="W837" s="21"/>
      <c r="AA837" s="21"/>
      <c r="AB837" s="21"/>
      <c r="AC837" s="21"/>
      <c r="AD837" s="21"/>
    </row>
    <row r="838" spans="6:30" ht="13.2">
      <c r="F838" s="21"/>
      <c r="G838" s="21"/>
      <c r="H838" s="21"/>
      <c r="L838" s="21"/>
      <c r="M838" s="21"/>
      <c r="N838" s="21"/>
      <c r="O838" s="21"/>
      <c r="U838" s="21"/>
      <c r="V838" s="21"/>
      <c r="W838" s="21"/>
      <c r="AA838" s="21"/>
      <c r="AB838" s="21"/>
      <c r="AC838" s="21"/>
      <c r="AD838" s="21"/>
    </row>
    <row r="839" spans="6:30" ht="13.2">
      <c r="F839" s="21"/>
      <c r="G839" s="21"/>
      <c r="H839" s="21"/>
      <c r="L839" s="21"/>
      <c r="M839" s="21"/>
      <c r="N839" s="21"/>
      <c r="O839" s="21"/>
      <c r="U839" s="21"/>
      <c r="V839" s="21"/>
      <c r="W839" s="21"/>
      <c r="AA839" s="21"/>
      <c r="AB839" s="21"/>
      <c r="AC839" s="21"/>
      <c r="AD839" s="21"/>
    </row>
    <row r="840" spans="6:30" ht="13.2">
      <c r="F840" s="21"/>
      <c r="G840" s="21"/>
      <c r="H840" s="21"/>
      <c r="L840" s="21"/>
      <c r="M840" s="21"/>
      <c r="N840" s="21"/>
      <c r="O840" s="21"/>
      <c r="U840" s="21"/>
      <c r="V840" s="21"/>
      <c r="W840" s="21"/>
      <c r="AA840" s="21"/>
      <c r="AB840" s="21"/>
      <c r="AC840" s="21"/>
      <c r="AD840" s="21"/>
    </row>
    <row r="841" spans="6:30" ht="13.2">
      <c r="F841" s="21"/>
      <c r="G841" s="21"/>
      <c r="H841" s="21"/>
      <c r="L841" s="21"/>
      <c r="M841" s="21"/>
      <c r="N841" s="21"/>
      <c r="O841" s="21"/>
      <c r="U841" s="21"/>
      <c r="V841" s="21"/>
      <c r="W841" s="21"/>
      <c r="AA841" s="21"/>
      <c r="AB841" s="21"/>
      <c r="AC841" s="21"/>
      <c r="AD841" s="21"/>
    </row>
    <row r="842" spans="6:30" ht="13.2">
      <c r="F842" s="21"/>
      <c r="G842" s="21"/>
      <c r="H842" s="21"/>
      <c r="L842" s="21"/>
      <c r="M842" s="21"/>
      <c r="N842" s="21"/>
      <c r="O842" s="21"/>
      <c r="U842" s="21"/>
      <c r="V842" s="21"/>
      <c r="W842" s="21"/>
      <c r="AA842" s="21"/>
      <c r="AB842" s="21"/>
      <c r="AC842" s="21"/>
      <c r="AD842" s="21"/>
    </row>
    <row r="843" spans="6:30" ht="13.2">
      <c r="F843" s="21"/>
      <c r="G843" s="21"/>
      <c r="H843" s="21"/>
      <c r="L843" s="21"/>
      <c r="M843" s="21"/>
      <c r="N843" s="21"/>
      <c r="O843" s="21"/>
      <c r="U843" s="21"/>
      <c r="V843" s="21"/>
      <c r="W843" s="21"/>
      <c r="AA843" s="21"/>
      <c r="AB843" s="21"/>
      <c r="AC843" s="21"/>
      <c r="AD843" s="21"/>
    </row>
    <row r="844" spans="6:30" ht="13.2">
      <c r="F844" s="21"/>
      <c r="G844" s="21"/>
      <c r="H844" s="21"/>
      <c r="L844" s="21"/>
      <c r="M844" s="21"/>
      <c r="N844" s="21"/>
      <c r="O844" s="21"/>
      <c r="U844" s="21"/>
      <c r="V844" s="21"/>
      <c r="W844" s="21"/>
      <c r="AA844" s="21"/>
      <c r="AB844" s="21"/>
      <c r="AC844" s="21"/>
      <c r="AD844" s="21"/>
    </row>
    <row r="845" spans="6:30" ht="13.2">
      <c r="F845" s="21"/>
      <c r="G845" s="21"/>
      <c r="H845" s="21"/>
      <c r="L845" s="21"/>
      <c r="M845" s="21"/>
      <c r="N845" s="21"/>
      <c r="O845" s="21"/>
      <c r="U845" s="21"/>
      <c r="V845" s="21"/>
      <c r="W845" s="21"/>
      <c r="AA845" s="21"/>
      <c r="AB845" s="21"/>
      <c r="AC845" s="21"/>
      <c r="AD845" s="21"/>
    </row>
    <row r="846" spans="6:30" ht="13.2">
      <c r="F846" s="21"/>
      <c r="G846" s="21"/>
      <c r="H846" s="21"/>
      <c r="L846" s="21"/>
      <c r="M846" s="21"/>
      <c r="N846" s="21"/>
      <c r="O846" s="21"/>
      <c r="U846" s="21"/>
      <c r="V846" s="21"/>
      <c r="W846" s="21"/>
      <c r="AA846" s="21"/>
      <c r="AB846" s="21"/>
      <c r="AC846" s="21"/>
      <c r="AD846" s="21"/>
    </row>
    <row r="847" spans="6:30" ht="13.2">
      <c r="F847" s="21"/>
      <c r="G847" s="21"/>
      <c r="H847" s="21"/>
      <c r="L847" s="21"/>
      <c r="M847" s="21"/>
      <c r="N847" s="21"/>
      <c r="O847" s="21"/>
      <c r="U847" s="21"/>
      <c r="V847" s="21"/>
      <c r="W847" s="21"/>
      <c r="AA847" s="21"/>
      <c r="AB847" s="21"/>
      <c r="AC847" s="21"/>
      <c r="AD847" s="21"/>
    </row>
    <row r="848" spans="6:30" ht="13.2">
      <c r="F848" s="21"/>
      <c r="G848" s="21"/>
      <c r="H848" s="21"/>
      <c r="L848" s="21"/>
      <c r="M848" s="21"/>
      <c r="N848" s="21"/>
      <c r="O848" s="21"/>
      <c r="U848" s="21"/>
      <c r="V848" s="21"/>
      <c r="W848" s="21"/>
      <c r="AA848" s="21"/>
      <c r="AB848" s="21"/>
      <c r="AC848" s="21"/>
      <c r="AD848" s="21"/>
    </row>
    <row r="849" spans="6:30" ht="13.2">
      <c r="F849" s="21"/>
      <c r="G849" s="21"/>
      <c r="H849" s="21"/>
      <c r="L849" s="21"/>
      <c r="M849" s="21"/>
      <c r="N849" s="21"/>
      <c r="O849" s="21"/>
      <c r="U849" s="21"/>
      <c r="V849" s="21"/>
      <c r="W849" s="21"/>
      <c r="AA849" s="21"/>
      <c r="AB849" s="21"/>
      <c r="AC849" s="21"/>
      <c r="AD849" s="21"/>
    </row>
    <row r="850" spans="6:30" ht="13.2">
      <c r="F850" s="21"/>
      <c r="G850" s="21"/>
      <c r="H850" s="21"/>
      <c r="L850" s="21"/>
      <c r="M850" s="21"/>
      <c r="N850" s="21"/>
      <c r="O850" s="21"/>
      <c r="U850" s="21"/>
      <c r="V850" s="21"/>
      <c r="W850" s="21"/>
      <c r="AA850" s="21"/>
      <c r="AB850" s="21"/>
      <c r="AC850" s="21"/>
      <c r="AD850" s="21"/>
    </row>
    <row r="851" spans="6:30" ht="13.2">
      <c r="F851" s="21"/>
      <c r="G851" s="21"/>
      <c r="H851" s="21"/>
      <c r="L851" s="21"/>
      <c r="M851" s="21"/>
      <c r="N851" s="21"/>
      <c r="O851" s="21"/>
      <c r="U851" s="21"/>
      <c r="V851" s="21"/>
      <c r="W851" s="21"/>
      <c r="AA851" s="21"/>
      <c r="AB851" s="21"/>
      <c r="AC851" s="21"/>
      <c r="AD851" s="21"/>
    </row>
    <row r="852" spans="6:30" ht="13.2">
      <c r="F852" s="21"/>
      <c r="G852" s="21"/>
      <c r="H852" s="21"/>
      <c r="L852" s="21"/>
      <c r="M852" s="21"/>
      <c r="N852" s="21"/>
      <c r="O852" s="21"/>
      <c r="U852" s="21"/>
      <c r="V852" s="21"/>
      <c r="W852" s="21"/>
      <c r="AA852" s="21"/>
      <c r="AB852" s="21"/>
      <c r="AC852" s="21"/>
      <c r="AD852" s="21"/>
    </row>
    <row r="853" spans="6:30" ht="13.2">
      <c r="F853" s="21"/>
      <c r="G853" s="21"/>
      <c r="H853" s="21"/>
      <c r="L853" s="21"/>
      <c r="M853" s="21"/>
      <c r="N853" s="21"/>
      <c r="O853" s="21"/>
      <c r="U853" s="21"/>
      <c r="V853" s="21"/>
      <c r="W853" s="21"/>
      <c r="AA853" s="21"/>
      <c r="AB853" s="21"/>
      <c r="AC853" s="21"/>
      <c r="AD853" s="21"/>
    </row>
    <row r="854" spans="6:30" ht="13.2">
      <c r="F854" s="21"/>
      <c r="G854" s="21"/>
      <c r="H854" s="21"/>
      <c r="L854" s="21"/>
      <c r="M854" s="21"/>
      <c r="N854" s="21"/>
      <c r="O854" s="21"/>
      <c r="U854" s="21"/>
      <c r="V854" s="21"/>
      <c r="W854" s="21"/>
      <c r="AA854" s="21"/>
      <c r="AB854" s="21"/>
      <c r="AC854" s="21"/>
      <c r="AD854" s="21"/>
    </row>
    <row r="855" spans="6:30" ht="13.2">
      <c r="F855" s="21"/>
      <c r="G855" s="21"/>
      <c r="H855" s="21"/>
      <c r="L855" s="21"/>
      <c r="M855" s="21"/>
      <c r="N855" s="21"/>
      <c r="O855" s="21"/>
      <c r="U855" s="21"/>
      <c r="V855" s="21"/>
      <c r="W855" s="21"/>
      <c r="AA855" s="21"/>
      <c r="AB855" s="21"/>
      <c r="AC855" s="21"/>
      <c r="AD855" s="21"/>
    </row>
    <row r="856" spans="6:30" ht="13.2">
      <c r="F856" s="21"/>
      <c r="G856" s="21"/>
      <c r="H856" s="21"/>
      <c r="L856" s="21"/>
      <c r="M856" s="21"/>
      <c r="N856" s="21"/>
      <c r="O856" s="21"/>
      <c r="U856" s="21"/>
      <c r="V856" s="21"/>
      <c r="W856" s="21"/>
      <c r="AA856" s="21"/>
      <c r="AB856" s="21"/>
      <c r="AC856" s="21"/>
      <c r="AD856" s="21"/>
    </row>
    <row r="857" spans="6:30" ht="13.2">
      <c r="F857" s="21"/>
      <c r="G857" s="21"/>
      <c r="H857" s="21"/>
      <c r="L857" s="21"/>
      <c r="M857" s="21"/>
      <c r="N857" s="21"/>
      <c r="O857" s="21"/>
      <c r="U857" s="21"/>
      <c r="V857" s="21"/>
      <c r="W857" s="21"/>
      <c r="AA857" s="21"/>
      <c r="AB857" s="21"/>
      <c r="AC857" s="21"/>
      <c r="AD857" s="21"/>
    </row>
    <row r="858" spans="6:30" ht="13.2">
      <c r="F858" s="21"/>
      <c r="G858" s="21"/>
      <c r="H858" s="21"/>
      <c r="L858" s="21"/>
      <c r="M858" s="21"/>
      <c r="N858" s="21"/>
      <c r="O858" s="21"/>
      <c r="U858" s="21"/>
      <c r="V858" s="21"/>
      <c r="W858" s="21"/>
      <c r="AA858" s="21"/>
      <c r="AB858" s="21"/>
      <c r="AC858" s="21"/>
      <c r="AD858" s="21"/>
    </row>
    <row r="859" spans="6:30" ht="13.2">
      <c r="F859" s="21"/>
      <c r="G859" s="21"/>
      <c r="H859" s="21"/>
      <c r="L859" s="21"/>
      <c r="M859" s="21"/>
      <c r="N859" s="21"/>
      <c r="O859" s="21"/>
      <c r="U859" s="21"/>
      <c r="V859" s="21"/>
      <c r="W859" s="21"/>
      <c r="AA859" s="21"/>
      <c r="AB859" s="21"/>
      <c r="AC859" s="21"/>
      <c r="AD859" s="21"/>
    </row>
    <row r="860" spans="6:30" ht="13.2">
      <c r="F860" s="21"/>
      <c r="G860" s="21"/>
      <c r="H860" s="21"/>
      <c r="L860" s="21"/>
      <c r="M860" s="21"/>
      <c r="N860" s="21"/>
      <c r="O860" s="21"/>
      <c r="U860" s="21"/>
      <c r="V860" s="21"/>
      <c r="W860" s="21"/>
      <c r="AA860" s="21"/>
      <c r="AB860" s="21"/>
      <c r="AC860" s="21"/>
      <c r="AD860" s="21"/>
    </row>
    <row r="861" spans="6:30" ht="13.2">
      <c r="F861" s="21"/>
      <c r="G861" s="21"/>
      <c r="H861" s="21"/>
      <c r="L861" s="21"/>
      <c r="M861" s="21"/>
      <c r="N861" s="21"/>
      <c r="O861" s="21"/>
      <c r="U861" s="21"/>
      <c r="V861" s="21"/>
      <c r="W861" s="21"/>
      <c r="AA861" s="21"/>
      <c r="AB861" s="21"/>
      <c r="AC861" s="21"/>
      <c r="AD861" s="21"/>
    </row>
    <row r="862" spans="6:30" ht="13.2">
      <c r="F862" s="21"/>
      <c r="G862" s="21"/>
      <c r="H862" s="21"/>
      <c r="L862" s="21"/>
      <c r="M862" s="21"/>
      <c r="N862" s="21"/>
      <c r="O862" s="21"/>
      <c r="U862" s="21"/>
      <c r="V862" s="21"/>
      <c r="W862" s="21"/>
      <c r="AA862" s="21"/>
      <c r="AB862" s="21"/>
      <c r="AC862" s="21"/>
      <c r="AD862" s="21"/>
    </row>
    <row r="863" spans="6:30" ht="13.2">
      <c r="F863" s="21"/>
      <c r="G863" s="21"/>
      <c r="H863" s="21"/>
      <c r="L863" s="21"/>
      <c r="M863" s="21"/>
      <c r="N863" s="21"/>
      <c r="O863" s="21"/>
      <c r="U863" s="21"/>
      <c r="V863" s="21"/>
      <c r="W863" s="21"/>
      <c r="AA863" s="21"/>
      <c r="AB863" s="21"/>
      <c r="AC863" s="21"/>
      <c r="AD863" s="21"/>
    </row>
    <row r="864" spans="6:30" ht="13.2">
      <c r="F864" s="21"/>
      <c r="G864" s="21"/>
      <c r="H864" s="21"/>
      <c r="L864" s="21"/>
      <c r="M864" s="21"/>
      <c r="N864" s="21"/>
      <c r="O864" s="21"/>
      <c r="U864" s="21"/>
      <c r="V864" s="21"/>
      <c r="W864" s="21"/>
      <c r="AA864" s="21"/>
      <c r="AB864" s="21"/>
      <c r="AC864" s="21"/>
      <c r="AD864" s="21"/>
    </row>
    <row r="865" spans="6:30" ht="13.2">
      <c r="F865" s="21"/>
      <c r="G865" s="21"/>
      <c r="H865" s="21"/>
      <c r="L865" s="21"/>
      <c r="M865" s="21"/>
      <c r="N865" s="21"/>
      <c r="O865" s="21"/>
      <c r="U865" s="21"/>
      <c r="V865" s="21"/>
      <c r="W865" s="21"/>
      <c r="AA865" s="21"/>
      <c r="AB865" s="21"/>
      <c r="AC865" s="21"/>
      <c r="AD865" s="21"/>
    </row>
    <row r="866" spans="6:30" ht="13.2">
      <c r="F866" s="21"/>
      <c r="G866" s="21"/>
      <c r="H866" s="21"/>
      <c r="L866" s="21"/>
      <c r="M866" s="21"/>
      <c r="N866" s="21"/>
      <c r="O866" s="21"/>
      <c r="U866" s="21"/>
      <c r="V866" s="21"/>
      <c r="W866" s="21"/>
      <c r="AA866" s="21"/>
      <c r="AB866" s="21"/>
      <c r="AC866" s="21"/>
      <c r="AD866" s="21"/>
    </row>
    <row r="867" spans="6:30" ht="13.2">
      <c r="F867" s="21"/>
      <c r="G867" s="21"/>
      <c r="H867" s="21"/>
      <c r="L867" s="21"/>
      <c r="M867" s="21"/>
      <c r="N867" s="21"/>
      <c r="O867" s="21"/>
      <c r="U867" s="21"/>
      <c r="V867" s="21"/>
      <c r="W867" s="21"/>
      <c r="AA867" s="21"/>
      <c r="AB867" s="21"/>
      <c r="AC867" s="21"/>
      <c r="AD867" s="21"/>
    </row>
    <row r="868" spans="6:30" ht="13.2">
      <c r="F868" s="21"/>
      <c r="G868" s="21"/>
      <c r="H868" s="21"/>
      <c r="L868" s="21"/>
      <c r="M868" s="21"/>
      <c r="N868" s="21"/>
      <c r="O868" s="21"/>
      <c r="U868" s="21"/>
      <c r="V868" s="21"/>
      <c r="W868" s="21"/>
      <c r="AA868" s="21"/>
      <c r="AB868" s="21"/>
      <c r="AC868" s="21"/>
      <c r="AD868" s="21"/>
    </row>
    <row r="869" spans="6:30" ht="13.2">
      <c r="F869" s="21"/>
      <c r="G869" s="21"/>
      <c r="H869" s="21"/>
      <c r="L869" s="21"/>
      <c r="M869" s="21"/>
      <c r="N869" s="21"/>
      <c r="O869" s="21"/>
      <c r="U869" s="21"/>
      <c r="V869" s="21"/>
      <c r="W869" s="21"/>
      <c r="AA869" s="21"/>
      <c r="AB869" s="21"/>
      <c r="AC869" s="21"/>
      <c r="AD869" s="21"/>
    </row>
    <row r="870" spans="6:30" ht="13.2">
      <c r="F870" s="21"/>
      <c r="G870" s="21"/>
      <c r="H870" s="21"/>
      <c r="L870" s="21"/>
      <c r="M870" s="21"/>
      <c r="N870" s="21"/>
      <c r="O870" s="21"/>
      <c r="U870" s="21"/>
      <c r="V870" s="21"/>
      <c r="W870" s="21"/>
      <c r="AA870" s="21"/>
      <c r="AB870" s="21"/>
      <c r="AC870" s="21"/>
      <c r="AD870" s="21"/>
    </row>
    <row r="871" spans="6:30" ht="13.2">
      <c r="F871" s="21"/>
      <c r="G871" s="21"/>
      <c r="H871" s="21"/>
      <c r="L871" s="21"/>
      <c r="M871" s="21"/>
      <c r="N871" s="21"/>
      <c r="O871" s="21"/>
      <c r="U871" s="21"/>
      <c r="V871" s="21"/>
      <c r="W871" s="21"/>
      <c r="AA871" s="21"/>
      <c r="AB871" s="21"/>
      <c r="AC871" s="21"/>
      <c r="AD871" s="21"/>
    </row>
    <row r="872" spans="6:30" ht="13.2">
      <c r="F872" s="21"/>
      <c r="G872" s="21"/>
      <c r="H872" s="21"/>
      <c r="L872" s="21"/>
      <c r="M872" s="21"/>
      <c r="N872" s="21"/>
      <c r="O872" s="21"/>
      <c r="U872" s="21"/>
      <c r="V872" s="21"/>
      <c r="W872" s="21"/>
      <c r="AA872" s="21"/>
      <c r="AB872" s="21"/>
      <c r="AC872" s="21"/>
      <c r="AD872" s="21"/>
    </row>
    <row r="873" spans="6:30" ht="13.2">
      <c r="F873" s="21"/>
      <c r="G873" s="21"/>
      <c r="H873" s="21"/>
      <c r="L873" s="21"/>
      <c r="M873" s="21"/>
      <c r="N873" s="21"/>
      <c r="O873" s="21"/>
      <c r="U873" s="21"/>
      <c r="V873" s="21"/>
      <c r="W873" s="21"/>
      <c r="AA873" s="21"/>
      <c r="AB873" s="21"/>
      <c r="AC873" s="21"/>
      <c r="AD873" s="21"/>
    </row>
    <row r="874" spans="6:30" ht="13.2">
      <c r="F874" s="21"/>
      <c r="G874" s="21"/>
      <c r="H874" s="21"/>
      <c r="L874" s="21"/>
      <c r="M874" s="21"/>
      <c r="N874" s="21"/>
      <c r="O874" s="21"/>
      <c r="U874" s="21"/>
      <c r="V874" s="21"/>
      <c r="W874" s="21"/>
      <c r="AA874" s="21"/>
      <c r="AB874" s="21"/>
      <c r="AC874" s="21"/>
      <c r="AD874" s="21"/>
    </row>
    <row r="875" spans="6:30" ht="13.2">
      <c r="F875" s="21"/>
      <c r="G875" s="21"/>
      <c r="H875" s="21"/>
      <c r="L875" s="21"/>
      <c r="M875" s="21"/>
      <c r="N875" s="21"/>
      <c r="O875" s="21"/>
      <c r="U875" s="21"/>
      <c r="V875" s="21"/>
      <c r="W875" s="21"/>
      <c r="AA875" s="21"/>
      <c r="AB875" s="21"/>
      <c r="AC875" s="21"/>
      <c r="AD875" s="21"/>
    </row>
    <row r="876" spans="6:30" ht="13.2">
      <c r="F876" s="21"/>
      <c r="G876" s="21"/>
      <c r="H876" s="21"/>
      <c r="L876" s="21"/>
      <c r="M876" s="21"/>
      <c r="N876" s="21"/>
      <c r="O876" s="21"/>
      <c r="U876" s="21"/>
      <c r="V876" s="21"/>
      <c r="W876" s="21"/>
      <c r="AA876" s="21"/>
      <c r="AB876" s="21"/>
      <c r="AC876" s="21"/>
      <c r="AD876" s="21"/>
    </row>
    <row r="877" spans="6:30" ht="13.2">
      <c r="F877" s="21"/>
      <c r="G877" s="21"/>
      <c r="H877" s="21"/>
      <c r="L877" s="21"/>
      <c r="M877" s="21"/>
      <c r="N877" s="21"/>
      <c r="O877" s="21"/>
      <c r="U877" s="21"/>
      <c r="V877" s="21"/>
      <c r="W877" s="21"/>
      <c r="AA877" s="21"/>
      <c r="AB877" s="21"/>
      <c r="AC877" s="21"/>
      <c r="AD877" s="21"/>
    </row>
    <row r="878" spans="6:30" ht="13.2">
      <c r="F878" s="21"/>
      <c r="G878" s="21"/>
      <c r="H878" s="21"/>
      <c r="L878" s="21"/>
      <c r="M878" s="21"/>
      <c r="N878" s="21"/>
      <c r="O878" s="21"/>
      <c r="U878" s="21"/>
      <c r="V878" s="21"/>
      <c r="W878" s="21"/>
      <c r="AA878" s="21"/>
      <c r="AB878" s="21"/>
      <c r="AC878" s="21"/>
      <c r="AD878" s="21"/>
    </row>
    <row r="879" spans="6:30" ht="13.2">
      <c r="F879" s="21"/>
      <c r="G879" s="21"/>
      <c r="H879" s="21"/>
      <c r="L879" s="21"/>
      <c r="M879" s="21"/>
      <c r="N879" s="21"/>
      <c r="O879" s="21"/>
      <c r="U879" s="21"/>
      <c r="V879" s="21"/>
      <c r="W879" s="21"/>
      <c r="AA879" s="21"/>
      <c r="AB879" s="21"/>
      <c r="AC879" s="21"/>
      <c r="AD879" s="21"/>
    </row>
    <row r="880" spans="6:30" ht="13.2">
      <c r="F880" s="21"/>
      <c r="G880" s="21"/>
      <c r="H880" s="21"/>
      <c r="L880" s="21"/>
      <c r="M880" s="21"/>
      <c r="N880" s="21"/>
      <c r="O880" s="21"/>
      <c r="U880" s="21"/>
      <c r="V880" s="21"/>
      <c r="W880" s="21"/>
      <c r="AA880" s="21"/>
      <c r="AB880" s="21"/>
      <c r="AC880" s="21"/>
      <c r="AD880" s="21"/>
    </row>
    <row r="881" spans="6:30" ht="13.2">
      <c r="F881" s="21"/>
      <c r="G881" s="21"/>
      <c r="H881" s="21"/>
      <c r="L881" s="21"/>
      <c r="M881" s="21"/>
      <c r="N881" s="21"/>
      <c r="O881" s="21"/>
      <c r="U881" s="21"/>
      <c r="V881" s="21"/>
      <c r="W881" s="21"/>
      <c r="AA881" s="21"/>
      <c r="AB881" s="21"/>
      <c r="AC881" s="21"/>
      <c r="AD881" s="21"/>
    </row>
    <row r="882" spans="6:30" ht="13.2">
      <c r="F882" s="21"/>
      <c r="G882" s="21"/>
      <c r="H882" s="21"/>
      <c r="L882" s="21"/>
      <c r="M882" s="21"/>
      <c r="N882" s="21"/>
      <c r="O882" s="21"/>
      <c r="U882" s="21"/>
      <c r="V882" s="21"/>
      <c r="W882" s="21"/>
      <c r="AA882" s="21"/>
      <c r="AB882" s="21"/>
      <c r="AC882" s="21"/>
      <c r="AD882" s="21"/>
    </row>
    <row r="883" spans="6:30" ht="13.2">
      <c r="F883" s="21"/>
      <c r="G883" s="21"/>
      <c r="H883" s="21"/>
      <c r="L883" s="21"/>
      <c r="M883" s="21"/>
      <c r="N883" s="21"/>
      <c r="O883" s="21"/>
      <c r="U883" s="21"/>
      <c r="V883" s="21"/>
      <c r="W883" s="21"/>
      <c r="AA883" s="21"/>
      <c r="AB883" s="21"/>
      <c r="AC883" s="21"/>
      <c r="AD883" s="21"/>
    </row>
    <row r="884" spans="6:30" ht="13.2">
      <c r="F884" s="21"/>
      <c r="G884" s="21"/>
      <c r="H884" s="21"/>
      <c r="L884" s="21"/>
      <c r="M884" s="21"/>
      <c r="N884" s="21"/>
      <c r="O884" s="21"/>
      <c r="U884" s="21"/>
      <c r="V884" s="21"/>
      <c r="W884" s="21"/>
      <c r="AA884" s="21"/>
      <c r="AB884" s="21"/>
      <c r="AC884" s="21"/>
      <c r="AD884" s="21"/>
    </row>
    <row r="885" spans="6:30" ht="13.2">
      <c r="F885" s="21"/>
      <c r="G885" s="21"/>
      <c r="H885" s="21"/>
      <c r="L885" s="21"/>
      <c r="M885" s="21"/>
      <c r="N885" s="21"/>
      <c r="O885" s="21"/>
      <c r="U885" s="21"/>
      <c r="V885" s="21"/>
      <c r="W885" s="21"/>
      <c r="AA885" s="21"/>
      <c r="AB885" s="21"/>
      <c r="AC885" s="21"/>
      <c r="AD885" s="21"/>
    </row>
    <row r="886" spans="6:30" ht="13.2">
      <c r="F886" s="21"/>
      <c r="G886" s="21"/>
      <c r="H886" s="21"/>
      <c r="L886" s="21"/>
      <c r="M886" s="21"/>
      <c r="N886" s="21"/>
      <c r="O886" s="21"/>
      <c r="U886" s="21"/>
      <c r="V886" s="21"/>
      <c r="W886" s="21"/>
      <c r="AA886" s="21"/>
      <c r="AB886" s="21"/>
      <c r="AC886" s="21"/>
      <c r="AD886" s="21"/>
    </row>
    <row r="887" spans="6:30" ht="13.2">
      <c r="F887" s="21"/>
      <c r="G887" s="21"/>
      <c r="H887" s="21"/>
      <c r="L887" s="21"/>
      <c r="M887" s="21"/>
      <c r="N887" s="21"/>
      <c r="O887" s="21"/>
      <c r="U887" s="21"/>
      <c r="V887" s="21"/>
      <c r="W887" s="21"/>
      <c r="AA887" s="21"/>
      <c r="AB887" s="21"/>
      <c r="AC887" s="21"/>
      <c r="AD887" s="21"/>
    </row>
    <row r="888" spans="6:30" ht="13.2">
      <c r="F888" s="21"/>
      <c r="G888" s="21"/>
      <c r="H888" s="21"/>
      <c r="L888" s="21"/>
      <c r="M888" s="21"/>
      <c r="N888" s="21"/>
      <c r="O888" s="21"/>
      <c r="U888" s="21"/>
      <c r="V888" s="21"/>
      <c r="W888" s="21"/>
      <c r="AA888" s="21"/>
      <c r="AB888" s="21"/>
      <c r="AC888" s="21"/>
      <c r="AD888" s="21"/>
    </row>
    <row r="889" spans="6:30" ht="13.2">
      <c r="F889" s="21"/>
      <c r="G889" s="21"/>
      <c r="H889" s="21"/>
      <c r="L889" s="21"/>
      <c r="M889" s="21"/>
      <c r="N889" s="21"/>
      <c r="O889" s="21"/>
      <c r="U889" s="21"/>
      <c r="V889" s="21"/>
      <c r="W889" s="21"/>
      <c r="AA889" s="21"/>
      <c r="AB889" s="21"/>
      <c r="AC889" s="21"/>
      <c r="AD889" s="21"/>
    </row>
    <row r="890" spans="6:30" ht="13.2">
      <c r="F890" s="21"/>
      <c r="G890" s="21"/>
      <c r="H890" s="21"/>
      <c r="L890" s="21"/>
      <c r="M890" s="21"/>
      <c r="N890" s="21"/>
      <c r="O890" s="21"/>
      <c r="U890" s="21"/>
      <c r="V890" s="21"/>
      <c r="W890" s="21"/>
      <c r="AA890" s="21"/>
      <c r="AB890" s="21"/>
      <c r="AC890" s="21"/>
      <c r="AD890" s="21"/>
    </row>
    <row r="891" spans="6:30" ht="13.2">
      <c r="F891" s="21"/>
      <c r="G891" s="21"/>
      <c r="H891" s="21"/>
      <c r="L891" s="21"/>
      <c r="M891" s="21"/>
      <c r="N891" s="21"/>
      <c r="O891" s="21"/>
      <c r="U891" s="21"/>
      <c r="V891" s="21"/>
      <c r="W891" s="21"/>
      <c r="AA891" s="21"/>
      <c r="AB891" s="21"/>
      <c r="AC891" s="21"/>
      <c r="AD891" s="21"/>
    </row>
    <row r="892" spans="6:30" ht="13.2">
      <c r="F892" s="21"/>
      <c r="G892" s="21"/>
      <c r="H892" s="21"/>
      <c r="L892" s="21"/>
      <c r="M892" s="21"/>
      <c r="N892" s="21"/>
      <c r="O892" s="21"/>
      <c r="U892" s="21"/>
      <c r="V892" s="21"/>
      <c r="W892" s="21"/>
      <c r="AA892" s="21"/>
      <c r="AB892" s="21"/>
      <c r="AC892" s="21"/>
      <c r="AD892" s="21"/>
    </row>
    <row r="893" spans="6:30" ht="13.2">
      <c r="F893" s="21"/>
      <c r="G893" s="21"/>
      <c r="H893" s="21"/>
      <c r="L893" s="21"/>
      <c r="M893" s="21"/>
      <c r="N893" s="21"/>
      <c r="O893" s="21"/>
      <c r="U893" s="21"/>
      <c r="V893" s="21"/>
      <c r="W893" s="21"/>
      <c r="AA893" s="21"/>
      <c r="AB893" s="21"/>
      <c r="AC893" s="21"/>
      <c r="AD893" s="21"/>
    </row>
    <row r="894" spans="6:30" ht="13.2">
      <c r="F894" s="21"/>
      <c r="G894" s="21"/>
      <c r="H894" s="21"/>
      <c r="L894" s="21"/>
      <c r="M894" s="21"/>
      <c r="N894" s="21"/>
      <c r="O894" s="21"/>
      <c r="U894" s="21"/>
      <c r="V894" s="21"/>
      <c r="W894" s="21"/>
      <c r="AA894" s="21"/>
      <c r="AB894" s="21"/>
      <c r="AC894" s="21"/>
      <c r="AD894" s="21"/>
    </row>
    <row r="895" spans="6:30" ht="13.2">
      <c r="F895" s="21"/>
      <c r="G895" s="21"/>
      <c r="H895" s="21"/>
      <c r="L895" s="21"/>
      <c r="M895" s="21"/>
      <c r="N895" s="21"/>
      <c r="O895" s="21"/>
      <c r="U895" s="21"/>
      <c r="V895" s="21"/>
      <c r="W895" s="21"/>
      <c r="AA895" s="21"/>
      <c r="AB895" s="21"/>
      <c r="AC895" s="21"/>
      <c r="AD895" s="21"/>
    </row>
    <row r="896" spans="6:30" ht="13.2">
      <c r="F896" s="21"/>
      <c r="G896" s="21"/>
      <c r="H896" s="21"/>
      <c r="L896" s="21"/>
      <c r="M896" s="21"/>
      <c r="N896" s="21"/>
      <c r="O896" s="21"/>
      <c r="U896" s="21"/>
      <c r="V896" s="21"/>
      <c r="W896" s="21"/>
      <c r="AA896" s="21"/>
      <c r="AB896" s="21"/>
      <c r="AC896" s="21"/>
      <c r="AD896" s="21"/>
    </row>
    <row r="897" spans="6:30" ht="13.2">
      <c r="F897" s="21"/>
      <c r="G897" s="21"/>
      <c r="H897" s="21"/>
      <c r="L897" s="21"/>
      <c r="M897" s="21"/>
      <c r="N897" s="21"/>
      <c r="O897" s="21"/>
      <c r="U897" s="21"/>
      <c r="V897" s="21"/>
      <c r="W897" s="21"/>
      <c r="AA897" s="21"/>
      <c r="AB897" s="21"/>
      <c r="AC897" s="21"/>
      <c r="AD897" s="21"/>
    </row>
    <row r="898" spans="6:30" ht="13.2">
      <c r="F898" s="21"/>
      <c r="G898" s="21"/>
      <c r="H898" s="21"/>
      <c r="L898" s="21"/>
      <c r="M898" s="21"/>
      <c r="N898" s="21"/>
      <c r="O898" s="21"/>
      <c r="U898" s="21"/>
      <c r="V898" s="21"/>
      <c r="W898" s="21"/>
      <c r="AA898" s="21"/>
      <c r="AB898" s="21"/>
      <c r="AC898" s="21"/>
      <c r="AD898" s="21"/>
    </row>
    <row r="899" spans="6:30" ht="13.2">
      <c r="F899" s="21"/>
      <c r="G899" s="21"/>
      <c r="H899" s="21"/>
      <c r="L899" s="21"/>
      <c r="M899" s="21"/>
      <c r="N899" s="21"/>
      <c r="O899" s="21"/>
      <c r="U899" s="21"/>
      <c r="V899" s="21"/>
      <c r="W899" s="21"/>
      <c r="AA899" s="21"/>
      <c r="AB899" s="21"/>
      <c r="AC899" s="21"/>
      <c r="AD899" s="21"/>
    </row>
    <row r="900" spans="6:30" ht="13.2">
      <c r="F900" s="21"/>
      <c r="G900" s="21"/>
      <c r="H900" s="21"/>
      <c r="L900" s="21"/>
      <c r="M900" s="21"/>
      <c r="N900" s="21"/>
      <c r="O900" s="21"/>
      <c r="U900" s="21"/>
      <c r="V900" s="21"/>
      <c r="W900" s="21"/>
      <c r="AA900" s="21"/>
      <c r="AB900" s="21"/>
      <c r="AC900" s="21"/>
      <c r="AD900" s="21"/>
    </row>
    <row r="901" spans="6:30" ht="13.2">
      <c r="F901" s="21"/>
      <c r="G901" s="21"/>
      <c r="H901" s="21"/>
      <c r="L901" s="21"/>
      <c r="M901" s="21"/>
      <c r="N901" s="21"/>
      <c r="O901" s="21"/>
      <c r="U901" s="21"/>
      <c r="V901" s="21"/>
      <c r="W901" s="21"/>
      <c r="AA901" s="21"/>
      <c r="AB901" s="21"/>
      <c r="AC901" s="21"/>
      <c r="AD901" s="21"/>
    </row>
    <row r="902" spans="6:30" ht="13.2">
      <c r="F902" s="21"/>
      <c r="G902" s="21"/>
      <c r="H902" s="21"/>
      <c r="L902" s="21"/>
      <c r="M902" s="21"/>
      <c r="N902" s="21"/>
      <c r="O902" s="21"/>
      <c r="U902" s="21"/>
      <c r="V902" s="21"/>
      <c r="W902" s="21"/>
      <c r="AA902" s="21"/>
      <c r="AB902" s="21"/>
      <c r="AC902" s="21"/>
      <c r="AD902" s="21"/>
    </row>
    <row r="903" spans="6:30" ht="13.2">
      <c r="F903" s="21"/>
      <c r="G903" s="21"/>
      <c r="H903" s="21"/>
      <c r="L903" s="21"/>
      <c r="M903" s="21"/>
      <c r="N903" s="21"/>
      <c r="O903" s="21"/>
      <c r="U903" s="21"/>
      <c r="V903" s="21"/>
      <c r="W903" s="21"/>
      <c r="AA903" s="21"/>
      <c r="AB903" s="21"/>
      <c r="AC903" s="21"/>
      <c r="AD903" s="21"/>
    </row>
    <row r="904" spans="6:30" ht="13.2">
      <c r="F904" s="21"/>
      <c r="G904" s="21"/>
      <c r="H904" s="21"/>
      <c r="L904" s="21"/>
      <c r="M904" s="21"/>
      <c r="N904" s="21"/>
      <c r="O904" s="21"/>
      <c r="U904" s="21"/>
      <c r="V904" s="21"/>
      <c r="W904" s="21"/>
      <c r="AA904" s="21"/>
      <c r="AB904" s="21"/>
      <c r="AC904" s="21"/>
      <c r="AD904" s="21"/>
    </row>
    <row r="905" spans="6:30" ht="13.2">
      <c r="F905" s="21"/>
      <c r="G905" s="21"/>
      <c r="H905" s="21"/>
      <c r="L905" s="21"/>
      <c r="M905" s="21"/>
      <c r="N905" s="21"/>
      <c r="O905" s="21"/>
      <c r="U905" s="21"/>
      <c r="V905" s="21"/>
      <c r="W905" s="21"/>
      <c r="AA905" s="21"/>
      <c r="AB905" s="21"/>
      <c r="AC905" s="21"/>
      <c r="AD905" s="21"/>
    </row>
    <row r="906" spans="6:30" ht="13.2">
      <c r="F906" s="21"/>
      <c r="G906" s="21"/>
      <c r="H906" s="21"/>
      <c r="L906" s="21"/>
      <c r="M906" s="21"/>
      <c r="N906" s="21"/>
      <c r="O906" s="21"/>
      <c r="U906" s="21"/>
      <c r="V906" s="21"/>
      <c r="W906" s="21"/>
      <c r="AA906" s="21"/>
      <c r="AB906" s="21"/>
      <c r="AC906" s="21"/>
      <c r="AD906" s="21"/>
    </row>
    <row r="907" spans="6:30" ht="13.2">
      <c r="F907" s="21"/>
      <c r="G907" s="21"/>
      <c r="H907" s="21"/>
      <c r="L907" s="21"/>
      <c r="M907" s="21"/>
      <c r="N907" s="21"/>
      <c r="O907" s="21"/>
      <c r="U907" s="21"/>
      <c r="V907" s="21"/>
      <c r="W907" s="21"/>
      <c r="AA907" s="21"/>
      <c r="AB907" s="21"/>
      <c r="AC907" s="21"/>
      <c r="AD907" s="21"/>
    </row>
    <row r="908" spans="6:30" ht="13.2">
      <c r="F908" s="21"/>
      <c r="G908" s="21"/>
      <c r="H908" s="21"/>
      <c r="L908" s="21"/>
      <c r="M908" s="21"/>
      <c r="N908" s="21"/>
      <c r="O908" s="21"/>
      <c r="U908" s="21"/>
      <c r="V908" s="21"/>
      <c r="W908" s="21"/>
      <c r="AA908" s="21"/>
      <c r="AB908" s="21"/>
      <c r="AC908" s="21"/>
      <c r="AD908" s="21"/>
    </row>
    <row r="909" spans="6:30" ht="13.2">
      <c r="F909" s="21"/>
      <c r="G909" s="21"/>
      <c r="H909" s="21"/>
      <c r="L909" s="21"/>
      <c r="M909" s="21"/>
      <c r="N909" s="21"/>
      <c r="O909" s="21"/>
      <c r="U909" s="21"/>
      <c r="V909" s="21"/>
      <c r="W909" s="21"/>
      <c r="AA909" s="21"/>
      <c r="AB909" s="21"/>
      <c r="AC909" s="21"/>
      <c r="AD909" s="21"/>
    </row>
    <row r="910" spans="6:30" ht="13.2">
      <c r="F910" s="21"/>
      <c r="G910" s="21"/>
      <c r="H910" s="21"/>
      <c r="L910" s="21"/>
      <c r="M910" s="21"/>
      <c r="N910" s="21"/>
      <c r="O910" s="21"/>
      <c r="U910" s="21"/>
      <c r="V910" s="21"/>
      <c r="W910" s="21"/>
      <c r="AA910" s="21"/>
      <c r="AB910" s="21"/>
      <c r="AC910" s="21"/>
      <c r="AD910" s="21"/>
    </row>
    <row r="911" spans="6:30" ht="13.2">
      <c r="F911" s="21"/>
      <c r="G911" s="21"/>
      <c r="H911" s="21"/>
      <c r="L911" s="21"/>
      <c r="M911" s="21"/>
      <c r="N911" s="21"/>
      <c r="O911" s="21"/>
      <c r="U911" s="21"/>
      <c r="V911" s="21"/>
      <c r="W911" s="21"/>
      <c r="AA911" s="21"/>
      <c r="AB911" s="21"/>
      <c r="AC911" s="21"/>
      <c r="AD911" s="21"/>
    </row>
    <row r="912" spans="6:30" ht="13.2">
      <c r="F912" s="21"/>
      <c r="G912" s="21"/>
      <c r="H912" s="21"/>
      <c r="L912" s="21"/>
      <c r="M912" s="21"/>
      <c r="N912" s="21"/>
      <c r="O912" s="21"/>
      <c r="U912" s="21"/>
      <c r="V912" s="21"/>
      <c r="W912" s="21"/>
      <c r="AA912" s="21"/>
      <c r="AB912" s="21"/>
      <c r="AC912" s="21"/>
      <c r="AD912" s="21"/>
    </row>
    <row r="913" spans="6:30" ht="13.2">
      <c r="F913" s="21"/>
      <c r="G913" s="21"/>
      <c r="H913" s="21"/>
      <c r="L913" s="21"/>
      <c r="M913" s="21"/>
      <c r="N913" s="21"/>
      <c r="O913" s="21"/>
      <c r="U913" s="21"/>
      <c r="V913" s="21"/>
      <c r="W913" s="21"/>
      <c r="AA913" s="21"/>
      <c r="AB913" s="21"/>
      <c r="AC913" s="21"/>
      <c r="AD913" s="21"/>
    </row>
    <row r="914" spans="6:30" ht="13.2">
      <c r="F914" s="21"/>
      <c r="G914" s="21"/>
      <c r="H914" s="21"/>
      <c r="L914" s="21"/>
      <c r="M914" s="21"/>
      <c r="N914" s="21"/>
      <c r="O914" s="21"/>
      <c r="U914" s="21"/>
      <c r="V914" s="21"/>
      <c r="W914" s="21"/>
      <c r="AA914" s="21"/>
      <c r="AB914" s="21"/>
      <c r="AC914" s="21"/>
      <c r="AD914" s="21"/>
    </row>
    <row r="915" spans="6:30" ht="13.2">
      <c r="F915" s="21"/>
      <c r="G915" s="21"/>
      <c r="H915" s="21"/>
      <c r="L915" s="21"/>
      <c r="M915" s="21"/>
      <c r="N915" s="21"/>
      <c r="O915" s="21"/>
      <c r="U915" s="21"/>
      <c r="V915" s="21"/>
      <c r="W915" s="21"/>
      <c r="AA915" s="21"/>
      <c r="AB915" s="21"/>
      <c r="AC915" s="21"/>
      <c r="AD915" s="21"/>
    </row>
    <row r="916" spans="6:30" ht="13.2">
      <c r="F916" s="21"/>
      <c r="G916" s="21"/>
      <c r="H916" s="21"/>
      <c r="L916" s="21"/>
      <c r="M916" s="21"/>
      <c r="N916" s="21"/>
      <c r="O916" s="21"/>
      <c r="U916" s="21"/>
      <c r="V916" s="21"/>
      <c r="W916" s="21"/>
      <c r="AA916" s="21"/>
      <c r="AB916" s="21"/>
      <c r="AC916" s="21"/>
      <c r="AD916" s="21"/>
    </row>
    <row r="917" spans="6:30" ht="13.2">
      <c r="F917" s="21"/>
      <c r="G917" s="21"/>
      <c r="H917" s="21"/>
      <c r="L917" s="21"/>
      <c r="M917" s="21"/>
      <c r="N917" s="21"/>
      <c r="O917" s="21"/>
      <c r="U917" s="21"/>
      <c r="V917" s="21"/>
      <c r="W917" s="21"/>
      <c r="AA917" s="21"/>
      <c r="AB917" s="21"/>
      <c r="AC917" s="21"/>
      <c r="AD917" s="21"/>
    </row>
    <row r="918" spans="6:30" ht="13.2">
      <c r="F918" s="21"/>
      <c r="G918" s="21"/>
      <c r="H918" s="21"/>
      <c r="L918" s="21"/>
      <c r="M918" s="21"/>
      <c r="N918" s="21"/>
      <c r="O918" s="21"/>
      <c r="U918" s="21"/>
      <c r="V918" s="21"/>
      <c r="W918" s="21"/>
      <c r="AA918" s="21"/>
      <c r="AB918" s="21"/>
      <c r="AC918" s="21"/>
      <c r="AD918" s="21"/>
    </row>
    <row r="919" spans="6:30" ht="13.2">
      <c r="F919" s="21"/>
      <c r="G919" s="21"/>
      <c r="H919" s="21"/>
      <c r="L919" s="21"/>
      <c r="M919" s="21"/>
      <c r="N919" s="21"/>
      <c r="O919" s="21"/>
      <c r="U919" s="21"/>
      <c r="V919" s="21"/>
      <c r="W919" s="21"/>
      <c r="AA919" s="21"/>
      <c r="AB919" s="21"/>
      <c r="AC919" s="21"/>
      <c r="AD919" s="21"/>
    </row>
    <row r="920" spans="6:30" ht="13.2">
      <c r="F920" s="21"/>
      <c r="G920" s="21"/>
      <c r="H920" s="21"/>
      <c r="L920" s="21"/>
      <c r="M920" s="21"/>
      <c r="N920" s="21"/>
      <c r="O920" s="21"/>
      <c r="U920" s="21"/>
      <c r="V920" s="21"/>
      <c r="W920" s="21"/>
      <c r="AA920" s="21"/>
      <c r="AB920" s="21"/>
      <c r="AC920" s="21"/>
      <c r="AD920" s="21"/>
    </row>
    <row r="921" spans="6:30" ht="13.2">
      <c r="F921" s="21"/>
      <c r="G921" s="21"/>
      <c r="H921" s="21"/>
      <c r="L921" s="21"/>
      <c r="M921" s="21"/>
      <c r="N921" s="21"/>
      <c r="O921" s="21"/>
      <c r="U921" s="21"/>
      <c r="V921" s="21"/>
      <c r="W921" s="21"/>
      <c r="AA921" s="21"/>
      <c r="AB921" s="21"/>
      <c r="AC921" s="21"/>
      <c r="AD921" s="21"/>
    </row>
    <row r="922" spans="6:30" ht="13.2">
      <c r="F922" s="21"/>
      <c r="G922" s="21"/>
      <c r="H922" s="21"/>
      <c r="L922" s="21"/>
      <c r="M922" s="21"/>
      <c r="N922" s="21"/>
      <c r="O922" s="21"/>
      <c r="U922" s="21"/>
      <c r="V922" s="21"/>
      <c r="W922" s="21"/>
      <c r="AA922" s="21"/>
      <c r="AB922" s="21"/>
      <c r="AC922" s="21"/>
      <c r="AD922" s="21"/>
    </row>
    <row r="923" spans="6:30" ht="13.2">
      <c r="F923" s="21"/>
      <c r="G923" s="21"/>
      <c r="H923" s="21"/>
      <c r="L923" s="21"/>
      <c r="M923" s="21"/>
      <c r="N923" s="21"/>
      <c r="O923" s="21"/>
      <c r="U923" s="21"/>
      <c r="V923" s="21"/>
      <c r="W923" s="21"/>
      <c r="AA923" s="21"/>
      <c r="AB923" s="21"/>
      <c r="AC923" s="21"/>
      <c r="AD923" s="21"/>
    </row>
    <row r="924" spans="6:30" ht="13.2">
      <c r="F924" s="21"/>
      <c r="G924" s="21"/>
      <c r="H924" s="21"/>
      <c r="L924" s="21"/>
      <c r="M924" s="21"/>
      <c r="N924" s="21"/>
      <c r="O924" s="21"/>
      <c r="U924" s="21"/>
      <c r="V924" s="21"/>
      <c r="W924" s="21"/>
      <c r="AA924" s="21"/>
      <c r="AB924" s="21"/>
      <c r="AC924" s="21"/>
      <c r="AD924" s="21"/>
    </row>
    <row r="925" spans="6:30" ht="13.2">
      <c r="F925" s="21"/>
      <c r="G925" s="21"/>
      <c r="H925" s="21"/>
      <c r="L925" s="21"/>
      <c r="M925" s="21"/>
      <c r="N925" s="21"/>
      <c r="O925" s="21"/>
      <c r="U925" s="21"/>
      <c r="V925" s="21"/>
      <c r="W925" s="21"/>
      <c r="AA925" s="21"/>
      <c r="AB925" s="21"/>
      <c r="AC925" s="21"/>
      <c r="AD925" s="21"/>
    </row>
    <row r="926" spans="6:30" ht="13.2">
      <c r="F926" s="21"/>
      <c r="G926" s="21"/>
      <c r="H926" s="21"/>
      <c r="L926" s="21"/>
      <c r="M926" s="21"/>
      <c r="N926" s="21"/>
      <c r="O926" s="21"/>
      <c r="U926" s="21"/>
      <c r="V926" s="21"/>
      <c r="W926" s="21"/>
      <c r="AA926" s="21"/>
      <c r="AB926" s="21"/>
      <c r="AC926" s="21"/>
      <c r="AD926" s="21"/>
    </row>
    <row r="927" spans="6:30" ht="13.2">
      <c r="F927" s="21"/>
      <c r="G927" s="21"/>
      <c r="H927" s="21"/>
      <c r="L927" s="21"/>
      <c r="M927" s="21"/>
      <c r="N927" s="21"/>
      <c r="O927" s="21"/>
      <c r="U927" s="21"/>
      <c r="V927" s="21"/>
      <c r="W927" s="21"/>
      <c r="AA927" s="21"/>
      <c r="AB927" s="21"/>
      <c r="AC927" s="21"/>
      <c r="AD927" s="21"/>
    </row>
    <row r="928" spans="6:30" ht="13.2">
      <c r="F928" s="21"/>
      <c r="G928" s="21"/>
      <c r="H928" s="21"/>
      <c r="L928" s="21"/>
      <c r="M928" s="21"/>
      <c r="N928" s="21"/>
      <c r="O928" s="21"/>
      <c r="U928" s="21"/>
      <c r="V928" s="21"/>
      <c r="W928" s="21"/>
      <c r="AA928" s="21"/>
      <c r="AB928" s="21"/>
      <c r="AC928" s="21"/>
      <c r="AD928" s="21"/>
    </row>
    <row r="929" spans="6:30" ht="13.2">
      <c r="F929" s="21"/>
      <c r="G929" s="21"/>
      <c r="H929" s="21"/>
      <c r="L929" s="21"/>
      <c r="M929" s="21"/>
      <c r="N929" s="21"/>
      <c r="O929" s="21"/>
      <c r="U929" s="21"/>
      <c r="V929" s="21"/>
      <c r="W929" s="21"/>
      <c r="AA929" s="21"/>
      <c r="AB929" s="21"/>
      <c r="AC929" s="21"/>
      <c r="AD929" s="21"/>
    </row>
    <row r="930" spans="6:30" ht="13.2">
      <c r="F930" s="21"/>
      <c r="G930" s="21"/>
      <c r="H930" s="21"/>
      <c r="L930" s="21"/>
      <c r="M930" s="21"/>
      <c r="N930" s="21"/>
      <c r="O930" s="21"/>
      <c r="U930" s="21"/>
      <c r="V930" s="21"/>
      <c r="W930" s="21"/>
      <c r="AA930" s="21"/>
      <c r="AB930" s="21"/>
      <c r="AC930" s="21"/>
      <c r="AD930" s="21"/>
    </row>
    <row r="931" spans="6:30" ht="13.2">
      <c r="F931" s="21"/>
      <c r="G931" s="21"/>
      <c r="H931" s="21"/>
      <c r="L931" s="21"/>
      <c r="M931" s="21"/>
      <c r="N931" s="21"/>
      <c r="O931" s="21"/>
      <c r="U931" s="21"/>
      <c r="V931" s="21"/>
      <c r="W931" s="21"/>
      <c r="AA931" s="21"/>
      <c r="AB931" s="21"/>
      <c r="AC931" s="21"/>
      <c r="AD931" s="21"/>
    </row>
    <row r="932" spans="6:30" ht="13.2">
      <c r="F932" s="21"/>
      <c r="G932" s="21"/>
      <c r="H932" s="21"/>
      <c r="L932" s="21"/>
      <c r="M932" s="21"/>
      <c r="N932" s="21"/>
      <c r="O932" s="21"/>
      <c r="U932" s="21"/>
      <c r="V932" s="21"/>
      <c r="W932" s="21"/>
      <c r="AA932" s="21"/>
      <c r="AB932" s="21"/>
      <c r="AC932" s="21"/>
      <c r="AD932" s="21"/>
    </row>
    <row r="933" spans="6:30" ht="13.2">
      <c r="F933" s="21"/>
      <c r="G933" s="21"/>
      <c r="H933" s="21"/>
      <c r="L933" s="21"/>
      <c r="M933" s="21"/>
      <c r="N933" s="21"/>
      <c r="O933" s="21"/>
      <c r="U933" s="21"/>
      <c r="V933" s="21"/>
      <c r="W933" s="21"/>
      <c r="AA933" s="21"/>
      <c r="AB933" s="21"/>
      <c r="AC933" s="21"/>
      <c r="AD933" s="21"/>
    </row>
    <row r="934" spans="6:30" ht="13.2">
      <c r="F934" s="21"/>
      <c r="G934" s="21"/>
      <c r="H934" s="21"/>
      <c r="L934" s="21"/>
      <c r="M934" s="21"/>
      <c r="N934" s="21"/>
      <c r="O934" s="21"/>
      <c r="U934" s="21"/>
      <c r="V934" s="21"/>
      <c r="W934" s="21"/>
      <c r="AA934" s="21"/>
      <c r="AB934" s="21"/>
      <c r="AC934" s="21"/>
      <c r="AD934" s="21"/>
    </row>
    <row r="935" spans="6:30" ht="13.2">
      <c r="F935" s="21"/>
      <c r="G935" s="21"/>
      <c r="H935" s="21"/>
      <c r="L935" s="21"/>
      <c r="M935" s="21"/>
      <c r="N935" s="21"/>
      <c r="O935" s="21"/>
      <c r="U935" s="21"/>
      <c r="V935" s="21"/>
      <c r="W935" s="21"/>
      <c r="AA935" s="21"/>
      <c r="AB935" s="21"/>
      <c r="AC935" s="21"/>
      <c r="AD935" s="21"/>
    </row>
    <row r="936" spans="6:30" ht="13.2">
      <c r="F936" s="21"/>
      <c r="G936" s="21"/>
      <c r="H936" s="21"/>
      <c r="L936" s="21"/>
      <c r="M936" s="21"/>
      <c r="N936" s="21"/>
      <c r="O936" s="21"/>
      <c r="U936" s="21"/>
      <c r="V936" s="21"/>
      <c r="W936" s="21"/>
      <c r="AA936" s="21"/>
      <c r="AB936" s="21"/>
      <c r="AC936" s="21"/>
      <c r="AD936" s="21"/>
    </row>
    <row r="937" spans="6:30" ht="13.2">
      <c r="F937" s="21"/>
      <c r="G937" s="21"/>
      <c r="H937" s="21"/>
      <c r="L937" s="21"/>
      <c r="M937" s="21"/>
      <c r="N937" s="21"/>
      <c r="O937" s="21"/>
      <c r="U937" s="21"/>
      <c r="V937" s="21"/>
      <c r="W937" s="21"/>
      <c r="AA937" s="21"/>
      <c r="AB937" s="21"/>
      <c r="AC937" s="21"/>
      <c r="AD937" s="21"/>
    </row>
    <row r="938" spans="6:30" ht="13.2">
      <c r="F938" s="21"/>
      <c r="G938" s="21"/>
      <c r="H938" s="21"/>
      <c r="L938" s="21"/>
      <c r="M938" s="21"/>
      <c r="N938" s="21"/>
      <c r="O938" s="21"/>
      <c r="U938" s="21"/>
      <c r="V938" s="21"/>
      <c r="W938" s="21"/>
      <c r="AA938" s="21"/>
      <c r="AB938" s="21"/>
      <c r="AC938" s="21"/>
      <c r="AD938" s="21"/>
    </row>
    <row r="939" spans="6:30" ht="13.2">
      <c r="F939" s="21"/>
      <c r="G939" s="21"/>
      <c r="H939" s="21"/>
      <c r="L939" s="21"/>
      <c r="M939" s="21"/>
      <c r="N939" s="21"/>
      <c r="O939" s="21"/>
      <c r="U939" s="21"/>
      <c r="V939" s="21"/>
      <c r="W939" s="21"/>
      <c r="AA939" s="21"/>
      <c r="AB939" s="21"/>
      <c r="AC939" s="21"/>
      <c r="AD939" s="21"/>
    </row>
    <row r="940" spans="6:30" ht="13.2">
      <c r="F940" s="21"/>
      <c r="G940" s="21"/>
      <c r="H940" s="21"/>
      <c r="L940" s="21"/>
      <c r="M940" s="21"/>
      <c r="N940" s="21"/>
      <c r="O940" s="21"/>
      <c r="U940" s="21"/>
      <c r="V940" s="21"/>
      <c r="W940" s="21"/>
      <c r="AA940" s="21"/>
      <c r="AB940" s="21"/>
      <c r="AC940" s="21"/>
      <c r="AD940" s="21"/>
    </row>
    <row r="941" spans="6:30" ht="13.2">
      <c r="F941" s="21"/>
      <c r="G941" s="21"/>
      <c r="H941" s="21"/>
      <c r="L941" s="21"/>
      <c r="M941" s="21"/>
      <c r="N941" s="21"/>
      <c r="O941" s="21"/>
      <c r="U941" s="21"/>
      <c r="V941" s="21"/>
      <c r="W941" s="21"/>
      <c r="AA941" s="21"/>
      <c r="AB941" s="21"/>
      <c r="AC941" s="21"/>
      <c r="AD941" s="21"/>
    </row>
    <row r="942" spans="6:30" ht="13.2">
      <c r="F942" s="21"/>
      <c r="G942" s="21"/>
      <c r="H942" s="21"/>
      <c r="L942" s="21"/>
      <c r="M942" s="21"/>
      <c r="N942" s="21"/>
      <c r="O942" s="21"/>
      <c r="U942" s="21"/>
      <c r="V942" s="21"/>
      <c r="W942" s="21"/>
      <c r="AA942" s="21"/>
      <c r="AB942" s="21"/>
      <c r="AC942" s="21"/>
      <c r="AD942" s="21"/>
    </row>
    <row r="943" spans="6:30" ht="13.2">
      <c r="F943" s="21"/>
      <c r="G943" s="21"/>
      <c r="H943" s="21"/>
      <c r="L943" s="21"/>
      <c r="M943" s="21"/>
      <c r="N943" s="21"/>
      <c r="O943" s="21"/>
      <c r="U943" s="21"/>
      <c r="V943" s="21"/>
      <c r="W943" s="21"/>
      <c r="AA943" s="21"/>
      <c r="AB943" s="21"/>
      <c r="AC943" s="21"/>
      <c r="AD943" s="21"/>
    </row>
    <row r="944" spans="6:30" ht="13.2">
      <c r="F944" s="21"/>
      <c r="G944" s="21"/>
      <c r="H944" s="21"/>
      <c r="L944" s="21"/>
      <c r="M944" s="21"/>
      <c r="N944" s="21"/>
      <c r="O944" s="21"/>
      <c r="U944" s="21"/>
      <c r="V944" s="21"/>
      <c r="W944" s="21"/>
      <c r="AA944" s="21"/>
      <c r="AB944" s="21"/>
      <c r="AC944" s="21"/>
      <c r="AD944" s="21"/>
    </row>
    <row r="945" spans="6:30" ht="13.2">
      <c r="F945" s="21"/>
      <c r="G945" s="21"/>
      <c r="H945" s="21"/>
      <c r="L945" s="21"/>
      <c r="M945" s="21"/>
      <c r="N945" s="21"/>
      <c r="O945" s="21"/>
      <c r="U945" s="21"/>
      <c r="V945" s="21"/>
      <c r="W945" s="21"/>
      <c r="AA945" s="21"/>
      <c r="AB945" s="21"/>
      <c r="AC945" s="21"/>
      <c r="AD945" s="21"/>
    </row>
    <row r="946" spans="6:30" ht="13.2">
      <c r="F946" s="21"/>
      <c r="G946" s="21"/>
      <c r="H946" s="21"/>
      <c r="L946" s="21"/>
      <c r="M946" s="21"/>
      <c r="N946" s="21"/>
      <c r="O946" s="21"/>
      <c r="U946" s="21"/>
      <c r="V946" s="21"/>
      <c r="W946" s="21"/>
      <c r="AA946" s="21"/>
      <c r="AB946" s="21"/>
      <c r="AC946" s="21"/>
      <c r="AD946" s="21"/>
    </row>
    <row r="947" spans="6:30" ht="13.2">
      <c r="F947" s="21"/>
      <c r="G947" s="21"/>
      <c r="H947" s="21"/>
      <c r="L947" s="21"/>
      <c r="M947" s="21"/>
      <c r="N947" s="21"/>
      <c r="O947" s="21"/>
      <c r="U947" s="21"/>
      <c r="V947" s="21"/>
      <c r="W947" s="21"/>
      <c r="AA947" s="21"/>
      <c r="AB947" s="21"/>
      <c r="AC947" s="21"/>
      <c r="AD947" s="21"/>
    </row>
    <row r="948" spans="6:30" ht="13.2">
      <c r="F948" s="21"/>
      <c r="G948" s="21"/>
      <c r="H948" s="21"/>
      <c r="L948" s="21"/>
      <c r="M948" s="21"/>
      <c r="N948" s="21"/>
      <c r="O948" s="21"/>
      <c r="U948" s="21"/>
      <c r="V948" s="21"/>
      <c r="W948" s="21"/>
      <c r="AA948" s="21"/>
      <c r="AB948" s="21"/>
      <c r="AC948" s="21"/>
      <c r="AD948" s="21"/>
    </row>
    <row r="949" spans="6:30" ht="13.2">
      <c r="F949" s="21"/>
      <c r="G949" s="21"/>
      <c r="H949" s="21"/>
      <c r="L949" s="21"/>
      <c r="M949" s="21"/>
      <c r="N949" s="21"/>
      <c r="O949" s="21"/>
      <c r="U949" s="21"/>
      <c r="V949" s="21"/>
      <c r="W949" s="21"/>
      <c r="AA949" s="21"/>
      <c r="AB949" s="21"/>
      <c r="AC949" s="21"/>
      <c r="AD949" s="21"/>
    </row>
    <row r="950" spans="6:30" ht="13.2">
      <c r="F950" s="21"/>
      <c r="G950" s="21"/>
      <c r="H950" s="21"/>
      <c r="L950" s="21"/>
      <c r="M950" s="21"/>
      <c r="N950" s="21"/>
      <c r="O950" s="21"/>
      <c r="U950" s="21"/>
      <c r="V950" s="21"/>
      <c r="W950" s="21"/>
      <c r="AA950" s="21"/>
      <c r="AB950" s="21"/>
      <c r="AC950" s="21"/>
      <c r="AD950" s="21"/>
    </row>
    <row r="951" spans="6:30" ht="13.2">
      <c r="F951" s="21"/>
      <c r="G951" s="21"/>
      <c r="H951" s="21"/>
      <c r="L951" s="21"/>
      <c r="M951" s="21"/>
      <c r="N951" s="21"/>
      <c r="O951" s="21"/>
      <c r="U951" s="21"/>
      <c r="V951" s="21"/>
      <c r="W951" s="21"/>
      <c r="AA951" s="21"/>
      <c r="AB951" s="21"/>
      <c r="AC951" s="21"/>
      <c r="AD951" s="21"/>
    </row>
    <row r="952" spans="6:30" ht="13.2">
      <c r="F952" s="21"/>
      <c r="G952" s="21"/>
      <c r="H952" s="21"/>
      <c r="L952" s="21"/>
      <c r="M952" s="21"/>
      <c r="N952" s="21"/>
      <c r="O952" s="21"/>
      <c r="U952" s="21"/>
      <c r="V952" s="21"/>
      <c r="W952" s="21"/>
      <c r="AA952" s="21"/>
      <c r="AB952" s="21"/>
      <c r="AC952" s="21"/>
      <c r="AD952" s="21"/>
    </row>
    <row r="953" spans="6:30" ht="13.2">
      <c r="F953" s="21"/>
      <c r="G953" s="21"/>
      <c r="H953" s="21"/>
      <c r="L953" s="21"/>
      <c r="M953" s="21"/>
      <c r="N953" s="21"/>
      <c r="O953" s="21"/>
      <c r="U953" s="21"/>
      <c r="V953" s="21"/>
      <c r="W953" s="21"/>
      <c r="AA953" s="21"/>
      <c r="AB953" s="21"/>
      <c r="AC953" s="21"/>
      <c r="AD953" s="21"/>
    </row>
    <row r="954" spans="6:30" ht="13.2">
      <c r="F954" s="21"/>
      <c r="G954" s="21"/>
      <c r="H954" s="21"/>
      <c r="L954" s="21"/>
      <c r="M954" s="21"/>
      <c r="N954" s="21"/>
      <c r="O954" s="21"/>
      <c r="U954" s="21"/>
      <c r="V954" s="21"/>
      <c r="W954" s="21"/>
      <c r="AA954" s="21"/>
      <c r="AB954" s="21"/>
      <c r="AC954" s="21"/>
      <c r="AD954" s="21"/>
    </row>
    <row r="955" spans="6:30" ht="13.2">
      <c r="F955" s="21"/>
      <c r="G955" s="21"/>
      <c r="H955" s="21"/>
      <c r="L955" s="21"/>
      <c r="M955" s="21"/>
      <c r="N955" s="21"/>
      <c r="O955" s="21"/>
      <c r="U955" s="21"/>
      <c r="V955" s="21"/>
      <c r="W955" s="21"/>
      <c r="AA955" s="21"/>
      <c r="AB955" s="21"/>
      <c r="AC955" s="21"/>
      <c r="AD955" s="21"/>
    </row>
    <row r="956" spans="6:30" ht="13.2">
      <c r="F956" s="21"/>
      <c r="G956" s="21"/>
      <c r="H956" s="21"/>
      <c r="L956" s="21"/>
      <c r="M956" s="21"/>
      <c r="N956" s="21"/>
      <c r="O956" s="21"/>
      <c r="U956" s="21"/>
      <c r="V956" s="21"/>
      <c r="W956" s="21"/>
      <c r="AA956" s="21"/>
      <c r="AB956" s="21"/>
      <c r="AC956" s="21"/>
      <c r="AD956" s="21"/>
    </row>
    <row r="957" spans="6:30" ht="13.2">
      <c r="F957" s="21"/>
      <c r="G957" s="21"/>
      <c r="H957" s="21"/>
      <c r="L957" s="21"/>
      <c r="M957" s="21"/>
      <c r="N957" s="21"/>
      <c r="O957" s="21"/>
      <c r="U957" s="21"/>
      <c r="V957" s="21"/>
      <c r="W957" s="21"/>
      <c r="AA957" s="21"/>
      <c r="AB957" s="21"/>
      <c r="AC957" s="21"/>
      <c r="AD957" s="21"/>
    </row>
    <row r="958" spans="6:30" ht="13.2">
      <c r="F958" s="21"/>
      <c r="G958" s="21"/>
      <c r="H958" s="21"/>
      <c r="L958" s="21"/>
      <c r="M958" s="21"/>
      <c r="N958" s="21"/>
      <c r="O958" s="21"/>
      <c r="U958" s="21"/>
      <c r="V958" s="21"/>
      <c r="W958" s="21"/>
      <c r="AA958" s="21"/>
      <c r="AB958" s="21"/>
      <c r="AC958" s="21"/>
      <c r="AD958" s="21"/>
    </row>
    <row r="959" spans="6:30" ht="13.2">
      <c r="F959" s="21"/>
      <c r="G959" s="21"/>
      <c r="H959" s="21"/>
      <c r="L959" s="21"/>
      <c r="M959" s="21"/>
      <c r="N959" s="21"/>
      <c r="O959" s="21"/>
      <c r="U959" s="21"/>
      <c r="V959" s="21"/>
      <c r="W959" s="21"/>
      <c r="AA959" s="21"/>
      <c r="AB959" s="21"/>
      <c r="AC959" s="21"/>
      <c r="AD959" s="21"/>
    </row>
    <row r="960" spans="6:30" ht="13.2">
      <c r="F960" s="21"/>
      <c r="G960" s="21"/>
      <c r="H960" s="21"/>
      <c r="L960" s="21"/>
      <c r="M960" s="21"/>
      <c r="N960" s="21"/>
      <c r="O960" s="21"/>
      <c r="U960" s="21"/>
      <c r="V960" s="21"/>
      <c r="W960" s="21"/>
      <c r="AA960" s="21"/>
      <c r="AB960" s="21"/>
      <c r="AC960" s="21"/>
      <c r="AD960" s="21"/>
    </row>
    <row r="961" spans="6:30" ht="13.2">
      <c r="F961" s="21"/>
      <c r="G961" s="21"/>
      <c r="H961" s="21"/>
      <c r="L961" s="21"/>
      <c r="M961" s="21"/>
      <c r="N961" s="21"/>
      <c r="O961" s="21"/>
      <c r="U961" s="21"/>
      <c r="V961" s="21"/>
      <c r="W961" s="21"/>
      <c r="AA961" s="21"/>
      <c r="AB961" s="21"/>
      <c r="AC961" s="21"/>
      <c r="AD961" s="21"/>
    </row>
    <row r="962" spans="6:30" ht="13.2">
      <c r="F962" s="21"/>
      <c r="G962" s="21"/>
      <c r="H962" s="21"/>
      <c r="L962" s="21"/>
      <c r="M962" s="21"/>
      <c r="N962" s="21"/>
      <c r="O962" s="21"/>
      <c r="U962" s="21"/>
      <c r="V962" s="21"/>
      <c r="W962" s="21"/>
      <c r="AA962" s="21"/>
      <c r="AB962" s="21"/>
      <c r="AC962" s="21"/>
      <c r="AD962" s="21"/>
    </row>
    <row r="963" spans="6:30" ht="13.2">
      <c r="F963" s="21"/>
      <c r="G963" s="21"/>
      <c r="H963" s="21"/>
      <c r="L963" s="21"/>
      <c r="M963" s="21"/>
      <c r="N963" s="21"/>
      <c r="O963" s="21"/>
      <c r="U963" s="21"/>
      <c r="V963" s="21"/>
      <c r="W963" s="21"/>
      <c r="AA963" s="21"/>
      <c r="AB963" s="21"/>
      <c r="AC963" s="21"/>
      <c r="AD963" s="21"/>
    </row>
    <row r="964" spans="6:30" ht="13.2">
      <c r="F964" s="21"/>
      <c r="G964" s="21"/>
      <c r="H964" s="21"/>
      <c r="L964" s="21"/>
      <c r="M964" s="21"/>
      <c r="N964" s="21"/>
      <c r="O964" s="21"/>
      <c r="U964" s="21"/>
      <c r="V964" s="21"/>
      <c r="W964" s="21"/>
      <c r="AA964" s="21"/>
      <c r="AB964" s="21"/>
      <c r="AC964" s="21"/>
      <c r="AD964" s="21"/>
    </row>
    <row r="965" spans="6:30" ht="13.2">
      <c r="F965" s="21"/>
      <c r="G965" s="21"/>
      <c r="H965" s="21"/>
      <c r="L965" s="21"/>
      <c r="M965" s="21"/>
      <c r="N965" s="21"/>
      <c r="O965" s="21"/>
      <c r="U965" s="21"/>
      <c r="V965" s="21"/>
      <c r="W965" s="21"/>
      <c r="AA965" s="21"/>
      <c r="AB965" s="21"/>
      <c r="AC965" s="21"/>
      <c r="AD965" s="21"/>
    </row>
    <row r="966" spans="6:30" ht="13.2">
      <c r="F966" s="21"/>
      <c r="G966" s="21"/>
      <c r="H966" s="21"/>
      <c r="L966" s="21"/>
      <c r="M966" s="21"/>
      <c r="N966" s="21"/>
      <c r="O966" s="21"/>
      <c r="U966" s="21"/>
      <c r="V966" s="21"/>
      <c r="W966" s="21"/>
      <c r="AA966" s="21"/>
      <c r="AB966" s="21"/>
      <c r="AC966" s="21"/>
      <c r="AD966" s="21"/>
    </row>
    <row r="967" spans="6:30" ht="13.2">
      <c r="F967" s="21"/>
      <c r="G967" s="21"/>
      <c r="H967" s="21"/>
      <c r="L967" s="21"/>
      <c r="M967" s="21"/>
      <c r="N967" s="21"/>
      <c r="O967" s="21"/>
      <c r="U967" s="21"/>
      <c r="V967" s="21"/>
      <c r="W967" s="21"/>
      <c r="AA967" s="21"/>
      <c r="AB967" s="21"/>
      <c r="AC967" s="21"/>
      <c r="AD967" s="21"/>
    </row>
    <row r="968" spans="6:30" ht="13.2">
      <c r="F968" s="21"/>
      <c r="G968" s="21"/>
      <c r="H968" s="21"/>
      <c r="L968" s="21"/>
      <c r="M968" s="21"/>
      <c r="N968" s="21"/>
      <c r="O968" s="21"/>
      <c r="U968" s="21"/>
      <c r="V968" s="21"/>
      <c r="W968" s="21"/>
      <c r="AA968" s="21"/>
      <c r="AB968" s="21"/>
      <c r="AC968" s="21"/>
      <c r="AD968" s="21"/>
    </row>
    <row r="969" spans="6:30" ht="13.2">
      <c r="F969" s="21"/>
      <c r="G969" s="21"/>
      <c r="H969" s="21"/>
      <c r="L969" s="21"/>
      <c r="M969" s="21"/>
      <c r="N969" s="21"/>
      <c r="O969" s="21"/>
      <c r="U969" s="21"/>
      <c r="V969" s="21"/>
      <c r="W969" s="21"/>
      <c r="AA969" s="21"/>
      <c r="AB969" s="21"/>
      <c r="AC969" s="21"/>
      <c r="AD969" s="21"/>
    </row>
    <row r="970" spans="6:30" ht="13.2">
      <c r="F970" s="21"/>
      <c r="G970" s="21"/>
      <c r="H970" s="21"/>
      <c r="L970" s="21"/>
      <c r="M970" s="21"/>
      <c r="N970" s="21"/>
      <c r="O970" s="21"/>
      <c r="U970" s="21"/>
      <c r="V970" s="21"/>
      <c r="W970" s="21"/>
      <c r="AA970" s="21"/>
      <c r="AB970" s="21"/>
      <c r="AC970" s="21"/>
      <c r="AD970" s="21"/>
    </row>
    <row r="971" spans="6:30" ht="13.2">
      <c r="F971" s="21"/>
      <c r="G971" s="21"/>
      <c r="H971" s="21"/>
      <c r="L971" s="21"/>
      <c r="M971" s="21"/>
      <c r="N971" s="21"/>
      <c r="O971" s="21"/>
      <c r="U971" s="21"/>
      <c r="V971" s="21"/>
      <c r="W971" s="21"/>
      <c r="AA971" s="21"/>
      <c r="AB971" s="21"/>
      <c r="AC971" s="21"/>
      <c r="AD971" s="21"/>
    </row>
    <row r="972" spans="6:30" ht="13.2">
      <c r="F972" s="21"/>
      <c r="G972" s="21"/>
      <c r="H972" s="21"/>
      <c r="L972" s="21"/>
      <c r="M972" s="21"/>
      <c r="N972" s="21"/>
      <c r="O972" s="21"/>
      <c r="U972" s="21"/>
      <c r="V972" s="21"/>
      <c r="W972" s="21"/>
      <c r="AA972" s="21"/>
      <c r="AB972" s="21"/>
      <c r="AC972" s="21"/>
      <c r="AD972" s="21"/>
    </row>
    <row r="973" spans="6:30" ht="13.2">
      <c r="F973" s="21"/>
      <c r="G973" s="21"/>
      <c r="H973" s="21"/>
      <c r="L973" s="21"/>
      <c r="M973" s="21"/>
      <c r="N973" s="21"/>
      <c r="O973" s="21"/>
      <c r="U973" s="21"/>
      <c r="V973" s="21"/>
      <c r="W973" s="21"/>
      <c r="AA973" s="21"/>
      <c r="AB973" s="21"/>
      <c r="AC973" s="21"/>
      <c r="AD973" s="21"/>
    </row>
    <row r="974" spans="6:30" ht="13.2">
      <c r="F974" s="21"/>
      <c r="G974" s="21"/>
      <c r="H974" s="21"/>
      <c r="L974" s="21"/>
      <c r="M974" s="21"/>
      <c r="N974" s="21"/>
      <c r="O974" s="21"/>
      <c r="U974" s="21"/>
      <c r="V974" s="21"/>
      <c r="W974" s="21"/>
      <c r="AA974" s="21"/>
      <c r="AB974" s="21"/>
      <c r="AC974" s="21"/>
      <c r="AD974" s="21"/>
    </row>
    <row r="975" spans="6:30" ht="13.2">
      <c r="F975" s="21"/>
      <c r="G975" s="21"/>
      <c r="H975" s="21"/>
      <c r="L975" s="21"/>
      <c r="M975" s="21"/>
      <c r="N975" s="21"/>
      <c r="O975" s="21"/>
      <c r="U975" s="21"/>
      <c r="V975" s="21"/>
      <c r="W975" s="21"/>
      <c r="AA975" s="21"/>
      <c r="AB975" s="21"/>
      <c r="AC975" s="21"/>
      <c r="AD975" s="21"/>
    </row>
    <row r="976" spans="6:30" ht="13.2">
      <c r="F976" s="21"/>
      <c r="G976" s="21"/>
      <c r="H976" s="21"/>
      <c r="L976" s="21"/>
      <c r="M976" s="21"/>
      <c r="N976" s="21"/>
      <c r="O976" s="21"/>
      <c r="U976" s="21"/>
      <c r="V976" s="21"/>
      <c r="W976" s="21"/>
      <c r="AA976" s="21"/>
      <c r="AB976" s="21"/>
      <c r="AC976" s="21"/>
      <c r="AD976" s="21"/>
    </row>
    <row r="977" spans="6:30" ht="13.2">
      <c r="F977" s="21"/>
      <c r="G977" s="21"/>
      <c r="H977" s="21"/>
      <c r="L977" s="21"/>
      <c r="M977" s="21"/>
      <c r="N977" s="21"/>
      <c r="O977" s="21"/>
      <c r="U977" s="21"/>
      <c r="V977" s="21"/>
      <c r="W977" s="21"/>
      <c r="AA977" s="21"/>
      <c r="AB977" s="21"/>
      <c r="AC977" s="21"/>
      <c r="AD977" s="21"/>
    </row>
    <row r="978" spans="6:30" ht="13.2">
      <c r="F978" s="21"/>
      <c r="G978" s="21"/>
      <c r="H978" s="21"/>
      <c r="L978" s="21"/>
      <c r="M978" s="21"/>
      <c r="N978" s="21"/>
      <c r="O978" s="21"/>
      <c r="U978" s="21"/>
      <c r="V978" s="21"/>
      <c r="W978" s="21"/>
      <c r="AA978" s="21"/>
      <c r="AB978" s="21"/>
      <c r="AC978" s="21"/>
      <c r="AD978" s="21"/>
    </row>
    <row r="979" spans="6:30" ht="13.2">
      <c r="F979" s="21"/>
      <c r="G979" s="21"/>
      <c r="H979" s="21"/>
      <c r="L979" s="21"/>
      <c r="M979" s="21"/>
      <c r="N979" s="21"/>
      <c r="O979" s="21"/>
      <c r="U979" s="21"/>
      <c r="V979" s="21"/>
      <c r="W979" s="21"/>
      <c r="AA979" s="21"/>
      <c r="AB979" s="21"/>
      <c r="AC979" s="21"/>
      <c r="AD979" s="21"/>
    </row>
    <row r="980" spans="6:30" ht="13.2">
      <c r="F980" s="21"/>
      <c r="G980" s="21"/>
      <c r="H980" s="21"/>
      <c r="L980" s="21"/>
      <c r="M980" s="21"/>
      <c r="N980" s="21"/>
      <c r="O980" s="21"/>
      <c r="U980" s="21"/>
      <c r="V980" s="21"/>
      <c r="W980" s="21"/>
      <c r="AA980" s="21"/>
      <c r="AB980" s="21"/>
      <c r="AC980" s="21"/>
      <c r="AD980" s="21"/>
    </row>
    <row r="981" spans="6:30" ht="13.2">
      <c r="F981" s="21"/>
      <c r="G981" s="21"/>
      <c r="H981" s="21"/>
      <c r="L981" s="21"/>
      <c r="M981" s="21"/>
      <c r="N981" s="21"/>
      <c r="O981" s="21"/>
      <c r="U981" s="21"/>
      <c r="V981" s="21"/>
      <c r="W981" s="21"/>
      <c r="AA981" s="21"/>
      <c r="AB981" s="21"/>
      <c r="AC981" s="21"/>
      <c r="AD981" s="21"/>
    </row>
    <row r="982" spans="6:30" ht="13.2">
      <c r="F982" s="21"/>
      <c r="G982" s="21"/>
      <c r="H982" s="21"/>
      <c r="L982" s="21"/>
      <c r="M982" s="21"/>
      <c r="N982" s="21"/>
      <c r="O982" s="21"/>
      <c r="U982" s="21"/>
      <c r="V982" s="21"/>
      <c r="W982" s="21"/>
      <c r="AA982" s="21"/>
      <c r="AB982" s="21"/>
      <c r="AC982" s="21"/>
      <c r="AD982" s="21"/>
    </row>
    <row r="983" spans="6:30" ht="13.2">
      <c r="F983" s="21"/>
      <c r="G983" s="21"/>
      <c r="H983" s="21"/>
      <c r="L983" s="21"/>
      <c r="M983" s="21"/>
      <c r="N983" s="21"/>
      <c r="O983" s="21"/>
      <c r="U983" s="21"/>
      <c r="V983" s="21"/>
      <c r="W983" s="21"/>
      <c r="AA983" s="21"/>
      <c r="AB983" s="21"/>
      <c r="AC983" s="21"/>
      <c r="AD983" s="21"/>
    </row>
    <row r="984" spans="6:30" ht="13.2">
      <c r="F984" s="21"/>
      <c r="G984" s="21"/>
      <c r="H984" s="21"/>
      <c r="L984" s="21"/>
      <c r="M984" s="21"/>
      <c r="N984" s="21"/>
      <c r="O984" s="21"/>
      <c r="U984" s="21"/>
      <c r="V984" s="21"/>
      <c r="W984" s="21"/>
      <c r="AA984" s="21"/>
      <c r="AB984" s="21"/>
      <c r="AC984" s="21"/>
      <c r="AD984" s="21"/>
    </row>
    <row r="985" spans="6:30" ht="13.2">
      <c r="F985" s="21"/>
      <c r="G985" s="21"/>
      <c r="H985" s="21"/>
      <c r="L985" s="21"/>
      <c r="M985" s="21"/>
      <c r="N985" s="21"/>
      <c r="O985" s="21"/>
      <c r="U985" s="21"/>
      <c r="V985" s="21"/>
      <c r="W985" s="21"/>
      <c r="AA985" s="21"/>
      <c r="AB985" s="21"/>
      <c r="AC985" s="21"/>
      <c r="AD985" s="21"/>
    </row>
    <row r="986" spans="6:30" ht="13.2">
      <c r="F986" s="21"/>
      <c r="G986" s="21"/>
      <c r="H986" s="21"/>
      <c r="L986" s="21"/>
      <c r="M986" s="21"/>
      <c r="N986" s="21"/>
      <c r="O986" s="21"/>
      <c r="U986" s="21"/>
      <c r="V986" s="21"/>
      <c r="W986" s="21"/>
      <c r="AA986" s="21"/>
      <c r="AB986" s="21"/>
      <c r="AC986" s="21"/>
      <c r="AD986" s="21"/>
    </row>
    <row r="987" spans="6:30" ht="13.2">
      <c r="F987" s="21"/>
      <c r="G987" s="21"/>
      <c r="H987" s="21"/>
      <c r="L987" s="21"/>
      <c r="M987" s="21"/>
      <c r="N987" s="21"/>
      <c r="O987" s="21"/>
      <c r="U987" s="21"/>
      <c r="V987" s="21"/>
      <c r="W987" s="21"/>
      <c r="AA987" s="21"/>
      <c r="AB987" s="21"/>
      <c r="AC987" s="21"/>
      <c r="AD987" s="21"/>
    </row>
    <row r="988" spans="6:30" ht="13.2">
      <c r="F988" s="21"/>
      <c r="G988" s="21"/>
      <c r="H988" s="21"/>
      <c r="L988" s="21"/>
      <c r="M988" s="21"/>
      <c r="N988" s="21"/>
      <c r="O988" s="21"/>
      <c r="U988" s="21"/>
      <c r="V988" s="21"/>
      <c r="W988" s="21"/>
      <c r="AA988" s="21"/>
      <c r="AB988" s="21"/>
      <c r="AC988" s="21"/>
      <c r="AD988" s="21"/>
    </row>
    <row r="989" spans="6:30" ht="13.2">
      <c r="F989" s="21"/>
      <c r="G989" s="21"/>
      <c r="H989" s="21"/>
      <c r="L989" s="21"/>
      <c r="M989" s="21"/>
      <c r="N989" s="21"/>
      <c r="O989" s="21"/>
      <c r="U989" s="21"/>
      <c r="V989" s="21"/>
      <c r="W989" s="21"/>
      <c r="AA989" s="21"/>
      <c r="AB989" s="21"/>
      <c r="AC989" s="21"/>
      <c r="AD989" s="21"/>
    </row>
    <row r="990" spans="6:30" ht="13.2">
      <c r="F990" s="21"/>
      <c r="G990" s="21"/>
      <c r="H990" s="21"/>
      <c r="L990" s="21"/>
      <c r="M990" s="21"/>
      <c r="N990" s="21"/>
      <c r="O990" s="21"/>
      <c r="U990" s="21"/>
      <c r="V990" s="21"/>
      <c r="W990" s="21"/>
      <c r="AA990" s="21"/>
      <c r="AB990" s="21"/>
      <c r="AC990" s="21"/>
      <c r="AD990" s="21"/>
    </row>
    <row r="991" spans="6:30" ht="13.2">
      <c r="F991" s="21"/>
      <c r="G991" s="21"/>
      <c r="H991" s="21"/>
      <c r="L991" s="21"/>
      <c r="M991" s="21"/>
      <c r="N991" s="21"/>
      <c r="O991" s="21"/>
      <c r="U991" s="21"/>
      <c r="V991" s="21"/>
      <c r="W991" s="21"/>
      <c r="AA991" s="21"/>
      <c r="AB991" s="21"/>
      <c r="AC991" s="21"/>
      <c r="AD991" s="21"/>
    </row>
    <row r="992" spans="6:30" ht="13.2">
      <c r="F992" s="21"/>
      <c r="G992" s="21"/>
      <c r="H992" s="21"/>
      <c r="L992" s="21"/>
      <c r="M992" s="21"/>
      <c r="N992" s="21"/>
      <c r="O992" s="21"/>
      <c r="U992" s="21"/>
      <c r="V992" s="21"/>
      <c r="W992" s="21"/>
      <c r="AA992" s="21"/>
      <c r="AB992" s="21"/>
      <c r="AC992" s="21"/>
      <c r="AD992" s="21"/>
    </row>
    <row r="993" spans="6:30" ht="13.2">
      <c r="F993" s="21"/>
      <c r="G993" s="21"/>
      <c r="H993" s="21"/>
      <c r="L993" s="21"/>
      <c r="M993" s="21"/>
      <c r="N993" s="21"/>
      <c r="O993" s="21"/>
      <c r="U993" s="21"/>
      <c r="V993" s="21"/>
      <c r="W993" s="21"/>
      <c r="AA993" s="21"/>
      <c r="AB993" s="21"/>
      <c r="AC993" s="21"/>
      <c r="AD993" s="21"/>
    </row>
    <row r="994" spans="6:30" ht="13.2">
      <c r="F994" s="21"/>
      <c r="G994" s="21"/>
      <c r="H994" s="21"/>
      <c r="L994" s="21"/>
      <c r="M994" s="21"/>
      <c r="N994" s="21"/>
      <c r="O994" s="21"/>
      <c r="U994" s="21"/>
      <c r="V994" s="21"/>
      <c r="W994" s="21"/>
      <c r="AA994" s="21"/>
      <c r="AB994" s="21"/>
      <c r="AC994" s="21"/>
      <c r="AD994" s="21"/>
    </row>
    <row r="995" spans="6:30" ht="13.2">
      <c r="F995" s="21"/>
      <c r="G995" s="21"/>
      <c r="H995" s="21"/>
      <c r="L995" s="21"/>
      <c r="M995" s="21"/>
      <c r="N995" s="21"/>
      <c r="O995" s="21"/>
      <c r="U995" s="21"/>
      <c r="V995" s="21"/>
      <c r="W995" s="21"/>
      <c r="AA995" s="21"/>
      <c r="AB995" s="21"/>
      <c r="AC995" s="21"/>
      <c r="AD995" s="21"/>
    </row>
    <row r="996" spans="6:30" ht="13.2">
      <c r="F996" s="21"/>
      <c r="G996" s="21"/>
      <c r="H996" s="21"/>
      <c r="L996" s="21"/>
      <c r="M996" s="21"/>
      <c r="N996" s="21"/>
      <c r="O996" s="21"/>
      <c r="U996" s="21"/>
      <c r="V996" s="21"/>
      <c r="W996" s="21"/>
      <c r="AA996" s="21"/>
      <c r="AB996" s="21"/>
      <c r="AC996" s="21"/>
      <c r="AD996" s="21"/>
    </row>
    <row r="997" spans="6:30" ht="13.2">
      <c r="F997" s="21"/>
      <c r="G997" s="21"/>
      <c r="H997" s="21"/>
      <c r="L997" s="21"/>
      <c r="M997" s="21"/>
      <c r="N997" s="21"/>
      <c r="O997" s="21"/>
      <c r="U997" s="21"/>
      <c r="V997" s="21"/>
      <c r="W997" s="21"/>
      <c r="AA997" s="21"/>
      <c r="AB997" s="21"/>
      <c r="AC997" s="21"/>
      <c r="AD997" s="21"/>
    </row>
    <row r="998" spans="6:30" ht="13.2">
      <c r="F998" s="21"/>
      <c r="G998" s="21"/>
      <c r="H998" s="21"/>
      <c r="L998" s="21"/>
      <c r="M998" s="21"/>
      <c r="N998" s="21"/>
      <c r="O998" s="21"/>
      <c r="U998" s="21"/>
      <c r="V998" s="21"/>
      <c r="W998" s="21"/>
      <c r="AA998" s="21"/>
      <c r="AB998" s="21"/>
      <c r="AC998" s="21"/>
      <c r="AD998" s="21"/>
    </row>
    <row r="999" spans="6:30" ht="13.2">
      <c r="F999" s="21"/>
      <c r="G999" s="21"/>
      <c r="H999" s="21"/>
      <c r="L999" s="21"/>
      <c r="M999" s="21"/>
      <c r="N999" s="21"/>
      <c r="O999" s="21"/>
      <c r="U999" s="21"/>
      <c r="V999" s="21"/>
      <c r="W999" s="21"/>
      <c r="AA999" s="21"/>
      <c r="AB999" s="21"/>
      <c r="AC999" s="21"/>
      <c r="AD999" s="21"/>
    </row>
    <row r="1000" spans="6:30" ht="13.2">
      <c r="F1000" s="21"/>
      <c r="G1000" s="21"/>
      <c r="H1000" s="21"/>
      <c r="L1000" s="21"/>
      <c r="M1000" s="21"/>
      <c r="N1000" s="21"/>
      <c r="O1000" s="21"/>
      <c r="U1000" s="21"/>
      <c r="V1000" s="21"/>
      <c r="W1000" s="21"/>
      <c r="AA1000" s="21"/>
      <c r="AB1000" s="21"/>
      <c r="AC1000" s="21"/>
      <c r="AD1000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D1000"/>
  <sheetViews>
    <sheetView workbookViewId="0">
      <selection activeCell="A5" sqref="A5"/>
    </sheetView>
  </sheetViews>
  <sheetFormatPr baseColWidth="10" defaultColWidth="12.6640625" defaultRowHeight="15" customHeight="1"/>
  <cols>
    <col min="1" max="2" width="12.6640625" customWidth="1"/>
    <col min="3" max="3" width="15.44140625" customWidth="1"/>
    <col min="4" max="4" width="16.33203125" customWidth="1"/>
    <col min="5" max="6" width="12.6640625" customWidth="1"/>
  </cols>
  <sheetData>
    <row r="1" spans="1:4" ht="15.75" customHeight="1">
      <c r="A1" s="26" t="s">
        <v>0</v>
      </c>
      <c r="B1" s="9" t="s">
        <v>1</v>
      </c>
      <c r="C1" s="50" t="s">
        <v>14</v>
      </c>
      <c r="D1" s="4" t="s">
        <v>356</v>
      </c>
    </row>
    <row r="2" spans="1:4" ht="15.75" customHeight="1">
      <c r="A2" s="8">
        <v>10101</v>
      </c>
      <c r="B2" s="9" t="s">
        <v>16</v>
      </c>
      <c r="C2" s="12">
        <v>0.16031860542796569</v>
      </c>
      <c r="D2" s="18">
        <v>0.23978909437560603</v>
      </c>
    </row>
    <row r="3" spans="1:4" ht="15.75" customHeight="1">
      <c r="A3" s="8">
        <v>10102</v>
      </c>
      <c r="B3" s="9" t="s">
        <v>17</v>
      </c>
      <c r="C3" s="12">
        <v>0.49002081225293403</v>
      </c>
      <c r="D3" s="18">
        <v>0.92190543015246773</v>
      </c>
    </row>
    <row r="4" spans="1:4" ht="15.75" customHeight="1">
      <c r="A4" s="8">
        <v>10103</v>
      </c>
      <c r="B4" s="9" t="s">
        <v>18</v>
      </c>
      <c r="C4" s="12">
        <v>0.66253598831994009</v>
      </c>
      <c r="D4" s="18">
        <v>0.90442374807624515</v>
      </c>
    </row>
    <row r="5" spans="1:4" ht="15.75" customHeight="1">
      <c r="A5" s="8">
        <v>10201</v>
      </c>
      <c r="B5" s="9" t="s">
        <v>19</v>
      </c>
      <c r="C5" s="12">
        <v>0.66728452485856327</v>
      </c>
      <c r="D5" s="18">
        <v>0.51812527829538191</v>
      </c>
    </row>
    <row r="6" spans="1:4" ht="15.75" customHeight="1">
      <c r="A6" s="8">
        <v>10202</v>
      </c>
      <c r="B6" s="9" t="s">
        <v>20</v>
      </c>
      <c r="C6" s="12">
        <v>0.54754111393218574</v>
      </c>
      <c r="D6" s="18">
        <v>0.62626315591431803</v>
      </c>
    </row>
    <row r="7" spans="1:4" ht="15.75" customHeight="1">
      <c r="A7" s="8">
        <v>10301</v>
      </c>
      <c r="B7" s="9" t="s">
        <v>21</v>
      </c>
      <c r="C7" s="12">
        <v>0.3169300622419835</v>
      </c>
      <c r="D7" s="18">
        <v>0.57769908740104092</v>
      </c>
    </row>
    <row r="8" spans="1:4" ht="15.75" customHeight="1">
      <c r="A8" s="8">
        <v>10302</v>
      </c>
      <c r="B8" s="9" t="s">
        <v>22</v>
      </c>
      <c r="C8" s="12">
        <v>0.40849255220375097</v>
      </c>
      <c r="D8" s="18">
        <v>0.71901047996254752</v>
      </c>
    </row>
    <row r="9" spans="1:4" ht="15.75" customHeight="1">
      <c r="A9" s="8">
        <v>10303</v>
      </c>
      <c r="B9" s="9" t="s">
        <v>23</v>
      </c>
      <c r="C9" s="12">
        <v>0.75763106382115608</v>
      </c>
      <c r="D9" s="18">
        <v>1.15592974024684</v>
      </c>
    </row>
    <row r="10" spans="1:4" ht="15.75" customHeight="1">
      <c r="A10" s="8">
        <v>10304</v>
      </c>
      <c r="B10" s="9" t="s">
        <v>24</v>
      </c>
      <c r="C10" s="12">
        <v>0.26366336873848584</v>
      </c>
      <c r="D10" s="18">
        <v>1.1398806974947786</v>
      </c>
    </row>
    <row r="11" spans="1:4" ht="15.75" customHeight="1">
      <c r="A11" s="8">
        <v>10401</v>
      </c>
      <c r="B11" s="9" t="s">
        <v>25</v>
      </c>
      <c r="C11" s="12">
        <v>0.7298056684761981</v>
      </c>
      <c r="D11" s="18">
        <v>1.1741316597324996</v>
      </c>
    </row>
    <row r="12" spans="1:4" ht="15.75" customHeight="1">
      <c r="A12" s="8">
        <v>10402</v>
      </c>
      <c r="B12" s="9" t="s">
        <v>26</v>
      </c>
      <c r="C12" s="12">
        <v>0.47651187299239894</v>
      </c>
      <c r="D12" s="18">
        <v>0.83732411692450071</v>
      </c>
    </row>
    <row r="13" spans="1:4" ht="15.75" customHeight="1">
      <c r="A13" s="8">
        <v>10403</v>
      </c>
      <c r="B13" s="9" t="s">
        <v>27</v>
      </c>
      <c r="C13" s="12">
        <v>0.52662604396511314</v>
      </c>
      <c r="D13" s="18">
        <v>0.61376638539854422</v>
      </c>
    </row>
    <row r="14" spans="1:4" ht="15.75" customHeight="1">
      <c r="A14" s="8">
        <v>10404</v>
      </c>
      <c r="B14" s="9" t="s">
        <v>28</v>
      </c>
      <c r="C14" s="12">
        <v>0.88367414009630385</v>
      </c>
      <c r="D14" s="18">
        <v>0.54134635422557376</v>
      </c>
    </row>
    <row r="15" spans="1:4" ht="15.75" customHeight="1">
      <c r="A15" s="8">
        <v>10405</v>
      </c>
      <c r="B15" s="9" t="s">
        <v>29</v>
      </c>
      <c r="C15" s="12">
        <v>0.90034997220393809</v>
      </c>
      <c r="D15" s="18">
        <v>0.91920462204935893</v>
      </c>
    </row>
    <row r="16" spans="1:4" ht="15.75" customHeight="1">
      <c r="A16" s="8">
        <v>10501</v>
      </c>
      <c r="B16" s="9" t="s">
        <v>30</v>
      </c>
      <c r="C16" s="12">
        <v>0.74525056778387788</v>
      </c>
      <c r="D16" s="18">
        <v>0.81100555399233398</v>
      </c>
    </row>
    <row r="17" spans="1:4" ht="15.75" customHeight="1">
      <c r="A17" s="8">
        <v>10502</v>
      </c>
      <c r="B17" s="9" t="s">
        <v>31</v>
      </c>
      <c r="C17" s="12">
        <v>0.68093461073801398</v>
      </c>
      <c r="D17" s="18">
        <v>0.39731218400008628</v>
      </c>
    </row>
    <row r="18" spans="1:4" ht="15.75" customHeight="1">
      <c r="A18" s="8">
        <v>10601</v>
      </c>
      <c r="B18" s="9" t="s">
        <v>32</v>
      </c>
      <c r="C18" s="12">
        <v>0.48914436451197968</v>
      </c>
      <c r="D18" s="18">
        <v>0.90926001898076581</v>
      </c>
    </row>
    <row r="19" spans="1:4" ht="15.75" customHeight="1">
      <c r="A19" s="8">
        <v>10602</v>
      </c>
      <c r="B19" s="9" t="s">
        <v>33</v>
      </c>
      <c r="C19" s="12">
        <v>0.60549010809652593</v>
      </c>
      <c r="D19" s="18">
        <v>0.6147694502221045</v>
      </c>
    </row>
    <row r="20" spans="1:4" ht="15.75" customHeight="1">
      <c r="A20" s="8">
        <v>10701</v>
      </c>
      <c r="B20" s="9" t="s">
        <v>34</v>
      </c>
      <c r="C20" s="12">
        <v>0.50213370807026614</v>
      </c>
      <c r="D20" s="18">
        <v>0.60162769210955758</v>
      </c>
    </row>
    <row r="21" spans="1:4" ht="15.75" customHeight="1">
      <c r="A21" s="8">
        <v>10702</v>
      </c>
      <c r="B21" s="9" t="s">
        <v>35</v>
      </c>
      <c r="C21" s="12">
        <v>0.5490329247288972</v>
      </c>
      <c r="D21" s="18">
        <v>0.7652941276594748</v>
      </c>
    </row>
    <row r="22" spans="1:4" ht="15.75" customHeight="1">
      <c r="A22" s="8">
        <v>10703</v>
      </c>
      <c r="B22" s="9" t="s">
        <v>36</v>
      </c>
      <c r="C22" s="12">
        <v>0.47162455922998026</v>
      </c>
      <c r="D22" s="18">
        <v>0.64382472706734661</v>
      </c>
    </row>
    <row r="23" spans="1:4" ht="15.75" customHeight="1">
      <c r="A23" s="8">
        <v>10704</v>
      </c>
      <c r="B23" s="9" t="s">
        <v>37</v>
      </c>
      <c r="C23" s="12">
        <v>0.50812316030043791</v>
      </c>
      <c r="D23" s="18">
        <v>0.51801664547319637</v>
      </c>
    </row>
    <row r="24" spans="1:4" ht="15.75" customHeight="1">
      <c r="A24" s="8">
        <v>10801</v>
      </c>
      <c r="B24" s="9" t="s">
        <v>38</v>
      </c>
      <c r="C24" s="12">
        <v>0.74207610031647775</v>
      </c>
      <c r="D24" s="18">
        <v>0.49033458971580074</v>
      </c>
    </row>
    <row r="25" spans="1:4" ht="15.75" customHeight="1">
      <c r="A25" s="8">
        <v>10901</v>
      </c>
      <c r="B25" s="9" t="s">
        <v>39</v>
      </c>
      <c r="C25" s="12">
        <v>0.83190999995367609</v>
      </c>
      <c r="D25" s="18">
        <v>0.41876786961763557</v>
      </c>
    </row>
    <row r="26" spans="1:4" ht="15.75" customHeight="1">
      <c r="A26" s="8">
        <v>10902</v>
      </c>
      <c r="B26" s="9" t="s">
        <v>40</v>
      </c>
      <c r="C26" s="12">
        <v>0.72240594060680952</v>
      </c>
      <c r="D26" s="18">
        <v>0.63492494065858884</v>
      </c>
    </row>
    <row r="27" spans="1:4" ht="15.75" customHeight="1">
      <c r="A27" s="8">
        <v>10903</v>
      </c>
      <c r="B27" s="9" t="s">
        <v>41</v>
      </c>
      <c r="C27" s="12">
        <v>1.0034579550305101</v>
      </c>
      <c r="D27" s="18">
        <v>1.7141146811493833</v>
      </c>
    </row>
    <row r="28" spans="1:4" ht="15.75" customHeight="1">
      <c r="A28" s="8">
        <v>11001</v>
      </c>
      <c r="B28" s="9" t="s">
        <v>42</v>
      </c>
      <c r="C28" s="12">
        <v>0.53266851750760846</v>
      </c>
      <c r="D28" s="18">
        <v>0.38897434202833198</v>
      </c>
    </row>
    <row r="29" spans="1:4" ht="15.75" customHeight="1">
      <c r="A29" s="8">
        <v>11002</v>
      </c>
      <c r="B29" s="9" t="s">
        <v>43</v>
      </c>
      <c r="C29" s="12">
        <v>0.87954335114585736</v>
      </c>
      <c r="D29" s="18">
        <v>1.7969240071267605</v>
      </c>
    </row>
    <row r="30" spans="1:4" ht="15.75" customHeight="1">
      <c r="A30" s="8">
        <v>11003</v>
      </c>
      <c r="B30" s="9" t="s">
        <v>44</v>
      </c>
      <c r="C30" s="12">
        <v>0.71780595795716051</v>
      </c>
      <c r="D30" s="18">
        <v>0.79661360619764987</v>
      </c>
    </row>
    <row r="31" spans="1:4" ht="15.75" customHeight="1">
      <c r="A31" s="8">
        <v>20101</v>
      </c>
      <c r="B31" s="9" t="s">
        <v>45</v>
      </c>
      <c r="C31" s="12">
        <v>0.25778877191395067</v>
      </c>
      <c r="D31" s="18">
        <v>0.17623712266277311</v>
      </c>
    </row>
    <row r="32" spans="1:4" ht="15.75" customHeight="1">
      <c r="A32" s="8">
        <v>20102</v>
      </c>
      <c r="B32" s="9" t="s">
        <v>46</v>
      </c>
      <c r="C32" s="12">
        <v>0.69580251520383929</v>
      </c>
      <c r="D32" s="18">
        <v>1.180423574377663</v>
      </c>
    </row>
    <row r="33" spans="1:4" ht="15.75" customHeight="1">
      <c r="A33" s="8">
        <v>20103</v>
      </c>
      <c r="B33" s="9" t="s">
        <v>47</v>
      </c>
      <c r="C33" s="12">
        <v>0.26370178328259447</v>
      </c>
      <c r="D33" s="18">
        <v>0.2406181866001503</v>
      </c>
    </row>
    <row r="34" spans="1:4" ht="15.75" customHeight="1">
      <c r="A34" s="8">
        <v>20104</v>
      </c>
      <c r="B34" s="9" t="s">
        <v>48</v>
      </c>
      <c r="C34" s="12">
        <v>0.81329300609030497</v>
      </c>
      <c r="D34" s="18">
        <v>0.77519053181130171</v>
      </c>
    </row>
    <row r="35" spans="1:4" ht="15.75" customHeight="1">
      <c r="A35" s="8">
        <v>20105</v>
      </c>
      <c r="B35" s="9" t="s">
        <v>49</v>
      </c>
      <c r="C35" s="12">
        <v>0.51464290528484957</v>
      </c>
      <c r="D35" s="18">
        <v>0.52521796546701216</v>
      </c>
    </row>
    <row r="36" spans="1:4" ht="15.75" customHeight="1">
      <c r="A36" s="8">
        <v>20201</v>
      </c>
      <c r="B36" s="9" t="s">
        <v>50</v>
      </c>
      <c r="C36" s="12">
        <v>0.62489099621257227</v>
      </c>
      <c r="D36" s="18">
        <v>0.69459444293109529</v>
      </c>
    </row>
    <row r="37" spans="1:4" ht="15.75" customHeight="1">
      <c r="A37" s="8">
        <v>20202</v>
      </c>
      <c r="B37" s="9" t="s">
        <v>51</v>
      </c>
      <c r="C37" s="12">
        <v>0.61792374261720939</v>
      </c>
      <c r="D37" s="18">
        <v>0.94172061792757378</v>
      </c>
    </row>
    <row r="38" spans="1:4" ht="15.75" customHeight="1">
      <c r="A38" s="8">
        <v>20203</v>
      </c>
      <c r="B38" s="9" t="s">
        <v>52</v>
      </c>
      <c r="C38" s="12">
        <v>0.94963754206017337</v>
      </c>
      <c r="D38" s="18">
        <v>1.3702585467087653</v>
      </c>
    </row>
    <row r="39" spans="1:4" ht="15.75" customHeight="1">
      <c r="A39" s="8">
        <v>20204</v>
      </c>
      <c r="B39" s="9" t="s">
        <v>53</v>
      </c>
      <c r="C39" s="12">
        <v>0.64920194094167383</v>
      </c>
      <c r="D39" s="18">
        <v>0.92547198569361222</v>
      </c>
    </row>
    <row r="40" spans="1:4" ht="15.75" customHeight="1">
      <c r="A40" s="8">
        <v>20205</v>
      </c>
      <c r="B40" s="9" t="s">
        <v>54</v>
      </c>
      <c r="C40" s="12">
        <v>0.6610270412023298</v>
      </c>
      <c r="D40" s="18">
        <v>2.1169330873884693</v>
      </c>
    </row>
    <row r="41" spans="1:4" ht="15.75" customHeight="1">
      <c r="A41" s="8">
        <v>20206</v>
      </c>
      <c r="B41" s="9" t="s">
        <v>55</v>
      </c>
      <c r="C41" s="12">
        <v>1.0599551909108005</v>
      </c>
      <c r="D41" s="18">
        <v>0.6315754470665419</v>
      </c>
    </row>
    <row r="42" spans="1:4" ht="15.75" customHeight="1">
      <c r="A42" s="8">
        <v>20301</v>
      </c>
      <c r="B42" s="9" t="s">
        <v>56</v>
      </c>
      <c r="C42" s="12">
        <v>0.66464163567948709</v>
      </c>
      <c r="D42" s="18">
        <v>0.62505648323973917</v>
      </c>
    </row>
    <row r="43" spans="1:4" ht="15.75" customHeight="1">
      <c r="A43" s="8">
        <v>20302</v>
      </c>
      <c r="B43" s="9" t="s">
        <v>57</v>
      </c>
      <c r="C43" s="12">
        <v>0.85599293193166981</v>
      </c>
      <c r="D43" s="18">
        <v>0.80817464457723343</v>
      </c>
    </row>
    <row r="44" spans="1:4" ht="15.75" customHeight="1">
      <c r="A44" s="8">
        <v>20303</v>
      </c>
      <c r="B44" s="9" t="s">
        <v>58</v>
      </c>
      <c r="C44" s="12">
        <v>0.85770677539101037</v>
      </c>
      <c r="D44" s="18">
        <v>0.69981391933477488</v>
      </c>
    </row>
    <row r="45" spans="1:4" ht="15.75" customHeight="1">
      <c r="A45" s="8">
        <v>20304</v>
      </c>
      <c r="B45" s="9" t="s">
        <v>59</v>
      </c>
      <c r="C45" s="12">
        <v>0.24881268279048618</v>
      </c>
      <c r="D45" s="18">
        <v>0.66614465691420477</v>
      </c>
    </row>
    <row r="46" spans="1:4" ht="15.75" customHeight="1">
      <c r="A46" s="8">
        <v>20305</v>
      </c>
      <c r="B46" s="9" t="s">
        <v>60</v>
      </c>
      <c r="C46" s="12">
        <v>0.71055301114773251</v>
      </c>
      <c r="D46" s="18">
        <v>0.81189523415877729</v>
      </c>
    </row>
    <row r="47" spans="1:4" ht="15.75" customHeight="1">
      <c r="A47" s="8">
        <v>20306</v>
      </c>
      <c r="B47" s="9" t="s">
        <v>61</v>
      </c>
      <c r="C47" s="12">
        <v>0.75360203270310966</v>
      </c>
      <c r="D47" s="18">
        <v>0.97085979123177746</v>
      </c>
    </row>
    <row r="48" spans="1:4" ht="15.75" customHeight="1">
      <c r="A48" s="8">
        <v>20307</v>
      </c>
      <c r="B48" s="9" t="s">
        <v>62</v>
      </c>
      <c r="C48" s="12">
        <v>1.3068097388201638</v>
      </c>
      <c r="D48" s="18">
        <v>0.67785934362700961</v>
      </c>
    </row>
    <row r="49" spans="1:4" ht="15.75" customHeight="1">
      <c r="A49" s="8">
        <v>20308</v>
      </c>
      <c r="B49" s="9" t="s">
        <v>63</v>
      </c>
      <c r="C49" s="12">
        <v>0.78063978912123067</v>
      </c>
      <c r="D49" s="18">
        <v>0.69966398723588008</v>
      </c>
    </row>
    <row r="50" spans="1:4" ht="15.75" customHeight="1">
      <c r="A50" s="8">
        <v>20401</v>
      </c>
      <c r="B50" s="9" t="s">
        <v>64</v>
      </c>
      <c r="C50" s="12">
        <v>0.9442160912608073</v>
      </c>
      <c r="D50" s="18">
        <v>0.5754264387677156</v>
      </c>
    </row>
    <row r="51" spans="1:4" ht="15.75" customHeight="1">
      <c r="A51" s="8">
        <v>20402</v>
      </c>
      <c r="B51" s="9" t="s">
        <v>65</v>
      </c>
      <c r="C51" s="12">
        <v>0.60907670467668751</v>
      </c>
      <c r="D51" s="18">
        <v>0.85311330960260434</v>
      </c>
    </row>
    <row r="52" spans="1:4" ht="15.75" customHeight="1">
      <c r="A52" s="8">
        <v>20403</v>
      </c>
      <c r="B52" s="9" t="s">
        <v>66</v>
      </c>
      <c r="C52" s="12">
        <v>0.51928301661795251</v>
      </c>
      <c r="D52" s="18">
        <v>0.83563174130667017</v>
      </c>
    </row>
    <row r="53" spans="1:4" ht="15.75" customHeight="1">
      <c r="A53" s="8">
        <v>20404</v>
      </c>
      <c r="B53" s="9" t="s">
        <v>67</v>
      </c>
      <c r="C53" s="12">
        <v>0.81236513238360619</v>
      </c>
      <c r="D53" s="18">
        <v>1.0553012108374717</v>
      </c>
    </row>
    <row r="54" spans="1:4" ht="15.75" customHeight="1">
      <c r="A54" s="8">
        <v>20405</v>
      </c>
      <c r="B54" s="9" t="s">
        <v>68</v>
      </c>
      <c r="C54" s="12">
        <v>0.58786479181724927</v>
      </c>
      <c r="D54" s="18">
        <v>0.85930403914845932</v>
      </c>
    </row>
    <row r="55" spans="1:4" ht="15.75" customHeight="1">
      <c r="A55" s="8">
        <v>20501</v>
      </c>
      <c r="B55" s="9" t="s">
        <v>69</v>
      </c>
      <c r="C55" s="12">
        <v>0.57764614306874773</v>
      </c>
      <c r="D55" s="18">
        <v>0.62101615079779238</v>
      </c>
    </row>
    <row r="56" spans="1:4" ht="15.75" customHeight="1">
      <c r="A56" s="8">
        <v>20502</v>
      </c>
      <c r="B56" s="9" t="s">
        <v>70</v>
      </c>
      <c r="C56" s="12">
        <v>0.34888387062962639</v>
      </c>
      <c r="D56" s="18">
        <v>0.85444903937814587</v>
      </c>
    </row>
    <row r="57" spans="1:4" ht="15.75" customHeight="1">
      <c r="A57" s="8">
        <v>20503</v>
      </c>
      <c r="B57" s="9" t="s">
        <v>71</v>
      </c>
      <c r="C57" s="12">
        <v>0.54663320759807743</v>
      </c>
      <c r="D57" s="18">
        <v>0.9053114210699994</v>
      </c>
    </row>
    <row r="58" spans="1:4" ht="15.75" customHeight="1">
      <c r="A58" s="8">
        <v>20601</v>
      </c>
      <c r="B58" s="9" t="s">
        <v>72</v>
      </c>
      <c r="C58" s="12">
        <v>0.92359203225180009</v>
      </c>
      <c r="D58" s="18">
        <v>0.93105459523455869</v>
      </c>
    </row>
    <row r="59" spans="1:4" ht="15.75" customHeight="1">
      <c r="A59" s="8">
        <v>20602</v>
      </c>
      <c r="B59" s="9" t="s">
        <v>73</v>
      </c>
      <c r="C59" s="12">
        <v>0.53804572286579255</v>
      </c>
      <c r="D59" s="18">
        <v>0.70909075596999449</v>
      </c>
    </row>
    <row r="60" spans="1:4" ht="15.75" customHeight="1">
      <c r="A60" s="8">
        <v>20603</v>
      </c>
      <c r="B60" s="9" t="s">
        <v>74</v>
      </c>
      <c r="C60" s="12">
        <v>0.74052027721017455</v>
      </c>
      <c r="D60" s="18">
        <v>1.2088768401126526</v>
      </c>
    </row>
    <row r="61" spans="1:4" ht="15.75" customHeight="1">
      <c r="A61" s="8">
        <v>20604</v>
      </c>
      <c r="B61" s="9" t="s">
        <v>75</v>
      </c>
      <c r="C61" s="12">
        <v>0.49144002972287298</v>
      </c>
      <c r="D61" s="18">
        <v>0.59180593233026457</v>
      </c>
    </row>
    <row r="62" spans="1:4" ht="15.75" customHeight="1">
      <c r="A62" s="8">
        <v>20605</v>
      </c>
      <c r="B62" s="9" t="s">
        <v>76</v>
      </c>
      <c r="C62" s="12">
        <v>0.56416464603180205</v>
      </c>
      <c r="D62" s="18">
        <v>0.59026411479275664</v>
      </c>
    </row>
    <row r="63" spans="1:4" ht="15.75" customHeight="1">
      <c r="A63" s="8">
        <v>20606</v>
      </c>
      <c r="B63" s="9" t="s">
        <v>77</v>
      </c>
      <c r="C63" s="12">
        <v>0.7894417566893519</v>
      </c>
      <c r="D63" s="18">
        <v>0.76013657473840757</v>
      </c>
    </row>
    <row r="64" spans="1:4" ht="15.75" customHeight="1">
      <c r="A64" s="8">
        <v>20607</v>
      </c>
      <c r="B64" s="9" t="s">
        <v>78</v>
      </c>
      <c r="C64" s="12">
        <v>0.66460003891082164</v>
      </c>
      <c r="D64" s="18">
        <v>0.97522506258626496</v>
      </c>
    </row>
    <row r="65" spans="1:4" ht="15.75" customHeight="1">
      <c r="A65" s="8">
        <v>20608</v>
      </c>
      <c r="B65" s="9" t="s">
        <v>79</v>
      </c>
      <c r="C65" s="12">
        <v>0.65841647073723319</v>
      </c>
      <c r="D65" s="18">
        <v>0.86719213826427632</v>
      </c>
    </row>
    <row r="66" spans="1:4" ht="15.75" customHeight="1">
      <c r="A66" s="8">
        <v>20701</v>
      </c>
      <c r="B66" s="9" t="s">
        <v>80</v>
      </c>
      <c r="C66" s="12">
        <v>0.52873279493059211</v>
      </c>
      <c r="D66" s="18">
        <v>0.51554352878697229</v>
      </c>
    </row>
    <row r="67" spans="1:4" ht="15.75" customHeight="1">
      <c r="A67" s="8">
        <v>20702</v>
      </c>
      <c r="B67" s="9" t="s">
        <v>81</v>
      </c>
      <c r="C67" s="12">
        <v>0.59919384205927761</v>
      </c>
      <c r="D67" s="18">
        <v>1.2393702574866221</v>
      </c>
    </row>
    <row r="68" spans="1:4" ht="15.75" customHeight="1">
      <c r="A68" s="8">
        <v>20801</v>
      </c>
      <c r="B68" s="9" t="s">
        <v>82</v>
      </c>
      <c r="C68" s="12">
        <v>0.65034186464129917</v>
      </c>
      <c r="D68" s="18">
        <v>0.74302307203180451</v>
      </c>
    </row>
    <row r="69" spans="1:4" ht="15.75" customHeight="1">
      <c r="A69" s="8">
        <v>20802</v>
      </c>
      <c r="B69" s="9" t="s">
        <v>83</v>
      </c>
      <c r="C69" s="12">
        <v>0.94210933949420905</v>
      </c>
      <c r="D69" s="18">
        <v>0.77586446734112047</v>
      </c>
    </row>
    <row r="70" spans="1:4" ht="15.75" customHeight="1">
      <c r="A70" s="8">
        <v>20803</v>
      </c>
      <c r="B70" s="9" t="s">
        <v>84</v>
      </c>
      <c r="C70" s="12">
        <v>0.51637173776851875</v>
      </c>
      <c r="D70" s="18">
        <v>0.50358858644069515</v>
      </c>
    </row>
    <row r="71" spans="1:4" ht="15.75" customHeight="1">
      <c r="A71" s="8">
        <v>20804</v>
      </c>
      <c r="B71" s="9" t="s">
        <v>85</v>
      </c>
      <c r="C71" s="12">
        <v>0.60051872753706059</v>
      </c>
      <c r="D71" s="18">
        <v>0.64006653100375177</v>
      </c>
    </row>
    <row r="72" spans="1:4" ht="15.75" customHeight="1">
      <c r="A72" s="8">
        <v>20805</v>
      </c>
      <c r="B72" s="9" t="s">
        <v>86</v>
      </c>
      <c r="C72" s="12">
        <v>0.87315056994557705</v>
      </c>
      <c r="D72" s="18">
        <v>1.0976518748295745</v>
      </c>
    </row>
    <row r="73" spans="1:4" ht="15.75" customHeight="1">
      <c r="A73" s="8">
        <v>20806</v>
      </c>
      <c r="B73" s="9" t="s">
        <v>87</v>
      </c>
      <c r="C73" s="12">
        <v>0.65675270995939561</v>
      </c>
      <c r="D73" s="18">
        <v>0.73384815585659646</v>
      </c>
    </row>
    <row r="74" spans="1:4" ht="15.75" customHeight="1">
      <c r="A74" s="8">
        <v>20807</v>
      </c>
      <c r="B74" s="9" t="s">
        <v>88</v>
      </c>
      <c r="C74" s="12">
        <v>1.0404849428039287</v>
      </c>
      <c r="D74" s="18">
        <v>0.95375924726527139</v>
      </c>
    </row>
    <row r="75" spans="1:4" ht="15.75" customHeight="1">
      <c r="A75" s="8">
        <v>20901</v>
      </c>
      <c r="B75" s="9" t="s">
        <v>89</v>
      </c>
      <c r="C75" s="12">
        <v>0.88018278134944317</v>
      </c>
      <c r="D75" s="18">
        <v>0.92474080936510061</v>
      </c>
    </row>
    <row r="76" spans="1:4" ht="15.75" customHeight="1">
      <c r="A76" s="8">
        <v>20902</v>
      </c>
      <c r="B76" s="9" t="s">
        <v>90</v>
      </c>
      <c r="C76" s="12">
        <v>0.79768004233038359</v>
      </c>
      <c r="D76" s="18">
        <v>0.54327862154520068</v>
      </c>
    </row>
    <row r="77" spans="1:4" ht="15.75" customHeight="1">
      <c r="A77" s="8">
        <v>20903</v>
      </c>
      <c r="B77" s="9" t="s">
        <v>91</v>
      </c>
      <c r="C77" s="12">
        <v>0.93699840829438585</v>
      </c>
      <c r="D77" s="18">
        <v>1.0788536565147864</v>
      </c>
    </row>
    <row r="78" spans="1:4" ht="15.75" customHeight="1">
      <c r="A78" s="8">
        <v>20904</v>
      </c>
      <c r="B78" s="9" t="s">
        <v>92</v>
      </c>
      <c r="C78" s="12">
        <v>1.1397707730846072</v>
      </c>
      <c r="D78" s="18">
        <v>1.2501364269908926</v>
      </c>
    </row>
    <row r="79" spans="1:4" ht="15.75" customHeight="1">
      <c r="A79" s="8">
        <v>20905</v>
      </c>
      <c r="B79" s="9" t="s">
        <v>93</v>
      </c>
      <c r="C79" s="12">
        <v>0.53749494607659665</v>
      </c>
      <c r="D79" s="18">
        <v>1.11617651390744</v>
      </c>
    </row>
    <row r="80" spans="1:4" ht="15.75" customHeight="1">
      <c r="A80" s="8">
        <v>21001</v>
      </c>
      <c r="B80" s="9" t="s">
        <v>94</v>
      </c>
      <c r="C80" s="12">
        <v>0.5331144112997972</v>
      </c>
      <c r="D80" s="18">
        <v>0.73290840548216585</v>
      </c>
    </row>
    <row r="81" spans="1:4" ht="15.75" customHeight="1">
      <c r="A81" s="8">
        <v>21002</v>
      </c>
      <c r="B81" s="9" t="s">
        <v>95</v>
      </c>
      <c r="C81" s="12">
        <v>0.45723854812334996</v>
      </c>
      <c r="D81" s="18">
        <v>0.45371781800062577</v>
      </c>
    </row>
    <row r="82" spans="1:4" ht="15.75" customHeight="1">
      <c r="A82" s="8">
        <v>21003</v>
      </c>
      <c r="B82" s="9" t="s">
        <v>96</v>
      </c>
      <c r="C82" s="12">
        <v>0.74131625573559545</v>
      </c>
      <c r="D82" s="18">
        <v>0.57864425914319695</v>
      </c>
    </row>
    <row r="83" spans="1:4" ht="15.75" customHeight="1">
      <c r="A83" s="8">
        <v>21004</v>
      </c>
      <c r="B83" s="9" t="s">
        <v>97</v>
      </c>
      <c r="C83" s="12">
        <v>0.46086196586815686</v>
      </c>
      <c r="D83" s="18">
        <v>0.56126536739683386</v>
      </c>
    </row>
    <row r="84" spans="1:4" ht="15.75" customHeight="1">
      <c r="A84" s="8">
        <v>21005</v>
      </c>
      <c r="B84" s="9" t="s">
        <v>98</v>
      </c>
      <c r="C84" s="12">
        <v>0.74695611281746044</v>
      </c>
      <c r="D84" s="18">
        <v>0.84931503414818166</v>
      </c>
    </row>
    <row r="85" spans="1:4" ht="15.75" customHeight="1">
      <c r="A85" s="8">
        <v>21006</v>
      </c>
      <c r="B85" s="9" t="s">
        <v>99</v>
      </c>
      <c r="C85" s="12">
        <v>0.43695254125380195</v>
      </c>
      <c r="D85" s="18">
        <v>0.65100486461729579</v>
      </c>
    </row>
    <row r="86" spans="1:4" ht="15.75" customHeight="1">
      <c r="A86" s="8">
        <v>21101</v>
      </c>
      <c r="B86" s="9" t="s">
        <v>100</v>
      </c>
      <c r="C86" s="12">
        <v>0.77987977129780139</v>
      </c>
      <c r="D86" s="18">
        <v>1.0557532124854923</v>
      </c>
    </row>
    <row r="87" spans="1:4" ht="15.75" customHeight="1">
      <c r="A87" s="8">
        <v>21102</v>
      </c>
      <c r="B87" s="9" t="s">
        <v>101</v>
      </c>
      <c r="C87" s="12">
        <v>0.67000858342987457</v>
      </c>
      <c r="D87" s="18">
        <v>0.86302430726352386</v>
      </c>
    </row>
    <row r="88" spans="1:4" ht="15.75" customHeight="1">
      <c r="A88" s="8">
        <v>21103</v>
      </c>
      <c r="B88" s="9" t="s">
        <v>102</v>
      </c>
      <c r="C88" s="12">
        <v>0.57935250678774808</v>
      </c>
      <c r="D88" s="18">
        <v>0.53190288168434086</v>
      </c>
    </row>
    <row r="89" spans="1:4" ht="15.75" customHeight="1">
      <c r="A89" s="8">
        <v>21104</v>
      </c>
      <c r="B89" s="9" t="s">
        <v>103</v>
      </c>
      <c r="C89" s="12">
        <v>0.85859917877736824</v>
      </c>
      <c r="D89" s="18">
        <v>0.65349773472579198</v>
      </c>
    </row>
    <row r="90" spans="1:4" ht="15.75" customHeight="1">
      <c r="A90" s="8">
        <v>21105</v>
      </c>
      <c r="B90" s="9" t="s">
        <v>104</v>
      </c>
      <c r="C90" s="12">
        <v>0.85033490712769433</v>
      </c>
      <c r="D90" s="18">
        <v>0.91416261117946851</v>
      </c>
    </row>
    <row r="91" spans="1:4" ht="15.75" customHeight="1">
      <c r="A91" s="8">
        <v>21201</v>
      </c>
      <c r="B91" s="9" t="s">
        <v>105</v>
      </c>
      <c r="C91" s="12">
        <v>0.83474804516575185</v>
      </c>
      <c r="D91" s="18">
        <v>1.0308859622929449</v>
      </c>
    </row>
    <row r="92" spans="1:4" ht="15.75" customHeight="1">
      <c r="A92" s="8">
        <v>21202</v>
      </c>
      <c r="B92" s="9" t="s">
        <v>106</v>
      </c>
      <c r="C92" s="12">
        <v>0.8534990222585348</v>
      </c>
      <c r="D92" s="18">
        <v>0.81074756172343587</v>
      </c>
    </row>
    <row r="93" spans="1:4" ht="15.75" customHeight="1">
      <c r="A93" s="8">
        <v>21203</v>
      </c>
      <c r="B93" s="9" t="s">
        <v>107</v>
      </c>
      <c r="C93" s="12">
        <v>0.52335280374489601</v>
      </c>
      <c r="D93" s="18">
        <v>1.0500608813455554</v>
      </c>
    </row>
    <row r="94" spans="1:4" ht="15.75" customHeight="1">
      <c r="A94" s="8">
        <v>21204</v>
      </c>
      <c r="B94" s="9" t="s">
        <v>108</v>
      </c>
      <c r="C94" s="12">
        <v>0.84746662896829306</v>
      </c>
      <c r="D94" s="18">
        <v>0.53772965047169374</v>
      </c>
    </row>
    <row r="95" spans="1:4" ht="15.75" customHeight="1">
      <c r="A95" s="8">
        <v>21301</v>
      </c>
      <c r="B95" s="9" t="s">
        <v>109</v>
      </c>
      <c r="C95" s="12">
        <v>0.56998556237002784</v>
      </c>
      <c r="D95" s="18">
        <v>0.73093241655372909</v>
      </c>
    </row>
    <row r="96" spans="1:4" ht="15.75" customHeight="1">
      <c r="A96" s="8">
        <v>21302</v>
      </c>
      <c r="B96" s="9" t="s">
        <v>110</v>
      </c>
      <c r="C96" s="12">
        <v>0.76809438787159912</v>
      </c>
      <c r="D96" s="18">
        <v>0.56415846420364801</v>
      </c>
    </row>
    <row r="97" spans="1:4" ht="15.75" customHeight="1">
      <c r="A97" s="8">
        <v>21303</v>
      </c>
      <c r="B97" s="9" t="s">
        <v>111</v>
      </c>
      <c r="C97" s="12">
        <v>1.0568914334525339</v>
      </c>
      <c r="D97" s="18">
        <v>1.0654753941680248</v>
      </c>
    </row>
    <row r="98" spans="1:4" ht="15.75" customHeight="1">
      <c r="A98" s="8">
        <v>21304</v>
      </c>
      <c r="B98" s="9" t="s">
        <v>112</v>
      </c>
      <c r="C98" s="12">
        <v>0.8562635886565344</v>
      </c>
      <c r="D98" s="18">
        <v>0.95029996500464631</v>
      </c>
    </row>
    <row r="99" spans="1:4" ht="15.75" customHeight="1">
      <c r="A99" s="8">
        <v>21305</v>
      </c>
      <c r="B99" s="9" t="s">
        <v>113</v>
      </c>
      <c r="C99" s="12">
        <v>0.5761650356059429</v>
      </c>
      <c r="D99" s="18">
        <v>0.84652299053575975</v>
      </c>
    </row>
    <row r="100" spans="1:4" ht="15.75" customHeight="1">
      <c r="A100" s="8">
        <v>21306</v>
      </c>
      <c r="B100" s="9" t="s">
        <v>114</v>
      </c>
      <c r="C100" s="12">
        <v>0.81433673678615004</v>
      </c>
      <c r="D100" s="18">
        <v>1.2629574405626223</v>
      </c>
    </row>
    <row r="101" spans="1:4" ht="15.75" customHeight="1">
      <c r="A101" s="8">
        <v>21307</v>
      </c>
      <c r="B101" s="9" t="s">
        <v>115</v>
      </c>
      <c r="C101" s="12">
        <v>1.0859167147604227</v>
      </c>
      <c r="D101" s="18">
        <v>1.3038686852116936</v>
      </c>
    </row>
    <row r="102" spans="1:4" ht="15.75" customHeight="1">
      <c r="A102" s="8">
        <v>21401</v>
      </c>
      <c r="B102" s="9" t="s">
        <v>116</v>
      </c>
      <c r="C102" s="12">
        <v>0.63606206968717094</v>
      </c>
      <c r="D102" s="18">
        <v>0.79743744514037207</v>
      </c>
    </row>
    <row r="103" spans="1:4" ht="15.75" customHeight="1">
      <c r="A103" s="8">
        <v>21402</v>
      </c>
      <c r="B103" s="9" t="s">
        <v>117</v>
      </c>
      <c r="C103" s="12">
        <v>0.66571895229162226</v>
      </c>
      <c r="D103" s="18">
        <v>0.91820927210092296</v>
      </c>
    </row>
    <row r="104" spans="1:4" ht="15.75" customHeight="1">
      <c r="A104" s="8">
        <v>21501</v>
      </c>
      <c r="B104" s="9" t="s">
        <v>118</v>
      </c>
      <c r="C104" s="12">
        <v>0.74756281257506962</v>
      </c>
      <c r="D104" s="18">
        <v>0.66051583748328369</v>
      </c>
    </row>
    <row r="105" spans="1:4" ht="15.75" customHeight="1">
      <c r="A105" s="8">
        <v>21502</v>
      </c>
      <c r="B105" s="9" t="s">
        <v>119</v>
      </c>
      <c r="C105" s="12">
        <v>0.53351115726272413</v>
      </c>
      <c r="D105" s="18">
        <v>0.82434554058843224</v>
      </c>
    </row>
    <row r="106" spans="1:4" ht="15.75" customHeight="1">
      <c r="A106" s="8">
        <v>21601</v>
      </c>
      <c r="B106" s="9" t="s">
        <v>120</v>
      </c>
      <c r="C106" s="12">
        <v>0.66894478765965315</v>
      </c>
      <c r="D106" s="18">
        <v>0.88738563528758807</v>
      </c>
    </row>
    <row r="107" spans="1:4" ht="15.75" customHeight="1">
      <c r="A107" s="8">
        <v>21602</v>
      </c>
      <c r="B107" s="9" t="s">
        <v>121</v>
      </c>
      <c r="C107" s="12">
        <v>0.86440688904466989</v>
      </c>
      <c r="D107" s="18">
        <v>0.84598016609092119</v>
      </c>
    </row>
    <row r="108" spans="1:4" ht="15.75" customHeight="1">
      <c r="A108" s="8">
        <v>21701</v>
      </c>
      <c r="B108" s="9" t="s">
        <v>122</v>
      </c>
      <c r="C108" s="12">
        <v>0.34900903676917305</v>
      </c>
      <c r="D108" s="18">
        <v>0.55022522757484649</v>
      </c>
    </row>
    <row r="109" spans="1:4" ht="15.75" customHeight="1">
      <c r="A109" s="8">
        <v>21702</v>
      </c>
      <c r="B109" s="9" t="s">
        <v>123</v>
      </c>
      <c r="C109" s="12">
        <v>0.67801966468798214</v>
      </c>
      <c r="D109" s="18">
        <v>0.82752440550124517</v>
      </c>
    </row>
    <row r="110" spans="1:4" ht="15.75" customHeight="1">
      <c r="A110" s="8">
        <v>21703</v>
      </c>
      <c r="B110" s="9" t="s">
        <v>124</v>
      </c>
      <c r="C110" s="12">
        <v>0.90983779279987043</v>
      </c>
      <c r="D110" s="18">
        <v>0.69246786496127322</v>
      </c>
    </row>
    <row r="111" spans="1:4" ht="15.75" customHeight="1">
      <c r="A111" s="8">
        <v>21801</v>
      </c>
      <c r="B111" s="9" t="s">
        <v>125</v>
      </c>
      <c r="C111" s="12">
        <v>0.88239127859685518</v>
      </c>
      <c r="D111" s="18">
        <v>1.0199883419386766</v>
      </c>
    </row>
    <row r="112" spans="1:4" ht="15.75" customHeight="1">
      <c r="A112" s="8">
        <v>21802</v>
      </c>
      <c r="B112" s="9" t="s">
        <v>126</v>
      </c>
      <c r="C112" s="12">
        <v>1.3341224983941788</v>
      </c>
      <c r="D112" s="18">
        <v>1.0731192616946159</v>
      </c>
    </row>
    <row r="113" spans="1:4" ht="15.75" customHeight="1">
      <c r="A113" s="8">
        <v>21803</v>
      </c>
      <c r="B113" s="9" t="s">
        <v>127</v>
      </c>
      <c r="C113" s="12">
        <v>1.0014087737625044</v>
      </c>
      <c r="D113" s="18">
        <v>1.0022574803397821</v>
      </c>
    </row>
    <row r="114" spans="1:4" ht="15.75" customHeight="1">
      <c r="A114" s="8">
        <v>21901</v>
      </c>
      <c r="B114" s="9" t="s">
        <v>128</v>
      </c>
      <c r="C114" s="12">
        <v>1.0406514624048364</v>
      </c>
      <c r="D114" s="18">
        <v>0.63377054413511824</v>
      </c>
    </row>
    <row r="115" spans="1:4" ht="15.75" customHeight="1">
      <c r="A115" s="8">
        <v>21902</v>
      </c>
      <c r="B115" s="9" t="s">
        <v>129</v>
      </c>
      <c r="C115" s="12">
        <v>1.035446701450436</v>
      </c>
      <c r="D115" s="18">
        <v>0.85578046771051641</v>
      </c>
    </row>
    <row r="116" spans="1:4" ht="15.75" customHeight="1">
      <c r="A116" s="8">
        <v>22001</v>
      </c>
      <c r="B116" s="9" t="s">
        <v>130</v>
      </c>
      <c r="C116" s="12">
        <v>0.61384171517111985</v>
      </c>
      <c r="D116" s="18">
        <v>0.86012312949410008</v>
      </c>
    </row>
    <row r="117" spans="1:4" ht="15.75" customHeight="1">
      <c r="A117" s="8">
        <v>22002</v>
      </c>
      <c r="B117" s="9" t="s">
        <v>131</v>
      </c>
      <c r="C117" s="12">
        <v>0.90410902546705518</v>
      </c>
      <c r="D117" s="18">
        <v>0.96984666147267895</v>
      </c>
    </row>
    <row r="118" spans="1:4" ht="15.75" customHeight="1">
      <c r="A118" s="8">
        <v>30101</v>
      </c>
      <c r="B118" s="9" t="s">
        <v>132</v>
      </c>
      <c r="C118" s="12">
        <v>0.31393867502110073</v>
      </c>
      <c r="D118" s="18">
        <v>0.31686637145367996</v>
      </c>
    </row>
    <row r="119" spans="1:4" ht="15.75" customHeight="1">
      <c r="A119" s="8">
        <v>30201</v>
      </c>
      <c r="B119" s="9" t="s">
        <v>133</v>
      </c>
      <c r="C119" s="12">
        <v>0.30005230713297465</v>
      </c>
      <c r="D119" s="18">
        <v>0.65912284092842055</v>
      </c>
    </row>
    <row r="120" spans="1:4" ht="15.75" customHeight="1">
      <c r="A120" s="8">
        <v>30202</v>
      </c>
      <c r="B120" s="9" t="s">
        <v>134</v>
      </c>
      <c r="C120" s="12">
        <v>0.64014541250751844</v>
      </c>
      <c r="D120" s="18">
        <v>0.55626007368927932</v>
      </c>
    </row>
    <row r="121" spans="1:4" ht="15.75" customHeight="1">
      <c r="A121" s="8">
        <v>30203</v>
      </c>
      <c r="B121" s="9" t="s">
        <v>135</v>
      </c>
      <c r="C121" s="12">
        <v>0.38574677412989589</v>
      </c>
      <c r="D121" s="18">
        <v>0.77842426392061315</v>
      </c>
    </row>
    <row r="122" spans="1:4" ht="15.75" customHeight="1">
      <c r="A122" s="8">
        <v>30301</v>
      </c>
      <c r="B122" s="9" t="s">
        <v>136</v>
      </c>
      <c r="C122" s="12">
        <v>0.38053328451950003</v>
      </c>
      <c r="D122" s="18">
        <v>0.55440456758020562</v>
      </c>
    </row>
    <row r="123" spans="1:4" ht="15.75" customHeight="1">
      <c r="A123" s="8">
        <v>30302</v>
      </c>
      <c r="B123" s="9" t="s">
        <v>137</v>
      </c>
      <c r="C123" s="12">
        <v>0.7829129941843086</v>
      </c>
      <c r="D123" s="18">
        <v>1.2541812134376953</v>
      </c>
    </row>
    <row r="124" spans="1:4" ht="15.75" customHeight="1">
      <c r="A124" s="8">
        <v>30303</v>
      </c>
      <c r="B124" s="9" t="s">
        <v>138</v>
      </c>
      <c r="C124" s="12">
        <v>0.89611030352205789</v>
      </c>
      <c r="D124" s="18">
        <v>1.1271157893741692</v>
      </c>
    </row>
    <row r="125" spans="1:4" ht="15.75" customHeight="1">
      <c r="A125" s="8">
        <v>30401</v>
      </c>
      <c r="B125" s="9" t="s">
        <v>139</v>
      </c>
      <c r="C125" s="12">
        <v>0.21952807055575543</v>
      </c>
      <c r="D125" s="18">
        <v>0.59045925010638878</v>
      </c>
    </row>
    <row r="126" spans="1:4" ht="15.75" customHeight="1">
      <c r="A126" s="8">
        <v>30402</v>
      </c>
      <c r="B126" s="9" t="s">
        <v>140</v>
      </c>
      <c r="C126" s="12">
        <v>0.4445471741797003</v>
      </c>
      <c r="D126" s="18">
        <v>0.81832764541538827</v>
      </c>
    </row>
    <row r="127" spans="1:4" ht="15.75" customHeight="1">
      <c r="A127" s="8">
        <v>30403</v>
      </c>
      <c r="B127" s="9" t="s">
        <v>141</v>
      </c>
      <c r="C127" s="12">
        <v>0.74988544756260311</v>
      </c>
      <c r="D127" s="18">
        <v>0.94156585081454391</v>
      </c>
    </row>
    <row r="128" spans="1:4" ht="15.75" customHeight="1">
      <c r="A128" s="8">
        <v>30404</v>
      </c>
      <c r="B128" s="9" t="s">
        <v>142</v>
      </c>
      <c r="C128" s="12">
        <v>0.92038100720990357</v>
      </c>
      <c r="D128" s="18">
        <v>1.123909114807123</v>
      </c>
    </row>
    <row r="129" spans="1:4" ht="15.75" customHeight="1">
      <c r="A129" s="8">
        <v>30501</v>
      </c>
      <c r="B129" s="9" t="s">
        <v>143</v>
      </c>
      <c r="C129" s="12">
        <v>0.23495149718938985</v>
      </c>
      <c r="D129" s="18">
        <v>0.40920858813600541</v>
      </c>
    </row>
    <row r="130" spans="1:4" ht="15.75" customHeight="1">
      <c r="A130" s="8">
        <v>30502</v>
      </c>
      <c r="B130" s="9" t="s">
        <v>144</v>
      </c>
      <c r="C130" s="12">
        <v>0.79040047228215971</v>
      </c>
      <c r="D130" s="18">
        <v>1.0563124709479748</v>
      </c>
    </row>
    <row r="131" spans="1:4" ht="15.75" customHeight="1">
      <c r="A131" s="8">
        <v>30601</v>
      </c>
      <c r="B131" s="9" t="s">
        <v>145</v>
      </c>
      <c r="C131" s="12">
        <v>0.47122952994951528</v>
      </c>
      <c r="D131" s="18">
        <v>0.66600316638771206</v>
      </c>
    </row>
    <row r="132" spans="1:4" ht="15.75" customHeight="1">
      <c r="A132" s="8">
        <v>30602</v>
      </c>
      <c r="B132" s="9" t="s">
        <v>146</v>
      </c>
      <c r="C132" s="12">
        <v>0.62371912539552798</v>
      </c>
      <c r="D132" s="18">
        <v>0.80659375687469215</v>
      </c>
    </row>
    <row r="133" spans="1:4" ht="15.75" customHeight="1">
      <c r="A133" s="8">
        <v>30701</v>
      </c>
      <c r="B133" s="9" t="s">
        <v>147</v>
      </c>
      <c r="C133" s="12">
        <v>0.40331128683953332</v>
      </c>
      <c r="D133" s="18">
        <v>0.57700146599964219</v>
      </c>
    </row>
    <row r="134" spans="1:4" ht="15.75" customHeight="1">
      <c r="A134" s="8">
        <v>30702</v>
      </c>
      <c r="B134" s="9" t="s">
        <v>148</v>
      </c>
      <c r="C134" s="12">
        <v>0.42282944601146166</v>
      </c>
      <c r="D134" s="18">
        <v>1.1112440548078311</v>
      </c>
    </row>
    <row r="135" spans="1:4" ht="15.75" customHeight="1">
      <c r="A135" s="8">
        <v>30703</v>
      </c>
      <c r="B135" s="9" t="s">
        <v>149</v>
      </c>
      <c r="C135" s="12">
        <v>0.59801516339611072</v>
      </c>
      <c r="D135" s="18">
        <v>1.5048499608922805</v>
      </c>
    </row>
    <row r="136" spans="1:4" ht="15.75" customHeight="1">
      <c r="A136" s="8">
        <v>30801</v>
      </c>
      <c r="B136" s="9" t="s">
        <v>150</v>
      </c>
      <c r="C136" s="12">
        <v>0.96904136924650208</v>
      </c>
      <c r="D136" s="18">
        <v>1.1166326261456905</v>
      </c>
    </row>
    <row r="137" spans="1:4" ht="15.75" customHeight="1">
      <c r="A137" s="8">
        <v>30802</v>
      </c>
      <c r="B137" s="9" t="s">
        <v>151</v>
      </c>
      <c r="C137" s="12">
        <v>0.54625549763419901</v>
      </c>
      <c r="D137" s="18">
        <v>0.86324907129877182</v>
      </c>
    </row>
    <row r="138" spans="1:4" ht="15.75" customHeight="1">
      <c r="A138" s="8">
        <v>30803</v>
      </c>
      <c r="B138" s="9" t="s">
        <v>152</v>
      </c>
      <c r="C138" s="12">
        <v>0.55975644337940744</v>
      </c>
      <c r="D138" s="18">
        <v>0.79682378696259148</v>
      </c>
    </row>
    <row r="139" spans="1:4" ht="15.75" customHeight="1">
      <c r="A139" s="8">
        <v>30901</v>
      </c>
      <c r="B139" s="9" t="s">
        <v>153</v>
      </c>
      <c r="C139" s="12">
        <v>0.45371197824607212</v>
      </c>
      <c r="D139" s="18">
        <v>0.4206697835657307</v>
      </c>
    </row>
    <row r="140" spans="1:4" ht="15.75" customHeight="1">
      <c r="A140" s="8">
        <v>30902</v>
      </c>
      <c r="B140" s="9" t="s">
        <v>154</v>
      </c>
      <c r="C140" s="12">
        <v>0.37345082322288342</v>
      </c>
      <c r="D140" s="18">
        <v>0.61495635290748629</v>
      </c>
    </row>
    <row r="141" spans="1:4" ht="15.75" customHeight="1">
      <c r="A141" s="8">
        <v>30903</v>
      </c>
      <c r="B141" s="9" t="s">
        <v>155</v>
      </c>
      <c r="C141" s="12">
        <v>0.45545256573863069</v>
      </c>
      <c r="D141" s="18">
        <v>0.34838713587663622</v>
      </c>
    </row>
    <row r="142" spans="1:4" ht="15.75" customHeight="1">
      <c r="A142" s="8">
        <v>30904</v>
      </c>
      <c r="B142" s="9" t="s">
        <v>156</v>
      </c>
      <c r="C142" s="12">
        <v>0.47579124180654414</v>
      </c>
      <c r="D142" s="18">
        <v>0.49304002447530937</v>
      </c>
    </row>
    <row r="143" spans="1:4" ht="15.75" customHeight="1">
      <c r="A143" s="8">
        <v>30905</v>
      </c>
      <c r="B143" s="9" t="s">
        <v>157</v>
      </c>
      <c r="C143" s="12">
        <v>0.58828047682070694</v>
      </c>
      <c r="D143" s="18">
        <v>0.44170719861282215</v>
      </c>
    </row>
    <row r="144" spans="1:4" ht="15.75" customHeight="1">
      <c r="A144" s="8">
        <v>31001</v>
      </c>
      <c r="B144" s="9" t="s">
        <v>158</v>
      </c>
      <c r="C144" s="12">
        <v>0.378615682103491</v>
      </c>
      <c r="D144" s="18">
        <v>0.43181892587792714</v>
      </c>
    </row>
    <row r="145" spans="1:4" ht="15.75" customHeight="1">
      <c r="A145" s="8">
        <v>31002</v>
      </c>
      <c r="B145" s="9" t="s">
        <v>159</v>
      </c>
      <c r="C145" s="12">
        <v>0.60088979980368429</v>
      </c>
      <c r="D145" s="18">
        <v>0.83440552052641004</v>
      </c>
    </row>
    <row r="146" spans="1:4" ht="15.75" customHeight="1">
      <c r="A146" s="8">
        <v>31003</v>
      </c>
      <c r="B146" s="9" t="s">
        <v>160</v>
      </c>
      <c r="C146" s="12">
        <v>0.63044238493322835</v>
      </c>
      <c r="D146" s="18">
        <v>0.72834767037054926</v>
      </c>
    </row>
    <row r="147" spans="1:4" ht="15.75" customHeight="1">
      <c r="A147" s="8">
        <v>31101</v>
      </c>
      <c r="B147" s="9" t="s">
        <v>161</v>
      </c>
      <c r="C147" s="12">
        <v>0.71918372408856479</v>
      </c>
      <c r="D147" s="18">
        <v>1.0118679936808921</v>
      </c>
    </row>
    <row r="148" spans="1:4" ht="15.75" customHeight="1">
      <c r="A148" s="8">
        <v>31201</v>
      </c>
      <c r="B148" s="9" t="s">
        <v>162</v>
      </c>
      <c r="C148" s="12">
        <v>0.51279981901824701</v>
      </c>
      <c r="D148" s="18">
        <v>1.0121613596387897</v>
      </c>
    </row>
    <row r="149" spans="1:4" ht="15.75" customHeight="1">
      <c r="A149" s="8">
        <v>31202</v>
      </c>
      <c r="B149" s="9" t="s">
        <v>163</v>
      </c>
      <c r="C149" s="12">
        <v>0.67814134300742113</v>
      </c>
      <c r="D149" s="18">
        <v>1.0312153447009489</v>
      </c>
    </row>
    <row r="150" spans="1:4" ht="15.75" customHeight="1">
      <c r="A150" s="8">
        <v>31203</v>
      </c>
      <c r="B150" s="9" t="s">
        <v>164</v>
      </c>
      <c r="C150" s="12">
        <v>0.69092493489757545</v>
      </c>
      <c r="D150" s="18">
        <v>1.0125466988985623</v>
      </c>
    </row>
    <row r="151" spans="1:4" ht="15.75" customHeight="1">
      <c r="A151" s="8">
        <v>31204</v>
      </c>
      <c r="B151" s="9" t="s">
        <v>165</v>
      </c>
      <c r="C151" s="12">
        <v>0.5816115626382905</v>
      </c>
      <c r="D151" s="18">
        <v>0.76804445014764167</v>
      </c>
    </row>
    <row r="152" spans="1:4" ht="15.75" customHeight="1">
      <c r="A152" s="8">
        <v>31205</v>
      </c>
      <c r="B152" s="9" t="s">
        <v>166</v>
      </c>
      <c r="C152" s="12">
        <v>0.7012501481421366</v>
      </c>
      <c r="D152" s="18">
        <v>0.8091578560284628</v>
      </c>
    </row>
    <row r="153" spans="1:4" ht="15.75" customHeight="1">
      <c r="A153" s="8">
        <v>31206</v>
      </c>
      <c r="B153" s="9" t="s">
        <v>167</v>
      </c>
      <c r="C153" s="12">
        <v>0.65451007692756313</v>
      </c>
      <c r="D153" s="18">
        <v>0.86736484129647284</v>
      </c>
    </row>
    <row r="154" spans="1:4" ht="15.75" customHeight="1">
      <c r="A154" s="8">
        <v>31301</v>
      </c>
      <c r="B154" s="9" t="s">
        <v>168</v>
      </c>
      <c r="C154" s="12">
        <v>0.33149700484226929</v>
      </c>
      <c r="D154" s="18">
        <v>0.84431216489862404</v>
      </c>
    </row>
    <row r="155" spans="1:4" ht="15.75" customHeight="1">
      <c r="A155" s="8">
        <v>31302</v>
      </c>
      <c r="B155" s="9" t="s">
        <v>169</v>
      </c>
      <c r="C155" s="12">
        <v>0.55034723346415704</v>
      </c>
      <c r="D155" s="18">
        <v>1.1130284059299256</v>
      </c>
    </row>
    <row r="156" spans="1:4" ht="15.75" customHeight="1">
      <c r="A156" s="8">
        <v>31303</v>
      </c>
      <c r="B156" s="9" t="s">
        <v>170</v>
      </c>
      <c r="C156" s="12">
        <v>0.82828309117074128</v>
      </c>
      <c r="D156" s="18">
        <v>1.1332399041835353</v>
      </c>
    </row>
    <row r="157" spans="1:4" ht="15.75" customHeight="1">
      <c r="A157" s="8">
        <v>31304</v>
      </c>
      <c r="B157" s="9" t="s">
        <v>171</v>
      </c>
      <c r="C157" s="12">
        <v>0.53436039191003115</v>
      </c>
      <c r="D157" s="18">
        <v>0.90409039279782699</v>
      </c>
    </row>
    <row r="158" spans="1:4" ht="15.75" customHeight="1">
      <c r="A158" s="8">
        <v>31401</v>
      </c>
      <c r="B158" s="9" t="s">
        <v>172</v>
      </c>
      <c r="C158" s="12">
        <v>0.53309126497353454</v>
      </c>
      <c r="D158" s="18">
        <v>0.71727979114460927</v>
      </c>
    </row>
    <row r="159" spans="1:4" ht="15.75" customHeight="1">
      <c r="A159" s="8">
        <v>31402</v>
      </c>
      <c r="B159" s="9" t="s">
        <v>173</v>
      </c>
      <c r="C159" s="12">
        <v>0.9217258681909325</v>
      </c>
      <c r="D159" s="18">
        <v>1.0155427393242862</v>
      </c>
    </row>
    <row r="160" spans="1:4" ht="15.75" customHeight="1">
      <c r="A160" s="8">
        <v>31403</v>
      </c>
      <c r="B160" s="9" t="s">
        <v>174</v>
      </c>
      <c r="C160" s="12">
        <v>0.7006434333170799</v>
      </c>
      <c r="D160" s="18">
        <v>0.66750243107852725</v>
      </c>
    </row>
    <row r="161" spans="1:4" ht="15.75" customHeight="1">
      <c r="A161" s="8">
        <v>31404</v>
      </c>
      <c r="B161" s="9" t="s">
        <v>175</v>
      </c>
      <c r="C161" s="12">
        <v>0.74542168986202439</v>
      </c>
      <c r="D161" s="18">
        <v>0.58678741042811389</v>
      </c>
    </row>
    <row r="162" spans="1:4" ht="15.75" customHeight="1">
      <c r="A162" s="8">
        <v>31405</v>
      </c>
      <c r="B162" s="9" t="s">
        <v>176</v>
      </c>
      <c r="C162" s="12">
        <v>0.49629329635863589</v>
      </c>
      <c r="D162" s="18">
        <v>0.62913166926009767</v>
      </c>
    </row>
    <row r="163" spans="1:4" ht="15.75" customHeight="1">
      <c r="A163" s="8">
        <v>31501</v>
      </c>
      <c r="B163" s="9" t="s">
        <v>177</v>
      </c>
      <c r="C163" s="12">
        <v>0.56848071328833183</v>
      </c>
      <c r="D163" s="18">
        <v>0.84414778526361101</v>
      </c>
    </row>
    <row r="164" spans="1:4" ht="15.75" customHeight="1">
      <c r="A164" s="8">
        <v>31601</v>
      </c>
      <c r="B164" s="9" t="s">
        <v>178</v>
      </c>
      <c r="C164" s="12">
        <v>0.62697903765038121</v>
      </c>
      <c r="D164" s="18">
        <v>0.90631941423771767</v>
      </c>
    </row>
    <row r="165" spans="1:4" ht="15.75" customHeight="1">
      <c r="A165" s="8">
        <v>31602</v>
      </c>
      <c r="B165" s="9" t="s">
        <v>179</v>
      </c>
      <c r="C165" s="12">
        <v>0.56489209142682473</v>
      </c>
      <c r="D165" s="18">
        <v>0.67401885134712558</v>
      </c>
    </row>
    <row r="166" spans="1:4" ht="15.75" customHeight="1">
      <c r="A166" s="8">
        <v>40101</v>
      </c>
      <c r="B166" s="9" t="s">
        <v>180</v>
      </c>
      <c r="C166" s="12">
        <v>0.33840050184535064</v>
      </c>
      <c r="D166" s="18">
        <v>0.33462577294156859</v>
      </c>
    </row>
    <row r="167" spans="1:4" ht="15.75" customHeight="1">
      <c r="A167" s="8">
        <v>40102</v>
      </c>
      <c r="B167" s="9" t="s">
        <v>181</v>
      </c>
      <c r="C167" s="12">
        <v>0.50039078065912612</v>
      </c>
      <c r="D167" s="18">
        <v>0.76274261400801957</v>
      </c>
    </row>
    <row r="168" spans="1:4" ht="15.75" customHeight="1">
      <c r="A168" s="8">
        <v>40103</v>
      </c>
      <c r="B168" s="9" t="s">
        <v>182</v>
      </c>
      <c r="C168" s="12">
        <v>0.95529677568438409</v>
      </c>
      <c r="D168" s="18">
        <v>1.0266339621937075</v>
      </c>
    </row>
    <row r="169" spans="1:4" ht="15.75" customHeight="1">
      <c r="A169" s="8">
        <v>40104</v>
      </c>
      <c r="B169" s="9" t="s">
        <v>183</v>
      </c>
      <c r="C169" s="12">
        <v>0.81942031376376723</v>
      </c>
      <c r="D169" s="18">
        <v>1.0818095449066176</v>
      </c>
    </row>
    <row r="170" spans="1:4" ht="15.75" customHeight="1">
      <c r="A170" s="8">
        <v>40201</v>
      </c>
      <c r="B170" s="9" t="s">
        <v>184</v>
      </c>
      <c r="C170" s="12">
        <v>0.44715328364072909</v>
      </c>
      <c r="D170" s="18">
        <v>0.57075101147503393</v>
      </c>
    </row>
    <row r="171" spans="1:4" ht="15.75" customHeight="1">
      <c r="A171" s="8">
        <v>40202</v>
      </c>
      <c r="B171" s="9" t="s">
        <v>185</v>
      </c>
      <c r="C171" s="12">
        <v>1.0698356108069753</v>
      </c>
      <c r="D171" s="18">
        <v>0.51930539309046819</v>
      </c>
    </row>
    <row r="172" spans="1:4" ht="15.75" customHeight="1">
      <c r="A172" s="8">
        <v>40301</v>
      </c>
      <c r="B172" s="9" t="s">
        <v>186</v>
      </c>
      <c r="C172" s="12">
        <v>0.79878731359720356</v>
      </c>
      <c r="D172" s="18">
        <v>0.99643105436020385</v>
      </c>
    </row>
    <row r="173" spans="1:4" ht="15.75" customHeight="1">
      <c r="A173" s="8">
        <v>40302</v>
      </c>
      <c r="B173" s="9" t="s">
        <v>187</v>
      </c>
      <c r="C173" s="12">
        <v>0.74270682108053943</v>
      </c>
      <c r="D173" s="18">
        <v>0.41883802990951019</v>
      </c>
    </row>
    <row r="174" spans="1:4" ht="15.75" customHeight="1">
      <c r="A174" s="8">
        <v>40401</v>
      </c>
      <c r="B174" s="9" t="s">
        <v>188</v>
      </c>
      <c r="C174" s="12">
        <v>0.50193997279775249</v>
      </c>
      <c r="D174" s="18">
        <v>0.51208096985849638</v>
      </c>
    </row>
    <row r="175" spans="1:4" ht="15.75" customHeight="1">
      <c r="A175" s="8">
        <v>40402</v>
      </c>
      <c r="B175" s="9" t="s">
        <v>189</v>
      </c>
      <c r="C175" s="12">
        <v>0.61445191381231345</v>
      </c>
      <c r="D175" s="18">
        <v>0.61121819779899034</v>
      </c>
    </row>
    <row r="176" spans="1:4" ht="15.75" customHeight="1">
      <c r="A176" s="8">
        <v>40501</v>
      </c>
      <c r="B176" s="9" t="s">
        <v>190</v>
      </c>
      <c r="C176" s="12">
        <v>0.43422233152121237</v>
      </c>
      <c r="D176" s="18">
        <v>1.7499093557431151</v>
      </c>
    </row>
    <row r="177" spans="1:4" ht="15.75" customHeight="1">
      <c r="A177" s="8">
        <v>40502</v>
      </c>
      <c r="B177" s="9" t="s">
        <v>191</v>
      </c>
      <c r="C177" s="12">
        <v>1.0320844763874168</v>
      </c>
      <c r="D177" s="18">
        <v>0.60896958905464726</v>
      </c>
    </row>
    <row r="178" spans="1:4" ht="15.75" customHeight="1">
      <c r="A178" s="8">
        <v>40503</v>
      </c>
      <c r="B178" s="9" t="s">
        <v>192</v>
      </c>
      <c r="C178" s="12">
        <v>1.0905163894958545</v>
      </c>
      <c r="D178" s="18">
        <v>1.3146614548560416</v>
      </c>
    </row>
    <row r="179" spans="1:4" ht="15.75" customHeight="1">
      <c r="A179" s="8">
        <v>40504</v>
      </c>
      <c r="B179" s="9" t="s">
        <v>193</v>
      </c>
      <c r="C179" s="12">
        <v>0.61873848810768861</v>
      </c>
      <c r="D179" s="18">
        <v>7.5195266272189345</v>
      </c>
    </row>
    <row r="180" spans="1:4" ht="15.75" customHeight="1">
      <c r="A180" s="8">
        <v>40505</v>
      </c>
      <c r="B180" s="9" t="s">
        <v>194</v>
      </c>
      <c r="C180" s="12">
        <v>1.6642438671307298</v>
      </c>
      <c r="D180" s="18">
        <v>2.4249097767185046</v>
      </c>
    </row>
    <row r="181" spans="1:4" ht="15.75" customHeight="1">
      <c r="A181" s="8">
        <v>40601</v>
      </c>
      <c r="B181" s="9" t="s">
        <v>195</v>
      </c>
      <c r="C181" s="12">
        <v>0.40110059900640471</v>
      </c>
      <c r="D181" s="18">
        <v>0.61820079179262655</v>
      </c>
    </row>
    <row r="182" spans="1:4" ht="15.75" customHeight="1">
      <c r="A182" s="8">
        <v>40602</v>
      </c>
      <c r="B182" s="9" t="s">
        <v>196</v>
      </c>
      <c r="C182" s="12">
        <v>0.56022484483582347</v>
      </c>
      <c r="D182" s="18">
        <v>0.84665072293210686</v>
      </c>
    </row>
    <row r="183" spans="1:4" ht="15.75" customHeight="1">
      <c r="A183" s="8">
        <v>40603</v>
      </c>
      <c r="B183" s="9" t="s">
        <v>197</v>
      </c>
      <c r="C183" s="12">
        <v>0.27370529845422664</v>
      </c>
      <c r="D183" s="18">
        <v>0.51468024374354615</v>
      </c>
    </row>
    <row r="184" spans="1:4" ht="15.75" customHeight="1">
      <c r="A184" s="8">
        <v>40701</v>
      </c>
      <c r="B184" s="9" t="s">
        <v>198</v>
      </c>
      <c r="C184" s="12">
        <v>0.38775435161142946</v>
      </c>
      <c r="D184" s="18">
        <v>0.22048830169773545</v>
      </c>
    </row>
    <row r="185" spans="1:4" ht="15.75" customHeight="1">
      <c r="A185" s="8">
        <v>40702</v>
      </c>
      <c r="B185" s="9" t="s">
        <v>199</v>
      </c>
      <c r="C185" s="12">
        <v>0.40894220376378315</v>
      </c>
      <c r="D185" s="18">
        <v>0.59747096183403214</v>
      </c>
    </row>
    <row r="186" spans="1:4" ht="15.75" customHeight="1">
      <c r="A186" s="8">
        <v>40801</v>
      </c>
      <c r="B186" s="9" t="s">
        <v>200</v>
      </c>
      <c r="C186" s="12">
        <v>0.8350698397166445</v>
      </c>
      <c r="D186" s="18">
        <v>0.8537513330996872</v>
      </c>
    </row>
    <row r="187" spans="1:4" ht="15.75" customHeight="1">
      <c r="A187" s="8">
        <v>40802</v>
      </c>
      <c r="B187" s="9" t="s">
        <v>201</v>
      </c>
      <c r="C187" s="12">
        <v>1.1564631980501656</v>
      </c>
      <c r="D187" s="18">
        <v>1.3552919730154733</v>
      </c>
    </row>
    <row r="188" spans="1:4" ht="15.75" customHeight="1">
      <c r="A188" s="8">
        <v>40901</v>
      </c>
      <c r="B188" s="9" t="s">
        <v>202</v>
      </c>
      <c r="C188" s="12">
        <v>0.7465138667726926</v>
      </c>
      <c r="D188" s="18">
        <v>0.62976282151369645</v>
      </c>
    </row>
    <row r="189" spans="1:4" ht="15.75" customHeight="1">
      <c r="A189" s="8">
        <v>40902</v>
      </c>
      <c r="B189" s="9" t="s">
        <v>203</v>
      </c>
      <c r="C189" s="12">
        <v>0.81766137131914174</v>
      </c>
      <c r="D189" s="18">
        <v>0.79558745742465597</v>
      </c>
    </row>
    <row r="190" spans="1:4" ht="15.75" customHeight="1">
      <c r="A190" s="8">
        <v>40903</v>
      </c>
      <c r="B190" s="9" t="s">
        <v>204</v>
      </c>
      <c r="C190" s="12">
        <v>0.72107098718352847</v>
      </c>
      <c r="D190" s="18">
        <v>0.86034800542070999</v>
      </c>
    </row>
    <row r="191" spans="1:4" ht="15.75" customHeight="1">
      <c r="A191" s="8">
        <v>41001</v>
      </c>
      <c r="B191" s="9" t="s">
        <v>205</v>
      </c>
      <c r="C191" s="12">
        <v>0.80192214148202901</v>
      </c>
      <c r="D191" s="18">
        <v>0.6901165347733883</v>
      </c>
    </row>
    <row r="192" spans="1:4" ht="15.75" customHeight="1">
      <c r="A192" s="8">
        <v>41101</v>
      </c>
      <c r="B192" s="9" t="s">
        <v>206</v>
      </c>
      <c r="C192" s="12">
        <v>0.49525954510403397</v>
      </c>
      <c r="D192" s="18">
        <v>0.51607165000285349</v>
      </c>
    </row>
    <row r="193" spans="1:4" ht="15.75" customHeight="1">
      <c r="A193" s="8">
        <v>41201</v>
      </c>
      <c r="B193" s="9" t="s">
        <v>207</v>
      </c>
      <c r="C193" s="12">
        <v>0.80983168545688655</v>
      </c>
      <c r="D193" s="18">
        <v>1.1220551356967889</v>
      </c>
    </row>
    <row r="194" spans="1:4" ht="15.75" customHeight="1">
      <c r="A194" s="8">
        <v>41202</v>
      </c>
      <c r="B194" s="9" t="s">
        <v>208</v>
      </c>
      <c r="C194" s="12">
        <v>0.80909251828770468</v>
      </c>
      <c r="D194" s="18">
        <v>0.78690161712148265</v>
      </c>
    </row>
    <row r="195" spans="1:4" ht="15.75" customHeight="1">
      <c r="A195" s="8">
        <v>41301</v>
      </c>
      <c r="B195" s="9" t="s">
        <v>209</v>
      </c>
      <c r="C195" s="12">
        <v>0.82471642607800533</v>
      </c>
      <c r="D195" s="18">
        <v>0.70573531612231799</v>
      </c>
    </row>
    <row r="196" spans="1:4" ht="15.75" customHeight="1">
      <c r="A196" s="8">
        <v>41401</v>
      </c>
      <c r="B196" s="9" t="s">
        <v>210</v>
      </c>
      <c r="C196" s="12">
        <v>0.25077342934251551</v>
      </c>
      <c r="D196" s="18">
        <v>0.61128262826336044</v>
      </c>
    </row>
    <row r="197" spans="1:4" ht="15.75" customHeight="1">
      <c r="A197" s="8">
        <v>41501</v>
      </c>
      <c r="B197" s="9" t="s">
        <v>211</v>
      </c>
      <c r="C197" s="12">
        <v>0.85417703961400393</v>
      </c>
      <c r="D197" s="18">
        <v>0.59258562267355375</v>
      </c>
    </row>
    <row r="198" spans="1:4" ht="15.75" customHeight="1">
      <c r="A198" s="8">
        <v>41502</v>
      </c>
      <c r="B198" s="9" t="s">
        <v>212</v>
      </c>
      <c r="C198" s="12">
        <v>0.4599229983878152</v>
      </c>
      <c r="D198" s="18">
        <v>1.769225344498762</v>
      </c>
    </row>
    <row r="199" spans="1:4" ht="15.75" customHeight="1">
      <c r="A199" s="8">
        <v>41503</v>
      </c>
      <c r="B199" s="9" t="s">
        <v>213</v>
      </c>
      <c r="C199" s="12">
        <v>1.0069227833782031</v>
      </c>
      <c r="D199" s="18">
        <v>1.2650469661180368</v>
      </c>
    </row>
    <row r="200" spans="1:4" ht="15.75" customHeight="1">
      <c r="A200" s="8">
        <v>41601</v>
      </c>
      <c r="B200" s="9" t="s">
        <v>214</v>
      </c>
      <c r="C200" s="12">
        <v>0.73972435253588076</v>
      </c>
      <c r="D200" s="18">
        <v>0.94976409049167465</v>
      </c>
    </row>
    <row r="201" spans="1:4" ht="15.75" customHeight="1">
      <c r="A201" s="8">
        <v>50101</v>
      </c>
      <c r="B201" s="9" t="s">
        <v>215</v>
      </c>
      <c r="C201" s="12">
        <v>0.19208706775540413</v>
      </c>
      <c r="D201" s="18">
        <v>0.2463780567909778</v>
      </c>
    </row>
    <row r="202" spans="1:4" ht="15.75" customHeight="1">
      <c r="A202" s="8">
        <v>50102</v>
      </c>
      <c r="B202" s="9" t="s">
        <v>216</v>
      </c>
      <c r="C202" s="12">
        <v>0.74906862979023336</v>
      </c>
      <c r="D202" s="18">
        <v>0.77492067394523145</v>
      </c>
    </row>
    <row r="203" spans="1:4" ht="15.75" customHeight="1">
      <c r="A203" s="8">
        <v>50103</v>
      </c>
      <c r="B203" s="9" t="s">
        <v>217</v>
      </c>
      <c r="C203" s="12">
        <v>0.76747178207113309</v>
      </c>
      <c r="D203" s="18">
        <v>0.51940839235035452</v>
      </c>
    </row>
    <row r="204" spans="1:4" ht="15.75" customHeight="1">
      <c r="A204" s="8">
        <v>50104</v>
      </c>
      <c r="B204" s="9" t="s">
        <v>218</v>
      </c>
      <c r="C204" s="12">
        <v>0.76956584303951447</v>
      </c>
      <c r="D204" s="18">
        <v>0.49036859654686693</v>
      </c>
    </row>
    <row r="205" spans="1:4" ht="15.75" customHeight="1">
      <c r="A205" s="8">
        <v>50201</v>
      </c>
      <c r="B205" s="9" t="s">
        <v>219</v>
      </c>
      <c r="C205" s="12">
        <v>0.23929792378419371</v>
      </c>
      <c r="D205" s="18">
        <v>0.29906188146430701</v>
      </c>
    </row>
    <row r="206" spans="1:4" ht="15.75" customHeight="1">
      <c r="A206" s="8">
        <v>50202</v>
      </c>
      <c r="B206" s="9" t="s">
        <v>220</v>
      </c>
      <c r="C206" s="12">
        <v>0.48105919243855289</v>
      </c>
      <c r="D206" s="18">
        <v>0.9066984358258855</v>
      </c>
    </row>
    <row r="207" spans="1:4" ht="15.75" customHeight="1">
      <c r="A207" s="8">
        <v>50203</v>
      </c>
      <c r="B207" s="9" t="s">
        <v>221</v>
      </c>
      <c r="C207" s="12">
        <v>0.32808201329796105</v>
      </c>
      <c r="D207" s="18">
        <v>0.31556086156595803</v>
      </c>
    </row>
    <row r="208" spans="1:4" ht="15.75" customHeight="1">
      <c r="A208" s="8">
        <v>50204</v>
      </c>
      <c r="B208" s="9" t="s">
        <v>222</v>
      </c>
      <c r="C208" s="12">
        <v>0.38635232896776978</v>
      </c>
      <c r="D208" s="18">
        <v>0.47563498227013712</v>
      </c>
    </row>
    <row r="209" spans="1:4" ht="15.75" customHeight="1">
      <c r="A209" s="8">
        <v>50301</v>
      </c>
      <c r="B209" s="9" t="s">
        <v>223</v>
      </c>
      <c r="C209" s="12">
        <v>0.42614098895125324</v>
      </c>
      <c r="D209" s="18">
        <v>0.85429066722239255</v>
      </c>
    </row>
    <row r="210" spans="1:4" ht="15.75" customHeight="1">
      <c r="A210" s="8">
        <v>50302</v>
      </c>
      <c r="B210" s="9" t="s">
        <v>224</v>
      </c>
      <c r="C210" s="12">
        <v>0.91472412532599723</v>
      </c>
      <c r="D210" s="18">
        <v>0.72405362394300798</v>
      </c>
    </row>
    <row r="211" spans="1:4" ht="15.75" customHeight="1">
      <c r="A211" s="8">
        <v>50303</v>
      </c>
      <c r="B211" s="9" t="s">
        <v>225</v>
      </c>
      <c r="C211" s="12">
        <v>0.76195379356867809</v>
      </c>
      <c r="D211" s="18">
        <v>0.80587687177932388</v>
      </c>
    </row>
    <row r="212" spans="1:4" ht="15.75" customHeight="1">
      <c r="A212" s="8">
        <v>50401</v>
      </c>
      <c r="B212" s="9" t="s">
        <v>226</v>
      </c>
      <c r="C212" s="12">
        <v>0.54462655014755357</v>
      </c>
      <c r="D212" s="18">
        <v>0.43271277396353197</v>
      </c>
    </row>
    <row r="213" spans="1:4" ht="15.75" customHeight="1">
      <c r="A213" s="8">
        <v>50402</v>
      </c>
      <c r="B213" s="9" t="s">
        <v>227</v>
      </c>
      <c r="C213" s="12">
        <v>0.57267655375613213</v>
      </c>
      <c r="D213" s="18">
        <v>0.85105681167948366</v>
      </c>
    </row>
    <row r="214" spans="1:4" ht="15.75" customHeight="1">
      <c r="A214" s="8">
        <v>50403</v>
      </c>
      <c r="B214" s="9" t="s">
        <v>228</v>
      </c>
      <c r="C214" s="12">
        <v>0.79285090416079662</v>
      </c>
      <c r="D214" s="18">
        <v>0.88098048278013763</v>
      </c>
    </row>
    <row r="215" spans="1:4" ht="15.75" customHeight="1">
      <c r="A215" s="8">
        <v>50404</v>
      </c>
      <c r="B215" s="9" t="s">
        <v>229</v>
      </c>
      <c r="C215" s="12">
        <v>0.62935344338672672</v>
      </c>
      <c r="D215" s="18">
        <v>0.87042464234800931</v>
      </c>
    </row>
    <row r="216" spans="1:4" ht="15.75" customHeight="1">
      <c r="A216" s="8">
        <v>50405</v>
      </c>
      <c r="B216" s="9" t="s">
        <v>230</v>
      </c>
      <c r="C216" s="12">
        <v>0.73147481465394693</v>
      </c>
      <c r="D216" s="18">
        <v>0.97307659024541049</v>
      </c>
    </row>
    <row r="217" spans="1:4" ht="15.75" customHeight="1">
      <c r="A217" s="8">
        <v>50501</v>
      </c>
      <c r="B217" s="9" t="s">
        <v>231</v>
      </c>
      <c r="C217" s="12">
        <v>0.62397675879527648</v>
      </c>
      <c r="D217" s="18">
        <v>0.76849179591785288</v>
      </c>
    </row>
    <row r="218" spans="1:4" ht="15.75" customHeight="1">
      <c r="A218" s="8">
        <v>50502</v>
      </c>
      <c r="B218" s="9" t="s">
        <v>232</v>
      </c>
      <c r="C218" s="12">
        <v>0.39709930968443707</v>
      </c>
      <c r="D218" s="18">
        <v>0.91561272478383826</v>
      </c>
    </row>
    <row r="219" spans="1:4" ht="15.75" customHeight="1">
      <c r="A219" s="8">
        <v>50601</v>
      </c>
      <c r="B219" s="9" t="s">
        <v>233</v>
      </c>
      <c r="C219" s="12">
        <v>0.53165759379529709</v>
      </c>
      <c r="D219" s="18">
        <v>0.45766247201105947</v>
      </c>
    </row>
    <row r="220" spans="1:4" ht="15.75" customHeight="1">
      <c r="A220" s="8">
        <v>50602</v>
      </c>
      <c r="B220" s="9" t="s">
        <v>234</v>
      </c>
      <c r="C220" s="12">
        <v>0.65090489087527281</v>
      </c>
      <c r="D220" s="18">
        <v>1.001667653310484</v>
      </c>
    </row>
    <row r="221" spans="1:4" ht="15.75" customHeight="1">
      <c r="A221" s="8">
        <v>50701</v>
      </c>
      <c r="B221" s="9" t="s">
        <v>235</v>
      </c>
      <c r="C221" s="12">
        <v>0.60441655031614616</v>
      </c>
      <c r="D221" s="18">
        <v>0.78431600825124803</v>
      </c>
    </row>
    <row r="222" spans="1:4" ht="15.75" customHeight="1">
      <c r="A222" s="8">
        <v>50702</v>
      </c>
      <c r="B222" s="9" t="s">
        <v>236</v>
      </c>
      <c r="C222" s="12">
        <v>0.36560347437046575</v>
      </c>
      <c r="D222" s="18">
        <v>0.89884295677789483</v>
      </c>
    </row>
    <row r="223" spans="1:4" ht="15.75" customHeight="1">
      <c r="A223" s="8">
        <v>50801</v>
      </c>
      <c r="B223" s="9" t="s">
        <v>237</v>
      </c>
      <c r="C223" s="12">
        <v>0.88931404274075532</v>
      </c>
      <c r="D223" s="18">
        <v>0.61626731605105201</v>
      </c>
    </row>
    <row r="224" spans="1:4" ht="15.75" customHeight="1">
      <c r="A224" s="8">
        <v>50802</v>
      </c>
      <c r="B224" s="9" t="s">
        <v>238</v>
      </c>
      <c r="C224" s="12">
        <v>0.5366699141165957</v>
      </c>
      <c r="D224" s="18">
        <v>0.42948437869739664</v>
      </c>
    </row>
    <row r="225" spans="1:4" ht="15.75" customHeight="1">
      <c r="A225" s="8">
        <v>50901</v>
      </c>
      <c r="B225" s="9" t="s">
        <v>239</v>
      </c>
      <c r="C225" s="12">
        <v>0.42340302374852368</v>
      </c>
      <c r="D225" s="18">
        <v>0.47300438986973664</v>
      </c>
    </row>
    <row r="226" spans="1:4" ht="15.75" customHeight="1">
      <c r="A226" s="8">
        <v>50902</v>
      </c>
      <c r="B226" s="9" t="s">
        <v>240</v>
      </c>
      <c r="C226" s="12">
        <v>1.3086211799179153</v>
      </c>
      <c r="D226" s="18">
        <v>0.78021739527522849</v>
      </c>
    </row>
    <row r="227" spans="1:4" ht="15.75" customHeight="1">
      <c r="A227" s="8">
        <v>51001</v>
      </c>
      <c r="B227" s="9" t="s">
        <v>241</v>
      </c>
      <c r="C227" s="12">
        <v>0.66472559452644608</v>
      </c>
      <c r="D227" s="18">
        <v>0.84194651857792446</v>
      </c>
    </row>
    <row r="228" spans="1:4" ht="15.75" customHeight="1">
      <c r="A228" s="8">
        <v>51002</v>
      </c>
      <c r="B228" s="9" t="s">
        <v>242</v>
      </c>
      <c r="C228" s="12">
        <v>0.35854408043493846</v>
      </c>
      <c r="D228" s="18">
        <v>1.0613994515792955</v>
      </c>
    </row>
    <row r="229" spans="1:4" ht="15.75" customHeight="1">
      <c r="A229" s="8">
        <v>51003</v>
      </c>
      <c r="B229" s="9" t="s">
        <v>243</v>
      </c>
      <c r="C229" s="12">
        <v>0.89392218968300519</v>
      </c>
      <c r="D229" s="18">
        <v>0.68567052759468161</v>
      </c>
    </row>
    <row r="230" spans="1:4" ht="15.75" customHeight="1">
      <c r="A230" s="8">
        <v>51101</v>
      </c>
      <c r="B230" s="9" t="s">
        <v>244</v>
      </c>
      <c r="C230" s="12">
        <v>0.78657803661140957</v>
      </c>
      <c r="D230" s="18">
        <v>0.98988824217081539</v>
      </c>
    </row>
    <row r="231" spans="1:4" ht="15.75" customHeight="1">
      <c r="A231" s="8">
        <v>51102</v>
      </c>
      <c r="B231" s="9" t="s">
        <v>245</v>
      </c>
      <c r="C231" s="12">
        <v>0.72213848767584021</v>
      </c>
      <c r="D231" s="18">
        <v>0.89126966908438587</v>
      </c>
    </row>
    <row r="232" spans="1:4" ht="15.75" customHeight="1">
      <c r="A232" s="8">
        <v>51103</v>
      </c>
      <c r="B232" s="9" t="s">
        <v>246</v>
      </c>
      <c r="C232" s="12">
        <v>0.63497595523812866</v>
      </c>
      <c r="D232" s="18">
        <v>0.87566244783551739</v>
      </c>
    </row>
    <row r="233" spans="1:4" ht="15.75" customHeight="1">
      <c r="A233" s="8">
        <v>51201</v>
      </c>
      <c r="B233" s="9" t="s">
        <v>247</v>
      </c>
      <c r="C233" s="12">
        <v>0.41165096926209593</v>
      </c>
      <c r="D233" s="18">
        <v>0.36809998459614063</v>
      </c>
    </row>
    <row r="234" spans="1:4" ht="15.75" customHeight="1">
      <c r="A234" s="8">
        <v>51202</v>
      </c>
      <c r="B234" s="9" t="s">
        <v>248</v>
      </c>
      <c r="C234" s="12">
        <v>1.0487320015001917</v>
      </c>
      <c r="D234" s="18">
        <v>1.030380175539241</v>
      </c>
    </row>
    <row r="235" spans="1:4" ht="15.75" customHeight="1">
      <c r="A235" s="8">
        <v>51203</v>
      </c>
      <c r="B235" s="9" t="s">
        <v>249</v>
      </c>
      <c r="C235" s="12">
        <v>0.77189765627438445</v>
      </c>
      <c r="D235" s="18">
        <v>0.86430074197025542</v>
      </c>
    </row>
    <row r="236" spans="1:4" ht="15.75" customHeight="1">
      <c r="A236" s="8">
        <v>51204</v>
      </c>
      <c r="B236" s="9" t="s">
        <v>250</v>
      </c>
      <c r="C236" s="12">
        <v>0.53296326612227418</v>
      </c>
      <c r="D236" s="18">
        <v>0.8701172515786878</v>
      </c>
    </row>
    <row r="237" spans="1:4" ht="15.75" customHeight="1">
      <c r="A237" s="8">
        <v>51301</v>
      </c>
      <c r="B237" s="9" t="s">
        <v>251</v>
      </c>
      <c r="C237" s="12">
        <v>0.71639115385193097</v>
      </c>
      <c r="D237" s="18">
        <v>1.1211174938345745</v>
      </c>
    </row>
    <row r="238" spans="1:4" ht="15.75" customHeight="1">
      <c r="A238" s="8">
        <v>51302</v>
      </c>
      <c r="B238" s="9" t="s">
        <v>252</v>
      </c>
      <c r="C238" s="12">
        <v>0.57809940751541555</v>
      </c>
      <c r="D238" s="18">
        <v>0.55562962839127528</v>
      </c>
    </row>
    <row r="239" spans="1:4" ht="15.75" customHeight="1">
      <c r="A239" s="8">
        <v>51401</v>
      </c>
      <c r="B239" s="9" t="s">
        <v>253</v>
      </c>
      <c r="C239" s="12">
        <v>0.82936374356342124</v>
      </c>
      <c r="D239" s="18">
        <v>0.13223093762773711</v>
      </c>
    </row>
    <row r="240" spans="1:4" ht="15.75" customHeight="1">
      <c r="A240" s="8">
        <v>51402</v>
      </c>
      <c r="B240" s="9" t="s">
        <v>254</v>
      </c>
      <c r="C240" s="12">
        <v>0.59808387214871794</v>
      </c>
      <c r="D240" s="18">
        <v>2.3753412719029172</v>
      </c>
    </row>
    <row r="241" spans="1:4" ht="15.75" customHeight="1">
      <c r="A241" s="8">
        <v>51501</v>
      </c>
      <c r="B241" s="9" t="s">
        <v>255</v>
      </c>
      <c r="C241" s="12">
        <v>0.68046472705089944</v>
      </c>
      <c r="D241" s="18">
        <v>0.6542701098535828</v>
      </c>
    </row>
    <row r="242" spans="1:4" ht="15.75" customHeight="1">
      <c r="A242" s="8">
        <v>51601</v>
      </c>
      <c r="B242" s="9" t="s">
        <v>256</v>
      </c>
      <c r="C242" s="12">
        <v>1.2617630396214317</v>
      </c>
      <c r="D242" s="18">
        <v>0.75453268635833415</v>
      </c>
    </row>
    <row r="243" spans="1:4" ht="15.75" customHeight="1">
      <c r="A243" s="8">
        <v>60101</v>
      </c>
      <c r="B243" s="9" t="s">
        <v>257</v>
      </c>
      <c r="C243" s="12">
        <v>0.48963030941520774</v>
      </c>
      <c r="D243" s="18">
        <v>0.53447761814845252</v>
      </c>
    </row>
    <row r="244" spans="1:4" ht="15.75" customHeight="1">
      <c r="A244" s="8">
        <v>60201</v>
      </c>
      <c r="B244" s="9" t="s">
        <v>258</v>
      </c>
      <c r="C244" s="12">
        <v>0.9355366782042337</v>
      </c>
      <c r="D244" s="18">
        <v>1.0521193420944803</v>
      </c>
    </row>
    <row r="245" spans="1:4" ht="15.75" customHeight="1">
      <c r="A245" s="8">
        <v>60202</v>
      </c>
      <c r="B245" s="9" t="s">
        <v>259</v>
      </c>
      <c r="C245" s="12">
        <v>0.46138659279727073</v>
      </c>
      <c r="D245" s="18">
        <v>0.59025395539070469</v>
      </c>
    </row>
    <row r="246" spans="1:4" ht="15.75" customHeight="1">
      <c r="A246" s="8">
        <v>60301</v>
      </c>
      <c r="B246" s="9" t="s">
        <v>260</v>
      </c>
      <c r="C246" s="12">
        <v>0.4022028960102908</v>
      </c>
      <c r="D246" s="18">
        <v>0.26110680425311394</v>
      </c>
    </row>
    <row r="247" spans="1:4" ht="15.75" customHeight="1">
      <c r="A247" s="8">
        <v>60302</v>
      </c>
      <c r="B247" s="9" t="s">
        <v>261</v>
      </c>
      <c r="C247" s="12">
        <v>0.56800179406885476</v>
      </c>
      <c r="D247" s="18">
        <v>0.41896386469301705</v>
      </c>
    </row>
    <row r="248" spans="1:4" ht="15.75" customHeight="1">
      <c r="A248" s="8">
        <v>60303</v>
      </c>
      <c r="B248" s="9" t="s">
        <v>262</v>
      </c>
      <c r="C248" s="12">
        <v>0.55586899007191592</v>
      </c>
      <c r="D248" s="18">
        <v>0.25621129784464008</v>
      </c>
    </row>
    <row r="249" spans="1:4" ht="15.75" customHeight="1">
      <c r="A249" s="8">
        <v>60401</v>
      </c>
      <c r="B249" s="9" t="s">
        <v>263</v>
      </c>
      <c r="C249" s="12">
        <v>0.86152562386053777</v>
      </c>
      <c r="D249" s="18">
        <v>0.73330545320109641</v>
      </c>
    </row>
    <row r="250" spans="1:4" ht="15.75" customHeight="1">
      <c r="A250" s="8">
        <v>60402</v>
      </c>
      <c r="B250" s="9" t="s">
        <v>264</v>
      </c>
      <c r="C250" s="12">
        <v>0.96767958508476304</v>
      </c>
      <c r="D250" s="18">
        <v>1.1703045127067599</v>
      </c>
    </row>
    <row r="251" spans="1:4" ht="15.75" customHeight="1">
      <c r="A251" s="8">
        <v>60501</v>
      </c>
      <c r="B251" s="9" t="s">
        <v>265</v>
      </c>
      <c r="C251" s="12">
        <v>1.0617970652341115</v>
      </c>
      <c r="D251" s="18">
        <v>0.64762697080012244</v>
      </c>
    </row>
    <row r="252" spans="1:4" ht="15.75" customHeight="1">
      <c r="A252" s="8">
        <v>60502</v>
      </c>
      <c r="B252" s="9" t="s">
        <v>266</v>
      </c>
      <c r="C252" s="12">
        <v>0.89566540809079254</v>
      </c>
      <c r="D252" s="18">
        <v>2.261567858828025</v>
      </c>
    </row>
    <row r="253" spans="1:4" ht="15.75" customHeight="1">
      <c r="A253" s="8">
        <v>60601</v>
      </c>
      <c r="B253" s="9" t="s">
        <v>167</v>
      </c>
      <c r="C253" s="12">
        <v>0.65451689026356719</v>
      </c>
      <c r="D253" s="18">
        <v>0.4637304361087225</v>
      </c>
    </row>
    <row r="254" spans="1:4" ht="15.75" customHeight="1">
      <c r="A254" s="8">
        <v>70101</v>
      </c>
      <c r="B254" s="9" t="s">
        <v>267</v>
      </c>
      <c r="C254" s="12">
        <v>0.69130215565683839</v>
      </c>
      <c r="D254" s="18">
        <v>0.60915277896553899</v>
      </c>
    </row>
    <row r="255" spans="1:4" ht="15.75" customHeight="1">
      <c r="A255" s="8">
        <v>70102</v>
      </c>
      <c r="B255" s="9" t="s">
        <v>268</v>
      </c>
      <c r="C255" s="12">
        <v>0.75747201700883549</v>
      </c>
      <c r="D255" s="18">
        <v>0.73643018106998515</v>
      </c>
    </row>
    <row r="256" spans="1:4" ht="15.75" customHeight="1">
      <c r="A256" s="8">
        <v>70103</v>
      </c>
      <c r="B256" s="9" t="s">
        <v>269</v>
      </c>
      <c r="C256" s="12">
        <v>0.57108064642205625</v>
      </c>
      <c r="D256" s="18">
        <v>0.44686553023723191</v>
      </c>
    </row>
    <row r="257" spans="1:4" ht="15.75" customHeight="1">
      <c r="A257" s="8">
        <v>70104</v>
      </c>
      <c r="B257" s="9" t="s">
        <v>270</v>
      </c>
      <c r="C257" s="12">
        <v>0.81887196017630093</v>
      </c>
      <c r="D257" s="18">
        <v>0.64935109616152475</v>
      </c>
    </row>
    <row r="258" spans="1:4" ht="15.75" customHeight="1">
      <c r="A258" s="8">
        <v>70105</v>
      </c>
      <c r="B258" s="9" t="s">
        <v>271</v>
      </c>
      <c r="C258" s="12">
        <v>0.56871835925053549</v>
      </c>
      <c r="D258" s="18">
        <v>0.62545558855591721</v>
      </c>
    </row>
    <row r="259" spans="1:4" ht="15.75" customHeight="1">
      <c r="A259" s="8">
        <v>70201</v>
      </c>
      <c r="B259" s="9" t="s">
        <v>272</v>
      </c>
      <c r="C259" s="12">
        <v>0.84626260280544541</v>
      </c>
      <c r="D259" s="18">
        <v>0.85336380287330205</v>
      </c>
    </row>
    <row r="260" spans="1:4" ht="15.75" customHeight="1">
      <c r="A260" s="8">
        <v>70202</v>
      </c>
      <c r="B260" s="9" t="s">
        <v>273</v>
      </c>
      <c r="C260" s="12">
        <v>1.0953991975062374</v>
      </c>
      <c r="D260" s="18">
        <v>0.65106154844497433</v>
      </c>
    </row>
    <row r="261" spans="1:4" ht="15.75" customHeight="1">
      <c r="A261" s="8">
        <v>70301</v>
      </c>
      <c r="B261" s="9" t="s">
        <v>274</v>
      </c>
      <c r="C261" s="12">
        <v>0.82441036189093864</v>
      </c>
      <c r="D261" s="18">
        <v>1.4645427369776638</v>
      </c>
    </row>
    <row r="262" spans="1:4" ht="15.75" customHeight="1">
      <c r="A262" s="8">
        <v>70302</v>
      </c>
      <c r="B262" s="9" t="s">
        <v>275</v>
      </c>
      <c r="C262" s="12">
        <v>0.75150160766992624</v>
      </c>
      <c r="D262" s="18">
        <v>1.0628589558841446</v>
      </c>
    </row>
    <row r="263" spans="1:4" ht="15.75" customHeight="1">
      <c r="A263" s="8">
        <v>70303</v>
      </c>
      <c r="B263" s="9" t="s">
        <v>276</v>
      </c>
      <c r="C263" s="12">
        <v>0.79250620761852308</v>
      </c>
      <c r="D263" s="18">
        <v>1.1877273443168679</v>
      </c>
    </row>
    <row r="264" spans="1:4" ht="15.75" customHeight="1">
      <c r="A264" s="8">
        <v>70401</v>
      </c>
      <c r="B264" s="9" t="s">
        <v>277</v>
      </c>
      <c r="C264" s="12">
        <v>0.58918232219483746</v>
      </c>
      <c r="D264" s="18">
        <v>0.46265859976267032</v>
      </c>
    </row>
    <row r="265" spans="1:4" ht="15.75" customHeight="1">
      <c r="A265" s="8">
        <v>70402</v>
      </c>
      <c r="B265" s="9" t="s">
        <v>278</v>
      </c>
      <c r="C265" s="12">
        <v>0.87006657129687459</v>
      </c>
      <c r="D265" s="18">
        <v>0.63535426554359864</v>
      </c>
    </row>
    <row r="266" spans="1:4" ht="15.75" customHeight="1">
      <c r="A266" s="8">
        <v>70403</v>
      </c>
      <c r="B266" s="9" t="s">
        <v>279</v>
      </c>
      <c r="C266" s="12">
        <v>0.68193990563569429</v>
      </c>
      <c r="D266" s="18">
        <v>0.49130075994469763</v>
      </c>
    </row>
    <row r="267" spans="1:4" ht="15.75" customHeight="1">
      <c r="A267" s="8">
        <v>70404</v>
      </c>
      <c r="B267" s="9" t="s">
        <v>280</v>
      </c>
      <c r="C267" s="12">
        <v>0.85530719463360816</v>
      </c>
      <c r="D267" s="18">
        <v>0.5092592599526623</v>
      </c>
    </row>
    <row r="268" spans="1:4" ht="15.75" customHeight="1">
      <c r="A268" s="8">
        <v>70501</v>
      </c>
      <c r="B268" s="9" t="s">
        <v>281</v>
      </c>
      <c r="C268" s="12">
        <v>1.00029103034129</v>
      </c>
      <c r="D268" s="18">
        <v>1.4599981496951311</v>
      </c>
    </row>
    <row r="269" spans="1:4" ht="15.75" customHeight="1">
      <c r="A269" s="8">
        <v>70502</v>
      </c>
      <c r="B269" s="9" t="s">
        <v>282</v>
      </c>
      <c r="C269" s="12">
        <v>0.85260459146814038</v>
      </c>
      <c r="D269" s="18">
        <v>0.84917160291725891</v>
      </c>
    </row>
    <row r="270" spans="1:4" ht="15.75" customHeight="1">
      <c r="A270" s="8">
        <v>70503</v>
      </c>
      <c r="B270" s="9" t="s">
        <v>283</v>
      </c>
      <c r="C270" s="12">
        <v>0.86172632066982369</v>
      </c>
      <c r="D270" s="18">
        <v>0.75050122517012374</v>
      </c>
    </row>
    <row r="271" spans="1:4" ht="15.75" customHeight="1">
      <c r="A271" s="8">
        <v>70601</v>
      </c>
      <c r="B271" s="9" t="s">
        <v>284</v>
      </c>
      <c r="C271" s="12">
        <v>0.97273719028795802</v>
      </c>
      <c r="D271" s="18">
        <v>0.58283323721002822</v>
      </c>
    </row>
    <row r="272" spans="1:4" ht="15.75" customHeight="1">
      <c r="A272" s="8">
        <v>70602</v>
      </c>
      <c r="B272" s="9" t="s">
        <v>285</v>
      </c>
      <c r="C272" s="12">
        <v>0.72785896485817314</v>
      </c>
      <c r="D272" s="18">
        <v>0.53086317204178801</v>
      </c>
    </row>
    <row r="273" spans="1:4" ht="15.75" customHeight="1">
      <c r="A273" s="8">
        <v>70603</v>
      </c>
      <c r="B273" s="9" t="s">
        <v>286</v>
      </c>
      <c r="C273" s="12">
        <v>1.3139007697058875</v>
      </c>
      <c r="D273" s="18">
        <v>0.62179001888151053</v>
      </c>
    </row>
    <row r="274" spans="1:4" ht="15.75" customHeight="1">
      <c r="A274" s="8">
        <v>70701</v>
      </c>
      <c r="B274" s="9" t="s">
        <v>287</v>
      </c>
      <c r="C274" s="12">
        <v>0.41564816461689563</v>
      </c>
      <c r="D274" s="18">
        <v>0.4536499882021377</v>
      </c>
    </row>
    <row r="275" spans="1:4" ht="15.75" customHeight="1">
      <c r="A275" s="8">
        <v>70702</v>
      </c>
      <c r="B275" s="9" t="s">
        <v>288</v>
      </c>
      <c r="C275" s="12">
        <v>0.74722538533525196</v>
      </c>
      <c r="D275" s="18">
        <v>2.3055015329708599</v>
      </c>
    </row>
    <row r="276" spans="1:4" ht="15.75" customHeight="1">
      <c r="A276" s="8">
        <v>70703</v>
      </c>
      <c r="B276" s="9" t="s">
        <v>289</v>
      </c>
      <c r="C276" s="12">
        <v>0.79326930904313975</v>
      </c>
      <c r="D276" s="18">
        <v>1.4026428834729572</v>
      </c>
    </row>
    <row r="277" spans="1:4" ht="15.75" customHeight="1">
      <c r="A277" s="8">
        <v>70704</v>
      </c>
      <c r="B277" s="9" t="s">
        <v>290</v>
      </c>
      <c r="C277" s="12">
        <v>0.42547754297422063</v>
      </c>
      <c r="D277" s="18">
        <v>0.49620085426707661</v>
      </c>
    </row>
    <row r="278" spans="1:4" ht="15.75" customHeight="1">
      <c r="A278" s="8">
        <v>70705</v>
      </c>
      <c r="B278" s="9" t="s">
        <v>291</v>
      </c>
      <c r="C278" s="12">
        <v>0.43730646316113275</v>
      </c>
      <c r="D278" s="18">
        <v>0.4245725774918746</v>
      </c>
    </row>
    <row r="279" spans="1:4" ht="15.75" customHeight="1">
      <c r="A279" s="8">
        <v>70706</v>
      </c>
      <c r="B279" s="9" t="s">
        <v>292</v>
      </c>
      <c r="C279" s="12">
        <v>0.33298864423901364</v>
      </c>
      <c r="D279" s="18">
        <v>0.22107956277313975</v>
      </c>
    </row>
    <row r="280" spans="1:4" ht="15.75" customHeight="1">
      <c r="A280" s="8">
        <v>70707</v>
      </c>
      <c r="B280" s="9" t="s">
        <v>293</v>
      </c>
      <c r="C280" s="12">
        <v>0.49281160607688146</v>
      </c>
      <c r="D280" s="18">
        <v>2.6436253928950939</v>
      </c>
    </row>
    <row r="281" spans="1:4" ht="15.75" customHeight="1">
      <c r="A281" s="8">
        <v>70801</v>
      </c>
      <c r="B281" s="9" t="s">
        <v>294</v>
      </c>
      <c r="C281" s="12">
        <v>0.89733477811686757</v>
      </c>
      <c r="D281" s="18">
        <v>0.97439300980983146</v>
      </c>
    </row>
    <row r="282" spans="1:4" ht="15.75" customHeight="1">
      <c r="A282" s="8">
        <v>70802</v>
      </c>
      <c r="B282" s="9" t="s">
        <v>295</v>
      </c>
      <c r="C282" s="12">
        <v>0.86396932402150106</v>
      </c>
      <c r="D282" s="18">
        <v>0.2285911355044298</v>
      </c>
    </row>
    <row r="283" spans="1:4" ht="15.75" customHeight="1">
      <c r="A283" s="8">
        <v>70803</v>
      </c>
      <c r="B283" s="9" t="s">
        <v>296</v>
      </c>
      <c r="C283" s="12">
        <v>0.96381476543471845</v>
      </c>
      <c r="D283" s="18">
        <v>0.73582726417288569</v>
      </c>
    </row>
    <row r="284" spans="1:4" ht="15.75" customHeight="1">
      <c r="A284" s="8">
        <v>70804</v>
      </c>
      <c r="B284" s="9" t="s">
        <v>297</v>
      </c>
      <c r="C284" s="12">
        <v>0.90346418485544433</v>
      </c>
      <c r="D284" s="18">
        <v>0.93745454444044574</v>
      </c>
    </row>
    <row r="285" spans="1:4" ht="15.75" customHeight="1">
      <c r="A285" s="8">
        <v>70805</v>
      </c>
      <c r="B285" s="9" t="s">
        <v>298</v>
      </c>
      <c r="C285" s="12">
        <v>1.0920064362305668</v>
      </c>
      <c r="D285" s="18">
        <v>6.4742196661004705</v>
      </c>
    </row>
    <row r="286" spans="1:4" ht="15.75" customHeight="1">
      <c r="A286" s="8">
        <v>70901</v>
      </c>
      <c r="B286" s="9" t="s">
        <v>299</v>
      </c>
      <c r="C286" s="12">
        <v>0.65941113860947009</v>
      </c>
      <c r="D286" s="18">
        <v>0.48207825082328165</v>
      </c>
    </row>
    <row r="287" spans="1:4" ht="15.75" customHeight="1">
      <c r="A287" s="8">
        <v>70902</v>
      </c>
      <c r="B287" s="9" t="s">
        <v>300</v>
      </c>
      <c r="C287" s="12">
        <v>0.47364222327327771</v>
      </c>
      <c r="D287" s="18">
        <v>0.54356890108451372</v>
      </c>
    </row>
    <row r="288" spans="1:4" ht="15.75" customHeight="1">
      <c r="A288" s="8">
        <v>70903</v>
      </c>
      <c r="B288" s="9" t="s">
        <v>301</v>
      </c>
      <c r="C288" s="12">
        <v>0.4615702868125317</v>
      </c>
      <c r="D288" s="18">
        <v>0.46357035214103326</v>
      </c>
    </row>
    <row r="289" spans="1:4" ht="15.75" customHeight="1">
      <c r="A289" s="8">
        <v>70904</v>
      </c>
      <c r="B289" s="9" t="s">
        <v>302</v>
      </c>
      <c r="C289" s="12">
        <v>1.0688876668522176</v>
      </c>
      <c r="D289" s="18">
        <v>0.90739814723665579</v>
      </c>
    </row>
    <row r="290" spans="1:4" ht="15.75" customHeight="1">
      <c r="A290" s="8">
        <v>71001</v>
      </c>
      <c r="B290" s="9" t="s">
        <v>303</v>
      </c>
      <c r="C290" s="12">
        <v>0.72557687879312049</v>
      </c>
      <c r="D290" s="18">
        <v>0.6334918991872871</v>
      </c>
    </row>
    <row r="291" spans="1:4" ht="15.75" customHeight="1">
      <c r="A291" s="8">
        <v>71002</v>
      </c>
      <c r="B291" s="9" t="s">
        <v>304</v>
      </c>
      <c r="C291" s="12">
        <v>0.7865956433775757</v>
      </c>
      <c r="D291" s="18">
        <v>0.77146493442879105</v>
      </c>
    </row>
    <row r="292" spans="1:4" ht="15.75" customHeight="1">
      <c r="A292" s="8">
        <v>71003</v>
      </c>
      <c r="B292" s="9" t="s">
        <v>305</v>
      </c>
      <c r="C292" s="12">
        <v>0.77003167722850008</v>
      </c>
      <c r="D292" s="18">
        <v>0.6802850170869672</v>
      </c>
    </row>
    <row r="293" spans="1:4" ht="15.75" customHeight="1">
      <c r="A293" s="8">
        <v>71004</v>
      </c>
      <c r="B293" s="9" t="s">
        <v>306</v>
      </c>
      <c r="C293" s="12">
        <v>0.80417587177974514</v>
      </c>
      <c r="D293" s="18">
        <v>0.51583052342269586</v>
      </c>
    </row>
    <row r="294" spans="1:4" ht="15.75" customHeight="1">
      <c r="A294" s="8">
        <v>71005</v>
      </c>
      <c r="B294" s="9" t="s">
        <v>307</v>
      </c>
      <c r="C294" s="12">
        <v>1.0810611536063452</v>
      </c>
      <c r="D294" s="18">
        <v>0.90300117802875834</v>
      </c>
    </row>
    <row r="295" spans="1:4" ht="15.75" customHeight="1">
      <c r="A295" s="8">
        <v>71101</v>
      </c>
      <c r="B295" s="9" t="s">
        <v>308</v>
      </c>
      <c r="C295" s="12">
        <v>0.88254294488380569</v>
      </c>
      <c r="D295" s="18">
        <v>0.87543306701067114</v>
      </c>
    </row>
    <row r="296" spans="1:4" ht="15.75" customHeight="1">
      <c r="A296" s="8">
        <v>71102</v>
      </c>
      <c r="B296" s="9" t="s">
        <v>309</v>
      </c>
      <c r="C296" s="12">
        <v>0.85519131029483886</v>
      </c>
      <c r="D296" s="18">
        <v>1.1690602253823645</v>
      </c>
    </row>
    <row r="297" spans="1:4" ht="15.75" customHeight="1">
      <c r="A297" s="8">
        <v>71103</v>
      </c>
      <c r="B297" s="9" t="s">
        <v>310</v>
      </c>
      <c r="C297" s="12">
        <v>0.8916023988963524</v>
      </c>
      <c r="D297" s="18">
        <v>0.8865720702779224</v>
      </c>
    </row>
    <row r="298" spans="1:4" ht="15.75" customHeight="1">
      <c r="A298" s="8">
        <v>71104</v>
      </c>
      <c r="B298" s="9" t="s">
        <v>311</v>
      </c>
      <c r="C298" s="12">
        <v>0.42116956462394717</v>
      </c>
      <c r="D298" s="18">
        <v>0.97518278351988263</v>
      </c>
    </row>
    <row r="299" spans="1:4" ht="15.75" customHeight="1">
      <c r="A299" s="8">
        <v>71105</v>
      </c>
      <c r="B299" s="9" t="s">
        <v>312</v>
      </c>
      <c r="C299" s="12">
        <v>0.92902326083808973</v>
      </c>
      <c r="D299" s="18">
        <v>2.0477563151759055</v>
      </c>
    </row>
    <row r="300" spans="1:4" ht="15.75" customHeight="1">
      <c r="A300" s="8">
        <v>71106</v>
      </c>
      <c r="B300" s="9" t="s">
        <v>313</v>
      </c>
      <c r="C300" s="12">
        <v>0.71130379190041704</v>
      </c>
      <c r="D300" s="18">
        <v>1.6269328589419898</v>
      </c>
    </row>
    <row r="301" spans="1:4" ht="15.75" customHeight="1">
      <c r="A301" s="8">
        <v>71201</v>
      </c>
      <c r="B301" s="9" t="s">
        <v>314</v>
      </c>
      <c r="C301" s="12">
        <v>0.93232906983996156</v>
      </c>
      <c r="D301" s="18">
        <v>1.1110044482309687</v>
      </c>
    </row>
    <row r="302" spans="1:4" ht="15.75" customHeight="1">
      <c r="A302" s="8">
        <v>71301</v>
      </c>
      <c r="B302" s="9" t="s">
        <v>315</v>
      </c>
      <c r="C302" s="12">
        <v>0.51201805376916321</v>
      </c>
      <c r="D302" s="18">
        <v>0.55314524955456457</v>
      </c>
    </row>
    <row r="303" spans="1:4" ht="15.75" customHeight="1">
      <c r="A303" s="8">
        <v>71302</v>
      </c>
      <c r="B303" s="9" t="s">
        <v>316</v>
      </c>
      <c r="C303" s="12">
        <v>0.70750082265972503</v>
      </c>
      <c r="D303" s="18">
        <v>0.70232546954422015</v>
      </c>
    </row>
    <row r="304" spans="1:4" ht="15.75" customHeight="1">
      <c r="A304" s="8">
        <v>71401</v>
      </c>
      <c r="B304" s="9" t="s">
        <v>317</v>
      </c>
      <c r="C304" s="12">
        <v>0.83780592555745959</v>
      </c>
      <c r="D304" s="18">
        <v>0.37149895239989528</v>
      </c>
    </row>
    <row r="305" spans="1:4" ht="15.75" customHeight="1">
      <c r="A305" s="8">
        <v>71402</v>
      </c>
      <c r="B305" s="9" t="s">
        <v>318</v>
      </c>
      <c r="C305" s="12">
        <v>0.92022896922851383</v>
      </c>
      <c r="D305" s="18">
        <v>0.94943794423770456</v>
      </c>
    </row>
    <row r="306" spans="1:4" ht="15.75" customHeight="1">
      <c r="A306" s="8">
        <v>71403</v>
      </c>
      <c r="B306" s="9" t="s">
        <v>319</v>
      </c>
      <c r="C306" s="12">
        <v>0.89476829066021202</v>
      </c>
      <c r="D306" s="18">
        <v>0.35540688521354541</v>
      </c>
    </row>
    <row r="307" spans="1:4" ht="15.75" customHeight="1">
      <c r="A307" s="8">
        <v>71501</v>
      </c>
      <c r="B307" s="9" t="s">
        <v>320</v>
      </c>
      <c r="C307" s="12">
        <v>1.0468099999473781</v>
      </c>
      <c r="D307" s="18">
        <v>0.81456877347140466</v>
      </c>
    </row>
    <row r="308" spans="1:4" ht="15.75" customHeight="1">
      <c r="A308" s="8">
        <v>71502</v>
      </c>
      <c r="B308" s="9" t="s">
        <v>321</v>
      </c>
      <c r="C308" s="12">
        <v>0.97379346259966737</v>
      </c>
      <c r="D308" s="18">
        <v>0.9526041280600579</v>
      </c>
    </row>
    <row r="309" spans="1:4" ht="15.75" customHeight="1">
      <c r="A309" s="8">
        <v>71503</v>
      </c>
      <c r="B309" s="9" t="s">
        <v>266</v>
      </c>
      <c r="C309" s="12">
        <v>0.82167964361506418</v>
      </c>
      <c r="D309" s="18">
        <v>0.90988271615736893</v>
      </c>
    </row>
    <row r="310" spans="1:4" ht="15.75" customHeight="1">
      <c r="A310" s="8">
        <v>80101</v>
      </c>
      <c r="B310" s="9" t="s">
        <v>322</v>
      </c>
      <c r="C310" s="12">
        <v>0.80014810956954208</v>
      </c>
      <c r="D310" s="18">
        <v>0.88077337550695278</v>
      </c>
    </row>
    <row r="311" spans="1:4" ht="15.75" customHeight="1">
      <c r="A311" s="8">
        <v>80102</v>
      </c>
      <c r="B311" s="9" t="s">
        <v>309</v>
      </c>
      <c r="C311" s="12">
        <v>0.93230513488844158</v>
      </c>
      <c r="D311" s="18">
        <v>0.88789973375261833</v>
      </c>
    </row>
    <row r="312" spans="1:4" ht="15.75" customHeight="1">
      <c r="A312" s="8">
        <v>80201</v>
      </c>
      <c r="B312" s="9" t="s">
        <v>323</v>
      </c>
      <c r="C312" s="12">
        <v>0.85310847550607705</v>
      </c>
      <c r="D312" s="18">
        <v>0.99590347563541648</v>
      </c>
    </row>
    <row r="313" spans="1:4" ht="15.75" customHeight="1">
      <c r="A313" s="8">
        <v>80202</v>
      </c>
      <c r="B313" s="9" t="s">
        <v>324</v>
      </c>
      <c r="C313" s="12">
        <v>0.88015243854918412</v>
      </c>
      <c r="D313" s="18">
        <v>0.59780127902421443</v>
      </c>
    </row>
    <row r="314" spans="1:4" ht="15.75" customHeight="1">
      <c r="A314" s="8">
        <v>80301</v>
      </c>
      <c r="B314" s="9" t="s">
        <v>325</v>
      </c>
      <c r="C314" s="12">
        <v>0.75352111476870298</v>
      </c>
      <c r="D314" s="18">
        <v>0.99307922607956578</v>
      </c>
    </row>
    <row r="315" spans="1:4" ht="15.75" customHeight="1">
      <c r="A315" s="8">
        <v>80302</v>
      </c>
      <c r="B315" s="9" t="s">
        <v>326</v>
      </c>
      <c r="C315" s="12">
        <v>0.39280562958800919</v>
      </c>
      <c r="D315" s="18">
        <v>0.18210175437884157</v>
      </c>
    </row>
    <row r="316" spans="1:4" ht="15.75" customHeight="1">
      <c r="A316" s="8">
        <v>80303</v>
      </c>
      <c r="B316" s="9" t="s">
        <v>327</v>
      </c>
      <c r="C316" s="12">
        <v>0.72130530483612953</v>
      </c>
      <c r="D316" s="18">
        <v>0.37733845406173022</v>
      </c>
    </row>
    <row r="317" spans="1:4" ht="15.75" customHeight="1">
      <c r="A317" s="8">
        <v>80304</v>
      </c>
      <c r="B317" s="9" t="s">
        <v>328</v>
      </c>
      <c r="C317" s="12">
        <v>0.41053511718059282</v>
      </c>
      <c r="D317" s="18">
        <v>0.26841500252092398</v>
      </c>
    </row>
    <row r="318" spans="1:4" ht="15.75" customHeight="1">
      <c r="A318" s="8">
        <v>80401</v>
      </c>
      <c r="B318" s="9" t="s">
        <v>329</v>
      </c>
      <c r="C318" s="12">
        <v>0.76230387377805131</v>
      </c>
      <c r="D318" s="18">
        <v>0.32763966253636878</v>
      </c>
    </row>
    <row r="319" spans="1:4" ht="15.75" customHeight="1">
      <c r="A319" s="8">
        <v>80402</v>
      </c>
      <c r="B319" s="9" t="s">
        <v>330</v>
      </c>
      <c r="C319" s="12">
        <v>0.97738768140322696</v>
      </c>
      <c r="D319" s="18">
        <v>0.55330900077765111</v>
      </c>
    </row>
    <row r="320" spans="1:4" ht="15.75" customHeight="1">
      <c r="A320" s="8">
        <v>80501</v>
      </c>
      <c r="B320" s="9" t="s">
        <v>331</v>
      </c>
      <c r="C320" s="12">
        <v>0.85128175723914257</v>
      </c>
      <c r="D320" s="18">
        <v>0.4076197469506519</v>
      </c>
    </row>
    <row r="321" spans="1:4" ht="15.75" customHeight="1">
      <c r="A321" s="8">
        <v>80601</v>
      </c>
      <c r="B321" s="9" t="s">
        <v>332</v>
      </c>
      <c r="C321" s="12">
        <v>0.62942007738426464</v>
      </c>
      <c r="D321" s="18">
        <v>0.44080162134069883</v>
      </c>
    </row>
    <row r="322" spans="1:4" ht="15.75" customHeight="1">
      <c r="A322" s="8">
        <v>80602</v>
      </c>
      <c r="B322" s="9" t="s">
        <v>333</v>
      </c>
      <c r="C322" s="12">
        <v>0.78598362290256574</v>
      </c>
      <c r="D322" s="18">
        <v>0.7314305678724301</v>
      </c>
    </row>
    <row r="323" spans="1:4" ht="15.75" customHeight="1">
      <c r="A323" s="8">
        <v>80701</v>
      </c>
      <c r="B323" s="9" t="s">
        <v>334</v>
      </c>
      <c r="C323" s="12">
        <v>1.0063176747544527</v>
      </c>
      <c r="D323" s="18">
        <v>0.88833289660006276</v>
      </c>
    </row>
    <row r="324" spans="1:4" ht="15.75" customHeight="1">
      <c r="A324" s="8">
        <v>80702</v>
      </c>
      <c r="B324" s="9" t="s">
        <v>310</v>
      </c>
      <c r="C324" s="12">
        <v>0.78594431116514085</v>
      </c>
      <c r="D324" s="18">
        <v>0.60355111166650677</v>
      </c>
    </row>
    <row r="325" spans="1:4" ht="15.75" customHeight="1">
      <c r="A325" s="8">
        <v>80703</v>
      </c>
      <c r="B325" s="9" t="s">
        <v>335</v>
      </c>
      <c r="C325" s="12">
        <v>0.84650930879934494</v>
      </c>
      <c r="D325" s="18">
        <v>0.66277186198777038</v>
      </c>
    </row>
    <row r="326" spans="1:4" ht="15.75" customHeight="1">
      <c r="A326" s="8">
        <v>80801</v>
      </c>
      <c r="B326" s="9" t="s">
        <v>336</v>
      </c>
      <c r="C326" s="12">
        <v>0.81106696532222045</v>
      </c>
      <c r="D326" s="18">
        <v>1.0009580804652172</v>
      </c>
    </row>
    <row r="327" spans="1:4" ht="15.75" customHeight="1">
      <c r="A327" s="8">
        <v>80802</v>
      </c>
      <c r="B327" s="9" t="s">
        <v>337</v>
      </c>
      <c r="C327" s="12">
        <v>0.85269978909801436</v>
      </c>
      <c r="D327" s="18">
        <v>0.68916706284096185</v>
      </c>
    </row>
    <row r="328" spans="1:4" ht="15.75" customHeight="1">
      <c r="A328" s="8">
        <v>80803</v>
      </c>
      <c r="B328" s="9" t="s">
        <v>338</v>
      </c>
      <c r="C328" s="12">
        <v>1.036617173565231</v>
      </c>
      <c r="D328" s="18">
        <v>1.2743716777250385</v>
      </c>
    </row>
    <row r="329" spans="1:4" ht="15.75" customHeight="1">
      <c r="A329" s="8">
        <v>80901</v>
      </c>
      <c r="B329" s="9" t="s">
        <v>339</v>
      </c>
      <c r="C329" s="12">
        <v>0.92549179407481796</v>
      </c>
      <c r="D329" s="18">
        <v>0.6218630192751452</v>
      </c>
    </row>
    <row r="330" spans="1:4" ht="15.75" customHeight="1">
      <c r="A330" s="8">
        <v>90101</v>
      </c>
      <c r="B330" s="9" t="s">
        <v>340</v>
      </c>
      <c r="C330" s="12">
        <v>1.2127892311995216</v>
      </c>
      <c r="D330" s="18">
        <v>1.2269379288748079</v>
      </c>
    </row>
    <row r="331" spans="1:4" ht="15.75" customHeight="1">
      <c r="A331" s="8">
        <v>90102</v>
      </c>
      <c r="B331" s="9" t="s">
        <v>341</v>
      </c>
      <c r="C331" s="12">
        <v>1.0394195797439347</v>
      </c>
      <c r="D331" s="18">
        <v>1.1930305600775246</v>
      </c>
    </row>
    <row r="332" spans="1:4" ht="15.75" customHeight="1">
      <c r="A332" s="8">
        <v>90103</v>
      </c>
      <c r="B332" s="9" t="s">
        <v>342</v>
      </c>
      <c r="C332" s="12">
        <v>0.84855739162591137</v>
      </c>
      <c r="D332" s="18">
        <v>0.7071755458801835</v>
      </c>
    </row>
    <row r="333" spans="1:4" ht="15.75" customHeight="1">
      <c r="A333" s="8">
        <v>90104</v>
      </c>
      <c r="B333" s="9" t="s">
        <v>343</v>
      </c>
      <c r="C333" s="12">
        <v>1.4557789078435885</v>
      </c>
      <c r="D333" s="18">
        <v>1.0485482595638627</v>
      </c>
    </row>
    <row r="334" spans="1:4" ht="15.75" customHeight="1">
      <c r="A334" s="8">
        <v>90201</v>
      </c>
      <c r="B334" s="9" t="s">
        <v>344</v>
      </c>
      <c r="C334" s="12">
        <v>0.90232542946238925</v>
      </c>
      <c r="D334" s="18">
        <v>1.2059411633820885</v>
      </c>
    </row>
    <row r="335" spans="1:4" ht="15.75" customHeight="1">
      <c r="A335" s="8">
        <v>90202</v>
      </c>
      <c r="B335" s="9" t="s">
        <v>307</v>
      </c>
      <c r="C335" s="12">
        <v>0.97271451142702814</v>
      </c>
      <c r="D335" s="18">
        <v>1.4114743545383548</v>
      </c>
    </row>
    <row r="336" spans="1:4" ht="15.75" customHeight="1">
      <c r="A336" s="8">
        <v>90203</v>
      </c>
      <c r="B336" s="9" t="s">
        <v>345</v>
      </c>
      <c r="C336" s="12">
        <v>1.0941518112009561</v>
      </c>
      <c r="D336" s="18">
        <v>0.77199960856552219</v>
      </c>
    </row>
    <row r="337" spans="1:4" ht="15.75" customHeight="1">
      <c r="A337" s="8">
        <v>90301</v>
      </c>
      <c r="B337" s="9" t="s">
        <v>346</v>
      </c>
      <c r="C337" s="12">
        <v>0.67700001885082284</v>
      </c>
      <c r="D337" s="18">
        <v>0.99004737312881352</v>
      </c>
    </row>
    <row r="338" spans="1:4" ht="15.75" customHeight="1">
      <c r="A338" s="8">
        <v>90302</v>
      </c>
      <c r="B338" s="9" t="s">
        <v>347</v>
      </c>
      <c r="C338" s="12">
        <v>0.8410269303157567</v>
      </c>
      <c r="D338" s="18">
        <v>1.2203355101428164</v>
      </c>
    </row>
    <row r="339" spans="1:4" ht="15.75" customHeight="1">
      <c r="A339" s="8">
        <v>90303</v>
      </c>
      <c r="B339" s="9" t="s">
        <v>348</v>
      </c>
      <c r="C339" s="12">
        <v>1.0451742440128262</v>
      </c>
      <c r="D339" s="18">
        <v>0.95991924483650537</v>
      </c>
    </row>
    <row r="340" spans="1:4" ht="15.75" customHeight="1">
      <c r="A340" s="8">
        <v>90401</v>
      </c>
      <c r="B340" s="9" t="s">
        <v>349</v>
      </c>
      <c r="C340" s="12">
        <v>1.0124215589020094</v>
      </c>
      <c r="D340" s="18">
        <v>1.0893539629868532</v>
      </c>
    </row>
    <row r="341" spans="1:4" ht="15.75" customHeight="1">
      <c r="A341" s="8">
        <v>90402</v>
      </c>
      <c r="B341" s="9" t="s">
        <v>350</v>
      </c>
      <c r="C341" s="12">
        <v>1.0178484483532131</v>
      </c>
      <c r="D341" s="18">
        <v>1.0388106691999313</v>
      </c>
    </row>
    <row r="342" spans="1:4" ht="15.75" customHeight="1">
      <c r="A342" s="8">
        <v>90501</v>
      </c>
      <c r="B342" s="9" t="s">
        <v>351</v>
      </c>
      <c r="C342" s="12">
        <v>0.9278645446990631</v>
      </c>
      <c r="D342" s="18">
        <v>0.95864086847683327</v>
      </c>
    </row>
    <row r="343" spans="1:4" ht="15.75" customHeight="1">
      <c r="A343" s="8">
        <v>90502</v>
      </c>
      <c r="B343" s="9" t="s">
        <v>352</v>
      </c>
      <c r="C343" s="12">
        <v>1.2018203175807676</v>
      </c>
      <c r="D343" s="18">
        <v>0.77718306214609867</v>
      </c>
    </row>
    <row r="344" spans="1:4" ht="15.75" customHeight="1">
      <c r="A344" s="8">
        <v>90503</v>
      </c>
      <c r="B344" s="9" t="s">
        <v>353</v>
      </c>
      <c r="C344" s="27">
        <v>1.0717249744444215</v>
      </c>
      <c r="D344" s="28">
        <v>1.3393428470040112</v>
      </c>
    </row>
    <row r="345" spans="1:4" ht="15.75" customHeight="1">
      <c r="A345" s="22"/>
      <c r="B345" s="29"/>
      <c r="C345" s="30"/>
      <c r="D345" s="31"/>
    </row>
    <row r="346" spans="1:4" ht="15.75" customHeight="1">
      <c r="A346" s="22"/>
      <c r="B346" s="29"/>
      <c r="C346" s="32"/>
      <c r="D346" s="21"/>
    </row>
    <row r="347" spans="1:4" ht="15.75" customHeight="1">
      <c r="A347" s="22"/>
      <c r="B347" s="29"/>
      <c r="C347" s="33"/>
      <c r="D347" s="21"/>
    </row>
    <row r="348" spans="1:4" ht="15.75" customHeight="1">
      <c r="A348" s="22"/>
      <c r="B348" s="29"/>
      <c r="C348" s="33"/>
      <c r="D348" s="21"/>
    </row>
    <row r="349" spans="1:4" ht="15.75" customHeight="1">
      <c r="A349" s="22"/>
      <c r="B349" s="29"/>
      <c r="C349" s="33"/>
      <c r="D349" s="21"/>
    </row>
    <row r="350" spans="1:4" ht="15.75" customHeight="1">
      <c r="A350" s="22"/>
      <c r="B350" s="29"/>
      <c r="C350" s="33"/>
      <c r="D350" s="21"/>
    </row>
    <row r="351" spans="1:4" ht="15.75" customHeight="1">
      <c r="A351" s="22"/>
      <c r="B351" s="29"/>
      <c r="C351" s="33"/>
      <c r="D351" s="21"/>
    </row>
    <row r="352" spans="1:4" ht="15.75" customHeight="1">
      <c r="A352" s="22"/>
      <c r="B352" s="29"/>
      <c r="C352" s="33"/>
      <c r="D352" s="21"/>
    </row>
    <row r="353" spans="1:4" ht="15.75" customHeight="1">
      <c r="A353" s="22"/>
      <c r="B353" s="29"/>
      <c r="C353" s="33"/>
      <c r="D353" s="21"/>
    </row>
    <row r="354" spans="1:4" ht="15.75" customHeight="1">
      <c r="A354" s="22"/>
      <c r="B354" s="29"/>
      <c r="C354" s="33"/>
      <c r="D354" s="21"/>
    </row>
    <row r="355" spans="1:4" ht="15.75" customHeight="1">
      <c r="A355" s="22"/>
      <c r="B355" s="29"/>
      <c r="C355" s="33"/>
      <c r="D355" s="21"/>
    </row>
    <row r="356" spans="1:4" ht="15.75" customHeight="1">
      <c r="A356" s="22"/>
      <c r="B356" s="29"/>
      <c r="C356" s="33"/>
      <c r="D356" s="21"/>
    </row>
    <row r="357" spans="1:4" ht="15.75" customHeight="1">
      <c r="A357" s="22"/>
      <c r="B357" s="29"/>
      <c r="C357" s="33"/>
      <c r="D357" s="21"/>
    </row>
    <row r="358" spans="1:4" ht="15.75" customHeight="1">
      <c r="A358" s="22"/>
      <c r="B358" s="29"/>
      <c r="C358" s="33"/>
      <c r="D358" s="21"/>
    </row>
    <row r="359" spans="1:4" ht="15.75" customHeight="1">
      <c r="A359" s="22"/>
      <c r="B359" s="29"/>
      <c r="C359" s="33"/>
      <c r="D359" s="21"/>
    </row>
    <row r="360" spans="1:4" ht="15.75" customHeight="1">
      <c r="A360" s="22"/>
      <c r="B360" s="29"/>
      <c r="C360" s="33"/>
      <c r="D360" s="21"/>
    </row>
    <row r="361" spans="1:4" ht="15.75" customHeight="1">
      <c r="A361" s="22"/>
      <c r="B361" s="29"/>
      <c r="C361" s="33"/>
      <c r="D361" s="21"/>
    </row>
    <row r="362" spans="1:4" ht="15.75" customHeight="1">
      <c r="A362" s="22"/>
      <c r="B362" s="29"/>
      <c r="C362" s="33"/>
      <c r="D362" s="21"/>
    </row>
    <row r="363" spans="1:4" ht="15.75" customHeight="1">
      <c r="A363" s="22"/>
      <c r="B363" s="29"/>
      <c r="C363" s="33"/>
      <c r="D363" s="21"/>
    </row>
    <row r="364" spans="1:4" ht="15.75" customHeight="1">
      <c r="A364" s="22"/>
      <c r="B364" s="29"/>
      <c r="C364" s="33"/>
      <c r="D364" s="21"/>
    </row>
    <row r="365" spans="1:4" ht="15.75" customHeight="1">
      <c r="A365" s="22"/>
      <c r="B365" s="29"/>
      <c r="C365" s="33"/>
      <c r="D365" s="21"/>
    </row>
    <row r="366" spans="1:4" ht="15.75" customHeight="1">
      <c r="A366" s="22"/>
      <c r="B366" s="29"/>
      <c r="C366" s="33"/>
      <c r="D366" s="21"/>
    </row>
    <row r="367" spans="1:4" ht="15.75" customHeight="1">
      <c r="A367" s="22"/>
      <c r="B367" s="29"/>
      <c r="C367" s="33"/>
      <c r="D367" s="21"/>
    </row>
    <row r="368" spans="1:4" ht="15.75" customHeight="1">
      <c r="A368" s="22"/>
      <c r="B368" s="29"/>
      <c r="C368" s="33"/>
      <c r="D368" s="21"/>
    </row>
    <row r="369" spans="1:4" ht="15.75" customHeight="1">
      <c r="A369" s="22"/>
      <c r="B369" s="29"/>
      <c r="C369" s="33"/>
      <c r="D369" s="21"/>
    </row>
    <row r="370" spans="1:4" ht="15.75" customHeight="1">
      <c r="A370" s="22"/>
      <c r="B370" s="29"/>
      <c r="C370" s="33"/>
      <c r="D370" s="21"/>
    </row>
    <row r="371" spans="1:4" ht="15.75" customHeight="1">
      <c r="A371" s="22"/>
      <c r="B371" s="29"/>
      <c r="C371" s="33"/>
      <c r="D371" s="21"/>
    </row>
    <row r="372" spans="1:4" ht="15.75" customHeight="1">
      <c r="A372" s="22"/>
      <c r="B372" s="29"/>
      <c r="C372" s="33"/>
      <c r="D372" s="21"/>
    </row>
    <row r="373" spans="1:4" ht="15.75" customHeight="1">
      <c r="A373" s="22"/>
      <c r="B373" s="29"/>
      <c r="C373" s="33"/>
      <c r="D373" s="21"/>
    </row>
    <row r="374" spans="1:4" ht="15.75" customHeight="1">
      <c r="A374" s="22"/>
      <c r="B374" s="29"/>
      <c r="C374" s="33"/>
      <c r="D374" s="21"/>
    </row>
    <row r="375" spans="1:4" ht="15.75" customHeight="1">
      <c r="A375" s="22"/>
      <c r="B375" s="29"/>
      <c r="C375" s="33"/>
      <c r="D375" s="21"/>
    </row>
    <row r="376" spans="1:4" ht="15.75" customHeight="1">
      <c r="A376" s="22"/>
      <c r="B376" s="29"/>
      <c r="C376" s="33"/>
      <c r="D376" s="21"/>
    </row>
    <row r="377" spans="1:4" ht="15.75" customHeight="1">
      <c r="A377" s="22"/>
      <c r="B377" s="29"/>
      <c r="C377" s="33"/>
      <c r="D377" s="21"/>
    </row>
    <row r="378" spans="1:4" ht="15.75" customHeight="1">
      <c r="A378" s="22"/>
      <c r="B378" s="29"/>
      <c r="C378" s="33"/>
      <c r="D378" s="21"/>
    </row>
    <row r="379" spans="1:4" ht="15.75" customHeight="1">
      <c r="A379" s="22"/>
      <c r="B379" s="29"/>
      <c r="C379" s="33"/>
      <c r="D379" s="21"/>
    </row>
    <row r="380" spans="1:4" ht="15.75" customHeight="1">
      <c r="A380" s="22"/>
      <c r="B380" s="29"/>
      <c r="C380" s="33"/>
      <c r="D380" s="21"/>
    </row>
    <row r="381" spans="1:4" ht="15.75" customHeight="1">
      <c r="A381" s="22"/>
      <c r="B381" s="29"/>
      <c r="C381" s="33"/>
      <c r="D381" s="21"/>
    </row>
    <row r="382" spans="1:4" ht="15.75" customHeight="1">
      <c r="A382" s="22"/>
      <c r="B382" s="29"/>
      <c r="C382" s="33"/>
      <c r="D382" s="21"/>
    </row>
    <row r="383" spans="1:4" ht="15.75" customHeight="1">
      <c r="A383" s="22"/>
      <c r="B383" s="29"/>
      <c r="C383" s="33"/>
      <c r="D383" s="21"/>
    </row>
    <row r="384" spans="1:4" ht="15.75" customHeight="1">
      <c r="A384" s="22"/>
      <c r="B384" s="29"/>
      <c r="C384" s="33"/>
      <c r="D384" s="21"/>
    </row>
    <row r="385" spans="1:4" ht="15.75" customHeight="1">
      <c r="A385" s="22"/>
      <c r="B385" s="29"/>
      <c r="C385" s="33"/>
      <c r="D385" s="21"/>
    </row>
    <row r="386" spans="1:4" ht="15.75" customHeight="1">
      <c r="A386" s="22"/>
      <c r="B386" s="29"/>
      <c r="C386" s="33"/>
      <c r="D386" s="21"/>
    </row>
    <row r="387" spans="1:4" ht="15.75" customHeight="1">
      <c r="A387" s="22"/>
      <c r="B387" s="29"/>
      <c r="C387" s="33"/>
      <c r="D387" s="21"/>
    </row>
    <row r="388" spans="1:4" ht="15.75" customHeight="1">
      <c r="A388" s="22"/>
      <c r="B388" s="29"/>
      <c r="C388" s="33"/>
      <c r="D388" s="21"/>
    </row>
    <row r="389" spans="1:4" ht="15.75" customHeight="1">
      <c r="A389" s="22"/>
      <c r="B389" s="29"/>
      <c r="C389" s="33"/>
      <c r="D389" s="21"/>
    </row>
    <row r="390" spans="1:4" ht="15.75" customHeight="1">
      <c r="A390" s="22"/>
      <c r="B390" s="29"/>
      <c r="C390" s="33"/>
      <c r="D390" s="21"/>
    </row>
    <row r="391" spans="1:4" ht="15.75" customHeight="1">
      <c r="A391" s="22"/>
      <c r="B391" s="29"/>
      <c r="C391" s="33"/>
      <c r="D391" s="21"/>
    </row>
    <row r="392" spans="1:4" ht="15.75" customHeight="1">
      <c r="A392" s="22"/>
      <c r="B392" s="29"/>
      <c r="C392" s="33"/>
      <c r="D392" s="21"/>
    </row>
    <row r="393" spans="1:4" ht="15.75" customHeight="1">
      <c r="A393" s="22"/>
      <c r="B393" s="29"/>
      <c r="C393" s="33"/>
      <c r="D393" s="21"/>
    </row>
    <row r="394" spans="1:4" ht="15.75" customHeight="1">
      <c r="A394" s="22"/>
      <c r="B394" s="29"/>
      <c r="C394" s="33"/>
      <c r="D394" s="21"/>
    </row>
    <row r="395" spans="1:4" ht="15.75" customHeight="1">
      <c r="A395" s="22"/>
      <c r="B395" s="29"/>
      <c r="C395" s="33"/>
      <c r="D395" s="21"/>
    </row>
    <row r="396" spans="1:4" ht="15.75" customHeight="1">
      <c r="A396" s="22"/>
      <c r="B396" s="29"/>
      <c r="C396" s="33"/>
      <c r="D396" s="21"/>
    </row>
    <row r="397" spans="1:4" ht="15.75" customHeight="1">
      <c r="A397" s="22"/>
      <c r="B397" s="29"/>
      <c r="C397" s="33"/>
      <c r="D397" s="21"/>
    </row>
    <row r="398" spans="1:4" ht="15.75" customHeight="1">
      <c r="A398" s="22"/>
      <c r="B398" s="29"/>
      <c r="C398" s="33"/>
      <c r="D398" s="21"/>
    </row>
    <row r="399" spans="1:4" ht="15.75" customHeight="1">
      <c r="A399" s="22"/>
      <c r="B399" s="29"/>
      <c r="C399" s="33"/>
      <c r="D399" s="21"/>
    </row>
    <row r="400" spans="1:4" ht="15.75" customHeight="1">
      <c r="A400" s="22"/>
      <c r="B400" s="29"/>
      <c r="C400" s="33"/>
      <c r="D400" s="21"/>
    </row>
    <row r="401" spans="1:4" ht="15.75" customHeight="1">
      <c r="A401" s="22"/>
      <c r="B401" s="29"/>
      <c r="C401" s="33"/>
      <c r="D401" s="21"/>
    </row>
    <row r="402" spans="1:4" ht="15.75" customHeight="1">
      <c r="A402" s="22"/>
      <c r="B402" s="29"/>
      <c r="C402" s="33"/>
      <c r="D402" s="21"/>
    </row>
    <row r="403" spans="1:4" ht="15.75" customHeight="1">
      <c r="A403" s="22"/>
      <c r="B403" s="29"/>
      <c r="C403" s="33"/>
      <c r="D403" s="21"/>
    </row>
    <row r="404" spans="1:4" ht="15.75" customHeight="1">
      <c r="A404" s="22"/>
      <c r="B404" s="29"/>
      <c r="C404" s="33"/>
      <c r="D404" s="21"/>
    </row>
    <row r="405" spans="1:4" ht="15.75" customHeight="1">
      <c r="A405" s="22"/>
      <c r="B405" s="29"/>
      <c r="C405" s="33"/>
      <c r="D405" s="21"/>
    </row>
    <row r="406" spans="1:4" ht="15.75" customHeight="1">
      <c r="A406" s="22"/>
      <c r="B406" s="29"/>
      <c r="C406" s="33"/>
      <c r="D406" s="21"/>
    </row>
    <row r="407" spans="1:4" ht="15.75" customHeight="1">
      <c r="A407" s="22"/>
      <c r="B407" s="29"/>
      <c r="C407" s="33"/>
      <c r="D407" s="21"/>
    </row>
    <row r="408" spans="1:4" ht="15.75" customHeight="1">
      <c r="A408" s="22"/>
      <c r="B408" s="29"/>
      <c r="C408" s="33"/>
      <c r="D408" s="21"/>
    </row>
    <row r="409" spans="1:4" ht="15.75" customHeight="1">
      <c r="A409" s="22"/>
      <c r="B409" s="29"/>
      <c r="C409" s="33"/>
      <c r="D409" s="21"/>
    </row>
    <row r="410" spans="1:4" ht="15.75" customHeight="1">
      <c r="A410" s="22"/>
      <c r="B410" s="29"/>
      <c r="C410" s="33"/>
      <c r="D410" s="21"/>
    </row>
    <row r="411" spans="1:4" ht="15.75" customHeight="1">
      <c r="A411" s="22"/>
      <c r="B411" s="29"/>
      <c r="C411" s="33"/>
      <c r="D411" s="21"/>
    </row>
    <row r="412" spans="1:4" ht="15.75" customHeight="1">
      <c r="A412" s="22"/>
      <c r="B412" s="29"/>
      <c r="C412" s="33"/>
      <c r="D412" s="21"/>
    </row>
    <row r="413" spans="1:4" ht="15.75" customHeight="1">
      <c r="A413" s="22"/>
      <c r="B413" s="29"/>
      <c r="C413" s="33"/>
      <c r="D413" s="21"/>
    </row>
    <row r="414" spans="1:4" ht="15.75" customHeight="1">
      <c r="A414" s="22"/>
      <c r="B414" s="29"/>
      <c r="C414" s="33"/>
      <c r="D414" s="21"/>
    </row>
    <row r="415" spans="1:4" ht="15.75" customHeight="1">
      <c r="A415" s="22"/>
      <c r="B415" s="29"/>
      <c r="C415" s="33"/>
      <c r="D415" s="21"/>
    </row>
    <row r="416" spans="1:4" ht="15.75" customHeight="1">
      <c r="A416" s="22"/>
      <c r="B416" s="29"/>
      <c r="C416" s="33"/>
      <c r="D416" s="21"/>
    </row>
    <row r="417" spans="1:4" ht="15.75" customHeight="1">
      <c r="A417" s="22"/>
      <c r="B417" s="29"/>
      <c r="C417" s="33"/>
      <c r="D417" s="21"/>
    </row>
    <row r="418" spans="1:4" ht="15.75" customHeight="1">
      <c r="A418" s="22"/>
      <c r="B418" s="29"/>
      <c r="C418" s="33"/>
      <c r="D418" s="21"/>
    </row>
    <row r="419" spans="1:4" ht="15.75" customHeight="1">
      <c r="A419" s="22"/>
      <c r="B419" s="29"/>
      <c r="C419" s="33"/>
      <c r="D419" s="21"/>
    </row>
    <row r="420" spans="1:4" ht="15.75" customHeight="1">
      <c r="A420" s="22"/>
      <c r="B420" s="29"/>
      <c r="C420" s="33"/>
      <c r="D420" s="21"/>
    </row>
    <row r="421" spans="1:4" ht="15.75" customHeight="1">
      <c r="A421" s="22"/>
      <c r="B421" s="29"/>
      <c r="C421" s="33"/>
      <c r="D421" s="21"/>
    </row>
    <row r="422" spans="1:4" ht="15.75" customHeight="1">
      <c r="A422" s="22"/>
      <c r="B422" s="29"/>
      <c r="C422" s="33"/>
      <c r="D422" s="21"/>
    </row>
    <row r="423" spans="1:4" ht="15.75" customHeight="1">
      <c r="A423" s="22"/>
      <c r="B423" s="29"/>
      <c r="C423" s="33"/>
      <c r="D423" s="21"/>
    </row>
    <row r="424" spans="1:4" ht="15.75" customHeight="1">
      <c r="A424" s="22"/>
      <c r="B424" s="29"/>
      <c r="C424" s="33"/>
      <c r="D424" s="21"/>
    </row>
    <row r="425" spans="1:4" ht="15.75" customHeight="1">
      <c r="A425" s="22"/>
      <c r="B425" s="29"/>
      <c r="C425" s="33"/>
      <c r="D425" s="21"/>
    </row>
    <row r="426" spans="1:4" ht="15.75" customHeight="1">
      <c r="A426" s="22"/>
      <c r="B426" s="29"/>
      <c r="C426" s="33"/>
      <c r="D426" s="21"/>
    </row>
    <row r="427" spans="1:4" ht="15.75" customHeight="1">
      <c r="A427" s="22"/>
      <c r="B427" s="29"/>
      <c r="C427" s="33"/>
      <c r="D427" s="21"/>
    </row>
    <row r="428" spans="1:4" ht="15.75" customHeight="1">
      <c r="A428" s="22"/>
      <c r="B428" s="29"/>
      <c r="C428" s="33"/>
      <c r="D428" s="21"/>
    </row>
    <row r="429" spans="1:4" ht="15.75" customHeight="1">
      <c r="A429" s="22"/>
      <c r="B429" s="29"/>
      <c r="C429" s="33"/>
      <c r="D429" s="21"/>
    </row>
    <row r="430" spans="1:4" ht="15.75" customHeight="1">
      <c r="A430" s="22"/>
      <c r="B430" s="29"/>
      <c r="C430" s="33"/>
      <c r="D430" s="21"/>
    </row>
    <row r="431" spans="1:4" ht="15.75" customHeight="1">
      <c r="A431" s="22"/>
      <c r="B431" s="29"/>
      <c r="C431" s="33"/>
      <c r="D431" s="21"/>
    </row>
    <row r="432" spans="1:4" ht="15.75" customHeight="1">
      <c r="A432" s="22"/>
      <c r="B432" s="29"/>
      <c r="C432" s="33"/>
      <c r="D432" s="21"/>
    </row>
    <row r="433" spans="1:4" ht="15.75" customHeight="1">
      <c r="A433" s="22"/>
      <c r="B433" s="29"/>
      <c r="C433" s="33"/>
      <c r="D433" s="21"/>
    </row>
    <row r="434" spans="1:4" ht="15.75" customHeight="1">
      <c r="A434" s="22"/>
      <c r="B434" s="29"/>
      <c r="C434" s="33"/>
      <c r="D434" s="21"/>
    </row>
    <row r="435" spans="1:4" ht="15.75" customHeight="1">
      <c r="A435" s="22"/>
      <c r="B435" s="29"/>
      <c r="C435" s="33"/>
      <c r="D435" s="21"/>
    </row>
    <row r="436" spans="1:4" ht="15.75" customHeight="1">
      <c r="A436" s="22"/>
      <c r="B436" s="29"/>
      <c r="C436" s="33"/>
      <c r="D436" s="21"/>
    </row>
    <row r="437" spans="1:4" ht="15.75" customHeight="1">
      <c r="A437" s="22"/>
      <c r="B437" s="29"/>
      <c r="C437" s="33"/>
      <c r="D437" s="21"/>
    </row>
    <row r="438" spans="1:4" ht="15.75" customHeight="1">
      <c r="A438" s="22"/>
      <c r="B438" s="29"/>
      <c r="C438" s="33"/>
      <c r="D438" s="21"/>
    </row>
    <row r="439" spans="1:4" ht="15.75" customHeight="1">
      <c r="A439" s="22"/>
      <c r="B439" s="29"/>
      <c r="C439" s="33"/>
      <c r="D439" s="21"/>
    </row>
    <row r="440" spans="1:4" ht="15.75" customHeight="1">
      <c r="A440" s="22"/>
      <c r="B440" s="29"/>
      <c r="C440" s="33"/>
      <c r="D440" s="21"/>
    </row>
    <row r="441" spans="1:4" ht="15.75" customHeight="1">
      <c r="A441" s="22"/>
      <c r="B441" s="29"/>
      <c r="C441" s="33"/>
      <c r="D441" s="21"/>
    </row>
    <row r="442" spans="1:4" ht="15.75" customHeight="1">
      <c r="A442" s="22"/>
      <c r="B442" s="29"/>
      <c r="C442" s="33"/>
      <c r="D442" s="21"/>
    </row>
    <row r="443" spans="1:4" ht="15.75" customHeight="1">
      <c r="A443" s="22"/>
      <c r="B443" s="29"/>
      <c r="C443" s="33"/>
      <c r="D443" s="21"/>
    </row>
    <row r="444" spans="1:4" ht="15.75" customHeight="1">
      <c r="A444" s="22"/>
      <c r="B444" s="29"/>
      <c r="C444" s="33"/>
      <c r="D444" s="21"/>
    </row>
    <row r="445" spans="1:4" ht="15.75" customHeight="1">
      <c r="A445" s="22"/>
      <c r="B445" s="29"/>
      <c r="C445" s="33"/>
      <c r="D445" s="21"/>
    </row>
    <row r="446" spans="1:4" ht="15.75" customHeight="1">
      <c r="A446" s="22"/>
      <c r="B446" s="29"/>
      <c r="C446" s="33"/>
      <c r="D446" s="21"/>
    </row>
    <row r="447" spans="1:4" ht="15.75" customHeight="1">
      <c r="A447" s="22"/>
      <c r="B447" s="29"/>
      <c r="C447" s="33"/>
      <c r="D447" s="21"/>
    </row>
    <row r="448" spans="1:4" ht="15.75" customHeight="1">
      <c r="A448" s="22"/>
      <c r="B448" s="29"/>
      <c r="C448" s="33"/>
      <c r="D448" s="21"/>
    </row>
    <row r="449" spans="1:4" ht="15.75" customHeight="1">
      <c r="A449" s="22"/>
      <c r="B449" s="29"/>
      <c r="C449" s="33"/>
      <c r="D449" s="21"/>
    </row>
    <row r="450" spans="1:4" ht="15.75" customHeight="1">
      <c r="A450" s="22"/>
      <c r="B450" s="29"/>
      <c r="C450" s="33"/>
      <c r="D450" s="21"/>
    </row>
    <row r="451" spans="1:4" ht="15.75" customHeight="1">
      <c r="A451" s="22"/>
      <c r="B451" s="29"/>
      <c r="C451" s="33"/>
      <c r="D451" s="21"/>
    </row>
    <row r="452" spans="1:4" ht="15.75" customHeight="1">
      <c r="A452" s="22"/>
      <c r="B452" s="29"/>
      <c r="C452" s="33"/>
      <c r="D452" s="21"/>
    </row>
    <row r="453" spans="1:4" ht="15.75" customHeight="1">
      <c r="A453" s="22"/>
      <c r="B453" s="29"/>
      <c r="C453" s="33"/>
      <c r="D453" s="21"/>
    </row>
    <row r="454" spans="1:4" ht="15.75" customHeight="1">
      <c r="A454" s="22"/>
      <c r="B454" s="29"/>
      <c r="C454" s="33"/>
      <c r="D454" s="21"/>
    </row>
    <row r="455" spans="1:4" ht="15.75" customHeight="1">
      <c r="A455" s="22"/>
      <c r="B455" s="29"/>
      <c r="C455" s="33"/>
      <c r="D455" s="21"/>
    </row>
    <row r="456" spans="1:4" ht="15.75" customHeight="1">
      <c r="A456" s="22"/>
      <c r="B456" s="29"/>
      <c r="C456" s="33"/>
      <c r="D456" s="21"/>
    </row>
    <row r="457" spans="1:4" ht="15.75" customHeight="1">
      <c r="A457" s="22"/>
      <c r="B457" s="29"/>
      <c r="C457" s="33"/>
      <c r="D457" s="21"/>
    </row>
    <row r="458" spans="1:4" ht="15.75" customHeight="1">
      <c r="A458" s="22"/>
      <c r="B458" s="29"/>
      <c r="C458" s="33"/>
      <c r="D458" s="21"/>
    </row>
    <row r="459" spans="1:4" ht="15.75" customHeight="1">
      <c r="A459" s="22"/>
      <c r="B459" s="29"/>
      <c r="C459" s="33"/>
      <c r="D459" s="21"/>
    </row>
    <row r="460" spans="1:4" ht="15.75" customHeight="1">
      <c r="A460" s="22"/>
      <c r="B460" s="29"/>
      <c r="C460" s="33"/>
      <c r="D460" s="21"/>
    </row>
    <row r="461" spans="1:4" ht="15.75" customHeight="1">
      <c r="A461" s="22"/>
      <c r="B461" s="29"/>
      <c r="C461" s="33"/>
      <c r="D461" s="21"/>
    </row>
    <row r="462" spans="1:4" ht="15.75" customHeight="1">
      <c r="A462" s="22"/>
      <c r="B462" s="29"/>
      <c r="C462" s="33"/>
      <c r="D462" s="21"/>
    </row>
    <row r="463" spans="1:4" ht="15.75" customHeight="1">
      <c r="A463" s="22"/>
      <c r="B463" s="29"/>
      <c r="C463" s="33"/>
      <c r="D463" s="21"/>
    </row>
    <row r="464" spans="1:4" ht="15.75" customHeight="1">
      <c r="A464" s="22"/>
      <c r="B464" s="29"/>
      <c r="C464" s="33"/>
      <c r="D464" s="21"/>
    </row>
    <row r="465" spans="1:4" ht="15.75" customHeight="1">
      <c r="A465" s="22"/>
      <c r="B465" s="29"/>
      <c r="C465" s="33"/>
      <c r="D465" s="21"/>
    </row>
    <row r="466" spans="1:4" ht="15.75" customHeight="1">
      <c r="A466" s="22"/>
      <c r="B466" s="29"/>
      <c r="C466" s="33"/>
      <c r="D466" s="21"/>
    </row>
    <row r="467" spans="1:4" ht="15.75" customHeight="1">
      <c r="A467" s="22"/>
      <c r="B467" s="29"/>
      <c r="C467" s="33"/>
      <c r="D467" s="21"/>
    </row>
    <row r="468" spans="1:4" ht="15.75" customHeight="1">
      <c r="A468" s="22"/>
      <c r="B468" s="29"/>
      <c r="C468" s="33"/>
      <c r="D468" s="21"/>
    </row>
    <row r="469" spans="1:4" ht="15.75" customHeight="1">
      <c r="A469" s="22"/>
      <c r="B469" s="29"/>
      <c r="C469" s="33"/>
      <c r="D469" s="21"/>
    </row>
    <row r="470" spans="1:4" ht="15.75" customHeight="1">
      <c r="A470" s="22"/>
      <c r="B470" s="29"/>
      <c r="C470" s="33"/>
      <c r="D470" s="21"/>
    </row>
    <row r="471" spans="1:4" ht="15.75" customHeight="1">
      <c r="A471" s="22"/>
      <c r="B471" s="29"/>
      <c r="C471" s="33"/>
      <c r="D471" s="21"/>
    </row>
    <row r="472" spans="1:4" ht="15.75" customHeight="1">
      <c r="A472" s="22"/>
      <c r="B472" s="29"/>
      <c r="C472" s="33"/>
      <c r="D472" s="21"/>
    </row>
    <row r="473" spans="1:4" ht="15.75" customHeight="1">
      <c r="A473" s="22"/>
      <c r="B473" s="29"/>
      <c r="C473" s="33"/>
      <c r="D473" s="21"/>
    </row>
    <row r="474" spans="1:4" ht="15.75" customHeight="1">
      <c r="A474" s="22"/>
      <c r="B474" s="29"/>
      <c r="C474" s="33"/>
      <c r="D474" s="21"/>
    </row>
    <row r="475" spans="1:4" ht="15.75" customHeight="1">
      <c r="A475" s="22"/>
      <c r="B475" s="29"/>
      <c r="C475" s="33"/>
      <c r="D475" s="21"/>
    </row>
    <row r="476" spans="1:4" ht="15.75" customHeight="1">
      <c r="A476" s="22"/>
      <c r="B476" s="29"/>
      <c r="C476" s="33"/>
      <c r="D476" s="21"/>
    </row>
    <row r="477" spans="1:4" ht="15.75" customHeight="1">
      <c r="A477" s="22"/>
      <c r="B477" s="29"/>
      <c r="C477" s="33"/>
      <c r="D477" s="21"/>
    </row>
    <row r="478" spans="1:4" ht="15.75" customHeight="1">
      <c r="A478" s="22"/>
      <c r="B478" s="29"/>
      <c r="C478" s="33"/>
      <c r="D478" s="21"/>
    </row>
    <row r="479" spans="1:4" ht="15.75" customHeight="1">
      <c r="A479" s="22"/>
      <c r="B479" s="29"/>
      <c r="C479" s="33"/>
      <c r="D479" s="21"/>
    </row>
    <row r="480" spans="1:4" ht="15.75" customHeight="1">
      <c r="A480" s="22"/>
      <c r="B480" s="29"/>
      <c r="C480" s="33"/>
      <c r="D480" s="21"/>
    </row>
    <row r="481" spans="1:4" ht="15.75" customHeight="1">
      <c r="A481" s="22"/>
      <c r="B481" s="29"/>
      <c r="C481" s="33"/>
      <c r="D481" s="21"/>
    </row>
    <row r="482" spans="1:4" ht="15.75" customHeight="1">
      <c r="A482" s="22"/>
      <c r="B482" s="29"/>
      <c r="C482" s="33"/>
      <c r="D482" s="21"/>
    </row>
    <row r="483" spans="1:4" ht="15.75" customHeight="1">
      <c r="A483" s="22"/>
      <c r="B483" s="29"/>
      <c r="C483" s="33"/>
      <c r="D483" s="21"/>
    </row>
    <row r="484" spans="1:4" ht="15.75" customHeight="1">
      <c r="A484" s="22"/>
      <c r="B484" s="29"/>
      <c r="C484" s="33"/>
      <c r="D484" s="21"/>
    </row>
    <row r="485" spans="1:4" ht="15.75" customHeight="1">
      <c r="A485" s="22"/>
      <c r="B485" s="29"/>
      <c r="C485" s="33"/>
      <c r="D485" s="21"/>
    </row>
    <row r="486" spans="1:4" ht="15.75" customHeight="1">
      <c r="A486" s="22"/>
      <c r="B486" s="29"/>
      <c r="C486" s="33"/>
      <c r="D486" s="21"/>
    </row>
    <row r="487" spans="1:4" ht="15.75" customHeight="1">
      <c r="A487" s="22"/>
      <c r="B487" s="29"/>
      <c r="C487" s="33"/>
      <c r="D487" s="21"/>
    </row>
    <row r="488" spans="1:4" ht="15.75" customHeight="1">
      <c r="A488" s="22"/>
      <c r="B488" s="29"/>
      <c r="C488" s="33"/>
      <c r="D488" s="21"/>
    </row>
    <row r="489" spans="1:4" ht="15.75" customHeight="1">
      <c r="A489" s="22"/>
      <c r="B489" s="29"/>
      <c r="C489" s="33"/>
      <c r="D489" s="21"/>
    </row>
    <row r="490" spans="1:4" ht="15.75" customHeight="1">
      <c r="A490" s="22"/>
      <c r="B490" s="29"/>
      <c r="C490" s="33"/>
      <c r="D490" s="21"/>
    </row>
    <row r="491" spans="1:4" ht="15.75" customHeight="1">
      <c r="A491" s="22"/>
      <c r="B491" s="29"/>
      <c r="C491" s="33"/>
      <c r="D491" s="21"/>
    </row>
    <row r="492" spans="1:4" ht="15.75" customHeight="1">
      <c r="A492" s="22"/>
      <c r="B492" s="29"/>
      <c r="C492" s="33"/>
      <c r="D492" s="21"/>
    </row>
    <row r="493" spans="1:4" ht="15.75" customHeight="1">
      <c r="A493" s="22"/>
      <c r="B493" s="29"/>
      <c r="C493" s="33"/>
      <c r="D493" s="21"/>
    </row>
    <row r="494" spans="1:4" ht="15.75" customHeight="1">
      <c r="A494" s="22"/>
      <c r="B494" s="29"/>
      <c r="C494" s="33"/>
      <c r="D494" s="21"/>
    </row>
    <row r="495" spans="1:4" ht="15.75" customHeight="1">
      <c r="A495" s="22"/>
      <c r="B495" s="29"/>
      <c r="C495" s="33"/>
      <c r="D495" s="21"/>
    </row>
    <row r="496" spans="1:4" ht="15.75" customHeight="1">
      <c r="A496" s="22"/>
      <c r="B496" s="29"/>
      <c r="C496" s="33"/>
      <c r="D496" s="21"/>
    </row>
    <row r="497" spans="1:4" ht="15.75" customHeight="1">
      <c r="A497" s="22"/>
      <c r="B497" s="29"/>
      <c r="C497" s="33"/>
      <c r="D497" s="21"/>
    </row>
    <row r="498" spans="1:4" ht="15.75" customHeight="1">
      <c r="A498" s="22"/>
      <c r="B498" s="29"/>
      <c r="C498" s="33"/>
      <c r="D498" s="21"/>
    </row>
    <row r="499" spans="1:4" ht="15.75" customHeight="1">
      <c r="A499" s="22"/>
      <c r="B499" s="29"/>
      <c r="C499" s="33"/>
      <c r="D499" s="21"/>
    </row>
    <row r="500" spans="1:4" ht="15.75" customHeight="1">
      <c r="A500" s="22"/>
      <c r="B500" s="29"/>
      <c r="C500" s="33"/>
      <c r="D500" s="21"/>
    </row>
    <row r="501" spans="1:4" ht="15.75" customHeight="1">
      <c r="A501" s="22"/>
      <c r="B501" s="29"/>
      <c r="C501" s="33"/>
      <c r="D501" s="21"/>
    </row>
    <row r="502" spans="1:4" ht="15.75" customHeight="1">
      <c r="A502" s="22"/>
      <c r="B502" s="29"/>
      <c r="C502" s="33"/>
      <c r="D502" s="21"/>
    </row>
    <row r="503" spans="1:4" ht="15.75" customHeight="1">
      <c r="A503" s="22"/>
      <c r="B503" s="29"/>
      <c r="C503" s="33"/>
      <c r="D503" s="21"/>
    </row>
    <row r="504" spans="1:4" ht="15.75" customHeight="1">
      <c r="A504" s="22"/>
      <c r="B504" s="29"/>
      <c r="C504" s="33"/>
      <c r="D504" s="21"/>
    </row>
    <row r="505" spans="1:4" ht="15.75" customHeight="1">
      <c r="A505" s="22"/>
      <c r="B505" s="29"/>
      <c r="C505" s="33"/>
      <c r="D505" s="21"/>
    </row>
    <row r="506" spans="1:4" ht="15.75" customHeight="1">
      <c r="A506" s="22"/>
      <c r="B506" s="29"/>
      <c r="C506" s="33"/>
      <c r="D506" s="21"/>
    </row>
    <row r="507" spans="1:4" ht="15.75" customHeight="1">
      <c r="A507" s="22"/>
      <c r="B507" s="29"/>
      <c r="C507" s="33"/>
      <c r="D507" s="21"/>
    </row>
    <row r="508" spans="1:4" ht="15.75" customHeight="1">
      <c r="A508" s="22"/>
      <c r="B508" s="29"/>
      <c r="C508" s="33"/>
      <c r="D508" s="21"/>
    </row>
    <row r="509" spans="1:4" ht="15.75" customHeight="1">
      <c r="A509" s="22"/>
      <c r="B509" s="29"/>
      <c r="C509" s="33"/>
      <c r="D509" s="21"/>
    </row>
    <row r="510" spans="1:4" ht="15.75" customHeight="1">
      <c r="A510" s="22"/>
      <c r="B510" s="29"/>
      <c r="C510" s="33"/>
      <c r="D510" s="21"/>
    </row>
    <row r="511" spans="1:4" ht="15.75" customHeight="1">
      <c r="A511" s="22"/>
      <c r="B511" s="29"/>
      <c r="C511" s="33"/>
      <c r="D511" s="21"/>
    </row>
    <row r="512" spans="1:4" ht="15.75" customHeight="1">
      <c r="A512" s="22"/>
      <c r="B512" s="29"/>
      <c r="C512" s="33"/>
      <c r="D512" s="21"/>
    </row>
    <row r="513" spans="1:4" ht="15.75" customHeight="1">
      <c r="A513" s="22"/>
      <c r="B513" s="29"/>
      <c r="C513" s="33"/>
      <c r="D513" s="21"/>
    </row>
    <row r="514" spans="1:4" ht="15.75" customHeight="1">
      <c r="A514" s="22"/>
      <c r="B514" s="29"/>
      <c r="C514" s="33"/>
      <c r="D514" s="21"/>
    </row>
    <row r="515" spans="1:4" ht="15.75" customHeight="1">
      <c r="A515" s="22"/>
      <c r="B515" s="29"/>
      <c r="C515" s="33"/>
      <c r="D515" s="21"/>
    </row>
    <row r="516" spans="1:4" ht="15.75" customHeight="1">
      <c r="A516" s="22"/>
      <c r="B516" s="29"/>
      <c r="C516" s="33"/>
      <c r="D516" s="21"/>
    </row>
    <row r="517" spans="1:4" ht="15.75" customHeight="1">
      <c r="A517" s="22"/>
      <c r="B517" s="29"/>
      <c r="C517" s="33"/>
      <c r="D517" s="21"/>
    </row>
    <row r="518" spans="1:4" ht="15.75" customHeight="1">
      <c r="A518" s="22"/>
      <c r="B518" s="29"/>
      <c r="C518" s="33"/>
      <c r="D518" s="21"/>
    </row>
    <row r="519" spans="1:4" ht="15.75" customHeight="1">
      <c r="A519" s="22"/>
      <c r="B519" s="29"/>
      <c r="C519" s="33"/>
      <c r="D519" s="21"/>
    </row>
    <row r="520" spans="1:4" ht="15.75" customHeight="1">
      <c r="A520" s="22"/>
      <c r="B520" s="29"/>
      <c r="C520" s="33"/>
      <c r="D520" s="21"/>
    </row>
    <row r="521" spans="1:4" ht="15.75" customHeight="1">
      <c r="A521" s="22"/>
      <c r="B521" s="29"/>
      <c r="C521" s="33"/>
      <c r="D521" s="21"/>
    </row>
    <row r="522" spans="1:4" ht="15.75" customHeight="1">
      <c r="A522" s="22"/>
      <c r="B522" s="29"/>
      <c r="C522" s="33"/>
      <c r="D522" s="21"/>
    </row>
    <row r="523" spans="1:4" ht="15.75" customHeight="1">
      <c r="A523" s="22"/>
      <c r="B523" s="29"/>
      <c r="C523" s="33"/>
      <c r="D523" s="21"/>
    </row>
    <row r="524" spans="1:4" ht="15.75" customHeight="1">
      <c r="A524" s="22"/>
      <c r="B524" s="29"/>
      <c r="C524" s="33"/>
      <c r="D524" s="21"/>
    </row>
    <row r="525" spans="1:4" ht="15.75" customHeight="1">
      <c r="A525" s="22"/>
      <c r="B525" s="29"/>
      <c r="C525" s="33"/>
      <c r="D525" s="21"/>
    </row>
    <row r="526" spans="1:4" ht="15.75" customHeight="1">
      <c r="A526" s="22"/>
      <c r="B526" s="29"/>
      <c r="C526" s="33"/>
      <c r="D526" s="21"/>
    </row>
    <row r="527" spans="1:4" ht="15.75" customHeight="1">
      <c r="A527" s="22"/>
      <c r="B527" s="29"/>
      <c r="C527" s="33"/>
      <c r="D527" s="21"/>
    </row>
    <row r="528" spans="1:4" ht="15.75" customHeight="1">
      <c r="A528" s="22"/>
      <c r="B528" s="29"/>
      <c r="C528" s="33"/>
      <c r="D528" s="21"/>
    </row>
    <row r="529" spans="1:4" ht="15.75" customHeight="1">
      <c r="A529" s="22"/>
      <c r="B529" s="29"/>
      <c r="C529" s="33"/>
      <c r="D529" s="21"/>
    </row>
    <row r="530" spans="1:4" ht="15.75" customHeight="1">
      <c r="A530" s="22"/>
      <c r="B530" s="29"/>
      <c r="C530" s="33"/>
      <c r="D530" s="21"/>
    </row>
    <row r="531" spans="1:4" ht="15.75" customHeight="1">
      <c r="A531" s="22"/>
      <c r="B531" s="29"/>
      <c r="C531" s="33"/>
      <c r="D531" s="21"/>
    </row>
    <row r="532" spans="1:4" ht="15.75" customHeight="1">
      <c r="A532" s="22"/>
      <c r="B532" s="29"/>
      <c r="C532" s="33"/>
      <c r="D532" s="21"/>
    </row>
    <row r="533" spans="1:4" ht="15.75" customHeight="1">
      <c r="A533" s="22"/>
      <c r="B533" s="29"/>
      <c r="C533" s="33"/>
      <c r="D533" s="21"/>
    </row>
    <row r="534" spans="1:4" ht="15.75" customHeight="1">
      <c r="A534" s="22"/>
      <c r="B534" s="29"/>
      <c r="C534" s="33"/>
      <c r="D534" s="21"/>
    </row>
    <row r="535" spans="1:4" ht="15.75" customHeight="1">
      <c r="A535" s="22"/>
      <c r="B535" s="29"/>
      <c r="C535" s="33"/>
      <c r="D535" s="21"/>
    </row>
    <row r="536" spans="1:4" ht="15.75" customHeight="1">
      <c r="A536" s="22"/>
      <c r="B536" s="29"/>
      <c r="C536" s="33"/>
      <c r="D536" s="21"/>
    </row>
    <row r="537" spans="1:4" ht="15.75" customHeight="1">
      <c r="A537" s="22"/>
      <c r="B537" s="29"/>
      <c r="C537" s="33"/>
      <c r="D537" s="21"/>
    </row>
    <row r="538" spans="1:4" ht="15.75" customHeight="1">
      <c r="A538" s="22"/>
      <c r="B538" s="29"/>
      <c r="C538" s="33"/>
      <c r="D538" s="21"/>
    </row>
    <row r="539" spans="1:4" ht="15.75" customHeight="1">
      <c r="A539" s="22"/>
      <c r="B539" s="29"/>
      <c r="C539" s="33"/>
      <c r="D539" s="21"/>
    </row>
    <row r="540" spans="1:4" ht="15.75" customHeight="1">
      <c r="A540" s="22"/>
      <c r="B540" s="29"/>
      <c r="C540" s="33"/>
      <c r="D540" s="21"/>
    </row>
    <row r="541" spans="1:4" ht="15.75" customHeight="1">
      <c r="A541" s="22"/>
      <c r="B541" s="29"/>
      <c r="C541" s="33"/>
      <c r="D541" s="21"/>
    </row>
    <row r="542" spans="1:4" ht="15.75" customHeight="1">
      <c r="A542" s="22"/>
      <c r="B542" s="29"/>
      <c r="C542" s="33"/>
      <c r="D542" s="21"/>
    </row>
    <row r="543" spans="1:4" ht="15.75" customHeight="1">
      <c r="A543" s="22"/>
      <c r="B543" s="29"/>
      <c r="C543" s="33"/>
      <c r="D543" s="21"/>
    </row>
    <row r="544" spans="1:4" ht="15.75" customHeight="1">
      <c r="A544" s="22"/>
      <c r="B544" s="29"/>
      <c r="C544" s="33"/>
      <c r="D544" s="21"/>
    </row>
    <row r="545" spans="1:4" ht="15.75" customHeight="1">
      <c r="A545" s="24"/>
      <c r="C545" s="33"/>
      <c r="D545" s="21"/>
    </row>
    <row r="546" spans="1:4" ht="15.75" customHeight="1">
      <c r="A546" s="24"/>
      <c r="C546" s="33"/>
      <c r="D546" s="21"/>
    </row>
    <row r="547" spans="1:4" ht="15.75" customHeight="1">
      <c r="A547" s="24"/>
      <c r="C547" s="33"/>
      <c r="D547" s="21"/>
    </row>
    <row r="548" spans="1:4" ht="15.75" customHeight="1">
      <c r="A548" s="24"/>
      <c r="C548" s="33"/>
      <c r="D548" s="21"/>
    </row>
    <row r="549" spans="1:4" ht="15.75" customHeight="1">
      <c r="A549" s="24"/>
      <c r="C549" s="33"/>
      <c r="D549" s="21"/>
    </row>
    <row r="550" spans="1:4" ht="15.75" customHeight="1">
      <c r="A550" s="24"/>
      <c r="C550" s="33"/>
      <c r="D550" s="21"/>
    </row>
    <row r="551" spans="1:4" ht="15.75" customHeight="1">
      <c r="A551" s="24"/>
      <c r="C551" s="33"/>
      <c r="D551" s="21"/>
    </row>
    <row r="552" spans="1:4" ht="15.75" customHeight="1">
      <c r="A552" s="24"/>
      <c r="C552" s="33"/>
      <c r="D552" s="21"/>
    </row>
    <row r="553" spans="1:4" ht="15.75" customHeight="1">
      <c r="A553" s="24"/>
      <c r="C553" s="33"/>
      <c r="D553" s="21"/>
    </row>
    <row r="554" spans="1:4" ht="15.75" customHeight="1">
      <c r="A554" s="24"/>
      <c r="C554" s="33"/>
      <c r="D554" s="21"/>
    </row>
    <row r="555" spans="1:4" ht="15.75" customHeight="1">
      <c r="A555" s="24"/>
      <c r="C555" s="33"/>
      <c r="D555" s="21"/>
    </row>
    <row r="556" spans="1:4" ht="15.75" customHeight="1">
      <c r="A556" s="24"/>
      <c r="C556" s="33"/>
      <c r="D556" s="21"/>
    </row>
    <row r="557" spans="1:4" ht="15.75" customHeight="1">
      <c r="A557" s="24"/>
      <c r="C557" s="33"/>
      <c r="D557" s="21"/>
    </row>
    <row r="558" spans="1:4" ht="15.75" customHeight="1">
      <c r="A558" s="24"/>
      <c r="C558" s="33"/>
      <c r="D558" s="21"/>
    </row>
    <row r="559" spans="1:4" ht="15.75" customHeight="1">
      <c r="A559" s="24"/>
      <c r="C559" s="33"/>
      <c r="D559" s="21"/>
    </row>
    <row r="560" spans="1:4" ht="15.75" customHeight="1">
      <c r="A560" s="24"/>
      <c r="C560" s="33"/>
      <c r="D560" s="21"/>
    </row>
    <row r="561" spans="1:4" ht="15.75" customHeight="1">
      <c r="A561" s="24"/>
      <c r="C561" s="33"/>
      <c r="D561" s="21"/>
    </row>
    <row r="562" spans="1:4" ht="15.75" customHeight="1">
      <c r="A562" s="24"/>
      <c r="C562" s="33"/>
      <c r="D562" s="21"/>
    </row>
    <row r="563" spans="1:4" ht="15.75" customHeight="1">
      <c r="A563" s="24"/>
      <c r="C563" s="33"/>
      <c r="D563" s="21"/>
    </row>
    <row r="564" spans="1:4" ht="15.75" customHeight="1">
      <c r="A564" s="24"/>
      <c r="C564" s="33"/>
      <c r="D564" s="21"/>
    </row>
    <row r="565" spans="1:4" ht="15.75" customHeight="1">
      <c r="A565" s="24"/>
      <c r="C565" s="33"/>
      <c r="D565" s="21"/>
    </row>
    <row r="566" spans="1:4" ht="15.75" customHeight="1">
      <c r="A566" s="24"/>
      <c r="C566" s="33"/>
      <c r="D566" s="21"/>
    </row>
    <row r="567" spans="1:4" ht="15.75" customHeight="1">
      <c r="A567" s="24"/>
      <c r="C567" s="33"/>
      <c r="D567" s="21"/>
    </row>
    <row r="568" spans="1:4" ht="15.75" customHeight="1">
      <c r="A568" s="24"/>
      <c r="C568" s="33"/>
      <c r="D568" s="21"/>
    </row>
    <row r="569" spans="1:4" ht="15.75" customHeight="1">
      <c r="A569" s="24"/>
      <c r="C569" s="33"/>
      <c r="D569" s="21"/>
    </row>
    <row r="570" spans="1:4" ht="15.75" customHeight="1">
      <c r="A570" s="24"/>
      <c r="C570" s="33"/>
      <c r="D570" s="21"/>
    </row>
    <row r="571" spans="1:4" ht="15.75" customHeight="1">
      <c r="A571" s="24"/>
      <c r="C571" s="33"/>
      <c r="D571" s="21"/>
    </row>
    <row r="572" spans="1:4" ht="15.75" customHeight="1">
      <c r="A572" s="24"/>
      <c r="C572" s="33"/>
      <c r="D572" s="21"/>
    </row>
    <row r="573" spans="1:4" ht="15.75" customHeight="1">
      <c r="A573" s="24"/>
      <c r="C573" s="33"/>
      <c r="D573" s="21"/>
    </row>
    <row r="574" spans="1:4" ht="15.75" customHeight="1">
      <c r="A574" s="24"/>
      <c r="C574" s="33"/>
      <c r="D574" s="21"/>
    </row>
    <row r="575" spans="1:4" ht="15.75" customHeight="1">
      <c r="A575" s="24"/>
      <c r="C575" s="33"/>
      <c r="D575" s="21"/>
    </row>
    <row r="576" spans="1:4" ht="15.75" customHeight="1">
      <c r="A576" s="24"/>
      <c r="C576" s="33"/>
      <c r="D576" s="21"/>
    </row>
    <row r="577" spans="1:4" ht="15.75" customHeight="1">
      <c r="A577" s="24"/>
      <c r="C577" s="33"/>
      <c r="D577" s="21"/>
    </row>
    <row r="578" spans="1:4" ht="15.75" customHeight="1">
      <c r="A578" s="24"/>
      <c r="C578" s="33"/>
      <c r="D578" s="21"/>
    </row>
    <row r="579" spans="1:4" ht="15.75" customHeight="1">
      <c r="A579" s="24"/>
      <c r="C579" s="33"/>
      <c r="D579" s="21"/>
    </row>
    <row r="580" spans="1:4" ht="15.75" customHeight="1">
      <c r="A580" s="24"/>
      <c r="C580" s="33"/>
      <c r="D580" s="21"/>
    </row>
    <row r="581" spans="1:4" ht="15.75" customHeight="1">
      <c r="A581" s="24"/>
      <c r="C581" s="33"/>
      <c r="D581" s="21"/>
    </row>
    <row r="582" spans="1:4" ht="15.75" customHeight="1">
      <c r="A582" s="24"/>
      <c r="C582" s="33"/>
      <c r="D582" s="21"/>
    </row>
    <row r="583" spans="1:4" ht="15.75" customHeight="1">
      <c r="A583" s="24"/>
      <c r="C583" s="33"/>
      <c r="D583" s="21"/>
    </row>
    <row r="584" spans="1:4" ht="15.75" customHeight="1">
      <c r="A584" s="24"/>
      <c r="C584" s="33"/>
      <c r="D584" s="21"/>
    </row>
    <row r="585" spans="1:4" ht="15.75" customHeight="1">
      <c r="A585" s="24"/>
      <c r="C585" s="33"/>
      <c r="D585" s="21"/>
    </row>
    <row r="586" spans="1:4" ht="15.75" customHeight="1">
      <c r="A586" s="24"/>
      <c r="C586" s="33"/>
      <c r="D586" s="21"/>
    </row>
    <row r="587" spans="1:4" ht="15.75" customHeight="1">
      <c r="A587" s="24"/>
      <c r="C587" s="33"/>
      <c r="D587" s="21"/>
    </row>
    <row r="588" spans="1:4" ht="15.75" customHeight="1">
      <c r="A588" s="24"/>
      <c r="C588" s="33"/>
      <c r="D588" s="21"/>
    </row>
    <row r="589" spans="1:4" ht="15.75" customHeight="1">
      <c r="A589" s="24"/>
      <c r="C589" s="33"/>
      <c r="D589" s="21"/>
    </row>
    <row r="590" spans="1:4" ht="15.75" customHeight="1">
      <c r="A590" s="24"/>
      <c r="C590" s="33"/>
      <c r="D590" s="21"/>
    </row>
    <row r="591" spans="1:4" ht="15.75" customHeight="1">
      <c r="A591" s="24"/>
      <c r="C591" s="33"/>
      <c r="D591" s="21"/>
    </row>
    <row r="592" spans="1:4" ht="15.75" customHeight="1">
      <c r="A592" s="24"/>
      <c r="C592" s="33"/>
      <c r="D592" s="21"/>
    </row>
    <row r="593" spans="1:4" ht="15.75" customHeight="1">
      <c r="A593" s="24"/>
      <c r="C593" s="33"/>
      <c r="D593" s="21"/>
    </row>
    <row r="594" spans="1:4" ht="15.75" customHeight="1">
      <c r="A594" s="24"/>
      <c r="C594" s="33"/>
      <c r="D594" s="21"/>
    </row>
    <row r="595" spans="1:4" ht="15.75" customHeight="1">
      <c r="A595" s="24"/>
      <c r="C595" s="33"/>
      <c r="D595" s="21"/>
    </row>
    <row r="596" spans="1:4" ht="15.75" customHeight="1">
      <c r="A596" s="24"/>
      <c r="C596" s="33"/>
      <c r="D596" s="21"/>
    </row>
    <row r="597" spans="1:4" ht="15.75" customHeight="1">
      <c r="A597" s="24"/>
      <c r="C597" s="33"/>
      <c r="D597" s="21"/>
    </row>
    <row r="598" spans="1:4" ht="15.75" customHeight="1">
      <c r="A598" s="24"/>
      <c r="C598" s="33"/>
      <c r="D598" s="21"/>
    </row>
    <row r="599" spans="1:4" ht="15.75" customHeight="1">
      <c r="A599" s="24"/>
      <c r="C599" s="33"/>
      <c r="D599" s="21"/>
    </row>
    <row r="600" spans="1:4" ht="15.75" customHeight="1">
      <c r="A600" s="24"/>
      <c r="C600" s="33"/>
      <c r="D600" s="21"/>
    </row>
    <row r="601" spans="1:4" ht="15.75" customHeight="1">
      <c r="A601" s="24"/>
      <c r="C601" s="33"/>
      <c r="D601" s="21"/>
    </row>
    <row r="602" spans="1:4" ht="15.75" customHeight="1">
      <c r="A602" s="24"/>
      <c r="C602" s="33"/>
      <c r="D602" s="21"/>
    </row>
    <row r="603" spans="1:4" ht="15.75" customHeight="1">
      <c r="A603" s="24"/>
      <c r="C603" s="33"/>
      <c r="D603" s="21"/>
    </row>
    <row r="604" spans="1:4" ht="15.75" customHeight="1">
      <c r="A604" s="24"/>
      <c r="C604" s="33"/>
      <c r="D604" s="21"/>
    </row>
    <row r="605" spans="1:4" ht="15.75" customHeight="1">
      <c r="A605" s="24"/>
      <c r="C605" s="33"/>
      <c r="D605" s="21"/>
    </row>
    <row r="606" spans="1:4" ht="15.75" customHeight="1">
      <c r="A606" s="24"/>
      <c r="C606" s="33"/>
      <c r="D606" s="21"/>
    </row>
    <row r="607" spans="1:4" ht="15.75" customHeight="1">
      <c r="A607" s="24"/>
      <c r="C607" s="33"/>
      <c r="D607" s="21"/>
    </row>
    <row r="608" spans="1:4" ht="15.75" customHeight="1">
      <c r="A608" s="24"/>
      <c r="C608" s="33"/>
      <c r="D608" s="21"/>
    </row>
    <row r="609" spans="1:4" ht="15.75" customHeight="1">
      <c r="A609" s="24"/>
      <c r="C609" s="33"/>
      <c r="D609" s="21"/>
    </row>
    <row r="610" spans="1:4" ht="15.75" customHeight="1">
      <c r="A610" s="24"/>
      <c r="C610" s="33"/>
      <c r="D610" s="21"/>
    </row>
    <row r="611" spans="1:4" ht="15.75" customHeight="1">
      <c r="A611" s="24"/>
      <c r="C611" s="33"/>
      <c r="D611" s="21"/>
    </row>
    <row r="612" spans="1:4" ht="15.75" customHeight="1">
      <c r="A612" s="24"/>
      <c r="C612" s="33"/>
      <c r="D612" s="21"/>
    </row>
    <row r="613" spans="1:4" ht="15.75" customHeight="1">
      <c r="A613" s="24"/>
      <c r="C613" s="33"/>
      <c r="D613" s="21"/>
    </row>
    <row r="614" spans="1:4" ht="15.75" customHeight="1">
      <c r="A614" s="24"/>
      <c r="C614" s="33"/>
      <c r="D614" s="21"/>
    </row>
    <row r="615" spans="1:4" ht="15.75" customHeight="1">
      <c r="A615" s="24"/>
      <c r="C615" s="33"/>
      <c r="D615" s="21"/>
    </row>
    <row r="616" spans="1:4" ht="15.75" customHeight="1">
      <c r="A616" s="24"/>
      <c r="C616" s="33"/>
      <c r="D616" s="21"/>
    </row>
    <row r="617" spans="1:4" ht="15.75" customHeight="1">
      <c r="A617" s="24"/>
      <c r="C617" s="33"/>
      <c r="D617" s="21"/>
    </row>
    <row r="618" spans="1:4" ht="15.75" customHeight="1">
      <c r="A618" s="24"/>
      <c r="C618" s="33"/>
      <c r="D618" s="21"/>
    </row>
    <row r="619" spans="1:4" ht="15.75" customHeight="1">
      <c r="A619" s="24"/>
      <c r="C619" s="33"/>
      <c r="D619" s="21"/>
    </row>
    <row r="620" spans="1:4" ht="15.75" customHeight="1">
      <c r="A620" s="24"/>
      <c r="C620" s="33"/>
      <c r="D620" s="21"/>
    </row>
    <row r="621" spans="1:4" ht="15.75" customHeight="1">
      <c r="A621" s="24"/>
      <c r="C621" s="33"/>
      <c r="D621" s="21"/>
    </row>
    <row r="622" spans="1:4" ht="15.75" customHeight="1">
      <c r="A622" s="24"/>
      <c r="C622" s="33"/>
      <c r="D622" s="21"/>
    </row>
    <row r="623" spans="1:4" ht="15.75" customHeight="1">
      <c r="A623" s="24"/>
      <c r="C623" s="33"/>
      <c r="D623" s="21"/>
    </row>
    <row r="624" spans="1:4" ht="15.75" customHeight="1">
      <c r="A624" s="24"/>
      <c r="C624" s="33"/>
      <c r="D624" s="21"/>
    </row>
    <row r="625" spans="1:4" ht="15.75" customHeight="1">
      <c r="A625" s="24"/>
      <c r="C625" s="33"/>
      <c r="D625" s="21"/>
    </row>
    <row r="626" spans="1:4" ht="15.75" customHeight="1">
      <c r="A626" s="24"/>
      <c r="C626" s="33"/>
      <c r="D626" s="21"/>
    </row>
    <row r="627" spans="1:4" ht="15.75" customHeight="1">
      <c r="A627" s="24"/>
      <c r="C627" s="33"/>
      <c r="D627" s="21"/>
    </row>
    <row r="628" spans="1:4" ht="15.75" customHeight="1">
      <c r="A628" s="24"/>
      <c r="C628" s="33"/>
      <c r="D628" s="21"/>
    </row>
    <row r="629" spans="1:4" ht="15.75" customHeight="1">
      <c r="A629" s="24"/>
      <c r="C629" s="33"/>
      <c r="D629" s="21"/>
    </row>
    <row r="630" spans="1:4" ht="15.75" customHeight="1">
      <c r="A630" s="24"/>
      <c r="C630" s="33"/>
      <c r="D630" s="21"/>
    </row>
    <row r="631" spans="1:4" ht="15.75" customHeight="1">
      <c r="A631" s="24"/>
      <c r="C631" s="33"/>
      <c r="D631" s="21"/>
    </row>
    <row r="632" spans="1:4" ht="15.75" customHeight="1">
      <c r="A632" s="24"/>
      <c r="C632" s="33"/>
      <c r="D632" s="21"/>
    </row>
    <row r="633" spans="1:4" ht="15.75" customHeight="1">
      <c r="A633" s="24"/>
      <c r="C633" s="33"/>
      <c r="D633" s="21"/>
    </row>
    <row r="634" spans="1:4" ht="15.75" customHeight="1">
      <c r="A634" s="24"/>
      <c r="C634" s="33"/>
      <c r="D634" s="21"/>
    </row>
    <row r="635" spans="1:4" ht="15.75" customHeight="1">
      <c r="A635" s="24"/>
      <c r="C635" s="33"/>
      <c r="D635" s="21"/>
    </row>
    <row r="636" spans="1:4" ht="15.75" customHeight="1">
      <c r="A636" s="24"/>
      <c r="C636" s="33"/>
      <c r="D636" s="21"/>
    </row>
    <row r="637" spans="1:4" ht="15.75" customHeight="1">
      <c r="A637" s="24"/>
      <c r="C637" s="33"/>
      <c r="D637" s="21"/>
    </row>
    <row r="638" spans="1:4" ht="15.75" customHeight="1">
      <c r="A638" s="24"/>
      <c r="C638" s="33"/>
      <c r="D638" s="21"/>
    </row>
    <row r="639" spans="1:4" ht="15.75" customHeight="1">
      <c r="A639" s="24"/>
      <c r="C639" s="33"/>
      <c r="D639" s="21"/>
    </row>
    <row r="640" spans="1:4" ht="15.75" customHeight="1">
      <c r="A640" s="24"/>
      <c r="C640" s="33"/>
      <c r="D640" s="21"/>
    </row>
    <row r="641" spans="1:4" ht="15.75" customHeight="1">
      <c r="A641" s="24"/>
      <c r="C641" s="33"/>
      <c r="D641" s="21"/>
    </row>
    <row r="642" spans="1:4" ht="15.75" customHeight="1">
      <c r="A642" s="24"/>
      <c r="C642" s="33"/>
      <c r="D642" s="21"/>
    </row>
    <row r="643" spans="1:4" ht="15.75" customHeight="1">
      <c r="A643" s="24"/>
      <c r="C643" s="33"/>
      <c r="D643" s="21"/>
    </row>
    <row r="644" spans="1:4" ht="15.75" customHeight="1">
      <c r="A644" s="24"/>
      <c r="C644" s="33"/>
      <c r="D644" s="21"/>
    </row>
    <row r="645" spans="1:4" ht="15.75" customHeight="1">
      <c r="A645" s="24"/>
      <c r="C645" s="33"/>
      <c r="D645" s="21"/>
    </row>
    <row r="646" spans="1:4" ht="15.75" customHeight="1">
      <c r="A646" s="24"/>
      <c r="C646" s="33"/>
      <c r="D646" s="21"/>
    </row>
    <row r="647" spans="1:4" ht="15.75" customHeight="1">
      <c r="A647" s="24"/>
      <c r="C647" s="33"/>
      <c r="D647" s="21"/>
    </row>
    <row r="648" spans="1:4" ht="15.75" customHeight="1">
      <c r="A648" s="24"/>
      <c r="C648" s="33"/>
      <c r="D648" s="21"/>
    </row>
    <row r="649" spans="1:4" ht="15.75" customHeight="1">
      <c r="A649" s="24"/>
      <c r="C649" s="33"/>
      <c r="D649" s="21"/>
    </row>
    <row r="650" spans="1:4" ht="15.75" customHeight="1">
      <c r="A650" s="24"/>
      <c r="C650" s="33"/>
      <c r="D650" s="21"/>
    </row>
    <row r="651" spans="1:4" ht="15.75" customHeight="1">
      <c r="A651" s="24"/>
      <c r="C651" s="33"/>
      <c r="D651" s="21"/>
    </row>
    <row r="652" spans="1:4" ht="15.75" customHeight="1">
      <c r="A652" s="24"/>
      <c r="C652" s="33"/>
      <c r="D652" s="21"/>
    </row>
    <row r="653" spans="1:4" ht="15.75" customHeight="1">
      <c r="A653" s="24"/>
      <c r="C653" s="33"/>
      <c r="D653" s="21"/>
    </row>
    <row r="654" spans="1:4" ht="15.75" customHeight="1">
      <c r="A654" s="24"/>
      <c r="C654" s="33"/>
      <c r="D654" s="21"/>
    </row>
    <row r="655" spans="1:4" ht="15.75" customHeight="1">
      <c r="A655" s="24"/>
      <c r="C655" s="33"/>
      <c r="D655" s="21"/>
    </row>
    <row r="656" spans="1:4" ht="15.75" customHeight="1">
      <c r="A656" s="24"/>
      <c r="C656" s="33"/>
      <c r="D656" s="21"/>
    </row>
    <row r="657" spans="1:4" ht="15.75" customHeight="1">
      <c r="A657" s="24"/>
      <c r="C657" s="33"/>
      <c r="D657" s="21"/>
    </row>
    <row r="658" spans="1:4" ht="15.75" customHeight="1">
      <c r="A658" s="24"/>
      <c r="C658" s="33"/>
      <c r="D658" s="21"/>
    </row>
    <row r="659" spans="1:4" ht="15.75" customHeight="1">
      <c r="A659" s="24"/>
      <c r="C659" s="33"/>
      <c r="D659" s="21"/>
    </row>
    <row r="660" spans="1:4" ht="15.75" customHeight="1">
      <c r="A660" s="24"/>
      <c r="C660" s="33"/>
      <c r="D660" s="21"/>
    </row>
    <row r="661" spans="1:4" ht="15.75" customHeight="1">
      <c r="A661" s="24"/>
      <c r="C661" s="33"/>
      <c r="D661" s="21"/>
    </row>
    <row r="662" spans="1:4" ht="15.75" customHeight="1">
      <c r="A662" s="24"/>
      <c r="C662" s="33"/>
      <c r="D662" s="21"/>
    </row>
    <row r="663" spans="1:4" ht="15.75" customHeight="1">
      <c r="A663" s="24"/>
      <c r="C663" s="33"/>
      <c r="D663" s="21"/>
    </row>
    <row r="664" spans="1:4" ht="15.75" customHeight="1">
      <c r="A664" s="24"/>
      <c r="C664" s="33"/>
      <c r="D664" s="21"/>
    </row>
    <row r="665" spans="1:4" ht="15.75" customHeight="1">
      <c r="A665" s="24"/>
      <c r="C665" s="33"/>
      <c r="D665" s="21"/>
    </row>
    <row r="666" spans="1:4" ht="15.75" customHeight="1">
      <c r="A666" s="24"/>
      <c r="C666" s="33"/>
      <c r="D666" s="21"/>
    </row>
    <row r="667" spans="1:4" ht="15.75" customHeight="1">
      <c r="A667" s="24"/>
      <c r="C667" s="33"/>
      <c r="D667" s="21"/>
    </row>
    <row r="668" spans="1:4" ht="15.75" customHeight="1">
      <c r="A668" s="24"/>
      <c r="C668" s="33"/>
      <c r="D668" s="21"/>
    </row>
    <row r="669" spans="1:4" ht="15.75" customHeight="1">
      <c r="A669" s="24"/>
      <c r="C669" s="33"/>
      <c r="D669" s="21"/>
    </row>
    <row r="670" spans="1:4" ht="15.75" customHeight="1">
      <c r="A670" s="24"/>
      <c r="C670" s="33"/>
      <c r="D670" s="21"/>
    </row>
    <row r="671" spans="1:4" ht="15.75" customHeight="1">
      <c r="A671" s="24"/>
      <c r="C671" s="33"/>
      <c r="D671" s="21"/>
    </row>
    <row r="672" spans="1:4" ht="15.75" customHeight="1">
      <c r="A672" s="24"/>
      <c r="C672" s="33"/>
      <c r="D672" s="21"/>
    </row>
    <row r="673" spans="1:4" ht="15.75" customHeight="1">
      <c r="A673" s="24"/>
      <c r="C673" s="33"/>
      <c r="D673" s="21"/>
    </row>
    <row r="674" spans="1:4" ht="15.75" customHeight="1">
      <c r="A674" s="24"/>
      <c r="C674" s="33"/>
      <c r="D674" s="21"/>
    </row>
    <row r="675" spans="1:4" ht="15.75" customHeight="1">
      <c r="A675" s="24"/>
      <c r="C675" s="33"/>
      <c r="D675" s="21"/>
    </row>
    <row r="676" spans="1:4" ht="15.75" customHeight="1">
      <c r="A676" s="24"/>
      <c r="C676" s="33"/>
      <c r="D676" s="21"/>
    </row>
    <row r="677" spans="1:4" ht="15.75" customHeight="1">
      <c r="A677" s="24"/>
      <c r="C677" s="33"/>
      <c r="D677" s="21"/>
    </row>
    <row r="678" spans="1:4" ht="15.75" customHeight="1">
      <c r="A678" s="24"/>
      <c r="C678" s="33"/>
      <c r="D678" s="21"/>
    </row>
    <row r="679" spans="1:4" ht="15.75" customHeight="1">
      <c r="A679" s="24"/>
      <c r="C679" s="33"/>
      <c r="D679" s="21"/>
    </row>
    <row r="680" spans="1:4" ht="15.75" customHeight="1">
      <c r="A680" s="24"/>
      <c r="C680" s="33"/>
      <c r="D680" s="21"/>
    </row>
    <row r="681" spans="1:4" ht="15.75" customHeight="1">
      <c r="A681" s="24"/>
      <c r="C681" s="33"/>
      <c r="D681" s="21"/>
    </row>
    <row r="682" spans="1:4" ht="15.75" customHeight="1">
      <c r="A682" s="24"/>
      <c r="C682" s="33"/>
      <c r="D682" s="21"/>
    </row>
    <row r="683" spans="1:4" ht="15.75" customHeight="1">
      <c r="A683" s="24"/>
      <c r="C683" s="33"/>
      <c r="D683" s="21"/>
    </row>
    <row r="684" spans="1:4" ht="15.75" customHeight="1">
      <c r="A684" s="24"/>
      <c r="C684" s="33"/>
      <c r="D684" s="21"/>
    </row>
    <row r="685" spans="1:4" ht="15.75" customHeight="1">
      <c r="A685" s="24"/>
      <c r="C685" s="33"/>
      <c r="D685" s="21"/>
    </row>
    <row r="686" spans="1:4" ht="15.75" customHeight="1">
      <c r="A686" s="24"/>
      <c r="C686" s="33"/>
      <c r="D686" s="21"/>
    </row>
    <row r="687" spans="1:4" ht="15.75" customHeight="1">
      <c r="A687" s="24"/>
      <c r="C687" s="33"/>
      <c r="D687" s="21"/>
    </row>
    <row r="688" spans="1:4" ht="15.75" customHeight="1">
      <c r="A688" s="24"/>
      <c r="C688" s="33"/>
      <c r="D688" s="21"/>
    </row>
    <row r="689" spans="1:4" ht="15.75" customHeight="1">
      <c r="A689" s="24"/>
      <c r="C689" s="33"/>
      <c r="D689" s="21"/>
    </row>
    <row r="690" spans="1:4" ht="15.75" customHeight="1">
      <c r="A690" s="24"/>
      <c r="C690" s="33"/>
      <c r="D690" s="21"/>
    </row>
    <row r="691" spans="1:4" ht="15.75" customHeight="1">
      <c r="A691" s="24"/>
      <c r="C691" s="33"/>
      <c r="D691" s="21"/>
    </row>
    <row r="692" spans="1:4" ht="15.75" customHeight="1">
      <c r="A692" s="24"/>
      <c r="C692" s="33"/>
      <c r="D692" s="21"/>
    </row>
    <row r="693" spans="1:4" ht="15.75" customHeight="1">
      <c r="A693" s="24"/>
      <c r="C693" s="33"/>
      <c r="D693" s="21"/>
    </row>
    <row r="694" spans="1:4" ht="15.75" customHeight="1">
      <c r="A694" s="24"/>
      <c r="C694" s="33"/>
      <c r="D694" s="21"/>
    </row>
    <row r="695" spans="1:4" ht="15.75" customHeight="1">
      <c r="A695" s="24"/>
      <c r="C695" s="33"/>
      <c r="D695" s="21"/>
    </row>
    <row r="696" spans="1:4" ht="15.75" customHeight="1">
      <c r="A696" s="24"/>
      <c r="C696" s="33"/>
      <c r="D696" s="21"/>
    </row>
    <row r="697" spans="1:4" ht="15.75" customHeight="1">
      <c r="A697" s="24"/>
      <c r="C697" s="33"/>
      <c r="D697" s="21"/>
    </row>
    <row r="698" spans="1:4" ht="15.75" customHeight="1">
      <c r="A698" s="24"/>
      <c r="C698" s="33"/>
      <c r="D698" s="21"/>
    </row>
    <row r="699" spans="1:4" ht="15.75" customHeight="1">
      <c r="A699" s="24"/>
      <c r="C699" s="33"/>
      <c r="D699" s="21"/>
    </row>
    <row r="700" spans="1:4" ht="15.75" customHeight="1">
      <c r="A700" s="24"/>
      <c r="C700" s="33"/>
      <c r="D700" s="21"/>
    </row>
    <row r="701" spans="1:4" ht="15.75" customHeight="1">
      <c r="A701" s="24"/>
      <c r="C701" s="33"/>
      <c r="D701" s="21"/>
    </row>
    <row r="702" spans="1:4" ht="15.75" customHeight="1">
      <c r="A702" s="24"/>
      <c r="C702" s="33"/>
      <c r="D702" s="21"/>
    </row>
    <row r="703" spans="1:4" ht="15.75" customHeight="1">
      <c r="A703" s="24"/>
      <c r="C703" s="33"/>
      <c r="D703" s="21"/>
    </row>
    <row r="704" spans="1:4" ht="15.75" customHeight="1">
      <c r="A704" s="24"/>
      <c r="C704" s="33"/>
      <c r="D704" s="21"/>
    </row>
    <row r="705" spans="1:4" ht="15.75" customHeight="1">
      <c r="A705" s="24"/>
      <c r="C705" s="33"/>
      <c r="D705" s="21"/>
    </row>
    <row r="706" spans="1:4" ht="15.75" customHeight="1">
      <c r="A706" s="24"/>
      <c r="C706" s="33"/>
      <c r="D706" s="21"/>
    </row>
    <row r="707" spans="1:4" ht="15.75" customHeight="1">
      <c r="A707" s="24"/>
      <c r="C707" s="33"/>
      <c r="D707" s="21"/>
    </row>
    <row r="708" spans="1:4" ht="15.75" customHeight="1">
      <c r="A708" s="24"/>
      <c r="C708" s="33"/>
      <c r="D708" s="21"/>
    </row>
    <row r="709" spans="1:4" ht="15.75" customHeight="1">
      <c r="A709" s="24"/>
      <c r="C709" s="33"/>
      <c r="D709" s="21"/>
    </row>
    <row r="710" spans="1:4" ht="15.75" customHeight="1">
      <c r="A710" s="24"/>
      <c r="C710" s="33"/>
      <c r="D710" s="21"/>
    </row>
    <row r="711" spans="1:4" ht="15.75" customHeight="1">
      <c r="A711" s="24"/>
      <c r="C711" s="33"/>
      <c r="D711" s="21"/>
    </row>
    <row r="712" spans="1:4" ht="15.75" customHeight="1">
      <c r="A712" s="24"/>
      <c r="C712" s="33"/>
      <c r="D712" s="21"/>
    </row>
    <row r="713" spans="1:4" ht="15.75" customHeight="1">
      <c r="A713" s="24"/>
      <c r="C713" s="33"/>
      <c r="D713" s="21"/>
    </row>
    <row r="714" spans="1:4" ht="15.75" customHeight="1">
      <c r="A714" s="24"/>
      <c r="C714" s="33"/>
      <c r="D714" s="21"/>
    </row>
    <row r="715" spans="1:4" ht="15.75" customHeight="1">
      <c r="A715" s="24"/>
      <c r="C715" s="33"/>
      <c r="D715" s="21"/>
    </row>
    <row r="716" spans="1:4" ht="15.75" customHeight="1">
      <c r="A716" s="24"/>
      <c r="C716" s="33"/>
      <c r="D716" s="21"/>
    </row>
    <row r="717" spans="1:4" ht="15.75" customHeight="1">
      <c r="A717" s="24"/>
      <c r="C717" s="33"/>
      <c r="D717" s="21"/>
    </row>
    <row r="718" spans="1:4" ht="15.75" customHeight="1">
      <c r="A718" s="24"/>
      <c r="C718" s="33"/>
      <c r="D718" s="21"/>
    </row>
    <row r="719" spans="1:4" ht="15.75" customHeight="1">
      <c r="A719" s="24"/>
      <c r="C719" s="33"/>
      <c r="D719" s="21"/>
    </row>
    <row r="720" spans="1:4" ht="15.75" customHeight="1">
      <c r="A720" s="24"/>
      <c r="C720" s="33"/>
      <c r="D720" s="21"/>
    </row>
    <row r="721" spans="1:4" ht="15.75" customHeight="1">
      <c r="A721" s="24"/>
      <c r="C721" s="33"/>
      <c r="D721" s="21"/>
    </row>
    <row r="722" spans="1:4" ht="15.75" customHeight="1">
      <c r="A722" s="24"/>
      <c r="C722" s="33"/>
      <c r="D722" s="21"/>
    </row>
    <row r="723" spans="1:4" ht="15.75" customHeight="1">
      <c r="A723" s="24"/>
      <c r="C723" s="33"/>
      <c r="D723" s="21"/>
    </row>
    <row r="724" spans="1:4" ht="15.75" customHeight="1">
      <c r="A724" s="24"/>
      <c r="C724" s="33"/>
      <c r="D724" s="21"/>
    </row>
    <row r="725" spans="1:4" ht="15.75" customHeight="1">
      <c r="A725" s="24"/>
      <c r="C725" s="33"/>
      <c r="D725" s="21"/>
    </row>
    <row r="726" spans="1:4" ht="15.75" customHeight="1">
      <c r="A726" s="24"/>
      <c r="C726" s="33"/>
      <c r="D726" s="21"/>
    </row>
    <row r="727" spans="1:4" ht="15.75" customHeight="1">
      <c r="A727" s="24"/>
      <c r="C727" s="33"/>
      <c r="D727" s="21"/>
    </row>
    <row r="728" spans="1:4" ht="15.75" customHeight="1">
      <c r="A728" s="24"/>
      <c r="C728" s="33"/>
      <c r="D728" s="21"/>
    </row>
    <row r="729" spans="1:4" ht="15.75" customHeight="1">
      <c r="A729" s="24"/>
      <c r="C729" s="33"/>
      <c r="D729" s="21"/>
    </row>
    <row r="730" spans="1:4" ht="15.75" customHeight="1">
      <c r="A730" s="24"/>
      <c r="C730" s="33"/>
      <c r="D730" s="21"/>
    </row>
    <row r="731" spans="1:4" ht="15.75" customHeight="1">
      <c r="A731" s="24"/>
      <c r="C731" s="33"/>
      <c r="D731" s="21"/>
    </row>
    <row r="732" spans="1:4" ht="15.75" customHeight="1">
      <c r="A732" s="24"/>
      <c r="C732" s="33"/>
      <c r="D732" s="21"/>
    </row>
    <row r="733" spans="1:4" ht="15.75" customHeight="1">
      <c r="A733" s="24"/>
      <c r="C733" s="33"/>
      <c r="D733" s="21"/>
    </row>
    <row r="734" spans="1:4" ht="15.75" customHeight="1">
      <c r="A734" s="24"/>
      <c r="C734" s="33"/>
      <c r="D734" s="21"/>
    </row>
    <row r="735" spans="1:4" ht="15.75" customHeight="1">
      <c r="A735" s="24"/>
      <c r="C735" s="33"/>
      <c r="D735" s="21"/>
    </row>
    <row r="736" spans="1:4" ht="15.75" customHeight="1">
      <c r="A736" s="24"/>
      <c r="C736" s="33"/>
      <c r="D736" s="21"/>
    </row>
    <row r="737" spans="1:4" ht="15.75" customHeight="1">
      <c r="A737" s="24"/>
      <c r="C737" s="33"/>
      <c r="D737" s="21"/>
    </row>
    <row r="738" spans="1:4" ht="15.75" customHeight="1">
      <c r="A738" s="24"/>
      <c r="C738" s="33"/>
      <c r="D738" s="21"/>
    </row>
    <row r="739" spans="1:4" ht="15.75" customHeight="1">
      <c r="A739" s="24"/>
      <c r="C739" s="33"/>
      <c r="D739" s="21"/>
    </row>
    <row r="740" spans="1:4" ht="15.75" customHeight="1">
      <c r="A740" s="24"/>
      <c r="C740" s="33"/>
      <c r="D740" s="21"/>
    </row>
    <row r="741" spans="1:4" ht="15.75" customHeight="1">
      <c r="A741" s="24"/>
      <c r="C741" s="33"/>
      <c r="D741" s="21"/>
    </row>
    <row r="742" spans="1:4" ht="15.75" customHeight="1">
      <c r="A742" s="24"/>
      <c r="C742" s="33"/>
      <c r="D742" s="21"/>
    </row>
    <row r="743" spans="1:4" ht="15.75" customHeight="1">
      <c r="A743" s="24"/>
      <c r="C743" s="33"/>
      <c r="D743" s="21"/>
    </row>
    <row r="744" spans="1:4" ht="15.75" customHeight="1">
      <c r="A744" s="24"/>
      <c r="C744" s="33"/>
      <c r="D744" s="21"/>
    </row>
    <row r="745" spans="1:4" ht="15.75" customHeight="1">
      <c r="A745" s="24"/>
      <c r="C745" s="33"/>
      <c r="D745" s="21"/>
    </row>
    <row r="746" spans="1:4" ht="15.75" customHeight="1">
      <c r="A746" s="24"/>
      <c r="C746" s="33"/>
      <c r="D746" s="21"/>
    </row>
    <row r="747" spans="1:4" ht="15.75" customHeight="1">
      <c r="A747" s="24"/>
      <c r="C747" s="33"/>
      <c r="D747" s="21"/>
    </row>
    <row r="748" spans="1:4" ht="15.75" customHeight="1">
      <c r="A748" s="24"/>
      <c r="C748" s="33"/>
      <c r="D748" s="21"/>
    </row>
    <row r="749" spans="1:4" ht="15.75" customHeight="1">
      <c r="A749" s="24"/>
      <c r="C749" s="33"/>
      <c r="D749" s="21"/>
    </row>
    <row r="750" spans="1:4" ht="15.75" customHeight="1">
      <c r="A750" s="24"/>
      <c r="C750" s="33"/>
      <c r="D750" s="21"/>
    </row>
    <row r="751" spans="1:4" ht="15.75" customHeight="1">
      <c r="A751" s="24"/>
      <c r="C751" s="33"/>
      <c r="D751" s="21"/>
    </row>
    <row r="752" spans="1:4" ht="15.75" customHeight="1">
      <c r="A752" s="24"/>
      <c r="C752" s="33"/>
      <c r="D752" s="21"/>
    </row>
    <row r="753" spans="1:4" ht="15.75" customHeight="1">
      <c r="A753" s="24"/>
      <c r="C753" s="33"/>
      <c r="D753" s="21"/>
    </row>
    <row r="754" spans="1:4" ht="15.75" customHeight="1">
      <c r="A754" s="24"/>
      <c r="C754" s="33"/>
      <c r="D754" s="21"/>
    </row>
    <row r="755" spans="1:4" ht="15.75" customHeight="1">
      <c r="A755" s="24"/>
      <c r="C755" s="33"/>
      <c r="D755" s="21"/>
    </row>
    <row r="756" spans="1:4" ht="15.75" customHeight="1">
      <c r="A756" s="24"/>
      <c r="C756" s="33"/>
      <c r="D756" s="21"/>
    </row>
    <row r="757" spans="1:4" ht="15.75" customHeight="1">
      <c r="A757" s="24"/>
      <c r="C757" s="33"/>
      <c r="D757" s="21"/>
    </row>
    <row r="758" spans="1:4" ht="15.75" customHeight="1">
      <c r="A758" s="24"/>
      <c r="C758" s="33"/>
      <c r="D758" s="21"/>
    </row>
    <row r="759" spans="1:4" ht="15.75" customHeight="1">
      <c r="A759" s="24"/>
      <c r="C759" s="33"/>
      <c r="D759" s="21"/>
    </row>
    <row r="760" spans="1:4" ht="15.75" customHeight="1">
      <c r="A760" s="24"/>
      <c r="C760" s="33"/>
      <c r="D760" s="21"/>
    </row>
    <row r="761" spans="1:4" ht="15.75" customHeight="1">
      <c r="A761" s="24"/>
      <c r="C761" s="33"/>
      <c r="D761" s="21"/>
    </row>
    <row r="762" spans="1:4" ht="15.75" customHeight="1">
      <c r="A762" s="24"/>
      <c r="C762" s="33"/>
      <c r="D762" s="21"/>
    </row>
    <row r="763" spans="1:4" ht="15.75" customHeight="1">
      <c r="A763" s="24"/>
      <c r="C763" s="33"/>
      <c r="D763" s="21"/>
    </row>
    <row r="764" spans="1:4" ht="15.75" customHeight="1">
      <c r="A764" s="24"/>
      <c r="C764" s="33"/>
      <c r="D764" s="21"/>
    </row>
    <row r="765" spans="1:4" ht="15.75" customHeight="1">
      <c r="A765" s="24"/>
      <c r="C765" s="33"/>
      <c r="D765" s="21"/>
    </row>
    <row r="766" spans="1:4" ht="15.75" customHeight="1">
      <c r="A766" s="24"/>
      <c r="C766" s="33"/>
      <c r="D766" s="21"/>
    </row>
    <row r="767" spans="1:4" ht="15.75" customHeight="1">
      <c r="A767" s="24"/>
      <c r="C767" s="33"/>
      <c r="D767" s="21"/>
    </row>
    <row r="768" spans="1:4" ht="15.75" customHeight="1">
      <c r="A768" s="24"/>
      <c r="C768" s="33"/>
      <c r="D768" s="21"/>
    </row>
    <row r="769" spans="1:4" ht="15.75" customHeight="1">
      <c r="A769" s="24"/>
      <c r="C769" s="33"/>
      <c r="D769" s="21"/>
    </row>
    <row r="770" spans="1:4" ht="15.75" customHeight="1">
      <c r="A770" s="24"/>
      <c r="C770" s="33"/>
      <c r="D770" s="21"/>
    </row>
    <row r="771" spans="1:4" ht="15.75" customHeight="1">
      <c r="A771" s="24"/>
      <c r="C771" s="33"/>
      <c r="D771" s="21"/>
    </row>
    <row r="772" spans="1:4" ht="15.75" customHeight="1">
      <c r="A772" s="24"/>
      <c r="C772" s="33"/>
      <c r="D772" s="21"/>
    </row>
    <row r="773" spans="1:4" ht="15.75" customHeight="1">
      <c r="A773" s="24"/>
      <c r="C773" s="33"/>
      <c r="D773" s="21"/>
    </row>
    <row r="774" spans="1:4" ht="15.75" customHeight="1">
      <c r="A774" s="24"/>
      <c r="C774" s="33"/>
      <c r="D774" s="21"/>
    </row>
    <row r="775" spans="1:4" ht="15.75" customHeight="1">
      <c r="A775" s="24"/>
      <c r="C775" s="33"/>
      <c r="D775" s="21"/>
    </row>
    <row r="776" spans="1:4" ht="15.75" customHeight="1">
      <c r="A776" s="24"/>
      <c r="C776" s="33"/>
      <c r="D776" s="21"/>
    </row>
    <row r="777" spans="1:4" ht="15.75" customHeight="1">
      <c r="A777" s="24"/>
      <c r="C777" s="33"/>
      <c r="D777" s="21"/>
    </row>
    <row r="778" spans="1:4" ht="15.75" customHeight="1">
      <c r="A778" s="24"/>
      <c r="C778" s="33"/>
      <c r="D778" s="21"/>
    </row>
    <row r="779" spans="1:4" ht="15.75" customHeight="1">
      <c r="A779" s="24"/>
      <c r="C779" s="33"/>
      <c r="D779" s="21"/>
    </row>
    <row r="780" spans="1:4" ht="15.75" customHeight="1">
      <c r="A780" s="24"/>
      <c r="C780" s="33"/>
      <c r="D780" s="21"/>
    </row>
    <row r="781" spans="1:4" ht="15.75" customHeight="1">
      <c r="A781" s="24"/>
      <c r="C781" s="33"/>
      <c r="D781" s="21"/>
    </row>
    <row r="782" spans="1:4" ht="15.75" customHeight="1">
      <c r="A782" s="24"/>
      <c r="C782" s="33"/>
      <c r="D782" s="21"/>
    </row>
    <row r="783" spans="1:4" ht="15.75" customHeight="1">
      <c r="A783" s="24"/>
      <c r="C783" s="33"/>
      <c r="D783" s="21"/>
    </row>
    <row r="784" spans="1:4" ht="15.75" customHeight="1">
      <c r="A784" s="24"/>
      <c r="C784" s="33"/>
      <c r="D784" s="21"/>
    </row>
    <row r="785" spans="1:4" ht="15.75" customHeight="1">
      <c r="A785" s="24"/>
      <c r="C785" s="33"/>
      <c r="D785" s="21"/>
    </row>
    <row r="786" spans="1:4" ht="15.75" customHeight="1">
      <c r="A786" s="24"/>
      <c r="C786" s="33"/>
      <c r="D786" s="21"/>
    </row>
    <row r="787" spans="1:4" ht="15.75" customHeight="1">
      <c r="A787" s="24"/>
      <c r="C787" s="33"/>
      <c r="D787" s="21"/>
    </row>
    <row r="788" spans="1:4" ht="15.75" customHeight="1">
      <c r="A788" s="24"/>
      <c r="C788" s="33"/>
      <c r="D788" s="21"/>
    </row>
    <row r="789" spans="1:4" ht="15.75" customHeight="1">
      <c r="A789" s="24"/>
      <c r="C789" s="33"/>
      <c r="D789" s="21"/>
    </row>
    <row r="790" spans="1:4" ht="15.75" customHeight="1">
      <c r="A790" s="24"/>
      <c r="C790" s="33"/>
      <c r="D790" s="21"/>
    </row>
    <row r="791" spans="1:4" ht="15.75" customHeight="1">
      <c r="A791" s="24"/>
      <c r="C791" s="33"/>
      <c r="D791" s="21"/>
    </row>
    <row r="792" spans="1:4" ht="15.75" customHeight="1">
      <c r="A792" s="24"/>
      <c r="C792" s="33"/>
      <c r="D792" s="21"/>
    </row>
    <row r="793" spans="1:4" ht="15.75" customHeight="1">
      <c r="A793" s="24"/>
      <c r="C793" s="33"/>
      <c r="D793" s="21"/>
    </row>
    <row r="794" spans="1:4" ht="15.75" customHeight="1">
      <c r="A794" s="24"/>
      <c r="C794" s="33"/>
      <c r="D794" s="21"/>
    </row>
    <row r="795" spans="1:4" ht="15.75" customHeight="1">
      <c r="A795" s="24"/>
      <c r="C795" s="33"/>
      <c r="D795" s="21"/>
    </row>
    <row r="796" spans="1:4" ht="15.75" customHeight="1">
      <c r="A796" s="24"/>
      <c r="C796" s="33"/>
      <c r="D796" s="21"/>
    </row>
    <row r="797" spans="1:4" ht="15.75" customHeight="1">
      <c r="A797" s="24"/>
      <c r="C797" s="33"/>
      <c r="D797" s="21"/>
    </row>
    <row r="798" spans="1:4" ht="15.75" customHeight="1">
      <c r="A798" s="24"/>
      <c r="C798" s="33"/>
      <c r="D798" s="21"/>
    </row>
    <row r="799" spans="1:4" ht="15.75" customHeight="1">
      <c r="A799" s="24"/>
      <c r="C799" s="33"/>
      <c r="D799" s="21"/>
    </row>
    <row r="800" spans="1:4" ht="15.75" customHeight="1">
      <c r="A800" s="24"/>
      <c r="C800" s="33"/>
      <c r="D800" s="21"/>
    </row>
    <row r="801" spans="1:4" ht="15.75" customHeight="1">
      <c r="A801" s="24"/>
      <c r="C801" s="33"/>
      <c r="D801" s="21"/>
    </row>
    <row r="802" spans="1:4" ht="15.75" customHeight="1">
      <c r="A802" s="24"/>
      <c r="C802" s="33"/>
      <c r="D802" s="21"/>
    </row>
    <row r="803" spans="1:4" ht="15.75" customHeight="1">
      <c r="A803" s="24"/>
      <c r="C803" s="33"/>
      <c r="D803" s="21"/>
    </row>
    <row r="804" spans="1:4" ht="15.75" customHeight="1">
      <c r="A804" s="24"/>
      <c r="C804" s="33"/>
      <c r="D804" s="21"/>
    </row>
    <row r="805" spans="1:4" ht="15.75" customHeight="1">
      <c r="A805" s="24"/>
      <c r="C805" s="33"/>
      <c r="D805" s="21"/>
    </row>
    <row r="806" spans="1:4" ht="15.75" customHeight="1">
      <c r="A806" s="24"/>
      <c r="C806" s="33"/>
      <c r="D806" s="21"/>
    </row>
    <row r="807" spans="1:4" ht="15.75" customHeight="1">
      <c r="A807" s="24"/>
      <c r="C807" s="33"/>
      <c r="D807" s="21"/>
    </row>
    <row r="808" spans="1:4" ht="15.75" customHeight="1">
      <c r="A808" s="24"/>
      <c r="C808" s="33"/>
      <c r="D808" s="21"/>
    </row>
    <row r="809" spans="1:4" ht="15.75" customHeight="1">
      <c r="A809" s="24"/>
      <c r="C809" s="33"/>
      <c r="D809" s="21"/>
    </row>
    <row r="810" spans="1:4" ht="15.75" customHeight="1">
      <c r="A810" s="24"/>
      <c r="C810" s="33"/>
      <c r="D810" s="21"/>
    </row>
    <row r="811" spans="1:4" ht="15.75" customHeight="1">
      <c r="A811" s="24"/>
      <c r="C811" s="33"/>
      <c r="D811" s="21"/>
    </row>
    <row r="812" spans="1:4" ht="15.75" customHeight="1">
      <c r="A812" s="24"/>
      <c r="C812" s="33"/>
      <c r="D812" s="21"/>
    </row>
    <row r="813" spans="1:4" ht="15.75" customHeight="1">
      <c r="A813" s="24"/>
      <c r="C813" s="33"/>
      <c r="D813" s="21"/>
    </row>
    <row r="814" spans="1:4" ht="15.75" customHeight="1">
      <c r="A814" s="24"/>
      <c r="C814" s="33"/>
      <c r="D814" s="21"/>
    </row>
    <row r="815" spans="1:4" ht="15.75" customHeight="1">
      <c r="A815" s="24"/>
      <c r="C815" s="33"/>
      <c r="D815" s="21"/>
    </row>
    <row r="816" spans="1:4" ht="15.75" customHeight="1">
      <c r="A816" s="24"/>
      <c r="C816" s="33"/>
      <c r="D816" s="21"/>
    </row>
    <row r="817" spans="1:4" ht="15.75" customHeight="1">
      <c r="A817" s="24"/>
      <c r="C817" s="33"/>
      <c r="D817" s="21"/>
    </row>
    <row r="818" spans="1:4" ht="15.75" customHeight="1">
      <c r="A818" s="24"/>
      <c r="C818" s="33"/>
      <c r="D818" s="21"/>
    </row>
    <row r="819" spans="1:4" ht="15.75" customHeight="1">
      <c r="A819" s="24"/>
      <c r="C819" s="33"/>
      <c r="D819" s="21"/>
    </row>
    <row r="820" spans="1:4" ht="15.75" customHeight="1">
      <c r="A820" s="24"/>
      <c r="C820" s="33"/>
      <c r="D820" s="21"/>
    </row>
    <row r="821" spans="1:4" ht="15.75" customHeight="1">
      <c r="A821" s="24"/>
      <c r="C821" s="33"/>
      <c r="D821" s="21"/>
    </row>
    <row r="822" spans="1:4" ht="15.75" customHeight="1">
      <c r="A822" s="24"/>
      <c r="C822" s="33"/>
      <c r="D822" s="21"/>
    </row>
    <row r="823" spans="1:4" ht="15.75" customHeight="1">
      <c r="A823" s="24"/>
      <c r="C823" s="33"/>
      <c r="D823" s="21"/>
    </row>
    <row r="824" spans="1:4" ht="15.75" customHeight="1">
      <c r="A824" s="24"/>
      <c r="C824" s="33"/>
      <c r="D824" s="21"/>
    </row>
    <row r="825" spans="1:4" ht="15.75" customHeight="1">
      <c r="A825" s="24"/>
      <c r="C825" s="33"/>
      <c r="D825" s="21"/>
    </row>
    <row r="826" spans="1:4" ht="15.75" customHeight="1">
      <c r="A826" s="24"/>
      <c r="C826" s="33"/>
      <c r="D826" s="21"/>
    </row>
    <row r="827" spans="1:4" ht="15.75" customHeight="1">
      <c r="A827" s="24"/>
      <c r="C827" s="33"/>
      <c r="D827" s="21"/>
    </row>
    <row r="828" spans="1:4" ht="15.75" customHeight="1">
      <c r="A828" s="24"/>
      <c r="C828" s="33"/>
      <c r="D828" s="21"/>
    </row>
    <row r="829" spans="1:4" ht="15.75" customHeight="1">
      <c r="A829" s="24"/>
      <c r="C829" s="33"/>
      <c r="D829" s="21"/>
    </row>
    <row r="830" spans="1:4" ht="15.75" customHeight="1">
      <c r="A830" s="24"/>
      <c r="C830" s="33"/>
      <c r="D830" s="21"/>
    </row>
    <row r="831" spans="1:4" ht="15.75" customHeight="1">
      <c r="A831" s="24"/>
      <c r="C831" s="33"/>
      <c r="D831" s="21"/>
    </row>
    <row r="832" spans="1:4" ht="15.75" customHeight="1">
      <c r="A832" s="24"/>
      <c r="C832" s="33"/>
      <c r="D832" s="21"/>
    </row>
    <row r="833" spans="1:4" ht="15.75" customHeight="1">
      <c r="A833" s="24"/>
      <c r="C833" s="33"/>
      <c r="D833" s="21"/>
    </row>
    <row r="834" spans="1:4" ht="15.75" customHeight="1">
      <c r="A834" s="24"/>
      <c r="C834" s="33"/>
      <c r="D834" s="21"/>
    </row>
    <row r="835" spans="1:4" ht="15.75" customHeight="1">
      <c r="A835" s="24"/>
      <c r="C835" s="33"/>
      <c r="D835" s="21"/>
    </row>
    <row r="836" spans="1:4" ht="15.75" customHeight="1">
      <c r="A836" s="24"/>
      <c r="C836" s="33"/>
      <c r="D836" s="21"/>
    </row>
    <row r="837" spans="1:4" ht="15.75" customHeight="1">
      <c r="A837" s="24"/>
      <c r="C837" s="33"/>
      <c r="D837" s="21"/>
    </row>
    <row r="838" spans="1:4" ht="15.75" customHeight="1">
      <c r="A838" s="24"/>
      <c r="C838" s="33"/>
      <c r="D838" s="21"/>
    </row>
    <row r="839" spans="1:4" ht="15.75" customHeight="1">
      <c r="A839" s="24"/>
      <c r="C839" s="33"/>
      <c r="D839" s="21"/>
    </row>
    <row r="840" spans="1:4" ht="15.75" customHeight="1">
      <c r="A840" s="24"/>
      <c r="C840" s="33"/>
      <c r="D840" s="21"/>
    </row>
    <row r="841" spans="1:4" ht="15.75" customHeight="1">
      <c r="A841" s="24"/>
      <c r="C841" s="33"/>
      <c r="D841" s="21"/>
    </row>
    <row r="842" spans="1:4" ht="15.75" customHeight="1">
      <c r="A842" s="24"/>
      <c r="C842" s="33"/>
      <c r="D842" s="21"/>
    </row>
    <row r="843" spans="1:4" ht="15.75" customHeight="1">
      <c r="A843" s="24"/>
      <c r="C843" s="33"/>
      <c r="D843" s="21"/>
    </row>
    <row r="844" spans="1:4" ht="15.75" customHeight="1">
      <c r="A844" s="24"/>
      <c r="C844" s="33"/>
      <c r="D844" s="21"/>
    </row>
    <row r="845" spans="1:4" ht="15.75" customHeight="1">
      <c r="A845" s="24"/>
      <c r="C845" s="33"/>
      <c r="D845" s="21"/>
    </row>
    <row r="846" spans="1:4" ht="15.75" customHeight="1">
      <c r="A846" s="24"/>
      <c r="C846" s="33"/>
      <c r="D846" s="21"/>
    </row>
    <row r="847" spans="1:4" ht="15.75" customHeight="1">
      <c r="A847" s="24"/>
      <c r="C847" s="33"/>
      <c r="D847" s="21"/>
    </row>
    <row r="848" spans="1:4" ht="15.75" customHeight="1">
      <c r="A848" s="24"/>
      <c r="C848" s="33"/>
      <c r="D848" s="21"/>
    </row>
    <row r="849" spans="1:4" ht="15.75" customHeight="1">
      <c r="A849" s="24"/>
      <c r="C849" s="33"/>
      <c r="D849" s="21"/>
    </row>
    <row r="850" spans="1:4" ht="15.75" customHeight="1">
      <c r="A850" s="24"/>
      <c r="C850" s="33"/>
      <c r="D850" s="21"/>
    </row>
    <row r="851" spans="1:4" ht="15.75" customHeight="1">
      <c r="A851" s="24"/>
      <c r="C851" s="33"/>
      <c r="D851" s="21"/>
    </row>
    <row r="852" spans="1:4" ht="15.75" customHeight="1">
      <c r="A852" s="24"/>
      <c r="C852" s="33"/>
      <c r="D852" s="21"/>
    </row>
    <row r="853" spans="1:4" ht="15.75" customHeight="1">
      <c r="A853" s="24"/>
      <c r="C853" s="33"/>
      <c r="D853" s="21"/>
    </row>
    <row r="854" spans="1:4" ht="15.75" customHeight="1">
      <c r="A854" s="24"/>
      <c r="C854" s="33"/>
      <c r="D854" s="21"/>
    </row>
    <row r="855" spans="1:4" ht="15.75" customHeight="1">
      <c r="A855" s="24"/>
      <c r="C855" s="33"/>
      <c r="D855" s="21"/>
    </row>
    <row r="856" spans="1:4" ht="15.75" customHeight="1">
      <c r="A856" s="24"/>
      <c r="C856" s="33"/>
      <c r="D856" s="21"/>
    </row>
    <row r="857" spans="1:4" ht="15.75" customHeight="1">
      <c r="A857" s="24"/>
      <c r="C857" s="33"/>
      <c r="D857" s="21"/>
    </row>
    <row r="858" spans="1:4" ht="15.75" customHeight="1">
      <c r="A858" s="24"/>
      <c r="C858" s="33"/>
      <c r="D858" s="21"/>
    </row>
    <row r="859" spans="1:4" ht="15.75" customHeight="1">
      <c r="A859" s="24"/>
      <c r="C859" s="33"/>
      <c r="D859" s="21"/>
    </row>
    <row r="860" spans="1:4" ht="15.75" customHeight="1">
      <c r="A860" s="24"/>
      <c r="C860" s="33"/>
      <c r="D860" s="21"/>
    </row>
    <row r="861" spans="1:4" ht="15.75" customHeight="1">
      <c r="A861" s="24"/>
      <c r="C861" s="33"/>
      <c r="D861" s="21"/>
    </row>
    <row r="862" spans="1:4" ht="15.75" customHeight="1">
      <c r="A862" s="24"/>
      <c r="C862" s="33"/>
      <c r="D862" s="21"/>
    </row>
    <row r="863" spans="1:4" ht="15.75" customHeight="1">
      <c r="A863" s="24"/>
      <c r="C863" s="33"/>
      <c r="D863" s="21"/>
    </row>
    <row r="864" spans="1:4" ht="15.75" customHeight="1">
      <c r="A864" s="24"/>
      <c r="C864" s="33"/>
      <c r="D864" s="21"/>
    </row>
    <row r="865" spans="1:4" ht="15.75" customHeight="1">
      <c r="A865" s="24"/>
      <c r="C865" s="33"/>
      <c r="D865" s="21"/>
    </row>
    <row r="866" spans="1:4" ht="15.75" customHeight="1">
      <c r="A866" s="24"/>
      <c r="C866" s="33"/>
      <c r="D866" s="21"/>
    </row>
    <row r="867" spans="1:4" ht="15.75" customHeight="1">
      <c r="A867" s="24"/>
      <c r="C867" s="33"/>
      <c r="D867" s="21"/>
    </row>
    <row r="868" spans="1:4" ht="15.75" customHeight="1">
      <c r="A868" s="24"/>
      <c r="C868" s="33"/>
      <c r="D868" s="21"/>
    </row>
    <row r="869" spans="1:4" ht="15.75" customHeight="1">
      <c r="A869" s="24"/>
      <c r="C869" s="33"/>
      <c r="D869" s="21"/>
    </row>
    <row r="870" spans="1:4" ht="15.75" customHeight="1">
      <c r="A870" s="24"/>
      <c r="C870" s="33"/>
      <c r="D870" s="21"/>
    </row>
    <row r="871" spans="1:4" ht="15.75" customHeight="1">
      <c r="A871" s="24"/>
      <c r="C871" s="33"/>
      <c r="D871" s="21"/>
    </row>
    <row r="872" spans="1:4" ht="15.75" customHeight="1">
      <c r="A872" s="24"/>
      <c r="C872" s="33"/>
      <c r="D872" s="21"/>
    </row>
    <row r="873" spans="1:4" ht="15.75" customHeight="1">
      <c r="A873" s="24"/>
      <c r="C873" s="33"/>
      <c r="D873" s="21"/>
    </row>
    <row r="874" spans="1:4" ht="15.75" customHeight="1">
      <c r="A874" s="24"/>
      <c r="C874" s="33"/>
      <c r="D874" s="21"/>
    </row>
    <row r="875" spans="1:4" ht="15.75" customHeight="1">
      <c r="A875" s="24"/>
      <c r="C875" s="33"/>
      <c r="D875" s="21"/>
    </row>
    <row r="876" spans="1:4" ht="15.75" customHeight="1">
      <c r="A876" s="24"/>
      <c r="C876" s="33"/>
      <c r="D876" s="21"/>
    </row>
    <row r="877" spans="1:4" ht="15.75" customHeight="1">
      <c r="A877" s="24"/>
      <c r="C877" s="33"/>
      <c r="D877" s="21"/>
    </row>
    <row r="878" spans="1:4" ht="15.75" customHeight="1">
      <c r="A878" s="24"/>
      <c r="C878" s="33"/>
      <c r="D878" s="21"/>
    </row>
    <row r="879" spans="1:4" ht="15.75" customHeight="1">
      <c r="A879" s="24"/>
      <c r="C879" s="33"/>
      <c r="D879" s="21"/>
    </row>
    <row r="880" spans="1:4" ht="15.75" customHeight="1">
      <c r="A880" s="24"/>
      <c r="C880" s="33"/>
      <c r="D880" s="21"/>
    </row>
    <row r="881" spans="1:4" ht="15.75" customHeight="1">
      <c r="A881" s="24"/>
      <c r="C881" s="33"/>
      <c r="D881" s="21"/>
    </row>
    <row r="882" spans="1:4" ht="15.75" customHeight="1">
      <c r="A882" s="24"/>
      <c r="C882" s="33"/>
      <c r="D882" s="21"/>
    </row>
    <row r="883" spans="1:4" ht="15.75" customHeight="1">
      <c r="A883" s="24"/>
      <c r="C883" s="33"/>
      <c r="D883" s="21"/>
    </row>
    <row r="884" spans="1:4" ht="15.75" customHeight="1">
      <c r="A884" s="24"/>
      <c r="C884" s="33"/>
      <c r="D884" s="21"/>
    </row>
    <row r="885" spans="1:4" ht="15.75" customHeight="1">
      <c r="A885" s="24"/>
      <c r="C885" s="33"/>
      <c r="D885" s="21"/>
    </row>
    <row r="886" spans="1:4" ht="15.75" customHeight="1">
      <c r="A886" s="24"/>
      <c r="C886" s="33"/>
      <c r="D886" s="21"/>
    </row>
    <row r="887" spans="1:4" ht="15.75" customHeight="1">
      <c r="A887" s="24"/>
      <c r="C887" s="33"/>
      <c r="D887" s="21"/>
    </row>
    <row r="888" spans="1:4" ht="15.75" customHeight="1">
      <c r="A888" s="24"/>
      <c r="C888" s="33"/>
      <c r="D888" s="21"/>
    </row>
    <row r="889" spans="1:4" ht="15.75" customHeight="1">
      <c r="A889" s="24"/>
      <c r="C889" s="33"/>
      <c r="D889" s="21"/>
    </row>
    <row r="890" spans="1:4" ht="15.75" customHeight="1">
      <c r="A890" s="24"/>
      <c r="C890" s="33"/>
      <c r="D890" s="21"/>
    </row>
    <row r="891" spans="1:4" ht="15.75" customHeight="1">
      <c r="A891" s="24"/>
      <c r="C891" s="33"/>
      <c r="D891" s="21"/>
    </row>
    <row r="892" spans="1:4" ht="15.75" customHeight="1">
      <c r="A892" s="24"/>
      <c r="C892" s="33"/>
      <c r="D892" s="21"/>
    </row>
    <row r="893" spans="1:4" ht="15.75" customHeight="1">
      <c r="A893" s="24"/>
      <c r="C893" s="33"/>
      <c r="D893" s="21"/>
    </row>
    <row r="894" spans="1:4" ht="15.75" customHeight="1">
      <c r="A894" s="24"/>
      <c r="C894" s="33"/>
      <c r="D894" s="21"/>
    </row>
    <row r="895" spans="1:4" ht="15.75" customHeight="1">
      <c r="A895" s="24"/>
      <c r="C895" s="33"/>
      <c r="D895" s="21"/>
    </row>
    <row r="896" spans="1:4" ht="15.75" customHeight="1">
      <c r="A896" s="24"/>
      <c r="C896" s="33"/>
      <c r="D896" s="21"/>
    </row>
    <row r="897" spans="1:4" ht="15.75" customHeight="1">
      <c r="A897" s="24"/>
      <c r="C897" s="33"/>
      <c r="D897" s="21"/>
    </row>
    <row r="898" spans="1:4" ht="15.75" customHeight="1">
      <c r="A898" s="24"/>
      <c r="C898" s="33"/>
      <c r="D898" s="21"/>
    </row>
    <row r="899" spans="1:4" ht="15.75" customHeight="1">
      <c r="A899" s="24"/>
      <c r="C899" s="33"/>
      <c r="D899" s="21"/>
    </row>
    <row r="900" spans="1:4" ht="15.75" customHeight="1">
      <c r="A900" s="24"/>
      <c r="C900" s="33"/>
      <c r="D900" s="21"/>
    </row>
    <row r="901" spans="1:4" ht="15.75" customHeight="1">
      <c r="A901" s="24"/>
      <c r="C901" s="33"/>
      <c r="D901" s="21"/>
    </row>
    <row r="902" spans="1:4" ht="15.75" customHeight="1">
      <c r="A902" s="24"/>
      <c r="C902" s="33"/>
      <c r="D902" s="21"/>
    </row>
    <row r="903" spans="1:4" ht="15.75" customHeight="1">
      <c r="A903" s="24"/>
      <c r="C903" s="33"/>
      <c r="D903" s="21"/>
    </row>
    <row r="904" spans="1:4" ht="15.75" customHeight="1">
      <c r="A904" s="24"/>
      <c r="C904" s="33"/>
      <c r="D904" s="21"/>
    </row>
    <row r="905" spans="1:4" ht="15.75" customHeight="1">
      <c r="A905" s="24"/>
      <c r="C905" s="33"/>
      <c r="D905" s="21"/>
    </row>
    <row r="906" spans="1:4" ht="15.75" customHeight="1">
      <c r="A906" s="24"/>
      <c r="C906" s="33"/>
      <c r="D906" s="21"/>
    </row>
    <row r="907" spans="1:4" ht="15.75" customHeight="1">
      <c r="A907" s="24"/>
      <c r="C907" s="33"/>
      <c r="D907" s="21"/>
    </row>
    <row r="908" spans="1:4" ht="15.75" customHeight="1">
      <c r="A908" s="24"/>
      <c r="C908" s="33"/>
      <c r="D908" s="21"/>
    </row>
    <row r="909" spans="1:4" ht="15.75" customHeight="1">
      <c r="A909" s="24"/>
      <c r="C909" s="33"/>
      <c r="D909" s="21"/>
    </row>
    <row r="910" spans="1:4" ht="15.75" customHeight="1">
      <c r="A910" s="24"/>
      <c r="C910" s="33"/>
      <c r="D910" s="21"/>
    </row>
    <row r="911" spans="1:4" ht="15.75" customHeight="1">
      <c r="A911" s="24"/>
      <c r="C911" s="33"/>
      <c r="D911" s="21"/>
    </row>
    <row r="912" spans="1:4" ht="15.75" customHeight="1">
      <c r="A912" s="24"/>
      <c r="C912" s="33"/>
      <c r="D912" s="21"/>
    </row>
    <row r="913" spans="1:4" ht="15.75" customHeight="1">
      <c r="A913" s="24"/>
      <c r="C913" s="33"/>
      <c r="D913" s="21"/>
    </row>
    <row r="914" spans="1:4" ht="15.75" customHeight="1">
      <c r="A914" s="24"/>
      <c r="C914" s="33"/>
      <c r="D914" s="21"/>
    </row>
    <row r="915" spans="1:4" ht="15.75" customHeight="1">
      <c r="A915" s="24"/>
      <c r="C915" s="33"/>
      <c r="D915" s="21"/>
    </row>
    <row r="916" spans="1:4" ht="15.75" customHeight="1">
      <c r="A916" s="24"/>
      <c r="C916" s="33"/>
      <c r="D916" s="21"/>
    </row>
    <row r="917" spans="1:4" ht="15.75" customHeight="1">
      <c r="A917" s="24"/>
      <c r="C917" s="33"/>
      <c r="D917" s="21"/>
    </row>
    <row r="918" spans="1:4" ht="15.75" customHeight="1">
      <c r="A918" s="24"/>
      <c r="C918" s="33"/>
      <c r="D918" s="21"/>
    </row>
    <row r="919" spans="1:4" ht="15.75" customHeight="1">
      <c r="A919" s="24"/>
      <c r="C919" s="33"/>
      <c r="D919" s="21"/>
    </row>
    <row r="920" spans="1:4" ht="15.75" customHeight="1">
      <c r="A920" s="24"/>
      <c r="C920" s="33"/>
      <c r="D920" s="21"/>
    </row>
    <row r="921" spans="1:4" ht="15.75" customHeight="1">
      <c r="A921" s="24"/>
      <c r="C921" s="33"/>
      <c r="D921" s="21"/>
    </row>
    <row r="922" spans="1:4" ht="15.75" customHeight="1">
      <c r="A922" s="24"/>
      <c r="C922" s="33"/>
      <c r="D922" s="21"/>
    </row>
    <row r="923" spans="1:4" ht="15.75" customHeight="1">
      <c r="A923" s="24"/>
      <c r="C923" s="33"/>
      <c r="D923" s="21"/>
    </row>
    <row r="924" spans="1:4" ht="15.75" customHeight="1">
      <c r="A924" s="24"/>
      <c r="C924" s="33"/>
      <c r="D924" s="21"/>
    </row>
    <row r="925" spans="1:4" ht="15.75" customHeight="1">
      <c r="A925" s="24"/>
      <c r="C925" s="33"/>
      <c r="D925" s="21"/>
    </row>
    <row r="926" spans="1:4" ht="15.75" customHeight="1">
      <c r="A926" s="24"/>
      <c r="C926" s="33"/>
      <c r="D926" s="21"/>
    </row>
    <row r="927" spans="1:4" ht="15.75" customHeight="1">
      <c r="A927" s="24"/>
      <c r="C927" s="33"/>
      <c r="D927" s="21"/>
    </row>
    <row r="928" spans="1:4" ht="15.75" customHeight="1">
      <c r="A928" s="24"/>
      <c r="C928" s="33"/>
      <c r="D928" s="21"/>
    </row>
    <row r="929" spans="1:4" ht="15.75" customHeight="1">
      <c r="A929" s="24"/>
      <c r="C929" s="33"/>
      <c r="D929" s="21"/>
    </row>
    <row r="930" spans="1:4" ht="15.75" customHeight="1">
      <c r="A930" s="24"/>
      <c r="C930" s="33"/>
      <c r="D930" s="21"/>
    </row>
    <row r="931" spans="1:4" ht="15.75" customHeight="1">
      <c r="A931" s="24"/>
      <c r="C931" s="33"/>
      <c r="D931" s="21"/>
    </row>
    <row r="932" spans="1:4" ht="15.75" customHeight="1">
      <c r="A932" s="24"/>
      <c r="C932" s="33"/>
      <c r="D932" s="21"/>
    </row>
    <row r="933" spans="1:4" ht="15.75" customHeight="1">
      <c r="A933" s="24"/>
      <c r="C933" s="33"/>
      <c r="D933" s="21"/>
    </row>
    <row r="934" spans="1:4" ht="15.75" customHeight="1">
      <c r="A934" s="24"/>
      <c r="C934" s="33"/>
      <c r="D934" s="21"/>
    </row>
    <row r="935" spans="1:4" ht="15.75" customHeight="1">
      <c r="A935" s="24"/>
      <c r="C935" s="33"/>
      <c r="D935" s="21"/>
    </row>
    <row r="936" spans="1:4" ht="15.75" customHeight="1">
      <c r="A936" s="24"/>
      <c r="C936" s="33"/>
      <c r="D936" s="21"/>
    </row>
    <row r="937" spans="1:4" ht="15.75" customHeight="1">
      <c r="A937" s="24"/>
      <c r="C937" s="33"/>
      <c r="D937" s="21"/>
    </row>
    <row r="938" spans="1:4" ht="15.75" customHeight="1">
      <c r="A938" s="24"/>
      <c r="C938" s="33"/>
      <c r="D938" s="21"/>
    </row>
    <row r="939" spans="1:4" ht="15.75" customHeight="1">
      <c r="A939" s="24"/>
      <c r="C939" s="33"/>
      <c r="D939" s="21"/>
    </row>
    <row r="940" spans="1:4" ht="15.75" customHeight="1">
      <c r="A940" s="24"/>
      <c r="C940" s="33"/>
      <c r="D940" s="21"/>
    </row>
    <row r="941" spans="1:4" ht="15.75" customHeight="1">
      <c r="A941" s="24"/>
      <c r="C941" s="33"/>
      <c r="D941" s="21"/>
    </row>
    <row r="942" spans="1:4" ht="15.75" customHeight="1">
      <c r="A942" s="24"/>
      <c r="C942" s="33"/>
      <c r="D942" s="21"/>
    </row>
    <row r="943" spans="1:4" ht="15.75" customHeight="1">
      <c r="A943" s="24"/>
      <c r="C943" s="33"/>
      <c r="D943" s="21"/>
    </row>
    <row r="944" spans="1:4" ht="15.75" customHeight="1">
      <c r="A944" s="24"/>
      <c r="C944" s="33"/>
      <c r="D944" s="21"/>
    </row>
    <row r="945" spans="1:4" ht="15.75" customHeight="1">
      <c r="A945" s="24"/>
      <c r="C945" s="33"/>
      <c r="D945" s="21"/>
    </row>
    <row r="946" spans="1:4" ht="15.75" customHeight="1">
      <c r="A946" s="24"/>
      <c r="C946" s="33"/>
      <c r="D946" s="21"/>
    </row>
    <row r="947" spans="1:4" ht="15.75" customHeight="1">
      <c r="A947" s="24"/>
      <c r="C947" s="33"/>
      <c r="D947" s="21"/>
    </row>
    <row r="948" spans="1:4" ht="15.75" customHeight="1">
      <c r="A948" s="24"/>
      <c r="C948" s="33"/>
      <c r="D948" s="21"/>
    </row>
    <row r="949" spans="1:4" ht="15.75" customHeight="1">
      <c r="A949" s="24"/>
      <c r="C949" s="33"/>
      <c r="D949" s="21"/>
    </row>
    <row r="950" spans="1:4" ht="15.75" customHeight="1">
      <c r="A950" s="24"/>
      <c r="C950" s="33"/>
      <c r="D950" s="21"/>
    </row>
    <row r="951" spans="1:4" ht="15.75" customHeight="1">
      <c r="A951" s="24"/>
      <c r="C951" s="33"/>
      <c r="D951" s="21"/>
    </row>
    <row r="952" spans="1:4" ht="15.75" customHeight="1">
      <c r="A952" s="24"/>
      <c r="C952" s="33"/>
      <c r="D952" s="21"/>
    </row>
    <row r="953" spans="1:4" ht="15.75" customHeight="1">
      <c r="A953" s="24"/>
      <c r="C953" s="33"/>
      <c r="D953" s="21"/>
    </row>
    <row r="954" spans="1:4" ht="15.75" customHeight="1">
      <c r="A954" s="24"/>
      <c r="C954" s="33"/>
      <c r="D954" s="21"/>
    </row>
    <row r="955" spans="1:4" ht="15.75" customHeight="1">
      <c r="A955" s="24"/>
      <c r="C955" s="33"/>
      <c r="D955" s="21"/>
    </row>
    <row r="956" spans="1:4" ht="15.75" customHeight="1">
      <c r="A956" s="24"/>
      <c r="C956" s="33"/>
      <c r="D956" s="21"/>
    </row>
    <row r="957" spans="1:4" ht="15.75" customHeight="1">
      <c r="A957" s="24"/>
      <c r="C957" s="33"/>
      <c r="D957" s="21"/>
    </row>
    <row r="958" spans="1:4" ht="15.75" customHeight="1">
      <c r="A958" s="24"/>
      <c r="C958" s="33"/>
      <c r="D958" s="21"/>
    </row>
    <row r="959" spans="1:4" ht="15.75" customHeight="1">
      <c r="A959" s="24"/>
      <c r="C959" s="33"/>
      <c r="D959" s="21"/>
    </row>
    <row r="960" spans="1:4" ht="15.75" customHeight="1">
      <c r="A960" s="24"/>
      <c r="C960" s="33"/>
      <c r="D960" s="21"/>
    </row>
    <row r="961" spans="1:4" ht="15.75" customHeight="1">
      <c r="A961" s="24"/>
      <c r="C961" s="33"/>
      <c r="D961" s="21"/>
    </row>
    <row r="962" spans="1:4" ht="15.75" customHeight="1">
      <c r="A962" s="24"/>
      <c r="C962" s="33"/>
      <c r="D962" s="21"/>
    </row>
    <row r="963" spans="1:4" ht="15.75" customHeight="1">
      <c r="A963" s="24"/>
      <c r="C963" s="33"/>
      <c r="D963" s="21"/>
    </row>
    <row r="964" spans="1:4" ht="15.75" customHeight="1">
      <c r="A964" s="24"/>
      <c r="C964" s="33"/>
      <c r="D964" s="21"/>
    </row>
    <row r="965" spans="1:4" ht="15.75" customHeight="1">
      <c r="A965" s="24"/>
      <c r="C965" s="33"/>
      <c r="D965" s="21"/>
    </row>
    <row r="966" spans="1:4" ht="15.75" customHeight="1">
      <c r="A966" s="24"/>
      <c r="C966" s="33"/>
      <c r="D966" s="21"/>
    </row>
    <row r="967" spans="1:4" ht="15.75" customHeight="1">
      <c r="A967" s="24"/>
      <c r="C967" s="33"/>
      <c r="D967" s="21"/>
    </row>
    <row r="968" spans="1:4" ht="15.75" customHeight="1">
      <c r="A968" s="24"/>
      <c r="C968" s="33"/>
      <c r="D968" s="21"/>
    </row>
    <row r="969" spans="1:4" ht="15.75" customHeight="1">
      <c r="A969" s="24"/>
      <c r="C969" s="33"/>
      <c r="D969" s="21"/>
    </row>
    <row r="970" spans="1:4" ht="15.75" customHeight="1">
      <c r="A970" s="24"/>
      <c r="C970" s="33"/>
      <c r="D970" s="21"/>
    </row>
    <row r="971" spans="1:4" ht="15.75" customHeight="1">
      <c r="A971" s="24"/>
      <c r="C971" s="33"/>
      <c r="D971" s="21"/>
    </row>
    <row r="972" spans="1:4" ht="15.75" customHeight="1">
      <c r="A972" s="24"/>
      <c r="C972" s="33"/>
      <c r="D972" s="21"/>
    </row>
    <row r="973" spans="1:4" ht="15.75" customHeight="1">
      <c r="A973" s="24"/>
      <c r="C973" s="33"/>
      <c r="D973" s="21"/>
    </row>
    <row r="974" spans="1:4" ht="15.75" customHeight="1">
      <c r="A974" s="24"/>
      <c r="C974" s="33"/>
      <c r="D974" s="21"/>
    </row>
    <row r="975" spans="1:4" ht="15.75" customHeight="1">
      <c r="A975" s="24"/>
      <c r="C975" s="33"/>
      <c r="D975" s="21"/>
    </row>
    <row r="976" spans="1:4" ht="15.75" customHeight="1">
      <c r="A976" s="24"/>
      <c r="C976" s="33"/>
      <c r="D976" s="21"/>
    </row>
    <row r="977" spans="1:4" ht="15.75" customHeight="1">
      <c r="A977" s="24"/>
      <c r="C977" s="33"/>
      <c r="D977" s="21"/>
    </row>
    <row r="978" spans="1:4" ht="15.75" customHeight="1">
      <c r="A978" s="24"/>
      <c r="C978" s="33"/>
      <c r="D978" s="21"/>
    </row>
    <row r="979" spans="1:4" ht="15.75" customHeight="1">
      <c r="A979" s="24"/>
      <c r="C979" s="33"/>
      <c r="D979" s="21"/>
    </row>
    <row r="980" spans="1:4" ht="15.75" customHeight="1">
      <c r="A980" s="24"/>
      <c r="C980" s="33"/>
      <c r="D980" s="21"/>
    </row>
    <row r="981" spans="1:4" ht="15.75" customHeight="1">
      <c r="A981" s="24"/>
      <c r="C981" s="33"/>
      <c r="D981" s="21"/>
    </row>
    <row r="982" spans="1:4" ht="15.75" customHeight="1">
      <c r="A982" s="24"/>
      <c r="C982" s="33"/>
      <c r="D982" s="21"/>
    </row>
    <row r="983" spans="1:4" ht="15.75" customHeight="1">
      <c r="A983" s="24"/>
      <c r="C983" s="33"/>
      <c r="D983" s="21"/>
    </row>
    <row r="984" spans="1:4" ht="15.75" customHeight="1">
      <c r="A984" s="24"/>
      <c r="C984" s="33"/>
      <c r="D984" s="21"/>
    </row>
    <row r="985" spans="1:4" ht="15.75" customHeight="1">
      <c r="A985" s="24"/>
      <c r="C985" s="33"/>
      <c r="D985" s="21"/>
    </row>
    <row r="986" spans="1:4" ht="15.75" customHeight="1">
      <c r="A986" s="24"/>
      <c r="C986" s="33"/>
      <c r="D986" s="21"/>
    </row>
    <row r="987" spans="1:4" ht="15.75" customHeight="1">
      <c r="A987" s="24"/>
      <c r="C987" s="33"/>
      <c r="D987" s="21"/>
    </row>
    <row r="988" spans="1:4" ht="15.75" customHeight="1">
      <c r="A988" s="24"/>
      <c r="C988" s="33"/>
      <c r="D988" s="21"/>
    </row>
    <row r="989" spans="1:4" ht="15.75" customHeight="1">
      <c r="A989" s="24"/>
      <c r="C989" s="33"/>
      <c r="D989" s="21"/>
    </row>
    <row r="990" spans="1:4" ht="15.75" customHeight="1">
      <c r="A990" s="24"/>
      <c r="C990" s="33"/>
      <c r="D990" s="21"/>
    </row>
    <row r="991" spans="1:4" ht="15.75" customHeight="1">
      <c r="A991" s="24"/>
      <c r="C991" s="33"/>
      <c r="D991" s="21"/>
    </row>
    <row r="992" spans="1:4" ht="15.75" customHeight="1">
      <c r="A992" s="24"/>
      <c r="C992" s="33"/>
      <c r="D992" s="21"/>
    </row>
    <row r="993" spans="1:4" ht="15.75" customHeight="1">
      <c r="A993" s="24"/>
      <c r="C993" s="33"/>
      <c r="D993" s="21"/>
    </row>
    <row r="994" spans="1:4" ht="15.75" customHeight="1">
      <c r="A994" s="24"/>
      <c r="C994" s="33"/>
      <c r="D994" s="21"/>
    </row>
    <row r="995" spans="1:4" ht="15.75" customHeight="1">
      <c r="A995" s="24"/>
      <c r="C995" s="33"/>
      <c r="D995" s="21"/>
    </row>
    <row r="996" spans="1:4" ht="15.75" customHeight="1">
      <c r="A996" s="24"/>
      <c r="C996" s="33"/>
      <c r="D996" s="21"/>
    </row>
    <row r="997" spans="1:4" ht="15.75" customHeight="1">
      <c r="A997" s="24"/>
      <c r="C997" s="33"/>
      <c r="D997" s="21"/>
    </row>
    <row r="998" spans="1:4" ht="15.75" customHeight="1">
      <c r="A998" s="24"/>
      <c r="C998" s="33"/>
      <c r="D998" s="21"/>
    </row>
    <row r="999" spans="1:4" ht="15.75" customHeight="1">
      <c r="A999" s="24"/>
      <c r="C999" s="33"/>
      <c r="D999" s="21"/>
    </row>
    <row r="1000" spans="1:4" ht="15.75" customHeight="1">
      <c r="A1000" s="24"/>
      <c r="C1000" s="33"/>
      <c r="D1000" s="2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D1000"/>
  <sheetViews>
    <sheetView workbookViewId="0">
      <selection activeCell="A7" sqref="A7"/>
    </sheetView>
  </sheetViews>
  <sheetFormatPr baseColWidth="10" defaultColWidth="12.6640625" defaultRowHeight="15" customHeight="1"/>
  <cols>
    <col min="1" max="6" width="12.6640625" customWidth="1"/>
  </cols>
  <sheetData>
    <row r="1" spans="1:4" ht="15.75" customHeight="1">
      <c r="A1" s="26" t="s">
        <v>0</v>
      </c>
      <c r="B1" s="9" t="s">
        <v>1</v>
      </c>
      <c r="C1" s="11" t="s">
        <v>357</v>
      </c>
      <c r="D1" s="11" t="s">
        <v>358</v>
      </c>
    </row>
    <row r="2" spans="1:4" ht="15.75" customHeight="1">
      <c r="A2" s="8">
        <v>10101</v>
      </c>
      <c r="B2" s="9" t="s">
        <v>16</v>
      </c>
      <c r="C2" s="10"/>
      <c r="D2" s="10"/>
    </row>
    <row r="3" spans="1:4" ht="15.75" customHeight="1">
      <c r="A3" s="8">
        <v>10102</v>
      </c>
      <c r="B3" s="9" t="s">
        <v>17</v>
      </c>
      <c r="C3" s="10"/>
      <c r="D3" s="10"/>
    </row>
    <row r="4" spans="1:4" ht="15.75" customHeight="1">
      <c r="A4" s="8">
        <v>10103</v>
      </c>
      <c r="B4" s="9" t="s">
        <v>18</v>
      </c>
      <c r="C4" s="10"/>
      <c r="D4" s="10"/>
    </row>
    <row r="5" spans="1:4" ht="15.75" customHeight="1">
      <c r="A5" s="8">
        <v>10201</v>
      </c>
      <c r="B5" s="9" t="s">
        <v>19</v>
      </c>
      <c r="C5" s="10"/>
      <c r="D5" s="10"/>
    </row>
    <row r="6" spans="1:4" ht="15.75" customHeight="1">
      <c r="A6" s="8">
        <v>10202</v>
      </c>
      <c r="B6" s="9" t="s">
        <v>20</v>
      </c>
      <c r="C6" s="10"/>
      <c r="D6" s="10"/>
    </row>
    <row r="7" spans="1:4" ht="15.75" customHeight="1">
      <c r="A7" s="8">
        <v>10301</v>
      </c>
      <c r="B7" s="9" t="s">
        <v>21</v>
      </c>
      <c r="C7" s="10"/>
      <c r="D7" s="10"/>
    </row>
    <row r="8" spans="1:4" ht="15.75" customHeight="1">
      <c r="A8" s="8">
        <v>10302</v>
      </c>
      <c r="B8" s="9" t="s">
        <v>22</v>
      </c>
      <c r="C8" s="10"/>
      <c r="D8" s="10"/>
    </row>
    <row r="9" spans="1:4" ht="15.75" customHeight="1">
      <c r="A9" s="8">
        <v>10303</v>
      </c>
      <c r="B9" s="9" t="s">
        <v>23</v>
      </c>
      <c r="C9" s="10"/>
      <c r="D9" s="10"/>
    </row>
    <row r="10" spans="1:4" ht="15.75" customHeight="1">
      <c r="A10" s="8">
        <v>10304</v>
      </c>
      <c r="B10" s="9" t="s">
        <v>24</v>
      </c>
      <c r="C10" s="10"/>
      <c r="D10" s="10"/>
    </row>
    <row r="11" spans="1:4" ht="15.75" customHeight="1">
      <c r="A11" s="8">
        <v>10401</v>
      </c>
      <c r="B11" s="9" t="s">
        <v>25</v>
      </c>
      <c r="C11" s="10"/>
      <c r="D11" s="10"/>
    </row>
    <row r="12" spans="1:4" ht="15.75" customHeight="1">
      <c r="A12" s="8">
        <v>10402</v>
      </c>
      <c r="B12" s="9" t="s">
        <v>26</v>
      </c>
      <c r="C12" s="10"/>
      <c r="D12" s="10"/>
    </row>
    <row r="13" spans="1:4" ht="15.75" customHeight="1">
      <c r="A13" s="8">
        <v>10403</v>
      </c>
      <c r="B13" s="9" t="s">
        <v>27</v>
      </c>
      <c r="C13" s="10"/>
      <c r="D13" s="10"/>
    </row>
    <row r="14" spans="1:4" ht="15.75" customHeight="1">
      <c r="A14" s="8">
        <v>10404</v>
      </c>
      <c r="B14" s="9" t="s">
        <v>28</v>
      </c>
      <c r="C14" s="10"/>
      <c r="D14" s="10"/>
    </row>
    <row r="15" spans="1:4" ht="15.75" customHeight="1">
      <c r="A15" s="8">
        <v>10405</v>
      </c>
      <c r="B15" s="9" t="s">
        <v>29</v>
      </c>
      <c r="C15" s="10"/>
      <c r="D15" s="10"/>
    </row>
    <row r="16" spans="1:4" ht="15.75" customHeight="1">
      <c r="A16" s="8">
        <v>10501</v>
      </c>
      <c r="B16" s="9" t="s">
        <v>30</v>
      </c>
      <c r="C16" s="10"/>
      <c r="D16" s="10"/>
    </row>
    <row r="17" spans="1:4" ht="15.75" customHeight="1">
      <c r="A17" s="8">
        <v>10502</v>
      </c>
      <c r="B17" s="9" t="s">
        <v>31</v>
      </c>
      <c r="C17" s="10"/>
      <c r="D17" s="10"/>
    </row>
    <row r="18" spans="1:4" ht="15.75" customHeight="1">
      <c r="A18" s="8">
        <v>10601</v>
      </c>
      <c r="B18" s="9" t="s">
        <v>32</v>
      </c>
      <c r="C18" s="10"/>
      <c r="D18" s="10"/>
    </row>
    <row r="19" spans="1:4" ht="15.75" customHeight="1">
      <c r="A19" s="8">
        <v>10602</v>
      </c>
      <c r="B19" s="9" t="s">
        <v>33</v>
      </c>
      <c r="C19" s="10"/>
      <c r="D19" s="10"/>
    </row>
    <row r="20" spans="1:4" ht="15.75" customHeight="1">
      <c r="A20" s="8">
        <v>10701</v>
      </c>
      <c r="B20" s="9" t="s">
        <v>34</v>
      </c>
      <c r="C20" s="10"/>
      <c r="D20" s="10"/>
    </row>
    <row r="21" spans="1:4" ht="15.75" customHeight="1">
      <c r="A21" s="8">
        <v>10702</v>
      </c>
      <c r="B21" s="9" t="s">
        <v>35</v>
      </c>
      <c r="C21" s="10"/>
      <c r="D21" s="10"/>
    </row>
    <row r="22" spans="1:4" ht="15.75" customHeight="1">
      <c r="A22" s="8">
        <v>10703</v>
      </c>
      <c r="B22" s="9" t="s">
        <v>36</v>
      </c>
      <c r="C22" s="10"/>
      <c r="D22" s="10"/>
    </row>
    <row r="23" spans="1:4" ht="15.75" customHeight="1">
      <c r="A23" s="8">
        <v>10704</v>
      </c>
      <c r="B23" s="9" t="s">
        <v>37</v>
      </c>
      <c r="C23" s="10"/>
      <c r="D23" s="10"/>
    </row>
    <row r="24" spans="1:4" ht="15.75" customHeight="1">
      <c r="A24" s="8">
        <v>10801</v>
      </c>
      <c r="B24" s="9" t="s">
        <v>38</v>
      </c>
      <c r="C24" s="10"/>
      <c r="D24" s="10"/>
    </row>
    <row r="25" spans="1:4" ht="15.75" customHeight="1">
      <c r="A25" s="8">
        <v>10901</v>
      </c>
      <c r="B25" s="9" t="s">
        <v>39</v>
      </c>
      <c r="C25" s="10"/>
      <c r="D25" s="10"/>
    </row>
    <row r="26" spans="1:4" ht="15.75" customHeight="1">
      <c r="A26" s="8">
        <v>10902</v>
      </c>
      <c r="B26" s="9" t="s">
        <v>40</v>
      </c>
      <c r="C26" s="10"/>
      <c r="D26" s="10"/>
    </row>
    <row r="27" spans="1:4" ht="15.75" customHeight="1">
      <c r="A27" s="8">
        <v>10903</v>
      </c>
      <c r="B27" s="9" t="s">
        <v>41</v>
      </c>
      <c r="C27" s="10"/>
      <c r="D27" s="10"/>
    </row>
    <row r="28" spans="1:4" ht="15.75" customHeight="1">
      <c r="A28" s="8">
        <v>11001</v>
      </c>
      <c r="B28" s="9" t="s">
        <v>42</v>
      </c>
      <c r="C28" s="10"/>
      <c r="D28" s="10"/>
    </row>
    <row r="29" spans="1:4" ht="15.75" customHeight="1">
      <c r="A29" s="8">
        <v>11002</v>
      </c>
      <c r="B29" s="9" t="s">
        <v>43</v>
      </c>
      <c r="C29" s="10"/>
      <c r="D29" s="10"/>
    </row>
    <row r="30" spans="1:4" ht="15.75" customHeight="1">
      <c r="A30" s="8">
        <v>11003</v>
      </c>
      <c r="B30" s="9" t="s">
        <v>44</v>
      </c>
      <c r="C30" s="10"/>
      <c r="D30" s="10"/>
    </row>
    <row r="31" spans="1:4" ht="15.75" customHeight="1">
      <c r="A31" s="8">
        <v>20101</v>
      </c>
      <c r="B31" s="9" t="s">
        <v>45</v>
      </c>
      <c r="C31" s="10"/>
      <c r="D31" s="10"/>
    </row>
    <row r="32" spans="1:4" ht="15.75" customHeight="1">
      <c r="A32" s="8">
        <v>20102</v>
      </c>
      <c r="B32" s="9" t="s">
        <v>46</v>
      </c>
      <c r="C32" s="10"/>
      <c r="D32" s="10"/>
    </row>
    <row r="33" spans="1:4" ht="15.75" customHeight="1">
      <c r="A33" s="8">
        <v>20103</v>
      </c>
      <c r="B33" s="9" t="s">
        <v>47</v>
      </c>
      <c r="C33" s="10"/>
      <c r="D33" s="10"/>
    </row>
    <row r="34" spans="1:4" ht="15.75" customHeight="1">
      <c r="A34" s="8">
        <v>20104</v>
      </c>
      <c r="B34" s="9" t="s">
        <v>48</v>
      </c>
      <c r="C34" s="10"/>
      <c r="D34" s="10"/>
    </row>
    <row r="35" spans="1:4" ht="15.75" customHeight="1">
      <c r="A35" s="8">
        <v>20105</v>
      </c>
      <c r="B35" s="9" t="s">
        <v>49</v>
      </c>
      <c r="C35" s="10"/>
      <c r="D35" s="10"/>
    </row>
    <row r="36" spans="1:4" ht="15.75" customHeight="1">
      <c r="A36" s="8">
        <v>20201</v>
      </c>
      <c r="B36" s="9" t="s">
        <v>50</v>
      </c>
      <c r="C36" s="10"/>
      <c r="D36" s="10"/>
    </row>
    <row r="37" spans="1:4" ht="15.75" customHeight="1">
      <c r="A37" s="8">
        <v>20202</v>
      </c>
      <c r="B37" s="9" t="s">
        <v>51</v>
      </c>
      <c r="C37" s="10"/>
      <c r="D37" s="10"/>
    </row>
    <row r="38" spans="1:4" ht="15.75" customHeight="1">
      <c r="A38" s="8">
        <v>20203</v>
      </c>
      <c r="B38" s="9" t="s">
        <v>52</v>
      </c>
      <c r="C38" s="10"/>
      <c r="D38" s="10"/>
    </row>
    <row r="39" spans="1:4" ht="15.75" customHeight="1">
      <c r="A39" s="8">
        <v>20204</v>
      </c>
      <c r="B39" s="9" t="s">
        <v>53</v>
      </c>
      <c r="C39" s="10"/>
      <c r="D39" s="10"/>
    </row>
    <row r="40" spans="1:4" ht="15.75" customHeight="1">
      <c r="A40" s="8">
        <v>20205</v>
      </c>
      <c r="B40" s="9" t="s">
        <v>54</v>
      </c>
      <c r="C40" s="10"/>
      <c r="D40" s="10"/>
    </row>
    <row r="41" spans="1:4" ht="15.75" customHeight="1">
      <c r="A41" s="8">
        <v>20206</v>
      </c>
      <c r="B41" s="9" t="s">
        <v>55</v>
      </c>
      <c r="C41" s="10"/>
      <c r="D41" s="10"/>
    </row>
    <row r="42" spans="1:4" ht="15.75" customHeight="1">
      <c r="A42" s="8">
        <v>20301</v>
      </c>
      <c r="B42" s="9" t="s">
        <v>56</v>
      </c>
      <c r="C42" s="10"/>
      <c r="D42" s="10"/>
    </row>
    <row r="43" spans="1:4" ht="15.75" customHeight="1">
      <c r="A43" s="8">
        <v>20302</v>
      </c>
      <c r="B43" s="9" t="s">
        <v>57</v>
      </c>
      <c r="C43" s="10"/>
      <c r="D43" s="10"/>
    </row>
    <row r="44" spans="1:4" ht="15.75" customHeight="1">
      <c r="A44" s="8">
        <v>20303</v>
      </c>
      <c r="B44" s="9" t="s">
        <v>58</v>
      </c>
      <c r="C44" s="10"/>
      <c r="D44" s="10"/>
    </row>
    <row r="45" spans="1:4" ht="15.75" customHeight="1">
      <c r="A45" s="8">
        <v>20304</v>
      </c>
      <c r="B45" s="9" t="s">
        <v>59</v>
      </c>
      <c r="C45" s="10"/>
      <c r="D45" s="10"/>
    </row>
    <row r="46" spans="1:4" ht="15.75" customHeight="1">
      <c r="A46" s="8">
        <v>20305</v>
      </c>
      <c r="B46" s="9" t="s">
        <v>60</v>
      </c>
      <c r="C46" s="10"/>
      <c r="D46" s="10"/>
    </row>
    <row r="47" spans="1:4" ht="15.75" customHeight="1">
      <c r="A47" s="8">
        <v>20306</v>
      </c>
      <c r="B47" s="9" t="s">
        <v>61</v>
      </c>
      <c r="C47" s="10"/>
      <c r="D47" s="10"/>
    </row>
    <row r="48" spans="1:4" ht="15.75" customHeight="1">
      <c r="A48" s="8">
        <v>20307</v>
      </c>
      <c r="B48" s="9" t="s">
        <v>62</v>
      </c>
      <c r="C48" s="10"/>
      <c r="D48" s="10"/>
    </row>
    <row r="49" spans="1:4" ht="15.75" customHeight="1">
      <c r="A49" s="8">
        <v>20308</v>
      </c>
      <c r="B49" s="9" t="s">
        <v>63</v>
      </c>
      <c r="C49" s="10"/>
      <c r="D49" s="10"/>
    </row>
    <row r="50" spans="1:4" ht="15.75" customHeight="1">
      <c r="A50" s="8">
        <v>20401</v>
      </c>
      <c r="B50" s="9" t="s">
        <v>64</v>
      </c>
      <c r="C50" s="10"/>
      <c r="D50" s="10"/>
    </row>
    <row r="51" spans="1:4" ht="15.75" customHeight="1">
      <c r="A51" s="8">
        <v>20402</v>
      </c>
      <c r="B51" s="9" t="s">
        <v>65</v>
      </c>
      <c r="C51" s="10"/>
      <c r="D51" s="10"/>
    </row>
    <row r="52" spans="1:4" ht="15.75" customHeight="1">
      <c r="A52" s="8">
        <v>20403</v>
      </c>
      <c r="B52" s="9" t="s">
        <v>66</v>
      </c>
      <c r="C52" s="10"/>
      <c r="D52" s="10"/>
    </row>
    <row r="53" spans="1:4" ht="15.75" customHeight="1">
      <c r="A53" s="8">
        <v>20404</v>
      </c>
      <c r="B53" s="9" t="s">
        <v>67</v>
      </c>
      <c r="C53" s="10"/>
      <c r="D53" s="10"/>
    </row>
    <row r="54" spans="1:4" ht="15.75" customHeight="1">
      <c r="A54" s="8">
        <v>20405</v>
      </c>
      <c r="B54" s="9" t="s">
        <v>68</v>
      </c>
      <c r="C54" s="10"/>
      <c r="D54" s="10"/>
    </row>
    <row r="55" spans="1:4" ht="15.75" customHeight="1">
      <c r="A55" s="8">
        <v>20501</v>
      </c>
      <c r="B55" s="9" t="s">
        <v>69</v>
      </c>
      <c r="C55" s="10"/>
      <c r="D55" s="10"/>
    </row>
    <row r="56" spans="1:4" ht="15.75" customHeight="1">
      <c r="A56" s="8">
        <v>20502</v>
      </c>
      <c r="B56" s="9" t="s">
        <v>70</v>
      </c>
      <c r="C56" s="10"/>
      <c r="D56" s="10"/>
    </row>
    <row r="57" spans="1:4" ht="15.75" customHeight="1">
      <c r="A57" s="8">
        <v>20503</v>
      </c>
      <c r="B57" s="9" t="s">
        <v>71</v>
      </c>
      <c r="C57" s="10"/>
      <c r="D57" s="10"/>
    </row>
    <row r="58" spans="1:4" ht="15.75" customHeight="1">
      <c r="A58" s="8">
        <v>20601</v>
      </c>
      <c r="B58" s="9" t="s">
        <v>72</v>
      </c>
      <c r="C58" s="10"/>
      <c r="D58" s="10"/>
    </row>
    <row r="59" spans="1:4" ht="15.75" customHeight="1">
      <c r="A59" s="8">
        <v>20602</v>
      </c>
      <c r="B59" s="9" t="s">
        <v>73</v>
      </c>
      <c r="C59" s="10"/>
      <c r="D59" s="10"/>
    </row>
    <row r="60" spans="1:4" ht="15.75" customHeight="1">
      <c r="A60" s="8">
        <v>20603</v>
      </c>
      <c r="B60" s="9" t="s">
        <v>74</v>
      </c>
      <c r="C60" s="10"/>
      <c r="D60" s="10"/>
    </row>
    <row r="61" spans="1:4" ht="15.75" customHeight="1">
      <c r="A61" s="8">
        <v>20604</v>
      </c>
      <c r="B61" s="9" t="s">
        <v>75</v>
      </c>
      <c r="C61" s="10"/>
      <c r="D61" s="10"/>
    </row>
    <row r="62" spans="1:4" ht="15.75" customHeight="1">
      <c r="A62" s="8">
        <v>20605</v>
      </c>
      <c r="B62" s="9" t="s">
        <v>76</v>
      </c>
      <c r="C62" s="10"/>
      <c r="D62" s="10"/>
    </row>
    <row r="63" spans="1:4" ht="15.75" customHeight="1">
      <c r="A63" s="8">
        <v>20606</v>
      </c>
      <c r="B63" s="9" t="s">
        <v>77</v>
      </c>
      <c r="C63" s="10"/>
      <c r="D63" s="10"/>
    </row>
    <row r="64" spans="1:4" ht="15.75" customHeight="1">
      <c r="A64" s="8">
        <v>20607</v>
      </c>
      <c r="B64" s="9" t="s">
        <v>78</v>
      </c>
      <c r="C64" s="10"/>
      <c r="D64" s="10"/>
    </row>
    <row r="65" spans="1:4" ht="15.75" customHeight="1">
      <c r="A65" s="8">
        <v>20608</v>
      </c>
      <c r="B65" s="9" t="s">
        <v>79</v>
      </c>
      <c r="C65" s="10"/>
      <c r="D65" s="10"/>
    </row>
    <row r="66" spans="1:4" ht="15.75" customHeight="1">
      <c r="A66" s="8">
        <v>20701</v>
      </c>
      <c r="B66" s="9" t="s">
        <v>80</v>
      </c>
      <c r="C66" s="10"/>
      <c r="D66" s="10"/>
    </row>
    <row r="67" spans="1:4" ht="15.75" customHeight="1">
      <c r="A67" s="8">
        <v>20702</v>
      </c>
      <c r="B67" s="9" t="s">
        <v>81</v>
      </c>
      <c r="C67" s="10"/>
      <c r="D67" s="10"/>
    </row>
    <row r="68" spans="1:4" ht="15.75" customHeight="1">
      <c r="A68" s="8">
        <v>20801</v>
      </c>
      <c r="B68" s="9" t="s">
        <v>82</v>
      </c>
      <c r="C68" s="10"/>
      <c r="D68" s="10"/>
    </row>
    <row r="69" spans="1:4" ht="15.75" customHeight="1">
      <c r="A69" s="8">
        <v>20802</v>
      </c>
      <c r="B69" s="9" t="s">
        <v>83</v>
      </c>
      <c r="C69" s="10"/>
      <c r="D69" s="10"/>
    </row>
    <row r="70" spans="1:4" ht="15.75" customHeight="1">
      <c r="A70" s="8">
        <v>20803</v>
      </c>
      <c r="B70" s="9" t="s">
        <v>84</v>
      </c>
      <c r="C70" s="10"/>
      <c r="D70" s="10"/>
    </row>
    <row r="71" spans="1:4" ht="15.75" customHeight="1">
      <c r="A71" s="8">
        <v>20804</v>
      </c>
      <c r="B71" s="9" t="s">
        <v>85</v>
      </c>
      <c r="C71" s="10"/>
      <c r="D71" s="10"/>
    </row>
    <row r="72" spans="1:4" ht="15.75" customHeight="1">
      <c r="A72" s="8">
        <v>20805</v>
      </c>
      <c r="B72" s="9" t="s">
        <v>86</v>
      </c>
      <c r="C72" s="10"/>
      <c r="D72" s="10"/>
    </row>
    <row r="73" spans="1:4" ht="15.75" customHeight="1">
      <c r="A73" s="8">
        <v>20806</v>
      </c>
      <c r="B73" s="9" t="s">
        <v>87</v>
      </c>
      <c r="C73" s="10"/>
      <c r="D73" s="10"/>
    </row>
    <row r="74" spans="1:4" ht="15.75" customHeight="1">
      <c r="A74" s="8">
        <v>20807</v>
      </c>
      <c r="B74" s="9" t="s">
        <v>88</v>
      </c>
      <c r="C74" s="10"/>
      <c r="D74" s="10"/>
    </row>
    <row r="75" spans="1:4" ht="15.75" customHeight="1">
      <c r="A75" s="8">
        <v>20901</v>
      </c>
      <c r="B75" s="9" t="s">
        <v>89</v>
      </c>
      <c r="C75" s="10"/>
      <c r="D75" s="10"/>
    </row>
    <row r="76" spans="1:4" ht="15.75" customHeight="1">
      <c r="A76" s="8">
        <v>20902</v>
      </c>
      <c r="B76" s="9" t="s">
        <v>90</v>
      </c>
      <c r="C76" s="10"/>
      <c r="D76" s="10"/>
    </row>
    <row r="77" spans="1:4" ht="15.75" customHeight="1">
      <c r="A77" s="8">
        <v>20903</v>
      </c>
      <c r="B77" s="9" t="s">
        <v>91</v>
      </c>
      <c r="C77" s="10"/>
      <c r="D77" s="10"/>
    </row>
    <row r="78" spans="1:4" ht="15.75" customHeight="1">
      <c r="A78" s="8">
        <v>20904</v>
      </c>
      <c r="B78" s="9" t="s">
        <v>92</v>
      </c>
      <c r="C78" s="10"/>
      <c r="D78" s="10"/>
    </row>
    <row r="79" spans="1:4" ht="15.75" customHeight="1">
      <c r="A79" s="8">
        <v>20905</v>
      </c>
      <c r="B79" s="9" t="s">
        <v>93</v>
      </c>
      <c r="C79" s="10"/>
      <c r="D79" s="10"/>
    </row>
    <row r="80" spans="1:4" ht="15.75" customHeight="1">
      <c r="A80" s="8">
        <v>21001</v>
      </c>
      <c r="B80" s="9" t="s">
        <v>94</v>
      </c>
      <c r="C80" s="10"/>
      <c r="D80" s="10"/>
    </row>
    <row r="81" spans="1:4" ht="15.75" customHeight="1">
      <c r="A81" s="8">
        <v>21002</v>
      </c>
      <c r="B81" s="9" t="s">
        <v>95</v>
      </c>
      <c r="C81" s="10"/>
      <c r="D81" s="10"/>
    </row>
    <row r="82" spans="1:4" ht="15.75" customHeight="1">
      <c r="A82" s="8">
        <v>21003</v>
      </c>
      <c r="B82" s="9" t="s">
        <v>96</v>
      </c>
      <c r="C82" s="10"/>
      <c r="D82" s="10"/>
    </row>
    <row r="83" spans="1:4" ht="15.75" customHeight="1">
      <c r="A83" s="8">
        <v>21004</v>
      </c>
      <c r="B83" s="9" t="s">
        <v>97</v>
      </c>
      <c r="C83" s="10"/>
      <c r="D83" s="10"/>
    </row>
    <row r="84" spans="1:4" ht="15.75" customHeight="1">
      <c r="A84" s="8">
        <v>21005</v>
      </c>
      <c r="B84" s="9" t="s">
        <v>98</v>
      </c>
      <c r="C84" s="10"/>
      <c r="D84" s="10"/>
    </row>
    <row r="85" spans="1:4" ht="15.75" customHeight="1">
      <c r="A85" s="8">
        <v>21006</v>
      </c>
      <c r="B85" s="9" t="s">
        <v>99</v>
      </c>
      <c r="C85" s="10"/>
      <c r="D85" s="10"/>
    </row>
    <row r="86" spans="1:4" ht="15.75" customHeight="1">
      <c r="A86" s="8">
        <v>21101</v>
      </c>
      <c r="B86" s="9" t="s">
        <v>100</v>
      </c>
      <c r="C86" s="10"/>
      <c r="D86" s="10"/>
    </row>
    <row r="87" spans="1:4" ht="15.75" customHeight="1">
      <c r="A87" s="8">
        <v>21102</v>
      </c>
      <c r="B87" s="9" t="s">
        <v>101</v>
      </c>
      <c r="C87" s="10"/>
      <c r="D87" s="10"/>
    </row>
    <row r="88" spans="1:4" ht="15.75" customHeight="1">
      <c r="A88" s="8">
        <v>21103</v>
      </c>
      <c r="B88" s="9" t="s">
        <v>102</v>
      </c>
      <c r="C88" s="10"/>
      <c r="D88" s="10"/>
    </row>
    <row r="89" spans="1:4" ht="15.75" customHeight="1">
      <c r="A89" s="8">
        <v>21104</v>
      </c>
      <c r="B89" s="9" t="s">
        <v>103</v>
      </c>
      <c r="C89" s="10"/>
      <c r="D89" s="10"/>
    </row>
    <row r="90" spans="1:4" ht="15.75" customHeight="1">
      <c r="A90" s="8">
        <v>21105</v>
      </c>
      <c r="B90" s="9" t="s">
        <v>104</v>
      </c>
      <c r="C90" s="10"/>
      <c r="D90" s="10"/>
    </row>
    <row r="91" spans="1:4" ht="15.75" customHeight="1">
      <c r="A91" s="8">
        <v>21201</v>
      </c>
      <c r="B91" s="9" t="s">
        <v>105</v>
      </c>
      <c r="C91" s="10"/>
      <c r="D91" s="10"/>
    </row>
    <row r="92" spans="1:4" ht="15.75" customHeight="1">
      <c r="A92" s="8">
        <v>21202</v>
      </c>
      <c r="B92" s="9" t="s">
        <v>106</v>
      </c>
      <c r="C92" s="10"/>
      <c r="D92" s="10"/>
    </row>
    <row r="93" spans="1:4" ht="15.75" customHeight="1">
      <c r="A93" s="8">
        <v>21203</v>
      </c>
      <c r="B93" s="9" t="s">
        <v>107</v>
      </c>
      <c r="C93" s="10"/>
      <c r="D93" s="10"/>
    </row>
    <row r="94" spans="1:4" ht="15.75" customHeight="1">
      <c r="A94" s="8">
        <v>21204</v>
      </c>
      <c r="B94" s="9" t="s">
        <v>108</v>
      </c>
      <c r="C94" s="10"/>
      <c r="D94" s="10"/>
    </row>
    <row r="95" spans="1:4" ht="15.75" customHeight="1">
      <c r="A95" s="8">
        <v>21301</v>
      </c>
      <c r="B95" s="9" t="s">
        <v>109</v>
      </c>
      <c r="C95" s="10"/>
      <c r="D95" s="10"/>
    </row>
    <row r="96" spans="1:4" ht="15.75" customHeight="1">
      <c r="A96" s="8">
        <v>21302</v>
      </c>
      <c r="B96" s="9" t="s">
        <v>110</v>
      </c>
      <c r="C96" s="10"/>
      <c r="D96" s="10"/>
    </row>
    <row r="97" spans="1:4" ht="15.75" customHeight="1">
      <c r="A97" s="8">
        <v>21303</v>
      </c>
      <c r="B97" s="9" t="s">
        <v>111</v>
      </c>
      <c r="C97" s="10"/>
      <c r="D97" s="10"/>
    </row>
    <row r="98" spans="1:4" ht="15.75" customHeight="1">
      <c r="A98" s="8">
        <v>21304</v>
      </c>
      <c r="B98" s="9" t="s">
        <v>112</v>
      </c>
      <c r="C98" s="10"/>
      <c r="D98" s="10"/>
    </row>
    <row r="99" spans="1:4" ht="15.75" customHeight="1">
      <c r="A99" s="8">
        <v>21305</v>
      </c>
      <c r="B99" s="9" t="s">
        <v>113</v>
      </c>
      <c r="C99" s="10"/>
      <c r="D99" s="10"/>
    </row>
    <row r="100" spans="1:4" ht="15.75" customHeight="1">
      <c r="A100" s="8">
        <v>21306</v>
      </c>
      <c r="B100" s="9" t="s">
        <v>114</v>
      </c>
      <c r="C100" s="10"/>
      <c r="D100" s="10"/>
    </row>
    <row r="101" spans="1:4" ht="15.75" customHeight="1">
      <c r="A101" s="8">
        <v>21307</v>
      </c>
      <c r="B101" s="9" t="s">
        <v>115</v>
      </c>
      <c r="C101" s="10"/>
      <c r="D101" s="10"/>
    </row>
    <row r="102" spans="1:4" ht="15.75" customHeight="1">
      <c r="A102" s="8">
        <v>21401</v>
      </c>
      <c r="B102" s="9" t="s">
        <v>116</v>
      </c>
      <c r="C102" s="10"/>
      <c r="D102" s="10"/>
    </row>
    <row r="103" spans="1:4" ht="15.75" customHeight="1">
      <c r="A103" s="8">
        <v>21402</v>
      </c>
      <c r="B103" s="9" t="s">
        <v>117</v>
      </c>
      <c r="C103" s="10"/>
      <c r="D103" s="10"/>
    </row>
    <row r="104" spans="1:4" ht="15.75" customHeight="1">
      <c r="A104" s="8">
        <v>21501</v>
      </c>
      <c r="B104" s="9" t="s">
        <v>118</v>
      </c>
      <c r="C104" s="10"/>
      <c r="D104" s="10"/>
    </row>
    <row r="105" spans="1:4" ht="15.75" customHeight="1">
      <c r="A105" s="8">
        <v>21502</v>
      </c>
      <c r="B105" s="9" t="s">
        <v>119</v>
      </c>
      <c r="C105" s="10"/>
      <c r="D105" s="10"/>
    </row>
    <row r="106" spans="1:4" ht="15.75" customHeight="1">
      <c r="A106" s="8">
        <v>21601</v>
      </c>
      <c r="B106" s="9" t="s">
        <v>120</v>
      </c>
      <c r="C106" s="10"/>
      <c r="D106" s="10"/>
    </row>
    <row r="107" spans="1:4" ht="15.75" customHeight="1">
      <c r="A107" s="8">
        <v>21602</v>
      </c>
      <c r="B107" s="9" t="s">
        <v>121</v>
      </c>
      <c r="C107" s="10"/>
      <c r="D107" s="10"/>
    </row>
    <row r="108" spans="1:4" ht="15.75" customHeight="1">
      <c r="A108" s="8">
        <v>21701</v>
      </c>
      <c r="B108" s="9" t="s">
        <v>122</v>
      </c>
      <c r="C108" s="10"/>
      <c r="D108" s="10"/>
    </row>
    <row r="109" spans="1:4" ht="15.75" customHeight="1">
      <c r="A109" s="8">
        <v>21702</v>
      </c>
      <c r="B109" s="9" t="s">
        <v>123</v>
      </c>
      <c r="C109" s="10"/>
      <c r="D109" s="10"/>
    </row>
    <row r="110" spans="1:4" ht="15.75" customHeight="1">
      <c r="A110" s="8">
        <v>21703</v>
      </c>
      <c r="B110" s="9" t="s">
        <v>124</v>
      </c>
      <c r="C110" s="10"/>
      <c r="D110" s="10"/>
    </row>
    <row r="111" spans="1:4" ht="15.75" customHeight="1">
      <c r="A111" s="8">
        <v>21801</v>
      </c>
      <c r="B111" s="9" t="s">
        <v>125</v>
      </c>
      <c r="C111" s="10"/>
      <c r="D111" s="10"/>
    </row>
    <row r="112" spans="1:4" ht="15.75" customHeight="1">
      <c r="A112" s="8">
        <v>21802</v>
      </c>
      <c r="B112" s="9" t="s">
        <v>126</v>
      </c>
      <c r="C112" s="10"/>
      <c r="D112" s="10"/>
    </row>
    <row r="113" spans="1:4" ht="15.75" customHeight="1">
      <c r="A113" s="8">
        <v>21803</v>
      </c>
      <c r="B113" s="9" t="s">
        <v>127</v>
      </c>
      <c r="C113" s="10"/>
      <c r="D113" s="10"/>
    </row>
    <row r="114" spans="1:4" ht="15.75" customHeight="1">
      <c r="A114" s="8">
        <v>21901</v>
      </c>
      <c r="B114" s="9" t="s">
        <v>128</v>
      </c>
      <c r="C114" s="10"/>
      <c r="D114" s="10"/>
    </row>
    <row r="115" spans="1:4" ht="15.75" customHeight="1">
      <c r="A115" s="8">
        <v>21902</v>
      </c>
      <c r="B115" s="9" t="s">
        <v>129</v>
      </c>
      <c r="C115" s="10"/>
      <c r="D115" s="10"/>
    </row>
    <row r="116" spans="1:4" ht="15.75" customHeight="1">
      <c r="A116" s="8">
        <v>22001</v>
      </c>
      <c r="B116" s="9" t="s">
        <v>130</v>
      </c>
      <c r="C116" s="10"/>
      <c r="D116" s="10"/>
    </row>
    <row r="117" spans="1:4" ht="15.75" customHeight="1">
      <c r="A117" s="8">
        <v>22002</v>
      </c>
      <c r="B117" s="9" t="s">
        <v>131</v>
      </c>
      <c r="C117" s="10"/>
      <c r="D117" s="10"/>
    </row>
    <row r="118" spans="1:4" ht="15.75" customHeight="1">
      <c r="A118" s="8">
        <v>30101</v>
      </c>
      <c r="B118" s="9" t="s">
        <v>132</v>
      </c>
      <c r="C118" s="10"/>
      <c r="D118" s="10"/>
    </row>
    <row r="119" spans="1:4" ht="15.75" customHeight="1">
      <c r="A119" s="8">
        <v>30201</v>
      </c>
      <c r="B119" s="9" t="s">
        <v>133</v>
      </c>
      <c r="C119" s="10"/>
      <c r="D119" s="10"/>
    </row>
    <row r="120" spans="1:4" ht="15.75" customHeight="1">
      <c r="A120" s="8">
        <v>30202</v>
      </c>
      <c r="B120" s="9" t="s">
        <v>134</v>
      </c>
      <c r="C120" s="10"/>
      <c r="D120" s="10"/>
    </row>
    <row r="121" spans="1:4" ht="15.75" customHeight="1">
      <c r="A121" s="8">
        <v>30203</v>
      </c>
      <c r="B121" s="9" t="s">
        <v>135</v>
      </c>
      <c r="C121" s="10"/>
      <c r="D121" s="10"/>
    </row>
    <row r="122" spans="1:4" ht="15.75" customHeight="1">
      <c r="A122" s="8">
        <v>30301</v>
      </c>
      <c r="B122" s="9" t="s">
        <v>136</v>
      </c>
      <c r="C122" s="10"/>
      <c r="D122" s="10"/>
    </row>
    <row r="123" spans="1:4" ht="15.75" customHeight="1">
      <c r="A123" s="8">
        <v>30302</v>
      </c>
      <c r="B123" s="9" t="s">
        <v>137</v>
      </c>
      <c r="C123" s="10"/>
      <c r="D123" s="10"/>
    </row>
    <row r="124" spans="1:4" ht="15.75" customHeight="1">
      <c r="A124" s="8">
        <v>30303</v>
      </c>
      <c r="B124" s="9" t="s">
        <v>138</v>
      </c>
      <c r="C124" s="10"/>
      <c r="D124" s="10"/>
    </row>
    <row r="125" spans="1:4" ht="15.75" customHeight="1">
      <c r="A125" s="8">
        <v>30401</v>
      </c>
      <c r="B125" s="9" t="s">
        <v>139</v>
      </c>
      <c r="C125" s="10"/>
      <c r="D125" s="10"/>
    </row>
    <row r="126" spans="1:4" ht="15.75" customHeight="1">
      <c r="A126" s="8">
        <v>30402</v>
      </c>
      <c r="B126" s="9" t="s">
        <v>140</v>
      </c>
      <c r="C126" s="10"/>
      <c r="D126" s="10"/>
    </row>
    <row r="127" spans="1:4" ht="15.75" customHeight="1">
      <c r="A127" s="8">
        <v>30403</v>
      </c>
      <c r="B127" s="9" t="s">
        <v>141</v>
      </c>
      <c r="C127" s="10"/>
      <c r="D127" s="10"/>
    </row>
    <row r="128" spans="1:4" ht="15.75" customHeight="1">
      <c r="A128" s="8">
        <v>30404</v>
      </c>
      <c r="B128" s="9" t="s">
        <v>142</v>
      </c>
      <c r="C128" s="10"/>
      <c r="D128" s="10"/>
    </row>
    <row r="129" spans="1:4" ht="15.75" customHeight="1">
      <c r="A129" s="8">
        <v>30501</v>
      </c>
      <c r="B129" s="9" t="s">
        <v>143</v>
      </c>
      <c r="C129" s="10"/>
      <c r="D129" s="10"/>
    </row>
    <row r="130" spans="1:4" ht="15.75" customHeight="1">
      <c r="A130" s="8">
        <v>30502</v>
      </c>
      <c r="B130" s="9" t="s">
        <v>144</v>
      </c>
      <c r="C130" s="10"/>
      <c r="D130" s="10"/>
    </row>
    <row r="131" spans="1:4" ht="15.75" customHeight="1">
      <c r="A131" s="8">
        <v>30601</v>
      </c>
      <c r="B131" s="9" t="s">
        <v>145</v>
      </c>
      <c r="C131" s="10"/>
      <c r="D131" s="10"/>
    </row>
    <row r="132" spans="1:4" ht="15.75" customHeight="1">
      <c r="A132" s="8">
        <v>30602</v>
      </c>
      <c r="B132" s="9" t="s">
        <v>146</v>
      </c>
      <c r="C132" s="10"/>
      <c r="D132" s="10"/>
    </row>
    <row r="133" spans="1:4" ht="15.75" customHeight="1">
      <c r="A133" s="8">
        <v>30701</v>
      </c>
      <c r="B133" s="9" t="s">
        <v>147</v>
      </c>
      <c r="C133" s="10"/>
      <c r="D133" s="10"/>
    </row>
    <row r="134" spans="1:4" ht="15.75" customHeight="1">
      <c r="A134" s="8">
        <v>30702</v>
      </c>
      <c r="B134" s="9" t="s">
        <v>148</v>
      </c>
      <c r="C134" s="10"/>
      <c r="D134" s="10"/>
    </row>
    <row r="135" spans="1:4" ht="15.75" customHeight="1">
      <c r="A135" s="8">
        <v>30703</v>
      </c>
      <c r="B135" s="9" t="s">
        <v>149</v>
      </c>
      <c r="C135" s="10"/>
      <c r="D135" s="10"/>
    </row>
    <row r="136" spans="1:4" ht="15.75" customHeight="1">
      <c r="A136" s="8">
        <v>30801</v>
      </c>
      <c r="B136" s="9" t="s">
        <v>150</v>
      </c>
      <c r="C136" s="10"/>
      <c r="D136" s="10"/>
    </row>
    <row r="137" spans="1:4" ht="15.75" customHeight="1">
      <c r="A137" s="8">
        <v>30802</v>
      </c>
      <c r="B137" s="9" t="s">
        <v>151</v>
      </c>
      <c r="C137" s="10"/>
      <c r="D137" s="10"/>
    </row>
    <row r="138" spans="1:4" ht="15.75" customHeight="1">
      <c r="A138" s="8">
        <v>30803</v>
      </c>
      <c r="B138" s="9" t="s">
        <v>152</v>
      </c>
      <c r="C138" s="10"/>
      <c r="D138" s="10"/>
    </row>
    <row r="139" spans="1:4" ht="15.75" customHeight="1">
      <c r="A139" s="8">
        <v>30901</v>
      </c>
      <c r="B139" s="9" t="s">
        <v>153</v>
      </c>
      <c r="C139" s="10"/>
      <c r="D139" s="10"/>
    </row>
    <row r="140" spans="1:4" ht="15.75" customHeight="1">
      <c r="A140" s="8">
        <v>30902</v>
      </c>
      <c r="B140" s="9" t="s">
        <v>154</v>
      </c>
      <c r="C140" s="10"/>
      <c r="D140" s="10"/>
    </row>
    <row r="141" spans="1:4" ht="15.75" customHeight="1">
      <c r="A141" s="8">
        <v>30903</v>
      </c>
      <c r="B141" s="9" t="s">
        <v>155</v>
      </c>
      <c r="C141" s="10"/>
      <c r="D141" s="10"/>
    </row>
    <row r="142" spans="1:4" ht="15.75" customHeight="1">
      <c r="A142" s="8">
        <v>30904</v>
      </c>
      <c r="B142" s="9" t="s">
        <v>156</v>
      </c>
      <c r="C142" s="10"/>
      <c r="D142" s="10"/>
    </row>
    <row r="143" spans="1:4" ht="15.75" customHeight="1">
      <c r="A143" s="8">
        <v>30905</v>
      </c>
      <c r="B143" s="9" t="s">
        <v>157</v>
      </c>
      <c r="C143" s="10"/>
      <c r="D143" s="10"/>
    </row>
    <row r="144" spans="1:4" ht="15.75" customHeight="1">
      <c r="A144" s="8">
        <v>31001</v>
      </c>
      <c r="B144" s="9" t="s">
        <v>158</v>
      </c>
      <c r="C144" s="10"/>
      <c r="D144" s="10"/>
    </row>
    <row r="145" spans="1:4" ht="15.75" customHeight="1">
      <c r="A145" s="8">
        <v>31002</v>
      </c>
      <c r="B145" s="9" t="s">
        <v>159</v>
      </c>
      <c r="C145" s="10"/>
      <c r="D145" s="10"/>
    </row>
    <row r="146" spans="1:4" ht="15.75" customHeight="1">
      <c r="A146" s="8">
        <v>31003</v>
      </c>
      <c r="B146" s="9" t="s">
        <v>160</v>
      </c>
      <c r="C146" s="10"/>
      <c r="D146" s="10"/>
    </row>
    <row r="147" spans="1:4" ht="15.75" customHeight="1">
      <c r="A147" s="8">
        <v>31101</v>
      </c>
      <c r="B147" s="9" t="s">
        <v>161</v>
      </c>
      <c r="C147" s="10"/>
      <c r="D147" s="10"/>
    </row>
    <row r="148" spans="1:4" ht="15.75" customHeight="1">
      <c r="A148" s="8">
        <v>31201</v>
      </c>
      <c r="B148" s="9" t="s">
        <v>162</v>
      </c>
      <c r="C148" s="10"/>
      <c r="D148" s="10"/>
    </row>
    <row r="149" spans="1:4" ht="15.75" customHeight="1">
      <c r="A149" s="8">
        <v>31202</v>
      </c>
      <c r="B149" s="9" t="s">
        <v>163</v>
      </c>
      <c r="C149" s="10"/>
      <c r="D149" s="10"/>
    </row>
    <row r="150" spans="1:4" ht="15.75" customHeight="1">
      <c r="A150" s="8">
        <v>31203</v>
      </c>
      <c r="B150" s="9" t="s">
        <v>164</v>
      </c>
      <c r="C150" s="10"/>
      <c r="D150" s="10"/>
    </row>
    <row r="151" spans="1:4" ht="15.75" customHeight="1">
      <c r="A151" s="8">
        <v>31204</v>
      </c>
      <c r="B151" s="9" t="s">
        <v>165</v>
      </c>
      <c r="C151" s="10"/>
      <c r="D151" s="10"/>
    </row>
    <row r="152" spans="1:4" ht="15.75" customHeight="1">
      <c r="A152" s="8">
        <v>31205</v>
      </c>
      <c r="B152" s="9" t="s">
        <v>166</v>
      </c>
      <c r="C152" s="10"/>
      <c r="D152" s="10"/>
    </row>
    <row r="153" spans="1:4" ht="15.75" customHeight="1">
      <c r="A153" s="8">
        <v>31206</v>
      </c>
      <c r="B153" s="9" t="s">
        <v>167</v>
      </c>
      <c r="C153" s="10"/>
      <c r="D153" s="10"/>
    </row>
    <row r="154" spans="1:4" ht="15.75" customHeight="1">
      <c r="A154" s="8">
        <v>31301</v>
      </c>
      <c r="B154" s="9" t="s">
        <v>168</v>
      </c>
      <c r="C154" s="10"/>
      <c r="D154" s="10"/>
    </row>
    <row r="155" spans="1:4" ht="15.75" customHeight="1">
      <c r="A155" s="8">
        <v>31302</v>
      </c>
      <c r="B155" s="9" t="s">
        <v>169</v>
      </c>
      <c r="C155" s="10"/>
      <c r="D155" s="10"/>
    </row>
    <row r="156" spans="1:4" ht="15.75" customHeight="1">
      <c r="A156" s="8">
        <v>31303</v>
      </c>
      <c r="B156" s="9" t="s">
        <v>170</v>
      </c>
      <c r="C156" s="10"/>
      <c r="D156" s="10"/>
    </row>
    <row r="157" spans="1:4" ht="15.75" customHeight="1">
      <c r="A157" s="8">
        <v>31304</v>
      </c>
      <c r="B157" s="9" t="s">
        <v>171</v>
      </c>
      <c r="C157" s="10"/>
      <c r="D157" s="10"/>
    </row>
    <row r="158" spans="1:4" ht="15.75" customHeight="1">
      <c r="A158" s="8">
        <v>31401</v>
      </c>
      <c r="B158" s="9" t="s">
        <v>172</v>
      </c>
      <c r="C158" s="10"/>
      <c r="D158" s="10"/>
    </row>
    <row r="159" spans="1:4" ht="15.75" customHeight="1">
      <c r="A159" s="8">
        <v>31402</v>
      </c>
      <c r="B159" s="9" t="s">
        <v>173</v>
      </c>
      <c r="C159" s="10"/>
      <c r="D159" s="10"/>
    </row>
    <row r="160" spans="1:4" ht="15.75" customHeight="1">
      <c r="A160" s="8">
        <v>31403</v>
      </c>
      <c r="B160" s="9" t="s">
        <v>174</v>
      </c>
      <c r="C160" s="10"/>
      <c r="D160" s="10"/>
    </row>
    <row r="161" spans="1:4" ht="15.75" customHeight="1">
      <c r="A161" s="8">
        <v>31404</v>
      </c>
      <c r="B161" s="9" t="s">
        <v>175</v>
      </c>
      <c r="C161" s="10"/>
      <c r="D161" s="10"/>
    </row>
    <row r="162" spans="1:4" ht="15.75" customHeight="1">
      <c r="A162" s="8">
        <v>31405</v>
      </c>
      <c r="B162" s="9" t="s">
        <v>176</v>
      </c>
      <c r="C162" s="10"/>
      <c r="D162" s="10"/>
    </row>
    <row r="163" spans="1:4" ht="15.75" customHeight="1">
      <c r="A163" s="8">
        <v>31501</v>
      </c>
      <c r="B163" s="9" t="s">
        <v>177</v>
      </c>
      <c r="C163" s="10"/>
      <c r="D163" s="10"/>
    </row>
    <row r="164" spans="1:4" ht="15.75" customHeight="1">
      <c r="A164" s="8">
        <v>31601</v>
      </c>
      <c r="B164" s="9" t="s">
        <v>178</v>
      </c>
      <c r="C164" s="10"/>
      <c r="D164" s="10"/>
    </row>
    <row r="165" spans="1:4" ht="15.75" customHeight="1">
      <c r="A165" s="8">
        <v>31602</v>
      </c>
      <c r="B165" s="9" t="s">
        <v>179</v>
      </c>
      <c r="C165" s="10"/>
      <c r="D165" s="10"/>
    </row>
    <row r="166" spans="1:4" ht="15.75" customHeight="1">
      <c r="A166" s="8">
        <v>40101</v>
      </c>
      <c r="B166" s="9" t="s">
        <v>180</v>
      </c>
      <c r="C166" s="10"/>
      <c r="D166" s="10"/>
    </row>
    <row r="167" spans="1:4" ht="15.75" customHeight="1">
      <c r="A167" s="8">
        <v>40102</v>
      </c>
      <c r="B167" s="9" t="s">
        <v>181</v>
      </c>
      <c r="C167" s="10"/>
      <c r="D167" s="10"/>
    </row>
    <row r="168" spans="1:4" ht="15.75" customHeight="1">
      <c r="A168" s="8">
        <v>40103</v>
      </c>
      <c r="B168" s="9" t="s">
        <v>182</v>
      </c>
      <c r="C168" s="10"/>
      <c r="D168" s="10"/>
    </row>
    <row r="169" spans="1:4" ht="15.75" customHeight="1">
      <c r="A169" s="8">
        <v>40104</v>
      </c>
      <c r="B169" s="9" t="s">
        <v>183</v>
      </c>
      <c r="C169" s="10"/>
      <c r="D169" s="10"/>
    </row>
    <row r="170" spans="1:4" ht="15.75" customHeight="1">
      <c r="A170" s="8">
        <v>40201</v>
      </c>
      <c r="B170" s="9" t="s">
        <v>184</v>
      </c>
      <c r="C170" s="10"/>
      <c r="D170" s="10"/>
    </row>
    <row r="171" spans="1:4" ht="15.75" customHeight="1">
      <c r="A171" s="8">
        <v>40202</v>
      </c>
      <c r="B171" s="9" t="s">
        <v>185</v>
      </c>
      <c r="C171" s="10"/>
      <c r="D171" s="10"/>
    </row>
    <row r="172" spans="1:4" ht="15.75" customHeight="1">
      <c r="A172" s="8">
        <v>40301</v>
      </c>
      <c r="B172" s="9" t="s">
        <v>186</v>
      </c>
      <c r="C172" s="10"/>
      <c r="D172" s="10"/>
    </row>
    <row r="173" spans="1:4" ht="15.75" customHeight="1">
      <c r="A173" s="8">
        <v>40302</v>
      </c>
      <c r="B173" s="9" t="s">
        <v>187</v>
      </c>
      <c r="C173" s="10"/>
      <c r="D173" s="10"/>
    </row>
    <row r="174" spans="1:4" ht="15.75" customHeight="1">
      <c r="A174" s="8">
        <v>40401</v>
      </c>
      <c r="B174" s="9" t="s">
        <v>188</v>
      </c>
      <c r="C174" s="10"/>
      <c r="D174" s="10"/>
    </row>
    <row r="175" spans="1:4" ht="15.75" customHeight="1">
      <c r="A175" s="8">
        <v>40402</v>
      </c>
      <c r="B175" s="9" t="s">
        <v>189</v>
      </c>
      <c r="C175" s="10"/>
      <c r="D175" s="10"/>
    </row>
    <row r="176" spans="1:4" ht="15.75" customHeight="1">
      <c r="A176" s="8">
        <v>40501</v>
      </c>
      <c r="B176" s="9" t="s">
        <v>190</v>
      </c>
      <c r="C176" s="10"/>
      <c r="D176" s="10"/>
    </row>
    <row r="177" spans="1:4" ht="15.75" customHeight="1">
      <c r="A177" s="8">
        <v>40502</v>
      </c>
      <c r="B177" s="9" t="s">
        <v>191</v>
      </c>
      <c r="C177" s="10"/>
      <c r="D177" s="10"/>
    </row>
    <row r="178" spans="1:4" ht="15.75" customHeight="1">
      <c r="A178" s="8">
        <v>40503</v>
      </c>
      <c r="B178" s="9" t="s">
        <v>192</v>
      </c>
      <c r="C178" s="10"/>
      <c r="D178" s="10"/>
    </row>
    <row r="179" spans="1:4" ht="15.75" customHeight="1">
      <c r="A179" s="8">
        <v>40504</v>
      </c>
      <c r="B179" s="9" t="s">
        <v>193</v>
      </c>
      <c r="C179" s="10"/>
      <c r="D179" s="10"/>
    </row>
    <row r="180" spans="1:4" ht="15.75" customHeight="1">
      <c r="A180" s="8">
        <v>40505</v>
      </c>
      <c r="B180" s="9" t="s">
        <v>194</v>
      </c>
      <c r="C180" s="10"/>
      <c r="D180" s="10"/>
    </row>
    <row r="181" spans="1:4" ht="15.75" customHeight="1">
      <c r="A181" s="8">
        <v>40601</v>
      </c>
      <c r="B181" s="9" t="s">
        <v>195</v>
      </c>
      <c r="C181" s="10"/>
      <c r="D181" s="10"/>
    </row>
    <row r="182" spans="1:4" ht="15.75" customHeight="1">
      <c r="A182" s="8">
        <v>40602</v>
      </c>
      <c r="B182" s="9" t="s">
        <v>196</v>
      </c>
      <c r="C182" s="10"/>
      <c r="D182" s="10"/>
    </row>
    <row r="183" spans="1:4" ht="15.75" customHeight="1">
      <c r="A183" s="8">
        <v>40603</v>
      </c>
      <c r="B183" s="9" t="s">
        <v>197</v>
      </c>
      <c r="C183" s="10"/>
      <c r="D183" s="10"/>
    </row>
    <row r="184" spans="1:4" ht="15.75" customHeight="1">
      <c r="A184" s="8">
        <v>40701</v>
      </c>
      <c r="B184" s="9" t="s">
        <v>198</v>
      </c>
      <c r="C184" s="10"/>
      <c r="D184" s="10"/>
    </row>
    <row r="185" spans="1:4" ht="15.75" customHeight="1">
      <c r="A185" s="8">
        <v>40702</v>
      </c>
      <c r="B185" s="9" t="s">
        <v>199</v>
      </c>
      <c r="C185" s="10"/>
      <c r="D185" s="10"/>
    </row>
    <row r="186" spans="1:4" ht="15.75" customHeight="1">
      <c r="A186" s="8">
        <v>40801</v>
      </c>
      <c r="B186" s="9" t="s">
        <v>200</v>
      </c>
      <c r="C186" s="10"/>
      <c r="D186" s="10"/>
    </row>
    <row r="187" spans="1:4" ht="15.75" customHeight="1">
      <c r="A187" s="8">
        <v>40802</v>
      </c>
      <c r="B187" s="9" t="s">
        <v>201</v>
      </c>
      <c r="C187" s="10"/>
      <c r="D187" s="10"/>
    </row>
    <row r="188" spans="1:4" ht="15.75" customHeight="1">
      <c r="A188" s="8">
        <v>40901</v>
      </c>
      <c r="B188" s="9" t="s">
        <v>202</v>
      </c>
      <c r="C188" s="10"/>
      <c r="D188" s="10"/>
    </row>
    <row r="189" spans="1:4" ht="15.75" customHeight="1">
      <c r="A189" s="8">
        <v>40902</v>
      </c>
      <c r="B189" s="9" t="s">
        <v>203</v>
      </c>
      <c r="C189" s="10"/>
      <c r="D189" s="10"/>
    </row>
    <row r="190" spans="1:4" ht="15.75" customHeight="1">
      <c r="A190" s="8">
        <v>40903</v>
      </c>
      <c r="B190" s="9" t="s">
        <v>204</v>
      </c>
      <c r="C190" s="10"/>
      <c r="D190" s="10"/>
    </row>
    <row r="191" spans="1:4" ht="15.75" customHeight="1">
      <c r="A191" s="8">
        <v>41001</v>
      </c>
      <c r="B191" s="9" t="s">
        <v>205</v>
      </c>
      <c r="C191" s="10"/>
      <c r="D191" s="10"/>
    </row>
    <row r="192" spans="1:4" ht="15.75" customHeight="1">
      <c r="A192" s="8">
        <v>41101</v>
      </c>
      <c r="B192" s="9" t="s">
        <v>206</v>
      </c>
      <c r="C192" s="10"/>
      <c r="D192" s="10"/>
    </row>
    <row r="193" spans="1:4" ht="15.75" customHeight="1">
      <c r="A193" s="8">
        <v>41201</v>
      </c>
      <c r="B193" s="9" t="s">
        <v>207</v>
      </c>
      <c r="C193" s="10"/>
      <c r="D193" s="10"/>
    </row>
    <row r="194" spans="1:4" ht="15.75" customHeight="1">
      <c r="A194" s="8">
        <v>41202</v>
      </c>
      <c r="B194" s="9" t="s">
        <v>208</v>
      </c>
      <c r="C194" s="10"/>
      <c r="D194" s="10"/>
    </row>
    <row r="195" spans="1:4" ht="15.75" customHeight="1">
      <c r="A195" s="8">
        <v>41301</v>
      </c>
      <c r="B195" s="9" t="s">
        <v>209</v>
      </c>
      <c r="C195" s="10"/>
      <c r="D195" s="10"/>
    </row>
    <row r="196" spans="1:4" ht="15.75" customHeight="1">
      <c r="A196" s="8">
        <v>41401</v>
      </c>
      <c r="B196" s="9" t="s">
        <v>210</v>
      </c>
      <c r="C196" s="10"/>
      <c r="D196" s="10"/>
    </row>
    <row r="197" spans="1:4" ht="15.75" customHeight="1">
      <c r="A197" s="8">
        <v>41501</v>
      </c>
      <c r="B197" s="9" t="s">
        <v>211</v>
      </c>
      <c r="C197" s="10"/>
      <c r="D197" s="10"/>
    </row>
    <row r="198" spans="1:4" ht="15.75" customHeight="1">
      <c r="A198" s="8">
        <v>41502</v>
      </c>
      <c r="B198" s="9" t="s">
        <v>212</v>
      </c>
      <c r="C198" s="10"/>
      <c r="D198" s="10"/>
    </row>
    <row r="199" spans="1:4" ht="15.75" customHeight="1">
      <c r="A199" s="8">
        <v>41503</v>
      </c>
      <c r="B199" s="9" t="s">
        <v>213</v>
      </c>
      <c r="C199" s="10"/>
      <c r="D199" s="10"/>
    </row>
    <row r="200" spans="1:4" ht="15.75" customHeight="1">
      <c r="A200" s="8">
        <v>41601</v>
      </c>
      <c r="B200" s="9" t="s">
        <v>214</v>
      </c>
      <c r="C200" s="10"/>
      <c r="D200" s="10"/>
    </row>
    <row r="201" spans="1:4" ht="15.75" customHeight="1">
      <c r="A201" s="8">
        <v>50101</v>
      </c>
      <c r="B201" s="9" t="s">
        <v>215</v>
      </c>
      <c r="C201" s="10"/>
      <c r="D201" s="10"/>
    </row>
    <row r="202" spans="1:4" ht="15.75" customHeight="1">
      <c r="A202" s="8">
        <v>50102</v>
      </c>
      <c r="B202" s="9" t="s">
        <v>216</v>
      </c>
      <c r="C202" s="10"/>
      <c r="D202" s="10"/>
    </row>
    <row r="203" spans="1:4" ht="15.75" customHeight="1">
      <c r="A203" s="8">
        <v>50103</v>
      </c>
      <c r="B203" s="9" t="s">
        <v>217</v>
      </c>
      <c r="C203" s="10"/>
      <c r="D203" s="10"/>
    </row>
    <row r="204" spans="1:4" ht="15.75" customHeight="1">
      <c r="A204" s="8">
        <v>50104</v>
      </c>
      <c r="B204" s="9" t="s">
        <v>218</v>
      </c>
      <c r="C204" s="10"/>
      <c r="D204" s="10"/>
    </row>
    <row r="205" spans="1:4" ht="15.75" customHeight="1">
      <c r="A205" s="8">
        <v>50201</v>
      </c>
      <c r="B205" s="9" t="s">
        <v>219</v>
      </c>
      <c r="C205" s="10"/>
      <c r="D205" s="10"/>
    </row>
    <row r="206" spans="1:4" ht="15.75" customHeight="1">
      <c r="A206" s="8">
        <v>50202</v>
      </c>
      <c r="B206" s="9" t="s">
        <v>220</v>
      </c>
      <c r="C206" s="10"/>
      <c r="D206" s="10"/>
    </row>
    <row r="207" spans="1:4" ht="15.75" customHeight="1">
      <c r="A207" s="8">
        <v>50203</v>
      </c>
      <c r="B207" s="9" t="s">
        <v>221</v>
      </c>
      <c r="C207" s="10"/>
      <c r="D207" s="10"/>
    </row>
    <row r="208" spans="1:4" ht="15.75" customHeight="1">
      <c r="A208" s="8">
        <v>50204</v>
      </c>
      <c r="B208" s="9" t="s">
        <v>222</v>
      </c>
      <c r="C208" s="10"/>
      <c r="D208" s="10"/>
    </row>
    <row r="209" spans="1:4" ht="15.75" customHeight="1">
      <c r="A209" s="8">
        <v>50301</v>
      </c>
      <c r="B209" s="9" t="s">
        <v>223</v>
      </c>
      <c r="C209" s="10"/>
      <c r="D209" s="10"/>
    </row>
    <row r="210" spans="1:4" ht="15.75" customHeight="1">
      <c r="A210" s="8">
        <v>50302</v>
      </c>
      <c r="B210" s="9" t="s">
        <v>224</v>
      </c>
      <c r="C210" s="10"/>
      <c r="D210" s="10"/>
    </row>
    <row r="211" spans="1:4" ht="15.75" customHeight="1">
      <c r="A211" s="8">
        <v>50303</v>
      </c>
      <c r="B211" s="9" t="s">
        <v>225</v>
      </c>
      <c r="C211" s="10"/>
      <c r="D211" s="10"/>
    </row>
    <row r="212" spans="1:4" ht="15.75" customHeight="1">
      <c r="A212" s="8">
        <v>50401</v>
      </c>
      <c r="B212" s="9" t="s">
        <v>226</v>
      </c>
      <c r="C212" s="10"/>
      <c r="D212" s="10"/>
    </row>
    <row r="213" spans="1:4" ht="15.75" customHeight="1">
      <c r="A213" s="8">
        <v>50402</v>
      </c>
      <c r="B213" s="9" t="s">
        <v>227</v>
      </c>
      <c r="C213" s="10"/>
      <c r="D213" s="10"/>
    </row>
    <row r="214" spans="1:4" ht="15.75" customHeight="1">
      <c r="A214" s="8">
        <v>50403</v>
      </c>
      <c r="B214" s="9" t="s">
        <v>228</v>
      </c>
      <c r="C214" s="10"/>
      <c r="D214" s="10"/>
    </row>
    <row r="215" spans="1:4" ht="15.75" customHeight="1">
      <c r="A215" s="8">
        <v>50404</v>
      </c>
      <c r="B215" s="9" t="s">
        <v>229</v>
      </c>
      <c r="C215" s="10"/>
      <c r="D215" s="10"/>
    </row>
    <row r="216" spans="1:4" ht="15.75" customHeight="1">
      <c r="A216" s="8">
        <v>50405</v>
      </c>
      <c r="B216" s="9" t="s">
        <v>230</v>
      </c>
      <c r="C216" s="10"/>
      <c r="D216" s="10"/>
    </row>
    <row r="217" spans="1:4" ht="15.75" customHeight="1">
      <c r="A217" s="8">
        <v>50501</v>
      </c>
      <c r="B217" s="9" t="s">
        <v>231</v>
      </c>
      <c r="C217" s="10"/>
      <c r="D217" s="10"/>
    </row>
    <row r="218" spans="1:4" ht="15.75" customHeight="1">
      <c r="A218" s="8">
        <v>50502</v>
      </c>
      <c r="B218" s="9" t="s">
        <v>232</v>
      </c>
      <c r="C218" s="10"/>
      <c r="D218" s="10"/>
    </row>
    <row r="219" spans="1:4" ht="15.75" customHeight="1">
      <c r="A219" s="8">
        <v>50601</v>
      </c>
      <c r="B219" s="9" t="s">
        <v>233</v>
      </c>
      <c r="C219" s="10"/>
      <c r="D219" s="10"/>
    </row>
    <row r="220" spans="1:4" ht="15.75" customHeight="1">
      <c r="A220" s="8">
        <v>50602</v>
      </c>
      <c r="B220" s="9" t="s">
        <v>234</v>
      </c>
      <c r="C220" s="10"/>
      <c r="D220" s="10"/>
    </row>
    <row r="221" spans="1:4" ht="15.75" customHeight="1">
      <c r="A221" s="8">
        <v>50701</v>
      </c>
      <c r="B221" s="9" t="s">
        <v>235</v>
      </c>
      <c r="C221" s="10"/>
      <c r="D221" s="10"/>
    </row>
    <row r="222" spans="1:4" ht="15.75" customHeight="1">
      <c r="A222" s="8">
        <v>50702</v>
      </c>
      <c r="B222" s="9" t="s">
        <v>236</v>
      </c>
      <c r="C222" s="10"/>
      <c r="D222" s="10"/>
    </row>
    <row r="223" spans="1:4" ht="15.75" customHeight="1">
      <c r="A223" s="8">
        <v>50801</v>
      </c>
      <c r="B223" s="9" t="s">
        <v>237</v>
      </c>
      <c r="C223" s="10"/>
      <c r="D223" s="10"/>
    </row>
    <row r="224" spans="1:4" ht="15.75" customHeight="1">
      <c r="A224" s="8">
        <v>50802</v>
      </c>
      <c r="B224" s="9" t="s">
        <v>238</v>
      </c>
      <c r="C224" s="10"/>
      <c r="D224" s="10"/>
    </row>
    <row r="225" spans="1:4" ht="15.75" customHeight="1">
      <c r="A225" s="8">
        <v>50901</v>
      </c>
      <c r="B225" s="9" t="s">
        <v>239</v>
      </c>
      <c r="C225" s="10"/>
      <c r="D225" s="10"/>
    </row>
    <row r="226" spans="1:4" ht="15.75" customHeight="1">
      <c r="A226" s="8">
        <v>50902</v>
      </c>
      <c r="B226" s="9" t="s">
        <v>240</v>
      </c>
      <c r="C226" s="10"/>
      <c r="D226" s="10"/>
    </row>
    <row r="227" spans="1:4" ht="15.75" customHeight="1">
      <c r="A227" s="8">
        <v>51001</v>
      </c>
      <c r="B227" s="9" t="s">
        <v>241</v>
      </c>
      <c r="C227" s="10"/>
      <c r="D227" s="10"/>
    </row>
    <row r="228" spans="1:4" ht="15.75" customHeight="1">
      <c r="A228" s="8">
        <v>51002</v>
      </c>
      <c r="B228" s="9" t="s">
        <v>242</v>
      </c>
      <c r="C228" s="10"/>
      <c r="D228" s="10"/>
    </row>
    <row r="229" spans="1:4" ht="15.75" customHeight="1">
      <c r="A229" s="8">
        <v>51003</v>
      </c>
      <c r="B229" s="9" t="s">
        <v>243</v>
      </c>
      <c r="C229" s="10"/>
      <c r="D229" s="10"/>
    </row>
    <row r="230" spans="1:4" ht="15.75" customHeight="1">
      <c r="A230" s="8">
        <v>51101</v>
      </c>
      <c r="B230" s="9" t="s">
        <v>244</v>
      </c>
      <c r="C230" s="10"/>
      <c r="D230" s="10"/>
    </row>
    <row r="231" spans="1:4" ht="15.75" customHeight="1">
      <c r="A231" s="8">
        <v>51102</v>
      </c>
      <c r="B231" s="9" t="s">
        <v>245</v>
      </c>
      <c r="C231" s="10"/>
      <c r="D231" s="10"/>
    </row>
    <row r="232" spans="1:4" ht="15.75" customHeight="1">
      <c r="A232" s="8">
        <v>51103</v>
      </c>
      <c r="B232" s="9" t="s">
        <v>246</v>
      </c>
      <c r="C232" s="10"/>
      <c r="D232" s="10"/>
    </row>
    <row r="233" spans="1:4" ht="15.75" customHeight="1">
      <c r="A233" s="8">
        <v>51201</v>
      </c>
      <c r="B233" s="9" t="s">
        <v>247</v>
      </c>
      <c r="C233" s="10"/>
      <c r="D233" s="10"/>
    </row>
    <row r="234" spans="1:4" ht="15.75" customHeight="1">
      <c r="A234" s="8">
        <v>51202</v>
      </c>
      <c r="B234" s="9" t="s">
        <v>248</v>
      </c>
      <c r="C234" s="10"/>
      <c r="D234" s="10"/>
    </row>
    <row r="235" spans="1:4" ht="15.75" customHeight="1">
      <c r="A235" s="8">
        <v>51203</v>
      </c>
      <c r="B235" s="9" t="s">
        <v>249</v>
      </c>
      <c r="C235" s="10"/>
      <c r="D235" s="10"/>
    </row>
    <row r="236" spans="1:4" ht="15.75" customHeight="1">
      <c r="A236" s="8">
        <v>51204</v>
      </c>
      <c r="B236" s="9" t="s">
        <v>250</v>
      </c>
      <c r="C236" s="10"/>
      <c r="D236" s="10"/>
    </row>
    <row r="237" spans="1:4" ht="15.75" customHeight="1">
      <c r="A237" s="8">
        <v>51301</v>
      </c>
      <c r="B237" s="9" t="s">
        <v>251</v>
      </c>
      <c r="C237" s="10"/>
      <c r="D237" s="10"/>
    </row>
    <row r="238" spans="1:4" ht="15.75" customHeight="1">
      <c r="A238" s="8">
        <v>51302</v>
      </c>
      <c r="B238" s="9" t="s">
        <v>252</v>
      </c>
      <c r="C238" s="10"/>
      <c r="D238" s="10"/>
    </row>
    <row r="239" spans="1:4" ht="15.75" customHeight="1">
      <c r="A239" s="8">
        <v>51401</v>
      </c>
      <c r="B239" s="9" t="s">
        <v>253</v>
      </c>
      <c r="C239" s="10"/>
      <c r="D239" s="10"/>
    </row>
    <row r="240" spans="1:4" ht="15.75" customHeight="1">
      <c r="A240" s="8">
        <v>51402</v>
      </c>
      <c r="B240" s="9" t="s">
        <v>254</v>
      </c>
      <c r="C240" s="10"/>
      <c r="D240" s="10"/>
    </row>
    <row r="241" spans="1:4" ht="15.75" customHeight="1">
      <c r="A241" s="8">
        <v>51501</v>
      </c>
      <c r="B241" s="9" t="s">
        <v>255</v>
      </c>
      <c r="C241" s="10"/>
      <c r="D241" s="10"/>
    </row>
    <row r="242" spans="1:4" ht="15.75" customHeight="1">
      <c r="A242" s="8">
        <v>51601</v>
      </c>
      <c r="B242" s="9" t="s">
        <v>256</v>
      </c>
      <c r="C242" s="10"/>
      <c r="D242" s="10"/>
    </row>
    <row r="243" spans="1:4" ht="15.75" customHeight="1">
      <c r="A243" s="8">
        <v>60101</v>
      </c>
      <c r="B243" s="9" t="s">
        <v>257</v>
      </c>
      <c r="C243" s="10"/>
      <c r="D243" s="10"/>
    </row>
    <row r="244" spans="1:4" ht="15.75" customHeight="1">
      <c r="A244" s="8">
        <v>60201</v>
      </c>
      <c r="B244" s="9" t="s">
        <v>258</v>
      </c>
      <c r="C244" s="10"/>
      <c r="D244" s="10"/>
    </row>
    <row r="245" spans="1:4" ht="15.75" customHeight="1">
      <c r="A245" s="8">
        <v>60202</v>
      </c>
      <c r="B245" s="9" t="s">
        <v>259</v>
      </c>
      <c r="C245" s="10"/>
      <c r="D245" s="10"/>
    </row>
    <row r="246" spans="1:4" ht="15.75" customHeight="1">
      <c r="A246" s="8">
        <v>60301</v>
      </c>
      <c r="B246" s="9" t="s">
        <v>260</v>
      </c>
      <c r="C246" s="10"/>
      <c r="D246" s="10"/>
    </row>
    <row r="247" spans="1:4" ht="15.75" customHeight="1">
      <c r="A247" s="8">
        <v>60302</v>
      </c>
      <c r="B247" s="9" t="s">
        <v>261</v>
      </c>
      <c r="C247" s="10"/>
      <c r="D247" s="10"/>
    </row>
    <row r="248" spans="1:4" ht="15.75" customHeight="1">
      <c r="A248" s="8">
        <v>60303</v>
      </c>
      <c r="B248" s="9" t="s">
        <v>262</v>
      </c>
      <c r="C248" s="10"/>
      <c r="D248" s="10"/>
    </row>
    <row r="249" spans="1:4" ht="15.75" customHeight="1">
      <c r="A249" s="8">
        <v>60401</v>
      </c>
      <c r="B249" s="9" t="s">
        <v>263</v>
      </c>
      <c r="C249" s="10"/>
      <c r="D249" s="10"/>
    </row>
    <row r="250" spans="1:4" ht="15.75" customHeight="1">
      <c r="A250" s="8">
        <v>60402</v>
      </c>
      <c r="B250" s="9" t="s">
        <v>264</v>
      </c>
      <c r="C250" s="10"/>
      <c r="D250" s="10"/>
    </row>
    <row r="251" spans="1:4" ht="15.75" customHeight="1">
      <c r="A251" s="8">
        <v>60501</v>
      </c>
      <c r="B251" s="9" t="s">
        <v>265</v>
      </c>
      <c r="C251" s="10"/>
      <c r="D251" s="10"/>
    </row>
    <row r="252" spans="1:4" ht="15.75" customHeight="1">
      <c r="A252" s="8">
        <v>60502</v>
      </c>
      <c r="B252" s="9" t="s">
        <v>266</v>
      </c>
      <c r="C252" s="10"/>
      <c r="D252" s="10"/>
    </row>
    <row r="253" spans="1:4" ht="15.75" customHeight="1">
      <c r="A253" s="8">
        <v>60601</v>
      </c>
      <c r="B253" s="9" t="s">
        <v>167</v>
      </c>
      <c r="C253" s="10"/>
      <c r="D253" s="10"/>
    </row>
    <row r="254" spans="1:4" ht="15.75" customHeight="1">
      <c r="A254" s="8">
        <v>70101</v>
      </c>
      <c r="B254" s="9" t="s">
        <v>267</v>
      </c>
      <c r="C254" s="10"/>
      <c r="D254" s="10"/>
    </row>
    <row r="255" spans="1:4" ht="15.75" customHeight="1">
      <c r="A255" s="8">
        <v>70102</v>
      </c>
      <c r="B255" s="9" t="s">
        <v>268</v>
      </c>
      <c r="C255" s="10"/>
      <c r="D255" s="10"/>
    </row>
    <row r="256" spans="1:4" ht="15.75" customHeight="1">
      <c r="A256" s="8">
        <v>70103</v>
      </c>
      <c r="B256" s="9" t="s">
        <v>269</v>
      </c>
      <c r="C256" s="10"/>
      <c r="D256" s="10"/>
    </row>
    <row r="257" spans="1:4" ht="15.75" customHeight="1">
      <c r="A257" s="8">
        <v>70104</v>
      </c>
      <c r="B257" s="9" t="s">
        <v>270</v>
      </c>
      <c r="C257" s="10"/>
      <c r="D257" s="10"/>
    </row>
    <row r="258" spans="1:4" ht="15.75" customHeight="1">
      <c r="A258" s="8">
        <v>70105</v>
      </c>
      <c r="B258" s="9" t="s">
        <v>271</v>
      </c>
      <c r="C258" s="10"/>
      <c r="D258" s="10"/>
    </row>
    <row r="259" spans="1:4" ht="15.75" customHeight="1">
      <c r="A259" s="8">
        <v>70201</v>
      </c>
      <c r="B259" s="9" t="s">
        <v>272</v>
      </c>
      <c r="C259" s="10"/>
      <c r="D259" s="10"/>
    </row>
    <row r="260" spans="1:4" ht="15.75" customHeight="1">
      <c r="A260" s="8">
        <v>70202</v>
      </c>
      <c r="B260" s="9" t="s">
        <v>273</v>
      </c>
      <c r="C260" s="10"/>
      <c r="D260" s="10"/>
    </row>
    <row r="261" spans="1:4" ht="15.75" customHeight="1">
      <c r="A261" s="8">
        <v>70301</v>
      </c>
      <c r="B261" s="9" t="s">
        <v>274</v>
      </c>
      <c r="C261" s="10"/>
      <c r="D261" s="10"/>
    </row>
    <row r="262" spans="1:4" ht="15.75" customHeight="1">
      <c r="A262" s="8">
        <v>70302</v>
      </c>
      <c r="B262" s="9" t="s">
        <v>275</v>
      </c>
      <c r="C262" s="10"/>
      <c r="D262" s="10"/>
    </row>
    <row r="263" spans="1:4" ht="15.75" customHeight="1">
      <c r="A263" s="8">
        <v>70303</v>
      </c>
      <c r="B263" s="9" t="s">
        <v>276</v>
      </c>
      <c r="C263" s="10"/>
      <c r="D263" s="10"/>
    </row>
    <row r="264" spans="1:4" ht="15.75" customHeight="1">
      <c r="A264" s="8">
        <v>70401</v>
      </c>
      <c r="B264" s="9" t="s">
        <v>277</v>
      </c>
      <c r="C264" s="10"/>
      <c r="D264" s="10"/>
    </row>
    <row r="265" spans="1:4" ht="15.75" customHeight="1">
      <c r="A265" s="8">
        <v>70402</v>
      </c>
      <c r="B265" s="9" t="s">
        <v>278</v>
      </c>
      <c r="C265" s="10"/>
      <c r="D265" s="10"/>
    </row>
    <row r="266" spans="1:4" ht="15.75" customHeight="1">
      <c r="A266" s="8">
        <v>70403</v>
      </c>
      <c r="B266" s="9" t="s">
        <v>279</v>
      </c>
      <c r="C266" s="10"/>
      <c r="D266" s="10"/>
    </row>
    <row r="267" spans="1:4" ht="15.75" customHeight="1">
      <c r="A267" s="8">
        <v>70404</v>
      </c>
      <c r="B267" s="9" t="s">
        <v>280</v>
      </c>
      <c r="C267" s="10"/>
      <c r="D267" s="10"/>
    </row>
    <row r="268" spans="1:4" ht="15.75" customHeight="1">
      <c r="A268" s="8">
        <v>70501</v>
      </c>
      <c r="B268" s="9" t="s">
        <v>281</v>
      </c>
      <c r="C268" s="10"/>
      <c r="D268" s="10"/>
    </row>
    <row r="269" spans="1:4" ht="15.75" customHeight="1">
      <c r="A269" s="8">
        <v>70502</v>
      </c>
      <c r="B269" s="9" t="s">
        <v>282</v>
      </c>
      <c r="C269" s="10"/>
      <c r="D269" s="10"/>
    </row>
    <row r="270" spans="1:4" ht="15.75" customHeight="1">
      <c r="A270" s="8">
        <v>70503</v>
      </c>
      <c r="B270" s="9" t="s">
        <v>283</v>
      </c>
      <c r="C270" s="10"/>
      <c r="D270" s="10"/>
    </row>
    <row r="271" spans="1:4" ht="15.75" customHeight="1">
      <c r="A271" s="8">
        <v>70601</v>
      </c>
      <c r="B271" s="9" t="s">
        <v>284</v>
      </c>
      <c r="C271" s="10"/>
      <c r="D271" s="10"/>
    </row>
    <row r="272" spans="1:4" ht="15.75" customHeight="1">
      <c r="A272" s="8">
        <v>70602</v>
      </c>
      <c r="B272" s="9" t="s">
        <v>285</v>
      </c>
      <c r="C272" s="10"/>
      <c r="D272" s="10"/>
    </row>
    <row r="273" spans="1:4" ht="15.75" customHeight="1">
      <c r="A273" s="8">
        <v>70603</v>
      </c>
      <c r="B273" s="9" t="s">
        <v>286</v>
      </c>
      <c r="C273" s="10"/>
      <c r="D273" s="10"/>
    </row>
    <row r="274" spans="1:4" ht="15.75" customHeight="1">
      <c r="A274" s="8">
        <v>70701</v>
      </c>
      <c r="B274" s="9" t="s">
        <v>287</v>
      </c>
      <c r="C274" s="10"/>
      <c r="D274" s="10"/>
    </row>
    <row r="275" spans="1:4" ht="15.75" customHeight="1">
      <c r="A275" s="8">
        <v>70702</v>
      </c>
      <c r="B275" s="9" t="s">
        <v>288</v>
      </c>
      <c r="C275" s="10"/>
      <c r="D275" s="10"/>
    </row>
    <row r="276" spans="1:4" ht="15.75" customHeight="1">
      <c r="A276" s="8">
        <v>70703</v>
      </c>
      <c r="B276" s="9" t="s">
        <v>289</v>
      </c>
      <c r="C276" s="10"/>
      <c r="D276" s="10"/>
    </row>
    <row r="277" spans="1:4" ht="15.75" customHeight="1">
      <c r="A277" s="8">
        <v>70704</v>
      </c>
      <c r="B277" s="9" t="s">
        <v>290</v>
      </c>
      <c r="C277" s="10"/>
      <c r="D277" s="10"/>
    </row>
    <row r="278" spans="1:4" ht="15.75" customHeight="1">
      <c r="A278" s="8">
        <v>70705</v>
      </c>
      <c r="B278" s="9" t="s">
        <v>291</v>
      </c>
      <c r="C278" s="10"/>
      <c r="D278" s="10"/>
    </row>
    <row r="279" spans="1:4" ht="15.75" customHeight="1">
      <c r="A279" s="8">
        <v>70706</v>
      </c>
      <c r="B279" s="9" t="s">
        <v>292</v>
      </c>
      <c r="C279" s="10"/>
      <c r="D279" s="10"/>
    </row>
    <row r="280" spans="1:4" ht="15.75" customHeight="1">
      <c r="A280" s="8">
        <v>70707</v>
      </c>
      <c r="B280" s="9" t="s">
        <v>293</v>
      </c>
      <c r="C280" s="10"/>
      <c r="D280" s="10"/>
    </row>
    <row r="281" spans="1:4" ht="15.75" customHeight="1">
      <c r="A281" s="8">
        <v>70801</v>
      </c>
      <c r="B281" s="9" t="s">
        <v>294</v>
      </c>
      <c r="C281" s="10"/>
      <c r="D281" s="10"/>
    </row>
    <row r="282" spans="1:4" ht="15.75" customHeight="1">
      <c r="A282" s="8">
        <v>70802</v>
      </c>
      <c r="B282" s="9" t="s">
        <v>295</v>
      </c>
      <c r="C282" s="10"/>
      <c r="D282" s="10"/>
    </row>
    <row r="283" spans="1:4" ht="15.75" customHeight="1">
      <c r="A283" s="8">
        <v>70803</v>
      </c>
      <c r="B283" s="9" t="s">
        <v>296</v>
      </c>
      <c r="C283" s="10"/>
      <c r="D283" s="10"/>
    </row>
    <row r="284" spans="1:4" ht="15.75" customHeight="1">
      <c r="A284" s="8">
        <v>70804</v>
      </c>
      <c r="B284" s="9" t="s">
        <v>297</v>
      </c>
      <c r="C284" s="10"/>
      <c r="D284" s="10"/>
    </row>
    <row r="285" spans="1:4" ht="15.75" customHeight="1">
      <c r="A285" s="8">
        <v>70805</v>
      </c>
      <c r="B285" s="9" t="s">
        <v>298</v>
      </c>
      <c r="C285" s="10"/>
      <c r="D285" s="10"/>
    </row>
    <row r="286" spans="1:4" ht="15.75" customHeight="1">
      <c r="A286" s="8">
        <v>70901</v>
      </c>
      <c r="B286" s="9" t="s">
        <v>299</v>
      </c>
      <c r="C286" s="10"/>
      <c r="D286" s="10"/>
    </row>
    <row r="287" spans="1:4" ht="15.75" customHeight="1">
      <c r="A287" s="8">
        <v>70902</v>
      </c>
      <c r="B287" s="9" t="s">
        <v>300</v>
      </c>
      <c r="C287" s="10"/>
      <c r="D287" s="10"/>
    </row>
    <row r="288" spans="1:4" ht="15.75" customHeight="1">
      <c r="A288" s="8">
        <v>70903</v>
      </c>
      <c r="B288" s="9" t="s">
        <v>301</v>
      </c>
      <c r="C288" s="10"/>
      <c r="D288" s="10"/>
    </row>
    <row r="289" spans="1:4" ht="15.75" customHeight="1">
      <c r="A289" s="8">
        <v>70904</v>
      </c>
      <c r="B289" s="9" t="s">
        <v>302</v>
      </c>
      <c r="C289" s="10"/>
      <c r="D289" s="10"/>
    </row>
    <row r="290" spans="1:4" ht="15.75" customHeight="1">
      <c r="A290" s="8">
        <v>71001</v>
      </c>
      <c r="B290" s="9" t="s">
        <v>303</v>
      </c>
      <c r="C290" s="10"/>
      <c r="D290" s="10"/>
    </row>
    <row r="291" spans="1:4" ht="15.75" customHeight="1">
      <c r="A291" s="8">
        <v>71002</v>
      </c>
      <c r="B291" s="9" t="s">
        <v>304</v>
      </c>
      <c r="C291" s="10"/>
      <c r="D291" s="10"/>
    </row>
    <row r="292" spans="1:4" ht="15.75" customHeight="1">
      <c r="A292" s="8">
        <v>71003</v>
      </c>
      <c r="B292" s="9" t="s">
        <v>305</v>
      </c>
      <c r="C292" s="10"/>
      <c r="D292" s="10"/>
    </row>
    <row r="293" spans="1:4" ht="15.75" customHeight="1">
      <c r="A293" s="8">
        <v>71004</v>
      </c>
      <c r="B293" s="9" t="s">
        <v>306</v>
      </c>
      <c r="C293" s="10"/>
      <c r="D293" s="10"/>
    </row>
    <row r="294" spans="1:4" ht="15.75" customHeight="1">
      <c r="A294" s="8">
        <v>71005</v>
      </c>
      <c r="B294" s="9" t="s">
        <v>307</v>
      </c>
      <c r="C294" s="10"/>
      <c r="D294" s="10"/>
    </row>
    <row r="295" spans="1:4" ht="15.75" customHeight="1">
      <c r="A295" s="8">
        <v>71101</v>
      </c>
      <c r="B295" s="9" t="s">
        <v>308</v>
      </c>
      <c r="C295" s="10"/>
      <c r="D295" s="10"/>
    </row>
    <row r="296" spans="1:4" ht="15.75" customHeight="1">
      <c r="A296" s="8">
        <v>71102</v>
      </c>
      <c r="B296" s="9" t="s">
        <v>309</v>
      </c>
      <c r="C296" s="10"/>
      <c r="D296" s="10"/>
    </row>
    <row r="297" spans="1:4" ht="15.75" customHeight="1">
      <c r="A297" s="8">
        <v>71103</v>
      </c>
      <c r="B297" s="9" t="s">
        <v>310</v>
      </c>
      <c r="C297" s="10"/>
      <c r="D297" s="10"/>
    </row>
    <row r="298" spans="1:4" ht="15.75" customHeight="1">
      <c r="A298" s="8">
        <v>71104</v>
      </c>
      <c r="B298" s="9" t="s">
        <v>311</v>
      </c>
      <c r="C298" s="10"/>
      <c r="D298" s="10"/>
    </row>
    <row r="299" spans="1:4" ht="15.75" customHeight="1">
      <c r="A299" s="8">
        <v>71105</v>
      </c>
      <c r="B299" s="9" t="s">
        <v>312</v>
      </c>
      <c r="C299" s="10"/>
      <c r="D299" s="10"/>
    </row>
    <row r="300" spans="1:4" ht="15.75" customHeight="1">
      <c r="A300" s="8">
        <v>71106</v>
      </c>
      <c r="B300" s="9" t="s">
        <v>313</v>
      </c>
      <c r="C300" s="10"/>
      <c r="D300" s="10"/>
    </row>
    <row r="301" spans="1:4" ht="15.75" customHeight="1">
      <c r="A301" s="8">
        <v>71201</v>
      </c>
      <c r="B301" s="9" t="s">
        <v>314</v>
      </c>
      <c r="C301" s="10"/>
      <c r="D301" s="10"/>
    </row>
    <row r="302" spans="1:4" ht="15.75" customHeight="1">
      <c r="A302" s="8">
        <v>71301</v>
      </c>
      <c r="B302" s="9" t="s">
        <v>315</v>
      </c>
      <c r="C302" s="10"/>
      <c r="D302" s="10"/>
    </row>
    <row r="303" spans="1:4" ht="15.75" customHeight="1">
      <c r="A303" s="8">
        <v>71302</v>
      </c>
      <c r="B303" s="9" t="s">
        <v>316</v>
      </c>
      <c r="C303" s="10"/>
      <c r="D303" s="10"/>
    </row>
    <row r="304" spans="1:4" ht="15.75" customHeight="1">
      <c r="A304" s="8">
        <v>71401</v>
      </c>
      <c r="B304" s="9" t="s">
        <v>317</v>
      </c>
      <c r="C304" s="10"/>
      <c r="D304" s="10"/>
    </row>
    <row r="305" spans="1:4" ht="15.75" customHeight="1">
      <c r="A305" s="8">
        <v>71402</v>
      </c>
      <c r="B305" s="9" t="s">
        <v>318</v>
      </c>
      <c r="C305" s="10"/>
      <c r="D305" s="10"/>
    </row>
    <row r="306" spans="1:4" ht="15.75" customHeight="1">
      <c r="A306" s="8">
        <v>71403</v>
      </c>
      <c r="B306" s="9" t="s">
        <v>319</v>
      </c>
      <c r="C306" s="10"/>
      <c r="D306" s="10"/>
    </row>
    <row r="307" spans="1:4" ht="15.75" customHeight="1">
      <c r="A307" s="8">
        <v>71501</v>
      </c>
      <c r="B307" s="9" t="s">
        <v>320</v>
      </c>
      <c r="C307" s="10"/>
      <c r="D307" s="10"/>
    </row>
    <row r="308" spans="1:4" ht="15.75" customHeight="1">
      <c r="A308" s="8">
        <v>71502</v>
      </c>
      <c r="B308" s="9" t="s">
        <v>321</v>
      </c>
      <c r="C308" s="10"/>
      <c r="D308" s="10"/>
    </row>
    <row r="309" spans="1:4" ht="15.75" customHeight="1">
      <c r="A309" s="8">
        <v>71503</v>
      </c>
      <c r="B309" s="9" t="s">
        <v>266</v>
      </c>
      <c r="C309" s="10"/>
      <c r="D309" s="10"/>
    </row>
    <row r="310" spans="1:4" ht="15.75" customHeight="1">
      <c r="A310" s="8">
        <v>80101</v>
      </c>
      <c r="B310" s="9" t="s">
        <v>322</v>
      </c>
      <c r="C310" s="10"/>
      <c r="D310" s="10"/>
    </row>
    <row r="311" spans="1:4" ht="15.75" customHeight="1">
      <c r="A311" s="8">
        <v>80102</v>
      </c>
      <c r="B311" s="9" t="s">
        <v>309</v>
      </c>
      <c r="C311" s="10"/>
      <c r="D311" s="10"/>
    </row>
    <row r="312" spans="1:4" ht="15.75" customHeight="1">
      <c r="A312" s="8">
        <v>80201</v>
      </c>
      <c r="B312" s="9" t="s">
        <v>323</v>
      </c>
      <c r="C312" s="10"/>
      <c r="D312" s="10"/>
    </row>
    <row r="313" spans="1:4" ht="15.75" customHeight="1">
      <c r="A313" s="8">
        <v>80202</v>
      </c>
      <c r="B313" s="9" t="s">
        <v>324</v>
      </c>
      <c r="C313" s="10"/>
      <c r="D313" s="10"/>
    </row>
    <row r="314" spans="1:4" ht="15.75" customHeight="1">
      <c r="A314" s="8">
        <v>80301</v>
      </c>
      <c r="B314" s="9" t="s">
        <v>325</v>
      </c>
      <c r="C314" s="10"/>
      <c r="D314" s="10"/>
    </row>
    <row r="315" spans="1:4" ht="15.75" customHeight="1">
      <c r="A315" s="8">
        <v>80302</v>
      </c>
      <c r="B315" s="9" t="s">
        <v>326</v>
      </c>
      <c r="C315" s="10"/>
      <c r="D315" s="10"/>
    </row>
    <row r="316" spans="1:4" ht="15.75" customHeight="1">
      <c r="A316" s="8">
        <v>80303</v>
      </c>
      <c r="B316" s="9" t="s">
        <v>327</v>
      </c>
      <c r="C316" s="10"/>
      <c r="D316" s="10"/>
    </row>
    <row r="317" spans="1:4" ht="15.75" customHeight="1">
      <c r="A317" s="8">
        <v>80304</v>
      </c>
      <c r="B317" s="9" t="s">
        <v>328</v>
      </c>
      <c r="C317" s="10"/>
      <c r="D317" s="10"/>
    </row>
    <row r="318" spans="1:4" ht="15.75" customHeight="1">
      <c r="A318" s="8">
        <v>80401</v>
      </c>
      <c r="B318" s="9" t="s">
        <v>329</v>
      </c>
      <c r="C318" s="10"/>
      <c r="D318" s="10"/>
    </row>
    <row r="319" spans="1:4" ht="15.75" customHeight="1">
      <c r="A319" s="8">
        <v>80402</v>
      </c>
      <c r="B319" s="9" t="s">
        <v>330</v>
      </c>
      <c r="C319" s="10"/>
      <c r="D319" s="10"/>
    </row>
    <row r="320" spans="1:4" ht="15.75" customHeight="1">
      <c r="A320" s="8">
        <v>80501</v>
      </c>
      <c r="B320" s="9" t="s">
        <v>331</v>
      </c>
      <c r="C320" s="10"/>
      <c r="D320" s="10"/>
    </row>
    <row r="321" spans="1:4" ht="15.75" customHeight="1">
      <c r="A321" s="8">
        <v>80601</v>
      </c>
      <c r="B321" s="9" t="s">
        <v>332</v>
      </c>
      <c r="C321" s="10"/>
      <c r="D321" s="10"/>
    </row>
    <row r="322" spans="1:4" ht="15.75" customHeight="1">
      <c r="A322" s="8">
        <v>80602</v>
      </c>
      <c r="B322" s="9" t="s">
        <v>333</v>
      </c>
      <c r="C322" s="10"/>
      <c r="D322" s="10"/>
    </row>
    <row r="323" spans="1:4" ht="15.75" customHeight="1">
      <c r="A323" s="8">
        <v>80701</v>
      </c>
      <c r="B323" s="9" t="s">
        <v>334</v>
      </c>
      <c r="C323" s="10"/>
      <c r="D323" s="10"/>
    </row>
    <row r="324" spans="1:4" ht="15.75" customHeight="1">
      <c r="A324" s="8">
        <v>80702</v>
      </c>
      <c r="B324" s="9" t="s">
        <v>310</v>
      </c>
      <c r="C324" s="10"/>
      <c r="D324" s="10"/>
    </row>
    <row r="325" spans="1:4" ht="15.75" customHeight="1">
      <c r="A325" s="8">
        <v>80703</v>
      </c>
      <c r="B325" s="9" t="s">
        <v>335</v>
      </c>
      <c r="C325" s="10"/>
      <c r="D325" s="10"/>
    </row>
    <row r="326" spans="1:4" ht="15.75" customHeight="1">
      <c r="A326" s="8">
        <v>80801</v>
      </c>
      <c r="B326" s="9" t="s">
        <v>336</v>
      </c>
      <c r="C326" s="10"/>
      <c r="D326" s="10"/>
    </row>
    <row r="327" spans="1:4" ht="15.75" customHeight="1">
      <c r="A327" s="8">
        <v>80802</v>
      </c>
      <c r="B327" s="9" t="s">
        <v>337</v>
      </c>
      <c r="C327" s="10"/>
      <c r="D327" s="10"/>
    </row>
    <row r="328" spans="1:4" ht="15.75" customHeight="1">
      <c r="A328" s="8">
        <v>80803</v>
      </c>
      <c r="B328" s="9" t="s">
        <v>338</v>
      </c>
      <c r="C328" s="10"/>
      <c r="D328" s="10"/>
    </row>
    <row r="329" spans="1:4" ht="15.75" customHeight="1">
      <c r="A329" s="8">
        <v>80901</v>
      </c>
      <c r="B329" s="9" t="s">
        <v>339</v>
      </c>
      <c r="C329" s="10"/>
      <c r="D329" s="10"/>
    </row>
    <row r="330" spans="1:4" ht="15.75" customHeight="1">
      <c r="A330" s="8">
        <v>90101</v>
      </c>
      <c r="B330" s="9" t="s">
        <v>340</v>
      </c>
      <c r="C330" s="10"/>
      <c r="D330" s="10"/>
    </row>
    <row r="331" spans="1:4" ht="15.75" customHeight="1">
      <c r="A331" s="8">
        <v>90102</v>
      </c>
      <c r="B331" s="9" t="s">
        <v>341</v>
      </c>
      <c r="C331" s="10"/>
      <c r="D331" s="10"/>
    </row>
    <row r="332" spans="1:4" ht="15.75" customHeight="1">
      <c r="A332" s="8">
        <v>90103</v>
      </c>
      <c r="B332" s="9" t="s">
        <v>342</v>
      </c>
      <c r="C332" s="10"/>
      <c r="D332" s="10"/>
    </row>
    <row r="333" spans="1:4" ht="15.75" customHeight="1">
      <c r="A333" s="8">
        <v>90104</v>
      </c>
      <c r="B333" s="9" t="s">
        <v>343</v>
      </c>
      <c r="C333" s="10"/>
      <c r="D333" s="10"/>
    </row>
    <row r="334" spans="1:4" ht="15.75" customHeight="1">
      <c r="A334" s="8">
        <v>90201</v>
      </c>
      <c r="B334" s="9" t="s">
        <v>344</v>
      </c>
      <c r="C334" s="10"/>
      <c r="D334" s="10"/>
    </row>
    <row r="335" spans="1:4" ht="15.75" customHeight="1">
      <c r="A335" s="8">
        <v>90202</v>
      </c>
      <c r="B335" s="9" t="s">
        <v>307</v>
      </c>
      <c r="C335" s="10"/>
      <c r="D335" s="10"/>
    </row>
    <row r="336" spans="1:4" ht="15.75" customHeight="1">
      <c r="A336" s="8">
        <v>90203</v>
      </c>
      <c r="B336" s="9" t="s">
        <v>345</v>
      </c>
      <c r="C336" s="10"/>
      <c r="D336" s="10"/>
    </row>
    <row r="337" spans="1:4" ht="15.75" customHeight="1">
      <c r="A337" s="8">
        <v>90301</v>
      </c>
      <c r="B337" s="9" t="s">
        <v>346</v>
      </c>
      <c r="C337" s="10"/>
      <c r="D337" s="10"/>
    </row>
    <row r="338" spans="1:4" ht="15.75" customHeight="1">
      <c r="A338" s="8">
        <v>90302</v>
      </c>
      <c r="B338" s="9" t="s">
        <v>347</v>
      </c>
      <c r="C338" s="10"/>
      <c r="D338" s="10"/>
    </row>
    <row r="339" spans="1:4" ht="15.75" customHeight="1">
      <c r="A339" s="8">
        <v>90303</v>
      </c>
      <c r="B339" s="9" t="s">
        <v>348</v>
      </c>
      <c r="C339" s="10"/>
      <c r="D339" s="10"/>
    </row>
    <row r="340" spans="1:4" ht="15.75" customHeight="1">
      <c r="A340" s="8">
        <v>90401</v>
      </c>
      <c r="B340" s="9" t="s">
        <v>349</v>
      </c>
      <c r="C340" s="10"/>
      <c r="D340" s="10"/>
    </row>
    <row r="341" spans="1:4" ht="15.75" customHeight="1">
      <c r="A341" s="8">
        <v>90402</v>
      </c>
      <c r="B341" s="9" t="s">
        <v>350</v>
      </c>
      <c r="C341" s="10"/>
      <c r="D341" s="10"/>
    </row>
    <row r="342" spans="1:4" ht="15.75" customHeight="1">
      <c r="A342" s="8">
        <v>90501</v>
      </c>
      <c r="B342" s="9" t="s">
        <v>351</v>
      </c>
      <c r="C342" s="10"/>
      <c r="D342" s="10"/>
    </row>
    <row r="343" spans="1:4" ht="15.75" customHeight="1">
      <c r="A343" s="8">
        <v>90502</v>
      </c>
      <c r="B343" s="9" t="s">
        <v>352</v>
      </c>
      <c r="C343" s="10"/>
      <c r="D343" s="10"/>
    </row>
    <row r="344" spans="1:4" ht="15.75" customHeight="1">
      <c r="A344" s="8">
        <v>90503</v>
      </c>
      <c r="B344" s="9" t="s">
        <v>353</v>
      </c>
      <c r="C344" s="10"/>
      <c r="D344" s="10"/>
    </row>
    <row r="345" spans="1:4" ht="15.75" customHeight="1">
      <c r="A345" s="22"/>
      <c r="B345" s="29"/>
      <c r="C345" s="23"/>
      <c r="D345" s="23"/>
    </row>
    <row r="346" spans="1:4" ht="15.75" customHeight="1">
      <c r="A346" s="22"/>
      <c r="B346" s="29"/>
      <c r="C346" s="23"/>
      <c r="D346" s="23"/>
    </row>
    <row r="347" spans="1:4" ht="15.75" customHeight="1">
      <c r="A347" s="22"/>
      <c r="B347" s="29"/>
      <c r="C347" s="23"/>
      <c r="D347" s="23"/>
    </row>
    <row r="348" spans="1:4" ht="15.75" customHeight="1">
      <c r="A348" s="22"/>
      <c r="B348" s="29"/>
      <c r="C348" s="23"/>
      <c r="D348" s="23"/>
    </row>
    <row r="349" spans="1:4" ht="15.75" customHeight="1">
      <c r="A349" s="22"/>
      <c r="B349" s="29"/>
      <c r="C349" s="23"/>
      <c r="D349" s="23"/>
    </row>
    <row r="350" spans="1:4" ht="15.75" customHeight="1">
      <c r="A350" s="22"/>
      <c r="B350" s="29"/>
      <c r="C350" s="23"/>
      <c r="D350" s="23"/>
    </row>
    <row r="351" spans="1:4" ht="15.75" customHeight="1">
      <c r="A351" s="22"/>
      <c r="B351" s="29"/>
      <c r="C351" s="23"/>
      <c r="D351" s="23"/>
    </row>
    <row r="352" spans="1:4" ht="15.75" customHeight="1">
      <c r="A352" s="22"/>
      <c r="B352" s="29"/>
      <c r="C352" s="23"/>
      <c r="D352" s="23"/>
    </row>
    <row r="353" spans="1:4" ht="15.75" customHeight="1">
      <c r="A353" s="22"/>
      <c r="B353" s="29"/>
      <c r="C353" s="23"/>
      <c r="D353" s="23"/>
    </row>
    <row r="354" spans="1:4" ht="15.75" customHeight="1">
      <c r="A354" s="22"/>
      <c r="B354" s="29"/>
      <c r="C354" s="23"/>
      <c r="D354" s="23"/>
    </row>
    <row r="355" spans="1:4" ht="15.75" customHeight="1">
      <c r="A355" s="22"/>
      <c r="B355" s="29"/>
      <c r="C355" s="23"/>
      <c r="D355" s="23"/>
    </row>
    <row r="356" spans="1:4" ht="15.75" customHeight="1">
      <c r="A356" s="22"/>
      <c r="B356" s="29"/>
      <c r="C356" s="23"/>
      <c r="D356" s="23"/>
    </row>
    <row r="357" spans="1:4" ht="15.75" customHeight="1">
      <c r="A357" s="22"/>
      <c r="B357" s="29"/>
      <c r="C357" s="23"/>
      <c r="D357" s="23"/>
    </row>
    <row r="358" spans="1:4" ht="15.75" customHeight="1">
      <c r="A358" s="22"/>
      <c r="B358" s="29"/>
      <c r="C358" s="23"/>
      <c r="D358" s="23"/>
    </row>
    <row r="359" spans="1:4" ht="15.75" customHeight="1">
      <c r="A359" s="22"/>
      <c r="B359" s="29"/>
      <c r="C359" s="23"/>
      <c r="D359" s="23"/>
    </row>
    <row r="360" spans="1:4" ht="15.75" customHeight="1">
      <c r="A360" s="22"/>
      <c r="B360" s="29"/>
      <c r="C360" s="23"/>
      <c r="D360" s="23"/>
    </row>
    <row r="361" spans="1:4" ht="15.75" customHeight="1">
      <c r="A361" s="22"/>
      <c r="B361" s="29"/>
      <c r="C361" s="23"/>
      <c r="D361" s="23"/>
    </row>
    <row r="362" spans="1:4" ht="15.75" customHeight="1">
      <c r="A362" s="22"/>
      <c r="B362" s="29"/>
      <c r="C362" s="23"/>
      <c r="D362" s="23"/>
    </row>
    <row r="363" spans="1:4" ht="15.75" customHeight="1">
      <c r="A363" s="22"/>
      <c r="B363" s="29"/>
      <c r="C363" s="23"/>
      <c r="D363" s="23"/>
    </row>
    <row r="364" spans="1:4" ht="15.75" customHeight="1">
      <c r="A364" s="22"/>
      <c r="B364" s="29"/>
      <c r="C364" s="23"/>
      <c r="D364" s="23"/>
    </row>
    <row r="365" spans="1:4" ht="15.75" customHeight="1">
      <c r="A365" s="22"/>
      <c r="B365" s="29"/>
      <c r="C365" s="23"/>
      <c r="D365" s="23"/>
    </row>
    <row r="366" spans="1:4" ht="15.75" customHeight="1">
      <c r="A366" s="22"/>
      <c r="B366" s="29"/>
      <c r="C366" s="23"/>
      <c r="D366" s="23"/>
    </row>
    <row r="367" spans="1:4" ht="15.75" customHeight="1">
      <c r="A367" s="22"/>
      <c r="B367" s="29"/>
      <c r="C367" s="23"/>
      <c r="D367" s="23"/>
    </row>
    <row r="368" spans="1:4" ht="15.75" customHeight="1">
      <c r="A368" s="22"/>
      <c r="B368" s="29"/>
      <c r="C368" s="23"/>
      <c r="D368" s="23"/>
    </row>
    <row r="369" spans="1:4" ht="15.75" customHeight="1">
      <c r="A369" s="22"/>
      <c r="B369" s="29"/>
      <c r="C369" s="23"/>
      <c r="D369" s="23"/>
    </row>
    <row r="370" spans="1:4" ht="15.75" customHeight="1">
      <c r="A370" s="22"/>
      <c r="B370" s="29"/>
      <c r="C370" s="23"/>
      <c r="D370" s="23"/>
    </row>
    <row r="371" spans="1:4" ht="15.75" customHeight="1">
      <c r="A371" s="22"/>
      <c r="B371" s="29"/>
      <c r="C371" s="23"/>
      <c r="D371" s="23"/>
    </row>
    <row r="372" spans="1:4" ht="15.75" customHeight="1">
      <c r="A372" s="22"/>
      <c r="B372" s="29"/>
      <c r="C372" s="23"/>
      <c r="D372" s="23"/>
    </row>
    <row r="373" spans="1:4" ht="15.75" customHeight="1">
      <c r="A373" s="22"/>
      <c r="B373" s="29"/>
      <c r="C373" s="23"/>
      <c r="D373" s="23"/>
    </row>
    <row r="374" spans="1:4" ht="15.75" customHeight="1">
      <c r="A374" s="22"/>
      <c r="B374" s="29"/>
      <c r="C374" s="23"/>
      <c r="D374" s="23"/>
    </row>
    <row r="375" spans="1:4" ht="15.75" customHeight="1">
      <c r="A375" s="22"/>
      <c r="B375" s="29"/>
      <c r="C375" s="23"/>
      <c r="D375" s="23"/>
    </row>
    <row r="376" spans="1:4" ht="15.75" customHeight="1">
      <c r="A376" s="22"/>
      <c r="B376" s="29"/>
      <c r="C376" s="23"/>
      <c r="D376" s="23"/>
    </row>
    <row r="377" spans="1:4" ht="15.75" customHeight="1">
      <c r="A377" s="22"/>
      <c r="B377" s="29"/>
      <c r="C377" s="23"/>
      <c r="D377" s="23"/>
    </row>
    <row r="378" spans="1:4" ht="15.75" customHeight="1">
      <c r="A378" s="22"/>
      <c r="B378" s="29"/>
      <c r="C378" s="23"/>
      <c r="D378" s="23"/>
    </row>
    <row r="379" spans="1:4" ht="15.75" customHeight="1">
      <c r="A379" s="22"/>
      <c r="B379" s="29"/>
      <c r="C379" s="23"/>
      <c r="D379" s="23"/>
    </row>
    <row r="380" spans="1:4" ht="15.75" customHeight="1">
      <c r="A380" s="22"/>
      <c r="B380" s="29"/>
      <c r="C380" s="23"/>
      <c r="D380" s="23"/>
    </row>
    <row r="381" spans="1:4" ht="15.75" customHeight="1">
      <c r="A381" s="22"/>
      <c r="B381" s="29"/>
      <c r="C381" s="23"/>
      <c r="D381" s="23"/>
    </row>
    <row r="382" spans="1:4" ht="15.75" customHeight="1">
      <c r="A382" s="22"/>
      <c r="B382" s="29"/>
      <c r="C382" s="23"/>
      <c r="D382" s="23"/>
    </row>
    <row r="383" spans="1:4" ht="15.75" customHeight="1">
      <c r="A383" s="22"/>
      <c r="B383" s="29"/>
      <c r="C383" s="23"/>
      <c r="D383" s="23"/>
    </row>
    <row r="384" spans="1:4" ht="15.75" customHeight="1">
      <c r="A384" s="22"/>
      <c r="B384" s="29"/>
      <c r="C384" s="23"/>
      <c r="D384" s="23"/>
    </row>
    <row r="385" spans="1:4" ht="15.75" customHeight="1">
      <c r="A385" s="22"/>
      <c r="B385" s="29"/>
      <c r="C385" s="23"/>
      <c r="D385" s="23"/>
    </row>
    <row r="386" spans="1:4" ht="15.75" customHeight="1">
      <c r="A386" s="22"/>
      <c r="B386" s="29"/>
      <c r="C386" s="23"/>
      <c r="D386" s="23"/>
    </row>
    <row r="387" spans="1:4" ht="15.75" customHeight="1">
      <c r="A387" s="22"/>
      <c r="B387" s="29"/>
      <c r="C387" s="23"/>
      <c r="D387" s="23"/>
    </row>
    <row r="388" spans="1:4" ht="15.75" customHeight="1">
      <c r="A388" s="22"/>
      <c r="B388" s="29"/>
      <c r="C388" s="23"/>
      <c r="D388" s="23"/>
    </row>
    <row r="389" spans="1:4" ht="15.75" customHeight="1">
      <c r="A389" s="22"/>
      <c r="B389" s="29"/>
      <c r="C389" s="23"/>
      <c r="D389" s="23"/>
    </row>
    <row r="390" spans="1:4" ht="15.75" customHeight="1">
      <c r="A390" s="22"/>
      <c r="B390" s="29"/>
      <c r="C390" s="23"/>
      <c r="D390" s="23"/>
    </row>
    <row r="391" spans="1:4" ht="15.75" customHeight="1">
      <c r="A391" s="22"/>
      <c r="B391" s="29"/>
      <c r="C391" s="23"/>
      <c r="D391" s="23"/>
    </row>
    <row r="392" spans="1:4" ht="15.75" customHeight="1">
      <c r="A392" s="22"/>
      <c r="B392" s="29"/>
      <c r="C392" s="23"/>
      <c r="D392" s="23"/>
    </row>
    <row r="393" spans="1:4" ht="15.75" customHeight="1">
      <c r="A393" s="22"/>
      <c r="B393" s="29"/>
      <c r="C393" s="23"/>
      <c r="D393" s="23"/>
    </row>
    <row r="394" spans="1:4" ht="15.75" customHeight="1">
      <c r="A394" s="22"/>
      <c r="B394" s="29"/>
      <c r="C394" s="23"/>
      <c r="D394" s="23"/>
    </row>
    <row r="395" spans="1:4" ht="15.75" customHeight="1">
      <c r="A395" s="22"/>
      <c r="B395" s="29"/>
      <c r="C395" s="23"/>
      <c r="D395" s="23"/>
    </row>
    <row r="396" spans="1:4" ht="15.75" customHeight="1">
      <c r="A396" s="22"/>
      <c r="B396" s="29"/>
      <c r="C396" s="23"/>
      <c r="D396" s="23"/>
    </row>
    <row r="397" spans="1:4" ht="15.75" customHeight="1">
      <c r="A397" s="22"/>
      <c r="B397" s="29"/>
      <c r="C397" s="23"/>
      <c r="D397" s="23"/>
    </row>
    <row r="398" spans="1:4" ht="15.75" customHeight="1">
      <c r="A398" s="22"/>
      <c r="B398" s="29"/>
      <c r="C398" s="23"/>
      <c r="D398" s="23"/>
    </row>
    <row r="399" spans="1:4" ht="15.75" customHeight="1">
      <c r="A399" s="22"/>
      <c r="B399" s="29"/>
      <c r="C399" s="23"/>
      <c r="D399" s="23"/>
    </row>
    <row r="400" spans="1:4" ht="15.75" customHeight="1">
      <c r="A400" s="22"/>
      <c r="B400" s="29"/>
      <c r="C400" s="23"/>
      <c r="D400" s="23"/>
    </row>
    <row r="401" spans="1:4" ht="15.75" customHeight="1">
      <c r="A401" s="22"/>
      <c r="B401" s="29"/>
      <c r="C401" s="23"/>
      <c r="D401" s="23"/>
    </row>
    <row r="402" spans="1:4" ht="15.75" customHeight="1">
      <c r="A402" s="22"/>
      <c r="B402" s="29"/>
      <c r="C402" s="23"/>
      <c r="D402" s="23"/>
    </row>
    <row r="403" spans="1:4" ht="15.75" customHeight="1">
      <c r="A403" s="22"/>
      <c r="B403" s="29"/>
      <c r="C403" s="23"/>
      <c r="D403" s="23"/>
    </row>
    <row r="404" spans="1:4" ht="15.75" customHeight="1">
      <c r="A404" s="22"/>
      <c r="B404" s="29"/>
      <c r="C404" s="23"/>
      <c r="D404" s="23"/>
    </row>
    <row r="405" spans="1:4" ht="15.75" customHeight="1">
      <c r="A405" s="22"/>
      <c r="B405" s="29"/>
      <c r="C405" s="23"/>
      <c r="D405" s="23"/>
    </row>
    <row r="406" spans="1:4" ht="15.75" customHeight="1">
      <c r="A406" s="22"/>
      <c r="B406" s="29"/>
      <c r="C406" s="23"/>
      <c r="D406" s="23"/>
    </row>
    <row r="407" spans="1:4" ht="15.75" customHeight="1">
      <c r="A407" s="22"/>
      <c r="B407" s="29"/>
      <c r="C407" s="23"/>
      <c r="D407" s="23"/>
    </row>
    <row r="408" spans="1:4" ht="15.75" customHeight="1">
      <c r="A408" s="22"/>
      <c r="B408" s="29"/>
      <c r="C408" s="23"/>
      <c r="D408" s="23"/>
    </row>
    <row r="409" spans="1:4" ht="15.75" customHeight="1">
      <c r="A409" s="22"/>
      <c r="B409" s="29"/>
      <c r="C409" s="23"/>
      <c r="D409" s="23"/>
    </row>
    <row r="410" spans="1:4" ht="15.75" customHeight="1">
      <c r="A410" s="22"/>
      <c r="B410" s="29"/>
      <c r="C410" s="23"/>
      <c r="D410" s="23"/>
    </row>
    <row r="411" spans="1:4" ht="15.75" customHeight="1">
      <c r="A411" s="22"/>
      <c r="B411" s="29"/>
      <c r="C411" s="23"/>
      <c r="D411" s="23"/>
    </row>
    <row r="412" spans="1:4" ht="15.75" customHeight="1">
      <c r="A412" s="22"/>
      <c r="B412" s="29"/>
      <c r="C412" s="23"/>
      <c r="D412" s="23"/>
    </row>
    <row r="413" spans="1:4" ht="15.75" customHeight="1">
      <c r="A413" s="22"/>
      <c r="B413" s="29"/>
      <c r="C413" s="23"/>
      <c r="D413" s="23"/>
    </row>
    <row r="414" spans="1:4" ht="15.75" customHeight="1">
      <c r="A414" s="22"/>
      <c r="B414" s="29"/>
      <c r="C414" s="23"/>
      <c r="D414" s="23"/>
    </row>
    <row r="415" spans="1:4" ht="15.75" customHeight="1">
      <c r="A415" s="22"/>
      <c r="B415" s="29"/>
      <c r="C415" s="23"/>
      <c r="D415" s="23"/>
    </row>
    <row r="416" spans="1:4" ht="15.75" customHeight="1">
      <c r="A416" s="22"/>
      <c r="B416" s="29"/>
      <c r="C416" s="23"/>
      <c r="D416" s="23"/>
    </row>
    <row r="417" spans="1:4" ht="15.75" customHeight="1">
      <c r="A417" s="22"/>
      <c r="B417" s="29"/>
      <c r="C417" s="23"/>
      <c r="D417" s="23"/>
    </row>
    <row r="418" spans="1:4" ht="15.75" customHeight="1">
      <c r="A418" s="22"/>
      <c r="B418" s="29"/>
      <c r="C418" s="23"/>
      <c r="D418" s="23"/>
    </row>
    <row r="419" spans="1:4" ht="15.75" customHeight="1">
      <c r="A419" s="22"/>
      <c r="B419" s="29"/>
      <c r="C419" s="23"/>
      <c r="D419" s="23"/>
    </row>
    <row r="420" spans="1:4" ht="15.75" customHeight="1">
      <c r="A420" s="22"/>
      <c r="B420" s="29"/>
      <c r="C420" s="23"/>
      <c r="D420" s="23"/>
    </row>
    <row r="421" spans="1:4" ht="15.75" customHeight="1">
      <c r="A421" s="22"/>
      <c r="B421" s="29"/>
      <c r="C421" s="23"/>
      <c r="D421" s="23"/>
    </row>
    <row r="422" spans="1:4" ht="15.75" customHeight="1">
      <c r="A422" s="22"/>
      <c r="B422" s="29"/>
      <c r="C422" s="23"/>
      <c r="D422" s="23"/>
    </row>
    <row r="423" spans="1:4" ht="15.75" customHeight="1">
      <c r="A423" s="22"/>
      <c r="B423" s="29"/>
      <c r="C423" s="23"/>
      <c r="D423" s="23"/>
    </row>
    <row r="424" spans="1:4" ht="15.75" customHeight="1">
      <c r="A424" s="22"/>
      <c r="B424" s="29"/>
      <c r="C424" s="23"/>
      <c r="D424" s="23"/>
    </row>
    <row r="425" spans="1:4" ht="15.75" customHeight="1">
      <c r="A425" s="22"/>
      <c r="B425" s="29"/>
      <c r="C425" s="23"/>
      <c r="D425" s="23"/>
    </row>
    <row r="426" spans="1:4" ht="15.75" customHeight="1">
      <c r="A426" s="22"/>
      <c r="B426" s="29"/>
      <c r="C426" s="23"/>
      <c r="D426" s="23"/>
    </row>
    <row r="427" spans="1:4" ht="15.75" customHeight="1">
      <c r="A427" s="22"/>
      <c r="B427" s="29"/>
      <c r="C427" s="23"/>
      <c r="D427" s="23"/>
    </row>
    <row r="428" spans="1:4" ht="15.75" customHeight="1">
      <c r="A428" s="22"/>
      <c r="B428" s="29"/>
      <c r="C428" s="23"/>
      <c r="D428" s="23"/>
    </row>
    <row r="429" spans="1:4" ht="15.75" customHeight="1">
      <c r="A429" s="22"/>
      <c r="B429" s="29"/>
      <c r="C429" s="23"/>
      <c r="D429" s="23"/>
    </row>
    <row r="430" spans="1:4" ht="15.75" customHeight="1">
      <c r="A430" s="22"/>
      <c r="B430" s="29"/>
      <c r="C430" s="23"/>
      <c r="D430" s="23"/>
    </row>
    <row r="431" spans="1:4" ht="15.75" customHeight="1">
      <c r="A431" s="22"/>
      <c r="B431" s="29"/>
      <c r="C431" s="23"/>
      <c r="D431" s="23"/>
    </row>
    <row r="432" spans="1:4" ht="15.75" customHeight="1">
      <c r="A432" s="22"/>
      <c r="B432" s="29"/>
      <c r="C432" s="23"/>
      <c r="D432" s="23"/>
    </row>
    <row r="433" spans="1:4" ht="15.75" customHeight="1">
      <c r="A433" s="22"/>
      <c r="B433" s="29"/>
      <c r="C433" s="23"/>
      <c r="D433" s="23"/>
    </row>
    <row r="434" spans="1:4" ht="15.75" customHeight="1">
      <c r="A434" s="22"/>
      <c r="B434" s="29"/>
      <c r="C434" s="23"/>
      <c r="D434" s="23"/>
    </row>
    <row r="435" spans="1:4" ht="15.75" customHeight="1">
      <c r="A435" s="22"/>
      <c r="B435" s="29"/>
      <c r="C435" s="23"/>
      <c r="D435" s="23"/>
    </row>
    <row r="436" spans="1:4" ht="15.75" customHeight="1">
      <c r="A436" s="22"/>
      <c r="B436" s="29"/>
      <c r="C436" s="23"/>
      <c r="D436" s="23"/>
    </row>
    <row r="437" spans="1:4" ht="15.75" customHeight="1">
      <c r="A437" s="22"/>
      <c r="B437" s="29"/>
      <c r="C437" s="23"/>
      <c r="D437" s="23"/>
    </row>
    <row r="438" spans="1:4" ht="15.75" customHeight="1">
      <c r="A438" s="22"/>
      <c r="B438" s="29"/>
      <c r="C438" s="23"/>
      <c r="D438" s="23"/>
    </row>
    <row r="439" spans="1:4" ht="15.75" customHeight="1">
      <c r="A439" s="22"/>
      <c r="B439" s="29"/>
      <c r="C439" s="23"/>
      <c r="D439" s="23"/>
    </row>
    <row r="440" spans="1:4" ht="15.75" customHeight="1">
      <c r="A440" s="22"/>
      <c r="B440" s="29"/>
      <c r="C440" s="23"/>
      <c r="D440" s="23"/>
    </row>
    <row r="441" spans="1:4" ht="15.75" customHeight="1">
      <c r="A441" s="22"/>
      <c r="B441" s="29"/>
      <c r="C441" s="23"/>
      <c r="D441" s="23"/>
    </row>
    <row r="442" spans="1:4" ht="15.75" customHeight="1">
      <c r="A442" s="22"/>
      <c r="B442" s="29"/>
      <c r="C442" s="23"/>
      <c r="D442" s="23"/>
    </row>
    <row r="443" spans="1:4" ht="15.75" customHeight="1">
      <c r="A443" s="22"/>
      <c r="B443" s="29"/>
      <c r="C443" s="23"/>
      <c r="D443" s="23"/>
    </row>
    <row r="444" spans="1:4" ht="15.75" customHeight="1">
      <c r="A444" s="22"/>
      <c r="B444" s="29"/>
      <c r="C444" s="23"/>
      <c r="D444" s="23"/>
    </row>
    <row r="445" spans="1:4" ht="15.75" customHeight="1">
      <c r="A445" s="22"/>
      <c r="B445" s="29"/>
      <c r="C445" s="23"/>
      <c r="D445" s="23"/>
    </row>
    <row r="446" spans="1:4" ht="15.75" customHeight="1">
      <c r="A446" s="22"/>
      <c r="B446" s="29"/>
      <c r="C446" s="23"/>
      <c r="D446" s="23"/>
    </row>
    <row r="447" spans="1:4" ht="15.75" customHeight="1">
      <c r="A447" s="22"/>
      <c r="B447" s="29"/>
      <c r="C447" s="23"/>
      <c r="D447" s="23"/>
    </row>
    <row r="448" spans="1:4" ht="15.75" customHeight="1">
      <c r="A448" s="22"/>
      <c r="B448" s="29"/>
      <c r="C448" s="23"/>
      <c r="D448" s="23"/>
    </row>
    <row r="449" spans="1:4" ht="15.75" customHeight="1">
      <c r="A449" s="22"/>
      <c r="B449" s="29"/>
      <c r="C449" s="23"/>
      <c r="D449" s="23"/>
    </row>
    <row r="450" spans="1:4" ht="15.75" customHeight="1">
      <c r="A450" s="22"/>
      <c r="B450" s="29"/>
      <c r="C450" s="23"/>
      <c r="D450" s="23"/>
    </row>
    <row r="451" spans="1:4" ht="15.75" customHeight="1">
      <c r="A451" s="22"/>
      <c r="B451" s="29"/>
      <c r="C451" s="23"/>
      <c r="D451" s="23"/>
    </row>
    <row r="452" spans="1:4" ht="15.75" customHeight="1">
      <c r="A452" s="22"/>
      <c r="B452" s="29"/>
      <c r="C452" s="23"/>
      <c r="D452" s="23"/>
    </row>
    <row r="453" spans="1:4" ht="15.75" customHeight="1">
      <c r="A453" s="22"/>
      <c r="B453" s="29"/>
      <c r="C453" s="23"/>
      <c r="D453" s="23"/>
    </row>
    <row r="454" spans="1:4" ht="15.75" customHeight="1">
      <c r="A454" s="22"/>
      <c r="B454" s="29"/>
      <c r="C454" s="23"/>
      <c r="D454" s="23"/>
    </row>
    <row r="455" spans="1:4" ht="15.75" customHeight="1">
      <c r="A455" s="22"/>
      <c r="B455" s="29"/>
      <c r="C455" s="23"/>
      <c r="D455" s="23"/>
    </row>
    <row r="456" spans="1:4" ht="15.75" customHeight="1">
      <c r="A456" s="22"/>
      <c r="B456" s="29"/>
      <c r="C456" s="23"/>
      <c r="D456" s="23"/>
    </row>
    <row r="457" spans="1:4" ht="15.75" customHeight="1">
      <c r="A457" s="22"/>
      <c r="B457" s="29"/>
      <c r="C457" s="23"/>
      <c r="D457" s="23"/>
    </row>
    <row r="458" spans="1:4" ht="15.75" customHeight="1">
      <c r="A458" s="22"/>
      <c r="B458" s="29"/>
      <c r="C458" s="23"/>
      <c r="D458" s="23"/>
    </row>
    <row r="459" spans="1:4" ht="15.75" customHeight="1">
      <c r="A459" s="22"/>
      <c r="B459" s="29"/>
      <c r="C459" s="23"/>
      <c r="D459" s="23"/>
    </row>
    <row r="460" spans="1:4" ht="15.75" customHeight="1">
      <c r="A460" s="22"/>
      <c r="B460" s="29"/>
      <c r="C460" s="23"/>
      <c r="D460" s="23"/>
    </row>
    <row r="461" spans="1:4" ht="15.75" customHeight="1">
      <c r="A461" s="22"/>
      <c r="B461" s="29"/>
      <c r="C461" s="23"/>
      <c r="D461" s="23"/>
    </row>
    <row r="462" spans="1:4" ht="15.75" customHeight="1">
      <c r="A462" s="22"/>
      <c r="B462" s="29"/>
      <c r="C462" s="23"/>
      <c r="D462" s="23"/>
    </row>
    <row r="463" spans="1:4" ht="15.75" customHeight="1">
      <c r="A463" s="22"/>
      <c r="B463" s="29"/>
      <c r="C463" s="23"/>
      <c r="D463" s="23"/>
    </row>
    <row r="464" spans="1:4" ht="15.75" customHeight="1">
      <c r="A464" s="22"/>
      <c r="B464" s="29"/>
      <c r="C464" s="23"/>
      <c r="D464" s="23"/>
    </row>
    <row r="465" spans="1:4" ht="15.75" customHeight="1">
      <c r="A465" s="22"/>
      <c r="B465" s="29"/>
      <c r="C465" s="23"/>
      <c r="D465" s="23"/>
    </row>
    <row r="466" spans="1:4" ht="15.75" customHeight="1">
      <c r="A466" s="22"/>
      <c r="B466" s="29"/>
      <c r="C466" s="23"/>
      <c r="D466" s="23"/>
    </row>
    <row r="467" spans="1:4" ht="15.75" customHeight="1">
      <c r="A467" s="22"/>
      <c r="B467" s="29"/>
      <c r="C467" s="23"/>
      <c r="D467" s="23"/>
    </row>
    <row r="468" spans="1:4" ht="15.75" customHeight="1">
      <c r="A468" s="22"/>
      <c r="B468" s="29"/>
      <c r="C468" s="23"/>
      <c r="D468" s="23"/>
    </row>
    <row r="469" spans="1:4" ht="15.75" customHeight="1">
      <c r="A469" s="22"/>
      <c r="B469" s="29"/>
      <c r="C469" s="23"/>
      <c r="D469" s="23"/>
    </row>
    <row r="470" spans="1:4" ht="15.75" customHeight="1">
      <c r="A470" s="22"/>
      <c r="B470" s="29"/>
      <c r="C470" s="23"/>
      <c r="D470" s="23"/>
    </row>
    <row r="471" spans="1:4" ht="15.75" customHeight="1">
      <c r="A471" s="22"/>
      <c r="B471" s="29"/>
      <c r="C471" s="23"/>
      <c r="D471" s="23"/>
    </row>
    <row r="472" spans="1:4" ht="15.75" customHeight="1">
      <c r="A472" s="22"/>
      <c r="B472" s="29"/>
      <c r="C472" s="23"/>
      <c r="D472" s="23"/>
    </row>
    <row r="473" spans="1:4" ht="15.75" customHeight="1">
      <c r="A473" s="22"/>
      <c r="B473" s="29"/>
      <c r="C473" s="23"/>
      <c r="D473" s="23"/>
    </row>
    <row r="474" spans="1:4" ht="15.75" customHeight="1">
      <c r="A474" s="22"/>
      <c r="B474" s="29"/>
      <c r="C474" s="23"/>
      <c r="D474" s="23"/>
    </row>
    <row r="475" spans="1:4" ht="15.75" customHeight="1">
      <c r="A475" s="22"/>
      <c r="B475" s="29"/>
      <c r="C475" s="23"/>
      <c r="D475" s="23"/>
    </row>
    <row r="476" spans="1:4" ht="15.75" customHeight="1">
      <c r="A476" s="22"/>
      <c r="B476" s="29"/>
      <c r="C476" s="23"/>
      <c r="D476" s="23"/>
    </row>
    <row r="477" spans="1:4" ht="15.75" customHeight="1">
      <c r="A477" s="22"/>
      <c r="B477" s="29"/>
      <c r="C477" s="23"/>
      <c r="D477" s="23"/>
    </row>
    <row r="478" spans="1:4" ht="15.75" customHeight="1">
      <c r="A478" s="22"/>
      <c r="B478" s="29"/>
      <c r="C478" s="23"/>
      <c r="D478" s="23"/>
    </row>
    <row r="479" spans="1:4" ht="15.75" customHeight="1">
      <c r="A479" s="22"/>
      <c r="B479" s="29"/>
      <c r="C479" s="23"/>
      <c r="D479" s="23"/>
    </row>
    <row r="480" spans="1:4" ht="15.75" customHeight="1">
      <c r="A480" s="22"/>
      <c r="B480" s="29"/>
      <c r="C480" s="23"/>
      <c r="D480" s="23"/>
    </row>
    <row r="481" spans="1:4" ht="15.75" customHeight="1">
      <c r="A481" s="22"/>
      <c r="B481" s="29"/>
      <c r="C481" s="23"/>
      <c r="D481" s="23"/>
    </row>
    <row r="482" spans="1:4" ht="15.75" customHeight="1">
      <c r="A482" s="22"/>
      <c r="B482" s="29"/>
      <c r="C482" s="23"/>
      <c r="D482" s="23"/>
    </row>
    <row r="483" spans="1:4" ht="15.75" customHeight="1">
      <c r="A483" s="22"/>
      <c r="B483" s="29"/>
      <c r="C483" s="23"/>
      <c r="D483" s="23"/>
    </row>
    <row r="484" spans="1:4" ht="15.75" customHeight="1">
      <c r="A484" s="22"/>
      <c r="B484" s="29"/>
      <c r="C484" s="23"/>
      <c r="D484" s="23"/>
    </row>
    <row r="485" spans="1:4" ht="15.75" customHeight="1">
      <c r="A485" s="22"/>
      <c r="B485" s="29"/>
      <c r="C485" s="23"/>
      <c r="D485" s="23"/>
    </row>
    <row r="486" spans="1:4" ht="15.75" customHeight="1">
      <c r="A486" s="22"/>
      <c r="B486" s="29"/>
      <c r="C486" s="23"/>
      <c r="D486" s="23"/>
    </row>
    <row r="487" spans="1:4" ht="15.75" customHeight="1">
      <c r="A487" s="22"/>
      <c r="B487" s="29"/>
      <c r="C487" s="23"/>
      <c r="D487" s="23"/>
    </row>
    <row r="488" spans="1:4" ht="15.75" customHeight="1">
      <c r="A488" s="22"/>
      <c r="B488" s="29"/>
      <c r="C488" s="23"/>
      <c r="D488" s="23"/>
    </row>
    <row r="489" spans="1:4" ht="15.75" customHeight="1">
      <c r="A489" s="22"/>
      <c r="B489" s="29"/>
      <c r="C489" s="23"/>
      <c r="D489" s="23"/>
    </row>
    <row r="490" spans="1:4" ht="15.75" customHeight="1">
      <c r="A490" s="22"/>
      <c r="B490" s="29"/>
      <c r="C490" s="23"/>
      <c r="D490" s="23"/>
    </row>
    <row r="491" spans="1:4" ht="15.75" customHeight="1">
      <c r="A491" s="22"/>
      <c r="B491" s="29"/>
      <c r="C491" s="23"/>
      <c r="D491" s="23"/>
    </row>
    <row r="492" spans="1:4" ht="15.75" customHeight="1">
      <c r="A492" s="22"/>
      <c r="B492" s="29"/>
      <c r="C492" s="23"/>
      <c r="D492" s="23"/>
    </row>
    <row r="493" spans="1:4" ht="15.75" customHeight="1">
      <c r="A493" s="22"/>
      <c r="B493" s="29"/>
      <c r="C493" s="23"/>
      <c r="D493" s="23"/>
    </row>
    <row r="494" spans="1:4" ht="15.75" customHeight="1">
      <c r="A494" s="22"/>
      <c r="B494" s="29"/>
      <c r="C494" s="23"/>
      <c r="D494" s="23"/>
    </row>
    <row r="495" spans="1:4" ht="15.75" customHeight="1">
      <c r="A495" s="22"/>
      <c r="B495" s="29"/>
      <c r="C495" s="23"/>
      <c r="D495" s="23"/>
    </row>
    <row r="496" spans="1:4" ht="15.75" customHeight="1">
      <c r="A496" s="22"/>
      <c r="B496" s="29"/>
      <c r="C496" s="23"/>
      <c r="D496" s="23"/>
    </row>
    <row r="497" spans="1:4" ht="15.75" customHeight="1">
      <c r="A497" s="22"/>
      <c r="B497" s="29"/>
      <c r="C497" s="23"/>
      <c r="D497" s="23"/>
    </row>
    <row r="498" spans="1:4" ht="15.75" customHeight="1">
      <c r="A498" s="22"/>
      <c r="B498" s="29"/>
      <c r="C498" s="23"/>
      <c r="D498" s="23"/>
    </row>
    <row r="499" spans="1:4" ht="15.75" customHeight="1">
      <c r="A499" s="22"/>
      <c r="B499" s="29"/>
      <c r="C499" s="23"/>
      <c r="D499" s="23"/>
    </row>
    <row r="500" spans="1:4" ht="15.75" customHeight="1">
      <c r="A500" s="22"/>
      <c r="B500" s="29"/>
      <c r="C500" s="23"/>
      <c r="D500" s="23"/>
    </row>
    <row r="501" spans="1:4" ht="15.75" customHeight="1">
      <c r="A501" s="22"/>
      <c r="B501" s="29"/>
      <c r="C501" s="23"/>
      <c r="D501" s="23"/>
    </row>
    <row r="502" spans="1:4" ht="15.75" customHeight="1">
      <c r="A502" s="22"/>
      <c r="B502" s="29"/>
      <c r="C502" s="23"/>
      <c r="D502" s="23"/>
    </row>
    <row r="503" spans="1:4" ht="15.75" customHeight="1">
      <c r="A503" s="22"/>
      <c r="B503" s="29"/>
      <c r="C503" s="23"/>
      <c r="D503" s="23"/>
    </row>
    <row r="504" spans="1:4" ht="15.75" customHeight="1">
      <c r="A504" s="22"/>
      <c r="B504" s="29"/>
      <c r="C504" s="23"/>
      <c r="D504" s="23"/>
    </row>
    <row r="505" spans="1:4" ht="15.75" customHeight="1">
      <c r="A505" s="22"/>
      <c r="B505" s="29"/>
      <c r="C505" s="23"/>
      <c r="D505" s="23"/>
    </row>
    <row r="506" spans="1:4" ht="15.75" customHeight="1">
      <c r="A506" s="22"/>
      <c r="B506" s="29"/>
      <c r="C506" s="23"/>
      <c r="D506" s="23"/>
    </row>
    <row r="507" spans="1:4" ht="15.75" customHeight="1">
      <c r="A507" s="22"/>
      <c r="B507" s="29"/>
      <c r="C507" s="23"/>
      <c r="D507" s="23"/>
    </row>
    <row r="508" spans="1:4" ht="15.75" customHeight="1">
      <c r="A508" s="22"/>
      <c r="B508" s="29"/>
      <c r="C508" s="23"/>
      <c r="D508" s="23"/>
    </row>
    <row r="509" spans="1:4" ht="15.75" customHeight="1">
      <c r="A509" s="22"/>
      <c r="B509" s="29"/>
      <c r="C509" s="23"/>
      <c r="D509" s="23"/>
    </row>
    <row r="510" spans="1:4" ht="15.75" customHeight="1">
      <c r="A510" s="22"/>
      <c r="B510" s="29"/>
      <c r="C510" s="23"/>
      <c r="D510" s="23"/>
    </row>
    <row r="511" spans="1:4" ht="15.75" customHeight="1">
      <c r="A511" s="22"/>
      <c r="B511" s="29"/>
      <c r="C511" s="23"/>
      <c r="D511" s="23"/>
    </row>
    <row r="512" spans="1:4" ht="15.75" customHeight="1">
      <c r="A512" s="22"/>
      <c r="B512" s="29"/>
      <c r="C512" s="23"/>
      <c r="D512" s="23"/>
    </row>
    <row r="513" spans="1:4" ht="15.75" customHeight="1">
      <c r="A513" s="22"/>
      <c r="B513" s="29"/>
      <c r="C513" s="23"/>
      <c r="D513" s="23"/>
    </row>
    <row r="514" spans="1:4" ht="15.75" customHeight="1">
      <c r="A514" s="22"/>
      <c r="B514" s="29"/>
      <c r="C514" s="23"/>
      <c r="D514" s="23"/>
    </row>
    <row r="515" spans="1:4" ht="15.75" customHeight="1">
      <c r="A515" s="22"/>
      <c r="B515" s="29"/>
      <c r="C515" s="23"/>
      <c r="D515" s="23"/>
    </row>
    <row r="516" spans="1:4" ht="15.75" customHeight="1">
      <c r="A516" s="22"/>
      <c r="B516" s="29"/>
      <c r="C516" s="23"/>
      <c r="D516" s="23"/>
    </row>
    <row r="517" spans="1:4" ht="15.75" customHeight="1">
      <c r="A517" s="22"/>
      <c r="B517" s="29"/>
      <c r="C517" s="23"/>
      <c r="D517" s="23"/>
    </row>
    <row r="518" spans="1:4" ht="15.75" customHeight="1">
      <c r="A518" s="22"/>
      <c r="B518" s="29"/>
      <c r="C518" s="23"/>
      <c r="D518" s="23"/>
    </row>
    <row r="519" spans="1:4" ht="15.75" customHeight="1">
      <c r="A519" s="22"/>
      <c r="B519" s="29"/>
      <c r="C519" s="23"/>
      <c r="D519" s="23"/>
    </row>
    <row r="520" spans="1:4" ht="15.75" customHeight="1">
      <c r="A520" s="22"/>
      <c r="B520" s="29"/>
      <c r="C520" s="23"/>
      <c r="D520" s="23"/>
    </row>
    <row r="521" spans="1:4" ht="15.75" customHeight="1">
      <c r="A521" s="22"/>
      <c r="B521" s="29"/>
      <c r="C521" s="23"/>
      <c r="D521" s="23"/>
    </row>
    <row r="522" spans="1:4" ht="15.75" customHeight="1">
      <c r="A522" s="22"/>
      <c r="B522" s="29"/>
      <c r="C522" s="23"/>
      <c r="D522" s="23"/>
    </row>
    <row r="523" spans="1:4" ht="15.75" customHeight="1">
      <c r="A523" s="22"/>
      <c r="B523" s="29"/>
      <c r="C523" s="23"/>
      <c r="D523" s="23"/>
    </row>
    <row r="524" spans="1:4" ht="15.75" customHeight="1">
      <c r="A524" s="22"/>
      <c r="B524" s="29"/>
      <c r="C524" s="23"/>
      <c r="D524" s="23"/>
    </row>
    <row r="525" spans="1:4" ht="15.75" customHeight="1">
      <c r="A525" s="22"/>
      <c r="B525" s="29"/>
      <c r="C525" s="23"/>
      <c r="D525" s="23"/>
    </row>
    <row r="526" spans="1:4" ht="15.75" customHeight="1">
      <c r="A526" s="22"/>
      <c r="B526" s="29"/>
      <c r="C526" s="23"/>
      <c r="D526" s="23"/>
    </row>
    <row r="527" spans="1:4" ht="15.75" customHeight="1">
      <c r="A527" s="22"/>
      <c r="B527" s="29"/>
      <c r="C527" s="23"/>
      <c r="D527" s="23"/>
    </row>
    <row r="528" spans="1:4" ht="15.75" customHeight="1">
      <c r="A528" s="22"/>
      <c r="B528" s="29"/>
      <c r="C528" s="23"/>
      <c r="D528" s="23"/>
    </row>
    <row r="529" spans="1:4" ht="15.75" customHeight="1">
      <c r="A529" s="22"/>
      <c r="B529" s="29"/>
      <c r="C529" s="23"/>
      <c r="D529" s="23"/>
    </row>
    <row r="530" spans="1:4" ht="15.75" customHeight="1">
      <c r="A530" s="22"/>
      <c r="B530" s="29"/>
      <c r="C530" s="23"/>
      <c r="D530" s="23"/>
    </row>
    <row r="531" spans="1:4" ht="15.75" customHeight="1">
      <c r="A531" s="22"/>
      <c r="B531" s="29"/>
      <c r="C531" s="23"/>
      <c r="D531" s="23"/>
    </row>
    <row r="532" spans="1:4" ht="15.75" customHeight="1">
      <c r="A532" s="22"/>
      <c r="B532" s="29"/>
      <c r="C532" s="23"/>
      <c r="D532" s="23"/>
    </row>
    <row r="533" spans="1:4" ht="15.75" customHeight="1">
      <c r="A533" s="22"/>
      <c r="B533" s="29"/>
      <c r="C533" s="23"/>
      <c r="D533" s="23"/>
    </row>
    <row r="534" spans="1:4" ht="15.75" customHeight="1">
      <c r="A534" s="22"/>
      <c r="B534" s="29"/>
      <c r="C534" s="23"/>
      <c r="D534" s="23"/>
    </row>
    <row r="535" spans="1:4" ht="15.75" customHeight="1">
      <c r="A535" s="22"/>
      <c r="B535" s="29"/>
      <c r="C535" s="23"/>
      <c r="D535" s="23"/>
    </row>
    <row r="536" spans="1:4" ht="15.75" customHeight="1">
      <c r="A536" s="22"/>
      <c r="B536" s="29"/>
      <c r="C536" s="23"/>
      <c r="D536" s="23"/>
    </row>
    <row r="537" spans="1:4" ht="15.75" customHeight="1">
      <c r="A537" s="22"/>
      <c r="B537" s="29"/>
      <c r="C537" s="23"/>
      <c r="D537" s="23"/>
    </row>
    <row r="538" spans="1:4" ht="15.75" customHeight="1">
      <c r="A538" s="22"/>
      <c r="B538" s="29"/>
      <c r="C538" s="23"/>
      <c r="D538" s="23"/>
    </row>
    <row r="539" spans="1:4" ht="15.75" customHeight="1">
      <c r="A539" s="22"/>
      <c r="B539" s="29"/>
      <c r="C539" s="23"/>
      <c r="D539" s="23"/>
    </row>
    <row r="540" spans="1:4" ht="15.75" customHeight="1">
      <c r="A540" s="22"/>
      <c r="B540" s="29"/>
      <c r="C540" s="23"/>
      <c r="D540" s="23"/>
    </row>
    <row r="541" spans="1:4" ht="15.75" customHeight="1">
      <c r="A541" s="22"/>
      <c r="B541" s="29"/>
      <c r="C541" s="23"/>
      <c r="D541" s="23"/>
    </row>
    <row r="542" spans="1:4" ht="15.75" customHeight="1">
      <c r="A542" s="22"/>
      <c r="B542" s="29"/>
      <c r="C542" s="23"/>
      <c r="D542" s="23"/>
    </row>
    <row r="543" spans="1:4" ht="15.75" customHeight="1">
      <c r="A543" s="22"/>
      <c r="B543" s="29"/>
      <c r="C543" s="23"/>
      <c r="D543" s="23"/>
    </row>
    <row r="544" spans="1:4" ht="15.75" customHeight="1">
      <c r="A544" s="22"/>
      <c r="B544" s="29"/>
      <c r="C544" s="23"/>
      <c r="D544" s="23"/>
    </row>
    <row r="545" spans="1:4" ht="15.75" customHeight="1">
      <c r="A545" s="24"/>
      <c r="C545" s="33"/>
      <c r="D545" s="33"/>
    </row>
    <row r="546" spans="1:4" ht="15.75" customHeight="1">
      <c r="A546" s="24"/>
      <c r="C546" s="33"/>
      <c r="D546" s="33"/>
    </row>
    <row r="547" spans="1:4" ht="15.75" customHeight="1">
      <c r="A547" s="24"/>
      <c r="C547" s="33"/>
      <c r="D547" s="33"/>
    </row>
    <row r="548" spans="1:4" ht="15.75" customHeight="1">
      <c r="A548" s="24"/>
      <c r="C548" s="33"/>
      <c r="D548" s="33"/>
    </row>
    <row r="549" spans="1:4" ht="15.75" customHeight="1">
      <c r="A549" s="24"/>
      <c r="C549" s="33"/>
      <c r="D549" s="33"/>
    </row>
    <row r="550" spans="1:4" ht="15.75" customHeight="1">
      <c r="A550" s="24"/>
      <c r="C550" s="33"/>
      <c r="D550" s="33"/>
    </row>
    <row r="551" spans="1:4" ht="15.75" customHeight="1">
      <c r="A551" s="24"/>
      <c r="C551" s="33"/>
      <c r="D551" s="33"/>
    </row>
    <row r="552" spans="1:4" ht="15.75" customHeight="1">
      <c r="A552" s="24"/>
      <c r="C552" s="33"/>
      <c r="D552" s="33"/>
    </row>
    <row r="553" spans="1:4" ht="15.75" customHeight="1">
      <c r="A553" s="24"/>
      <c r="C553" s="33"/>
      <c r="D553" s="33"/>
    </row>
    <row r="554" spans="1:4" ht="15.75" customHeight="1">
      <c r="A554" s="24"/>
      <c r="C554" s="33"/>
      <c r="D554" s="33"/>
    </row>
    <row r="555" spans="1:4" ht="15.75" customHeight="1">
      <c r="A555" s="24"/>
      <c r="C555" s="33"/>
      <c r="D555" s="33"/>
    </row>
    <row r="556" spans="1:4" ht="15.75" customHeight="1">
      <c r="A556" s="24"/>
      <c r="C556" s="33"/>
      <c r="D556" s="33"/>
    </row>
    <row r="557" spans="1:4" ht="15.75" customHeight="1">
      <c r="A557" s="24"/>
      <c r="C557" s="33"/>
      <c r="D557" s="33"/>
    </row>
    <row r="558" spans="1:4" ht="15.75" customHeight="1">
      <c r="A558" s="24"/>
      <c r="C558" s="33"/>
      <c r="D558" s="33"/>
    </row>
    <row r="559" spans="1:4" ht="15.75" customHeight="1">
      <c r="A559" s="24"/>
      <c r="C559" s="33"/>
      <c r="D559" s="33"/>
    </row>
    <row r="560" spans="1:4" ht="15.75" customHeight="1">
      <c r="A560" s="24"/>
      <c r="C560" s="33"/>
      <c r="D560" s="33"/>
    </row>
    <row r="561" spans="1:4" ht="15.75" customHeight="1">
      <c r="A561" s="24"/>
      <c r="C561" s="33"/>
      <c r="D561" s="33"/>
    </row>
    <row r="562" spans="1:4" ht="15.75" customHeight="1">
      <c r="A562" s="24"/>
      <c r="C562" s="33"/>
      <c r="D562" s="33"/>
    </row>
    <row r="563" spans="1:4" ht="15.75" customHeight="1">
      <c r="A563" s="24"/>
      <c r="C563" s="33"/>
      <c r="D563" s="33"/>
    </row>
    <row r="564" spans="1:4" ht="15.75" customHeight="1">
      <c r="A564" s="24"/>
      <c r="C564" s="33"/>
      <c r="D564" s="33"/>
    </row>
    <row r="565" spans="1:4" ht="15.75" customHeight="1">
      <c r="A565" s="24"/>
      <c r="C565" s="33"/>
      <c r="D565" s="33"/>
    </row>
    <row r="566" spans="1:4" ht="15.75" customHeight="1">
      <c r="A566" s="24"/>
      <c r="C566" s="33"/>
      <c r="D566" s="33"/>
    </row>
    <row r="567" spans="1:4" ht="15.75" customHeight="1">
      <c r="A567" s="24"/>
      <c r="C567" s="33"/>
      <c r="D567" s="33"/>
    </row>
    <row r="568" spans="1:4" ht="15.75" customHeight="1">
      <c r="A568" s="24"/>
      <c r="C568" s="33"/>
      <c r="D568" s="33"/>
    </row>
    <row r="569" spans="1:4" ht="15.75" customHeight="1">
      <c r="A569" s="24"/>
      <c r="C569" s="33"/>
      <c r="D569" s="33"/>
    </row>
    <row r="570" spans="1:4" ht="15.75" customHeight="1">
      <c r="A570" s="24"/>
      <c r="C570" s="33"/>
      <c r="D570" s="33"/>
    </row>
    <row r="571" spans="1:4" ht="15.75" customHeight="1">
      <c r="A571" s="24"/>
      <c r="C571" s="33"/>
      <c r="D571" s="33"/>
    </row>
    <row r="572" spans="1:4" ht="15.75" customHeight="1">
      <c r="A572" s="24"/>
      <c r="C572" s="33"/>
      <c r="D572" s="33"/>
    </row>
    <row r="573" spans="1:4" ht="15.75" customHeight="1">
      <c r="A573" s="24"/>
      <c r="C573" s="33"/>
      <c r="D573" s="33"/>
    </row>
    <row r="574" spans="1:4" ht="15.75" customHeight="1">
      <c r="A574" s="24"/>
      <c r="C574" s="33"/>
      <c r="D574" s="33"/>
    </row>
    <row r="575" spans="1:4" ht="15.75" customHeight="1">
      <c r="A575" s="24"/>
      <c r="C575" s="33"/>
      <c r="D575" s="33"/>
    </row>
    <row r="576" spans="1:4" ht="15.75" customHeight="1">
      <c r="A576" s="24"/>
      <c r="C576" s="33"/>
      <c r="D576" s="33"/>
    </row>
    <row r="577" spans="1:4" ht="15.75" customHeight="1">
      <c r="A577" s="24"/>
      <c r="C577" s="33"/>
      <c r="D577" s="33"/>
    </row>
    <row r="578" spans="1:4" ht="15.75" customHeight="1">
      <c r="A578" s="24"/>
      <c r="C578" s="33"/>
      <c r="D578" s="33"/>
    </row>
    <row r="579" spans="1:4" ht="15.75" customHeight="1">
      <c r="A579" s="24"/>
      <c r="C579" s="33"/>
      <c r="D579" s="33"/>
    </row>
    <row r="580" spans="1:4" ht="15.75" customHeight="1">
      <c r="A580" s="24"/>
      <c r="C580" s="33"/>
      <c r="D580" s="33"/>
    </row>
    <row r="581" spans="1:4" ht="15.75" customHeight="1">
      <c r="A581" s="24"/>
      <c r="C581" s="33"/>
      <c r="D581" s="33"/>
    </row>
    <row r="582" spans="1:4" ht="15.75" customHeight="1">
      <c r="A582" s="24"/>
      <c r="C582" s="33"/>
      <c r="D582" s="33"/>
    </row>
    <row r="583" spans="1:4" ht="15.75" customHeight="1">
      <c r="A583" s="24"/>
      <c r="C583" s="33"/>
      <c r="D583" s="33"/>
    </row>
    <row r="584" spans="1:4" ht="15.75" customHeight="1">
      <c r="A584" s="24"/>
      <c r="C584" s="33"/>
      <c r="D584" s="33"/>
    </row>
    <row r="585" spans="1:4" ht="15.75" customHeight="1">
      <c r="A585" s="24"/>
      <c r="C585" s="33"/>
      <c r="D585" s="33"/>
    </row>
    <row r="586" spans="1:4" ht="15.75" customHeight="1">
      <c r="A586" s="24"/>
      <c r="C586" s="33"/>
      <c r="D586" s="33"/>
    </row>
    <row r="587" spans="1:4" ht="15.75" customHeight="1">
      <c r="A587" s="24"/>
      <c r="C587" s="33"/>
      <c r="D587" s="33"/>
    </row>
    <row r="588" spans="1:4" ht="15.75" customHeight="1">
      <c r="A588" s="24"/>
      <c r="C588" s="33"/>
      <c r="D588" s="33"/>
    </row>
    <row r="589" spans="1:4" ht="15.75" customHeight="1">
      <c r="A589" s="24"/>
      <c r="C589" s="33"/>
      <c r="D589" s="33"/>
    </row>
    <row r="590" spans="1:4" ht="15.75" customHeight="1">
      <c r="A590" s="24"/>
      <c r="C590" s="33"/>
      <c r="D590" s="33"/>
    </row>
    <row r="591" spans="1:4" ht="15.75" customHeight="1">
      <c r="A591" s="24"/>
      <c r="C591" s="33"/>
      <c r="D591" s="33"/>
    </row>
    <row r="592" spans="1:4" ht="15.75" customHeight="1">
      <c r="A592" s="24"/>
      <c r="C592" s="33"/>
      <c r="D592" s="33"/>
    </row>
    <row r="593" spans="1:4" ht="15.75" customHeight="1">
      <c r="A593" s="24"/>
      <c r="C593" s="33"/>
      <c r="D593" s="33"/>
    </row>
    <row r="594" spans="1:4" ht="15.75" customHeight="1">
      <c r="A594" s="24"/>
      <c r="C594" s="33"/>
      <c r="D594" s="33"/>
    </row>
    <row r="595" spans="1:4" ht="15.75" customHeight="1">
      <c r="A595" s="24"/>
      <c r="C595" s="33"/>
      <c r="D595" s="33"/>
    </row>
    <row r="596" spans="1:4" ht="15.75" customHeight="1">
      <c r="A596" s="24"/>
      <c r="C596" s="33"/>
      <c r="D596" s="33"/>
    </row>
    <row r="597" spans="1:4" ht="15.75" customHeight="1">
      <c r="A597" s="24"/>
      <c r="C597" s="33"/>
      <c r="D597" s="33"/>
    </row>
    <row r="598" spans="1:4" ht="15.75" customHeight="1">
      <c r="A598" s="24"/>
      <c r="C598" s="33"/>
      <c r="D598" s="33"/>
    </row>
    <row r="599" spans="1:4" ht="15.75" customHeight="1">
      <c r="A599" s="24"/>
      <c r="C599" s="33"/>
      <c r="D599" s="33"/>
    </row>
    <row r="600" spans="1:4" ht="15.75" customHeight="1">
      <c r="A600" s="24"/>
      <c r="C600" s="33"/>
      <c r="D600" s="33"/>
    </row>
    <row r="601" spans="1:4" ht="15.75" customHeight="1">
      <c r="A601" s="24"/>
      <c r="C601" s="33"/>
      <c r="D601" s="33"/>
    </row>
    <row r="602" spans="1:4" ht="15.75" customHeight="1">
      <c r="A602" s="24"/>
      <c r="C602" s="33"/>
      <c r="D602" s="33"/>
    </row>
    <row r="603" spans="1:4" ht="15.75" customHeight="1">
      <c r="A603" s="24"/>
      <c r="C603" s="33"/>
      <c r="D603" s="33"/>
    </row>
    <row r="604" spans="1:4" ht="15.75" customHeight="1">
      <c r="A604" s="24"/>
      <c r="C604" s="33"/>
      <c r="D604" s="33"/>
    </row>
    <row r="605" spans="1:4" ht="15.75" customHeight="1">
      <c r="A605" s="24"/>
      <c r="C605" s="33"/>
      <c r="D605" s="33"/>
    </row>
    <row r="606" spans="1:4" ht="15.75" customHeight="1">
      <c r="A606" s="24"/>
      <c r="C606" s="33"/>
      <c r="D606" s="33"/>
    </row>
    <row r="607" spans="1:4" ht="15.75" customHeight="1">
      <c r="A607" s="24"/>
      <c r="C607" s="33"/>
      <c r="D607" s="33"/>
    </row>
    <row r="608" spans="1:4" ht="15.75" customHeight="1">
      <c r="A608" s="24"/>
      <c r="C608" s="33"/>
      <c r="D608" s="33"/>
    </row>
    <row r="609" spans="1:4" ht="15.75" customHeight="1">
      <c r="A609" s="24"/>
      <c r="C609" s="33"/>
      <c r="D609" s="33"/>
    </row>
    <row r="610" spans="1:4" ht="15.75" customHeight="1">
      <c r="A610" s="24"/>
      <c r="C610" s="33"/>
      <c r="D610" s="33"/>
    </row>
    <row r="611" spans="1:4" ht="15.75" customHeight="1">
      <c r="A611" s="24"/>
      <c r="C611" s="33"/>
      <c r="D611" s="33"/>
    </row>
    <row r="612" spans="1:4" ht="15.75" customHeight="1">
      <c r="A612" s="24"/>
      <c r="C612" s="33"/>
      <c r="D612" s="33"/>
    </row>
    <row r="613" spans="1:4" ht="15.75" customHeight="1">
      <c r="A613" s="24"/>
      <c r="C613" s="33"/>
      <c r="D613" s="33"/>
    </row>
    <row r="614" spans="1:4" ht="15.75" customHeight="1">
      <c r="A614" s="24"/>
      <c r="C614" s="33"/>
      <c r="D614" s="33"/>
    </row>
    <row r="615" spans="1:4" ht="15.75" customHeight="1">
      <c r="A615" s="24"/>
      <c r="C615" s="33"/>
      <c r="D615" s="33"/>
    </row>
    <row r="616" spans="1:4" ht="15.75" customHeight="1">
      <c r="A616" s="24"/>
      <c r="C616" s="33"/>
      <c r="D616" s="33"/>
    </row>
    <row r="617" spans="1:4" ht="15.75" customHeight="1">
      <c r="A617" s="24"/>
      <c r="C617" s="33"/>
      <c r="D617" s="33"/>
    </row>
    <row r="618" spans="1:4" ht="15.75" customHeight="1">
      <c r="A618" s="24"/>
      <c r="C618" s="33"/>
      <c r="D618" s="33"/>
    </row>
    <row r="619" spans="1:4" ht="15.75" customHeight="1">
      <c r="A619" s="24"/>
      <c r="C619" s="33"/>
      <c r="D619" s="33"/>
    </row>
    <row r="620" spans="1:4" ht="15.75" customHeight="1">
      <c r="A620" s="24"/>
      <c r="C620" s="33"/>
      <c r="D620" s="33"/>
    </row>
    <row r="621" spans="1:4" ht="15.75" customHeight="1">
      <c r="A621" s="24"/>
      <c r="C621" s="33"/>
      <c r="D621" s="33"/>
    </row>
    <row r="622" spans="1:4" ht="15.75" customHeight="1">
      <c r="A622" s="24"/>
      <c r="C622" s="33"/>
      <c r="D622" s="33"/>
    </row>
    <row r="623" spans="1:4" ht="15.75" customHeight="1">
      <c r="A623" s="24"/>
      <c r="C623" s="33"/>
      <c r="D623" s="33"/>
    </row>
    <row r="624" spans="1:4" ht="15.75" customHeight="1">
      <c r="A624" s="24"/>
      <c r="C624" s="33"/>
      <c r="D624" s="33"/>
    </row>
    <row r="625" spans="1:4" ht="15.75" customHeight="1">
      <c r="A625" s="24"/>
      <c r="C625" s="33"/>
      <c r="D625" s="33"/>
    </row>
    <row r="626" spans="1:4" ht="15.75" customHeight="1">
      <c r="A626" s="24"/>
      <c r="C626" s="33"/>
      <c r="D626" s="33"/>
    </row>
    <row r="627" spans="1:4" ht="15.75" customHeight="1">
      <c r="A627" s="24"/>
      <c r="C627" s="33"/>
      <c r="D627" s="33"/>
    </row>
    <row r="628" spans="1:4" ht="15.75" customHeight="1">
      <c r="A628" s="24"/>
      <c r="C628" s="33"/>
      <c r="D628" s="33"/>
    </row>
    <row r="629" spans="1:4" ht="15.75" customHeight="1">
      <c r="A629" s="24"/>
      <c r="C629" s="33"/>
      <c r="D629" s="33"/>
    </row>
    <row r="630" spans="1:4" ht="15.75" customHeight="1">
      <c r="A630" s="24"/>
      <c r="C630" s="33"/>
      <c r="D630" s="33"/>
    </row>
    <row r="631" spans="1:4" ht="15.75" customHeight="1">
      <c r="A631" s="24"/>
      <c r="C631" s="33"/>
      <c r="D631" s="33"/>
    </row>
    <row r="632" spans="1:4" ht="15.75" customHeight="1">
      <c r="A632" s="24"/>
      <c r="C632" s="33"/>
      <c r="D632" s="33"/>
    </row>
    <row r="633" spans="1:4" ht="15.75" customHeight="1">
      <c r="A633" s="24"/>
      <c r="C633" s="33"/>
      <c r="D633" s="33"/>
    </row>
    <row r="634" spans="1:4" ht="15.75" customHeight="1">
      <c r="A634" s="24"/>
      <c r="C634" s="33"/>
      <c r="D634" s="33"/>
    </row>
    <row r="635" spans="1:4" ht="15.75" customHeight="1">
      <c r="A635" s="24"/>
      <c r="C635" s="33"/>
      <c r="D635" s="33"/>
    </row>
    <row r="636" spans="1:4" ht="15.75" customHeight="1">
      <c r="A636" s="24"/>
      <c r="C636" s="33"/>
      <c r="D636" s="33"/>
    </row>
    <row r="637" spans="1:4" ht="15.75" customHeight="1">
      <c r="A637" s="24"/>
      <c r="C637" s="33"/>
      <c r="D637" s="33"/>
    </row>
    <row r="638" spans="1:4" ht="15.75" customHeight="1">
      <c r="A638" s="24"/>
      <c r="C638" s="33"/>
      <c r="D638" s="33"/>
    </row>
    <row r="639" spans="1:4" ht="15.75" customHeight="1">
      <c r="A639" s="24"/>
      <c r="C639" s="33"/>
      <c r="D639" s="33"/>
    </row>
    <row r="640" spans="1:4" ht="15.75" customHeight="1">
      <c r="A640" s="24"/>
      <c r="C640" s="33"/>
      <c r="D640" s="33"/>
    </row>
    <row r="641" spans="1:4" ht="15.75" customHeight="1">
      <c r="A641" s="24"/>
      <c r="C641" s="33"/>
      <c r="D641" s="33"/>
    </row>
    <row r="642" spans="1:4" ht="15.75" customHeight="1">
      <c r="A642" s="24"/>
      <c r="C642" s="33"/>
      <c r="D642" s="33"/>
    </row>
    <row r="643" spans="1:4" ht="15.75" customHeight="1">
      <c r="A643" s="24"/>
      <c r="C643" s="33"/>
      <c r="D643" s="33"/>
    </row>
    <row r="644" spans="1:4" ht="15.75" customHeight="1">
      <c r="A644" s="24"/>
      <c r="C644" s="33"/>
      <c r="D644" s="33"/>
    </row>
    <row r="645" spans="1:4" ht="15.75" customHeight="1">
      <c r="A645" s="24"/>
      <c r="C645" s="33"/>
      <c r="D645" s="33"/>
    </row>
    <row r="646" spans="1:4" ht="15.75" customHeight="1">
      <c r="A646" s="24"/>
      <c r="C646" s="33"/>
      <c r="D646" s="33"/>
    </row>
    <row r="647" spans="1:4" ht="15.75" customHeight="1">
      <c r="A647" s="24"/>
      <c r="C647" s="33"/>
      <c r="D647" s="33"/>
    </row>
    <row r="648" spans="1:4" ht="15.75" customHeight="1">
      <c r="A648" s="24"/>
      <c r="C648" s="33"/>
      <c r="D648" s="33"/>
    </row>
    <row r="649" spans="1:4" ht="15.75" customHeight="1">
      <c r="A649" s="24"/>
      <c r="C649" s="33"/>
      <c r="D649" s="33"/>
    </row>
    <row r="650" spans="1:4" ht="15.75" customHeight="1">
      <c r="A650" s="24"/>
      <c r="C650" s="33"/>
      <c r="D650" s="33"/>
    </row>
    <row r="651" spans="1:4" ht="15.75" customHeight="1">
      <c r="A651" s="24"/>
      <c r="C651" s="33"/>
      <c r="D651" s="33"/>
    </row>
    <row r="652" spans="1:4" ht="15.75" customHeight="1">
      <c r="A652" s="24"/>
      <c r="C652" s="33"/>
      <c r="D652" s="33"/>
    </row>
    <row r="653" spans="1:4" ht="15.75" customHeight="1">
      <c r="A653" s="24"/>
      <c r="C653" s="33"/>
      <c r="D653" s="33"/>
    </row>
    <row r="654" spans="1:4" ht="15.75" customHeight="1">
      <c r="A654" s="24"/>
      <c r="C654" s="33"/>
      <c r="D654" s="33"/>
    </row>
    <row r="655" spans="1:4" ht="15.75" customHeight="1">
      <c r="A655" s="24"/>
      <c r="C655" s="33"/>
      <c r="D655" s="33"/>
    </row>
    <row r="656" spans="1:4" ht="15.75" customHeight="1">
      <c r="A656" s="24"/>
      <c r="C656" s="33"/>
      <c r="D656" s="33"/>
    </row>
    <row r="657" spans="1:4" ht="15.75" customHeight="1">
      <c r="A657" s="24"/>
      <c r="C657" s="33"/>
      <c r="D657" s="33"/>
    </row>
    <row r="658" spans="1:4" ht="15.75" customHeight="1">
      <c r="A658" s="24"/>
      <c r="C658" s="33"/>
      <c r="D658" s="33"/>
    </row>
    <row r="659" spans="1:4" ht="15.75" customHeight="1">
      <c r="A659" s="24"/>
      <c r="C659" s="33"/>
      <c r="D659" s="33"/>
    </row>
    <row r="660" spans="1:4" ht="15.75" customHeight="1">
      <c r="A660" s="24"/>
      <c r="C660" s="33"/>
      <c r="D660" s="33"/>
    </row>
    <row r="661" spans="1:4" ht="15.75" customHeight="1">
      <c r="A661" s="24"/>
      <c r="C661" s="33"/>
      <c r="D661" s="33"/>
    </row>
    <row r="662" spans="1:4" ht="15.75" customHeight="1">
      <c r="A662" s="24"/>
      <c r="C662" s="33"/>
      <c r="D662" s="33"/>
    </row>
    <row r="663" spans="1:4" ht="15.75" customHeight="1">
      <c r="A663" s="24"/>
      <c r="C663" s="33"/>
      <c r="D663" s="33"/>
    </row>
    <row r="664" spans="1:4" ht="15.75" customHeight="1">
      <c r="A664" s="24"/>
      <c r="C664" s="33"/>
      <c r="D664" s="33"/>
    </row>
    <row r="665" spans="1:4" ht="15.75" customHeight="1">
      <c r="A665" s="24"/>
      <c r="C665" s="33"/>
      <c r="D665" s="33"/>
    </row>
    <row r="666" spans="1:4" ht="15.75" customHeight="1">
      <c r="A666" s="24"/>
      <c r="C666" s="33"/>
      <c r="D666" s="33"/>
    </row>
    <row r="667" spans="1:4" ht="15.75" customHeight="1">
      <c r="A667" s="24"/>
      <c r="C667" s="33"/>
      <c r="D667" s="33"/>
    </row>
    <row r="668" spans="1:4" ht="15.75" customHeight="1">
      <c r="A668" s="24"/>
      <c r="C668" s="33"/>
      <c r="D668" s="33"/>
    </row>
    <row r="669" spans="1:4" ht="15.75" customHeight="1">
      <c r="A669" s="24"/>
      <c r="C669" s="33"/>
      <c r="D669" s="33"/>
    </row>
    <row r="670" spans="1:4" ht="15.75" customHeight="1">
      <c r="A670" s="24"/>
      <c r="C670" s="33"/>
      <c r="D670" s="33"/>
    </row>
    <row r="671" spans="1:4" ht="15.75" customHeight="1">
      <c r="A671" s="24"/>
      <c r="C671" s="33"/>
      <c r="D671" s="33"/>
    </row>
    <row r="672" spans="1:4" ht="15.75" customHeight="1">
      <c r="A672" s="24"/>
      <c r="C672" s="33"/>
      <c r="D672" s="33"/>
    </row>
    <row r="673" spans="1:4" ht="15.75" customHeight="1">
      <c r="A673" s="24"/>
      <c r="C673" s="33"/>
      <c r="D673" s="33"/>
    </row>
    <row r="674" spans="1:4" ht="15.75" customHeight="1">
      <c r="A674" s="24"/>
      <c r="C674" s="33"/>
      <c r="D674" s="33"/>
    </row>
    <row r="675" spans="1:4" ht="15.75" customHeight="1">
      <c r="A675" s="24"/>
      <c r="C675" s="33"/>
      <c r="D675" s="33"/>
    </row>
    <row r="676" spans="1:4" ht="15.75" customHeight="1">
      <c r="A676" s="24"/>
      <c r="C676" s="33"/>
      <c r="D676" s="33"/>
    </row>
    <row r="677" spans="1:4" ht="15.75" customHeight="1">
      <c r="A677" s="24"/>
      <c r="C677" s="33"/>
      <c r="D677" s="33"/>
    </row>
    <row r="678" spans="1:4" ht="15.75" customHeight="1">
      <c r="A678" s="24"/>
      <c r="C678" s="33"/>
      <c r="D678" s="33"/>
    </row>
    <row r="679" spans="1:4" ht="15.75" customHeight="1">
      <c r="A679" s="24"/>
      <c r="C679" s="33"/>
      <c r="D679" s="33"/>
    </row>
    <row r="680" spans="1:4" ht="15.75" customHeight="1">
      <c r="A680" s="24"/>
      <c r="C680" s="33"/>
      <c r="D680" s="33"/>
    </row>
    <row r="681" spans="1:4" ht="15.75" customHeight="1">
      <c r="A681" s="24"/>
      <c r="C681" s="33"/>
      <c r="D681" s="33"/>
    </row>
    <row r="682" spans="1:4" ht="15.75" customHeight="1">
      <c r="A682" s="24"/>
      <c r="C682" s="33"/>
      <c r="D682" s="33"/>
    </row>
    <row r="683" spans="1:4" ht="15.75" customHeight="1">
      <c r="A683" s="24"/>
      <c r="C683" s="33"/>
      <c r="D683" s="33"/>
    </row>
    <row r="684" spans="1:4" ht="15.75" customHeight="1">
      <c r="A684" s="24"/>
      <c r="C684" s="33"/>
      <c r="D684" s="33"/>
    </row>
    <row r="685" spans="1:4" ht="15.75" customHeight="1">
      <c r="A685" s="24"/>
      <c r="C685" s="33"/>
      <c r="D685" s="33"/>
    </row>
    <row r="686" spans="1:4" ht="15.75" customHeight="1">
      <c r="A686" s="24"/>
      <c r="C686" s="33"/>
      <c r="D686" s="33"/>
    </row>
    <row r="687" spans="1:4" ht="15.75" customHeight="1">
      <c r="A687" s="24"/>
      <c r="C687" s="33"/>
      <c r="D687" s="33"/>
    </row>
    <row r="688" spans="1:4" ht="15.75" customHeight="1">
      <c r="A688" s="24"/>
      <c r="C688" s="33"/>
      <c r="D688" s="33"/>
    </row>
    <row r="689" spans="1:4" ht="15.75" customHeight="1">
      <c r="A689" s="24"/>
      <c r="C689" s="33"/>
      <c r="D689" s="33"/>
    </row>
    <row r="690" spans="1:4" ht="15.75" customHeight="1">
      <c r="A690" s="24"/>
      <c r="C690" s="33"/>
      <c r="D690" s="33"/>
    </row>
    <row r="691" spans="1:4" ht="15.75" customHeight="1">
      <c r="A691" s="24"/>
      <c r="C691" s="33"/>
      <c r="D691" s="33"/>
    </row>
    <row r="692" spans="1:4" ht="15.75" customHeight="1">
      <c r="A692" s="24"/>
      <c r="C692" s="33"/>
      <c r="D692" s="33"/>
    </row>
    <row r="693" spans="1:4" ht="15.75" customHeight="1">
      <c r="A693" s="24"/>
      <c r="C693" s="33"/>
      <c r="D693" s="33"/>
    </row>
    <row r="694" spans="1:4" ht="15.75" customHeight="1">
      <c r="A694" s="24"/>
      <c r="C694" s="33"/>
      <c r="D694" s="33"/>
    </row>
    <row r="695" spans="1:4" ht="15.75" customHeight="1">
      <c r="A695" s="24"/>
      <c r="C695" s="33"/>
      <c r="D695" s="33"/>
    </row>
    <row r="696" spans="1:4" ht="15.75" customHeight="1">
      <c r="A696" s="24"/>
      <c r="C696" s="33"/>
      <c r="D696" s="33"/>
    </row>
    <row r="697" spans="1:4" ht="15.75" customHeight="1">
      <c r="A697" s="24"/>
      <c r="C697" s="33"/>
      <c r="D697" s="33"/>
    </row>
    <row r="698" spans="1:4" ht="15.75" customHeight="1">
      <c r="A698" s="24"/>
      <c r="C698" s="33"/>
      <c r="D698" s="33"/>
    </row>
    <row r="699" spans="1:4" ht="15.75" customHeight="1">
      <c r="A699" s="24"/>
      <c r="C699" s="33"/>
      <c r="D699" s="33"/>
    </row>
    <row r="700" spans="1:4" ht="15.75" customHeight="1">
      <c r="A700" s="24"/>
      <c r="C700" s="33"/>
      <c r="D700" s="33"/>
    </row>
    <row r="701" spans="1:4" ht="15.75" customHeight="1">
      <c r="A701" s="24"/>
      <c r="C701" s="33"/>
      <c r="D701" s="33"/>
    </row>
    <row r="702" spans="1:4" ht="15.75" customHeight="1">
      <c r="A702" s="24"/>
      <c r="C702" s="33"/>
      <c r="D702" s="33"/>
    </row>
    <row r="703" spans="1:4" ht="15.75" customHeight="1">
      <c r="A703" s="24"/>
      <c r="C703" s="33"/>
      <c r="D703" s="33"/>
    </row>
    <row r="704" spans="1:4" ht="15.75" customHeight="1">
      <c r="A704" s="24"/>
      <c r="C704" s="33"/>
      <c r="D704" s="33"/>
    </row>
    <row r="705" spans="1:4" ht="15.75" customHeight="1">
      <c r="A705" s="24"/>
      <c r="C705" s="33"/>
      <c r="D705" s="33"/>
    </row>
    <row r="706" spans="1:4" ht="15.75" customHeight="1">
      <c r="A706" s="24"/>
      <c r="C706" s="33"/>
      <c r="D706" s="33"/>
    </row>
    <row r="707" spans="1:4" ht="15.75" customHeight="1">
      <c r="A707" s="24"/>
      <c r="C707" s="33"/>
      <c r="D707" s="33"/>
    </row>
    <row r="708" spans="1:4" ht="15.75" customHeight="1">
      <c r="A708" s="24"/>
      <c r="C708" s="33"/>
      <c r="D708" s="33"/>
    </row>
    <row r="709" spans="1:4" ht="15.75" customHeight="1">
      <c r="A709" s="24"/>
      <c r="C709" s="33"/>
      <c r="D709" s="33"/>
    </row>
    <row r="710" spans="1:4" ht="15.75" customHeight="1">
      <c r="A710" s="24"/>
      <c r="C710" s="33"/>
      <c r="D710" s="33"/>
    </row>
    <row r="711" spans="1:4" ht="15.75" customHeight="1">
      <c r="A711" s="24"/>
      <c r="C711" s="33"/>
      <c r="D711" s="33"/>
    </row>
    <row r="712" spans="1:4" ht="15.75" customHeight="1">
      <c r="A712" s="24"/>
      <c r="C712" s="33"/>
      <c r="D712" s="33"/>
    </row>
    <row r="713" spans="1:4" ht="15.75" customHeight="1">
      <c r="A713" s="24"/>
      <c r="C713" s="33"/>
      <c r="D713" s="33"/>
    </row>
    <row r="714" spans="1:4" ht="15.75" customHeight="1">
      <c r="A714" s="24"/>
      <c r="C714" s="33"/>
      <c r="D714" s="33"/>
    </row>
    <row r="715" spans="1:4" ht="15.75" customHeight="1">
      <c r="A715" s="24"/>
      <c r="C715" s="33"/>
      <c r="D715" s="33"/>
    </row>
    <row r="716" spans="1:4" ht="15.75" customHeight="1">
      <c r="A716" s="24"/>
      <c r="C716" s="33"/>
      <c r="D716" s="33"/>
    </row>
    <row r="717" spans="1:4" ht="15.75" customHeight="1">
      <c r="A717" s="24"/>
      <c r="C717" s="33"/>
      <c r="D717" s="33"/>
    </row>
    <row r="718" spans="1:4" ht="15.75" customHeight="1">
      <c r="A718" s="24"/>
      <c r="C718" s="33"/>
      <c r="D718" s="33"/>
    </row>
    <row r="719" spans="1:4" ht="15.75" customHeight="1">
      <c r="A719" s="24"/>
      <c r="C719" s="33"/>
      <c r="D719" s="33"/>
    </row>
    <row r="720" spans="1:4" ht="15.75" customHeight="1">
      <c r="A720" s="24"/>
      <c r="C720" s="33"/>
      <c r="D720" s="33"/>
    </row>
    <row r="721" spans="1:4" ht="15.75" customHeight="1">
      <c r="A721" s="24"/>
      <c r="C721" s="33"/>
      <c r="D721" s="33"/>
    </row>
    <row r="722" spans="1:4" ht="15.75" customHeight="1">
      <c r="A722" s="24"/>
      <c r="C722" s="33"/>
      <c r="D722" s="33"/>
    </row>
    <row r="723" spans="1:4" ht="15.75" customHeight="1">
      <c r="A723" s="24"/>
      <c r="C723" s="33"/>
      <c r="D723" s="33"/>
    </row>
    <row r="724" spans="1:4" ht="15.75" customHeight="1">
      <c r="A724" s="24"/>
      <c r="C724" s="33"/>
      <c r="D724" s="33"/>
    </row>
    <row r="725" spans="1:4" ht="15.75" customHeight="1">
      <c r="A725" s="24"/>
      <c r="C725" s="33"/>
      <c r="D725" s="33"/>
    </row>
    <row r="726" spans="1:4" ht="15.75" customHeight="1">
      <c r="A726" s="24"/>
      <c r="C726" s="33"/>
      <c r="D726" s="33"/>
    </row>
    <row r="727" spans="1:4" ht="15.75" customHeight="1">
      <c r="A727" s="24"/>
      <c r="C727" s="33"/>
      <c r="D727" s="33"/>
    </row>
    <row r="728" spans="1:4" ht="15.75" customHeight="1">
      <c r="A728" s="24"/>
      <c r="C728" s="33"/>
      <c r="D728" s="33"/>
    </row>
    <row r="729" spans="1:4" ht="15.75" customHeight="1">
      <c r="A729" s="24"/>
      <c r="C729" s="33"/>
      <c r="D729" s="33"/>
    </row>
    <row r="730" spans="1:4" ht="15.75" customHeight="1">
      <c r="A730" s="24"/>
      <c r="C730" s="33"/>
      <c r="D730" s="33"/>
    </row>
    <row r="731" spans="1:4" ht="15.75" customHeight="1">
      <c r="A731" s="24"/>
      <c r="C731" s="33"/>
      <c r="D731" s="33"/>
    </row>
    <row r="732" spans="1:4" ht="15.75" customHeight="1">
      <c r="A732" s="24"/>
      <c r="C732" s="33"/>
      <c r="D732" s="33"/>
    </row>
    <row r="733" spans="1:4" ht="15.75" customHeight="1">
      <c r="A733" s="24"/>
      <c r="C733" s="33"/>
      <c r="D733" s="33"/>
    </row>
    <row r="734" spans="1:4" ht="15.75" customHeight="1">
      <c r="A734" s="24"/>
      <c r="C734" s="33"/>
      <c r="D734" s="33"/>
    </row>
    <row r="735" spans="1:4" ht="15.75" customHeight="1">
      <c r="A735" s="24"/>
      <c r="C735" s="33"/>
      <c r="D735" s="33"/>
    </row>
    <row r="736" spans="1:4" ht="15.75" customHeight="1">
      <c r="A736" s="24"/>
      <c r="C736" s="33"/>
      <c r="D736" s="33"/>
    </row>
    <row r="737" spans="1:4" ht="15.75" customHeight="1">
      <c r="A737" s="24"/>
      <c r="C737" s="33"/>
      <c r="D737" s="33"/>
    </row>
    <row r="738" spans="1:4" ht="15.75" customHeight="1">
      <c r="A738" s="24"/>
      <c r="C738" s="33"/>
      <c r="D738" s="33"/>
    </row>
    <row r="739" spans="1:4" ht="15.75" customHeight="1">
      <c r="A739" s="24"/>
      <c r="C739" s="33"/>
      <c r="D739" s="33"/>
    </row>
    <row r="740" spans="1:4" ht="15.75" customHeight="1">
      <c r="A740" s="24"/>
      <c r="C740" s="33"/>
      <c r="D740" s="33"/>
    </row>
    <row r="741" spans="1:4" ht="15.75" customHeight="1">
      <c r="A741" s="24"/>
      <c r="C741" s="33"/>
      <c r="D741" s="33"/>
    </row>
    <row r="742" spans="1:4" ht="15.75" customHeight="1">
      <c r="A742" s="24"/>
      <c r="C742" s="33"/>
      <c r="D742" s="33"/>
    </row>
    <row r="743" spans="1:4" ht="15.75" customHeight="1">
      <c r="A743" s="24"/>
      <c r="C743" s="33"/>
      <c r="D743" s="33"/>
    </row>
    <row r="744" spans="1:4" ht="15.75" customHeight="1">
      <c r="A744" s="24"/>
      <c r="C744" s="33"/>
      <c r="D744" s="33"/>
    </row>
    <row r="745" spans="1:4" ht="15.75" customHeight="1">
      <c r="A745" s="24"/>
      <c r="C745" s="33"/>
      <c r="D745" s="33"/>
    </row>
    <row r="746" spans="1:4" ht="15.75" customHeight="1">
      <c r="A746" s="24"/>
      <c r="C746" s="33"/>
      <c r="D746" s="33"/>
    </row>
    <row r="747" spans="1:4" ht="15.75" customHeight="1">
      <c r="A747" s="24"/>
      <c r="C747" s="33"/>
      <c r="D747" s="33"/>
    </row>
    <row r="748" spans="1:4" ht="15.75" customHeight="1">
      <c r="A748" s="24"/>
      <c r="C748" s="33"/>
      <c r="D748" s="33"/>
    </row>
    <row r="749" spans="1:4" ht="15.75" customHeight="1">
      <c r="A749" s="24"/>
      <c r="C749" s="33"/>
      <c r="D749" s="33"/>
    </row>
    <row r="750" spans="1:4" ht="15.75" customHeight="1">
      <c r="A750" s="24"/>
      <c r="C750" s="33"/>
      <c r="D750" s="33"/>
    </row>
    <row r="751" spans="1:4" ht="15.75" customHeight="1">
      <c r="A751" s="24"/>
      <c r="C751" s="33"/>
      <c r="D751" s="33"/>
    </row>
    <row r="752" spans="1:4" ht="15.75" customHeight="1">
      <c r="A752" s="24"/>
      <c r="C752" s="33"/>
      <c r="D752" s="33"/>
    </row>
    <row r="753" spans="1:4" ht="15.75" customHeight="1">
      <c r="A753" s="24"/>
      <c r="C753" s="33"/>
      <c r="D753" s="33"/>
    </row>
    <row r="754" spans="1:4" ht="15.75" customHeight="1">
      <c r="A754" s="24"/>
      <c r="C754" s="33"/>
      <c r="D754" s="33"/>
    </row>
    <row r="755" spans="1:4" ht="15.75" customHeight="1">
      <c r="A755" s="24"/>
      <c r="C755" s="33"/>
      <c r="D755" s="33"/>
    </row>
    <row r="756" spans="1:4" ht="15.75" customHeight="1">
      <c r="A756" s="24"/>
      <c r="C756" s="33"/>
      <c r="D756" s="33"/>
    </row>
    <row r="757" spans="1:4" ht="15.75" customHeight="1">
      <c r="A757" s="24"/>
      <c r="C757" s="33"/>
      <c r="D757" s="33"/>
    </row>
    <row r="758" spans="1:4" ht="15.75" customHeight="1">
      <c r="A758" s="24"/>
      <c r="C758" s="33"/>
      <c r="D758" s="33"/>
    </row>
    <row r="759" spans="1:4" ht="15.75" customHeight="1">
      <c r="A759" s="24"/>
      <c r="C759" s="33"/>
      <c r="D759" s="33"/>
    </row>
    <row r="760" spans="1:4" ht="15.75" customHeight="1">
      <c r="A760" s="24"/>
      <c r="C760" s="33"/>
      <c r="D760" s="33"/>
    </row>
    <row r="761" spans="1:4" ht="15.75" customHeight="1">
      <c r="A761" s="24"/>
      <c r="C761" s="33"/>
      <c r="D761" s="33"/>
    </row>
    <row r="762" spans="1:4" ht="15.75" customHeight="1">
      <c r="A762" s="24"/>
      <c r="C762" s="33"/>
      <c r="D762" s="33"/>
    </row>
    <row r="763" spans="1:4" ht="15.75" customHeight="1">
      <c r="A763" s="24"/>
      <c r="C763" s="33"/>
      <c r="D763" s="33"/>
    </row>
    <row r="764" spans="1:4" ht="15.75" customHeight="1">
      <c r="A764" s="24"/>
      <c r="C764" s="33"/>
      <c r="D764" s="33"/>
    </row>
    <row r="765" spans="1:4" ht="15.75" customHeight="1">
      <c r="A765" s="24"/>
      <c r="C765" s="33"/>
      <c r="D765" s="33"/>
    </row>
    <row r="766" spans="1:4" ht="15.75" customHeight="1">
      <c r="A766" s="24"/>
      <c r="C766" s="33"/>
      <c r="D766" s="33"/>
    </row>
    <row r="767" spans="1:4" ht="15.75" customHeight="1">
      <c r="A767" s="24"/>
      <c r="C767" s="33"/>
      <c r="D767" s="33"/>
    </row>
    <row r="768" spans="1:4" ht="15.75" customHeight="1">
      <c r="A768" s="24"/>
      <c r="C768" s="33"/>
      <c r="D768" s="33"/>
    </row>
    <row r="769" spans="1:4" ht="15.75" customHeight="1">
      <c r="A769" s="24"/>
      <c r="C769" s="33"/>
      <c r="D769" s="33"/>
    </row>
    <row r="770" spans="1:4" ht="15.75" customHeight="1">
      <c r="A770" s="24"/>
      <c r="C770" s="33"/>
      <c r="D770" s="33"/>
    </row>
    <row r="771" spans="1:4" ht="15.75" customHeight="1">
      <c r="A771" s="24"/>
      <c r="C771" s="33"/>
      <c r="D771" s="33"/>
    </row>
    <row r="772" spans="1:4" ht="15.75" customHeight="1">
      <c r="A772" s="24"/>
      <c r="C772" s="33"/>
      <c r="D772" s="33"/>
    </row>
    <row r="773" spans="1:4" ht="15.75" customHeight="1">
      <c r="A773" s="24"/>
      <c r="C773" s="33"/>
      <c r="D773" s="33"/>
    </row>
    <row r="774" spans="1:4" ht="15.75" customHeight="1">
      <c r="A774" s="24"/>
      <c r="C774" s="33"/>
      <c r="D774" s="33"/>
    </row>
    <row r="775" spans="1:4" ht="15.75" customHeight="1">
      <c r="A775" s="24"/>
      <c r="C775" s="33"/>
      <c r="D775" s="33"/>
    </row>
    <row r="776" spans="1:4" ht="15.75" customHeight="1">
      <c r="A776" s="24"/>
      <c r="C776" s="33"/>
      <c r="D776" s="33"/>
    </row>
    <row r="777" spans="1:4" ht="15.75" customHeight="1">
      <c r="A777" s="24"/>
      <c r="C777" s="33"/>
      <c r="D777" s="33"/>
    </row>
    <row r="778" spans="1:4" ht="15.75" customHeight="1">
      <c r="A778" s="24"/>
      <c r="C778" s="33"/>
      <c r="D778" s="33"/>
    </row>
    <row r="779" spans="1:4" ht="15.75" customHeight="1">
      <c r="A779" s="24"/>
      <c r="C779" s="33"/>
      <c r="D779" s="33"/>
    </row>
    <row r="780" spans="1:4" ht="15.75" customHeight="1">
      <c r="A780" s="24"/>
      <c r="C780" s="33"/>
      <c r="D780" s="33"/>
    </row>
    <row r="781" spans="1:4" ht="15.75" customHeight="1">
      <c r="A781" s="24"/>
      <c r="C781" s="33"/>
      <c r="D781" s="33"/>
    </row>
    <row r="782" spans="1:4" ht="15.75" customHeight="1">
      <c r="A782" s="24"/>
      <c r="C782" s="33"/>
      <c r="D782" s="33"/>
    </row>
    <row r="783" spans="1:4" ht="15.75" customHeight="1">
      <c r="A783" s="24"/>
      <c r="C783" s="33"/>
      <c r="D783" s="33"/>
    </row>
    <row r="784" spans="1:4" ht="15.75" customHeight="1">
      <c r="A784" s="24"/>
      <c r="C784" s="33"/>
      <c r="D784" s="33"/>
    </row>
    <row r="785" spans="1:4" ht="15.75" customHeight="1">
      <c r="A785" s="24"/>
      <c r="C785" s="33"/>
      <c r="D785" s="33"/>
    </row>
    <row r="786" spans="1:4" ht="15.75" customHeight="1">
      <c r="A786" s="24"/>
      <c r="C786" s="33"/>
      <c r="D786" s="33"/>
    </row>
    <row r="787" spans="1:4" ht="15.75" customHeight="1">
      <c r="A787" s="24"/>
      <c r="C787" s="33"/>
      <c r="D787" s="33"/>
    </row>
    <row r="788" spans="1:4" ht="15.75" customHeight="1">
      <c r="A788" s="24"/>
      <c r="C788" s="33"/>
      <c r="D788" s="33"/>
    </row>
    <row r="789" spans="1:4" ht="15.75" customHeight="1">
      <c r="A789" s="24"/>
      <c r="C789" s="33"/>
      <c r="D789" s="33"/>
    </row>
    <row r="790" spans="1:4" ht="15.75" customHeight="1">
      <c r="A790" s="24"/>
      <c r="C790" s="33"/>
      <c r="D790" s="33"/>
    </row>
    <row r="791" spans="1:4" ht="15.75" customHeight="1">
      <c r="A791" s="24"/>
      <c r="C791" s="33"/>
      <c r="D791" s="33"/>
    </row>
    <row r="792" spans="1:4" ht="15.75" customHeight="1">
      <c r="A792" s="24"/>
      <c r="C792" s="33"/>
      <c r="D792" s="33"/>
    </row>
    <row r="793" spans="1:4" ht="15.75" customHeight="1">
      <c r="A793" s="24"/>
      <c r="C793" s="33"/>
      <c r="D793" s="33"/>
    </row>
    <row r="794" spans="1:4" ht="15.75" customHeight="1">
      <c r="A794" s="24"/>
      <c r="C794" s="33"/>
      <c r="D794" s="33"/>
    </row>
    <row r="795" spans="1:4" ht="15.75" customHeight="1">
      <c r="A795" s="24"/>
      <c r="C795" s="33"/>
      <c r="D795" s="33"/>
    </row>
    <row r="796" spans="1:4" ht="15.75" customHeight="1">
      <c r="A796" s="24"/>
      <c r="C796" s="33"/>
      <c r="D796" s="33"/>
    </row>
    <row r="797" spans="1:4" ht="15.75" customHeight="1">
      <c r="A797" s="24"/>
      <c r="C797" s="33"/>
      <c r="D797" s="33"/>
    </row>
    <row r="798" spans="1:4" ht="15.75" customHeight="1">
      <c r="A798" s="24"/>
      <c r="C798" s="33"/>
      <c r="D798" s="33"/>
    </row>
    <row r="799" spans="1:4" ht="15.75" customHeight="1">
      <c r="A799" s="24"/>
      <c r="C799" s="33"/>
      <c r="D799" s="33"/>
    </row>
    <row r="800" spans="1:4" ht="15.75" customHeight="1">
      <c r="A800" s="24"/>
      <c r="C800" s="33"/>
      <c r="D800" s="33"/>
    </row>
    <row r="801" spans="1:4" ht="15.75" customHeight="1">
      <c r="A801" s="24"/>
      <c r="C801" s="33"/>
      <c r="D801" s="33"/>
    </row>
    <row r="802" spans="1:4" ht="15.75" customHeight="1">
      <c r="A802" s="24"/>
      <c r="C802" s="33"/>
      <c r="D802" s="33"/>
    </row>
    <row r="803" spans="1:4" ht="15.75" customHeight="1">
      <c r="A803" s="24"/>
      <c r="C803" s="33"/>
      <c r="D803" s="33"/>
    </row>
    <row r="804" spans="1:4" ht="15.75" customHeight="1">
      <c r="A804" s="24"/>
      <c r="C804" s="33"/>
      <c r="D804" s="33"/>
    </row>
    <row r="805" spans="1:4" ht="15.75" customHeight="1">
      <c r="A805" s="24"/>
      <c r="C805" s="33"/>
      <c r="D805" s="33"/>
    </row>
    <row r="806" spans="1:4" ht="15.75" customHeight="1">
      <c r="A806" s="24"/>
      <c r="C806" s="33"/>
      <c r="D806" s="33"/>
    </row>
    <row r="807" spans="1:4" ht="15.75" customHeight="1">
      <c r="A807" s="24"/>
      <c r="C807" s="33"/>
      <c r="D807" s="33"/>
    </row>
    <row r="808" spans="1:4" ht="15.75" customHeight="1">
      <c r="A808" s="24"/>
      <c r="C808" s="33"/>
      <c r="D808" s="33"/>
    </row>
    <row r="809" spans="1:4" ht="15.75" customHeight="1">
      <c r="A809" s="24"/>
      <c r="C809" s="33"/>
      <c r="D809" s="33"/>
    </row>
    <row r="810" spans="1:4" ht="15.75" customHeight="1">
      <c r="A810" s="24"/>
      <c r="C810" s="33"/>
      <c r="D810" s="33"/>
    </row>
    <row r="811" spans="1:4" ht="15.75" customHeight="1">
      <c r="A811" s="24"/>
      <c r="C811" s="33"/>
      <c r="D811" s="33"/>
    </row>
    <row r="812" spans="1:4" ht="15.75" customHeight="1">
      <c r="A812" s="24"/>
      <c r="C812" s="33"/>
      <c r="D812" s="33"/>
    </row>
    <row r="813" spans="1:4" ht="15.75" customHeight="1">
      <c r="A813" s="24"/>
      <c r="C813" s="33"/>
      <c r="D813" s="33"/>
    </row>
    <row r="814" spans="1:4" ht="15.75" customHeight="1">
      <c r="A814" s="24"/>
      <c r="C814" s="33"/>
      <c r="D814" s="33"/>
    </row>
    <row r="815" spans="1:4" ht="15.75" customHeight="1">
      <c r="A815" s="24"/>
      <c r="C815" s="33"/>
      <c r="D815" s="33"/>
    </row>
    <row r="816" spans="1:4" ht="15.75" customHeight="1">
      <c r="A816" s="24"/>
      <c r="C816" s="33"/>
      <c r="D816" s="33"/>
    </row>
    <row r="817" spans="1:4" ht="15.75" customHeight="1">
      <c r="A817" s="24"/>
      <c r="C817" s="33"/>
      <c r="D817" s="33"/>
    </row>
    <row r="818" spans="1:4" ht="15.75" customHeight="1">
      <c r="A818" s="24"/>
      <c r="C818" s="33"/>
      <c r="D818" s="33"/>
    </row>
    <row r="819" spans="1:4" ht="15.75" customHeight="1">
      <c r="A819" s="24"/>
      <c r="C819" s="33"/>
      <c r="D819" s="33"/>
    </row>
    <row r="820" spans="1:4" ht="15.75" customHeight="1">
      <c r="A820" s="24"/>
      <c r="C820" s="33"/>
      <c r="D820" s="33"/>
    </row>
    <row r="821" spans="1:4" ht="15.75" customHeight="1">
      <c r="A821" s="24"/>
      <c r="C821" s="33"/>
      <c r="D821" s="33"/>
    </row>
    <row r="822" spans="1:4" ht="15.75" customHeight="1">
      <c r="A822" s="24"/>
      <c r="C822" s="33"/>
      <c r="D822" s="33"/>
    </row>
    <row r="823" spans="1:4" ht="15.75" customHeight="1">
      <c r="A823" s="24"/>
      <c r="C823" s="33"/>
      <c r="D823" s="33"/>
    </row>
    <row r="824" spans="1:4" ht="15.75" customHeight="1">
      <c r="A824" s="24"/>
      <c r="C824" s="33"/>
      <c r="D824" s="33"/>
    </row>
    <row r="825" spans="1:4" ht="15.75" customHeight="1">
      <c r="A825" s="24"/>
      <c r="C825" s="33"/>
      <c r="D825" s="33"/>
    </row>
    <row r="826" spans="1:4" ht="15.75" customHeight="1">
      <c r="A826" s="24"/>
      <c r="C826" s="33"/>
      <c r="D826" s="33"/>
    </row>
    <row r="827" spans="1:4" ht="15.75" customHeight="1">
      <c r="A827" s="24"/>
      <c r="C827" s="33"/>
      <c r="D827" s="33"/>
    </row>
    <row r="828" spans="1:4" ht="15.75" customHeight="1">
      <c r="A828" s="24"/>
      <c r="C828" s="33"/>
      <c r="D828" s="33"/>
    </row>
    <row r="829" spans="1:4" ht="15.75" customHeight="1">
      <c r="A829" s="24"/>
      <c r="C829" s="33"/>
      <c r="D829" s="33"/>
    </row>
    <row r="830" spans="1:4" ht="15.75" customHeight="1">
      <c r="A830" s="24"/>
      <c r="C830" s="33"/>
      <c r="D830" s="33"/>
    </row>
    <row r="831" spans="1:4" ht="15.75" customHeight="1">
      <c r="A831" s="24"/>
      <c r="C831" s="33"/>
      <c r="D831" s="33"/>
    </row>
    <row r="832" spans="1:4" ht="15.75" customHeight="1">
      <c r="A832" s="24"/>
      <c r="C832" s="33"/>
      <c r="D832" s="33"/>
    </row>
    <row r="833" spans="1:4" ht="15.75" customHeight="1">
      <c r="A833" s="24"/>
      <c r="C833" s="33"/>
      <c r="D833" s="33"/>
    </row>
    <row r="834" spans="1:4" ht="15.75" customHeight="1">
      <c r="A834" s="24"/>
      <c r="C834" s="33"/>
      <c r="D834" s="33"/>
    </row>
    <row r="835" spans="1:4" ht="15.75" customHeight="1">
      <c r="A835" s="24"/>
      <c r="C835" s="33"/>
      <c r="D835" s="33"/>
    </row>
    <row r="836" spans="1:4" ht="15.75" customHeight="1">
      <c r="A836" s="24"/>
      <c r="C836" s="33"/>
      <c r="D836" s="33"/>
    </row>
    <row r="837" spans="1:4" ht="15.75" customHeight="1">
      <c r="A837" s="24"/>
      <c r="C837" s="33"/>
      <c r="D837" s="33"/>
    </row>
    <row r="838" spans="1:4" ht="15.75" customHeight="1">
      <c r="A838" s="24"/>
      <c r="C838" s="33"/>
      <c r="D838" s="33"/>
    </row>
    <row r="839" spans="1:4" ht="15.75" customHeight="1">
      <c r="A839" s="24"/>
      <c r="C839" s="33"/>
      <c r="D839" s="33"/>
    </row>
    <row r="840" spans="1:4" ht="15.75" customHeight="1">
      <c r="A840" s="24"/>
      <c r="C840" s="33"/>
      <c r="D840" s="33"/>
    </row>
    <row r="841" spans="1:4" ht="15.75" customHeight="1">
      <c r="A841" s="24"/>
      <c r="C841" s="33"/>
      <c r="D841" s="33"/>
    </row>
    <row r="842" spans="1:4" ht="15.75" customHeight="1">
      <c r="A842" s="24"/>
      <c r="C842" s="33"/>
      <c r="D842" s="33"/>
    </row>
    <row r="843" spans="1:4" ht="15.75" customHeight="1">
      <c r="A843" s="24"/>
      <c r="C843" s="33"/>
      <c r="D843" s="33"/>
    </row>
    <row r="844" spans="1:4" ht="15.75" customHeight="1">
      <c r="A844" s="24"/>
      <c r="C844" s="33"/>
      <c r="D844" s="33"/>
    </row>
    <row r="845" spans="1:4" ht="15.75" customHeight="1">
      <c r="A845" s="24"/>
      <c r="C845" s="33"/>
      <c r="D845" s="33"/>
    </row>
    <row r="846" spans="1:4" ht="15.75" customHeight="1">
      <c r="A846" s="24"/>
      <c r="C846" s="33"/>
      <c r="D846" s="33"/>
    </row>
    <row r="847" spans="1:4" ht="15.75" customHeight="1">
      <c r="A847" s="24"/>
      <c r="C847" s="33"/>
      <c r="D847" s="33"/>
    </row>
    <row r="848" spans="1:4" ht="15.75" customHeight="1">
      <c r="A848" s="24"/>
      <c r="C848" s="33"/>
      <c r="D848" s="33"/>
    </row>
    <row r="849" spans="1:4" ht="15.75" customHeight="1">
      <c r="A849" s="24"/>
      <c r="C849" s="33"/>
      <c r="D849" s="33"/>
    </row>
    <row r="850" spans="1:4" ht="15.75" customHeight="1">
      <c r="A850" s="24"/>
      <c r="C850" s="33"/>
      <c r="D850" s="33"/>
    </row>
    <row r="851" spans="1:4" ht="15.75" customHeight="1">
      <c r="A851" s="24"/>
      <c r="C851" s="33"/>
      <c r="D851" s="33"/>
    </row>
    <row r="852" spans="1:4" ht="15.75" customHeight="1">
      <c r="A852" s="24"/>
      <c r="C852" s="33"/>
      <c r="D852" s="33"/>
    </row>
    <row r="853" spans="1:4" ht="15.75" customHeight="1">
      <c r="A853" s="24"/>
      <c r="C853" s="33"/>
      <c r="D853" s="33"/>
    </row>
    <row r="854" spans="1:4" ht="15.75" customHeight="1">
      <c r="A854" s="24"/>
      <c r="C854" s="33"/>
      <c r="D854" s="33"/>
    </row>
    <row r="855" spans="1:4" ht="15.75" customHeight="1">
      <c r="A855" s="24"/>
      <c r="C855" s="33"/>
      <c r="D855" s="33"/>
    </row>
    <row r="856" spans="1:4" ht="15.75" customHeight="1">
      <c r="A856" s="24"/>
      <c r="C856" s="33"/>
      <c r="D856" s="33"/>
    </row>
    <row r="857" spans="1:4" ht="15.75" customHeight="1">
      <c r="A857" s="24"/>
      <c r="C857" s="33"/>
      <c r="D857" s="33"/>
    </row>
    <row r="858" spans="1:4" ht="15.75" customHeight="1">
      <c r="A858" s="24"/>
      <c r="C858" s="33"/>
      <c r="D858" s="33"/>
    </row>
    <row r="859" spans="1:4" ht="15.75" customHeight="1">
      <c r="A859" s="24"/>
      <c r="C859" s="33"/>
      <c r="D859" s="33"/>
    </row>
    <row r="860" spans="1:4" ht="15.75" customHeight="1">
      <c r="A860" s="24"/>
      <c r="C860" s="33"/>
      <c r="D860" s="33"/>
    </row>
    <row r="861" spans="1:4" ht="15.75" customHeight="1">
      <c r="A861" s="24"/>
      <c r="C861" s="33"/>
      <c r="D861" s="33"/>
    </row>
    <row r="862" spans="1:4" ht="15.75" customHeight="1">
      <c r="A862" s="24"/>
      <c r="C862" s="33"/>
      <c r="D862" s="33"/>
    </row>
    <row r="863" spans="1:4" ht="15.75" customHeight="1">
      <c r="A863" s="24"/>
      <c r="C863" s="33"/>
      <c r="D863" s="33"/>
    </row>
    <row r="864" spans="1:4" ht="15.75" customHeight="1">
      <c r="A864" s="24"/>
      <c r="C864" s="33"/>
      <c r="D864" s="33"/>
    </row>
    <row r="865" spans="1:4" ht="15.75" customHeight="1">
      <c r="A865" s="24"/>
      <c r="C865" s="33"/>
      <c r="D865" s="33"/>
    </row>
    <row r="866" spans="1:4" ht="15.75" customHeight="1">
      <c r="A866" s="24"/>
      <c r="C866" s="33"/>
      <c r="D866" s="33"/>
    </row>
    <row r="867" spans="1:4" ht="15.75" customHeight="1">
      <c r="A867" s="24"/>
      <c r="C867" s="33"/>
      <c r="D867" s="33"/>
    </row>
    <row r="868" spans="1:4" ht="15.75" customHeight="1">
      <c r="A868" s="24"/>
      <c r="C868" s="33"/>
      <c r="D868" s="33"/>
    </row>
    <row r="869" spans="1:4" ht="15.75" customHeight="1">
      <c r="A869" s="24"/>
      <c r="C869" s="33"/>
      <c r="D869" s="33"/>
    </row>
    <row r="870" spans="1:4" ht="15.75" customHeight="1">
      <c r="A870" s="24"/>
      <c r="C870" s="33"/>
      <c r="D870" s="33"/>
    </row>
    <row r="871" spans="1:4" ht="15.75" customHeight="1">
      <c r="A871" s="24"/>
      <c r="C871" s="33"/>
      <c r="D871" s="33"/>
    </row>
    <row r="872" spans="1:4" ht="15.75" customHeight="1">
      <c r="A872" s="24"/>
      <c r="C872" s="33"/>
      <c r="D872" s="33"/>
    </row>
    <row r="873" spans="1:4" ht="15.75" customHeight="1">
      <c r="A873" s="24"/>
      <c r="C873" s="33"/>
      <c r="D873" s="33"/>
    </row>
    <row r="874" spans="1:4" ht="15.75" customHeight="1">
      <c r="A874" s="24"/>
      <c r="C874" s="33"/>
      <c r="D874" s="33"/>
    </row>
    <row r="875" spans="1:4" ht="15.75" customHeight="1">
      <c r="A875" s="24"/>
      <c r="C875" s="33"/>
      <c r="D875" s="33"/>
    </row>
    <row r="876" spans="1:4" ht="15.75" customHeight="1">
      <c r="A876" s="24"/>
      <c r="C876" s="33"/>
      <c r="D876" s="33"/>
    </row>
    <row r="877" spans="1:4" ht="15.75" customHeight="1">
      <c r="A877" s="24"/>
      <c r="C877" s="33"/>
      <c r="D877" s="33"/>
    </row>
    <row r="878" spans="1:4" ht="15.75" customHeight="1">
      <c r="A878" s="24"/>
      <c r="C878" s="33"/>
      <c r="D878" s="33"/>
    </row>
    <row r="879" spans="1:4" ht="15.75" customHeight="1">
      <c r="A879" s="24"/>
      <c r="C879" s="33"/>
      <c r="D879" s="33"/>
    </row>
    <row r="880" spans="1:4" ht="15.75" customHeight="1">
      <c r="A880" s="24"/>
      <c r="C880" s="33"/>
      <c r="D880" s="33"/>
    </row>
    <row r="881" spans="1:4" ht="15.75" customHeight="1">
      <c r="A881" s="24"/>
      <c r="C881" s="33"/>
      <c r="D881" s="33"/>
    </row>
    <row r="882" spans="1:4" ht="15.75" customHeight="1">
      <c r="A882" s="24"/>
      <c r="C882" s="33"/>
      <c r="D882" s="33"/>
    </row>
    <row r="883" spans="1:4" ht="15.75" customHeight="1">
      <c r="A883" s="24"/>
      <c r="C883" s="33"/>
      <c r="D883" s="33"/>
    </row>
    <row r="884" spans="1:4" ht="15.75" customHeight="1">
      <c r="A884" s="24"/>
      <c r="C884" s="33"/>
      <c r="D884" s="33"/>
    </row>
    <row r="885" spans="1:4" ht="15.75" customHeight="1">
      <c r="A885" s="24"/>
      <c r="C885" s="33"/>
      <c r="D885" s="33"/>
    </row>
    <row r="886" spans="1:4" ht="15.75" customHeight="1">
      <c r="A886" s="24"/>
      <c r="C886" s="33"/>
      <c r="D886" s="33"/>
    </row>
    <row r="887" spans="1:4" ht="15.75" customHeight="1">
      <c r="A887" s="24"/>
      <c r="C887" s="33"/>
      <c r="D887" s="33"/>
    </row>
    <row r="888" spans="1:4" ht="15.75" customHeight="1">
      <c r="A888" s="24"/>
      <c r="C888" s="33"/>
      <c r="D888" s="33"/>
    </row>
    <row r="889" spans="1:4" ht="15.75" customHeight="1">
      <c r="A889" s="24"/>
      <c r="C889" s="33"/>
      <c r="D889" s="33"/>
    </row>
    <row r="890" spans="1:4" ht="15.75" customHeight="1">
      <c r="A890" s="24"/>
      <c r="C890" s="33"/>
      <c r="D890" s="33"/>
    </row>
    <row r="891" spans="1:4" ht="15.75" customHeight="1">
      <c r="A891" s="24"/>
      <c r="C891" s="33"/>
      <c r="D891" s="33"/>
    </row>
    <row r="892" spans="1:4" ht="15.75" customHeight="1">
      <c r="A892" s="24"/>
      <c r="C892" s="33"/>
      <c r="D892" s="33"/>
    </row>
    <row r="893" spans="1:4" ht="15.75" customHeight="1">
      <c r="A893" s="24"/>
      <c r="C893" s="33"/>
      <c r="D893" s="33"/>
    </row>
    <row r="894" spans="1:4" ht="15.75" customHeight="1">
      <c r="A894" s="24"/>
      <c r="C894" s="33"/>
      <c r="D894" s="33"/>
    </row>
    <row r="895" spans="1:4" ht="15.75" customHeight="1">
      <c r="A895" s="24"/>
      <c r="C895" s="33"/>
      <c r="D895" s="33"/>
    </row>
    <row r="896" spans="1:4" ht="15.75" customHeight="1">
      <c r="A896" s="24"/>
      <c r="C896" s="33"/>
      <c r="D896" s="33"/>
    </row>
    <row r="897" spans="1:4" ht="15.75" customHeight="1">
      <c r="A897" s="24"/>
      <c r="C897" s="33"/>
      <c r="D897" s="33"/>
    </row>
    <row r="898" spans="1:4" ht="15.75" customHeight="1">
      <c r="A898" s="24"/>
      <c r="C898" s="33"/>
      <c r="D898" s="33"/>
    </row>
    <row r="899" spans="1:4" ht="15.75" customHeight="1">
      <c r="A899" s="24"/>
      <c r="C899" s="33"/>
      <c r="D899" s="33"/>
    </row>
    <row r="900" spans="1:4" ht="15.75" customHeight="1">
      <c r="A900" s="24"/>
      <c r="C900" s="33"/>
      <c r="D900" s="33"/>
    </row>
    <row r="901" spans="1:4" ht="15.75" customHeight="1">
      <c r="A901" s="24"/>
      <c r="C901" s="33"/>
      <c r="D901" s="33"/>
    </row>
    <row r="902" spans="1:4" ht="15.75" customHeight="1">
      <c r="A902" s="24"/>
      <c r="C902" s="33"/>
      <c r="D902" s="33"/>
    </row>
    <row r="903" spans="1:4" ht="15.75" customHeight="1">
      <c r="A903" s="24"/>
      <c r="C903" s="33"/>
      <c r="D903" s="33"/>
    </row>
    <row r="904" spans="1:4" ht="15.75" customHeight="1">
      <c r="A904" s="24"/>
      <c r="C904" s="33"/>
      <c r="D904" s="33"/>
    </row>
    <row r="905" spans="1:4" ht="15.75" customHeight="1">
      <c r="A905" s="24"/>
      <c r="C905" s="33"/>
      <c r="D905" s="33"/>
    </row>
    <row r="906" spans="1:4" ht="15.75" customHeight="1">
      <c r="A906" s="24"/>
      <c r="C906" s="33"/>
      <c r="D906" s="33"/>
    </row>
    <row r="907" spans="1:4" ht="15.75" customHeight="1">
      <c r="A907" s="24"/>
      <c r="C907" s="33"/>
      <c r="D907" s="33"/>
    </row>
    <row r="908" spans="1:4" ht="15.75" customHeight="1">
      <c r="A908" s="24"/>
      <c r="C908" s="33"/>
      <c r="D908" s="33"/>
    </row>
    <row r="909" spans="1:4" ht="15.75" customHeight="1">
      <c r="A909" s="24"/>
      <c r="C909" s="33"/>
      <c r="D909" s="33"/>
    </row>
    <row r="910" spans="1:4" ht="15.75" customHeight="1">
      <c r="A910" s="24"/>
      <c r="C910" s="33"/>
      <c r="D910" s="33"/>
    </row>
    <row r="911" spans="1:4" ht="15.75" customHeight="1">
      <c r="A911" s="24"/>
      <c r="C911" s="33"/>
      <c r="D911" s="33"/>
    </row>
    <row r="912" spans="1:4" ht="15.75" customHeight="1">
      <c r="A912" s="24"/>
      <c r="C912" s="33"/>
      <c r="D912" s="33"/>
    </row>
    <row r="913" spans="1:4" ht="15.75" customHeight="1">
      <c r="A913" s="24"/>
      <c r="C913" s="33"/>
      <c r="D913" s="33"/>
    </row>
    <row r="914" spans="1:4" ht="15.75" customHeight="1">
      <c r="A914" s="24"/>
      <c r="C914" s="33"/>
      <c r="D914" s="33"/>
    </row>
    <row r="915" spans="1:4" ht="15.75" customHeight="1">
      <c r="A915" s="24"/>
      <c r="C915" s="33"/>
      <c r="D915" s="33"/>
    </row>
    <row r="916" spans="1:4" ht="15.75" customHeight="1">
      <c r="A916" s="24"/>
      <c r="C916" s="33"/>
      <c r="D916" s="33"/>
    </row>
    <row r="917" spans="1:4" ht="15.75" customHeight="1">
      <c r="A917" s="24"/>
      <c r="C917" s="33"/>
      <c r="D917" s="33"/>
    </row>
    <row r="918" spans="1:4" ht="15.75" customHeight="1">
      <c r="A918" s="24"/>
      <c r="C918" s="33"/>
      <c r="D918" s="33"/>
    </row>
    <row r="919" spans="1:4" ht="15.75" customHeight="1">
      <c r="A919" s="24"/>
      <c r="C919" s="33"/>
      <c r="D919" s="33"/>
    </row>
    <row r="920" spans="1:4" ht="15.75" customHeight="1">
      <c r="A920" s="24"/>
      <c r="C920" s="33"/>
      <c r="D920" s="33"/>
    </row>
    <row r="921" spans="1:4" ht="15.75" customHeight="1">
      <c r="A921" s="24"/>
      <c r="C921" s="33"/>
      <c r="D921" s="33"/>
    </row>
    <row r="922" spans="1:4" ht="15.75" customHeight="1">
      <c r="A922" s="24"/>
      <c r="C922" s="33"/>
      <c r="D922" s="33"/>
    </row>
    <row r="923" spans="1:4" ht="15.75" customHeight="1">
      <c r="A923" s="24"/>
      <c r="C923" s="33"/>
      <c r="D923" s="33"/>
    </row>
    <row r="924" spans="1:4" ht="15.75" customHeight="1">
      <c r="A924" s="24"/>
      <c r="C924" s="33"/>
      <c r="D924" s="33"/>
    </row>
    <row r="925" spans="1:4" ht="15.75" customHeight="1">
      <c r="A925" s="24"/>
      <c r="C925" s="33"/>
      <c r="D925" s="33"/>
    </row>
    <row r="926" spans="1:4" ht="15.75" customHeight="1">
      <c r="A926" s="24"/>
      <c r="C926" s="33"/>
      <c r="D926" s="33"/>
    </row>
    <row r="927" spans="1:4" ht="15.75" customHeight="1">
      <c r="A927" s="24"/>
      <c r="C927" s="33"/>
      <c r="D927" s="33"/>
    </row>
    <row r="928" spans="1:4" ht="15.75" customHeight="1">
      <c r="A928" s="24"/>
      <c r="C928" s="33"/>
      <c r="D928" s="33"/>
    </row>
    <row r="929" spans="1:4" ht="15.75" customHeight="1">
      <c r="A929" s="24"/>
      <c r="C929" s="33"/>
      <c r="D929" s="33"/>
    </row>
    <row r="930" spans="1:4" ht="15.75" customHeight="1">
      <c r="A930" s="24"/>
      <c r="C930" s="33"/>
      <c r="D930" s="33"/>
    </row>
    <row r="931" spans="1:4" ht="15.75" customHeight="1">
      <c r="A931" s="24"/>
      <c r="C931" s="33"/>
      <c r="D931" s="33"/>
    </row>
    <row r="932" spans="1:4" ht="15.75" customHeight="1">
      <c r="A932" s="24"/>
      <c r="C932" s="33"/>
      <c r="D932" s="33"/>
    </row>
    <row r="933" spans="1:4" ht="15.75" customHeight="1">
      <c r="A933" s="24"/>
      <c r="C933" s="33"/>
      <c r="D933" s="33"/>
    </row>
    <row r="934" spans="1:4" ht="15.75" customHeight="1">
      <c r="A934" s="24"/>
      <c r="C934" s="33"/>
      <c r="D934" s="33"/>
    </row>
    <row r="935" spans="1:4" ht="15.75" customHeight="1">
      <c r="A935" s="24"/>
      <c r="C935" s="33"/>
      <c r="D935" s="33"/>
    </row>
    <row r="936" spans="1:4" ht="15.75" customHeight="1">
      <c r="A936" s="24"/>
      <c r="C936" s="33"/>
      <c r="D936" s="33"/>
    </row>
    <row r="937" spans="1:4" ht="15.75" customHeight="1">
      <c r="A937" s="24"/>
      <c r="C937" s="33"/>
      <c r="D937" s="33"/>
    </row>
    <row r="938" spans="1:4" ht="15.75" customHeight="1">
      <c r="A938" s="24"/>
      <c r="C938" s="33"/>
      <c r="D938" s="33"/>
    </row>
    <row r="939" spans="1:4" ht="15.75" customHeight="1">
      <c r="A939" s="24"/>
      <c r="C939" s="33"/>
      <c r="D939" s="33"/>
    </row>
    <row r="940" spans="1:4" ht="15.75" customHeight="1">
      <c r="A940" s="24"/>
      <c r="C940" s="33"/>
      <c r="D940" s="33"/>
    </row>
    <row r="941" spans="1:4" ht="15.75" customHeight="1">
      <c r="A941" s="24"/>
      <c r="C941" s="33"/>
      <c r="D941" s="33"/>
    </row>
    <row r="942" spans="1:4" ht="15.75" customHeight="1">
      <c r="A942" s="24"/>
      <c r="C942" s="33"/>
      <c r="D942" s="33"/>
    </row>
    <row r="943" spans="1:4" ht="15.75" customHeight="1">
      <c r="A943" s="24"/>
      <c r="C943" s="33"/>
      <c r="D943" s="33"/>
    </row>
    <row r="944" spans="1:4" ht="15.75" customHeight="1">
      <c r="A944" s="24"/>
      <c r="C944" s="33"/>
      <c r="D944" s="33"/>
    </row>
    <row r="945" spans="1:4" ht="15.75" customHeight="1">
      <c r="A945" s="24"/>
      <c r="C945" s="33"/>
      <c r="D945" s="33"/>
    </row>
    <row r="946" spans="1:4" ht="15.75" customHeight="1">
      <c r="A946" s="24"/>
      <c r="C946" s="33"/>
      <c r="D946" s="33"/>
    </row>
    <row r="947" spans="1:4" ht="15.75" customHeight="1">
      <c r="A947" s="24"/>
      <c r="C947" s="33"/>
      <c r="D947" s="33"/>
    </row>
    <row r="948" spans="1:4" ht="15.75" customHeight="1">
      <c r="A948" s="24"/>
      <c r="C948" s="33"/>
      <c r="D948" s="33"/>
    </row>
    <row r="949" spans="1:4" ht="15.75" customHeight="1">
      <c r="A949" s="24"/>
      <c r="C949" s="33"/>
      <c r="D949" s="33"/>
    </row>
    <row r="950" spans="1:4" ht="15.75" customHeight="1">
      <c r="A950" s="24"/>
      <c r="C950" s="33"/>
      <c r="D950" s="33"/>
    </row>
    <row r="951" spans="1:4" ht="15.75" customHeight="1">
      <c r="A951" s="24"/>
      <c r="C951" s="33"/>
      <c r="D951" s="33"/>
    </row>
    <row r="952" spans="1:4" ht="15.75" customHeight="1">
      <c r="A952" s="24"/>
      <c r="C952" s="33"/>
      <c r="D952" s="33"/>
    </row>
    <row r="953" spans="1:4" ht="15.75" customHeight="1">
      <c r="A953" s="24"/>
      <c r="C953" s="33"/>
      <c r="D953" s="33"/>
    </row>
    <row r="954" spans="1:4" ht="15.75" customHeight="1">
      <c r="A954" s="24"/>
      <c r="C954" s="33"/>
      <c r="D954" s="33"/>
    </row>
    <row r="955" spans="1:4" ht="15.75" customHeight="1">
      <c r="A955" s="24"/>
      <c r="C955" s="33"/>
      <c r="D955" s="33"/>
    </row>
    <row r="956" spans="1:4" ht="15.75" customHeight="1">
      <c r="A956" s="24"/>
      <c r="C956" s="33"/>
      <c r="D956" s="33"/>
    </row>
    <row r="957" spans="1:4" ht="15.75" customHeight="1">
      <c r="A957" s="24"/>
      <c r="C957" s="33"/>
      <c r="D957" s="33"/>
    </row>
    <row r="958" spans="1:4" ht="15.75" customHeight="1">
      <c r="A958" s="24"/>
      <c r="C958" s="33"/>
      <c r="D958" s="33"/>
    </row>
    <row r="959" spans="1:4" ht="15.75" customHeight="1">
      <c r="A959" s="24"/>
      <c r="C959" s="33"/>
      <c r="D959" s="33"/>
    </row>
    <row r="960" spans="1:4" ht="15.75" customHeight="1">
      <c r="A960" s="24"/>
      <c r="C960" s="33"/>
      <c r="D960" s="33"/>
    </row>
    <row r="961" spans="1:4" ht="15.75" customHeight="1">
      <c r="A961" s="24"/>
      <c r="C961" s="33"/>
      <c r="D961" s="33"/>
    </row>
    <row r="962" spans="1:4" ht="15.75" customHeight="1">
      <c r="A962" s="24"/>
      <c r="C962" s="33"/>
      <c r="D962" s="33"/>
    </row>
    <row r="963" spans="1:4" ht="15.75" customHeight="1">
      <c r="A963" s="24"/>
      <c r="C963" s="33"/>
      <c r="D963" s="33"/>
    </row>
    <row r="964" spans="1:4" ht="15.75" customHeight="1">
      <c r="A964" s="24"/>
      <c r="C964" s="33"/>
      <c r="D964" s="33"/>
    </row>
    <row r="965" spans="1:4" ht="15.75" customHeight="1">
      <c r="A965" s="24"/>
      <c r="C965" s="33"/>
      <c r="D965" s="33"/>
    </row>
    <row r="966" spans="1:4" ht="15.75" customHeight="1">
      <c r="A966" s="24"/>
      <c r="C966" s="33"/>
      <c r="D966" s="33"/>
    </row>
    <row r="967" spans="1:4" ht="15.75" customHeight="1">
      <c r="A967" s="24"/>
      <c r="C967" s="33"/>
      <c r="D967" s="33"/>
    </row>
    <row r="968" spans="1:4" ht="15.75" customHeight="1">
      <c r="A968" s="24"/>
      <c r="C968" s="33"/>
      <c r="D968" s="33"/>
    </row>
    <row r="969" spans="1:4" ht="15.75" customHeight="1">
      <c r="A969" s="24"/>
      <c r="C969" s="33"/>
      <c r="D969" s="33"/>
    </row>
    <row r="970" spans="1:4" ht="15.75" customHeight="1">
      <c r="A970" s="24"/>
      <c r="C970" s="33"/>
      <c r="D970" s="33"/>
    </row>
    <row r="971" spans="1:4" ht="15.75" customHeight="1">
      <c r="A971" s="24"/>
      <c r="C971" s="33"/>
      <c r="D971" s="33"/>
    </row>
    <row r="972" spans="1:4" ht="15.75" customHeight="1">
      <c r="A972" s="24"/>
      <c r="C972" s="33"/>
      <c r="D972" s="33"/>
    </row>
    <row r="973" spans="1:4" ht="15.75" customHeight="1">
      <c r="A973" s="24"/>
      <c r="C973" s="33"/>
      <c r="D973" s="33"/>
    </row>
    <row r="974" spans="1:4" ht="15.75" customHeight="1">
      <c r="A974" s="24"/>
      <c r="C974" s="33"/>
      <c r="D974" s="33"/>
    </row>
    <row r="975" spans="1:4" ht="15.75" customHeight="1">
      <c r="A975" s="24"/>
      <c r="C975" s="33"/>
      <c r="D975" s="33"/>
    </row>
    <row r="976" spans="1:4" ht="15.75" customHeight="1">
      <c r="A976" s="24"/>
      <c r="C976" s="33"/>
      <c r="D976" s="33"/>
    </row>
    <row r="977" spans="1:4" ht="15.75" customHeight="1">
      <c r="A977" s="24"/>
      <c r="C977" s="33"/>
      <c r="D977" s="33"/>
    </row>
    <row r="978" spans="1:4" ht="15.75" customHeight="1">
      <c r="A978" s="24"/>
      <c r="C978" s="33"/>
      <c r="D978" s="33"/>
    </row>
    <row r="979" spans="1:4" ht="15.75" customHeight="1">
      <c r="A979" s="24"/>
      <c r="C979" s="33"/>
      <c r="D979" s="33"/>
    </row>
    <row r="980" spans="1:4" ht="15.75" customHeight="1">
      <c r="A980" s="24"/>
      <c r="C980" s="33"/>
      <c r="D980" s="33"/>
    </row>
    <row r="981" spans="1:4" ht="15.75" customHeight="1">
      <c r="A981" s="24"/>
      <c r="C981" s="33"/>
      <c r="D981" s="33"/>
    </row>
    <row r="982" spans="1:4" ht="15.75" customHeight="1">
      <c r="A982" s="24"/>
      <c r="C982" s="33"/>
      <c r="D982" s="33"/>
    </row>
    <row r="983" spans="1:4" ht="15.75" customHeight="1">
      <c r="A983" s="24"/>
      <c r="C983" s="33"/>
      <c r="D983" s="33"/>
    </row>
    <row r="984" spans="1:4" ht="15.75" customHeight="1">
      <c r="A984" s="24"/>
      <c r="C984" s="33"/>
      <c r="D984" s="33"/>
    </row>
    <row r="985" spans="1:4" ht="15.75" customHeight="1">
      <c r="A985" s="24"/>
      <c r="C985" s="33"/>
      <c r="D985" s="33"/>
    </row>
    <row r="986" spans="1:4" ht="15.75" customHeight="1">
      <c r="A986" s="24"/>
      <c r="C986" s="33"/>
      <c r="D986" s="33"/>
    </row>
    <row r="987" spans="1:4" ht="15.75" customHeight="1">
      <c r="A987" s="24"/>
      <c r="C987" s="33"/>
      <c r="D987" s="33"/>
    </row>
    <row r="988" spans="1:4" ht="15.75" customHeight="1">
      <c r="A988" s="24"/>
      <c r="C988" s="33"/>
      <c r="D988" s="33"/>
    </row>
    <row r="989" spans="1:4" ht="15.75" customHeight="1">
      <c r="A989" s="24"/>
      <c r="C989" s="33"/>
      <c r="D989" s="33"/>
    </row>
    <row r="990" spans="1:4" ht="15.75" customHeight="1">
      <c r="A990" s="24"/>
      <c r="C990" s="33"/>
      <c r="D990" s="33"/>
    </row>
    <row r="991" spans="1:4" ht="15.75" customHeight="1">
      <c r="A991" s="24"/>
      <c r="C991" s="33"/>
      <c r="D991" s="33"/>
    </row>
    <row r="992" spans="1:4" ht="15.75" customHeight="1">
      <c r="A992" s="24"/>
      <c r="C992" s="33"/>
      <c r="D992" s="33"/>
    </row>
    <row r="993" spans="1:4" ht="15.75" customHeight="1">
      <c r="A993" s="24"/>
      <c r="C993" s="33"/>
      <c r="D993" s="33"/>
    </row>
    <row r="994" spans="1:4" ht="15.75" customHeight="1">
      <c r="A994" s="24"/>
      <c r="C994" s="33"/>
      <c r="D994" s="33"/>
    </row>
    <row r="995" spans="1:4" ht="15.75" customHeight="1">
      <c r="A995" s="24"/>
      <c r="C995" s="33"/>
      <c r="D995" s="33"/>
    </row>
    <row r="996" spans="1:4" ht="15.75" customHeight="1">
      <c r="A996" s="24"/>
      <c r="C996" s="33"/>
      <c r="D996" s="33"/>
    </row>
    <row r="997" spans="1:4" ht="15.75" customHeight="1">
      <c r="A997" s="24"/>
      <c r="C997" s="33"/>
      <c r="D997" s="33"/>
    </row>
    <row r="998" spans="1:4" ht="15.75" customHeight="1">
      <c r="A998" s="24"/>
      <c r="C998" s="33"/>
      <c r="D998" s="33"/>
    </row>
    <row r="999" spans="1:4" ht="15.75" customHeight="1">
      <c r="A999" s="24"/>
      <c r="C999" s="33"/>
      <c r="D999" s="33"/>
    </row>
    <row r="1000" spans="1:4" ht="15.75" customHeight="1">
      <c r="A1000" s="24"/>
      <c r="C1000" s="33"/>
      <c r="D1000" s="3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D1000"/>
  <sheetViews>
    <sheetView workbookViewId="0">
      <selection activeCell="A6" sqref="A6"/>
    </sheetView>
  </sheetViews>
  <sheetFormatPr baseColWidth="10" defaultColWidth="12.6640625" defaultRowHeight="15" customHeight="1"/>
  <cols>
    <col min="1" max="3" width="12.6640625" customWidth="1"/>
    <col min="4" max="4" width="15.109375" customWidth="1"/>
    <col min="5" max="6" width="12.6640625" customWidth="1"/>
  </cols>
  <sheetData>
    <row r="1" spans="1:4" ht="15.75" customHeight="1">
      <c r="A1" s="26" t="s">
        <v>359</v>
      </c>
      <c r="B1" s="9" t="s">
        <v>360</v>
      </c>
      <c r="C1" s="50" t="s">
        <v>14</v>
      </c>
      <c r="D1" s="11" t="s">
        <v>356</v>
      </c>
    </row>
    <row r="2" spans="1:4" ht="15.75" customHeight="1">
      <c r="A2" s="8">
        <v>1</v>
      </c>
      <c r="B2" s="9" t="s">
        <v>361</v>
      </c>
      <c r="C2" s="20">
        <v>0.36022729005774462</v>
      </c>
      <c r="D2" s="34">
        <v>0.35347703227126781</v>
      </c>
    </row>
    <row r="3" spans="1:4" ht="15.75" customHeight="1">
      <c r="A3" s="8">
        <v>2</v>
      </c>
      <c r="B3" s="9" t="s">
        <v>362</v>
      </c>
      <c r="C3" s="20">
        <v>0.23548594159467073</v>
      </c>
      <c r="D3" s="34">
        <v>0.29150138185324559</v>
      </c>
    </row>
    <row r="4" spans="1:4" ht="15.75" customHeight="1">
      <c r="A4" s="8">
        <v>3</v>
      </c>
      <c r="B4" s="9" t="s">
        <v>132</v>
      </c>
      <c r="C4" s="20">
        <v>0.28122859779042153</v>
      </c>
      <c r="D4" s="34">
        <v>0.34019267335021197</v>
      </c>
    </row>
    <row r="5" spans="1:4" ht="15.75" customHeight="1">
      <c r="A5" s="8">
        <v>4</v>
      </c>
      <c r="B5" s="9" t="s">
        <v>180</v>
      </c>
      <c r="C5" s="20">
        <v>0.22443224433405309</v>
      </c>
      <c r="D5" s="34">
        <v>0.24202280376642238</v>
      </c>
    </row>
    <row r="6" spans="1:4" ht="15.75" customHeight="1">
      <c r="A6" s="8">
        <v>5</v>
      </c>
      <c r="B6" s="9" t="s">
        <v>215</v>
      </c>
      <c r="C6" s="20">
        <v>0.22584898251420729</v>
      </c>
      <c r="D6" s="34">
        <v>0.2881100860662193</v>
      </c>
    </row>
    <row r="7" spans="1:4" ht="15.75" customHeight="1">
      <c r="A7" s="8">
        <v>6</v>
      </c>
      <c r="B7" s="9" t="s">
        <v>257</v>
      </c>
      <c r="C7" s="20">
        <v>0.5576016346037197</v>
      </c>
      <c r="D7" s="34">
        <v>0.41027900067915879</v>
      </c>
    </row>
    <row r="8" spans="1:4" ht="15.75" customHeight="1">
      <c r="A8" s="8">
        <v>7</v>
      </c>
      <c r="B8" s="9" t="s">
        <v>363</v>
      </c>
      <c r="C8" s="20">
        <v>0.54671673706202606</v>
      </c>
      <c r="D8" s="34">
        <v>0.47351727007382166</v>
      </c>
    </row>
    <row r="9" spans="1:4" ht="15.75" customHeight="1">
      <c r="A9" s="8">
        <v>8</v>
      </c>
      <c r="B9" s="9" t="s">
        <v>364</v>
      </c>
      <c r="C9" s="20">
        <v>0.70671042554622487</v>
      </c>
      <c r="D9" s="34">
        <v>0.49771647290025123</v>
      </c>
    </row>
    <row r="10" spans="1:4" ht="15.75" customHeight="1">
      <c r="A10" s="8">
        <v>9</v>
      </c>
      <c r="B10" s="9" t="s">
        <v>365</v>
      </c>
      <c r="C10" s="20">
        <v>0.78242007183538831</v>
      </c>
      <c r="D10" s="34">
        <v>0.76827798682187842</v>
      </c>
    </row>
    <row r="11" spans="1:4" ht="15.75" customHeight="1">
      <c r="A11" s="8">
        <v>10</v>
      </c>
      <c r="B11" s="9" t="s">
        <v>354</v>
      </c>
      <c r="C11" s="20">
        <v>0.4741650994226459</v>
      </c>
      <c r="D11" s="34">
        <v>0.27048906073740747</v>
      </c>
    </row>
    <row r="12" spans="1:4" ht="15.75" customHeight="1">
      <c r="A12" s="8">
        <v>11</v>
      </c>
      <c r="B12" s="9" t="s">
        <v>355</v>
      </c>
      <c r="C12" s="20">
        <v>0.39167546343135085</v>
      </c>
      <c r="D12" s="34">
        <v>0.35064492370593048</v>
      </c>
    </row>
    <row r="13" spans="1:4" ht="15.75" customHeight="1">
      <c r="A13" s="22"/>
      <c r="B13" s="29"/>
      <c r="C13" s="23"/>
      <c r="D13" s="23"/>
    </row>
    <row r="14" spans="1:4" ht="15.75" customHeight="1">
      <c r="A14" s="22"/>
      <c r="B14" s="29"/>
      <c r="C14" s="23"/>
      <c r="D14" s="23"/>
    </row>
    <row r="15" spans="1:4" ht="15.75" customHeight="1">
      <c r="A15" s="22"/>
      <c r="B15" s="29"/>
      <c r="C15" s="23"/>
      <c r="D15" s="23"/>
    </row>
    <row r="16" spans="1:4" ht="15.75" customHeight="1">
      <c r="A16" s="22"/>
      <c r="B16" s="29"/>
      <c r="C16" s="23"/>
      <c r="D16" s="23"/>
    </row>
    <row r="17" spans="1:4" ht="15.75" customHeight="1">
      <c r="A17" s="22"/>
      <c r="B17" s="29"/>
      <c r="C17" s="23"/>
      <c r="D17" s="23"/>
    </row>
    <row r="18" spans="1:4" ht="15.75" customHeight="1">
      <c r="A18" s="22"/>
      <c r="B18" s="29"/>
      <c r="C18" s="23"/>
      <c r="D18" s="23"/>
    </row>
    <row r="19" spans="1:4" ht="15.75" customHeight="1">
      <c r="A19" s="22"/>
      <c r="B19" s="29"/>
      <c r="C19" s="23"/>
      <c r="D19" s="23"/>
    </row>
    <row r="20" spans="1:4" ht="15.75" customHeight="1">
      <c r="A20" s="22"/>
      <c r="B20" s="29"/>
      <c r="C20" s="23"/>
      <c r="D20" s="23"/>
    </row>
    <row r="21" spans="1:4" ht="15.75" customHeight="1">
      <c r="A21" s="22"/>
      <c r="B21" s="29"/>
      <c r="C21" s="23"/>
      <c r="D21" s="23"/>
    </row>
    <row r="22" spans="1:4" ht="15.75" customHeight="1">
      <c r="A22" s="22"/>
      <c r="B22" s="29"/>
      <c r="C22" s="23"/>
      <c r="D22" s="23"/>
    </row>
    <row r="23" spans="1:4" ht="15.75" customHeight="1">
      <c r="A23" s="22"/>
      <c r="B23" s="29"/>
      <c r="C23" s="23"/>
      <c r="D23" s="23"/>
    </row>
    <row r="24" spans="1:4" ht="15.75" customHeight="1">
      <c r="A24" s="22"/>
      <c r="B24" s="29"/>
      <c r="C24" s="23"/>
      <c r="D24" s="23"/>
    </row>
    <row r="25" spans="1:4" ht="15.75" customHeight="1">
      <c r="A25" s="22"/>
      <c r="B25" s="29"/>
      <c r="C25" s="23"/>
      <c r="D25" s="23"/>
    </row>
    <row r="26" spans="1:4" ht="15.75" customHeight="1">
      <c r="A26" s="22"/>
      <c r="B26" s="29"/>
      <c r="C26" s="23"/>
      <c r="D26" s="23"/>
    </row>
    <row r="27" spans="1:4" ht="15.75" customHeight="1">
      <c r="A27" s="22"/>
      <c r="B27" s="29"/>
      <c r="C27" s="23"/>
      <c r="D27" s="23"/>
    </row>
    <row r="28" spans="1:4" ht="15.75" customHeight="1">
      <c r="A28" s="22"/>
      <c r="B28" s="29"/>
      <c r="C28" s="23"/>
      <c r="D28" s="23"/>
    </row>
    <row r="29" spans="1:4" ht="15.75" customHeight="1">
      <c r="A29" s="22"/>
      <c r="B29" s="29"/>
      <c r="C29" s="23"/>
      <c r="D29" s="23"/>
    </row>
    <row r="30" spans="1:4" ht="15.75" customHeight="1">
      <c r="A30" s="22"/>
      <c r="B30" s="29"/>
      <c r="C30" s="23"/>
      <c r="D30" s="23"/>
    </row>
    <row r="31" spans="1:4" ht="15.75" customHeight="1">
      <c r="A31" s="22"/>
      <c r="B31" s="29"/>
      <c r="C31" s="23"/>
      <c r="D31" s="23"/>
    </row>
    <row r="32" spans="1:4" ht="15.75" customHeight="1">
      <c r="A32" s="22"/>
      <c r="B32" s="29"/>
      <c r="C32" s="23"/>
      <c r="D32" s="23"/>
    </row>
    <row r="33" spans="1:4" ht="15.75" customHeight="1">
      <c r="A33" s="22"/>
      <c r="B33" s="29"/>
      <c r="C33" s="23"/>
      <c r="D33" s="23"/>
    </row>
    <row r="34" spans="1:4" ht="15.75" customHeight="1">
      <c r="A34" s="22"/>
      <c r="B34" s="29"/>
      <c r="C34" s="23"/>
      <c r="D34" s="23"/>
    </row>
    <row r="35" spans="1:4" ht="15.75" customHeight="1">
      <c r="A35" s="22"/>
      <c r="B35" s="29"/>
      <c r="C35" s="23"/>
      <c r="D35" s="23"/>
    </row>
    <row r="36" spans="1:4" ht="15.75" customHeight="1">
      <c r="A36" s="22"/>
      <c r="B36" s="29"/>
      <c r="C36" s="23"/>
      <c r="D36" s="23"/>
    </row>
    <row r="37" spans="1:4" ht="15.75" customHeight="1">
      <c r="A37" s="22"/>
      <c r="B37" s="29"/>
      <c r="C37" s="23"/>
      <c r="D37" s="23"/>
    </row>
    <row r="38" spans="1:4" ht="15.75" customHeight="1">
      <c r="A38" s="22"/>
      <c r="B38" s="29"/>
      <c r="C38" s="23"/>
      <c r="D38" s="23"/>
    </row>
    <row r="39" spans="1:4" ht="15.75" customHeight="1">
      <c r="A39" s="22"/>
      <c r="B39" s="29"/>
      <c r="C39" s="23"/>
      <c r="D39" s="23"/>
    </row>
    <row r="40" spans="1:4" ht="15.75" customHeight="1">
      <c r="A40" s="22"/>
      <c r="B40" s="29"/>
      <c r="C40" s="23"/>
      <c r="D40" s="23"/>
    </row>
    <row r="41" spans="1:4" ht="15.75" customHeight="1">
      <c r="A41" s="22"/>
      <c r="B41" s="29"/>
      <c r="C41" s="23"/>
      <c r="D41" s="23"/>
    </row>
    <row r="42" spans="1:4" ht="15.75" customHeight="1">
      <c r="A42" s="22"/>
      <c r="B42" s="29"/>
      <c r="C42" s="23"/>
      <c r="D42" s="23"/>
    </row>
    <row r="43" spans="1:4" ht="15.75" customHeight="1">
      <c r="A43" s="22"/>
      <c r="B43" s="29"/>
      <c r="C43" s="23"/>
      <c r="D43" s="23"/>
    </row>
    <row r="44" spans="1:4" ht="15.75" customHeight="1">
      <c r="A44" s="22"/>
      <c r="B44" s="29"/>
      <c r="C44" s="23"/>
      <c r="D44" s="23"/>
    </row>
    <row r="45" spans="1:4" ht="15.75" customHeight="1">
      <c r="A45" s="22"/>
      <c r="B45" s="29"/>
      <c r="C45" s="23"/>
      <c r="D45" s="23"/>
    </row>
    <row r="46" spans="1:4" ht="15.75" customHeight="1">
      <c r="A46" s="22"/>
      <c r="B46" s="29"/>
      <c r="C46" s="23"/>
      <c r="D46" s="23"/>
    </row>
    <row r="47" spans="1:4" ht="15.75" customHeight="1">
      <c r="A47" s="22"/>
      <c r="B47" s="29"/>
      <c r="C47" s="23"/>
      <c r="D47" s="23"/>
    </row>
    <row r="48" spans="1:4" ht="15.75" customHeight="1">
      <c r="A48" s="22"/>
      <c r="B48" s="29"/>
      <c r="C48" s="23"/>
      <c r="D48" s="23"/>
    </row>
    <row r="49" spans="1:4" ht="15.75" customHeight="1">
      <c r="A49" s="22"/>
      <c r="B49" s="29"/>
      <c r="C49" s="23"/>
      <c r="D49" s="23"/>
    </row>
    <row r="50" spans="1:4" ht="15.75" customHeight="1">
      <c r="A50" s="22"/>
      <c r="B50" s="29"/>
      <c r="C50" s="23"/>
      <c r="D50" s="23"/>
    </row>
    <row r="51" spans="1:4" ht="15.75" customHeight="1">
      <c r="A51" s="22"/>
      <c r="B51" s="29"/>
      <c r="C51" s="23"/>
      <c r="D51" s="23"/>
    </row>
    <row r="52" spans="1:4" ht="15.75" customHeight="1">
      <c r="A52" s="22"/>
      <c r="B52" s="29"/>
      <c r="C52" s="23"/>
      <c r="D52" s="23"/>
    </row>
    <row r="53" spans="1:4" ht="15.75" customHeight="1">
      <c r="A53" s="22"/>
      <c r="B53" s="29"/>
      <c r="C53" s="23"/>
      <c r="D53" s="23"/>
    </row>
    <row r="54" spans="1:4" ht="15.75" customHeight="1">
      <c r="A54" s="22"/>
      <c r="B54" s="29"/>
      <c r="C54" s="23"/>
      <c r="D54" s="23"/>
    </row>
    <row r="55" spans="1:4" ht="15.75" customHeight="1">
      <c r="A55" s="22"/>
      <c r="B55" s="29"/>
      <c r="C55" s="23"/>
      <c r="D55" s="23"/>
    </row>
    <row r="56" spans="1:4" ht="15.75" customHeight="1">
      <c r="A56" s="22"/>
      <c r="B56" s="29"/>
      <c r="C56" s="23"/>
      <c r="D56" s="23"/>
    </row>
    <row r="57" spans="1:4" ht="15.75" customHeight="1">
      <c r="A57" s="22"/>
      <c r="B57" s="29"/>
      <c r="C57" s="23"/>
      <c r="D57" s="23"/>
    </row>
    <row r="58" spans="1:4" ht="15.75" customHeight="1">
      <c r="A58" s="22"/>
      <c r="B58" s="29"/>
      <c r="C58" s="23"/>
      <c r="D58" s="23"/>
    </row>
    <row r="59" spans="1:4" ht="15.75" customHeight="1">
      <c r="A59" s="22"/>
      <c r="B59" s="29"/>
      <c r="C59" s="23"/>
      <c r="D59" s="23"/>
    </row>
    <row r="60" spans="1:4" ht="15.75" customHeight="1">
      <c r="A60" s="22"/>
      <c r="B60" s="29"/>
      <c r="C60" s="23"/>
      <c r="D60" s="23"/>
    </row>
    <row r="61" spans="1:4" ht="15.75" customHeight="1">
      <c r="A61" s="22"/>
      <c r="B61" s="29"/>
      <c r="C61" s="23"/>
      <c r="D61" s="23"/>
    </row>
    <row r="62" spans="1:4" ht="15.75" customHeight="1">
      <c r="A62" s="22"/>
      <c r="B62" s="29"/>
      <c r="C62" s="23"/>
      <c r="D62" s="23"/>
    </row>
    <row r="63" spans="1:4" ht="15.75" customHeight="1">
      <c r="A63" s="22"/>
      <c r="B63" s="29"/>
      <c r="C63" s="23"/>
      <c r="D63" s="23"/>
    </row>
    <row r="64" spans="1:4" ht="15.75" customHeight="1">
      <c r="A64" s="22"/>
      <c r="B64" s="29"/>
      <c r="C64" s="23"/>
      <c r="D64" s="23"/>
    </row>
    <row r="65" spans="1:4" ht="15.75" customHeight="1">
      <c r="A65" s="22"/>
      <c r="B65" s="29"/>
      <c r="C65" s="23"/>
      <c r="D65" s="23"/>
    </row>
    <row r="66" spans="1:4" ht="15.75" customHeight="1">
      <c r="A66" s="22"/>
      <c r="B66" s="29"/>
      <c r="C66" s="23"/>
      <c r="D66" s="23"/>
    </row>
    <row r="67" spans="1:4" ht="15.75" customHeight="1">
      <c r="A67" s="22"/>
      <c r="B67" s="29"/>
      <c r="C67" s="23"/>
      <c r="D67" s="23"/>
    </row>
    <row r="68" spans="1:4" ht="15.75" customHeight="1">
      <c r="A68" s="22"/>
      <c r="B68" s="29"/>
      <c r="C68" s="23"/>
      <c r="D68" s="23"/>
    </row>
    <row r="69" spans="1:4" ht="15.75" customHeight="1">
      <c r="A69" s="22"/>
      <c r="B69" s="29"/>
      <c r="C69" s="23"/>
      <c r="D69" s="23"/>
    </row>
    <row r="70" spans="1:4" ht="15.75" customHeight="1">
      <c r="A70" s="22"/>
      <c r="B70" s="29"/>
      <c r="C70" s="23"/>
      <c r="D70" s="23"/>
    </row>
    <row r="71" spans="1:4" ht="15.75" customHeight="1">
      <c r="A71" s="22"/>
      <c r="B71" s="29"/>
      <c r="C71" s="23"/>
      <c r="D71" s="23"/>
    </row>
    <row r="72" spans="1:4" ht="15.75" customHeight="1">
      <c r="A72" s="22"/>
      <c r="B72" s="29"/>
      <c r="C72" s="23"/>
      <c r="D72" s="23"/>
    </row>
    <row r="73" spans="1:4" ht="15.75" customHeight="1">
      <c r="A73" s="22"/>
      <c r="B73" s="29"/>
      <c r="C73" s="23"/>
      <c r="D73" s="23"/>
    </row>
    <row r="74" spans="1:4" ht="15.75" customHeight="1">
      <c r="A74" s="22"/>
      <c r="B74" s="29"/>
      <c r="C74" s="23"/>
      <c r="D74" s="23"/>
    </row>
    <row r="75" spans="1:4" ht="15.75" customHeight="1">
      <c r="A75" s="22"/>
      <c r="B75" s="29"/>
      <c r="C75" s="23"/>
      <c r="D75" s="23"/>
    </row>
    <row r="76" spans="1:4" ht="15.75" customHeight="1">
      <c r="A76" s="22"/>
      <c r="B76" s="29"/>
      <c r="C76" s="23"/>
      <c r="D76" s="23"/>
    </row>
    <row r="77" spans="1:4" ht="15.75" customHeight="1">
      <c r="A77" s="22"/>
      <c r="B77" s="29"/>
      <c r="C77" s="23"/>
      <c r="D77" s="23"/>
    </row>
    <row r="78" spans="1:4" ht="15.75" customHeight="1">
      <c r="A78" s="22"/>
      <c r="B78" s="29"/>
      <c r="C78" s="23"/>
      <c r="D78" s="23"/>
    </row>
    <row r="79" spans="1:4" ht="15.75" customHeight="1">
      <c r="A79" s="22"/>
      <c r="B79" s="29"/>
      <c r="C79" s="23"/>
      <c r="D79" s="23"/>
    </row>
    <row r="80" spans="1:4" ht="15.75" customHeight="1">
      <c r="A80" s="22"/>
      <c r="B80" s="29"/>
      <c r="C80" s="23"/>
      <c r="D80" s="23"/>
    </row>
    <row r="81" spans="1:4" ht="15.75" customHeight="1">
      <c r="A81" s="22"/>
      <c r="B81" s="29"/>
      <c r="C81" s="23"/>
      <c r="D81" s="23"/>
    </row>
    <row r="82" spans="1:4" ht="15.75" customHeight="1">
      <c r="A82" s="22"/>
      <c r="B82" s="29"/>
      <c r="C82" s="23"/>
      <c r="D82" s="23"/>
    </row>
    <row r="83" spans="1:4" ht="15.75" customHeight="1">
      <c r="A83" s="22"/>
      <c r="B83" s="29"/>
      <c r="C83" s="23"/>
      <c r="D83" s="23"/>
    </row>
    <row r="84" spans="1:4" ht="15.75" customHeight="1">
      <c r="A84" s="22"/>
      <c r="B84" s="29"/>
      <c r="C84" s="23"/>
      <c r="D84" s="23"/>
    </row>
    <row r="85" spans="1:4" ht="15.75" customHeight="1">
      <c r="A85" s="22"/>
      <c r="B85" s="29"/>
      <c r="C85" s="23"/>
      <c r="D85" s="23"/>
    </row>
    <row r="86" spans="1:4" ht="15.75" customHeight="1">
      <c r="A86" s="22"/>
      <c r="B86" s="29"/>
      <c r="C86" s="23"/>
      <c r="D86" s="23"/>
    </row>
    <row r="87" spans="1:4" ht="15.75" customHeight="1">
      <c r="A87" s="22"/>
      <c r="B87" s="29"/>
      <c r="C87" s="23"/>
      <c r="D87" s="23"/>
    </row>
    <row r="88" spans="1:4" ht="15.75" customHeight="1">
      <c r="A88" s="22"/>
      <c r="B88" s="29"/>
      <c r="C88" s="23"/>
      <c r="D88" s="23"/>
    </row>
    <row r="89" spans="1:4" ht="15.75" customHeight="1">
      <c r="A89" s="22"/>
      <c r="B89" s="29"/>
      <c r="C89" s="23"/>
      <c r="D89" s="23"/>
    </row>
    <row r="90" spans="1:4" ht="15.75" customHeight="1">
      <c r="A90" s="22"/>
      <c r="B90" s="29"/>
      <c r="C90" s="23"/>
      <c r="D90" s="23"/>
    </row>
    <row r="91" spans="1:4" ht="15.75" customHeight="1">
      <c r="A91" s="22"/>
      <c r="B91" s="29"/>
      <c r="C91" s="23"/>
      <c r="D91" s="23"/>
    </row>
    <row r="92" spans="1:4" ht="15.75" customHeight="1">
      <c r="A92" s="22"/>
      <c r="B92" s="29"/>
      <c r="C92" s="23"/>
      <c r="D92" s="23"/>
    </row>
    <row r="93" spans="1:4" ht="15.75" customHeight="1">
      <c r="A93" s="22"/>
      <c r="B93" s="29"/>
      <c r="C93" s="23"/>
      <c r="D93" s="23"/>
    </row>
    <row r="94" spans="1:4" ht="15.75" customHeight="1">
      <c r="A94" s="22"/>
      <c r="B94" s="29"/>
      <c r="C94" s="23"/>
      <c r="D94" s="23"/>
    </row>
    <row r="95" spans="1:4" ht="15.75" customHeight="1">
      <c r="A95" s="22"/>
      <c r="B95" s="29"/>
      <c r="C95" s="23"/>
      <c r="D95" s="23"/>
    </row>
    <row r="96" spans="1:4" ht="15.75" customHeight="1">
      <c r="A96" s="22"/>
      <c r="B96" s="29"/>
      <c r="C96" s="23"/>
      <c r="D96" s="23"/>
    </row>
    <row r="97" spans="1:4" ht="15.75" customHeight="1">
      <c r="A97" s="22"/>
      <c r="B97" s="29"/>
      <c r="C97" s="23"/>
      <c r="D97" s="23"/>
    </row>
    <row r="98" spans="1:4" ht="15.75" customHeight="1">
      <c r="A98" s="22"/>
      <c r="B98" s="29"/>
      <c r="C98" s="23"/>
      <c r="D98" s="23"/>
    </row>
    <row r="99" spans="1:4" ht="15.75" customHeight="1">
      <c r="A99" s="22"/>
      <c r="B99" s="29"/>
      <c r="C99" s="23"/>
      <c r="D99" s="23"/>
    </row>
    <row r="100" spans="1:4" ht="15.75" customHeight="1">
      <c r="A100" s="22"/>
      <c r="B100" s="29"/>
      <c r="C100" s="23"/>
      <c r="D100" s="23"/>
    </row>
    <row r="101" spans="1:4" ht="15.75" customHeight="1">
      <c r="A101" s="22"/>
      <c r="B101" s="29"/>
      <c r="C101" s="23"/>
      <c r="D101" s="23"/>
    </row>
    <row r="102" spans="1:4" ht="15.75" customHeight="1">
      <c r="A102" s="22"/>
      <c r="B102" s="29"/>
      <c r="C102" s="23"/>
      <c r="D102" s="23"/>
    </row>
    <row r="103" spans="1:4" ht="15.75" customHeight="1">
      <c r="A103" s="22"/>
      <c r="B103" s="29"/>
      <c r="C103" s="23"/>
      <c r="D103" s="23"/>
    </row>
    <row r="104" spans="1:4" ht="15.75" customHeight="1">
      <c r="A104" s="22"/>
      <c r="B104" s="29"/>
      <c r="C104" s="23"/>
      <c r="D104" s="23"/>
    </row>
    <row r="105" spans="1:4" ht="15.75" customHeight="1">
      <c r="A105" s="22"/>
      <c r="B105" s="29"/>
      <c r="C105" s="23"/>
      <c r="D105" s="23"/>
    </row>
    <row r="106" spans="1:4" ht="15.75" customHeight="1">
      <c r="A106" s="22"/>
      <c r="B106" s="29"/>
      <c r="C106" s="23"/>
      <c r="D106" s="23"/>
    </row>
    <row r="107" spans="1:4" ht="15.75" customHeight="1">
      <c r="A107" s="22"/>
      <c r="B107" s="29"/>
      <c r="C107" s="23"/>
      <c r="D107" s="23"/>
    </row>
    <row r="108" spans="1:4" ht="15.75" customHeight="1">
      <c r="A108" s="22"/>
      <c r="B108" s="29"/>
      <c r="C108" s="23"/>
      <c r="D108" s="23"/>
    </row>
    <row r="109" spans="1:4" ht="15.75" customHeight="1">
      <c r="A109" s="22"/>
      <c r="B109" s="29"/>
      <c r="C109" s="23"/>
      <c r="D109" s="23"/>
    </row>
    <row r="110" spans="1:4" ht="15.75" customHeight="1">
      <c r="A110" s="22"/>
      <c r="B110" s="29"/>
      <c r="C110" s="23"/>
      <c r="D110" s="23"/>
    </row>
    <row r="111" spans="1:4" ht="15.75" customHeight="1">
      <c r="A111" s="22"/>
      <c r="B111" s="29"/>
      <c r="C111" s="23"/>
      <c r="D111" s="23"/>
    </row>
    <row r="112" spans="1:4" ht="15.75" customHeight="1">
      <c r="A112" s="22"/>
      <c r="B112" s="29"/>
      <c r="C112" s="23"/>
      <c r="D112" s="23"/>
    </row>
    <row r="113" spans="1:4" ht="15.75" customHeight="1">
      <c r="A113" s="22"/>
      <c r="B113" s="29"/>
      <c r="C113" s="23"/>
      <c r="D113" s="23"/>
    </row>
    <row r="114" spans="1:4" ht="15.75" customHeight="1">
      <c r="A114" s="22"/>
      <c r="B114" s="29"/>
      <c r="C114" s="23"/>
      <c r="D114" s="23"/>
    </row>
    <row r="115" spans="1:4" ht="15.75" customHeight="1">
      <c r="A115" s="22"/>
      <c r="B115" s="29"/>
      <c r="C115" s="23"/>
      <c r="D115" s="23"/>
    </row>
    <row r="116" spans="1:4" ht="15.75" customHeight="1">
      <c r="A116" s="22"/>
      <c r="B116" s="29"/>
      <c r="C116" s="23"/>
      <c r="D116" s="23"/>
    </row>
    <row r="117" spans="1:4" ht="15.75" customHeight="1">
      <c r="A117" s="22"/>
      <c r="B117" s="29"/>
      <c r="C117" s="23"/>
      <c r="D117" s="23"/>
    </row>
    <row r="118" spans="1:4" ht="15.75" customHeight="1">
      <c r="A118" s="22"/>
      <c r="B118" s="29"/>
      <c r="C118" s="23"/>
      <c r="D118" s="23"/>
    </row>
    <row r="119" spans="1:4" ht="15.75" customHeight="1">
      <c r="A119" s="22"/>
      <c r="B119" s="29"/>
      <c r="C119" s="23"/>
      <c r="D119" s="23"/>
    </row>
    <row r="120" spans="1:4" ht="15.75" customHeight="1">
      <c r="A120" s="22"/>
      <c r="B120" s="29"/>
      <c r="C120" s="23"/>
      <c r="D120" s="23"/>
    </row>
    <row r="121" spans="1:4" ht="15.75" customHeight="1">
      <c r="A121" s="22"/>
      <c r="B121" s="29"/>
      <c r="C121" s="23"/>
      <c r="D121" s="23"/>
    </row>
    <row r="122" spans="1:4" ht="15.75" customHeight="1">
      <c r="A122" s="22"/>
      <c r="B122" s="29"/>
      <c r="C122" s="23"/>
      <c r="D122" s="23"/>
    </row>
    <row r="123" spans="1:4" ht="15.75" customHeight="1">
      <c r="A123" s="22"/>
      <c r="B123" s="29"/>
      <c r="C123" s="23"/>
      <c r="D123" s="23"/>
    </row>
    <row r="124" spans="1:4" ht="15.75" customHeight="1">
      <c r="A124" s="22"/>
      <c r="B124" s="29"/>
      <c r="C124" s="23"/>
      <c r="D124" s="23"/>
    </row>
    <row r="125" spans="1:4" ht="15.75" customHeight="1">
      <c r="A125" s="22"/>
      <c r="B125" s="29"/>
      <c r="C125" s="23"/>
      <c r="D125" s="23"/>
    </row>
    <row r="126" spans="1:4" ht="15.75" customHeight="1">
      <c r="A126" s="22"/>
      <c r="B126" s="29"/>
      <c r="C126" s="23"/>
      <c r="D126" s="23"/>
    </row>
    <row r="127" spans="1:4" ht="15.75" customHeight="1">
      <c r="A127" s="22"/>
      <c r="B127" s="29"/>
      <c r="C127" s="23"/>
      <c r="D127" s="23"/>
    </row>
    <row r="128" spans="1:4" ht="15.75" customHeight="1">
      <c r="A128" s="22"/>
      <c r="B128" s="29"/>
      <c r="C128" s="23"/>
      <c r="D128" s="23"/>
    </row>
    <row r="129" spans="1:4" ht="15.75" customHeight="1">
      <c r="A129" s="22"/>
      <c r="B129" s="29"/>
      <c r="C129" s="23"/>
      <c r="D129" s="23"/>
    </row>
    <row r="130" spans="1:4" ht="15.75" customHeight="1">
      <c r="A130" s="22"/>
      <c r="B130" s="29"/>
      <c r="C130" s="23"/>
      <c r="D130" s="23"/>
    </row>
    <row r="131" spans="1:4" ht="15.75" customHeight="1">
      <c r="A131" s="22"/>
      <c r="B131" s="29"/>
      <c r="C131" s="23"/>
      <c r="D131" s="23"/>
    </row>
    <row r="132" spans="1:4" ht="15.75" customHeight="1">
      <c r="A132" s="22"/>
      <c r="B132" s="29"/>
      <c r="C132" s="23"/>
      <c r="D132" s="23"/>
    </row>
    <row r="133" spans="1:4" ht="15.75" customHeight="1">
      <c r="A133" s="22"/>
      <c r="B133" s="29"/>
      <c r="C133" s="23"/>
      <c r="D133" s="23"/>
    </row>
    <row r="134" spans="1:4" ht="15.75" customHeight="1">
      <c r="A134" s="22"/>
      <c r="B134" s="29"/>
      <c r="C134" s="23"/>
      <c r="D134" s="23"/>
    </row>
    <row r="135" spans="1:4" ht="15.75" customHeight="1">
      <c r="A135" s="22"/>
      <c r="B135" s="29"/>
      <c r="C135" s="23"/>
      <c r="D135" s="23"/>
    </row>
    <row r="136" spans="1:4" ht="15.75" customHeight="1">
      <c r="A136" s="22"/>
      <c r="B136" s="29"/>
      <c r="C136" s="23"/>
      <c r="D136" s="23"/>
    </row>
    <row r="137" spans="1:4" ht="15.75" customHeight="1">
      <c r="A137" s="22"/>
      <c r="B137" s="29"/>
      <c r="C137" s="23"/>
      <c r="D137" s="23"/>
    </row>
    <row r="138" spans="1:4" ht="15.75" customHeight="1">
      <c r="A138" s="22"/>
      <c r="B138" s="29"/>
      <c r="C138" s="23"/>
      <c r="D138" s="23"/>
    </row>
    <row r="139" spans="1:4" ht="15.75" customHeight="1">
      <c r="A139" s="22"/>
      <c r="B139" s="29"/>
      <c r="C139" s="23"/>
      <c r="D139" s="23"/>
    </row>
    <row r="140" spans="1:4" ht="15.75" customHeight="1">
      <c r="A140" s="22"/>
      <c r="B140" s="29"/>
      <c r="C140" s="23"/>
      <c r="D140" s="23"/>
    </row>
    <row r="141" spans="1:4" ht="15.75" customHeight="1">
      <c r="A141" s="22"/>
      <c r="B141" s="29"/>
      <c r="C141" s="23"/>
      <c r="D141" s="23"/>
    </row>
    <row r="142" spans="1:4" ht="15.75" customHeight="1">
      <c r="A142" s="22"/>
      <c r="B142" s="29"/>
      <c r="C142" s="23"/>
      <c r="D142" s="23"/>
    </row>
    <row r="143" spans="1:4" ht="15.75" customHeight="1">
      <c r="A143" s="22"/>
      <c r="B143" s="29"/>
      <c r="C143" s="23"/>
      <c r="D143" s="23"/>
    </row>
    <row r="144" spans="1:4" ht="15.75" customHeight="1">
      <c r="A144" s="22"/>
      <c r="B144" s="29"/>
      <c r="C144" s="23"/>
      <c r="D144" s="23"/>
    </row>
    <row r="145" spans="1:4" ht="15.75" customHeight="1">
      <c r="A145" s="22"/>
      <c r="B145" s="29"/>
      <c r="C145" s="23"/>
      <c r="D145" s="23"/>
    </row>
    <row r="146" spans="1:4" ht="15.75" customHeight="1">
      <c r="A146" s="22"/>
      <c r="B146" s="29"/>
      <c r="C146" s="23"/>
      <c r="D146" s="23"/>
    </row>
    <row r="147" spans="1:4" ht="15.75" customHeight="1">
      <c r="A147" s="22"/>
      <c r="B147" s="29"/>
      <c r="C147" s="23"/>
      <c r="D147" s="23"/>
    </row>
    <row r="148" spans="1:4" ht="15.75" customHeight="1">
      <c r="A148" s="22"/>
      <c r="B148" s="29"/>
      <c r="C148" s="23"/>
      <c r="D148" s="23"/>
    </row>
    <row r="149" spans="1:4" ht="15.75" customHeight="1">
      <c r="A149" s="22"/>
      <c r="B149" s="29"/>
      <c r="C149" s="23"/>
      <c r="D149" s="23"/>
    </row>
    <row r="150" spans="1:4" ht="15.75" customHeight="1">
      <c r="A150" s="22"/>
      <c r="B150" s="29"/>
      <c r="C150" s="23"/>
      <c r="D150" s="23"/>
    </row>
    <row r="151" spans="1:4" ht="15.75" customHeight="1">
      <c r="A151" s="22"/>
      <c r="B151" s="29"/>
      <c r="C151" s="23"/>
      <c r="D151" s="23"/>
    </row>
    <row r="152" spans="1:4" ht="15.75" customHeight="1">
      <c r="A152" s="22"/>
      <c r="B152" s="29"/>
      <c r="C152" s="23"/>
      <c r="D152" s="23"/>
    </row>
    <row r="153" spans="1:4" ht="15.75" customHeight="1">
      <c r="A153" s="22"/>
      <c r="B153" s="29"/>
      <c r="C153" s="23"/>
      <c r="D153" s="23"/>
    </row>
    <row r="154" spans="1:4" ht="15.75" customHeight="1">
      <c r="A154" s="22"/>
      <c r="B154" s="29"/>
      <c r="C154" s="23"/>
      <c r="D154" s="23"/>
    </row>
    <row r="155" spans="1:4" ht="15.75" customHeight="1">
      <c r="A155" s="22"/>
      <c r="B155" s="29"/>
      <c r="C155" s="23"/>
      <c r="D155" s="23"/>
    </row>
    <row r="156" spans="1:4" ht="15.75" customHeight="1">
      <c r="A156" s="22"/>
      <c r="B156" s="29"/>
      <c r="C156" s="23"/>
      <c r="D156" s="23"/>
    </row>
    <row r="157" spans="1:4" ht="15.75" customHeight="1">
      <c r="A157" s="22"/>
      <c r="B157" s="29"/>
      <c r="C157" s="23"/>
      <c r="D157" s="23"/>
    </row>
    <row r="158" spans="1:4" ht="15.75" customHeight="1">
      <c r="A158" s="22"/>
      <c r="B158" s="29"/>
      <c r="C158" s="23"/>
      <c r="D158" s="23"/>
    </row>
    <row r="159" spans="1:4" ht="15.75" customHeight="1">
      <c r="A159" s="22"/>
      <c r="B159" s="29"/>
      <c r="C159" s="23"/>
      <c r="D159" s="23"/>
    </row>
    <row r="160" spans="1:4" ht="15.75" customHeight="1">
      <c r="A160" s="22"/>
      <c r="B160" s="29"/>
      <c r="C160" s="23"/>
      <c r="D160" s="23"/>
    </row>
    <row r="161" spans="1:4" ht="15.75" customHeight="1">
      <c r="A161" s="22"/>
      <c r="B161" s="29"/>
      <c r="C161" s="23"/>
      <c r="D161" s="23"/>
    </row>
    <row r="162" spans="1:4" ht="15.75" customHeight="1">
      <c r="A162" s="22"/>
      <c r="B162" s="29"/>
      <c r="C162" s="23"/>
      <c r="D162" s="23"/>
    </row>
    <row r="163" spans="1:4" ht="15.75" customHeight="1">
      <c r="A163" s="22"/>
      <c r="B163" s="29"/>
      <c r="C163" s="23"/>
      <c r="D163" s="23"/>
    </row>
    <row r="164" spans="1:4" ht="15.75" customHeight="1">
      <c r="A164" s="22"/>
      <c r="B164" s="29"/>
      <c r="C164" s="23"/>
      <c r="D164" s="23"/>
    </row>
    <row r="165" spans="1:4" ht="15.75" customHeight="1">
      <c r="A165" s="22"/>
      <c r="B165" s="29"/>
      <c r="C165" s="23"/>
      <c r="D165" s="23"/>
    </row>
    <row r="166" spans="1:4" ht="15.75" customHeight="1">
      <c r="A166" s="22"/>
      <c r="B166" s="29"/>
      <c r="C166" s="23"/>
      <c r="D166" s="23"/>
    </row>
    <row r="167" spans="1:4" ht="15.75" customHeight="1">
      <c r="A167" s="22"/>
      <c r="B167" s="29"/>
      <c r="C167" s="23"/>
      <c r="D167" s="23"/>
    </row>
    <row r="168" spans="1:4" ht="15.75" customHeight="1">
      <c r="A168" s="22"/>
      <c r="B168" s="29"/>
      <c r="C168" s="23"/>
      <c r="D168" s="23"/>
    </row>
    <row r="169" spans="1:4" ht="15.75" customHeight="1">
      <c r="A169" s="22"/>
      <c r="B169" s="29"/>
      <c r="C169" s="23"/>
      <c r="D169" s="23"/>
    </row>
    <row r="170" spans="1:4" ht="15.75" customHeight="1">
      <c r="A170" s="22"/>
      <c r="B170" s="29"/>
      <c r="C170" s="23"/>
      <c r="D170" s="23"/>
    </row>
    <row r="171" spans="1:4" ht="15.75" customHeight="1">
      <c r="A171" s="22"/>
      <c r="B171" s="29"/>
      <c r="C171" s="23"/>
      <c r="D171" s="23"/>
    </row>
    <row r="172" spans="1:4" ht="15.75" customHeight="1">
      <c r="A172" s="22"/>
      <c r="B172" s="29"/>
      <c r="C172" s="23"/>
      <c r="D172" s="23"/>
    </row>
    <row r="173" spans="1:4" ht="15.75" customHeight="1">
      <c r="A173" s="22"/>
      <c r="B173" s="29"/>
      <c r="C173" s="23"/>
      <c r="D173" s="23"/>
    </row>
    <row r="174" spans="1:4" ht="15.75" customHeight="1">
      <c r="A174" s="22"/>
      <c r="B174" s="29"/>
      <c r="C174" s="23"/>
      <c r="D174" s="23"/>
    </row>
    <row r="175" spans="1:4" ht="15.75" customHeight="1">
      <c r="A175" s="22"/>
      <c r="B175" s="29"/>
      <c r="C175" s="23"/>
      <c r="D175" s="23"/>
    </row>
    <row r="176" spans="1:4" ht="15.75" customHeight="1">
      <c r="A176" s="22"/>
      <c r="B176" s="29"/>
      <c r="C176" s="23"/>
      <c r="D176" s="23"/>
    </row>
    <row r="177" spans="1:4" ht="15.75" customHeight="1">
      <c r="A177" s="22"/>
      <c r="B177" s="29"/>
      <c r="C177" s="23"/>
      <c r="D177" s="23"/>
    </row>
    <row r="178" spans="1:4" ht="15.75" customHeight="1">
      <c r="A178" s="22"/>
      <c r="B178" s="29"/>
      <c r="C178" s="23"/>
      <c r="D178" s="23"/>
    </row>
    <row r="179" spans="1:4" ht="15.75" customHeight="1">
      <c r="A179" s="22"/>
      <c r="B179" s="29"/>
      <c r="C179" s="23"/>
      <c r="D179" s="23"/>
    </row>
    <row r="180" spans="1:4" ht="15.75" customHeight="1">
      <c r="A180" s="22"/>
      <c r="B180" s="29"/>
      <c r="C180" s="23"/>
      <c r="D180" s="23"/>
    </row>
    <row r="181" spans="1:4" ht="15.75" customHeight="1">
      <c r="A181" s="22"/>
      <c r="B181" s="29"/>
      <c r="C181" s="23"/>
      <c r="D181" s="23"/>
    </row>
    <row r="182" spans="1:4" ht="15.75" customHeight="1">
      <c r="A182" s="22"/>
      <c r="B182" s="29"/>
      <c r="C182" s="23"/>
      <c r="D182" s="23"/>
    </row>
    <row r="183" spans="1:4" ht="15.75" customHeight="1">
      <c r="A183" s="22"/>
      <c r="B183" s="29"/>
      <c r="C183" s="23"/>
      <c r="D183" s="23"/>
    </row>
    <row r="184" spans="1:4" ht="15.75" customHeight="1">
      <c r="A184" s="22"/>
      <c r="B184" s="29"/>
      <c r="C184" s="23"/>
      <c r="D184" s="23"/>
    </row>
    <row r="185" spans="1:4" ht="15.75" customHeight="1">
      <c r="A185" s="22"/>
      <c r="B185" s="29"/>
      <c r="C185" s="23"/>
      <c r="D185" s="23"/>
    </row>
    <row r="186" spans="1:4" ht="15.75" customHeight="1">
      <c r="A186" s="22"/>
      <c r="B186" s="29"/>
      <c r="C186" s="23"/>
      <c r="D186" s="23"/>
    </row>
    <row r="187" spans="1:4" ht="15.75" customHeight="1">
      <c r="A187" s="22"/>
      <c r="B187" s="29"/>
      <c r="C187" s="23"/>
      <c r="D187" s="23"/>
    </row>
    <row r="188" spans="1:4" ht="15.75" customHeight="1">
      <c r="A188" s="22"/>
      <c r="B188" s="29"/>
      <c r="C188" s="23"/>
      <c r="D188" s="23"/>
    </row>
    <row r="189" spans="1:4" ht="15.75" customHeight="1">
      <c r="A189" s="22"/>
      <c r="B189" s="29"/>
      <c r="C189" s="23"/>
      <c r="D189" s="23"/>
    </row>
    <row r="190" spans="1:4" ht="15.75" customHeight="1">
      <c r="A190" s="22"/>
      <c r="B190" s="29"/>
      <c r="C190" s="23"/>
      <c r="D190" s="23"/>
    </row>
    <row r="191" spans="1:4" ht="15.75" customHeight="1">
      <c r="A191" s="22"/>
      <c r="B191" s="29"/>
      <c r="C191" s="23"/>
      <c r="D191" s="23"/>
    </row>
    <row r="192" spans="1:4" ht="15.75" customHeight="1">
      <c r="A192" s="22"/>
      <c r="B192" s="29"/>
      <c r="C192" s="23"/>
      <c r="D192" s="23"/>
    </row>
    <row r="193" spans="1:4" ht="15.75" customHeight="1">
      <c r="A193" s="22"/>
      <c r="B193" s="29"/>
      <c r="C193" s="23"/>
      <c r="D193" s="23"/>
    </row>
    <row r="194" spans="1:4" ht="15.75" customHeight="1">
      <c r="A194" s="22"/>
      <c r="B194" s="29"/>
      <c r="C194" s="23"/>
      <c r="D194" s="23"/>
    </row>
    <row r="195" spans="1:4" ht="15.75" customHeight="1">
      <c r="A195" s="22"/>
      <c r="B195" s="29"/>
      <c r="C195" s="23"/>
      <c r="D195" s="23"/>
    </row>
    <row r="196" spans="1:4" ht="15.75" customHeight="1">
      <c r="A196" s="22"/>
      <c r="B196" s="29"/>
      <c r="C196" s="23"/>
      <c r="D196" s="23"/>
    </row>
    <row r="197" spans="1:4" ht="15.75" customHeight="1">
      <c r="A197" s="22"/>
      <c r="B197" s="29"/>
      <c r="C197" s="23"/>
      <c r="D197" s="23"/>
    </row>
    <row r="198" spans="1:4" ht="15.75" customHeight="1">
      <c r="A198" s="22"/>
      <c r="B198" s="29"/>
      <c r="C198" s="23"/>
      <c r="D198" s="23"/>
    </row>
    <row r="199" spans="1:4" ht="15.75" customHeight="1">
      <c r="A199" s="22"/>
      <c r="B199" s="29"/>
      <c r="C199" s="23"/>
      <c r="D199" s="23"/>
    </row>
    <row r="200" spans="1:4" ht="15.75" customHeight="1">
      <c r="A200" s="22"/>
      <c r="B200" s="29"/>
      <c r="C200" s="23"/>
      <c r="D200" s="23"/>
    </row>
    <row r="201" spans="1:4" ht="15.75" customHeight="1">
      <c r="A201" s="22"/>
      <c r="B201" s="29"/>
      <c r="C201" s="23"/>
      <c r="D201" s="23"/>
    </row>
    <row r="202" spans="1:4" ht="15.75" customHeight="1">
      <c r="A202" s="22"/>
      <c r="B202" s="29"/>
      <c r="C202" s="23"/>
      <c r="D202" s="23"/>
    </row>
    <row r="203" spans="1:4" ht="15.75" customHeight="1">
      <c r="A203" s="22"/>
      <c r="B203" s="29"/>
      <c r="C203" s="23"/>
      <c r="D203" s="23"/>
    </row>
    <row r="204" spans="1:4" ht="15.75" customHeight="1">
      <c r="A204" s="22"/>
      <c r="B204" s="29"/>
      <c r="C204" s="23"/>
      <c r="D204" s="23"/>
    </row>
    <row r="205" spans="1:4" ht="15.75" customHeight="1">
      <c r="A205" s="22"/>
      <c r="B205" s="29"/>
      <c r="C205" s="23"/>
      <c r="D205" s="23"/>
    </row>
    <row r="206" spans="1:4" ht="15.75" customHeight="1">
      <c r="A206" s="22"/>
      <c r="B206" s="29"/>
      <c r="C206" s="23"/>
      <c r="D206" s="23"/>
    </row>
    <row r="207" spans="1:4" ht="15.75" customHeight="1">
      <c r="A207" s="22"/>
      <c r="B207" s="29"/>
      <c r="C207" s="23"/>
      <c r="D207" s="23"/>
    </row>
    <row r="208" spans="1:4" ht="15.75" customHeight="1">
      <c r="A208" s="22"/>
      <c r="B208" s="29"/>
      <c r="C208" s="23"/>
      <c r="D208" s="23"/>
    </row>
    <row r="209" spans="1:4" ht="15.75" customHeight="1">
      <c r="A209" s="22"/>
      <c r="B209" s="29"/>
      <c r="C209" s="23"/>
      <c r="D209" s="23"/>
    </row>
    <row r="210" spans="1:4" ht="15.75" customHeight="1">
      <c r="A210" s="22"/>
      <c r="B210" s="29"/>
      <c r="C210" s="23"/>
      <c r="D210" s="23"/>
    </row>
    <row r="211" spans="1:4" ht="15.75" customHeight="1">
      <c r="A211" s="22"/>
      <c r="B211" s="29"/>
      <c r="C211" s="23"/>
      <c r="D211" s="23"/>
    </row>
    <row r="212" spans="1:4" ht="15.75" customHeight="1">
      <c r="A212" s="22"/>
      <c r="B212" s="29"/>
      <c r="C212" s="23"/>
      <c r="D212" s="23"/>
    </row>
    <row r="213" spans="1:4" ht="15.75" customHeight="1">
      <c r="A213" s="22"/>
      <c r="B213" s="29"/>
      <c r="C213" s="23"/>
      <c r="D213" s="23"/>
    </row>
    <row r="214" spans="1:4" ht="15.75" customHeight="1">
      <c r="A214" s="22"/>
      <c r="B214" s="29"/>
      <c r="C214" s="23"/>
      <c r="D214" s="23"/>
    </row>
    <row r="215" spans="1:4" ht="15.75" customHeight="1">
      <c r="A215" s="22"/>
      <c r="B215" s="29"/>
      <c r="C215" s="23"/>
      <c r="D215" s="23"/>
    </row>
    <row r="216" spans="1:4" ht="15.75" customHeight="1">
      <c r="A216" s="22"/>
      <c r="B216" s="29"/>
      <c r="C216" s="23"/>
      <c r="D216" s="23"/>
    </row>
    <row r="217" spans="1:4" ht="15.75" customHeight="1">
      <c r="A217" s="22"/>
      <c r="B217" s="29"/>
      <c r="C217" s="23"/>
      <c r="D217" s="23"/>
    </row>
    <row r="218" spans="1:4" ht="15.75" customHeight="1">
      <c r="A218" s="22"/>
      <c r="B218" s="29"/>
      <c r="C218" s="23"/>
      <c r="D218" s="23"/>
    </row>
    <row r="219" spans="1:4" ht="15.75" customHeight="1">
      <c r="A219" s="22"/>
      <c r="B219" s="29"/>
      <c r="C219" s="23"/>
      <c r="D219" s="23"/>
    </row>
    <row r="220" spans="1:4" ht="15.75" customHeight="1">
      <c r="A220" s="22"/>
      <c r="B220" s="29"/>
      <c r="C220" s="23"/>
      <c r="D220" s="23"/>
    </row>
    <row r="221" spans="1:4" ht="15.75" customHeight="1">
      <c r="A221" s="24"/>
      <c r="C221" s="33"/>
      <c r="D221" s="33"/>
    </row>
    <row r="222" spans="1:4" ht="15.75" customHeight="1">
      <c r="A222" s="24"/>
      <c r="C222" s="33"/>
      <c r="D222" s="33"/>
    </row>
    <row r="223" spans="1:4" ht="15.75" customHeight="1">
      <c r="A223" s="24"/>
      <c r="C223" s="33"/>
      <c r="D223" s="33"/>
    </row>
    <row r="224" spans="1:4" ht="15.75" customHeight="1">
      <c r="A224" s="24"/>
      <c r="C224" s="33"/>
      <c r="D224" s="33"/>
    </row>
    <row r="225" spans="1:4" ht="15.75" customHeight="1">
      <c r="A225" s="24"/>
      <c r="C225" s="33"/>
      <c r="D225" s="33"/>
    </row>
    <row r="226" spans="1:4" ht="15.75" customHeight="1">
      <c r="A226" s="24"/>
      <c r="C226" s="33"/>
      <c r="D226" s="33"/>
    </row>
    <row r="227" spans="1:4" ht="15.75" customHeight="1">
      <c r="A227" s="24"/>
      <c r="C227" s="33"/>
      <c r="D227" s="33"/>
    </row>
    <row r="228" spans="1:4" ht="15.75" customHeight="1">
      <c r="A228" s="24"/>
      <c r="C228" s="33"/>
      <c r="D228" s="33"/>
    </row>
    <row r="229" spans="1:4" ht="15.75" customHeight="1">
      <c r="A229" s="24"/>
      <c r="C229" s="33"/>
      <c r="D229" s="33"/>
    </row>
    <row r="230" spans="1:4" ht="15.75" customHeight="1">
      <c r="A230" s="24"/>
      <c r="C230" s="33"/>
      <c r="D230" s="33"/>
    </row>
    <row r="231" spans="1:4" ht="15.75" customHeight="1">
      <c r="A231" s="24"/>
      <c r="C231" s="33"/>
      <c r="D231" s="33"/>
    </row>
    <row r="232" spans="1:4" ht="15.75" customHeight="1">
      <c r="A232" s="24"/>
      <c r="C232" s="33"/>
      <c r="D232" s="33"/>
    </row>
    <row r="233" spans="1:4" ht="15.75" customHeight="1">
      <c r="A233" s="24"/>
      <c r="C233" s="33"/>
      <c r="D233" s="33"/>
    </row>
    <row r="234" spans="1:4" ht="15.75" customHeight="1">
      <c r="A234" s="24"/>
      <c r="C234" s="33"/>
      <c r="D234" s="33"/>
    </row>
    <row r="235" spans="1:4" ht="15.75" customHeight="1">
      <c r="A235" s="24"/>
      <c r="C235" s="33"/>
      <c r="D235" s="33"/>
    </row>
    <row r="236" spans="1:4" ht="15.75" customHeight="1">
      <c r="A236" s="24"/>
      <c r="C236" s="33"/>
      <c r="D236" s="33"/>
    </row>
    <row r="237" spans="1:4" ht="15.75" customHeight="1">
      <c r="A237" s="24"/>
      <c r="C237" s="33"/>
      <c r="D237" s="33"/>
    </row>
    <row r="238" spans="1:4" ht="15.75" customHeight="1">
      <c r="A238" s="24"/>
      <c r="C238" s="33"/>
      <c r="D238" s="33"/>
    </row>
    <row r="239" spans="1:4" ht="15.75" customHeight="1">
      <c r="A239" s="24"/>
      <c r="C239" s="33"/>
      <c r="D239" s="33"/>
    </row>
    <row r="240" spans="1:4" ht="15.75" customHeight="1">
      <c r="A240" s="24"/>
      <c r="C240" s="33"/>
      <c r="D240" s="33"/>
    </row>
    <row r="241" spans="1:4" ht="15.75" customHeight="1">
      <c r="A241" s="24"/>
      <c r="C241" s="33"/>
      <c r="D241" s="33"/>
    </row>
    <row r="242" spans="1:4" ht="15.75" customHeight="1">
      <c r="A242" s="24"/>
      <c r="C242" s="33"/>
      <c r="D242" s="33"/>
    </row>
    <row r="243" spans="1:4" ht="15.75" customHeight="1">
      <c r="A243" s="24"/>
      <c r="C243" s="33"/>
      <c r="D243" s="33"/>
    </row>
    <row r="244" spans="1:4" ht="15.75" customHeight="1">
      <c r="A244" s="24"/>
      <c r="C244" s="33"/>
      <c r="D244" s="33"/>
    </row>
    <row r="245" spans="1:4" ht="15.75" customHeight="1">
      <c r="A245" s="24"/>
      <c r="C245" s="33"/>
      <c r="D245" s="33"/>
    </row>
    <row r="246" spans="1:4" ht="15.75" customHeight="1">
      <c r="A246" s="24"/>
      <c r="C246" s="33"/>
      <c r="D246" s="33"/>
    </row>
    <row r="247" spans="1:4" ht="15.75" customHeight="1">
      <c r="A247" s="24"/>
      <c r="C247" s="33"/>
      <c r="D247" s="33"/>
    </row>
    <row r="248" spans="1:4" ht="15.75" customHeight="1">
      <c r="A248" s="24"/>
      <c r="C248" s="33"/>
      <c r="D248" s="33"/>
    </row>
    <row r="249" spans="1:4" ht="15.75" customHeight="1">
      <c r="A249" s="24"/>
      <c r="C249" s="33"/>
      <c r="D249" s="33"/>
    </row>
    <row r="250" spans="1:4" ht="15.75" customHeight="1">
      <c r="A250" s="24"/>
      <c r="C250" s="33"/>
      <c r="D250" s="33"/>
    </row>
    <row r="251" spans="1:4" ht="15.75" customHeight="1">
      <c r="A251" s="24"/>
      <c r="C251" s="33"/>
      <c r="D251" s="33"/>
    </row>
    <row r="252" spans="1:4" ht="15.75" customHeight="1">
      <c r="A252" s="24"/>
      <c r="C252" s="33"/>
      <c r="D252" s="33"/>
    </row>
    <row r="253" spans="1:4" ht="15.75" customHeight="1">
      <c r="A253" s="24"/>
      <c r="C253" s="33"/>
      <c r="D253" s="33"/>
    </row>
    <row r="254" spans="1:4" ht="15.75" customHeight="1">
      <c r="A254" s="24"/>
      <c r="C254" s="33"/>
      <c r="D254" s="33"/>
    </row>
    <row r="255" spans="1:4" ht="15.75" customHeight="1">
      <c r="A255" s="24"/>
      <c r="C255" s="33"/>
      <c r="D255" s="33"/>
    </row>
    <row r="256" spans="1:4" ht="15.75" customHeight="1">
      <c r="A256" s="24"/>
      <c r="C256" s="33"/>
      <c r="D256" s="33"/>
    </row>
    <row r="257" spans="1:4" ht="15.75" customHeight="1">
      <c r="A257" s="24"/>
      <c r="C257" s="33"/>
      <c r="D257" s="33"/>
    </row>
    <row r="258" spans="1:4" ht="15.75" customHeight="1">
      <c r="A258" s="24"/>
      <c r="C258" s="33"/>
      <c r="D258" s="33"/>
    </row>
    <row r="259" spans="1:4" ht="15.75" customHeight="1">
      <c r="A259" s="24"/>
      <c r="C259" s="33"/>
      <c r="D259" s="33"/>
    </row>
    <row r="260" spans="1:4" ht="15.75" customHeight="1">
      <c r="A260" s="24"/>
      <c r="C260" s="33"/>
      <c r="D260" s="33"/>
    </row>
    <row r="261" spans="1:4" ht="15.75" customHeight="1">
      <c r="A261" s="24"/>
      <c r="C261" s="33"/>
      <c r="D261" s="33"/>
    </row>
    <row r="262" spans="1:4" ht="15.75" customHeight="1">
      <c r="A262" s="24"/>
      <c r="C262" s="33"/>
      <c r="D262" s="33"/>
    </row>
    <row r="263" spans="1:4" ht="15.75" customHeight="1">
      <c r="A263" s="24"/>
      <c r="C263" s="33"/>
      <c r="D263" s="33"/>
    </row>
    <row r="264" spans="1:4" ht="15.75" customHeight="1">
      <c r="A264" s="24"/>
      <c r="C264" s="33"/>
      <c r="D264" s="33"/>
    </row>
    <row r="265" spans="1:4" ht="15.75" customHeight="1">
      <c r="A265" s="24"/>
      <c r="C265" s="33"/>
      <c r="D265" s="33"/>
    </row>
    <row r="266" spans="1:4" ht="15.75" customHeight="1">
      <c r="A266" s="24"/>
      <c r="C266" s="33"/>
      <c r="D266" s="33"/>
    </row>
    <row r="267" spans="1:4" ht="15.75" customHeight="1">
      <c r="A267" s="24"/>
      <c r="C267" s="33"/>
      <c r="D267" s="33"/>
    </row>
    <row r="268" spans="1:4" ht="15.75" customHeight="1">
      <c r="A268" s="24"/>
      <c r="C268" s="33"/>
      <c r="D268" s="33"/>
    </row>
    <row r="269" spans="1:4" ht="15.75" customHeight="1">
      <c r="A269" s="24"/>
      <c r="C269" s="33"/>
      <c r="D269" s="33"/>
    </row>
    <row r="270" spans="1:4" ht="15.75" customHeight="1">
      <c r="A270" s="24"/>
      <c r="C270" s="33"/>
      <c r="D270" s="33"/>
    </row>
    <row r="271" spans="1:4" ht="15.75" customHeight="1">
      <c r="A271" s="24"/>
      <c r="C271" s="33"/>
      <c r="D271" s="33"/>
    </row>
    <row r="272" spans="1:4" ht="15.75" customHeight="1">
      <c r="A272" s="24"/>
      <c r="C272" s="33"/>
      <c r="D272" s="33"/>
    </row>
    <row r="273" spans="1:4" ht="15.75" customHeight="1">
      <c r="A273" s="24"/>
      <c r="C273" s="33"/>
      <c r="D273" s="33"/>
    </row>
    <row r="274" spans="1:4" ht="15.75" customHeight="1">
      <c r="A274" s="24"/>
      <c r="C274" s="33"/>
      <c r="D274" s="33"/>
    </row>
    <row r="275" spans="1:4" ht="15.75" customHeight="1">
      <c r="A275" s="24"/>
      <c r="C275" s="33"/>
      <c r="D275" s="33"/>
    </row>
    <row r="276" spans="1:4" ht="15.75" customHeight="1">
      <c r="A276" s="24"/>
      <c r="C276" s="33"/>
      <c r="D276" s="33"/>
    </row>
    <row r="277" spans="1:4" ht="15.75" customHeight="1">
      <c r="A277" s="24"/>
      <c r="C277" s="33"/>
      <c r="D277" s="33"/>
    </row>
    <row r="278" spans="1:4" ht="15.75" customHeight="1">
      <c r="A278" s="24"/>
      <c r="C278" s="33"/>
      <c r="D278" s="33"/>
    </row>
    <row r="279" spans="1:4" ht="15.75" customHeight="1">
      <c r="A279" s="24"/>
      <c r="C279" s="33"/>
      <c r="D279" s="33"/>
    </row>
    <row r="280" spans="1:4" ht="15.75" customHeight="1">
      <c r="A280" s="24"/>
      <c r="C280" s="33"/>
      <c r="D280" s="33"/>
    </row>
    <row r="281" spans="1:4" ht="15.75" customHeight="1">
      <c r="A281" s="24"/>
      <c r="C281" s="33"/>
      <c r="D281" s="33"/>
    </row>
    <row r="282" spans="1:4" ht="15.75" customHeight="1">
      <c r="A282" s="24"/>
      <c r="C282" s="33"/>
      <c r="D282" s="33"/>
    </row>
    <row r="283" spans="1:4" ht="15.75" customHeight="1">
      <c r="A283" s="24"/>
      <c r="C283" s="33"/>
      <c r="D283" s="33"/>
    </row>
    <row r="284" spans="1:4" ht="15.75" customHeight="1">
      <c r="A284" s="24"/>
      <c r="C284" s="33"/>
      <c r="D284" s="33"/>
    </row>
    <row r="285" spans="1:4" ht="15.75" customHeight="1">
      <c r="A285" s="24"/>
      <c r="C285" s="33"/>
      <c r="D285" s="33"/>
    </row>
    <row r="286" spans="1:4" ht="15.75" customHeight="1">
      <c r="A286" s="24"/>
      <c r="C286" s="33"/>
      <c r="D286" s="33"/>
    </row>
    <row r="287" spans="1:4" ht="15.75" customHeight="1">
      <c r="A287" s="24"/>
      <c r="C287" s="33"/>
      <c r="D287" s="33"/>
    </row>
    <row r="288" spans="1:4" ht="15.75" customHeight="1">
      <c r="A288" s="24"/>
      <c r="C288" s="33"/>
      <c r="D288" s="33"/>
    </row>
    <row r="289" spans="1:4" ht="15.75" customHeight="1">
      <c r="A289" s="24"/>
      <c r="C289" s="33"/>
      <c r="D289" s="33"/>
    </row>
    <row r="290" spans="1:4" ht="15.75" customHeight="1">
      <c r="A290" s="24"/>
      <c r="C290" s="33"/>
      <c r="D290" s="33"/>
    </row>
    <row r="291" spans="1:4" ht="15.75" customHeight="1">
      <c r="A291" s="24"/>
      <c r="C291" s="33"/>
      <c r="D291" s="33"/>
    </row>
    <row r="292" spans="1:4" ht="15.75" customHeight="1">
      <c r="A292" s="24"/>
      <c r="C292" s="33"/>
      <c r="D292" s="33"/>
    </row>
    <row r="293" spans="1:4" ht="15.75" customHeight="1">
      <c r="A293" s="24"/>
      <c r="C293" s="33"/>
      <c r="D293" s="33"/>
    </row>
    <row r="294" spans="1:4" ht="15.75" customHeight="1">
      <c r="A294" s="24"/>
      <c r="C294" s="33"/>
      <c r="D294" s="33"/>
    </row>
    <row r="295" spans="1:4" ht="15.75" customHeight="1">
      <c r="A295" s="24"/>
      <c r="C295" s="33"/>
      <c r="D295" s="33"/>
    </row>
    <row r="296" spans="1:4" ht="15.75" customHeight="1">
      <c r="A296" s="24"/>
      <c r="C296" s="33"/>
      <c r="D296" s="33"/>
    </row>
    <row r="297" spans="1:4" ht="15.75" customHeight="1">
      <c r="A297" s="24"/>
      <c r="C297" s="33"/>
      <c r="D297" s="33"/>
    </row>
    <row r="298" spans="1:4" ht="15.75" customHeight="1">
      <c r="A298" s="24"/>
      <c r="C298" s="33"/>
      <c r="D298" s="33"/>
    </row>
    <row r="299" spans="1:4" ht="15.75" customHeight="1">
      <c r="A299" s="24"/>
      <c r="C299" s="33"/>
      <c r="D299" s="33"/>
    </row>
    <row r="300" spans="1:4" ht="15.75" customHeight="1">
      <c r="A300" s="24"/>
      <c r="C300" s="33"/>
      <c r="D300" s="33"/>
    </row>
    <row r="301" spans="1:4" ht="15.75" customHeight="1">
      <c r="A301" s="24"/>
      <c r="C301" s="33"/>
      <c r="D301" s="33"/>
    </row>
    <row r="302" spans="1:4" ht="15.75" customHeight="1">
      <c r="A302" s="24"/>
      <c r="C302" s="33"/>
      <c r="D302" s="33"/>
    </row>
    <row r="303" spans="1:4" ht="15.75" customHeight="1">
      <c r="A303" s="24"/>
      <c r="C303" s="33"/>
      <c r="D303" s="33"/>
    </row>
    <row r="304" spans="1:4" ht="15.75" customHeight="1">
      <c r="A304" s="24"/>
      <c r="C304" s="33"/>
      <c r="D304" s="33"/>
    </row>
    <row r="305" spans="1:4" ht="15.75" customHeight="1">
      <c r="A305" s="24"/>
      <c r="C305" s="33"/>
      <c r="D305" s="33"/>
    </row>
    <row r="306" spans="1:4" ht="15.75" customHeight="1">
      <c r="A306" s="24"/>
      <c r="C306" s="33"/>
      <c r="D306" s="33"/>
    </row>
    <row r="307" spans="1:4" ht="15.75" customHeight="1">
      <c r="A307" s="24"/>
      <c r="C307" s="33"/>
      <c r="D307" s="33"/>
    </row>
    <row r="308" spans="1:4" ht="15.75" customHeight="1">
      <c r="A308" s="24"/>
      <c r="C308" s="33"/>
      <c r="D308" s="33"/>
    </row>
    <row r="309" spans="1:4" ht="15.75" customHeight="1">
      <c r="A309" s="24"/>
      <c r="C309" s="33"/>
      <c r="D309" s="33"/>
    </row>
    <row r="310" spans="1:4" ht="15.75" customHeight="1">
      <c r="A310" s="24"/>
      <c r="C310" s="33"/>
      <c r="D310" s="33"/>
    </row>
    <row r="311" spans="1:4" ht="15.75" customHeight="1">
      <c r="A311" s="24"/>
      <c r="C311" s="33"/>
      <c r="D311" s="33"/>
    </row>
    <row r="312" spans="1:4" ht="15.75" customHeight="1">
      <c r="A312" s="24"/>
      <c r="C312" s="33"/>
      <c r="D312" s="33"/>
    </row>
    <row r="313" spans="1:4" ht="15.75" customHeight="1">
      <c r="A313" s="24"/>
      <c r="C313" s="33"/>
      <c r="D313" s="33"/>
    </row>
    <row r="314" spans="1:4" ht="15.75" customHeight="1">
      <c r="A314" s="24"/>
      <c r="C314" s="33"/>
      <c r="D314" s="33"/>
    </row>
    <row r="315" spans="1:4" ht="15.75" customHeight="1">
      <c r="A315" s="24"/>
      <c r="C315" s="33"/>
      <c r="D315" s="33"/>
    </row>
    <row r="316" spans="1:4" ht="15.75" customHeight="1">
      <c r="A316" s="24"/>
      <c r="C316" s="33"/>
      <c r="D316" s="33"/>
    </row>
    <row r="317" spans="1:4" ht="15.75" customHeight="1">
      <c r="A317" s="24"/>
      <c r="C317" s="33"/>
      <c r="D317" s="33"/>
    </row>
    <row r="318" spans="1:4" ht="15.75" customHeight="1">
      <c r="A318" s="24"/>
      <c r="C318" s="33"/>
      <c r="D318" s="33"/>
    </row>
    <row r="319" spans="1:4" ht="15.75" customHeight="1">
      <c r="A319" s="24"/>
      <c r="C319" s="33"/>
      <c r="D319" s="33"/>
    </row>
    <row r="320" spans="1:4" ht="15.75" customHeight="1">
      <c r="A320" s="24"/>
      <c r="C320" s="33"/>
      <c r="D320" s="33"/>
    </row>
    <row r="321" spans="1:4" ht="15.75" customHeight="1">
      <c r="A321" s="24"/>
      <c r="C321" s="33"/>
      <c r="D321" s="33"/>
    </row>
    <row r="322" spans="1:4" ht="15.75" customHeight="1">
      <c r="A322" s="24"/>
      <c r="C322" s="33"/>
      <c r="D322" s="33"/>
    </row>
    <row r="323" spans="1:4" ht="15.75" customHeight="1">
      <c r="A323" s="24"/>
      <c r="C323" s="33"/>
      <c r="D323" s="33"/>
    </row>
    <row r="324" spans="1:4" ht="15.75" customHeight="1">
      <c r="A324" s="24"/>
      <c r="C324" s="33"/>
      <c r="D324" s="33"/>
    </row>
    <row r="325" spans="1:4" ht="15.75" customHeight="1">
      <c r="A325" s="24"/>
      <c r="C325" s="33"/>
      <c r="D325" s="33"/>
    </row>
    <row r="326" spans="1:4" ht="15.75" customHeight="1">
      <c r="A326" s="24"/>
      <c r="C326" s="33"/>
      <c r="D326" s="33"/>
    </row>
    <row r="327" spans="1:4" ht="15.75" customHeight="1">
      <c r="A327" s="24"/>
      <c r="C327" s="33"/>
      <c r="D327" s="33"/>
    </row>
    <row r="328" spans="1:4" ht="15.75" customHeight="1">
      <c r="A328" s="24"/>
      <c r="C328" s="33"/>
      <c r="D328" s="33"/>
    </row>
    <row r="329" spans="1:4" ht="15.75" customHeight="1">
      <c r="A329" s="24"/>
      <c r="C329" s="33"/>
      <c r="D329" s="33"/>
    </row>
    <row r="330" spans="1:4" ht="15.75" customHeight="1">
      <c r="A330" s="24"/>
      <c r="C330" s="33"/>
      <c r="D330" s="33"/>
    </row>
    <row r="331" spans="1:4" ht="15.75" customHeight="1">
      <c r="A331" s="24"/>
      <c r="C331" s="33"/>
      <c r="D331" s="33"/>
    </row>
    <row r="332" spans="1:4" ht="15.75" customHeight="1">
      <c r="A332" s="24"/>
      <c r="C332" s="33"/>
      <c r="D332" s="33"/>
    </row>
    <row r="333" spans="1:4" ht="15.75" customHeight="1">
      <c r="A333" s="24"/>
      <c r="C333" s="33"/>
      <c r="D333" s="33"/>
    </row>
    <row r="334" spans="1:4" ht="15.75" customHeight="1">
      <c r="A334" s="24"/>
      <c r="C334" s="33"/>
      <c r="D334" s="33"/>
    </row>
    <row r="335" spans="1:4" ht="15.75" customHeight="1">
      <c r="A335" s="24"/>
      <c r="C335" s="33"/>
      <c r="D335" s="33"/>
    </row>
    <row r="336" spans="1:4" ht="15.75" customHeight="1">
      <c r="A336" s="24"/>
      <c r="C336" s="33"/>
      <c r="D336" s="33"/>
    </row>
    <row r="337" spans="1:4" ht="15.75" customHeight="1">
      <c r="A337" s="24"/>
      <c r="C337" s="33"/>
      <c r="D337" s="33"/>
    </row>
    <row r="338" spans="1:4" ht="15.75" customHeight="1">
      <c r="A338" s="24"/>
      <c r="C338" s="33"/>
      <c r="D338" s="33"/>
    </row>
    <row r="339" spans="1:4" ht="15.75" customHeight="1">
      <c r="A339" s="24"/>
      <c r="C339" s="33"/>
      <c r="D339" s="33"/>
    </row>
    <row r="340" spans="1:4" ht="15.75" customHeight="1">
      <c r="A340" s="24"/>
      <c r="C340" s="33"/>
      <c r="D340" s="33"/>
    </row>
    <row r="341" spans="1:4" ht="15.75" customHeight="1">
      <c r="A341" s="24"/>
      <c r="C341" s="33"/>
      <c r="D341" s="33"/>
    </row>
    <row r="342" spans="1:4" ht="15.75" customHeight="1">
      <c r="A342" s="24"/>
      <c r="C342" s="33"/>
      <c r="D342" s="33"/>
    </row>
    <row r="343" spans="1:4" ht="15.75" customHeight="1">
      <c r="A343" s="24"/>
      <c r="C343" s="33"/>
      <c r="D343" s="33"/>
    </row>
    <row r="344" spans="1:4" ht="15.75" customHeight="1">
      <c r="A344" s="24"/>
      <c r="C344" s="33"/>
      <c r="D344" s="33"/>
    </row>
    <row r="345" spans="1:4" ht="15.75" customHeight="1">
      <c r="A345" s="24"/>
      <c r="C345" s="33"/>
      <c r="D345" s="33"/>
    </row>
    <row r="346" spans="1:4" ht="15.75" customHeight="1">
      <c r="A346" s="24"/>
      <c r="C346" s="33"/>
      <c r="D346" s="33"/>
    </row>
    <row r="347" spans="1:4" ht="15.75" customHeight="1">
      <c r="A347" s="24"/>
      <c r="C347" s="33"/>
      <c r="D347" s="33"/>
    </row>
    <row r="348" spans="1:4" ht="15.75" customHeight="1">
      <c r="A348" s="24"/>
      <c r="C348" s="33"/>
      <c r="D348" s="33"/>
    </row>
    <row r="349" spans="1:4" ht="15.75" customHeight="1">
      <c r="A349" s="24"/>
      <c r="C349" s="33"/>
      <c r="D349" s="33"/>
    </row>
    <row r="350" spans="1:4" ht="15.75" customHeight="1">
      <c r="A350" s="24"/>
      <c r="C350" s="33"/>
      <c r="D350" s="33"/>
    </row>
    <row r="351" spans="1:4" ht="15.75" customHeight="1">
      <c r="A351" s="24"/>
      <c r="C351" s="33"/>
      <c r="D351" s="33"/>
    </row>
    <row r="352" spans="1:4" ht="15.75" customHeight="1">
      <c r="A352" s="24"/>
      <c r="C352" s="33"/>
      <c r="D352" s="33"/>
    </row>
    <row r="353" spans="1:4" ht="15.75" customHeight="1">
      <c r="A353" s="24"/>
      <c r="C353" s="33"/>
      <c r="D353" s="33"/>
    </row>
    <row r="354" spans="1:4" ht="15.75" customHeight="1">
      <c r="A354" s="24"/>
      <c r="C354" s="33"/>
      <c r="D354" s="33"/>
    </row>
    <row r="355" spans="1:4" ht="15.75" customHeight="1">
      <c r="A355" s="24"/>
      <c r="C355" s="33"/>
      <c r="D355" s="33"/>
    </row>
    <row r="356" spans="1:4" ht="15.75" customHeight="1">
      <c r="A356" s="24"/>
      <c r="C356" s="33"/>
      <c r="D356" s="33"/>
    </row>
    <row r="357" spans="1:4" ht="15.75" customHeight="1">
      <c r="A357" s="24"/>
      <c r="C357" s="33"/>
      <c r="D357" s="33"/>
    </row>
    <row r="358" spans="1:4" ht="15.75" customHeight="1">
      <c r="A358" s="24"/>
      <c r="C358" s="33"/>
      <c r="D358" s="33"/>
    </row>
    <row r="359" spans="1:4" ht="15.75" customHeight="1">
      <c r="A359" s="24"/>
      <c r="C359" s="33"/>
      <c r="D359" s="33"/>
    </row>
    <row r="360" spans="1:4" ht="15.75" customHeight="1">
      <c r="A360" s="24"/>
      <c r="C360" s="33"/>
      <c r="D360" s="33"/>
    </row>
    <row r="361" spans="1:4" ht="15.75" customHeight="1">
      <c r="A361" s="24"/>
      <c r="C361" s="33"/>
      <c r="D361" s="33"/>
    </row>
    <row r="362" spans="1:4" ht="15.75" customHeight="1">
      <c r="A362" s="24"/>
      <c r="C362" s="33"/>
      <c r="D362" s="33"/>
    </row>
    <row r="363" spans="1:4" ht="15.75" customHeight="1">
      <c r="A363" s="24"/>
      <c r="C363" s="33"/>
      <c r="D363" s="33"/>
    </row>
    <row r="364" spans="1:4" ht="15.75" customHeight="1">
      <c r="A364" s="24"/>
      <c r="C364" s="33"/>
      <c r="D364" s="33"/>
    </row>
    <row r="365" spans="1:4" ht="15.75" customHeight="1">
      <c r="A365" s="24"/>
      <c r="C365" s="33"/>
      <c r="D365" s="33"/>
    </row>
    <row r="366" spans="1:4" ht="15.75" customHeight="1">
      <c r="A366" s="24"/>
      <c r="C366" s="33"/>
      <c r="D366" s="33"/>
    </row>
    <row r="367" spans="1:4" ht="15.75" customHeight="1">
      <c r="A367" s="24"/>
      <c r="C367" s="33"/>
      <c r="D367" s="33"/>
    </row>
    <row r="368" spans="1:4" ht="15.75" customHeight="1">
      <c r="A368" s="24"/>
      <c r="C368" s="33"/>
      <c r="D368" s="33"/>
    </row>
    <row r="369" spans="1:4" ht="15.75" customHeight="1">
      <c r="A369" s="24"/>
      <c r="C369" s="33"/>
      <c r="D369" s="33"/>
    </row>
    <row r="370" spans="1:4" ht="15.75" customHeight="1">
      <c r="A370" s="24"/>
      <c r="C370" s="33"/>
      <c r="D370" s="33"/>
    </row>
    <row r="371" spans="1:4" ht="15.75" customHeight="1">
      <c r="A371" s="24"/>
      <c r="C371" s="33"/>
      <c r="D371" s="33"/>
    </row>
    <row r="372" spans="1:4" ht="15.75" customHeight="1">
      <c r="A372" s="24"/>
      <c r="C372" s="33"/>
      <c r="D372" s="33"/>
    </row>
    <row r="373" spans="1:4" ht="15.75" customHeight="1">
      <c r="A373" s="24"/>
      <c r="C373" s="33"/>
      <c r="D373" s="33"/>
    </row>
    <row r="374" spans="1:4" ht="15.75" customHeight="1">
      <c r="A374" s="24"/>
      <c r="C374" s="33"/>
      <c r="D374" s="33"/>
    </row>
    <row r="375" spans="1:4" ht="15.75" customHeight="1">
      <c r="A375" s="24"/>
      <c r="C375" s="33"/>
      <c r="D375" s="33"/>
    </row>
    <row r="376" spans="1:4" ht="15.75" customHeight="1">
      <c r="A376" s="24"/>
      <c r="C376" s="33"/>
      <c r="D376" s="33"/>
    </row>
    <row r="377" spans="1:4" ht="15.75" customHeight="1">
      <c r="A377" s="24"/>
      <c r="C377" s="33"/>
      <c r="D377" s="33"/>
    </row>
    <row r="378" spans="1:4" ht="15.75" customHeight="1">
      <c r="A378" s="24"/>
      <c r="C378" s="33"/>
      <c r="D378" s="33"/>
    </row>
    <row r="379" spans="1:4" ht="15.75" customHeight="1">
      <c r="A379" s="24"/>
      <c r="C379" s="33"/>
      <c r="D379" s="33"/>
    </row>
    <row r="380" spans="1:4" ht="15.75" customHeight="1">
      <c r="A380" s="24"/>
      <c r="C380" s="33"/>
      <c r="D380" s="33"/>
    </row>
    <row r="381" spans="1:4" ht="15.75" customHeight="1">
      <c r="A381" s="24"/>
      <c r="C381" s="33"/>
      <c r="D381" s="33"/>
    </row>
    <row r="382" spans="1:4" ht="15.75" customHeight="1">
      <c r="A382" s="24"/>
      <c r="C382" s="33"/>
      <c r="D382" s="33"/>
    </row>
    <row r="383" spans="1:4" ht="15.75" customHeight="1">
      <c r="A383" s="24"/>
      <c r="C383" s="33"/>
      <c r="D383" s="33"/>
    </row>
    <row r="384" spans="1:4" ht="15.75" customHeight="1">
      <c r="A384" s="24"/>
      <c r="C384" s="33"/>
      <c r="D384" s="33"/>
    </row>
    <row r="385" spans="1:4" ht="15.75" customHeight="1">
      <c r="A385" s="24"/>
      <c r="C385" s="33"/>
      <c r="D385" s="33"/>
    </row>
    <row r="386" spans="1:4" ht="15.75" customHeight="1">
      <c r="A386" s="24"/>
      <c r="C386" s="33"/>
      <c r="D386" s="33"/>
    </row>
    <row r="387" spans="1:4" ht="15.75" customHeight="1">
      <c r="A387" s="24"/>
      <c r="C387" s="33"/>
      <c r="D387" s="33"/>
    </row>
    <row r="388" spans="1:4" ht="15.75" customHeight="1">
      <c r="A388" s="24"/>
      <c r="C388" s="33"/>
      <c r="D388" s="33"/>
    </row>
    <row r="389" spans="1:4" ht="15.75" customHeight="1">
      <c r="A389" s="24"/>
      <c r="C389" s="33"/>
      <c r="D389" s="33"/>
    </row>
    <row r="390" spans="1:4" ht="15.75" customHeight="1">
      <c r="A390" s="24"/>
      <c r="C390" s="33"/>
      <c r="D390" s="33"/>
    </row>
    <row r="391" spans="1:4" ht="15.75" customHeight="1">
      <c r="A391" s="24"/>
      <c r="C391" s="33"/>
      <c r="D391" s="33"/>
    </row>
    <row r="392" spans="1:4" ht="15.75" customHeight="1">
      <c r="A392" s="24"/>
      <c r="C392" s="33"/>
      <c r="D392" s="33"/>
    </row>
    <row r="393" spans="1:4" ht="15.75" customHeight="1">
      <c r="A393" s="24"/>
      <c r="C393" s="33"/>
      <c r="D393" s="33"/>
    </row>
    <row r="394" spans="1:4" ht="15.75" customHeight="1">
      <c r="A394" s="24"/>
      <c r="C394" s="33"/>
      <c r="D394" s="33"/>
    </row>
    <row r="395" spans="1:4" ht="15.75" customHeight="1">
      <c r="A395" s="24"/>
      <c r="C395" s="33"/>
      <c r="D395" s="33"/>
    </row>
    <row r="396" spans="1:4" ht="15.75" customHeight="1">
      <c r="A396" s="24"/>
      <c r="C396" s="33"/>
      <c r="D396" s="33"/>
    </row>
    <row r="397" spans="1:4" ht="15.75" customHeight="1">
      <c r="A397" s="24"/>
      <c r="C397" s="33"/>
      <c r="D397" s="33"/>
    </row>
    <row r="398" spans="1:4" ht="15.75" customHeight="1">
      <c r="A398" s="24"/>
      <c r="C398" s="33"/>
      <c r="D398" s="33"/>
    </row>
    <row r="399" spans="1:4" ht="15.75" customHeight="1">
      <c r="A399" s="24"/>
      <c r="C399" s="33"/>
      <c r="D399" s="33"/>
    </row>
    <row r="400" spans="1:4" ht="15.75" customHeight="1">
      <c r="A400" s="24"/>
      <c r="C400" s="33"/>
      <c r="D400" s="33"/>
    </row>
    <row r="401" spans="1:4" ht="15.75" customHeight="1">
      <c r="A401" s="24"/>
      <c r="C401" s="33"/>
      <c r="D401" s="33"/>
    </row>
    <row r="402" spans="1:4" ht="15.75" customHeight="1">
      <c r="A402" s="24"/>
      <c r="C402" s="33"/>
      <c r="D402" s="33"/>
    </row>
    <row r="403" spans="1:4" ht="15.75" customHeight="1">
      <c r="A403" s="24"/>
      <c r="C403" s="33"/>
      <c r="D403" s="33"/>
    </row>
    <row r="404" spans="1:4" ht="15.75" customHeight="1">
      <c r="A404" s="24"/>
      <c r="C404" s="33"/>
      <c r="D404" s="33"/>
    </row>
    <row r="405" spans="1:4" ht="15.75" customHeight="1">
      <c r="A405" s="24"/>
      <c r="C405" s="33"/>
      <c r="D405" s="33"/>
    </row>
    <row r="406" spans="1:4" ht="15.75" customHeight="1">
      <c r="A406" s="24"/>
      <c r="C406" s="33"/>
      <c r="D406" s="33"/>
    </row>
    <row r="407" spans="1:4" ht="15.75" customHeight="1">
      <c r="A407" s="24"/>
      <c r="C407" s="33"/>
      <c r="D407" s="33"/>
    </row>
    <row r="408" spans="1:4" ht="15.75" customHeight="1">
      <c r="A408" s="24"/>
      <c r="C408" s="33"/>
      <c r="D408" s="33"/>
    </row>
    <row r="409" spans="1:4" ht="15.75" customHeight="1">
      <c r="A409" s="24"/>
      <c r="C409" s="33"/>
      <c r="D409" s="33"/>
    </row>
    <row r="410" spans="1:4" ht="15.75" customHeight="1">
      <c r="A410" s="24"/>
      <c r="C410" s="33"/>
      <c r="D410" s="33"/>
    </row>
    <row r="411" spans="1:4" ht="15.75" customHeight="1">
      <c r="A411" s="24"/>
      <c r="C411" s="33"/>
      <c r="D411" s="33"/>
    </row>
    <row r="412" spans="1:4" ht="15.75" customHeight="1">
      <c r="A412" s="24"/>
      <c r="C412" s="33"/>
      <c r="D412" s="33"/>
    </row>
    <row r="413" spans="1:4" ht="15.75" customHeight="1">
      <c r="A413" s="24"/>
      <c r="C413" s="33"/>
      <c r="D413" s="33"/>
    </row>
    <row r="414" spans="1:4" ht="15.75" customHeight="1">
      <c r="A414" s="24"/>
      <c r="C414" s="33"/>
      <c r="D414" s="33"/>
    </row>
    <row r="415" spans="1:4" ht="15.75" customHeight="1">
      <c r="A415" s="24"/>
      <c r="C415" s="33"/>
      <c r="D415" s="33"/>
    </row>
    <row r="416" spans="1:4" ht="15.75" customHeight="1">
      <c r="A416" s="24"/>
      <c r="C416" s="33"/>
      <c r="D416" s="33"/>
    </row>
    <row r="417" spans="1:4" ht="15.75" customHeight="1">
      <c r="A417" s="24"/>
      <c r="C417" s="33"/>
      <c r="D417" s="33"/>
    </row>
    <row r="418" spans="1:4" ht="15.75" customHeight="1">
      <c r="A418" s="24"/>
      <c r="C418" s="33"/>
      <c r="D418" s="33"/>
    </row>
    <row r="419" spans="1:4" ht="15.75" customHeight="1">
      <c r="A419" s="24"/>
      <c r="C419" s="33"/>
      <c r="D419" s="33"/>
    </row>
    <row r="420" spans="1:4" ht="15.75" customHeight="1">
      <c r="A420" s="24"/>
      <c r="C420" s="33"/>
      <c r="D420" s="33"/>
    </row>
    <row r="421" spans="1:4" ht="15.75" customHeight="1">
      <c r="A421" s="24"/>
      <c r="C421" s="33"/>
      <c r="D421" s="33"/>
    </row>
    <row r="422" spans="1:4" ht="15.75" customHeight="1">
      <c r="A422" s="24"/>
      <c r="C422" s="33"/>
      <c r="D422" s="33"/>
    </row>
    <row r="423" spans="1:4" ht="15.75" customHeight="1">
      <c r="A423" s="24"/>
      <c r="C423" s="33"/>
      <c r="D423" s="33"/>
    </row>
    <row r="424" spans="1:4" ht="15.75" customHeight="1">
      <c r="A424" s="24"/>
      <c r="C424" s="33"/>
      <c r="D424" s="33"/>
    </row>
    <row r="425" spans="1:4" ht="15.75" customHeight="1">
      <c r="A425" s="24"/>
      <c r="C425" s="33"/>
      <c r="D425" s="33"/>
    </row>
    <row r="426" spans="1:4" ht="15.75" customHeight="1">
      <c r="A426" s="24"/>
      <c r="C426" s="33"/>
      <c r="D426" s="33"/>
    </row>
    <row r="427" spans="1:4" ht="15.75" customHeight="1">
      <c r="A427" s="24"/>
      <c r="C427" s="33"/>
      <c r="D427" s="33"/>
    </row>
    <row r="428" spans="1:4" ht="15.75" customHeight="1">
      <c r="A428" s="24"/>
      <c r="C428" s="33"/>
      <c r="D428" s="33"/>
    </row>
    <row r="429" spans="1:4" ht="15.75" customHeight="1">
      <c r="A429" s="24"/>
      <c r="C429" s="33"/>
      <c r="D429" s="33"/>
    </row>
    <row r="430" spans="1:4" ht="15.75" customHeight="1">
      <c r="A430" s="24"/>
      <c r="C430" s="33"/>
      <c r="D430" s="33"/>
    </row>
    <row r="431" spans="1:4" ht="15.75" customHeight="1">
      <c r="A431" s="24"/>
      <c r="C431" s="33"/>
      <c r="D431" s="33"/>
    </row>
    <row r="432" spans="1:4" ht="15.75" customHeight="1">
      <c r="A432" s="24"/>
      <c r="C432" s="33"/>
      <c r="D432" s="33"/>
    </row>
    <row r="433" spans="1:4" ht="15.75" customHeight="1">
      <c r="A433" s="24"/>
      <c r="C433" s="33"/>
      <c r="D433" s="33"/>
    </row>
    <row r="434" spans="1:4" ht="15.75" customHeight="1">
      <c r="A434" s="24"/>
      <c r="C434" s="33"/>
      <c r="D434" s="33"/>
    </row>
    <row r="435" spans="1:4" ht="15.75" customHeight="1">
      <c r="A435" s="24"/>
      <c r="C435" s="33"/>
      <c r="D435" s="33"/>
    </row>
    <row r="436" spans="1:4" ht="15.75" customHeight="1">
      <c r="A436" s="24"/>
      <c r="C436" s="33"/>
      <c r="D436" s="33"/>
    </row>
    <row r="437" spans="1:4" ht="15.75" customHeight="1">
      <c r="A437" s="24"/>
      <c r="C437" s="33"/>
      <c r="D437" s="33"/>
    </row>
    <row r="438" spans="1:4" ht="15.75" customHeight="1">
      <c r="A438" s="24"/>
      <c r="C438" s="33"/>
      <c r="D438" s="33"/>
    </row>
    <row r="439" spans="1:4" ht="15.75" customHeight="1">
      <c r="A439" s="24"/>
      <c r="C439" s="33"/>
      <c r="D439" s="33"/>
    </row>
    <row r="440" spans="1:4" ht="15.75" customHeight="1">
      <c r="A440" s="24"/>
      <c r="C440" s="33"/>
      <c r="D440" s="33"/>
    </row>
    <row r="441" spans="1:4" ht="15.75" customHeight="1">
      <c r="A441" s="24"/>
      <c r="C441" s="33"/>
      <c r="D441" s="33"/>
    </row>
    <row r="442" spans="1:4" ht="15.75" customHeight="1">
      <c r="A442" s="24"/>
      <c r="C442" s="33"/>
      <c r="D442" s="33"/>
    </row>
    <row r="443" spans="1:4" ht="15.75" customHeight="1">
      <c r="A443" s="24"/>
      <c r="C443" s="33"/>
      <c r="D443" s="33"/>
    </row>
    <row r="444" spans="1:4" ht="15.75" customHeight="1">
      <c r="A444" s="24"/>
      <c r="C444" s="33"/>
      <c r="D444" s="33"/>
    </row>
    <row r="445" spans="1:4" ht="15.75" customHeight="1">
      <c r="A445" s="24"/>
      <c r="C445" s="33"/>
      <c r="D445" s="33"/>
    </row>
    <row r="446" spans="1:4" ht="15.75" customHeight="1">
      <c r="A446" s="24"/>
      <c r="C446" s="33"/>
      <c r="D446" s="33"/>
    </row>
    <row r="447" spans="1:4" ht="15.75" customHeight="1">
      <c r="A447" s="24"/>
      <c r="C447" s="33"/>
      <c r="D447" s="33"/>
    </row>
    <row r="448" spans="1:4" ht="15.75" customHeight="1">
      <c r="A448" s="24"/>
      <c r="C448" s="33"/>
      <c r="D448" s="33"/>
    </row>
    <row r="449" spans="1:4" ht="15.75" customHeight="1">
      <c r="A449" s="24"/>
      <c r="C449" s="33"/>
      <c r="D449" s="33"/>
    </row>
    <row r="450" spans="1:4" ht="15.75" customHeight="1">
      <c r="A450" s="24"/>
      <c r="C450" s="33"/>
      <c r="D450" s="33"/>
    </row>
    <row r="451" spans="1:4" ht="15.75" customHeight="1">
      <c r="A451" s="24"/>
      <c r="C451" s="33"/>
      <c r="D451" s="33"/>
    </row>
    <row r="452" spans="1:4" ht="15.75" customHeight="1">
      <c r="A452" s="24"/>
      <c r="C452" s="33"/>
      <c r="D452" s="33"/>
    </row>
    <row r="453" spans="1:4" ht="15.75" customHeight="1">
      <c r="A453" s="24"/>
      <c r="C453" s="33"/>
      <c r="D453" s="33"/>
    </row>
    <row r="454" spans="1:4" ht="15.75" customHeight="1">
      <c r="A454" s="24"/>
      <c r="C454" s="33"/>
      <c r="D454" s="33"/>
    </row>
    <row r="455" spans="1:4" ht="15.75" customHeight="1">
      <c r="A455" s="24"/>
      <c r="C455" s="33"/>
      <c r="D455" s="33"/>
    </row>
    <row r="456" spans="1:4" ht="15.75" customHeight="1">
      <c r="A456" s="24"/>
      <c r="C456" s="33"/>
      <c r="D456" s="33"/>
    </row>
    <row r="457" spans="1:4" ht="15.75" customHeight="1">
      <c r="A457" s="24"/>
      <c r="C457" s="33"/>
      <c r="D457" s="33"/>
    </row>
    <row r="458" spans="1:4" ht="15.75" customHeight="1">
      <c r="A458" s="24"/>
      <c r="C458" s="33"/>
      <c r="D458" s="33"/>
    </row>
    <row r="459" spans="1:4" ht="15.75" customHeight="1">
      <c r="A459" s="24"/>
      <c r="C459" s="33"/>
      <c r="D459" s="33"/>
    </row>
    <row r="460" spans="1:4" ht="15.75" customHeight="1">
      <c r="A460" s="24"/>
      <c r="C460" s="33"/>
      <c r="D460" s="33"/>
    </row>
    <row r="461" spans="1:4" ht="15.75" customHeight="1">
      <c r="A461" s="24"/>
      <c r="C461" s="33"/>
      <c r="D461" s="33"/>
    </row>
    <row r="462" spans="1:4" ht="15.75" customHeight="1">
      <c r="A462" s="24"/>
      <c r="C462" s="33"/>
      <c r="D462" s="33"/>
    </row>
    <row r="463" spans="1:4" ht="15.75" customHeight="1">
      <c r="A463" s="24"/>
      <c r="C463" s="33"/>
      <c r="D463" s="33"/>
    </row>
    <row r="464" spans="1:4" ht="15.75" customHeight="1">
      <c r="A464" s="24"/>
      <c r="C464" s="33"/>
      <c r="D464" s="33"/>
    </row>
    <row r="465" spans="1:4" ht="15.75" customHeight="1">
      <c r="A465" s="24"/>
      <c r="C465" s="33"/>
      <c r="D465" s="33"/>
    </row>
    <row r="466" spans="1:4" ht="15.75" customHeight="1">
      <c r="A466" s="24"/>
      <c r="C466" s="33"/>
      <c r="D466" s="33"/>
    </row>
    <row r="467" spans="1:4" ht="15.75" customHeight="1">
      <c r="A467" s="24"/>
      <c r="C467" s="33"/>
      <c r="D467" s="33"/>
    </row>
    <row r="468" spans="1:4" ht="15.75" customHeight="1">
      <c r="A468" s="24"/>
      <c r="C468" s="33"/>
      <c r="D468" s="33"/>
    </row>
    <row r="469" spans="1:4" ht="15.75" customHeight="1">
      <c r="A469" s="24"/>
      <c r="C469" s="33"/>
      <c r="D469" s="33"/>
    </row>
    <row r="470" spans="1:4" ht="15.75" customHeight="1">
      <c r="A470" s="24"/>
      <c r="C470" s="33"/>
      <c r="D470" s="33"/>
    </row>
    <row r="471" spans="1:4" ht="15.75" customHeight="1">
      <c r="A471" s="24"/>
      <c r="C471" s="33"/>
      <c r="D471" s="33"/>
    </row>
    <row r="472" spans="1:4" ht="15.75" customHeight="1">
      <c r="A472" s="24"/>
      <c r="C472" s="33"/>
      <c r="D472" s="33"/>
    </row>
    <row r="473" spans="1:4" ht="15.75" customHeight="1">
      <c r="A473" s="24"/>
      <c r="C473" s="33"/>
      <c r="D473" s="33"/>
    </row>
    <row r="474" spans="1:4" ht="15.75" customHeight="1">
      <c r="A474" s="24"/>
      <c r="C474" s="33"/>
      <c r="D474" s="33"/>
    </row>
    <row r="475" spans="1:4" ht="15.75" customHeight="1">
      <c r="A475" s="24"/>
      <c r="C475" s="33"/>
      <c r="D475" s="33"/>
    </row>
    <row r="476" spans="1:4" ht="15.75" customHeight="1">
      <c r="A476" s="24"/>
      <c r="C476" s="33"/>
      <c r="D476" s="33"/>
    </row>
    <row r="477" spans="1:4" ht="15.75" customHeight="1">
      <c r="A477" s="24"/>
      <c r="C477" s="33"/>
      <c r="D477" s="33"/>
    </row>
    <row r="478" spans="1:4" ht="15.75" customHeight="1">
      <c r="A478" s="24"/>
      <c r="C478" s="33"/>
      <c r="D478" s="33"/>
    </row>
    <row r="479" spans="1:4" ht="15.75" customHeight="1">
      <c r="A479" s="24"/>
      <c r="C479" s="33"/>
      <c r="D479" s="33"/>
    </row>
    <row r="480" spans="1:4" ht="15.75" customHeight="1">
      <c r="A480" s="24"/>
      <c r="C480" s="33"/>
      <c r="D480" s="33"/>
    </row>
    <row r="481" spans="1:4" ht="15.75" customHeight="1">
      <c r="A481" s="24"/>
      <c r="C481" s="33"/>
      <c r="D481" s="33"/>
    </row>
    <row r="482" spans="1:4" ht="15.75" customHeight="1">
      <c r="A482" s="24"/>
      <c r="C482" s="33"/>
      <c r="D482" s="33"/>
    </row>
    <row r="483" spans="1:4" ht="15.75" customHeight="1">
      <c r="A483" s="24"/>
      <c r="C483" s="33"/>
      <c r="D483" s="33"/>
    </row>
    <row r="484" spans="1:4" ht="15.75" customHeight="1">
      <c r="A484" s="24"/>
      <c r="C484" s="33"/>
      <c r="D484" s="33"/>
    </row>
    <row r="485" spans="1:4" ht="15.75" customHeight="1">
      <c r="A485" s="24"/>
      <c r="C485" s="33"/>
      <c r="D485" s="33"/>
    </row>
    <row r="486" spans="1:4" ht="15.75" customHeight="1">
      <c r="A486" s="24"/>
      <c r="C486" s="33"/>
      <c r="D486" s="33"/>
    </row>
    <row r="487" spans="1:4" ht="15.75" customHeight="1">
      <c r="A487" s="24"/>
      <c r="C487" s="33"/>
      <c r="D487" s="33"/>
    </row>
    <row r="488" spans="1:4" ht="15.75" customHeight="1">
      <c r="A488" s="24"/>
      <c r="C488" s="33"/>
      <c r="D488" s="33"/>
    </row>
    <row r="489" spans="1:4" ht="15.75" customHeight="1">
      <c r="A489" s="24"/>
      <c r="C489" s="33"/>
      <c r="D489" s="33"/>
    </row>
    <row r="490" spans="1:4" ht="15.75" customHeight="1">
      <c r="A490" s="24"/>
      <c r="C490" s="33"/>
      <c r="D490" s="33"/>
    </row>
    <row r="491" spans="1:4" ht="15.75" customHeight="1">
      <c r="A491" s="24"/>
      <c r="C491" s="33"/>
      <c r="D491" s="33"/>
    </row>
    <row r="492" spans="1:4" ht="15.75" customHeight="1">
      <c r="A492" s="24"/>
      <c r="C492" s="33"/>
      <c r="D492" s="33"/>
    </row>
    <row r="493" spans="1:4" ht="15.75" customHeight="1">
      <c r="A493" s="24"/>
      <c r="C493" s="33"/>
      <c r="D493" s="33"/>
    </row>
    <row r="494" spans="1:4" ht="15.75" customHeight="1">
      <c r="A494" s="24"/>
      <c r="C494" s="33"/>
      <c r="D494" s="33"/>
    </row>
    <row r="495" spans="1:4" ht="15.75" customHeight="1">
      <c r="A495" s="24"/>
      <c r="C495" s="33"/>
      <c r="D495" s="33"/>
    </row>
    <row r="496" spans="1:4" ht="15.75" customHeight="1">
      <c r="A496" s="24"/>
      <c r="C496" s="33"/>
      <c r="D496" s="33"/>
    </row>
    <row r="497" spans="1:4" ht="15.75" customHeight="1">
      <c r="A497" s="24"/>
      <c r="C497" s="33"/>
      <c r="D497" s="33"/>
    </row>
    <row r="498" spans="1:4" ht="15.75" customHeight="1">
      <c r="A498" s="24"/>
      <c r="C498" s="33"/>
      <c r="D498" s="33"/>
    </row>
    <row r="499" spans="1:4" ht="15.75" customHeight="1">
      <c r="A499" s="24"/>
      <c r="C499" s="33"/>
      <c r="D499" s="33"/>
    </row>
    <row r="500" spans="1:4" ht="15.75" customHeight="1">
      <c r="A500" s="24"/>
      <c r="C500" s="33"/>
      <c r="D500" s="33"/>
    </row>
    <row r="501" spans="1:4" ht="15.75" customHeight="1">
      <c r="A501" s="24"/>
      <c r="C501" s="33"/>
      <c r="D501" s="33"/>
    </row>
    <row r="502" spans="1:4" ht="15.75" customHeight="1">
      <c r="A502" s="24"/>
      <c r="C502" s="33"/>
      <c r="D502" s="33"/>
    </row>
    <row r="503" spans="1:4" ht="15.75" customHeight="1">
      <c r="A503" s="24"/>
      <c r="C503" s="33"/>
      <c r="D503" s="33"/>
    </row>
    <row r="504" spans="1:4" ht="15.75" customHeight="1">
      <c r="A504" s="24"/>
      <c r="C504" s="33"/>
      <c r="D504" s="33"/>
    </row>
    <row r="505" spans="1:4" ht="15.75" customHeight="1">
      <c r="A505" s="24"/>
      <c r="C505" s="33"/>
      <c r="D505" s="33"/>
    </row>
    <row r="506" spans="1:4" ht="15.75" customHeight="1">
      <c r="A506" s="24"/>
      <c r="C506" s="33"/>
      <c r="D506" s="33"/>
    </row>
    <row r="507" spans="1:4" ht="15.75" customHeight="1">
      <c r="A507" s="24"/>
      <c r="C507" s="33"/>
      <c r="D507" s="33"/>
    </row>
    <row r="508" spans="1:4" ht="15.75" customHeight="1">
      <c r="A508" s="24"/>
      <c r="C508" s="33"/>
      <c r="D508" s="33"/>
    </row>
    <row r="509" spans="1:4" ht="15.75" customHeight="1">
      <c r="A509" s="24"/>
      <c r="C509" s="33"/>
      <c r="D509" s="33"/>
    </row>
    <row r="510" spans="1:4" ht="15.75" customHeight="1">
      <c r="A510" s="24"/>
      <c r="C510" s="33"/>
      <c r="D510" s="33"/>
    </row>
    <row r="511" spans="1:4" ht="15.75" customHeight="1">
      <c r="A511" s="24"/>
      <c r="C511" s="33"/>
      <c r="D511" s="33"/>
    </row>
    <row r="512" spans="1:4" ht="15.75" customHeight="1">
      <c r="A512" s="24"/>
      <c r="C512" s="33"/>
      <c r="D512" s="33"/>
    </row>
    <row r="513" spans="1:4" ht="15.75" customHeight="1">
      <c r="A513" s="24"/>
      <c r="C513" s="33"/>
      <c r="D513" s="33"/>
    </row>
    <row r="514" spans="1:4" ht="15.75" customHeight="1">
      <c r="A514" s="24"/>
      <c r="C514" s="33"/>
      <c r="D514" s="33"/>
    </row>
    <row r="515" spans="1:4" ht="15.75" customHeight="1">
      <c r="A515" s="24"/>
      <c r="C515" s="33"/>
      <c r="D515" s="33"/>
    </row>
    <row r="516" spans="1:4" ht="15.75" customHeight="1">
      <c r="A516" s="24"/>
      <c r="C516" s="33"/>
      <c r="D516" s="33"/>
    </row>
    <row r="517" spans="1:4" ht="15.75" customHeight="1">
      <c r="A517" s="24"/>
      <c r="C517" s="33"/>
      <c r="D517" s="33"/>
    </row>
    <row r="518" spans="1:4" ht="15.75" customHeight="1">
      <c r="A518" s="24"/>
      <c r="C518" s="33"/>
      <c r="D518" s="33"/>
    </row>
    <row r="519" spans="1:4" ht="15.75" customHeight="1">
      <c r="A519" s="24"/>
      <c r="C519" s="33"/>
      <c r="D519" s="33"/>
    </row>
    <row r="520" spans="1:4" ht="15.75" customHeight="1">
      <c r="A520" s="24"/>
      <c r="C520" s="33"/>
      <c r="D520" s="33"/>
    </row>
    <row r="521" spans="1:4" ht="15.75" customHeight="1">
      <c r="A521" s="24"/>
      <c r="C521" s="33"/>
      <c r="D521" s="33"/>
    </row>
    <row r="522" spans="1:4" ht="15.75" customHeight="1">
      <c r="A522" s="24"/>
      <c r="C522" s="33"/>
      <c r="D522" s="33"/>
    </row>
    <row r="523" spans="1:4" ht="15.75" customHeight="1">
      <c r="A523" s="24"/>
      <c r="C523" s="33"/>
      <c r="D523" s="33"/>
    </row>
    <row r="524" spans="1:4" ht="15.75" customHeight="1">
      <c r="A524" s="24"/>
      <c r="C524" s="33"/>
      <c r="D524" s="33"/>
    </row>
    <row r="525" spans="1:4" ht="15.75" customHeight="1">
      <c r="A525" s="24"/>
      <c r="C525" s="33"/>
      <c r="D525" s="33"/>
    </row>
    <row r="526" spans="1:4" ht="15.75" customHeight="1">
      <c r="A526" s="24"/>
      <c r="C526" s="33"/>
      <c r="D526" s="33"/>
    </row>
    <row r="527" spans="1:4" ht="15.75" customHeight="1">
      <c r="A527" s="24"/>
      <c r="C527" s="33"/>
      <c r="D527" s="33"/>
    </row>
    <row r="528" spans="1:4" ht="15.75" customHeight="1">
      <c r="A528" s="24"/>
      <c r="C528" s="33"/>
      <c r="D528" s="33"/>
    </row>
    <row r="529" spans="1:4" ht="15.75" customHeight="1">
      <c r="A529" s="24"/>
      <c r="C529" s="33"/>
      <c r="D529" s="33"/>
    </row>
    <row r="530" spans="1:4" ht="15.75" customHeight="1">
      <c r="A530" s="24"/>
      <c r="C530" s="33"/>
      <c r="D530" s="33"/>
    </row>
    <row r="531" spans="1:4" ht="15.75" customHeight="1">
      <c r="A531" s="24"/>
      <c r="C531" s="33"/>
      <c r="D531" s="33"/>
    </row>
    <row r="532" spans="1:4" ht="15.75" customHeight="1">
      <c r="A532" s="24"/>
      <c r="C532" s="33"/>
      <c r="D532" s="33"/>
    </row>
    <row r="533" spans="1:4" ht="15.75" customHeight="1">
      <c r="A533" s="24"/>
      <c r="C533" s="33"/>
      <c r="D533" s="33"/>
    </row>
    <row r="534" spans="1:4" ht="15.75" customHeight="1">
      <c r="A534" s="24"/>
      <c r="C534" s="33"/>
      <c r="D534" s="33"/>
    </row>
    <row r="535" spans="1:4" ht="15.75" customHeight="1">
      <c r="A535" s="24"/>
      <c r="C535" s="33"/>
      <c r="D535" s="33"/>
    </row>
    <row r="536" spans="1:4" ht="15.75" customHeight="1">
      <c r="A536" s="24"/>
      <c r="C536" s="33"/>
      <c r="D536" s="33"/>
    </row>
    <row r="537" spans="1:4" ht="15.75" customHeight="1">
      <c r="A537" s="24"/>
      <c r="C537" s="33"/>
      <c r="D537" s="33"/>
    </row>
    <row r="538" spans="1:4" ht="15.75" customHeight="1">
      <c r="A538" s="24"/>
      <c r="C538" s="33"/>
      <c r="D538" s="33"/>
    </row>
    <row r="539" spans="1:4" ht="15.75" customHeight="1">
      <c r="A539" s="24"/>
      <c r="C539" s="33"/>
      <c r="D539" s="33"/>
    </row>
    <row r="540" spans="1:4" ht="15.75" customHeight="1">
      <c r="A540" s="24"/>
      <c r="C540" s="33"/>
      <c r="D540" s="33"/>
    </row>
    <row r="541" spans="1:4" ht="15.75" customHeight="1">
      <c r="A541" s="24"/>
      <c r="C541" s="33"/>
      <c r="D541" s="33"/>
    </row>
    <row r="542" spans="1:4" ht="15.75" customHeight="1">
      <c r="A542" s="24"/>
      <c r="C542" s="33"/>
      <c r="D542" s="33"/>
    </row>
    <row r="543" spans="1:4" ht="15.75" customHeight="1">
      <c r="A543" s="24"/>
      <c r="C543" s="33"/>
      <c r="D543" s="33"/>
    </row>
    <row r="544" spans="1:4" ht="15.75" customHeight="1">
      <c r="A544" s="24"/>
      <c r="C544" s="33"/>
      <c r="D544" s="33"/>
    </row>
    <row r="545" spans="1:4" ht="15.75" customHeight="1">
      <c r="A545" s="24"/>
      <c r="C545" s="33"/>
      <c r="D545" s="33"/>
    </row>
    <row r="546" spans="1:4" ht="15.75" customHeight="1">
      <c r="A546" s="24"/>
      <c r="C546" s="33"/>
      <c r="D546" s="33"/>
    </row>
    <row r="547" spans="1:4" ht="15.75" customHeight="1">
      <c r="A547" s="24"/>
      <c r="C547" s="33"/>
      <c r="D547" s="33"/>
    </row>
    <row r="548" spans="1:4" ht="15.75" customHeight="1">
      <c r="A548" s="24"/>
      <c r="C548" s="33"/>
      <c r="D548" s="33"/>
    </row>
    <row r="549" spans="1:4" ht="15.75" customHeight="1">
      <c r="A549" s="24"/>
      <c r="C549" s="33"/>
      <c r="D549" s="33"/>
    </row>
    <row r="550" spans="1:4" ht="15.75" customHeight="1">
      <c r="A550" s="24"/>
      <c r="C550" s="33"/>
      <c r="D550" s="33"/>
    </row>
    <row r="551" spans="1:4" ht="15.75" customHeight="1">
      <c r="A551" s="24"/>
      <c r="C551" s="33"/>
      <c r="D551" s="33"/>
    </row>
    <row r="552" spans="1:4" ht="15.75" customHeight="1">
      <c r="A552" s="24"/>
      <c r="C552" s="33"/>
      <c r="D552" s="33"/>
    </row>
    <row r="553" spans="1:4" ht="15.75" customHeight="1">
      <c r="A553" s="24"/>
      <c r="C553" s="33"/>
      <c r="D553" s="33"/>
    </row>
    <row r="554" spans="1:4" ht="15.75" customHeight="1">
      <c r="A554" s="24"/>
      <c r="C554" s="33"/>
      <c r="D554" s="33"/>
    </row>
    <row r="555" spans="1:4" ht="15.75" customHeight="1">
      <c r="A555" s="24"/>
      <c r="C555" s="33"/>
      <c r="D555" s="33"/>
    </row>
    <row r="556" spans="1:4" ht="15.75" customHeight="1">
      <c r="A556" s="24"/>
      <c r="C556" s="33"/>
      <c r="D556" s="33"/>
    </row>
    <row r="557" spans="1:4" ht="15.75" customHeight="1">
      <c r="A557" s="24"/>
      <c r="C557" s="33"/>
      <c r="D557" s="33"/>
    </row>
    <row r="558" spans="1:4" ht="15.75" customHeight="1">
      <c r="A558" s="24"/>
      <c r="C558" s="33"/>
      <c r="D558" s="33"/>
    </row>
    <row r="559" spans="1:4" ht="15.75" customHeight="1">
      <c r="A559" s="24"/>
      <c r="C559" s="33"/>
      <c r="D559" s="33"/>
    </row>
    <row r="560" spans="1:4" ht="15.75" customHeight="1">
      <c r="A560" s="24"/>
      <c r="C560" s="33"/>
      <c r="D560" s="33"/>
    </row>
    <row r="561" spans="1:4" ht="15.75" customHeight="1">
      <c r="A561" s="24"/>
      <c r="C561" s="33"/>
      <c r="D561" s="33"/>
    </row>
    <row r="562" spans="1:4" ht="15.75" customHeight="1">
      <c r="A562" s="24"/>
      <c r="C562" s="33"/>
      <c r="D562" s="33"/>
    </row>
    <row r="563" spans="1:4" ht="15.75" customHeight="1">
      <c r="A563" s="24"/>
      <c r="C563" s="33"/>
      <c r="D563" s="33"/>
    </row>
    <row r="564" spans="1:4" ht="15.75" customHeight="1">
      <c r="A564" s="24"/>
      <c r="C564" s="33"/>
      <c r="D564" s="33"/>
    </row>
    <row r="565" spans="1:4" ht="15.75" customHeight="1">
      <c r="A565" s="24"/>
      <c r="C565" s="33"/>
      <c r="D565" s="33"/>
    </row>
    <row r="566" spans="1:4" ht="15.75" customHeight="1">
      <c r="A566" s="24"/>
      <c r="C566" s="33"/>
      <c r="D566" s="33"/>
    </row>
    <row r="567" spans="1:4" ht="15.75" customHeight="1">
      <c r="A567" s="24"/>
      <c r="C567" s="33"/>
      <c r="D567" s="33"/>
    </row>
    <row r="568" spans="1:4" ht="15.75" customHeight="1">
      <c r="A568" s="24"/>
      <c r="C568" s="33"/>
      <c r="D568" s="33"/>
    </row>
    <row r="569" spans="1:4" ht="15.75" customHeight="1">
      <c r="A569" s="24"/>
      <c r="C569" s="33"/>
      <c r="D569" s="33"/>
    </row>
    <row r="570" spans="1:4" ht="15.75" customHeight="1">
      <c r="A570" s="24"/>
      <c r="C570" s="33"/>
      <c r="D570" s="33"/>
    </row>
    <row r="571" spans="1:4" ht="15.75" customHeight="1">
      <c r="A571" s="24"/>
      <c r="C571" s="33"/>
      <c r="D571" s="33"/>
    </row>
    <row r="572" spans="1:4" ht="15.75" customHeight="1">
      <c r="A572" s="24"/>
      <c r="C572" s="33"/>
      <c r="D572" s="33"/>
    </row>
    <row r="573" spans="1:4" ht="15.75" customHeight="1">
      <c r="A573" s="24"/>
      <c r="C573" s="33"/>
      <c r="D573" s="33"/>
    </row>
    <row r="574" spans="1:4" ht="15.75" customHeight="1">
      <c r="A574" s="24"/>
      <c r="C574" s="33"/>
      <c r="D574" s="33"/>
    </row>
    <row r="575" spans="1:4" ht="15.75" customHeight="1">
      <c r="A575" s="24"/>
      <c r="C575" s="33"/>
      <c r="D575" s="33"/>
    </row>
    <row r="576" spans="1:4" ht="15.75" customHeight="1">
      <c r="A576" s="24"/>
      <c r="C576" s="33"/>
      <c r="D576" s="33"/>
    </row>
    <row r="577" spans="1:4" ht="15.75" customHeight="1">
      <c r="A577" s="24"/>
      <c r="C577" s="33"/>
      <c r="D577" s="33"/>
    </row>
    <row r="578" spans="1:4" ht="15.75" customHeight="1">
      <c r="A578" s="24"/>
      <c r="C578" s="33"/>
      <c r="D578" s="33"/>
    </row>
    <row r="579" spans="1:4" ht="15.75" customHeight="1">
      <c r="A579" s="24"/>
      <c r="C579" s="33"/>
      <c r="D579" s="33"/>
    </row>
    <row r="580" spans="1:4" ht="15.75" customHeight="1">
      <c r="A580" s="24"/>
      <c r="C580" s="33"/>
      <c r="D580" s="33"/>
    </row>
    <row r="581" spans="1:4" ht="15.75" customHeight="1">
      <c r="A581" s="24"/>
      <c r="C581" s="33"/>
      <c r="D581" s="33"/>
    </row>
    <row r="582" spans="1:4" ht="15.75" customHeight="1">
      <c r="A582" s="24"/>
      <c r="C582" s="33"/>
      <c r="D582" s="33"/>
    </row>
    <row r="583" spans="1:4" ht="15.75" customHeight="1">
      <c r="A583" s="24"/>
      <c r="C583" s="33"/>
      <c r="D583" s="33"/>
    </row>
    <row r="584" spans="1:4" ht="15.75" customHeight="1">
      <c r="A584" s="24"/>
      <c r="C584" s="33"/>
      <c r="D584" s="33"/>
    </row>
    <row r="585" spans="1:4" ht="15.75" customHeight="1">
      <c r="A585" s="24"/>
      <c r="C585" s="33"/>
      <c r="D585" s="33"/>
    </row>
    <row r="586" spans="1:4" ht="15.75" customHeight="1">
      <c r="A586" s="24"/>
      <c r="C586" s="33"/>
      <c r="D586" s="33"/>
    </row>
    <row r="587" spans="1:4" ht="15.75" customHeight="1">
      <c r="A587" s="24"/>
      <c r="C587" s="33"/>
      <c r="D587" s="33"/>
    </row>
    <row r="588" spans="1:4" ht="15.75" customHeight="1">
      <c r="A588" s="24"/>
      <c r="C588" s="33"/>
      <c r="D588" s="33"/>
    </row>
    <row r="589" spans="1:4" ht="15.75" customHeight="1">
      <c r="A589" s="24"/>
      <c r="C589" s="33"/>
      <c r="D589" s="33"/>
    </row>
    <row r="590" spans="1:4" ht="15.75" customHeight="1">
      <c r="A590" s="24"/>
      <c r="C590" s="33"/>
      <c r="D590" s="33"/>
    </row>
    <row r="591" spans="1:4" ht="15.75" customHeight="1">
      <c r="A591" s="24"/>
      <c r="C591" s="33"/>
      <c r="D591" s="33"/>
    </row>
    <row r="592" spans="1:4" ht="15.75" customHeight="1">
      <c r="A592" s="24"/>
      <c r="C592" s="33"/>
      <c r="D592" s="33"/>
    </row>
    <row r="593" spans="1:4" ht="15.75" customHeight="1">
      <c r="A593" s="24"/>
      <c r="C593" s="33"/>
      <c r="D593" s="33"/>
    </row>
    <row r="594" spans="1:4" ht="15.75" customHeight="1">
      <c r="A594" s="24"/>
      <c r="C594" s="33"/>
      <c r="D594" s="33"/>
    </row>
    <row r="595" spans="1:4" ht="15.75" customHeight="1">
      <c r="A595" s="24"/>
      <c r="C595" s="33"/>
      <c r="D595" s="33"/>
    </row>
    <row r="596" spans="1:4" ht="15.75" customHeight="1">
      <c r="A596" s="24"/>
      <c r="C596" s="33"/>
      <c r="D596" s="33"/>
    </row>
    <row r="597" spans="1:4" ht="15.75" customHeight="1">
      <c r="A597" s="24"/>
      <c r="C597" s="33"/>
      <c r="D597" s="33"/>
    </row>
    <row r="598" spans="1:4" ht="15.75" customHeight="1">
      <c r="A598" s="24"/>
      <c r="C598" s="33"/>
      <c r="D598" s="33"/>
    </row>
    <row r="599" spans="1:4" ht="15.75" customHeight="1">
      <c r="A599" s="24"/>
      <c r="C599" s="33"/>
      <c r="D599" s="33"/>
    </row>
    <row r="600" spans="1:4" ht="15.75" customHeight="1">
      <c r="A600" s="24"/>
      <c r="C600" s="33"/>
      <c r="D600" s="33"/>
    </row>
    <row r="601" spans="1:4" ht="15.75" customHeight="1">
      <c r="A601" s="24"/>
      <c r="C601" s="33"/>
      <c r="D601" s="33"/>
    </row>
    <row r="602" spans="1:4" ht="15.75" customHeight="1">
      <c r="A602" s="24"/>
      <c r="C602" s="33"/>
      <c r="D602" s="33"/>
    </row>
    <row r="603" spans="1:4" ht="15.75" customHeight="1">
      <c r="A603" s="24"/>
      <c r="C603" s="33"/>
      <c r="D603" s="33"/>
    </row>
    <row r="604" spans="1:4" ht="15.75" customHeight="1">
      <c r="A604" s="24"/>
      <c r="C604" s="33"/>
      <c r="D604" s="33"/>
    </row>
    <row r="605" spans="1:4" ht="15.75" customHeight="1">
      <c r="A605" s="24"/>
      <c r="C605" s="33"/>
      <c r="D605" s="33"/>
    </row>
    <row r="606" spans="1:4" ht="15.75" customHeight="1">
      <c r="A606" s="24"/>
      <c r="C606" s="33"/>
      <c r="D606" s="33"/>
    </row>
    <row r="607" spans="1:4" ht="15.75" customHeight="1">
      <c r="A607" s="24"/>
      <c r="C607" s="33"/>
      <c r="D607" s="33"/>
    </row>
    <row r="608" spans="1:4" ht="15.75" customHeight="1">
      <c r="A608" s="24"/>
      <c r="C608" s="33"/>
      <c r="D608" s="33"/>
    </row>
    <row r="609" spans="1:4" ht="15.75" customHeight="1">
      <c r="A609" s="24"/>
      <c r="C609" s="33"/>
      <c r="D609" s="33"/>
    </row>
    <row r="610" spans="1:4" ht="15.75" customHeight="1">
      <c r="A610" s="24"/>
      <c r="C610" s="33"/>
      <c r="D610" s="33"/>
    </row>
    <row r="611" spans="1:4" ht="15.75" customHeight="1">
      <c r="A611" s="24"/>
      <c r="C611" s="33"/>
      <c r="D611" s="33"/>
    </row>
    <row r="612" spans="1:4" ht="15.75" customHeight="1">
      <c r="A612" s="24"/>
      <c r="C612" s="33"/>
      <c r="D612" s="33"/>
    </row>
    <row r="613" spans="1:4" ht="15.75" customHeight="1">
      <c r="A613" s="24"/>
      <c r="C613" s="33"/>
      <c r="D613" s="33"/>
    </row>
    <row r="614" spans="1:4" ht="15.75" customHeight="1">
      <c r="A614" s="24"/>
      <c r="C614" s="33"/>
      <c r="D614" s="33"/>
    </row>
    <row r="615" spans="1:4" ht="15.75" customHeight="1">
      <c r="A615" s="24"/>
      <c r="C615" s="33"/>
      <c r="D615" s="33"/>
    </row>
    <row r="616" spans="1:4" ht="15.75" customHeight="1">
      <c r="A616" s="24"/>
      <c r="C616" s="33"/>
      <c r="D616" s="33"/>
    </row>
    <row r="617" spans="1:4" ht="15.75" customHeight="1">
      <c r="A617" s="24"/>
      <c r="C617" s="33"/>
      <c r="D617" s="33"/>
    </row>
    <row r="618" spans="1:4" ht="15.75" customHeight="1">
      <c r="A618" s="24"/>
      <c r="C618" s="33"/>
      <c r="D618" s="33"/>
    </row>
    <row r="619" spans="1:4" ht="15.75" customHeight="1">
      <c r="A619" s="24"/>
      <c r="C619" s="33"/>
      <c r="D619" s="33"/>
    </row>
    <row r="620" spans="1:4" ht="15.75" customHeight="1">
      <c r="A620" s="24"/>
      <c r="C620" s="33"/>
      <c r="D620" s="33"/>
    </row>
    <row r="621" spans="1:4" ht="15.75" customHeight="1">
      <c r="A621" s="24"/>
      <c r="C621" s="33"/>
      <c r="D621" s="33"/>
    </row>
    <row r="622" spans="1:4" ht="15.75" customHeight="1">
      <c r="A622" s="24"/>
      <c r="C622" s="33"/>
      <c r="D622" s="33"/>
    </row>
    <row r="623" spans="1:4" ht="15.75" customHeight="1">
      <c r="A623" s="24"/>
      <c r="C623" s="33"/>
      <c r="D623" s="33"/>
    </row>
    <row r="624" spans="1:4" ht="15.75" customHeight="1">
      <c r="A624" s="24"/>
      <c r="C624" s="33"/>
      <c r="D624" s="33"/>
    </row>
    <row r="625" spans="1:4" ht="15.75" customHeight="1">
      <c r="A625" s="24"/>
      <c r="C625" s="33"/>
      <c r="D625" s="33"/>
    </row>
    <row r="626" spans="1:4" ht="15.75" customHeight="1">
      <c r="A626" s="24"/>
      <c r="C626" s="33"/>
      <c r="D626" s="33"/>
    </row>
    <row r="627" spans="1:4" ht="15.75" customHeight="1">
      <c r="A627" s="24"/>
      <c r="C627" s="33"/>
      <c r="D627" s="33"/>
    </row>
    <row r="628" spans="1:4" ht="15.75" customHeight="1">
      <c r="A628" s="24"/>
      <c r="C628" s="33"/>
      <c r="D628" s="33"/>
    </row>
    <row r="629" spans="1:4" ht="15.75" customHeight="1">
      <c r="A629" s="24"/>
      <c r="C629" s="33"/>
      <c r="D629" s="33"/>
    </row>
    <row r="630" spans="1:4" ht="15.75" customHeight="1">
      <c r="A630" s="24"/>
      <c r="C630" s="33"/>
      <c r="D630" s="33"/>
    </row>
    <row r="631" spans="1:4" ht="15.75" customHeight="1">
      <c r="A631" s="24"/>
      <c r="C631" s="33"/>
      <c r="D631" s="33"/>
    </row>
    <row r="632" spans="1:4" ht="15.75" customHeight="1">
      <c r="A632" s="24"/>
      <c r="C632" s="33"/>
      <c r="D632" s="33"/>
    </row>
    <row r="633" spans="1:4" ht="15.75" customHeight="1">
      <c r="A633" s="24"/>
      <c r="C633" s="33"/>
      <c r="D633" s="33"/>
    </row>
    <row r="634" spans="1:4" ht="15.75" customHeight="1">
      <c r="A634" s="24"/>
      <c r="C634" s="33"/>
      <c r="D634" s="33"/>
    </row>
    <row r="635" spans="1:4" ht="15.75" customHeight="1">
      <c r="A635" s="24"/>
      <c r="C635" s="33"/>
      <c r="D635" s="33"/>
    </row>
    <row r="636" spans="1:4" ht="15.75" customHeight="1">
      <c r="A636" s="24"/>
      <c r="C636" s="33"/>
      <c r="D636" s="33"/>
    </row>
    <row r="637" spans="1:4" ht="15.75" customHeight="1">
      <c r="A637" s="24"/>
      <c r="C637" s="33"/>
      <c r="D637" s="33"/>
    </row>
    <row r="638" spans="1:4" ht="15.75" customHeight="1">
      <c r="A638" s="24"/>
      <c r="C638" s="33"/>
      <c r="D638" s="33"/>
    </row>
    <row r="639" spans="1:4" ht="15.75" customHeight="1">
      <c r="A639" s="24"/>
      <c r="C639" s="33"/>
      <c r="D639" s="33"/>
    </row>
    <row r="640" spans="1:4" ht="15.75" customHeight="1">
      <c r="A640" s="24"/>
      <c r="C640" s="33"/>
      <c r="D640" s="33"/>
    </row>
    <row r="641" spans="1:4" ht="15.75" customHeight="1">
      <c r="A641" s="24"/>
      <c r="C641" s="33"/>
      <c r="D641" s="33"/>
    </row>
    <row r="642" spans="1:4" ht="15.75" customHeight="1">
      <c r="A642" s="24"/>
      <c r="C642" s="33"/>
      <c r="D642" s="33"/>
    </row>
    <row r="643" spans="1:4" ht="15.75" customHeight="1">
      <c r="A643" s="24"/>
      <c r="C643" s="33"/>
      <c r="D643" s="33"/>
    </row>
    <row r="644" spans="1:4" ht="15.75" customHeight="1">
      <c r="A644" s="24"/>
      <c r="C644" s="33"/>
      <c r="D644" s="33"/>
    </row>
    <row r="645" spans="1:4" ht="15.75" customHeight="1">
      <c r="A645" s="24"/>
      <c r="C645" s="33"/>
      <c r="D645" s="33"/>
    </row>
    <row r="646" spans="1:4" ht="15.75" customHeight="1">
      <c r="A646" s="24"/>
      <c r="C646" s="33"/>
      <c r="D646" s="33"/>
    </row>
    <row r="647" spans="1:4" ht="15.75" customHeight="1">
      <c r="A647" s="24"/>
      <c r="C647" s="33"/>
      <c r="D647" s="33"/>
    </row>
    <row r="648" spans="1:4" ht="15.75" customHeight="1">
      <c r="A648" s="24"/>
      <c r="C648" s="33"/>
      <c r="D648" s="33"/>
    </row>
    <row r="649" spans="1:4" ht="15.75" customHeight="1">
      <c r="A649" s="24"/>
      <c r="C649" s="33"/>
      <c r="D649" s="33"/>
    </row>
    <row r="650" spans="1:4" ht="15.75" customHeight="1">
      <c r="A650" s="24"/>
      <c r="C650" s="33"/>
      <c r="D650" s="33"/>
    </row>
    <row r="651" spans="1:4" ht="15.75" customHeight="1">
      <c r="A651" s="24"/>
      <c r="C651" s="33"/>
      <c r="D651" s="33"/>
    </row>
    <row r="652" spans="1:4" ht="15.75" customHeight="1">
      <c r="A652" s="24"/>
      <c r="C652" s="33"/>
      <c r="D652" s="33"/>
    </row>
    <row r="653" spans="1:4" ht="15.75" customHeight="1">
      <c r="A653" s="24"/>
      <c r="C653" s="33"/>
      <c r="D653" s="33"/>
    </row>
    <row r="654" spans="1:4" ht="15.75" customHeight="1">
      <c r="A654" s="24"/>
      <c r="C654" s="33"/>
      <c r="D654" s="33"/>
    </row>
    <row r="655" spans="1:4" ht="15.75" customHeight="1">
      <c r="A655" s="24"/>
      <c r="C655" s="33"/>
      <c r="D655" s="33"/>
    </row>
    <row r="656" spans="1:4" ht="15.75" customHeight="1">
      <c r="A656" s="24"/>
      <c r="C656" s="33"/>
      <c r="D656" s="33"/>
    </row>
    <row r="657" spans="1:4" ht="15.75" customHeight="1">
      <c r="A657" s="24"/>
      <c r="C657" s="33"/>
      <c r="D657" s="33"/>
    </row>
    <row r="658" spans="1:4" ht="15.75" customHeight="1">
      <c r="A658" s="24"/>
      <c r="C658" s="33"/>
      <c r="D658" s="33"/>
    </row>
    <row r="659" spans="1:4" ht="15.75" customHeight="1">
      <c r="A659" s="24"/>
      <c r="C659" s="33"/>
      <c r="D659" s="33"/>
    </row>
    <row r="660" spans="1:4" ht="15.75" customHeight="1">
      <c r="A660" s="24"/>
      <c r="C660" s="33"/>
      <c r="D660" s="33"/>
    </row>
    <row r="661" spans="1:4" ht="15.75" customHeight="1">
      <c r="A661" s="24"/>
      <c r="C661" s="33"/>
      <c r="D661" s="33"/>
    </row>
    <row r="662" spans="1:4" ht="15.75" customHeight="1">
      <c r="A662" s="24"/>
      <c r="C662" s="33"/>
      <c r="D662" s="33"/>
    </row>
    <row r="663" spans="1:4" ht="15.75" customHeight="1">
      <c r="A663" s="24"/>
      <c r="C663" s="33"/>
      <c r="D663" s="33"/>
    </row>
    <row r="664" spans="1:4" ht="15.75" customHeight="1">
      <c r="A664" s="24"/>
      <c r="C664" s="33"/>
      <c r="D664" s="33"/>
    </row>
    <row r="665" spans="1:4" ht="15.75" customHeight="1">
      <c r="A665" s="24"/>
      <c r="C665" s="33"/>
      <c r="D665" s="33"/>
    </row>
    <row r="666" spans="1:4" ht="15.75" customHeight="1">
      <c r="A666" s="24"/>
      <c r="C666" s="33"/>
      <c r="D666" s="33"/>
    </row>
    <row r="667" spans="1:4" ht="15.75" customHeight="1">
      <c r="A667" s="24"/>
      <c r="C667" s="33"/>
      <c r="D667" s="33"/>
    </row>
    <row r="668" spans="1:4" ht="15.75" customHeight="1">
      <c r="A668" s="24"/>
      <c r="C668" s="33"/>
      <c r="D668" s="33"/>
    </row>
    <row r="669" spans="1:4" ht="15.75" customHeight="1">
      <c r="A669" s="24"/>
      <c r="C669" s="33"/>
      <c r="D669" s="33"/>
    </row>
    <row r="670" spans="1:4" ht="15.75" customHeight="1">
      <c r="A670" s="24"/>
      <c r="C670" s="33"/>
      <c r="D670" s="33"/>
    </row>
    <row r="671" spans="1:4" ht="15.75" customHeight="1">
      <c r="A671" s="24"/>
      <c r="C671" s="33"/>
      <c r="D671" s="33"/>
    </row>
    <row r="672" spans="1:4" ht="15.75" customHeight="1">
      <c r="A672" s="24"/>
      <c r="C672" s="33"/>
      <c r="D672" s="33"/>
    </row>
    <row r="673" spans="1:4" ht="15.75" customHeight="1">
      <c r="A673" s="24"/>
      <c r="C673" s="33"/>
      <c r="D673" s="33"/>
    </row>
    <row r="674" spans="1:4" ht="15.75" customHeight="1">
      <c r="A674" s="24"/>
      <c r="C674" s="33"/>
      <c r="D674" s="33"/>
    </row>
    <row r="675" spans="1:4" ht="15.75" customHeight="1">
      <c r="A675" s="24"/>
      <c r="C675" s="33"/>
      <c r="D675" s="33"/>
    </row>
    <row r="676" spans="1:4" ht="15.75" customHeight="1">
      <c r="A676" s="24"/>
      <c r="C676" s="33"/>
      <c r="D676" s="33"/>
    </row>
    <row r="677" spans="1:4" ht="15.75" customHeight="1">
      <c r="A677" s="24"/>
      <c r="C677" s="33"/>
      <c r="D677" s="33"/>
    </row>
    <row r="678" spans="1:4" ht="15.75" customHeight="1">
      <c r="A678" s="24"/>
      <c r="C678" s="33"/>
      <c r="D678" s="33"/>
    </row>
    <row r="679" spans="1:4" ht="15.75" customHeight="1">
      <c r="A679" s="24"/>
      <c r="C679" s="33"/>
      <c r="D679" s="33"/>
    </row>
    <row r="680" spans="1:4" ht="15.75" customHeight="1">
      <c r="A680" s="24"/>
      <c r="C680" s="33"/>
      <c r="D680" s="33"/>
    </row>
    <row r="681" spans="1:4" ht="15.75" customHeight="1">
      <c r="A681" s="24"/>
      <c r="C681" s="33"/>
      <c r="D681" s="33"/>
    </row>
    <row r="682" spans="1:4" ht="15.75" customHeight="1">
      <c r="A682" s="24"/>
      <c r="C682" s="33"/>
      <c r="D682" s="33"/>
    </row>
    <row r="683" spans="1:4" ht="15.75" customHeight="1">
      <c r="A683" s="24"/>
      <c r="C683" s="33"/>
      <c r="D683" s="33"/>
    </row>
    <row r="684" spans="1:4" ht="15.75" customHeight="1">
      <c r="A684" s="24"/>
      <c r="C684" s="33"/>
      <c r="D684" s="33"/>
    </row>
    <row r="685" spans="1:4" ht="15.75" customHeight="1">
      <c r="A685" s="24"/>
      <c r="C685" s="33"/>
      <c r="D685" s="33"/>
    </row>
    <row r="686" spans="1:4" ht="15.75" customHeight="1">
      <c r="A686" s="24"/>
      <c r="C686" s="33"/>
      <c r="D686" s="33"/>
    </row>
    <row r="687" spans="1:4" ht="15.75" customHeight="1">
      <c r="A687" s="24"/>
      <c r="C687" s="33"/>
      <c r="D687" s="33"/>
    </row>
    <row r="688" spans="1:4" ht="15.75" customHeight="1">
      <c r="A688" s="24"/>
      <c r="C688" s="33"/>
      <c r="D688" s="33"/>
    </row>
    <row r="689" spans="1:4" ht="15.75" customHeight="1">
      <c r="A689" s="24"/>
      <c r="C689" s="33"/>
      <c r="D689" s="33"/>
    </row>
    <row r="690" spans="1:4" ht="15.75" customHeight="1">
      <c r="A690" s="24"/>
      <c r="C690" s="33"/>
      <c r="D690" s="33"/>
    </row>
    <row r="691" spans="1:4" ht="15.75" customHeight="1">
      <c r="A691" s="24"/>
      <c r="C691" s="33"/>
      <c r="D691" s="33"/>
    </row>
    <row r="692" spans="1:4" ht="15.75" customHeight="1">
      <c r="A692" s="24"/>
      <c r="C692" s="33"/>
      <c r="D692" s="33"/>
    </row>
    <row r="693" spans="1:4" ht="15.75" customHeight="1">
      <c r="A693" s="24"/>
      <c r="C693" s="33"/>
      <c r="D693" s="33"/>
    </row>
    <row r="694" spans="1:4" ht="15.75" customHeight="1">
      <c r="A694" s="24"/>
      <c r="C694" s="33"/>
      <c r="D694" s="33"/>
    </row>
    <row r="695" spans="1:4" ht="15.75" customHeight="1">
      <c r="A695" s="24"/>
      <c r="C695" s="33"/>
      <c r="D695" s="33"/>
    </row>
    <row r="696" spans="1:4" ht="15.75" customHeight="1">
      <c r="A696" s="24"/>
      <c r="C696" s="33"/>
      <c r="D696" s="33"/>
    </row>
    <row r="697" spans="1:4" ht="15.75" customHeight="1">
      <c r="A697" s="24"/>
      <c r="C697" s="33"/>
      <c r="D697" s="33"/>
    </row>
    <row r="698" spans="1:4" ht="15.75" customHeight="1">
      <c r="A698" s="24"/>
      <c r="C698" s="33"/>
      <c r="D698" s="33"/>
    </row>
    <row r="699" spans="1:4" ht="15.75" customHeight="1">
      <c r="A699" s="24"/>
      <c r="C699" s="33"/>
      <c r="D699" s="33"/>
    </row>
    <row r="700" spans="1:4" ht="15.75" customHeight="1">
      <c r="A700" s="24"/>
      <c r="C700" s="33"/>
      <c r="D700" s="33"/>
    </row>
    <row r="701" spans="1:4" ht="15.75" customHeight="1">
      <c r="A701" s="24"/>
      <c r="C701" s="33"/>
      <c r="D701" s="33"/>
    </row>
    <row r="702" spans="1:4" ht="15.75" customHeight="1">
      <c r="A702" s="24"/>
      <c r="C702" s="33"/>
      <c r="D702" s="33"/>
    </row>
    <row r="703" spans="1:4" ht="15.75" customHeight="1">
      <c r="A703" s="24"/>
      <c r="C703" s="33"/>
      <c r="D703" s="33"/>
    </row>
    <row r="704" spans="1:4" ht="15.75" customHeight="1">
      <c r="A704" s="24"/>
      <c r="C704" s="33"/>
      <c r="D704" s="33"/>
    </row>
    <row r="705" spans="1:4" ht="15.75" customHeight="1">
      <c r="A705" s="24"/>
      <c r="C705" s="33"/>
      <c r="D705" s="33"/>
    </row>
    <row r="706" spans="1:4" ht="15.75" customHeight="1">
      <c r="A706" s="24"/>
      <c r="C706" s="33"/>
      <c r="D706" s="33"/>
    </row>
    <row r="707" spans="1:4" ht="15.75" customHeight="1">
      <c r="A707" s="24"/>
      <c r="C707" s="33"/>
      <c r="D707" s="33"/>
    </row>
    <row r="708" spans="1:4" ht="15.75" customHeight="1">
      <c r="A708" s="24"/>
      <c r="C708" s="33"/>
      <c r="D708" s="33"/>
    </row>
    <row r="709" spans="1:4" ht="15.75" customHeight="1">
      <c r="A709" s="24"/>
      <c r="C709" s="33"/>
      <c r="D709" s="33"/>
    </row>
    <row r="710" spans="1:4" ht="15.75" customHeight="1">
      <c r="A710" s="24"/>
      <c r="C710" s="33"/>
      <c r="D710" s="33"/>
    </row>
    <row r="711" spans="1:4" ht="15.75" customHeight="1">
      <c r="A711" s="24"/>
      <c r="C711" s="33"/>
      <c r="D711" s="33"/>
    </row>
    <row r="712" spans="1:4" ht="15.75" customHeight="1">
      <c r="A712" s="24"/>
      <c r="C712" s="33"/>
      <c r="D712" s="33"/>
    </row>
    <row r="713" spans="1:4" ht="15.75" customHeight="1">
      <c r="A713" s="24"/>
      <c r="C713" s="33"/>
      <c r="D713" s="33"/>
    </row>
    <row r="714" spans="1:4" ht="15.75" customHeight="1">
      <c r="A714" s="24"/>
      <c r="C714" s="33"/>
      <c r="D714" s="33"/>
    </row>
    <row r="715" spans="1:4" ht="15.75" customHeight="1">
      <c r="A715" s="24"/>
      <c r="C715" s="33"/>
      <c r="D715" s="33"/>
    </row>
    <row r="716" spans="1:4" ht="15.75" customHeight="1">
      <c r="A716" s="24"/>
      <c r="C716" s="33"/>
      <c r="D716" s="33"/>
    </row>
    <row r="717" spans="1:4" ht="15.75" customHeight="1">
      <c r="A717" s="24"/>
      <c r="C717" s="33"/>
      <c r="D717" s="33"/>
    </row>
    <row r="718" spans="1:4" ht="15.75" customHeight="1">
      <c r="A718" s="24"/>
      <c r="C718" s="33"/>
      <c r="D718" s="33"/>
    </row>
    <row r="719" spans="1:4" ht="15.75" customHeight="1">
      <c r="A719" s="24"/>
      <c r="C719" s="33"/>
      <c r="D719" s="33"/>
    </row>
    <row r="720" spans="1:4" ht="15.75" customHeight="1">
      <c r="A720" s="24"/>
      <c r="C720" s="33"/>
      <c r="D720" s="33"/>
    </row>
    <row r="721" spans="1:4" ht="15.75" customHeight="1">
      <c r="A721" s="24"/>
      <c r="C721" s="33"/>
      <c r="D721" s="33"/>
    </row>
    <row r="722" spans="1:4" ht="15.75" customHeight="1">
      <c r="A722" s="24"/>
      <c r="C722" s="33"/>
      <c r="D722" s="33"/>
    </row>
    <row r="723" spans="1:4" ht="15.75" customHeight="1">
      <c r="A723" s="24"/>
      <c r="C723" s="33"/>
      <c r="D723" s="33"/>
    </row>
    <row r="724" spans="1:4" ht="15.75" customHeight="1">
      <c r="A724" s="24"/>
      <c r="C724" s="33"/>
      <c r="D724" s="33"/>
    </row>
    <row r="725" spans="1:4" ht="15.75" customHeight="1">
      <c r="A725" s="24"/>
      <c r="C725" s="33"/>
      <c r="D725" s="33"/>
    </row>
    <row r="726" spans="1:4" ht="15.75" customHeight="1">
      <c r="A726" s="24"/>
      <c r="C726" s="33"/>
      <c r="D726" s="33"/>
    </row>
    <row r="727" spans="1:4" ht="15.75" customHeight="1">
      <c r="A727" s="24"/>
      <c r="C727" s="33"/>
      <c r="D727" s="33"/>
    </row>
    <row r="728" spans="1:4" ht="15.75" customHeight="1">
      <c r="A728" s="24"/>
      <c r="C728" s="33"/>
      <c r="D728" s="33"/>
    </row>
    <row r="729" spans="1:4" ht="15.75" customHeight="1">
      <c r="A729" s="24"/>
      <c r="C729" s="33"/>
      <c r="D729" s="33"/>
    </row>
    <row r="730" spans="1:4" ht="15.75" customHeight="1">
      <c r="A730" s="24"/>
      <c r="C730" s="33"/>
      <c r="D730" s="33"/>
    </row>
    <row r="731" spans="1:4" ht="15.75" customHeight="1">
      <c r="A731" s="24"/>
      <c r="C731" s="33"/>
      <c r="D731" s="33"/>
    </row>
    <row r="732" spans="1:4" ht="15.75" customHeight="1">
      <c r="A732" s="24"/>
      <c r="C732" s="33"/>
      <c r="D732" s="33"/>
    </row>
    <row r="733" spans="1:4" ht="15.75" customHeight="1">
      <c r="A733" s="24"/>
      <c r="C733" s="33"/>
      <c r="D733" s="33"/>
    </row>
    <row r="734" spans="1:4" ht="15.75" customHeight="1">
      <c r="A734" s="24"/>
      <c r="C734" s="33"/>
      <c r="D734" s="33"/>
    </row>
    <row r="735" spans="1:4" ht="15.75" customHeight="1">
      <c r="A735" s="24"/>
      <c r="C735" s="33"/>
      <c r="D735" s="33"/>
    </row>
    <row r="736" spans="1:4" ht="15.75" customHeight="1">
      <c r="A736" s="24"/>
      <c r="C736" s="33"/>
      <c r="D736" s="33"/>
    </row>
    <row r="737" spans="1:4" ht="15.75" customHeight="1">
      <c r="A737" s="24"/>
      <c r="C737" s="33"/>
      <c r="D737" s="33"/>
    </row>
    <row r="738" spans="1:4" ht="15.75" customHeight="1">
      <c r="A738" s="24"/>
      <c r="C738" s="33"/>
      <c r="D738" s="33"/>
    </row>
    <row r="739" spans="1:4" ht="15.75" customHeight="1">
      <c r="A739" s="24"/>
      <c r="C739" s="33"/>
      <c r="D739" s="33"/>
    </row>
    <row r="740" spans="1:4" ht="15.75" customHeight="1">
      <c r="A740" s="24"/>
      <c r="C740" s="33"/>
      <c r="D740" s="33"/>
    </row>
    <row r="741" spans="1:4" ht="15.75" customHeight="1">
      <c r="A741" s="24"/>
      <c r="C741" s="33"/>
      <c r="D741" s="33"/>
    </row>
    <row r="742" spans="1:4" ht="15.75" customHeight="1">
      <c r="A742" s="24"/>
      <c r="C742" s="33"/>
      <c r="D742" s="33"/>
    </row>
    <row r="743" spans="1:4" ht="15.75" customHeight="1">
      <c r="A743" s="24"/>
      <c r="C743" s="33"/>
      <c r="D743" s="33"/>
    </row>
    <row r="744" spans="1:4" ht="15.75" customHeight="1">
      <c r="A744" s="24"/>
      <c r="C744" s="33"/>
      <c r="D744" s="33"/>
    </row>
    <row r="745" spans="1:4" ht="15.75" customHeight="1">
      <c r="A745" s="24"/>
      <c r="C745" s="33"/>
      <c r="D745" s="33"/>
    </row>
    <row r="746" spans="1:4" ht="15.75" customHeight="1">
      <c r="A746" s="24"/>
      <c r="C746" s="33"/>
      <c r="D746" s="33"/>
    </row>
    <row r="747" spans="1:4" ht="15.75" customHeight="1">
      <c r="A747" s="24"/>
      <c r="C747" s="33"/>
      <c r="D747" s="33"/>
    </row>
    <row r="748" spans="1:4" ht="15.75" customHeight="1">
      <c r="A748" s="24"/>
      <c r="C748" s="33"/>
      <c r="D748" s="33"/>
    </row>
    <row r="749" spans="1:4" ht="15.75" customHeight="1">
      <c r="A749" s="24"/>
      <c r="C749" s="33"/>
      <c r="D749" s="33"/>
    </row>
    <row r="750" spans="1:4" ht="15.75" customHeight="1">
      <c r="A750" s="24"/>
      <c r="C750" s="33"/>
      <c r="D750" s="33"/>
    </row>
    <row r="751" spans="1:4" ht="15.75" customHeight="1">
      <c r="A751" s="24"/>
      <c r="C751" s="33"/>
      <c r="D751" s="33"/>
    </row>
    <row r="752" spans="1:4" ht="15.75" customHeight="1">
      <c r="A752" s="24"/>
      <c r="C752" s="33"/>
      <c r="D752" s="33"/>
    </row>
    <row r="753" spans="1:4" ht="15.75" customHeight="1">
      <c r="A753" s="24"/>
      <c r="C753" s="33"/>
      <c r="D753" s="33"/>
    </row>
    <row r="754" spans="1:4" ht="15.75" customHeight="1">
      <c r="A754" s="24"/>
      <c r="C754" s="33"/>
      <c r="D754" s="33"/>
    </row>
    <row r="755" spans="1:4" ht="15.75" customHeight="1">
      <c r="A755" s="24"/>
      <c r="C755" s="33"/>
      <c r="D755" s="33"/>
    </row>
    <row r="756" spans="1:4" ht="15.75" customHeight="1">
      <c r="A756" s="24"/>
      <c r="C756" s="33"/>
      <c r="D756" s="33"/>
    </row>
    <row r="757" spans="1:4" ht="15.75" customHeight="1">
      <c r="A757" s="24"/>
      <c r="C757" s="33"/>
      <c r="D757" s="33"/>
    </row>
    <row r="758" spans="1:4" ht="15.75" customHeight="1">
      <c r="A758" s="24"/>
      <c r="C758" s="33"/>
      <c r="D758" s="33"/>
    </row>
    <row r="759" spans="1:4" ht="15.75" customHeight="1">
      <c r="A759" s="24"/>
      <c r="C759" s="33"/>
      <c r="D759" s="33"/>
    </row>
    <row r="760" spans="1:4" ht="15.75" customHeight="1">
      <c r="A760" s="24"/>
      <c r="C760" s="33"/>
      <c r="D760" s="33"/>
    </row>
    <row r="761" spans="1:4" ht="15.75" customHeight="1">
      <c r="A761" s="24"/>
      <c r="C761" s="33"/>
      <c r="D761" s="33"/>
    </row>
    <row r="762" spans="1:4" ht="15.75" customHeight="1">
      <c r="A762" s="24"/>
      <c r="C762" s="33"/>
      <c r="D762" s="33"/>
    </row>
    <row r="763" spans="1:4" ht="15.75" customHeight="1">
      <c r="A763" s="24"/>
      <c r="C763" s="33"/>
      <c r="D763" s="33"/>
    </row>
    <row r="764" spans="1:4" ht="15.75" customHeight="1">
      <c r="A764" s="24"/>
      <c r="C764" s="33"/>
      <c r="D764" s="33"/>
    </row>
    <row r="765" spans="1:4" ht="15.75" customHeight="1">
      <c r="A765" s="24"/>
      <c r="C765" s="33"/>
      <c r="D765" s="33"/>
    </row>
    <row r="766" spans="1:4" ht="15.75" customHeight="1">
      <c r="A766" s="24"/>
      <c r="C766" s="33"/>
      <c r="D766" s="33"/>
    </row>
    <row r="767" spans="1:4" ht="15.75" customHeight="1">
      <c r="A767" s="24"/>
      <c r="C767" s="33"/>
      <c r="D767" s="33"/>
    </row>
    <row r="768" spans="1:4" ht="15.75" customHeight="1">
      <c r="A768" s="24"/>
      <c r="C768" s="33"/>
      <c r="D768" s="33"/>
    </row>
    <row r="769" spans="1:4" ht="15.75" customHeight="1">
      <c r="A769" s="24"/>
      <c r="C769" s="33"/>
      <c r="D769" s="33"/>
    </row>
    <row r="770" spans="1:4" ht="15.75" customHeight="1">
      <c r="A770" s="24"/>
      <c r="C770" s="33"/>
      <c r="D770" s="33"/>
    </row>
    <row r="771" spans="1:4" ht="15.75" customHeight="1">
      <c r="A771" s="24"/>
      <c r="C771" s="33"/>
      <c r="D771" s="33"/>
    </row>
    <row r="772" spans="1:4" ht="15.75" customHeight="1">
      <c r="A772" s="24"/>
      <c r="C772" s="33"/>
      <c r="D772" s="33"/>
    </row>
    <row r="773" spans="1:4" ht="15.75" customHeight="1">
      <c r="A773" s="24"/>
      <c r="C773" s="33"/>
      <c r="D773" s="33"/>
    </row>
    <row r="774" spans="1:4" ht="15.75" customHeight="1">
      <c r="A774" s="24"/>
      <c r="C774" s="33"/>
      <c r="D774" s="33"/>
    </row>
    <row r="775" spans="1:4" ht="15.75" customHeight="1">
      <c r="A775" s="24"/>
      <c r="C775" s="33"/>
      <c r="D775" s="33"/>
    </row>
    <row r="776" spans="1:4" ht="15.75" customHeight="1">
      <c r="A776" s="24"/>
      <c r="C776" s="33"/>
      <c r="D776" s="33"/>
    </row>
    <row r="777" spans="1:4" ht="15.75" customHeight="1">
      <c r="A777" s="24"/>
      <c r="C777" s="33"/>
      <c r="D777" s="33"/>
    </row>
    <row r="778" spans="1:4" ht="15.75" customHeight="1">
      <c r="A778" s="24"/>
      <c r="C778" s="33"/>
      <c r="D778" s="33"/>
    </row>
    <row r="779" spans="1:4" ht="15.75" customHeight="1">
      <c r="A779" s="24"/>
      <c r="C779" s="33"/>
      <c r="D779" s="33"/>
    </row>
    <row r="780" spans="1:4" ht="15.75" customHeight="1">
      <c r="A780" s="24"/>
      <c r="C780" s="33"/>
      <c r="D780" s="33"/>
    </row>
    <row r="781" spans="1:4" ht="15.75" customHeight="1">
      <c r="A781" s="24"/>
      <c r="C781" s="33"/>
      <c r="D781" s="33"/>
    </row>
    <row r="782" spans="1:4" ht="15.75" customHeight="1">
      <c r="A782" s="24"/>
      <c r="C782" s="33"/>
      <c r="D782" s="33"/>
    </row>
    <row r="783" spans="1:4" ht="15.75" customHeight="1">
      <c r="A783" s="24"/>
      <c r="C783" s="33"/>
      <c r="D783" s="33"/>
    </row>
    <row r="784" spans="1:4" ht="15.75" customHeight="1">
      <c r="A784" s="24"/>
      <c r="C784" s="33"/>
      <c r="D784" s="33"/>
    </row>
    <row r="785" spans="1:4" ht="15.75" customHeight="1">
      <c r="A785" s="24"/>
      <c r="C785" s="33"/>
      <c r="D785" s="33"/>
    </row>
    <row r="786" spans="1:4" ht="15.75" customHeight="1">
      <c r="A786" s="24"/>
      <c r="C786" s="33"/>
      <c r="D786" s="33"/>
    </row>
    <row r="787" spans="1:4" ht="15.75" customHeight="1">
      <c r="A787" s="24"/>
      <c r="C787" s="33"/>
      <c r="D787" s="33"/>
    </row>
    <row r="788" spans="1:4" ht="15.75" customHeight="1">
      <c r="A788" s="24"/>
      <c r="C788" s="33"/>
      <c r="D788" s="33"/>
    </row>
    <row r="789" spans="1:4" ht="15.75" customHeight="1">
      <c r="A789" s="24"/>
      <c r="C789" s="33"/>
      <c r="D789" s="33"/>
    </row>
    <row r="790" spans="1:4" ht="15.75" customHeight="1">
      <c r="A790" s="24"/>
      <c r="C790" s="33"/>
      <c r="D790" s="33"/>
    </row>
    <row r="791" spans="1:4" ht="15.75" customHeight="1">
      <c r="A791" s="24"/>
      <c r="C791" s="33"/>
      <c r="D791" s="33"/>
    </row>
    <row r="792" spans="1:4" ht="15.75" customHeight="1">
      <c r="A792" s="24"/>
      <c r="C792" s="33"/>
      <c r="D792" s="33"/>
    </row>
    <row r="793" spans="1:4" ht="15.75" customHeight="1">
      <c r="A793" s="24"/>
      <c r="C793" s="33"/>
      <c r="D793" s="33"/>
    </row>
    <row r="794" spans="1:4" ht="15.75" customHeight="1">
      <c r="A794" s="24"/>
      <c r="C794" s="33"/>
      <c r="D794" s="33"/>
    </row>
    <row r="795" spans="1:4" ht="15.75" customHeight="1">
      <c r="A795" s="24"/>
      <c r="C795" s="33"/>
      <c r="D795" s="33"/>
    </row>
    <row r="796" spans="1:4" ht="15.75" customHeight="1">
      <c r="A796" s="24"/>
      <c r="C796" s="33"/>
      <c r="D796" s="33"/>
    </row>
    <row r="797" spans="1:4" ht="15.75" customHeight="1">
      <c r="A797" s="24"/>
      <c r="C797" s="33"/>
      <c r="D797" s="33"/>
    </row>
    <row r="798" spans="1:4" ht="15.75" customHeight="1">
      <c r="A798" s="24"/>
      <c r="C798" s="33"/>
      <c r="D798" s="33"/>
    </row>
    <row r="799" spans="1:4" ht="15.75" customHeight="1">
      <c r="A799" s="24"/>
      <c r="C799" s="33"/>
      <c r="D799" s="33"/>
    </row>
    <row r="800" spans="1:4" ht="15.75" customHeight="1">
      <c r="A800" s="24"/>
      <c r="C800" s="33"/>
      <c r="D800" s="33"/>
    </row>
    <row r="801" spans="1:4" ht="15.75" customHeight="1">
      <c r="A801" s="24"/>
      <c r="C801" s="33"/>
      <c r="D801" s="33"/>
    </row>
    <row r="802" spans="1:4" ht="15.75" customHeight="1">
      <c r="A802" s="24"/>
      <c r="C802" s="33"/>
      <c r="D802" s="33"/>
    </row>
    <row r="803" spans="1:4" ht="15.75" customHeight="1">
      <c r="A803" s="24"/>
      <c r="C803" s="33"/>
      <c r="D803" s="33"/>
    </row>
    <row r="804" spans="1:4" ht="15.75" customHeight="1">
      <c r="A804" s="24"/>
      <c r="C804" s="33"/>
      <c r="D804" s="33"/>
    </row>
    <row r="805" spans="1:4" ht="15.75" customHeight="1">
      <c r="A805" s="24"/>
      <c r="C805" s="33"/>
      <c r="D805" s="33"/>
    </row>
    <row r="806" spans="1:4" ht="15.75" customHeight="1">
      <c r="A806" s="24"/>
      <c r="C806" s="33"/>
      <c r="D806" s="33"/>
    </row>
    <row r="807" spans="1:4" ht="15.75" customHeight="1">
      <c r="A807" s="24"/>
      <c r="C807" s="33"/>
      <c r="D807" s="33"/>
    </row>
    <row r="808" spans="1:4" ht="15.75" customHeight="1">
      <c r="A808" s="24"/>
      <c r="C808" s="33"/>
      <c r="D808" s="33"/>
    </row>
    <row r="809" spans="1:4" ht="15.75" customHeight="1">
      <c r="A809" s="24"/>
      <c r="C809" s="33"/>
      <c r="D809" s="33"/>
    </row>
    <row r="810" spans="1:4" ht="15.75" customHeight="1">
      <c r="A810" s="24"/>
      <c r="C810" s="33"/>
      <c r="D810" s="33"/>
    </row>
    <row r="811" spans="1:4" ht="15.75" customHeight="1">
      <c r="A811" s="24"/>
      <c r="C811" s="33"/>
      <c r="D811" s="33"/>
    </row>
    <row r="812" spans="1:4" ht="15.75" customHeight="1">
      <c r="A812" s="24"/>
      <c r="C812" s="33"/>
      <c r="D812" s="33"/>
    </row>
    <row r="813" spans="1:4" ht="15.75" customHeight="1">
      <c r="A813" s="24"/>
      <c r="C813" s="33"/>
      <c r="D813" s="33"/>
    </row>
    <row r="814" spans="1:4" ht="15.75" customHeight="1">
      <c r="A814" s="24"/>
      <c r="C814" s="33"/>
      <c r="D814" s="33"/>
    </row>
    <row r="815" spans="1:4" ht="15.75" customHeight="1">
      <c r="A815" s="24"/>
      <c r="C815" s="33"/>
      <c r="D815" s="33"/>
    </row>
    <row r="816" spans="1:4" ht="15.75" customHeight="1">
      <c r="A816" s="24"/>
      <c r="C816" s="33"/>
      <c r="D816" s="33"/>
    </row>
    <row r="817" spans="1:4" ht="15.75" customHeight="1">
      <c r="A817" s="24"/>
      <c r="C817" s="33"/>
      <c r="D817" s="33"/>
    </row>
    <row r="818" spans="1:4" ht="15.75" customHeight="1">
      <c r="A818" s="24"/>
      <c r="C818" s="33"/>
      <c r="D818" s="33"/>
    </row>
    <row r="819" spans="1:4" ht="15.75" customHeight="1">
      <c r="A819" s="24"/>
      <c r="C819" s="33"/>
      <c r="D819" s="33"/>
    </row>
    <row r="820" spans="1:4" ht="15.75" customHeight="1">
      <c r="A820" s="24"/>
      <c r="C820" s="33"/>
      <c r="D820" s="33"/>
    </row>
    <row r="821" spans="1:4" ht="15.75" customHeight="1">
      <c r="A821" s="24"/>
      <c r="C821" s="33"/>
      <c r="D821" s="33"/>
    </row>
    <row r="822" spans="1:4" ht="15.75" customHeight="1">
      <c r="A822" s="24"/>
      <c r="C822" s="33"/>
      <c r="D822" s="33"/>
    </row>
    <row r="823" spans="1:4" ht="15.75" customHeight="1">
      <c r="A823" s="24"/>
      <c r="C823" s="33"/>
      <c r="D823" s="33"/>
    </row>
    <row r="824" spans="1:4" ht="15.75" customHeight="1">
      <c r="A824" s="24"/>
      <c r="C824" s="33"/>
      <c r="D824" s="33"/>
    </row>
    <row r="825" spans="1:4" ht="15.75" customHeight="1">
      <c r="A825" s="24"/>
      <c r="C825" s="33"/>
      <c r="D825" s="33"/>
    </row>
    <row r="826" spans="1:4" ht="15.75" customHeight="1">
      <c r="A826" s="24"/>
      <c r="C826" s="33"/>
      <c r="D826" s="33"/>
    </row>
    <row r="827" spans="1:4" ht="15.75" customHeight="1">
      <c r="A827" s="24"/>
      <c r="C827" s="33"/>
      <c r="D827" s="33"/>
    </row>
    <row r="828" spans="1:4" ht="15.75" customHeight="1">
      <c r="A828" s="24"/>
      <c r="C828" s="33"/>
      <c r="D828" s="33"/>
    </row>
    <row r="829" spans="1:4" ht="15.75" customHeight="1">
      <c r="A829" s="24"/>
      <c r="C829" s="33"/>
      <c r="D829" s="33"/>
    </row>
    <row r="830" spans="1:4" ht="15.75" customHeight="1">
      <c r="A830" s="24"/>
      <c r="C830" s="33"/>
      <c r="D830" s="33"/>
    </row>
    <row r="831" spans="1:4" ht="15.75" customHeight="1">
      <c r="A831" s="24"/>
      <c r="C831" s="33"/>
      <c r="D831" s="33"/>
    </row>
    <row r="832" spans="1:4" ht="15.75" customHeight="1">
      <c r="A832" s="24"/>
      <c r="C832" s="33"/>
      <c r="D832" s="33"/>
    </row>
    <row r="833" spans="1:4" ht="15.75" customHeight="1">
      <c r="A833" s="24"/>
      <c r="C833" s="33"/>
      <c r="D833" s="33"/>
    </row>
    <row r="834" spans="1:4" ht="15.75" customHeight="1">
      <c r="A834" s="24"/>
      <c r="C834" s="33"/>
      <c r="D834" s="33"/>
    </row>
    <row r="835" spans="1:4" ht="15.75" customHeight="1">
      <c r="A835" s="24"/>
      <c r="C835" s="33"/>
      <c r="D835" s="33"/>
    </row>
    <row r="836" spans="1:4" ht="15.75" customHeight="1">
      <c r="A836" s="24"/>
      <c r="C836" s="33"/>
      <c r="D836" s="33"/>
    </row>
    <row r="837" spans="1:4" ht="15.75" customHeight="1">
      <c r="A837" s="24"/>
      <c r="C837" s="33"/>
      <c r="D837" s="33"/>
    </row>
    <row r="838" spans="1:4" ht="15.75" customHeight="1">
      <c r="A838" s="24"/>
      <c r="C838" s="33"/>
      <c r="D838" s="33"/>
    </row>
    <row r="839" spans="1:4" ht="15.75" customHeight="1">
      <c r="A839" s="24"/>
      <c r="C839" s="33"/>
      <c r="D839" s="33"/>
    </row>
    <row r="840" spans="1:4" ht="15.75" customHeight="1">
      <c r="A840" s="24"/>
      <c r="C840" s="33"/>
      <c r="D840" s="33"/>
    </row>
    <row r="841" spans="1:4" ht="15.75" customHeight="1">
      <c r="A841" s="24"/>
      <c r="C841" s="33"/>
      <c r="D841" s="33"/>
    </row>
    <row r="842" spans="1:4" ht="15.75" customHeight="1">
      <c r="A842" s="24"/>
      <c r="C842" s="33"/>
      <c r="D842" s="33"/>
    </row>
    <row r="843" spans="1:4" ht="15.75" customHeight="1">
      <c r="A843" s="24"/>
      <c r="C843" s="33"/>
      <c r="D843" s="33"/>
    </row>
    <row r="844" spans="1:4" ht="15.75" customHeight="1">
      <c r="A844" s="24"/>
      <c r="C844" s="33"/>
      <c r="D844" s="33"/>
    </row>
    <row r="845" spans="1:4" ht="15.75" customHeight="1">
      <c r="A845" s="24"/>
      <c r="C845" s="33"/>
      <c r="D845" s="33"/>
    </row>
    <row r="846" spans="1:4" ht="15.75" customHeight="1">
      <c r="A846" s="24"/>
      <c r="C846" s="33"/>
      <c r="D846" s="33"/>
    </row>
    <row r="847" spans="1:4" ht="15.75" customHeight="1">
      <c r="A847" s="24"/>
      <c r="C847" s="33"/>
      <c r="D847" s="33"/>
    </row>
    <row r="848" spans="1:4" ht="15.75" customHeight="1">
      <c r="A848" s="24"/>
      <c r="C848" s="33"/>
      <c r="D848" s="33"/>
    </row>
    <row r="849" spans="1:4" ht="15.75" customHeight="1">
      <c r="A849" s="24"/>
      <c r="C849" s="33"/>
      <c r="D849" s="33"/>
    </row>
    <row r="850" spans="1:4" ht="15.75" customHeight="1">
      <c r="A850" s="24"/>
      <c r="C850" s="33"/>
      <c r="D850" s="33"/>
    </row>
    <row r="851" spans="1:4" ht="15.75" customHeight="1">
      <c r="A851" s="24"/>
      <c r="C851" s="33"/>
      <c r="D851" s="33"/>
    </row>
    <row r="852" spans="1:4" ht="15.75" customHeight="1">
      <c r="A852" s="24"/>
      <c r="C852" s="33"/>
      <c r="D852" s="33"/>
    </row>
    <row r="853" spans="1:4" ht="15.75" customHeight="1">
      <c r="A853" s="24"/>
      <c r="C853" s="33"/>
      <c r="D853" s="33"/>
    </row>
    <row r="854" spans="1:4" ht="15.75" customHeight="1">
      <c r="A854" s="24"/>
      <c r="C854" s="33"/>
      <c r="D854" s="33"/>
    </row>
    <row r="855" spans="1:4" ht="15.75" customHeight="1">
      <c r="A855" s="24"/>
      <c r="C855" s="33"/>
      <c r="D855" s="33"/>
    </row>
    <row r="856" spans="1:4" ht="15.75" customHeight="1">
      <c r="A856" s="24"/>
      <c r="C856" s="33"/>
      <c r="D856" s="33"/>
    </row>
    <row r="857" spans="1:4" ht="15.75" customHeight="1">
      <c r="A857" s="24"/>
      <c r="C857" s="33"/>
      <c r="D857" s="33"/>
    </row>
    <row r="858" spans="1:4" ht="15.75" customHeight="1">
      <c r="A858" s="24"/>
      <c r="C858" s="33"/>
      <c r="D858" s="33"/>
    </row>
    <row r="859" spans="1:4" ht="15.75" customHeight="1">
      <c r="A859" s="24"/>
      <c r="C859" s="33"/>
      <c r="D859" s="33"/>
    </row>
    <row r="860" spans="1:4" ht="15.75" customHeight="1">
      <c r="A860" s="24"/>
      <c r="C860" s="33"/>
      <c r="D860" s="33"/>
    </row>
    <row r="861" spans="1:4" ht="15.75" customHeight="1">
      <c r="A861" s="24"/>
      <c r="C861" s="33"/>
      <c r="D861" s="33"/>
    </row>
    <row r="862" spans="1:4" ht="15.75" customHeight="1">
      <c r="A862" s="24"/>
      <c r="C862" s="33"/>
      <c r="D862" s="33"/>
    </row>
    <row r="863" spans="1:4" ht="15.75" customHeight="1">
      <c r="A863" s="24"/>
      <c r="C863" s="33"/>
      <c r="D863" s="33"/>
    </row>
    <row r="864" spans="1:4" ht="15.75" customHeight="1">
      <c r="A864" s="24"/>
      <c r="C864" s="33"/>
      <c r="D864" s="33"/>
    </row>
    <row r="865" spans="1:4" ht="15.75" customHeight="1">
      <c r="A865" s="24"/>
      <c r="C865" s="33"/>
      <c r="D865" s="33"/>
    </row>
    <row r="866" spans="1:4" ht="15.75" customHeight="1">
      <c r="A866" s="24"/>
      <c r="C866" s="33"/>
      <c r="D866" s="33"/>
    </row>
    <row r="867" spans="1:4" ht="15.75" customHeight="1">
      <c r="A867" s="24"/>
      <c r="C867" s="33"/>
      <c r="D867" s="33"/>
    </row>
    <row r="868" spans="1:4" ht="15.75" customHeight="1">
      <c r="A868" s="24"/>
      <c r="C868" s="33"/>
      <c r="D868" s="33"/>
    </row>
    <row r="869" spans="1:4" ht="15.75" customHeight="1">
      <c r="A869" s="24"/>
      <c r="C869" s="33"/>
      <c r="D869" s="33"/>
    </row>
    <row r="870" spans="1:4" ht="15.75" customHeight="1">
      <c r="A870" s="24"/>
      <c r="C870" s="33"/>
      <c r="D870" s="33"/>
    </row>
    <row r="871" spans="1:4" ht="15.75" customHeight="1">
      <c r="A871" s="24"/>
      <c r="C871" s="33"/>
      <c r="D871" s="33"/>
    </row>
    <row r="872" spans="1:4" ht="15.75" customHeight="1">
      <c r="A872" s="24"/>
      <c r="C872" s="33"/>
      <c r="D872" s="33"/>
    </row>
    <row r="873" spans="1:4" ht="15.75" customHeight="1">
      <c r="A873" s="24"/>
      <c r="C873" s="33"/>
      <c r="D873" s="33"/>
    </row>
    <row r="874" spans="1:4" ht="15.75" customHeight="1">
      <c r="A874" s="24"/>
      <c r="C874" s="33"/>
      <c r="D874" s="33"/>
    </row>
    <row r="875" spans="1:4" ht="15.75" customHeight="1">
      <c r="A875" s="24"/>
      <c r="C875" s="33"/>
      <c r="D875" s="33"/>
    </row>
    <row r="876" spans="1:4" ht="15.75" customHeight="1">
      <c r="A876" s="24"/>
      <c r="C876" s="33"/>
      <c r="D876" s="33"/>
    </row>
    <row r="877" spans="1:4" ht="15.75" customHeight="1">
      <c r="A877" s="24"/>
      <c r="C877" s="33"/>
      <c r="D877" s="33"/>
    </row>
    <row r="878" spans="1:4" ht="15.75" customHeight="1">
      <c r="A878" s="24"/>
      <c r="C878" s="33"/>
      <c r="D878" s="33"/>
    </row>
    <row r="879" spans="1:4" ht="15.75" customHeight="1">
      <c r="A879" s="24"/>
      <c r="C879" s="33"/>
      <c r="D879" s="33"/>
    </row>
    <row r="880" spans="1:4" ht="15.75" customHeight="1">
      <c r="A880" s="24"/>
      <c r="C880" s="33"/>
      <c r="D880" s="33"/>
    </row>
    <row r="881" spans="1:4" ht="15.75" customHeight="1">
      <c r="A881" s="24"/>
      <c r="C881" s="33"/>
      <c r="D881" s="33"/>
    </row>
    <row r="882" spans="1:4" ht="15.75" customHeight="1">
      <c r="A882" s="24"/>
      <c r="C882" s="33"/>
      <c r="D882" s="33"/>
    </row>
    <row r="883" spans="1:4" ht="15.75" customHeight="1">
      <c r="A883" s="24"/>
      <c r="C883" s="33"/>
      <c r="D883" s="33"/>
    </row>
    <row r="884" spans="1:4" ht="15.75" customHeight="1">
      <c r="A884" s="24"/>
      <c r="C884" s="33"/>
      <c r="D884" s="33"/>
    </row>
    <row r="885" spans="1:4" ht="15.75" customHeight="1">
      <c r="A885" s="24"/>
      <c r="C885" s="33"/>
      <c r="D885" s="33"/>
    </row>
    <row r="886" spans="1:4" ht="15.75" customHeight="1">
      <c r="A886" s="24"/>
      <c r="C886" s="33"/>
      <c r="D886" s="33"/>
    </row>
    <row r="887" spans="1:4" ht="15.75" customHeight="1">
      <c r="A887" s="24"/>
      <c r="C887" s="33"/>
      <c r="D887" s="33"/>
    </row>
    <row r="888" spans="1:4" ht="15.75" customHeight="1">
      <c r="A888" s="24"/>
      <c r="C888" s="33"/>
      <c r="D888" s="33"/>
    </row>
    <row r="889" spans="1:4" ht="15.75" customHeight="1">
      <c r="A889" s="24"/>
      <c r="C889" s="33"/>
      <c r="D889" s="33"/>
    </row>
    <row r="890" spans="1:4" ht="15.75" customHeight="1">
      <c r="A890" s="24"/>
      <c r="C890" s="33"/>
      <c r="D890" s="33"/>
    </row>
    <row r="891" spans="1:4" ht="15.75" customHeight="1">
      <c r="A891" s="24"/>
      <c r="C891" s="33"/>
      <c r="D891" s="33"/>
    </row>
    <row r="892" spans="1:4" ht="15.75" customHeight="1">
      <c r="A892" s="24"/>
      <c r="C892" s="33"/>
      <c r="D892" s="33"/>
    </row>
    <row r="893" spans="1:4" ht="15.75" customHeight="1">
      <c r="A893" s="24"/>
      <c r="C893" s="33"/>
      <c r="D893" s="33"/>
    </row>
    <row r="894" spans="1:4" ht="15.75" customHeight="1">
      <c r="A894" s="24"/>
      <c r="C894" s="33"/>
      <c r="D894" s="33"/>
    </row>
    <row r="895" spans="1:4" ht="15.75" customHeight="1">
      <c r="A895" s="24"/>
      <c r="C895" s="33"/>
      <c r="D895" s="33"/>
    </row>
    <row r="896" spans="1:4" ht="15.75" customHeight="1">
      <c r="A896" s="24"/>
      <c r="C896" s="33"/>
      <c r="D896" s="33"/>
    </row>
    <row r="897" spans="1:4" ht="15.75" customHeight="1">
      <c r="A897" s="24"/>
      <c r="C897" s="33"/>
      <c r="D897" s="33"/>
    </row>
    <row r="898" spans="1:4" ht="15.75" customHeight="1">
      <c r="A898" s="24"/>
      <c r="C898" s="33"/>
      <c r="D898" s="33"/>
    </row>
    <row r="899" spans="1:4" ht="15.75" customHeight="1">
      <c r="A899" s="24"/>
      <c r="C899" s="33"/>
      <c r="D899" s="33"/>
    </row>
    <row r="900" spans="1:4" ht="15.75" customHeight="1">
      <c r="A900" s="24"/>
      <c r="C900" s="33"/>
      <c r="D900" s="33"/>
    </row>
    <row r="901" spans="1:4" ht="15.75" customHeight="1">
      <c r="A901" s="24"/>
      <c r="C901" s="33"/>
      <c r="D901" s="33"/>
    </row>
    <row r="902" spans="1:4" ht="15.75" customHeight="1">
      <c r="A902" s="24"/>
      <c r="C902" s="33"/>
      <c r="D902" s="33"/>
    </row>
    <row r="903" spans="1:4" ht="15.75" customHeight="1">
      <c r="A903" s="24"/>
      <c r="C903" s="33"/>
      <c r="D903" s="33"/>
    </row>
    <row r="904" spans="1:4" ht="15.75" customHeight="1">
      <c r="A904" s="24"/>
      <c r="C904" s="33"/>
      <c r="D904" s="33"/>
    </row>
    <row r="905" spans="1:4" ht="15.75" customHeight="1">
      <c r="A905" s="24"/>
      <c r="C905" s="33"/>
      <c r="D905" s="33"/>
    </row>
    <row r="906" spans="1:4" ht="15.75" customHeight="1">
      <c r="A906" s="24"/>
      <c r="C906" s="33"/>
      <c r="D906" s="33"/>
    </row>
    <row r="907" spans="1:4" ht="15.75" customHeight="1">
      <c r="A907" s="24"/>
      <c r="C907" s="33"/>
      <c r="D907" s="33"/>
    </row>
    <row r="908" spans="1:4" ht="15.75" customHeight="1">
      <c r="A908" s="24"/>
      <c r="C908" s="33"/>
      <c r="D908" s="33"/>
    </row>
    <row r="909" spans="1:4" ht="15.75" customHeight="1">
      <c r="A909" s="24"/>
      <c r="C909" s="33"/>
      <c r="D909" s="33"/>
    </row>
    <row r="910" spans="1:4" ht="15.75" customHeight="1">
      <c r="A910" s="24"/>
      <c r="C910" s="33"/>
      <c r="D910" s="33"/>
    </row>
    <row r="911" spans="1:4" ht="15.75" customHeight="1">
      <c r="A911" s="24"/>
      <c r="C911" s="33"/>
      <c r="D911" s="33"/>
    </row>
    <row r="912" spans="1:4" ht="15.75" customHeight="1">
      <c r="A912" s="24"/>
      <c r="C912" s="33"/>
      <c r="D912" s="33"/>
    </row>
    <row r="913" spans="1:4" ht="15.75" customHeight="1">
      <c r="A913" s="24"/>
      <c r="C913" s="33"/>
      <c r="D913" s="33"/>
    </row>
    <row r="914" spans="1:4" ht="15.75" customHeight="1">
      <c r="A914" s="24"/>
      <c r="C914" s="33"/>
      <c r="D914" s="33"/>
    </row>
    <row r="915" spans="1:4" ht="15.75" customHeight="1">
      <c r="A915" s="24"/>
      <c r="C915" s="33"/>
      <c r="D915" s="33"/>
    </row>
    <row r="916" spans="1:4" ht="15.75" customHeight="1">
      <c r="A916" s="24"/>
      <c r="C916" s="33"/>
      <c r="D916" s="33"/>
    </row>
    <row r="917" spans="1:4" ht="15.75" customHeight="1">
      <c r="A917" s="24"/>
      <c r="C917" s="33"/>
      <c r="D917" s="33"/>
    </row>
    <row r="918" spans="1:4" ht="15.75" customHeight="1">
      <c r="A918" s="24"/>
      <c r="C918" s="33"/>
      <c r="D918" s="33"/>
    </row>
    <row r="919" spans="1:4" ht="15.75" customHeight="1">
      <c r="A919" s="24"/>
      <c r="C919" s="33"/>
      <c r="D919" s="33"/>
    </row>
    <row r="920" spans="1:4" ht="15.75" customHeight="1">
      <c r="A920" s="24"/>
      <c r="C920" s="33"/>
      <c r="D920" s="33"/>
    </row>
    <row r="921" spans="1:4" ht="15.75" customHeight="1">
      <c r="A921" s="24"/>
      <c r="C921" s="33"/>
      <c r="D921" s="33"/>
    </row>
    <row r="922" spans="1:4" ht="15.75" customHeight="1">
      <c r="A922" s="24"/>
      <c r="C922" s="33"/>
      <c r="D922" s="33"/>
    </row>
    <row r="923" spans="1:4" ht="15.75" customHeight="1">
      <c r="A923" s="24"/>
      <c r="C923" s="33"/>
      <c r="D923" s="33"/>
    </row>
    <row r="924" spans="1:4" ht="15.75" customHeight="1">
      <c r="A924" s="24"/>
      <c r="C924" s="33"/>
      <c r="D924" s="33"/>
    </row>
    <row r="925" spans="1:4" ht="15.75" customHeight="1">
      <c r="A925" s="24"/>
      <c r="C925" s="33"/>
      <c r="D925" s="33"/>
    </row>
    <row r="926" spans="1:4" ht="15.75" customHeight="1">
      <c r="A926" s="24"/>
      <c r="C926" s="33"/>
      <c r="D926" s="33"/>
    </row>
    <row r="927" spans="1:4" ht="15.75" customHeight="1">
      <c r="A927" s="24"/>
      <c r="C927" s="33"/>
      <c r="D927" s="33"/>
    </row>
    <row r="928" spans="1:4" ht="15.75" customHeight="1">
      <c r="A928" s="24"/>
      <c r="C928" s="33"/>
      <c r="D928" s="33"/>
    </row>
    <row r="929" spans="1:4" ht="15.75" customHeight="1">
      <c r="A929" s="24"/>
      <c r="C929" s="33"/>
      <c r="D929" s="33"/>
    </row>
    <row r="930" spans="1:4" ht="15.75" customHeight="1">
      <c r="A930" s="24"/>
      <c r="C930" s="33"/>
      <c r="D930" s="33"/>
    </row>
    <row r="931" spans="1:4" ht="15.75" customHeight="1">
      <c r="A931" s="24"/>
      <c r="C931" s="33"/>
      <c r="D931" s="33"/>
    </row>
    <row r="932" spans="1:4" ht="15.75" customHeight="1">
      <c r="A932" s="24"/>
      <c r="C932" s="33"/>
      <c r="D932" s="33"/>
    </row>
    <row r="933" spans="1:4" ht="15.75" customHeight="1">
      <c r="A933" s="24"/>
      <c r="C933" s="33"/>
      <c r="D933" s="33"/>
    </row>
    <row r="934" spans="1:4" ht="15.75" customHeight="1">
      <c r="A934" s="24"/>
      <c r="C934" s="33"/>
      <c r="D934" s="33"/>
    </row>
    <row r="935" spans="1:4" ht="15.75" customHeight="1">
      <c r="A935" s="24"/>
      <c r="C935" s="33"/>
      <c r="D935" s="33"/>
    </row>
    <row r="936" spans="1:4" ht="15.75" customHeight="1">
      <c r="A936" s="24"/>
      <c r="C936" s="33"/>
      <c r="D936" s="33"/>
    </row>
    <row r="937" spans="1:4" ht="15.75" customHeight="1">
      <c r="A937" s="24"/>
      <c r="C937" s="33"/>
      <c r="D937" s="33"/>
    </row>
    <row r="938" spans="1:4" ht="15.75" customHeight="1">
      <c r="A938" s="24"/>
      <c r="C938" s="33"/>
      <c r="D938" s="33"/>
    </row>
    <row r="939" spans="1:4" ht="15.75" customHeight="1">
      <c r="A939" s="24"/>
      <c r="C939" s="33"/>
      <c r="D939" s="33"/>
    </row>
    <row r="940" spans="1:4" ht="15.75" customHeight="1">
      <c r="A940" s="24"/>
      <c r="C940" s="33"/>
      <c r="D940" s="33"/>
    </row>
    <row r="941" spans="1:4" ht="15.75" customHeight="1">
      <c r="A941" s="24"/>
      <c r="C941" s="33"/>
      <c r="D941" s="33"/>
    </row>
    <row r="942" spans="1:4" ht="15.75" customHeight="1">
      <c r="A942" s="24"/>
      <c r="C942" s="33"/>
      <c r="D942" s="33"/>
    </row>
    <row r="943" spans="1:4" ht="15.75" customHeight="1">
      <c r="A943" s="24"/>
      <c r="C943" s="33"/>
      <c r="D943" s="33"/>
    </row>
    <row r="944" spans="1:4" ht="15.75" customHeight="1">
      <c r="A944" s="24"/>
      <c r="C944" s="33"/>
      <c r="D944" s="33"/>
    </row>
    <row r="945" spans="1:4" ht="15.75" customHeight="1">
      <c r="A945" s="24"/>
      <c r="C945" s="33"/>
      <c r="D945" s="33"/>
    </row>
    <row r="946" spans="1:4" ht="15.75" customHeight="1">
      <c r="A946" s="24"/>
      <c r="C946" s="33"/>
      <c r="D946" s="33"/>
    </row>
    <row r="947" spans="1:4" ht="15.75" customHeight="1">
      <c r="A947" s="24"/>
      <c r="C947" s="33"/>
      <c r="D947" s="33"/>
    </row>
    <row r="948" spans="1:4" ht="15.75" customHeight="1">
      <c r="A948" s="24"/>
      <c r="C948" s="33"/>
      <c r="D948" s="33"/>
    </row>
    <row r="949" spans="1:4" ht="15.75" customHeight="1">
      <c r="A949" s="24"/>
      <c r="C949" s="33"/>
      <c r="D949" s="33"/>
    </row>
    <row r="950" spans="1:4" ht="15.75" customHeight="1">
      <c r="A950" s="24"/>
      <c r="C950" s="33"/>
      <c r="D950" s="33"/>
    </row>
    <row r="951" spans="1:4" ht="15.75" customHeight="1">
      <c r="A951" s="24"/>
      <c r="C951" s="33"/>
      <c r="D951" s="33"/>
    </row>
    <row r="952" spans="1:4" ht="15.75" customHeight="1">
      <c r="A952" s="24"/>
      <c r="C952" s="33"/>
      <c r="D952" s="33"/>
    </row>
    <row r="953" spans="1:4" ht="15.75" customHeight="1">
      <c r="A953" s="24"/>
      <c r="C953" s="33"/>
      <c r="D953" s="33"/>
    </row>
    <row r="954" spans="1:4" ht="15.75" customHeight="1">
      <c r="A954" s="24"/>
      <c r="C954" s="33"/>
      <c r="D954" s="33"/>
    </row>
    <row r="955" spans="1:4" ht="15.75" customHeight="1">
      <c r="A955" s="24"/>
      <c r="C955" s="33"/>
      <c r="D955" s="33"/>
    </row>
    <row r="956" spans="1:4" ht="15.75" customHeight="1">
      <c r="A956" s="24"/>
      <c r="C956" s="33"/>
      <c r="D956" s="33"/>
    </row>
    <row r="957" spans="1:4" ht="15.75" customHeight="1">
      <c r="A957" s="24"/>
      <c r="C957" s="33"/>
      <c r="D957" s="33"/>
    </row>
    <row r="958" spans="1:4" ht="15.75" customHeight="1">
      <c r="A958" s="24"/>
      <c r="C958" s="33"/>
      <c r="D958" s="33"/>
    </row>
    <row r="959" spans="1:4" ht="15.75" customHeight="1">
      <c r="A959" s="24"/>
      <c r="C959" s="33"/>
      <c r="D959" s="33"/>
    </row>
    <row r="960" spans="1:4" ht="15.75" customHeight="1">
      <c r="A960" s="24"/>
      <c r="C960" s="33"/>
      <c r="D960" s="33"/>
    </row>
    <row r="961" spans="1:4" ht="15.75" customHeight="1">
      <c r="A961" s="24"/>
      <c r="C961" s="33"/>
      <c r="D961" s="33"/>
    </row>
    <row r="962" spans="1:4" ht="15.75" customHeight="1">
      <c r="A962" s="24"/>
      <c r="C962" s="33"/>
      <c r="D962" s="33"/>
    </row>
    <row r="963" spans="1:4" ht="15.75" customHeight="1">
      <c r="A963" s="24"/>
      <c r="C963" s="33"/>
      <c r="D963" s="33"/>
    </row>
    <row r="964" spans="1:4" ht="15.75" customHeight="1">
      <c r="A964" s="24"/>
      <c r="C964" s="33"/>
      <c r="D964" s="33"/>
    </row>
    <row r="965" spans="1:4" ht="15.75" customHeight="1">
      <c r="A965" s="24"/>
      <c r="C965" s="33"/>
      <c r="D965" s="33"/>
    </row>
    <row r="966" spans="1:4" ht="15.75" customHeight="1">
      <c r="A966" s="24"/>
      <c r="C966" s="33"/>
      <c r="D966" s="33"/>
    </row>
    <row r="967" spans="1:4" ht="15.75" customHeight="1">
      <c r="A967" s="24"/>
      <c r="C967" s="33"/>
      <c r="D967" s="33"/>
    </row>
    <row r="968" spans="1:4" ht="15.75" customHeight="1">
      <c r="A968" s="24"/>
      <c r="C968" s="33"/>
      <c r="D968" s="33"/>
    </row>
    <row r="969" spans="1:4" ht="15.75" customHeight="1">
      <c r="A969" s="24"/>
      <c r="C969" s="33"/>
      <c r="D969" s="33"/>
    </row>
    <row r="970" spans="1:4" ht="15.75" customHeight="1">
      <c r="A970" s="24"/>
      <c r="C970" s="33"/>
      <c r="D970" s="33"/>
    </row>
    <row r="971" spans="1:4" ht="15.75" customHeight="1">
      <c r="A971" s="24"/>
      <c r="C971" s="33"/>
      <c r="D971" s="33"/>
    </row>
    <row r="972" spans="1:4" ht="15.75" customHeight="1">
      <c r="A972" s="24"/>
      <c r="C972" s="33"/>
      <c r="D972" s="33"/>
    </row>
    <row r="973" spans="1:4" ht="15.75" customHeight="1">
      <c r="A973" s="24"/>
      <c r="C973" s="33"/>
      <c r="D973" s="33"/>
    </row>
    <row r="974" spans="1:4" ht="15.75" customHeight="1">
      <c r="A974" s="24"/>
      <c r="C974" s="33"/>
      <c r="D974" s="33"/>
    </row>
    <row r="975" spans="1:4" ht="15.75" customHeight="1">
      <c r="A975" s="24"/>
      <c r="C975" s="33"/>
      <c r="D975" s="33"/>
    </row>
    <row r="976" spans="1:4" ht="15.75" customHeight="1">
      <c r="A976" s="24"/>
      <c r="C976" s="33"/>
      <c r="D976" s="33"/>
    </row>
    <row r="977" spans="1:4" ht="15.75" customHeight="1">
      <c r="A977" s="24"/>
      <c r="C977" s="33"/>
      <c r="D977" s="33"/>
    </row>
    <row r="978" spans="1:4" ht="15.75" customHeight="1">
      <c r="A978" s="24"/>
      <c r="C978" s="33"/>
      <c r="D978" s="33"/>
    </row>
    <row r="979" spans="1:4" ht="15.75" customHeight="1">
      <c r="A979" s="24"/>
      <c r="C979" s="33"/>
      <c r="D979" s="33"/>
    </row>
    <row r="980" spans="1:4" ht="15.75" customHeight="1">
      <c r="A980" s="24"/>
      <c r="C980" s="33"/>
      <c r="D980" s="33"/>
    </row>
    <row r="981" spans="1:4" ht="15.75" customHeight="1">
      <c r="A981" s="24"/>
      <c r="C981" s="33"/>
      <c r="D981" s="33"/>
    </row>
    <row r="982" spans="1:4" ht="15.75" customHeight="1">
      <c r="A982" s="24"/>
      <c r="C982" s="33"/>
      <c r="D982" s="33"/>
    </row>
    <row r="983" spans="1:4" ht="15.75" customHeight="1">
      <c r="A983" s="24"/>
      <c r="C983" s="33"/>
      <c r="D983" s="33"/>
    </row>
    <row r="984" spans="1:4" ht="15.75" customHeight="1">
      <c r="A984" s="24"/>
      <c r="C984" s="33"/>
      <c r="D984" s="33"/>
    </row>
    <row r="985" spans="1:4" ht="15.75" customHeight="1">
      <c r="A985" s="24"/>
      <c r="C985" s="33"/>
      <c r="D985" s="33"/>
    </row>
    <row r="986" spans="1:4" ht="15.75" customHeight="1">
      <c r="A986" s="24"/>
      <c r="C986" s="33"/>
      <c r="D986" s="33"/>
    </row>
    <row r="987" spans="1:4" ht="15.75" customHeight="1">
      <c r="A987" s="24"/>
      <c r="C987" s="33"/>
      <c r="D987" s="33"/>
    </row>
    <row r="988" spans="1:4" ht="15.75" customHeight="1">
      <c r="A988" s="24"/>
      <c r="C988" s="33"/>
      <c r="D988" s="33"/>
    </row>
    <row r="989" spans="1:4" ht="15.75" customHeight="1">
      <c r="A989" s="24"/>
      <c r="C989" s="33"/>
      <c r="D989" s="33"/>
    </row>
    <row r="990" spans="1:4" ht="15.75" customHeight="1">
      <c r="A990" s="24"/>
      <c r="C990" s="33"/>
      <c r="D990" s="33"/>
    </row>
    <row r="991" spans="1:4" ht="15.75" customHeight="1">
      <c r="A991" s="24"/>
      <c r="C991" s="33"/>
      <c r="D991" s="33"/>
    </row>
    <row r="992" spans="1:4" ht="15.75" customHeight="1">
      <c r="A992" s="24"/>
      <c r="C992" s="33"/>
      <c r="D992" s="33"/>
    </row>
    <row r="993" spans="1:4" ht="15.75" customHeight="1">
      <c r="A993" s="24"/>
      <c r="C993" s="33"/>
      <c r="D993" s="33"/>
    </row>
    <row r="994" spans="1:4" ht="15.75" customHeight="1">
      <c r="A994" s="24"/>
      <c r="C994" s="33"/>
      <c r="D994" s="33"/>
    </row>
    <row r="995" spans="1:4" ht="15.75" customHeight="1">
      <c r="A995" s="24"/>
      <c r="C995" s="33"/>
      <c r="D995" s="33"/>
    </row>
    <row r="996" spans="1:4" ht="15.75" customHeight="1">
      <c r="A996" s="24"/>
      <c r="C996" s="33"/>
      <c r="D996" s="33"/>
    </row>
    <row r="997" spans="1:4" ht="15.75" customHeight="1">
      <c r="A997" s="24"/>
      <c r="C997" s="33"/>
      <c r="D997" s="33"/>
    </row>
    <row r="998" spans="1:4" ht="15.75" customHeight="1">
      <c r="A998" s="24"/>
      <c r="C998" s="33"/>
      <c r="D998" s="33"/>
    </row>
    <row r="999" spans="1:4" ht="15.75" customHeight="1">
      <c r="A999" s="24"/>
      <c r="C999" s="33"/>
      <c r="D999" s="33"/>
    </row>
    <row r="1000" spans="1:4" ht="15.75" customHeight="1">
      <c r="A1000" s="24"/>
      <c r="C1000" s="33"/>
      <c r="D1000" s="33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D1000"/>
  <sheetViews>
    <sheetView tabSelected="1" workbookViewId="0">
      <selection activeCell="A5" sqref="A5:XFD5"/>
    </sheetView>
  </sheetViews>
  <sheetFormatPr baseColWidth="10" defaultColWidth="12.6640625" defaultRowHeight="15" customHeight="1"/>
  <cols>
    <col min="1" max="6" width="12.6640625" customWidth="1"/>
  </cols>
  <sheetData>
    <row r="1" spans="1:4" ht="15.75" customHeight="1">
      <c r="A1" s="35" t="s">
        <v>359</v>
      </c>
      <c r="B1" s="51" t="s">
        <v>360</v>
      </c>
      <c r="C1" s="52" t="s">
        <v>357</v>
      </c>
      <c r="D1" s="52" t="s">
        <v>358</v>
      </c>
    </row>
    <row r="2" spans="1:4" ht="15.75" customHeight="1">
      <c r="A2" s="36">
        <v>1</v>
      </c>
      <c r="B2" s="51" t="s">
        <v>361</v>
      </c>
      <c r="C2" s="53"/>
      <c r="D2" s="53"/>
    </row>
    <row r="3" spans="1:4" ht="15.75" customHeight="1">
      <c r="A3" s="36">
        <v>2</v>
      </c>
      <c r="B3" s="51" t="s">
        <v>362</v>
      </c>
      <c r="C3" s="53"/>
      <c r="D3" s="53"/>
    </row>
    <row r="4" spans="1:4" ht="15.75" customHeight="1">
      <c r="A4" s="36">
        <v>3</v>
      </c>
      <c r="B4" s="51" t="s">
        <v>132</v>
      </c>
      <c r="C4" s="53"/>
      <c r="D4" s="53"/>
    </row>
    <row r="5" spans="1:4" ht="15.75" customHeight="1">
      <c r="A5" s="36">
        <v>4</v>
      </c>
      <c r="B5" s="51" t="s">
        <v>180</v>
      </c>
      <c r="C5" s="53"/>
      <c r="D5" s="53"/>
    </row>
    <row r="6" spans="1:4" ht="15.75" customHeight="1">
      <c r="A6" s="36">
        <v>5</v>
      </c>
      <c r="B6" s="51" t="s">
        <v>215</v>
      </c>
      <c r="C6" s="53"/>
      <c r="D6" s="53"/>
    </row>
    <row r="7" spans="1:4" ht="15.75" customHeight="1">
      <c r="A7" s="36">
        <v>6</v>
      </c>
      <c r="B7" s="51" t="s">
        <v>257</v>
      </c>
      <c r="C7" s="53"/>
      <c r="D7" s="53"/>
    </row>
    <row r="8" spans="1:4" ht="15.75" customHeight="1">
      <c r="A8" s="36">
        <v>7</v>
      </c>
      <c r="B8" s="51" t="s">
        <v>363</v>
      </c>
      <c r="C8" s="53"/>
      <c r="D8" s="53"/>
    </row>
    <row r="9" spans="1:4" ht="15.75" customHeight="1">
      <c r="A9" s="36">
        <v>8</v>
      </c>
      <c r="B9" s="51" t="s">
        <v>364</v>
      </c>
      <c r="C9" s="53"/>
      <c r="D9" s="53"/>
    </row>
    <row r="10" spans="1:4" ht="15.75" customHeight="1">
      <c r="A10" s="36">
        <v>9</v>
      </c>
      <c r="B10" s="51" t="s">
        <v>365</v>
      </c>
      <c r="C10" s="53"/>
      <c r="D10" s="53"/>
    </row>
    <row r="11" spans="1:4" ht="15.75" customHeight="1">
      <c r="A11" s="36">
        <v>10</v>
      </c>
      <c r="B11" s="51" t="s">
        <v>354</v>
      </c>
      <c r="C11" s="53"/>
      <c r="D11" s="53"/>
    </row>
    <row r="12" spans="1:4" ht="15.75" customHeight="1">
      <c r="A12" s="36">
        <v>11</v>
      </c>
      <c r="B12" s="51" t="s">
        <v>355</v>
      </c>
      <c r="C12" s="53"/>
      <c r="D12" s="53"/>
    </row>
    <row r="13" spans="1:4" ht="15.75" customHeight="1">
      <c r="A13" s="37"/>
      <c r="B13" s="29"/>
      <c r="C13" s="23"/>
      <c r="D13" s="23"/>
    </row>
    <row r="14" spans="1:4" ht="15.75" customHeight="1">
      <c r="A14" s="37"/>
      <c r="B14" s="29"/>
      <c r="C14" s="23"/>
      <c r="D14" s="23"/>
    </row>
    <row r="15" spans="1:4" ht="15.75" customHeight="1">
      <c r="A15" s="37"/>
      <c r="B15" s="29"/>
      <c r="C15" s="23"/>
      <c r="D15" s="23"/>
    </row>
    <row r="16" spans="1:4" ht="15.75" customHeight="1">
      <c r="A16" s="37"/>
      <c r="B16" s="29"/>
      <c r="C16" s="23"/>
      <c r="D16" s="23"/>
    </row>
    <row r="17" spans="1:4" ht="15.75" customHeight="1">
      <c r="A17" s="37"/>
      <c r="B17" s="29"/>
      <c r="C17" s="23"/>
      <c r="D17" s="23"/>
    </row>
    <row r="18" spans="1:4" ht="15.75" customHeight="1">
      <c r="A18" s="37"/>
      <c r="B18" s="29"/>
      <c r="C18" s="23"/>
      <c r="D18" s="23"/>
    </row>
    <row r="19" spans="1:4" ht="15.75" customHeight="1">
      <c r="A19" s="37"/>
      <c r="B19" s="29"/>
      <c r="C19" s="23"/>
      <c r="D19" s="23"/>
    </row>
    <row r="20" spans="1:4" ht="15.75" customHeight="1">
      <c r="A20" s="37"/>
      <c r="B20" s="29"/>
      <c r="C20" s="23"/>
      <c r="D20" s="23"/>
    </row>
    <row r="21" spans="1:4" ht="15.75" customHeight="1">
      <c r="A21" s="37"/>
      <c r="B21" s="29"/>
      <c r="C21" s="23"/>
      <c r="D21" s="23"/>
    </row>
    <row r="22" spans="1:4" ht="15.75" customHeight="1">
      <c r="A22" s="37"/>
      <c r="B22" s="29"/>
      <c r="C22" s="23"/>
      <c r="D22" s="23"/>
    </row>
    <row r="23" spans="1:4" ht="15.75" customHeight="1">
      <c r="A23" s="37"/>
      <c r="B23" s="29"/>
      <c r="C23" s="23"/>
      <c r="D23" s="23"/>
    </row>
    <row r="24" spans="1:4" ht="15.75" customHeight="1">
      <c r="A24" s="37"/>
      <c r="B24" s="29"/>
      <c r="C24" s="23"/>
      <c r="D24" s="23"/>
    </row>
    <row r="25" spans="1:4" ht="15.75" customHeight="1">
      <c r="A25" s="37"/>
      <c r="B25" s="29"/>
      <c r="C25" s="23"/>
      <c r="D25" s="23"/>
    </row>
    <row r="26" spans="1:4" ht="15.75" customHeight="1">
      <c r="A26" s="37"/>
      <c r="B26" s="29"/>
      <c r="C26" s="23"/>
      <c r="D26" s="23"/>
    </row>
    <row r="27" spans="1:4" ht="15.75" customHeight="1">
      <c r="A27" s="37"/>
      <c r="B27" s="29"/>
      <c r="C27" s="23"/>
      <c r="D27" s="23"/>
    </row>
    <row r="28" spans="1:4" ht="15.75" customHeight="1">
      <c r="A28" s="37"/>
      <c r="B28" s="29"/>
      <c r="C28" s="23"/>
      <c r="D28" s="23"/>
    </row>
    <row r="29" spans="1:4" ht="15.75" customHeight="1">
      <c r="A29" s="37"/>
      <c r="B29" s="29"/>
      <c r="C29" s="23"/>
      <c r="D29" s="23"/>
    </row>
    <row r="30" spans="1:4" ht="15.75" customHeight="1">
      <c r="A30" s="37"/>
      <c r="B30" s="29"/>
      <c r="C30" s="23"/>
      <c r="D30" s="23"/>
    </row>
    <row r="31" spans="1:4" ht="15.75" customHeight="1">
      <c r="A31" s="37"/>
      <c r="B31" s="29"/>
      <c r="C31" s="23"/>
      <c r="D31" s="23"/>
    </row>
    <row r="32" spans="1:4" ht="15.75" customHeight="1">
      <c r="A32" s="37"/>
      <c r="B32" s="29"/>
      <c r="C32" s="23"/>
      <c r="D32" s="23"/>
    </row>
    <row r="33" spans="1:4" ht="15.75" customHeight="1">
      <c r="A33" s="37"/>
      <c r="B33" s="29"/>
      <c r="C33" s="23"/>
      <c r="D33" s="23"/>
    </row>
    <row r="34" spans="1:4" ht="15.75" customHeight="1">
      <c r="A34" s="37"/>
      <c r="B34" s="29"/>
      <c r="C34" s="23"/>
      <c r="D34" s="23"/>
    </row>
    <row r="35" spans="1:4" ht="15.75" customHeight="1">
      <c r="A35" s="37"/>
      <c r="B35" s="29"/>
      <c r="C35" s="23"/>
      <c r="D35" s="23"/>
    </row>
    <row r="36" spans="1:4" ht="15.75" customHeight="1">
      <c r="A36" s="37"/>
      <c r="B36" s="29"/>
      <c r="C36" s="23"/>
      <c r="D36" s="23"/>
    </row>
    <row r="37" spans="1:4" ht="15.75" customHeight="1">
      <c r="A37" s="37"/>
      <c r="B37" s="29"/>
      <c r="C37" s="23"/>
      <c r="D37" s="23"/>
    </row>
    <row r="38" spans="1:4" ht="15.75" customHeight="1">
      <c r="A38" s="37"/>
      <c r="B38" s="29"/>
      <c r="C38" s="23"/>
      <c r="D38" s="23"/>
    </row>
    <row r="39" spans="1:4" ht="15.75" customHeight="1">
      <c r="A39" s="37"/>
      <c r="B39" s="29"/>
      <c r="C39" s="23"/>
      <c r="D39" s="23"/>
    </row>
    <row r="40" spans="1:4" ht="15.75" customHeight="1">
      <c r="A40" s="37"/>
      <c r="B40" s="29"/>
      <c r="C40" s="23"/>
      <c r="D40" s="23"/>
    </row>
    <row r="41" spans="1:4" ht="15.75" customHeight="1">
      <c r="A41" s="37"/>
      <c r="B41" s="29"/>
      <c r="C41" s="23"/>
      <c r="D41" s="23"/>
    </row>
    <row r="42" spans="1:4" ht="15.75" customHeight="1">
      <c r="A42" s="37"/>
      <c r="B42" s="29"/>
      <c r="C42" s="23"/>
      <c r="D42" s="23"/>
    </row>
    <row r="43" spans="1:4" ht="15.75" customHeight="1">
      <c r="A43" s="37"/>
      <c r="B43" s="29"/>
      <c r="C43" s="23"/>
      <c r="D43" s="23"/>
    </row>
    <row r="44" spans="1:4" ht="15.75" customHeight="1">
      <c r="A44" s="37"/>
      <c r="B44" s="29"/>
      <c r="C44" s="23"/>
      <c r="D44" s="23"/>
    </row>
    <row r="45" spans="1:4" ht="15.75" customHeight="1">
      <c r="A45" s="37"/>
      <c r="B45" s="29"/>
      <c r="C45" s="23"/>
      <c r="D45" s="23"/>
    </row>
    <row r="46" spans="1:4" ht="15.75" customHeight="1">
      <c r="A46" s="37"/>
      <c r="B46" s="29"/>
      <c r="C46" s="23"/>
      <c r="D46" s="23"/>
    </row>
    <row r="47" spans="1:4" ht="15.75" customHeight="1">
      <c r="A47" s="37"/>
      <c r="B47" s="29"/>
      <c r="C47" s="23"/>
      <c r="D47" s="23"/>
    </row>
    <row r="48" spans="1:4" ht="15.75" customHeight="1">
      <c r="A48" s="37"/>
      <c r="B48" s="29"/>
      <c r="C48" s="23"/>
      <c r="D48" s="23"/>
    </row>
    <row r="49" spans="1:4" ht="15.75" customHeight="1">
      <c r="A49" s="37"/>
      <c r="B49" s="29"/>
      <c r="C49" s="23"/>
      <c r="D49" s="23"/>
    </row>
    <row r="50" spans="1:4" ht="15.75" customHeight="1">
      <c r="A50" s="37"/>
      <c r="B50" s="29"/>
      <c r="C50" s="23"/>
      <c r="D50" s="23"/>
    </row>
    <row r="51" spans="1:4" ht="15.75" customHeight="1">
      <c r="A51" s="37"/>
      <c r="B51" s="29"/>
      <c r="C51" s="23"/>
      <c r="D51" s="23"/>
    </row>
    <row r="52" spans="1:4" ht="15.75" customHeight="1">
      <c r="A52" s="37"/>
      <c r="B52" s="29"/>
      <c r="C52" s="23"/>
      <c r="D52" s="23"/>
    </row>
    <row r="53" spans="1:4" ht="15.75" customHeight="1">
      <c r="A53" s="37"/>
      <c r="B53" s="29"/>
      <c r="C53" s="23"/>
      <c r="D53" s="23"/>
    </row>
    <row r="54" spans="1:4" ht="15.75" customHeight="1">
      <c r="A54" s="37"/>
      <c r="B54" s="29"/>
      <c r="C54" s="23"/>
      <c r="D54" s="23"/>
    </row>
    <row r="55" spans="1:4" ht="15.75" customHeight="1">
      <c r="A55" s="37"/>
      <c r="B55" s="29"/>
      <c r="C55" s="23"/>
      <c r="D55" s="23"/>
    </row>
    <row r="56" spans="1:4" ht="15.75" customHeight="1">
      <c r="A56" s="37"/>
      <c r="B56" s="29"/>
      <c r="C56" s="23"/>
      <c r="D56" s="23"/>
    </row>
    <row r="57" spans="1:4" ht="15.75" customHeight="1">
      <c r="A57" s="37"/>
      <c r="B57" s="29"/>
      <c r="C57" s="23"/>
      <c r="D57" s="23"/>
    </row>
    <row r="58" spans="1:4" ht="15.75" customHeight="1">
      <c r="A58" s="37"/>
      <c r="B58" s="29"/>
      <c r="C58" s="23"/>
      <c r="D58" s="23"/>
    </row>
    <row r="59" spans="1:4" ht="15.75" customHeight="1">
      <c r="A59" s="37"/>
      <c r="B59" s="29"/>
      <c r="C59" s="23"/>
      <c r="D59" s="23"/>
    </row>
    <row r="60" spans="1:4" ht="15.75" customHeight="1">
      <c r="A60" s="37"/>
      <c r="B60" s="29"/>
      <c r="C60" s="23"/>
      <c r="D60" s="23"/>
    </row>
    <row r="61" spans="1:4" ht="15.75" customHeight="1">
      <c r="A61" s="37"/>
      <c r="B61" s="29"/>
      <c r="C61" s="23"/>
      <c r="D61" s="23"/>
    </row>
    <row r="62" spans="1:4" ht="15.75" customHeight="1">
      <c r="A62" s="37"/>
      <c r="B62" s="29"/>
      <c r="C62" s="23"/>
      <c r="D62" s="23"/>
    </row>
    <row r="63" spans="1:4" ht="15.75" customHeight="1">
      <c r="A63" s="37"/>
      <c r="B63" s="29"/>
      <c r="C63" s="23"/>
      <c r="D63" s="23"/>
    </row>
    <row r="64" spans="1:4" ht="15.75" customHeight="1">
      <c r="A64" s="37"/>
      <c r="B64" s="29"/>
      <c r="C64" s="23"/>
      <c r="D64" s="23"/>
    </row>
    <row r="65" spans="1:4" ht="15.75" customHeight="1">
      <c r="A65" s="37"/>
      <c r="B65" s="29"/>
      <c r="C65" s="23"/>
      <c r="D65" s="23"/>
    </row>
    <row r="66" spans="1:4" ht="15.75" customHeight="1">
      <c r="A66" s="37"/>
      <c r="B66" s="29"/>
      <c r="C66" s="23"/>
      <c r="D66" s="23"/>
    </row>
    <row r="67" spans="1:4" ht="15.75" customHeight="1">
      <c r="A67" s="37"/>
      <c r="B67" s="29"/>
      <c r="C67" s="23"/>
      <c r="D67" s="23"/>
    </row>
    <row r="68" spans="1:4" ht="15.75" customHeight="1">
      <c r="A68" s="37"/>
      <c r="B68" s="29"/>
      <c r="C68" s="23"/>
      <c r="D68" s="23"/>
    </row>
    <row r="69" spans="1:4" ht="15.75" customHeight="1">
      <c r="A69" s="37"/>
      <c r="B69" s="29"/>
      <c r="C69" s="23"/>
      <c r="D69" s="23"/>
    </row>
    <row r="70" spans="1:4" ht="15.75" customHeight="1">
      <c r="A70" s="37"/>
      <c r="B70" s="29"/>
      <c r="C70" s="23"/>
      <c r="D70" s="23"/>
    </row>
    <row r="71" spans="1:4" ht="15.75" customHeight="1">
      <c r="A71" s="37"/>
      <c r="B71" s="29"/>
      <c r="C71" s="23"/>
      <c r="D71" s="23"/>
    </row>
    <row r="72" spans="1:4" ht="15.75" customHeight="1">
      <c r="A72" s="37"/>
      <c r="B72" s="29"/>
      <c r="C72" s="23"/>
      <c r="D72" s="23"/>
    </row>
    <row r="73" spans="1:4" ht="15.75" customHeight="1">
      <c r="A73" s="37"/>
      <c r="B73" s="29"/>
      <c r="C73" s="23"/>
      <c r="D73" s="23"/>
    </row>
    <row r="74" spans="1:4" ht="15.75" customHeight="1">
      <c r="A74" s="37"/>
      <c r="B74" s="29"/>
      <c r="C74" s="23"/>
      <c r="D74" s="23"/>
    </row>
    <row r="75" spans="1:4" ht="15.75" customHeight="1">
      <c r="A75" s="37"/>
      <c r="B75" s="29"/>
      <c r="C75" s="23"/>
      <c r="D75" s="23"/>
    </row>
    <row r="76" spans="1:4" ht="15.75" customHeight="1">
      <c r="A76" s="37"/>
      <c r="B76" s="29"/>
      <c r="C76" s="23"/>
      <c r="D76" s="23"/>
    </row>
    <row r="77" spans="1:4" ht="15.75" customHeight="1">
      <c r="A77" s="37"/>
      <c r="B77" s="29"/>
      <c r="C77" s="23"/>
      <c r="D77" s="23"/>
    </row>
    <row r="78" spans="1:4" ht="15.75" customHeight="1">
      <c r="A78" s="37"/>
      <c r="B78" s="29"/>
      <c r="C78" s="23"/>
      <c r="D78" s="23"/>
    </row>
    <row r="79" spans="1:4" ht="15.75" customHeight="1">
      <c r="A79" s="37"/>
      <c r="B79" s="29"/>
      <c r="C79" s="23"/>
      <c r="D79" s="23"/>
    </row>
    <row r="80" spans="1:4" ht="15.75" customHeight="1">
      <c r="A80" s="37"/>
      <c r="B80" s="29"/>
      <c r="C80" s="23"/>
      <c r="D80" s="23"/>
    </row>
    <row r="81" spans="1:4" ht="15.75" customHeight="1">
      <c r="A81" s="37"/>
      <c r="B81" s="29"/>
      <c r="C81" s="23"/>
      <c r="D81" s="23"/>
    </row>
    <row r="82" spans="1:4" ht="15.75" customHeight="1">
      <c r="A82" s="37"/>
      <c r="B82" s="29"/>
      <c r="C82" s="23"/>
      <c r="D82" s="23"/>
    </row>
    <row r="83" spans="1:4" ht="15.75" customHeight="1">
      <c r="A83" s="37"/>
      <c r="B83" s="29"/>
      <c r="C83" s="23"/>
      <c r="D83" s="23"/>
    </row>
    <row r="84" spans="1:4" ht="15.75" customHeight="1">
      <c r="A84" s="37"/>
      <c r="B84" s="29"/>
      <c r="C84" s="23"/>
      <c r="D84" s="23"/>
    </row>
    <row r="85" spans="1:4" ht="15.75" customHeight="1">
      <c r="A85" s="37"/>
      <c r="B85" s="29"/>
      <c r="C85" s="23"/>
      <c r="D85" s="23"/>
    </row>
    <row r="86" spans="1:4" ht="15.75" customHeight="1">
      <c r="A86" s="37"/>
      <c r="B86" s="29"/>
      <c r="C86" s="23"/>
      <c r="D86" s="23"/>
    </row>
    <row r="87" spans="1:4" ht="15.75" customHeight="1">
      <c r="A87" s="37"/>
      <c r="B87" s="29"/>
      <c r="C87" s="23"/>
      <c r="D87" s="23"/>
    </row>
    <row r="88" spans="1:4" ht="15.75" customHeight="1">
      <c r="A88" s="37"/>
      <c r="B88" s="29"/>
      <c r="C88" s="23"/>
      <c r="D88" s="23"/>
    </row>
    <row r="89" spans="1:4" ht="15.75" customHeight="1">
      <c r="A89" s="37"/>
      <c r="B89" s="29"/>
      <c r="C89" s="23"/>
      <c r="D89" s="23"/>
    </row>
    <row r="90" spans="1:4" ht="15.75" customHeight="1">
      <c r="A90" s="37"/>
      <c r="B90" s="29"/>
      <c r="C90" s="23"/>
      <c r="D90" s="23"/>
    </row>
    <row r="91" spans="1:4" ht="15.75" customHeight="1">
      <c r="A91" s="37"/>
      <c r="B91" s="29"/>
      <c r="C91" s="23"/>
      <c r="D91" s="23"/>
    </row>
    <row r="92" spans="1:4" ht="15.75" customHeight="1">
      <c r="A92" s="37"/>
      <c r="B92" s="29"/>
      <c r="C92" s="23"/>
      <c r="D92" s="23"/>
    </row>
    <row r="93" spans="1:4" ht="15.75" customHeight="1">
      <c r="A93" s="37"/>
      <c r="B93" s="29"/>
      <c r="C93" s="23"/>
      <c r="D93" s="23"/>
    </row>
    <row r="94" spans="1:4" ht="15.75" customHeight="1">
      <c r="A94" s="37"/>
      <c r="B94" s="29"/>
      <c r="C94" s="23"/>
      <c r="D94" s="23"/>
    </row>
    <row r="95" spans="1:4" ht="15.75" customHeight="1">
      <c r="A95" s="37"/>
      <c r="B95" s="29"/>
      <c r="C95" s="23"/>
      <c r="D95" s="23"/>
    </row>
    <row r="96" spans="1:4" ht="15.75" customHeight="1">
      <c r="A96" s="37"/>
      <c r="B96" s="29"/>
      <c r="C96" s="23"/>
      <c r="D96" s="23"/>
    </row>
    <row r="97" spans="1:4" ht="15.75" customHeight="1">
      <c r="A97" s="37"/>
      <c r="B97" s="29"/>
      <c r="C97" s="23"/>
      <c r="D97" s="23"/>
    </row>
    <row r="98" spans="1:4" ht="15.75" customHeight="1">
      <c r="A98" s="37"/>
      <c r="B98" s="29"/>
      <c r="C98" s="23"/>
      <c r="D98" s="23"/>
    </row>
    <row r="99" spans="1:4" ht="15.75" customHeight="1">
      <c r="A99" s="37"/>
      <c r="B99" s="29"/>
      <c r="C99" s="23"/>
      <c r="D99" s="23"/>
    </row>
    <row r="100" spans="1:4" ht="15.75" customHeight="1">
      <c r="A100" s="37"/>
      <c r="B100" s="29"/>
      <c r="C100" s="23"/>
      <c r="D100" s="23"/>
    </row>
    <row r="101" spans="1:4" ht="15.75" customHeight="1">
      <c r="A101" s="37"/>
      <c r="B101" s="29"/>
      <c r="C101" s="23"/>
      <c r="D101" s="23"/>
    </row>
    <row r="102" spans="1:4" ht="15.75" customHeight="1">
      <c r="A102" s="37"/>
      <c r="B102" s="29"/>
      <c r="C102" s="23"/>
      <c r="D102" s="23"/>
    </row>
    <row r="103" spans="1:4" ht="15.75" customHeight="1">
      <c r="A103" s="37"/>
      <c r="B103" s="29"/>
      <c r="C103" s="23"/>
      <c r="D103" s="23"/>
    </row>
    <row r="104" spans="1:4" ht="15.75" customHeight="1">
      <c r="A104" s="37"/>
      <c r="B104" s="29"/>
      <c r="C104" s="23"/>
      <c r="D104" s="23"/>
    </row>
    <row r="105" spans="1:4" ht="15.75" customHeight="1">
      <c r="A105" s="37"/>
      <c r="B105" s="29"/>
      <c r="C105" s="23"/>
      <c r="D105" s="23"/>
    </row>
    <row r="106" spans="1:4" ht="15.75" customHeight="1">
      <c r="A106" s="37"/>
      <c r="B106" s="29"/>
      <c r="C106" s="23"/>
      <c r="D106" s="23"/>
    </row>
    <row r="107" spans="1:4" ht="15.75" customHeight="1">
      <c r="A107" s="37"/>
      <c r="B107" s="29"/>
      <c r="C107" s="23"/>
      <c r="D107" s="23"/>
    </row>
    <row r="108" spans="1:4" ht="15.75" customHeight="1">
      <c r="A108" s="37"/>
      <c r="B108" s="29"/>
      <c r="C108" s="23"/>
      <c r="D108" s="23"/>
    </row>
    <row r="109" spans="1:4" ht="15.75" customHeight="1">
      <c r="A109" s="37"/>
      <c r="B109" s="29"/>
      <c r="C109" s="23"/>
      <c r="D109" s="23"/>
    </row>
    <row r="110" spans="1:4" ht="15.75" customHeight="1">
      <c r="A110" s="37"/>
      <c r="B110" s="29"/>
      <c r="C110" s="23"/>
      <c r="D110" s="23"/>
    </row>
    <row r="111" spans="1:4" ht="15.75" customHeight="1">
      <c r="A111" s="37"/>
      <c r="B111" s="29"/>
      <c r="C111" s="23"/>
      <c r="D111" s="23"/>
    </row>
    <row r="112" spans="1:4" ht="15.75" customHeight="1">
      <c r="A112" s="37"/>
      <c r="B112" s="29"/>
      <c r="C112" s="23"/>
      <c r="D112" s="23"/>
    </row>
    <row r="113" spans="1:4" ht="15.75" customHeight="1">
      <c r="A113" s="37"/>
      <c r="B113" s="29"/>
      <c r="C113" s="23"/>
      <c r="D113" s="23"/>
    </row>
    <row r="114" spans="1:4" ht="15.75" customHeight="1">
      <c r="A114" s="37"/>
      <c r="B114" s="29"/>
      <c r="C114" s="23"/>
      <c r="D114" s="23"/>
    </row>
    <row r="115" spans="1:4" ht="15.75" customHeight="1">
      <c r="A115" s="37"/>
      <c r="B115" s="29"/>
      <c r="C115" s="23"/>
      <c r="D115" s="23"/>
    </row>
    <row r="116" spans="1:4" ht="15.75" customHeight="1">
      <c r="A116" s="37"/>
      <c r="B116" s="29"/>
      <c r="C116" s="23"/>
      <c r="D116" s="23"/>
    </row>
    <row r="117" spans="1:4" ht="15.75" customHeight="1">
      <c r="A117" s="37"/>
      <c r="B117" s="29"/>
      <c r="C117" s="23"/>
      <c r="D117" s="23"/>
    </row>
    <row r="118" spans="1:4" ht="15.75" customHeight="1">
      <c r="A118" s="37"/>
      <c r="B118" s="29"/>
      <c r="C118" s="23"/>
      <c r="D118" s="23"/>
    </row>
    <row r="119" spans="1:4" ht="15.75" customHeight="1">
      <c r="A119" s="37"/>
      <c r="B119" s="29"/>
      <c r="C119" s="23"/>
      <c r="D119" s="23"/>
    </row>
    <row r="120" spans="1:4" ht="15.75" customHeight="1">
      <c r="A120" s="37"/>
      <c r="B120" s="29"/>
      <c r="C120" s="23"/>
      <c r="D120" s="23"/>
    </row>
    <row r="121" spans="1:4" ht="15.75" customHeight="1">
      <c r="A121" s="37"/>
      <c r="B121" s="29"/>
      <c r="C121" s="23"/>
      <c r="D121" s="23"/>
    </row>
    <row r="122" spans="1:4" ht="15.75" customHeight="1">
      <c r="A122" s="37"/>
      <c r="B122" s="29"/>
      <c r="C122" s="23"/>
      <c r="D122" s="23"/>
    </row>
    <row r="123" spans="1:4" ht="15.75" customHeight="1">
      <c r="A123" s="37"/>
      <c r="B123" s="29"/>
      <c r="C123" s="23"/>
      <c r="D123" s="23"/>
    </row>
    <row r="124" spans="1:4" ht="15.75" customHeight="1">
      <c r="A124" s="37"/>
      <c r="B124" s="29"/>
      <c r="C124" s="23"/>
      <c r="D124" s="23"/>
    </row>
    <row r="125" spans="1:4" ht="15.75" customHeight="1">
      <c r="A125" s="37"/>
      <c r="B125" s="29"/>
      <c r="C125" s="23"/>
      <c r="D125" s="23"/>
    </row>
    <row r="126" spans="1:4" ht="15.75" customHeight="1">
      <c r="A126" s="37"/>
      <c r="B126" s="29"/>
      <c r="C126" s="23"/>
      <c r="D126" s="23"/>
    </row>
    <row r="127" spans="1:4" ht="15.75" customHeight="1">
      <c r="A127" s="37"/>
      <c r="B127" s="29"/>
      <c r="C127" s="23"/>
      <c r="D127" s="23"/>
    </row>
    <row r="128" spans="1:4" ht="15.75" customHeight="1">
      <c r="A128" s="37"/>
      <c r="B128" s="29"/>
      <c r="C128" s="23"/>
      <c r="D128" s="23"/>
    </row>
    <row r="129" spans="1:4" ht="15.75" customHeight="1">
      <c r="A129" s="37"/>
      <c r="B129" s="29"/>
      <c r="C129" s="23"/>
      <c r="D129" s="23"/>
    </row>
    <row r="130" spans="1:4" ht="15.75" customHeight="1">
      <c r="A130" s="37"/>
      <c r="B130" s="29"/>
      <c r="C130" s="23"/>
      <c r="D130" s="23"/>
    </row>
    <row r="131" spans="1:4" ht="15.75" customHeight="1">
      <c r="A131" s="37"/>
      <c r="B131" s="29"/>
      <c r="C131" s="23"/>
      <c r="D131" s="23"/>
    </row>
    <row r="132" spans="1:4" ht="15.75" customHeight="1">
      <c r="A132" s="37"/>
      <c r="B132" s="29"/>
      <c r="C132" s="23"/>
      <c r="D132" s="23"/>
    </row>
    <row r="133" spans="1:4" ht="15.75" customHeight="1">
      <c r="A133" s="37"/>
      <c r="B133" s="29"/>
      <c r="C133" s="23"/>
      <c r="D133" s="23"/>
    </row>
    <row r="134" spans="1:4" ht="15.75" customHeight="1">
      <c r="A134" s="37"/>
      <c r="B134" s="29"/>
      <c r="C134" s="23"/>
      <c r="D134" s="23"/>
    </row>
    <row r="135" spans="1:4" ht="15.75" customHeight="1">
      <c r="A135" s="37"/>
      <c r="B135" s="29"/>
      <c r="C135" s="23"/>
      <c r="D135" s="23"/>
    </row>
    <row r="136" spans="1:4" ht="15.75" customHeight="1">
      <c r="A136" s="37"/>
      <c r="B136" s="29"/>
      <c r="C136" s="23"/>
      <c r="D136" s="23"/>
    </row>
    <row r="137" spans="1:4" ht="15.75" customHeight="1">
      <c r="A137" s="37"/>
      <c r="B137" s="29"/>
      <c r="C137" s="23"/>
      <c r="D137" s="23"/>
    </row>
    <row r="138" spans="1:4" ht="15.75" customHeight="1">
      <c r="A138" s="37"/>
      <c r="B138" s="29"/>
      <c r="C138" s="23"/>
      <c r="D138" s="23"/>
    </row>
    <row r="139" spans="1:4" ht="15.75" customHeight="1">
      <c r="A139" s="37"/>
      <c r="B139" s="29"/>
      <c r="C139" s="23"/>
      <c r="D139" s="23"/>
    </row>
    <row r="140" spans="1:4" ht="15.75" customHeight="1">
      <c r="A140" s="37"/>
      <c r="B140" s="29"/>
      <c r="C140" s="23"/>
      <c r="D140" s="23"/>
    </row>
    <row r="141" spans="1:4" ht="15.75" customHeight="1">
      <c r="A141" s="37"/>
      <c r="B141" s="29"/>
      <c r="C141" s="23"/>
      <c r="D141" s="23"/>
    </row>
    <row r="142" spans="1:4" ht="15.75" customHeight="1">
      <c r="A142" s="37"/>
      <c r="B142" s="29"/>
      <c r="C142" s="23"/>
      <c r="D142" s="23"/>
    </row>
    <row r="143" spans="1:4" ht="15.75" customHeight="1">
      <c r="A143" s="37"/>
      <c r="B143" s="29"/>
      <c r="C143" s="23"/>
      <c r="D143" s="23"/>
    </row>
    <row r="144" spans="1:4" ht="15.75" customHeight="1">
      <c r="A144" s="37"/>
      <c r="B144" s="29"/>
      <c r="C144" s="23"/>
      <c r="D144" s="23"/>
    </row>
    <row r="145" spans="1:4" ht="15.75" customHeight="1">
      <c r="A145" s="37"/>
      <c r="B145" s="29"/>
      <c r="C145" s="23"/>
      <c r="D145" s="23"/>
    </row>
    <row r="146" spans="1:4" ht="15.75" customHeight="1">
      <c r="A146" s="37"/>
      <c r="B146" s="29"/>
      <c r="C146" s="23"/>
      <c r="D146" s="23"/>
    </row>
    <row r="147" spans="1:4" ht="15.75" customHeight="1">
      <c r="A147" s="37"/>
      <c r="B147" s="29"/>
      <c r="C147" s="23"/>
      <c r="D147" s="23"/>
    </row>
    <row r="148" spans="1:4" ht="15.75" customHeight="1">
      <c r="A148" s="37"/>
      <c r="B148" s="29"/>
      <c r="C148" s="23"/>
      <c r="D148" s="23"/>
    </row>
    <row r="149" spans="1:4" ht="15.75" customHeight="1">
      <c r="A149" s="37"/>
      <c r="B149" s="29"/>
      <c r="C149" s="23"/>
      <c r="D149" s="23"/>
    </row>
    <row r="150" spans="1:4" ht="15.75" customHeight="1">
      <c r="A150" s="37"/>
      <c r="B150" s="29"/>
      <c r="C150" s="23"/>
      <c r="D150" s="23"/>
    </row>
    <row r="151" spans="1:4" ht="15.75" customHeight="1">
      <c r="A151" s="37"/>
      <c r="B151" s="29"/>
      <c r="C151" s="23"/>
      <c r="D151" s="23"/>
    </row>
    <row r="152" spans="1:4" ht="15.75" customHeight="1">
      <c r="A152" s="37"/>
      <c r="B152" s="29"/>
      <c r="C152" s="23"/>
      <c r="D152" s="23"/>
    </row>
    <row r="153" spans="1:4" ht="15.75" customHeight="1">
      <c r="A153" s="37"/>
      <c r="B153" s="29"/>
      <c r="C153" s="23"/>
      <c r="D153" s="23"/>
    </row>
    <row r="154" spans="1:4" ht="15.75" customHeight="1">
      <c r="A154" s="37"/>
      <c r="B154" s="29"/>
      <c r="C154" s="23"/>
      <c r="D154" s="23"/>
    </row>
    <row r="155" spans="1:4" ht="15.75" customHeight="1">
      <c r="A155" s="37"/>
      <c r="B155" s="29"/>
      <c r="C155" s="23"/>
      <c r="D155" s="23"/>
    </row>
    <row r="156" spans="1:4" ht="15.75" customHeight="1">
      <c r="A156" s="37"/>
      <c r="B156" s="29"/>
      <c r="C156" s="23"/>
      <c r="D156" s="23"/>
    </row>
    <row r="157" spans="1:4" ht="15.75" customHeight="1">
      <c r="A157" s="37"/>
      <c r="B157" s="29"/>
      <c r="C157" s="23"/>
      <c r="D157" s="23"/>
    </row>
    <row r="158" spans="1:4" ht="15.75" customHeight="1">
      <c r="A158" s="37"/>
      <c r="B158" s="29"/>
      <c r="C158" s="23"/>
      <c r="D158" s="23"/>
    </row>
    <row r="159" spans="1:4" ht="15.75" customHeight="1">
      <c r="A159" s="37"/>
      <c r="B159" s="29"/>
      <c r="C159" s="23"/>
      <c r="D159" s="23"/>
    </row>
    <row r="160" spans="1:4" ht="15.75" customHeight="1">
      <c r="A160" s="37"/>
      <c r="B160" s="29"/>
      <c r="C160" s="23"/>
      <c r="D160" s="23"/>
    </row>
    <row r="161" spans="1:4" ht="15.75" customHeight="1">
      <c r="A161" s="37"/>
      <c r="B161" s="29"/>
      <c r="C161" s="23"/>
      <c r="D161" s="23"/>
    </row>
    <row r="162" spans="1:4" ht="15.75" customHeight="1">
      <c r="A162" s="37"/>
      <c r="B162" s="29"/>
      <c r="C162" s="23"/>
      <c r="D162" s="23"/>
    </row>
    <row r="163" spans="1:4" ht="15.75" customHeight="1">
      <c r="A163" s="37"/>
      <c r="B163" s="29"/>
      <c r="C163" s="23"/>
      <c r="D163" s="23"/>
    </row>
    <row r="164" spans="1:4" ht="15.75" customHeight="1">
      <c r="A164" s="37"/>
      <c r="B164" s="29"/>
      <c r="C164" s="23"/>
      <c r="D164" s="23"/>
    </row>
    <row r="165" spans="1:4" ht="15.75" customHeight="1">
      <c r="A165" s="37"/>
      <c r="B165" s="29"/>
      <c r="C165" s="23"/>
      <c r="D165" s="23"/>
    </row>
    <row r="166" spans="1:4" ht="15.75" customHeight="1">
      <c r="A166" s="37"/>
      <c r="B166" s="29"/>
      <c r="C166" s="23"/>
      <c r="D166" s="23"/>
    </row>
    <row r="167" spans="1:4" ht="15.75" customHeight="1">
      <c r="A167" s="37"/>
      <c r="B167" s="29"/>
      <c r="C167" s="23"/>
      <c r="D167" s="23"/>
    </row>
    <row r="168" spans="1:4" ht="15.75" customHeight="1">
      <c r="A168" s="37"/>
      <c r="B168" s="29"/>
      <c r="C168" s="23"/>
      <c r="D168" s="23"/>
    </row>
    <row r="169" spans="1:4" ht="15.75" customHeight="1">
      <c r="A169" s="37"/>
      <c r="B169" s="29"/>
      <c r="C169" s="23"/>
      <c r="D169" s="23"/>
    </row>
    <row r="170" spans="1:4" ht="15.75" customHeight="1">
      <c r="A170" s="37"/>
      <c r="B170" s="29"/>
      <c r="C170" s="23"/>
      <c r="D170" s="23"/>
    </row>
    <row r="171" spans="1:4" ht="15.75" customHeight="1">
      <c r="A171" s="37"/>
      <c r="B171" s="29"/>
      <c r="C171" s="23"/>
      <c r="D171" s="23"/>
    </row>
    <row r="172" spans="1:4" ht="15.75" customHeight="1">
      <c r="A172" s="37"/>
      <c r="B172" s="29"/>
      <c r="C172" s="23"/>
      <c r="D172" s="23"/>
    </row>
    <row r="173" spans="1:4" ht="15.75" customHeight="1">
      <c r="A173" s="37"/>
      <c r="B173" s="29"/>
      <c r="C173" s="23"/>
      <c r="D173" s="23"/>
    </row>
    <row r="174" spans="1:4" ht="15.75" customHeight="1">
      <c r="A174" s="37"/>
      <c r="B174" s="29"/>
      <c r="C174" s="23"/>
      <c r="D174" s="23"/>
    </row>
    <row r="175" spans="1:4" ht="15.75" customHeight="1">
      <c r="A175" s="37"/>
      <c r="B175" s="29"/>
      <c r="C175" s="23"/>
      <c r="D175" s="23"/>
    </row>
    <row r="176" spans="1:4" ht="15.75" customHeight="1">
      <c r="A176" s="37"/>
      <c r="B176" s="29"/>
      <c r="C176" s="23"/>
      <c r="D176" s="23"/>
    </row>
    <row r="177" spans="1:4" ht="15.75" customHeight="1">
      <c r="A177" s="37"/>
      <c r="B177" s="29"/>
      <c r="C177" s="23"/>
      <c r="D177" s="23"/>
    </row>
    <row r="178" spans="1:4" ht="15.75" customHeight="1">
      <c r="A178" s="37"/>
      <c r="B178" s="29"/>
      <c r="C178" s="23"/>
      <c r="D178" s="23"/>
    </row>
    <row r="179" spans="1:4" ht="15.75" customHeight="1">
      <c r="A179" s="37"/>
      <c r="B179" s="29"/>
      <c r="C179" s="23"/>
      <c r="D179" s="23"/>
    </row>
    <row r="180" spans="1:4" ht="15.75" customHeight="1">
      <c r="A180" s="37"/>
      <c r="B180" s="29"/>
      <c r="C180" s="23"/>
      <c r="D180" s="23"/>
    </row>
    <row r="181" spans="1:4" ht="15.75" customHeight="1">
      <c r="A181" s="37"/>
      <c r="B181" s="29"/>
      <c r="C181" s="23"/>
      <c r="D181" s="23"/>
    </row>
    <row r="182" spans="1:4" ht="15.75" customHeight="1">
      <c r="A182" s="37"/>
      <c r="B182" s="29"/>
      <c r="C182" s="23"/>
      <c r="D182" s="23"/>
    </row>
    <row r="183" spans="1:4" ht="15.75" customHeight="1">
      <c r="A183" s="37"/>
      <c r="B183" s="29"/>
      <c r="C183" s="23"/>
      <c r="D183" s="23"/>
    </row>
    <row r="184" spans="1:4" ht="15.75" customHeight="1">
      <c r="A184" s="37"/>
      <c r="B184" s="29"/>
      <c r="C184" s="23"/>
      <c r="D184" s="23"/>
    </row>
    <row r="185" spans="1:4" ht="15.75" customHeight="1">
      <c r="A185" s="37"/>
      <c r="B185" s="29"/>
      <c r="C185" s="23"/>
      <c r="D185" s="23"/>
    </row>
    <row r="186" spans="1:4" ht="15.75" customHeight="1">
      <c r="A186" s="37"/>
      <c r="B186" s="29"/>
      <c r="C186" s="23"/>
      <c r="D186" s="23"/>
    </row>
    <row r="187" spans="1:4" ht="15.75" customHeight="1">
      <c r="A187" s="37"/>
      <c r="B187" s="29"/>
      <c r="C187" s="23"/>
      <c r="D187" s="23"/>
    </row>
    <row r="188" spans="1:4" ht="15.75" customHeight="1">
      <c r="A188" s="37"/>
      <c r="B188" s="29"/>
      <c r="C188" s="23"/>
      <c r="D188" s="23"/>
    </row>
    <row r="189" spans="1:4" ht="15.75" customHeight="1">
      <c r="A189" s="37"/>
      <c r="B189" s="29"/>
      <c r="C189" s="23"/>
      <c r="D189" s="23"/>
    </row>
    <row r="190" spans="1:4" ht="15.75" customHeight="1">
      <c r="A190" s="37"/>
      <c r="B190" s="29"/>
      <c r="C190" s="23"/>
      <c r="D190" s="23"/>
    </row>
    <row r="191" spans="1:4" ht="15.75" customHeight="1">
      <c r="A191" s="37"/>
      <c r="B191" s="29"/>
      <c r="C191" s="23"/>
      <c r="D191" s="23"/>
    </row>
    <row r="192" spans="1:4" ht="15.75" customHeight="1">
      <c r="A192" s="37"/>
      <c r="B192" s="29"/>
      <c r="C192" s="23"/>
      <c r="D192" s="23"/>
    </row>
    <row r="193" spans="1:4" ht="15.75" customHeight="1">
      <c r="A193" s="37"/>
      <c r="B193" s="29"/>
      <c r="C193" s="23"/>
      <c r="D193" s="23"/>
    </row>
    <row r="194" spans="1:4" ht="15.75" customHeight="1">
      <c r="A194" s="37"/>
      <c r="B194" s="29"/>
      <c r="C194" s="23"/>
      <c r="D194" s="23"/>
    </row>
    <row r="195" spans="1:4" ht="15.75" customHeight="1">
      <c r="A195" s="37"/>
      <c r="B195" s="29"/>
      <c r="C195" s="23"/>
      <c r="D195" s="23"/>
    </row>
    <row r="196" spans="1:4" ht="15.75" customHeight="1">
      <c r="A196" s="37"/>
      <c r="B196" s="29"/>
      <c r="C196" s="23"/>
      <c r="D196" s="23"/>
    </row>
    <row r="197" spans="1:4" ht="15.75" customHeight="1">
      <c r="A197" s="37"/>
      <c r="B197" s="29"/>
      <c r="C197" s="23"/>
      <c r="D197" s="23"/>
    </row>
    <row r="198" spans="1:4" ht="15.75" customHeight="1">
      <c r="A198" s="37"/>
      <c r="B198" s="29"/>
      <c r="C198" s="23"/>
      <c r="D198" s="23"/>
    </row>
    <row r="199" spans="1:4" ht="15.75" customHeight="1">
      <c r="A199" s="37"/>
      <c r="B199" s="29"/>
      <c r="C199" s="23"/>
      <c r="D199" s="23"/>
    </row>
    <row r="200" spans="1:4" ht="15.75" customHeight="1">
      <c r="A200" s="37"/>
      <c r="B200" s="29"/>
      <c r="C200" s="23"/>
      <c r="D200" s="23"/>
    </row>
    <row r="201" spans="1:4" ht="15.75" customHeight="1">
      <c r="A201" s="37"/>
      <c r="B201" s="29"/>
      <c r="C201" s="23"/>
      <c r="D201" s="23"/>
    </row>
    <row r="202" spans="1:4" ht="15.75" customHeight="1">
      <c r="A202" s="37"/>
      <c r="B202" s="29"/>
      <c r="C202" s="23"/>
      <c r="D202" s="23"/>
    </row>
    <row r="203" spans="1:4" ht="15.75" customHeight="1">
      <c r="A203" s="37"/>
      <c r="B203" s="29"/>
      <c r="C203" s="23"/>
      <c r="D203" s="23"/>
    </row>
    <row r="204" spans="1:4" ht="15.75" customHeight="1">
      <c r="A204" s="37"/>
      <c r="B204" s="29"/>
      <c r="C204" s="23"/>
      <c r="D204" s="23"/>
    </row>
    <row r="205" spans="1:4" ht="15.75" customHeight="1">
      <c r="A205" s="37"/>
      <c r="B205" s="29"/>
      <c r="C205" s="23"/>
      <c r="D205" s="23"/>
    </row>
    <row r="206" spans="1:4" ht="15.75" customHeight="1">
      <c r="A206" s="37"/>
      <c r="B206" s="29"/>
      <c r="C206" s="23"/>
      <c r="D206" s="23"/>
    </row>
    <row r="207" spans="1:4" ht="15.75" customHeight="1">
      <c r="A207" s="37"/>
      <c r="B207" s="29"/>
      <c r="C207" s="23"/>
      <c r="D207" s="23"/>
    </row>
    <row r="208" spans="1:4" ht="15.75" customHeight="1">
      <c r="A208" s="37"/>
      <c r="B208" s="29"/>
      <c r="C208" s="23"/>
      <c r="D208" s="23"/>
    </row>
    <row r="209" spans="1:4" ht="15.75" customHeight="1">
      <c r="A209" s="37"/>
      <c r="B209" s="29"/>
      <c r="C209" s="23"/>
      <c r="D209" s="23"/>
    </row>
    <row r="210" spans="1:4" ht="15.75" customHeight="1">
      <c r="A210" s="37"/>
      <c r="B210" s="29"/>
      <c r="C210" s="23"/>
      <c r="D210" s="23"/>
    </row>
    <row r="211" spans="1:4" ht="15.75" customHeight="1">
      <c r="A211" s="37"/>
      <c r="B211" s="29"/>
      <c r="C211" s="23"/>
      <c r="D211" s="23"/>
    </row>
    <row r="212" spans="1:4" ht="15.75" customHeight="1">
      <c r="A212" s="37"/>
      <c r="B212" s="29"/>
      <c r="C212" s="23"/>
      <c r="D212" s="23"/>
    </row>
    <row r="213" spans="1:4" ht="15.75" customHeight="1">
      <c r="A213" s="37"/>
      <c r="B213" s="29"/>
      <c r="C213" s="23"/>
      <c r="D213" s="23"/>
    </row>
    <row r="214" spans="1:4" ht="15.75" customHeight="1">
      <c r="A214" s="37"/>
      <c r="B214" s="29"/>
      <c r="C214" s="23"/>
      <c r="D214" s="23"/>
    </row>
    <row r="215" spans="1:4" ht="15.75" customHeight="1">
      <c r="A215" s="37"/>
      <c r="B215" s="29"/>
      <c r="C215" s="23"/>
      <c r="D215" s="23"/>
    </row>
    <row r="216" spans="1:4" ht="15.75" customHeight="1">
      <c r="A216" s="37"/>
      <c r="B216" s="29"/>
      <c r="C216" s="23"/>
      <c r="D216" s="23"/>
    </row>
    <row r="217" spans="1:4" ht="15.75" customHeight="1">
      <c r="A217" s="37"/>
      <c r="B217" s="29"/>
      <c r="C217" s="23"/>
      <c r="D217" s="23"/>
    </row>
    <row r="218" spans="1:4" ht="15.75" customHeight="1">
      <c r="A218" s="37"/>
      <c r="B218" s="29"/>
      <c r="C218" s="23"/>
      <c r="D218" s="23"/>
    </row>
    <row r="219" spans="1:4" ht="15.75" customHeight="1">
      <c r="A219" s="37"/>
      <c r="B219" s="29"/>
      <c r="C219" s="23"/>
      <c r="D219" s="23"/>
    </row>
    <row r="220" spans="1:4" ht="15.75" customHeight="1">
      <c r="A220" s="37"/>
      <c r="B220" s="29"/>
      <c r="C220" s="23"/>
      <c r="D220" s="23"/>
    </row>
    <row r="221" spans="1:4" ht="15.75" customHeight="1"/>
    <row r="222" spans="1:4" ht="15.75" customHeight="1"/>
    <row r="223" spans="1:4" ht="15.75" customHeight="1"/>
    <row r="224" spans="1: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A1:Z1000"/>
  <sheetViews>
    <sheetView workbookViewId="0"/>
  </sheetViews>
  <sheetFormatPr baseColWidth="10" defaultColWidth="12.6640625" defaultRowHeight="15" customHeight="1"/>
  <cols>
    <col min="1" max="6" width="12.6640625" customWidth="1"/>
  </cols>
  <sheetData>
    <row r="1" spans="1:26" ht="15.75" customHeight="1">
      <c r="A1" s="38" t="s">
        <v>366</v>
      </c>
      <c r="B1" s="38" t="s">
        <v>367</v>
      </c>
      <c r="C1" s="39" t="s">
        <v>368</v>
      </c>
      <c r="D1" s="39" t="s">
        <v>369</v>
      </c>
      <c r="E1" s="40" t="s">
        <v>370</v>
      </c>
      <c r="F1" s="40" t="s">
        <v>371</v>
      </c>
      <c r="G1" s="41" t="s">
        <v>372</v>
      </c>
      <c r="H1" s="41" t="s">
        <v>373</v>
      </c>
      <c r="I1" s="42" t="s">
        <v>374</v>
      </c>
      <c r="J1" s="42" t="s">
        <v>375</v>
      </c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5.75" customHeight="1">
      <c r="A2" s="44">
        <v>10</v>
      </c>
      <c r="B2" s="45" t="s">
        <v>376</v>
      </c>
      <c r="C2" s="44">
        <v>999</v>
      </c>
      <c r="D2" s="46">
        <v>1</v>
      </c>
      <c r="E2" s="46">
        <v>1</v>
      </c>
      <c r="F2" s="47">
        <v>0.75</v>
      </c>
      <c r="G2" s="47">
        <v>0.75</v>
      </c>
      <c r="H2" s="48">
        <v>0.5</v>
      </c>
      <c r="I2" s="48">
        <v>0.5</v>
      </c>
      <c r="J2" s="49">
        <v>0</v>
      </c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5.75" customHeight="1"/>
    <row r="4" spans="1:26" ht="15.75" customHeight="1"/>
    <row r="5" spans="1:26" ht="15.75" customHeight="1"/>
    <row r="6" spans="1:26" ht="15.75" customHeight="1"/>
    <row r="7" spans="1:26" ht="15.75" customHeight="1"/>
    <row r="8" spans="1:26" ht="15.75" customHeight="1"/>
    <row r="9" spans="1:26" ht="15.75" customHeight="1"/>
    <row r="10" spans="1:26" ht="15.75" customHeight="1"/>
    <row r="11" spans="1:26" ht="15.75" customHeight="1"/>
    <row r="12" spans="1:26" ht="15.75" customHeight="1"/>
    <row r="13" spans="1:26" ht="15.75" customHeight="1"/>
    <row r="14" spans="1:26" ht="15.75" customHeight="1"/>
    <row r="15" spans="1:26" ht="15.75" customHeight="1"/>
    <row r="16" spans="1:2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1000"/>
  <sheetViews>
    <sheetView workbookViewId="0"/>
  </sheetViews>
  <sheetFormatPr baseColWidth="10" defaultColWidth="12.6640625" defaultRowHeight="15" customHeight="1"/>
  <cols>
    <col min="1" max="6" width="12.6640625" customWidth="1"/>
  </cols>
  <sheetData>
    <row r="1" spans="1:2" ht="15.75" customHeight="1">
      <c r="A1" s="26" t="s">
        <v>0</v>
      </c>
      <c r="B1" s="9" t="s">
        <v>1</v>
      </c>
    </row>
    <row r="2" spans="1:2" ht="15.75" customHeight="1">
      <c r="A2" s="8">
        <v>10101</v>
      </c>
      <c r="B2" s="9" t="s">
        <v>16</v>
      </c>
    </row>
    <row r="3" spans="1:2" ht="15.75" customHeight="1">
      <c r="A3" s="8">
        <v>10102</v>
      </c>
      <c r="B3" s="9" t="s">
        <v>17</v>
      </c>
    </row>
    <row r="4" spans="1:2" ht="15.75" customHeight="1">
      <c r="A4" s="8">
        <v>10103</v>
      </c>
      <c r="B4" s="9" t="s">
        <v>18</v>
      </c>
    </row>
    <row r="5" spans="1:2" ht="15.75" customHeight="1">
      <c r="A5" s="8">
        <v>10201</v>
      </c>
      <c r="B5" s="9" t="s">
        <v>19</v>
      </c>
    </row>
    <row r="6" spans="1:2" ht="15.75" customHeight="1">
      <c r="A6" s="8">
        <v>10202</v>
      </c>
      <c r="B6" s="9" t="s">
        <v>20</v>
      </c>
    </row>
    <row r="7" spans="1:2" ht="15.75" customHeight="1">
      <c r="A7" s="8">
        <v>10301</v>
      </c>
      <c r="B7" s="9" t="s">
        <v>21</v>
      </c>
    </row>
    <row r="8" spans="1:2" ht="15.75" customHeight="1">
      <c r="A8" s="8">
        <v>10302</v>
      </c>
      <c r="B8" s="9" t="s">
        <v>22</v>
      </c>
    </row>
    <row r="9" spans="1:2" ht="15.75" customHeight="1">
      <c r="A9" s="8">
        <v>10303</v>
      </c>
      <c r="B9" s="9" t="s">
        <v>23</v>
      </c>
    </row>
    <row r="10" spans="1:2" ht="15.75" customHeight="1">
      <c r="A10" s="8">
        <v>10304</v>
      </c>
      <c r="B10" s="9" t="s">
        <v>24</v>
      </c>
    </row>
    <row r="11" spans="1:2" ht="15.75" customHeight="1">
      <c r="A11" s="8">
        <v>10401</v>
      </c>
      <c r="B11" s="9" t="s">
        <v>25</v>
      </c>
    </row>
    <row r="12" spans="1:2" ht="15.75" customHeight="1">
      <c r="A12" s="8">
        <v>10402</v>
      </c>
      <c r="B12" s="9" t="s">
        <v>26</v>
      </c>
    </row>
    <row r="13" spans="1:2" ht="15.75" customHeight="1">
      <c r="A13" s="8">
        <v>10403</v>
      </c>
      <c r="B13" s="9" t="s">
        <v>27</v>
      </c>
    </row>
    <row r="14" spans="1:2" ht="15.75" customHeight="1">
      <c r="A14" s="8">
        <v>10404</v>
      </c>
      <c r="B14" s="9" t="s">
        <v>28</v>
      </c>
    </row>
    <row r="15" spans="1:2" ht="15.75" customHeight="1">
      <c r="A15" s="8">
        <v>10405</v>
      </c>
      <c r="B15" s="9" t="s">
        <v>29</v>
      </c>
    </row>
    <row r="16" spans="1:2" ht="15.75" customHeight="1">
      <c r="A16" s="8">
        <v>10501</v>
      </c>
      <c r="B16" s="9" t="s">
        <v>30</v>
      </c>
    </row>
    <row r="17" spans="1:2" ht="15.75" customHeight="1">
      <c r="A17" s="8">
        <v>10502</v>
      </c>
      <c r="B17" s="9" t="s">
        <v>31</v>
      </c>
    </row>
    <row r="18" spans="1:2" ht="15.75" customHeight="1">
      <c r="A18" s="8">
        <v>10601</v>
      </c>
      <c r="B18" s="9" t="s">
        <v>32</v>
      </c>
    </row>
    <row r="19" spans="1:2" ht="15.75" customHeight="1">
      <c r="A19" s="8">
        <v>10602</v>
      </c>
      <c r="B19" s="9" t="s">
        <v>33</v>
      </c>
    </row>
    <row r="20" spans="1:2" ht="15.75" customHeight="1">
      <c r="A20" s="8">
        <v>10701</v>
      </c>
      <c r="B20" s="9" t="s">
        <v>34</v>
      </c>
    </row>
    <row r="21" spans="1:2" ht="15.75" customHeight="1">
      <c r="A21" s="8">
        <v>10702</v>
      </c>
      <c r="B21" s="9" t="s">
        <v>35</v>
      </c>
    </row>
    <row r="22" spans="1:2" ht="15.75" customHeight="1">
      <c r="A22" s="8">
        <v>10703</v>
      </c>
      <c r="B22" s="9" t="s">
        <v>36</v>
      </c>
    </row>
    <row r="23" spans="1:2" ht="15.75" customHeight="1">
      <c r="A23" s="8">
        <v>10704</v>
      </c>
      <c r="B23" s="9" t="s">
        <v>37</v>
      </c>
    </row>
    <row r="24" spans="1:2" ht="15.75" customHeight="1">
      <c r="A24" s="8">
        <v>10801</v>
      </c>
      <c r="B24" s="9" t="s">
        <v>38</v>
      </c>
    </row>
    <row r="25" spans="1:2" ht="15.75" customHeight="1">
      <c r="A25" s="8">
        <v>10901</v>
      </c>
      <c r="B25" s="9" t="s">
        <v>39</v>
      </c>
    </row>
    <row r="26" spans="1:2" ht="15.75" customHeight="1">
      <c r="A26" s="8">
        <v>10902</v>
      </c>
      <c r="B26" s="9" t="s">
        <v>40</v>
      </c>
    </row>
    <row r="27" spans="1:2" ht="15.75" customHeight="1">
      <c r="A27" s="8">
        <v>10903</v>
      </c>
      <c r="B27" s="9" t="s">
        <v>41</v>
      </c>
    </row>
    <row r="28" spans="1:2" ht="15.75" customHeight="1">
      <c r="A28" s="8">
        <v>11001</v>
      </c>
      <c r="B28" s="9" t="s">
        <v>42</v>
      </c>
    </row>
    <row r="29" spans="1:2" ht="15.75" customHeight="1">
      <c r="A29" s="8">
        <v>11002</v>
      </c>
      <c r="B29" s="9" t="s">
        <v>43</v>
      </c>
    </row>
    <row r="30" spans="1:2" ht="15.75" customHeight="1">
      <c r="A30" s="8">
        <v>11003</v>
      </c>
      <c r="B30" s="9" t="s">
        <v>44</v>
      </c>
    </row>
    <row r="31" spans="1:2" ht="15.75" customHeight="1">
      <c r="A31" s="8">
        <v>20101</v>
      </c>
      <c r="B31" s="9" t="s">
        <v>45</v>
      </c>
    </row>
    <row r="32" spans="1:2" ht="15.75" customHeight="1">
      <c r="A32" s="8">
        <v>20102</v>
      </c>
      <c r="B32" s="9" t="s">
        <v>46</v>
      </c>
    </row>
    <row r="33" spans="1:2" ht="15.75" customHeight="1">
      <c r="A33" s="8">
        <v>20103</v>
      </c>
      <c r="B33" s="9" t="s">
        <v>47</v>
      </c>
    </row>
    <row r="34" spans="1:2" ht="15.75" customHeight="1">
      <c r="A34" s="8">
        <v>20104</v>
      </c>
      <c r="B34" s="9" t="s">
        <v>48</v>
      </c>
    </row>
    <row r="35" spans="1:2" ht="15.75" customHeight="1">
      <c r="A35" s="8">
        <v>20105</v>
      </c>
      <c r="B35" s="9" t="s">
        <v>49</v>
      </c>
    </row>
    <row r="36" spans="1:2" ht="15.75" customHeight="1">
      <c r="A36" s="8">
        <v>20201</v>
      </c>
      <c r="B36" s="9" t="s">
        <v>50</v>
      </c>
    </row>
    <row r="37" spans="1:2" ht="15.75" customHeight="1">
      <c r="A37" s="8">
        <v>20202</v>
      </c>
      <c r="B37" s="9" t="s">
        <v>51</v>
      </c>
    </row>
    <row r="38" spans="1:2" ht="15.75" customHeight="1">
      <c r="A38" s="8">
        <v>20203</v>
      </c>
      <c r="B38" s="9" t="s">
        <v>52</v>
      </c>
    </row>
    <row r="39" spans="1:2" ht="15.75" customHeight="1">
      <c r="A39" s="8">
        <v>20204</v>
      </c>
      <c r="B39" s="9" t="s">
        <v>53</v>
      </c>
    </row>
    <row r="40" spans="1:2" ht="15.75" customHeight="1">
      <c r="A40" s="8">
        <v>20205</v>
      </c>
      <c r="B40" s="9" t="s">
        <v>54</v>
      </c>
    </row>
    <row r="41" spans="1:2" ht="15.75" customHeight="1">
      <c r="A41" s="8">
        <v>20206</v>
      </c>
      <c r="B41" s="9" t="s">
        <v>55</v>
      </c>
    </row>
    <row r="42" spans="1:2" ht="15.75" customHeight="1">
      <c r="A42" s="8">
        <v>20301</v>
      </c>
      <c r="B42" s="9" t="s">
        <v>56</v>
      </c>
    </row>
    <row r="43" spans="1:2" ht="15.75" customHeight="1">
      <c r="A43" s="8">
        <v>20302</v>
      </c>
      <c r="B43" s="9" t="s">
        <v>57</v>
      </c>
    </row>
    <row r="44" spans="1:2" ht="15.75" customHeight="1">
      <c r="A44" s="8">
        <v>20303</v>
      </c>
      <c r="B44" s="9" t="s">
        <v>58</v>
      </c>
    </row>
    <row r="45" spans="1:2" ht="15.75" customHeight="1">
      <c r="A45" s="8">
        <v>20304</v>
      </c>
      <c r="B45" s="9" t="s">
        <v>59</v>
      </c>
    </row>
    <row r="46" spans="1:2" ht="15.75" customHeight="1">
      <c r="A46" s="8">
        <v>20305</v>
      </c>
      <c r="B46" s="9" t="s">
        <v>60</v>
      </c>
    </row>
    <row r="47" spans="1:2" ht="15.75" customHeight="1">
      <c r="A47" s="8">
        <v>20306</v>
      </c>
      <c r="B47" s="9" t="s">
        <v>61</v>
      </c>
    </row>
    <row r="48" spans="1:2" ht="15.75" customHeight="1">
      <c r="A48" s="8">
        <v>20307</v>
      </c>
      <c r="B48" s="9" t="s">
        <v>62</v>
      </c>
    </row>
    <row r="49" spans="1:2" ht="15.75" customHeight="1">
      <c r="A49" s="8">
        <v>20308</v>
      </c>
      <c r="B49" s="9" t="s">
        <v>63</v>
      </c>
    </row>
    <row r="50" spans="1:2" ht="15.75" customHeight="1">
      <c r="A50" s="8">
        <v>20401</v>
      </c>
      <c r="B50" s="9" t="s">
        <v>64</v>
      </c>
    </row>
    <row r="51" spans="1:2" ht="15.75" customHeight="1">
      <c r="A51" s="8">
        <v>20402</v>
      </c>
      <c r="B51" s="9" t="s">
        <v>65</v>
      </c>
    </row>
    <row r="52" spans="1:2" ht="15.75" customHeight="1">
      <c r="A52" s="8">
        <v>20403</v>
      </c>
      <c r="B52" s="9" t="s">
        <v>66</v>
      </c>
    </row>
    <row r="53" spans="1:2" ht="15.75" customHeight="1">
      <c r="A53" s="8">
        <v>20404</v>
      </c>
      <c r="B53" s="9" t="s">
        <v>67</v>
      </c>
    </row>
    <row r="54" spans="1:2" ht="15.75" customHeight="1">
      <c r="A54" s="8">
        <v>20405</v>
      </c>
      <c r="B54" s="9" t="s">
        <v>68</v>
      </c>
    </row>
    <row r="55" spans="1:2" ht="15.75" customHeight="1">
      <c r="A55" s="8">
        <v>20501</v>
      </c>
      <c r="B55" s="9" t="s">
        <v>69</v>
      </c>
    </row>
    <row r="56" spans="1:2" ht="15.75" customHeight="1">
      <c r="A56" s="8">
        <v>20502</v>
      </c>
      <c r="B56" s="9" t="s">
        <v>70</v>
      </c>
    </row>
    <row r="57" spans="1:2" ht="15.75" customHeight="1">
      <c r="A57" s="8">
        <v>20503</v>
      </c>
      <c r="B57" s="9" t="s">
        <v>71</v>
      </c>
    </row>
    <row r="58" spans="1:2" ht="15.75" customHeight="1">
      <c r="A58" s="8">
        <v>20601</v>
      </c>
      <c r="B58" s="9" t="s">
        <v>72</v>
      </c>
    </row>
    <row r="59" spans="1:2" ht="15.75" customHeight="1">
      <c r="A59" s="8">
        <v>20602</v>
      </c>
      <c r="B59" s="9" t="s">
        <v>73</v>
      </c>
    </row>
    <row r="60" spans="1:2" ht="15.75" customHeight="1">
      <c r="A60" s="8">
        <v>20603</v>
      </c>
      <c r="B60" s="9" t="s">
        <v>74</v>
      </c>
    </row>
    <row r="61" spans="1:2" ht="15.75" customHeight="1">
      <c r="A61" s="8">
        <v>20604</v>
      </c>
      <c r="B61" s="9" t="s">
        <v>75</v>
      </c>
    </row>
    <row r="62" spans="1:2" ht="15.75" customHeight="1">
      <c r="A62" s="8">
        <v>20605</v>
      </c>
      <c r="B62" s="9" t="s">
        <v>76</v>
      </c>
    </row>
    <row r="63" spans="1:2" ht="15.75" customHeight="1">
      <c r="A63" s="8">
        <v>20606</v>
      </c>
      <c r="B63" s="9" t="s">
        <v>77</v>
      </c>
    </row>
    <row r="64" spans="1:2" ht="15.75" customHeight="1">
      <c r="A64" s="8">
        <v>20607</v>
      </c>
      <c r="B64" s="9" t="s">
        <v>78</v>
      </c>
    </row>
    <row r="65" spans="1:2" ht="15.75" customHeight="1">
      <c r="A65" s="8">
        <v>20608</v>
      </c>
      <c r="B65" s="9" t="s">
        <v>79</v>
      </c>
    </row>
    <row r="66" spans="1:2" ht="15.75" customHeight="1">
      <c r="A66" s="8">
        <v>20701</v>
      </c>
      <c r="B66" s="9" t="s">
        <v>80</v>
      </c>
    </row>
    <row r="67" spans="1:2" ht="15.75" customHeight="1">
      <c r="A67" s="8">
        <v>20702</v>
      </c>
      <c r="B67" s="9" t="s">
        <v>81</v>
      </c>
    </row>
    <row r="68" spans="1:2" ht="15.75" customHeight="1">
      <c r="A68" s="8">
        <v>20801</v>
      </c>
      <c r="B68" s="9" t="s">
        <v>82</v>
      </c>
    </row>
    <row r="69" spans="1:2" ht="15.75" customHeight="1">
      <c r="A69" s="8">
        <v>20802</v>
      </c>
      <c r="B69" s="9" t="s">
        <v>83</v>
      </c>
    </row>
    <row r="70" spans="1:2" ht="15.75" customHeight="1">
      <c r="A70" s="8">
        <v>20803</v>
      </c>
      <c r="B70" s="9" t="s">
        <v>84</v>
      </c>
    </row>
    <row r="71" spans="1:2" ht="15.75" customHeight="1">
      <c r="A71" s="8">
        <v>20804</v>
      </c>
      <c r="B71" s="9" t="s">
        <v>85</v>
      </c>
    </row>
    <row r="72" spans="1:2" ht="15.75" customHeight="1">
      <c r="A72" s="8">
        <v>20805</v>
      </c>
      <c r="B72" s="9" t="s">
        <v>86</v>
      </c>
    </row>
    <row r="73" spans="1:2" ht="15.75" customHeight="1">
      <c r="A73" s="8">
        <v>20806</v>
      </c>
      <c r="B73" s="9" t="s">
        <v>87</v>
      </c>
    </row>
    <row r="74" spans="1:2" ht="15.75" customHeight="1">
      <c r="A74" s="8">
        <v>20807</v>
      </c>
      <c r="B74" s="9" t="s">
        <v>88</v>
      </c>
    </row>
    <row r="75" spans="1:2" ht="15.75" customHeight="1">
      <c r="A75" s="8">
        <v>20901</v>
      </c>
      <c r="B75" s="9" t="s">
        <v>89</v>
      </c>
    </row>
    <row r="76" spans="1:2" ht="15.75" customHeight="1">
      <c r="A76" s="8">
        <v>20902</v>
      </c>
      <c r="B76" s="9" t="s">
        <v>90</v>
      </c>
    </row>
    <row r="77" spans="1:2" ht="15.75" customHeight="1">
      <c r="A77" s="8">
        <v>20903</v>
      </c>
      <c r="B77" s="9" t="s">
        <v>91</v>
      </c>
    </row>
    <row r="78" spans="1:2" ht="15.75" customHeight="1">
      <c r="A78" s="8">
        <v>20904</v>
      </c>
      <c r="B78" s="9" t="s">
        <v>92</v>
      </c>
    </row>
    <row r="79" spans="1:2" ht="15.75" customHeight="1">
      <c r="A79" s="8">
        <v>20905</v>
      </c>
      <c r="B79" s="9" t="s">
        <v>93</v>
      </c>
    </row>
    <row r="80" spans="1:2" ht="15.75" customHeight="1">
      <c r="A80" s="8">
        <v>21001</v>
      </c>
      <c r="B80" s="9" t="s">
        <v>94</v>
      </c>
    </row>
    <row r="81" spans="1:2" ht="15.75" customHeight="1">
      <c r="A81" s="8">
        <v>21002</v>
      </c>
      <c r="B81" s="9" t="s">
        <v>95</v>
      </c>
    </row>
    <row r="82" spans="1:2" ht="15.75" customHeight="1">
      <c r="A82" s="8">
        <v>21003</v>
      </c>
      <c r="B82" s="9" t="s">
        <v>96</v>
      </c>
    </row>
    <row r="83" spans="1:2" ht="15.75" customHeight="1">
      <c r="A83" s="8">
        <v>21004</v>
      </c>
      <c r="B83" s="9" t="s">
        <v>97</v>
      </c>
    </row>
    <row r="84" spans="1:2" ht="15.75" customHeight="1">
      <c r="A84" s="8">
        <v>21005</v>
      </c>
      <c r="B84" s="9" t="s">
        <v>98</v>
      </c>
    </row>
    <row r="85" spans="1:2" ht="15.75" customHeight="1">
      <c r="A85" s="8">
        <v>21006</v>
      </c>
      <c r="B85" s="9" t="s">
        <v>99</v>
      </c>
    </row>
    <row r="86" spans="1:2" ht="15.75" customHeight="1">
      <c r="A86" s="8">
        <v>21101</v>
      </c>
      <c r="B86" s="9" t="s">
        <v>100</v>
      </c>
    </row>
    <row r="87" spans="1:2" ht="15.75" customHeight="1">
      <c r="A87" s="8">
        <v>21102</v>
      </c>
      <c r="B87" s="9" t="s">
        <v>101</v>
      </c>
    </row>
    <row r="88" spans="1:2" ht="15.75" customHeight="1">
      <c r="A88" s="8">
        <v>21103</v>
      </c>
      <c r="B88" s="9" t="s">
        <v>102</v>
      </c>
    </row>
    <row r="89" spans="1:2" ht="15.75" customHeight="1">
      <c r="A89" s="8">
        <v>21104</v>
      </c>
      <c r="B89" s="9" t="s">
        <v>103</v>
      </c>
    </row>
    <row r="90" spans="1:2" ht="15.75" customHeight="1">
      <c r="A90" s="8">
        <v>21105</v>
      </c>
      <c r="B90" s="9" t="s">
        <v>104</v>
      </c>
    </row>
    <row r="91" spans="1:2" ht="15.75" customHeight="1">
      <c r="A91" s="8">
        <v>21201</v>
      </c>
      <c r="B91" s="9" t="s">
        <v>105</v>
      </c>
    </row>
    <row r="92" spans="1:2" ht="15.75" customHeight="1">
      <c r="A92" s="8">
        <v>21202</v>
      </c>
      <c r="B92" s="9" t="s">
        <v>106</v>
      </c>
    </row>
    <row r="93" spans="1:2" ht="15.75" customHeight="1">
      <c r="A93" s="8">
        <v>21203</v>
      </c>
      <c r="B93" s="9" t="s">
        <v>107</v>
      </c>
    </row>
    <row r="94" spans="1:2" ht="15.75" customHeight="1">
      <c r="A94" s="8">
        <v>21204</v>
      </c>
      <c r="B94" s="9" t="s">
        <v>108</v>
      </c>
    </row>
    <row r="95" spans="1:2" ht="15.75" customHeight="1">
      <c r="A95" s="8">
        <v>21301</v>
      </c>
      <c r="B95" s="9" t="s">
        <v>109</v>
      </c>
    </row>
    <row r="96" spans="1:2" ht="15.75" customHeight="1">
      <c r="A96" s="8">
        <v>21302</v>
      </c>
      <c r="B96" s="9" t="s">
        <v>110</v>
      </c>
    </row>
    <row r="97" spans="1:2" ht="15.75" customHeight="1">
      <c r="A97" s="8">
        <v>21303</v>
      </c>
      <c r="B97" s="9" t="s">
        <v>111</v>
      </c>
    </row>
    <row r="98" spans="1:2" ht="15.75" customHeight="1">
      <c r="A98" s="8">
        <v>21304</v>
      </c>
      <c r="B98" s="9" t="s">
        <v>112</v>
      </c>
    </row>
    <row r="99" spans="1:2" ht="15.75" customHeight="1">
      <c r="A99" s="8">
        <v>21305</v>
      </c>
      <c r="B99" s="9" t="s">
        <v>113</v>
      </c>
    </row>
    <row r="100" spans="1:2" ht="15.75" customHeight="1">
      <c r="A100" s="8">
        <v>21306</v>
      </c>
      <c r="B100" s="9" t="s">
        <v>114</v>
      </c>
    </row>
    <row r="101" spans="1:2" ht="15.75" customHeight="1">
      <c r="A101" s="8">
        <v>21307</v>
      </c>
      <c r="B101" s="9" t="s">
        <v>115</v>
      </c>
    </row>
    <row r="102" spans="1:2" ht="15.75" customHeight="1">
      <c r="A102" s="8">
        <v>21401</v>
      </c>
      <c r="B102" s="9" t="s">
        <v>116</v>
      </c>
    </row>
    <row r="103" spans="1:2" ht="15.75" customHeight="1">
      <c r="A103" s="8">
        <v>21402</v>
      </c>
      <c r="B103" s="9" t="s">
        <v>117</v>
      </c>
    </row>
    <row r="104" spans="1:2" ht="15.75" customHeight="1">
      <c r="A104" s="8">
        <v>21501</v>
      </c>
      <c r="B104" s="9" t="s">
        <v>118</v>
      </c>
    </row>
    <row r="105" spans="1:2" ht="15.75" customHeight="1">
      <c r="A105" s="8">
        <v>21502</v>
      </c>
      <c r="B105" s="9" t="s">
        <v>119</v>
      </c>
    </row>
    <row r="106" spans="1:2" ht="15.75" customHeight="1">
      <c r="A106" s="8">
        <v>21601</v>
      </c>
      <c r="B106" s="9" t="s">
        <v>120</v>
      </c>
    </row>
    <row r="107" spans="1:2" ht="15.75" customHeight="1">
      <c r="A107" s="8">
        <v>21602</v>
      </c>
      <c r="B107" s="9" t="s">
        <v>121</v>
      </c>
    </row>
    <row r="108" spans="1:2" ht="15.75" customHeight="1">
      <c r="A108" s="8">
        <v>21701</v>
      </c>
      <c r="B108" s="9" t="s">
        <v>122</v>
      </c>
    </row>
    <row r="109" spans="1:2" ht="15.75" customHeight="1">
      <c r="A109" s="8">
        <v>21702</v>
      </c>
      <c r="B109" s="9" t="s">
        <v>123</v>
      </c>
    </row>
    <row r="110" spans="1:2" ht="15.75" customHeight="1">
      <c r="A110" s="8">
        <v>21703</v>
      </c>
      <c r="B110" s="9" t="s">
        <v>124</v>
      </c>
    </row>
    <row r="111" spans="1:2" ht="15.75" customHeight="1">
      <c r="A111" s="8">
        <v>21801</v>
      </c>
      <c r="B111" s="9" t="s">
        <v>125</v>
      </c>
    </row>
    <row r="112" spans="1:2" ht="15.75" customHeight="1">
      <c r="A112" s="8">
        <v>21802</v>
      </c>
      <c r="B112" s="9" t="s">
        <v>126</v>
      </c>
    </row>
    <row r="113" spans="1:2" ht="15.75" customHeight="1">
      <c r="A113" s="8">
        <v>21803</v>
      </c>
      <c r="B113" s="9" t="s">
        <v>127</v>
      </c>
    </row>
    <row r="114" spans="1:2" ht="15.75" customHeight="1">
      <c r="A114" s="8">
        <v>21901</v>
      </c>
      <c r="B114" s="9" t="s">
        <v>128</v>
      </c>
    </row>
    <row r="115" spans="1:2" ht="15.75" customHeight="1">
      <c r="A115" s="8">
        <v>21902</v>
      </c>
      <c r="B115" s="9" t="s">
        <v>129</v>
      </c>
    </row>
    <row r="116" spans="1:2" ht="15.75" customHeight="1">
      <c r="A116" s="8">
        <v>22001</v>
      </c>
      <c r="B116" s="9" t="s">
        <v>130</v>
      </c>
    </row>
    <row r="117" spans="1:2" ht="15.75" customHeight="1">
      <c r="A117" s="8">
        <v>22002</v>
      </c>
      <c r="B117" s="9" t="s">
        <v>131</v>
      </c>
    </row>
    <row r="118" spans="1:2" ht="15.75" customHeight="1">
      <c r="A118" s="8">
        <v>30101</v>
      </c>
      <c r="B118" s="9" t="s">
        <v>132</v>
      </c>
    </row>
    <row r="119" spans="1:2" ht="15.75" customHeight="1">
      <c r="A119" s="8">
        <v>30201</v>
      </c>
      <c r="B119" s="9" t="s">
        <v>133</v>
      </c>
    </row>
    <row r="120" spans="1:2" ht="15.75" customHeight="1">
      <c r="A120" s="8">
        <v>30202</v>
      </c>
      <c r="B120" s="9" t="s">
        <v>134</v>
      </c>
    </row>
    <row r="121" spans="1:2" ht="15.75" customHeight="1">
      <c r="A121" s="8">
        <v>30203</v>
      </c>
      <c r="B121" s="9" t="s">
        <v>135</v>
      </c>
    </row>
    <row r="122" spans="1:2" ht="15.75" customHeight="1">
      <c r="A122" s="8">
        <v>30301</v>
      </c>
      <c r="B122" s="9" t="s">
        <v>136</v>
      </c>
    </row>
    <row r="123" spans="1:2" ht="15.75" customHeight="1">
      <c r="A123" s="8">
        <v>30302</v>
      </c>
      <c r="B123" s="9" t="s">
        <v>137</v>
      </c>
    </row>
    <row r="124" spans="1:2" ht="15.75" customHeight="1">
      <c r="A124" s="8">
        <v>30303</v>
      </c>
      <c r="B124" s="9" t="s">
        <v>138</v>
      </c>
    </row>
    <row r="125" spans="1:2" ht="15.75" customHeight="1">
      <c r="A125" s="8">
        <v>30401</v>
      </c>
      <c r="B125" s="9" t="s">
        <v>139</v>
      </c>
    </row>
    <row r="126" spans="1:2" ht="15.75" customHeight="1">
      <c r="A126" s="8">
        <v>30402</v>
      </c>
      <c r="B126" s="9" t="s">
        <v>140</v>
      </c>
    </row>
    <row r="127" spans="1:2" ht="15.75" customHeight="1">
      <c r="A127" s="8">
        <v>30403</v>
      </c>
      <c r="B127" s="9" t="s">
        <v>141</v>
      </c>
    </row>
    <row r="128" spans="1:2" ht="15.75" customHeight="1">
      <c r="A128" s="8">
        <v>30404</v>
      </c>
      <c r="B128" s="9" t="s">
        <v>142</v>
      </c>
    </row>
    <row r="129" spans="1:2" ht="15.75" customHeight="1">
      <c r="A129" s="8">
        <v>30501</v>
      </c>
      <c r="B129" s="9" t="s">
        <v>143</v>
      </c>
    </row>
    <row r="130" spans="1:2" ht="15.75" customHeight="1">
      <c r="A130" s="8">
        <v>30502</v>
      </c>
      <c r="B130" s="9" t="s">
        <v>144</v>
      </c>
    </row>
    <row r="131" spans="1:2" ht="15.75" customHeight="1">
      <c r="A131" s="8">
        <v>30601</v>
      </c>
      <c r="B131" s="9" t="s">
        <v>145</v>
      </c>
    </row>
    <row r="132" spans="1:2" ht="15.75" customHeight="1">
      <c r="A132" s="8">
        <v>30602</v>
      </c>
      <c r="B132" s="9" t="s">
        <v>146</v>
      </c>
    </row>
    <row r="133" spans="1:2" ht="15.75" customHeight="1">
      <c r="A133" s="8">
        <v>30701</v>
      </c>
      <c r="B133" s="9" t="s">
        <v>147</v>
      </c>
    </row>
    <row r="134" spans="1:2" ht="15.75" customHeight="1">
      <c r="A134" s="8">
        <v>30702</v>
      </c>
      <c r="B134" s="9" t="s">
        <v>148</v>
      </c>
    </row>
    <row r="135" spans="1:2" ht="15.75" customHeight="1">
      <c r="A135" s="8">
        <v>30703</v>
      </c>
      <c r="B135" s="9" t="s">
        <v>149</v>
      </c>
    </row>
    <row r="136" spans="1:2" ht="15.75" customHeight="1">
      <c r="A136" s="8">
        <v>30801</v>
      </c>
      <c r="B136" s="9" t="s">
        <v>150</v>
      </c>
    </row>
    <row r="137" spans="1:2" ht="15.75" customHeight="1">
      <c r="A137" s="8">
        <v>30802</v>
      </c>
      <c r="B137" s="9" t="s">
        <v>151</v>
      </c>
    </row>
    <row r="138" spans="1:2" ht="15.75" customHeight="1">
      <c r="A138" s="8">
        <v>30803</v>
      </c>
      <c r="B138" s="9" t="s">
        <v>152</v>
      </c>
    </row>
    <row r="139" spans="1:2" ht="15.75" customHeight="1">
      <c r="A139" s="8">
        <v>30901</v>
      </c>
      <c r="B139" s="9" t="s">
        <v>153</v>
      </c>
    </row>
    <row r="140" spans="1:2" ht="15.75" customHeight="1">
      <c r="A140" s="8">
        <v>30902</v>
      </c>
      <c r="B140" s="9" t="s">
        <v>154</v>
      </c>
    </row>
    <row r="141" spans="1:2" ht="15.75" customHeight="1">
      <c r="A141" s="8">
        <v>30903</v>
      </c>
      <c r="B141" s="9" t="s">
        <v>155</v>
      </c>
    </row>
    <row r="142" spans="1:2" ht="15.75" customHeight="1">
      <c r="A142" s="8">
        <v>30904</v>
      </c>
      <c r="B142" s="9" t="s">
        <v>156</v>
      </c>
    </row>
    <row r="143" spans="1:2" ht="15.75" customHeight="1">
      <c r="A143" s="8">
        <v>30905</v>
      </c>
      <c r="B143" s="9" t="s">
        <v>157</v>
      </c>
    </row>
    <row r="144" spans="1:2" ht="15.75" customHeight="1">
      <c r="A144" s="8">
        <v>31001</v>
      </c>
      <c r="B144" s="9" t="s">
        <v>158</v>
      </c>
    </row>
    <row r="145" spans="1:2" ht="15.75" customHeight="1">
      <c r="A145" s="8">
        <v>31002</v>
      </c>
      <c r="B145" s="9" t="s">
        <v>159</v>
      </c>
    </row>
    <row r="146" spans="1:2" ht="15.75" customHeight="1">
      <c r="A146" s="8">
        <v>31003</v>
      </c>
      <c r="B146" s="9" t="s">
        <v>160</v>
      </c>
    </row>
    <row r="147" spans="1:2" ht="15.75" customHeight="1">
      <c r="A147" s="8">
        <v>31101</v>
      </c>
      <c r="B147" s="9" t="s">
        <v>161</v>
      </c>
    </row>
    <row r="148" spans="1:2" ht="15.75" customHeight="1">
      <c r="A148" s="8">
        <v>31201</v>
      </c>
      <c r="B148" s="9" t="s">
        <v>162</v>
      </c>
    </row>
    <row r="149" spans="1:2" ht="15.75" customHeight="1">
      <c r="A149" s="8">
        <v>31202</v>
      </c>
      <c r="B149" s="9" t="s">
        <v>163</v>
      </c>
    </row>
    <row r="150" spans="1:2" ht="15.75" customHeight="1">
      <c r="A150" s="8">
        <v>31203</v>
      </c>
      <c r="B150" s="9" t="s">
        <v>164</v>
      </c>
    </row>
    <row r="151" spans="1:2" ht="15.75" customHeight="1">
      <c r="A151" s="8">
        <v>31204</v>
      </c>
      <c r="B151" s="9" t="s">
        <v>165</v>
      </c>
    </row>
    <row r="152" spans="1:2" ht="15.75" customHeight="1">
      <c r="A152" s="8">
        <v>31205</v>
      </c>
      <c r="B152" s="9" t="s">
        <v>166</v>
      </c>
    </row>
    <row r="153" spans="1:2" ht="15.75" customHeight="1">
      <c r="A153" s="8">
        <v>31206</v>
      </c>
      <c r="B153" s="9" t="s">
        <v>167</v>
      </c>
    </row>
    <row r="154" spans="1:2" ht="15.75" customHeight="1">
      <c r="A154" s="8">
        <v>31301</v>
      </c>
      <c r="B154" s="9" t="s">
        <v>168</v>
      </c>
    </row>
    <row r="155" spans="1:2" ht="15.75" customHeight="1">
      <c r="A155" s="8">
        <v>31302</v>
      </c>
      <c r="B155" s="9" t="s">
        <v>169</v>
      </c>
    </row>
    <row r="156" spans="1:2" ht="15.75" customHeight="1">
      <c r="A156" s="8">
        <v>31303</v>
      </c>
      <c r="B156" s="9" t="s">
        <v>170</v>
      </c>
    </row>
    <row r="157" spans="1:2" ht="15.75" customHeight="1">
      <c r="A157" s="8">
        <v>31304</v>
      </c>
      <c r="B157" s="9" t="s">
        <v>171</v>
      </c>
    </row>
    <row r="158" spans="1:2" ht="15.75" customHeight="1">
      <c r="A158" s="8">
        <v>31401</v>
      </c>
      <c r="B158" s="9" t="s">
        <v>172</v>
      </c>
    </row>
    <row r="159" spans="1:2" ht="15.75" customHeight="1">
      <c r="A159" s="8">
        <v>31402</v>
      </c>
      <c r="B159" s="9" t="s">
        <v>173</v>
      </c>
    </row>
    <row r="160" spans="1:2" ht="15.75" customHeight="1">
      <c r="A160" s="8">
        <v>31403</v>
      </c>
      <c r="B160" s="9" t="s">
        <v>174</v>
      </c>
    </row>
    <row r="161" spans="1:2" ht="15.75" customHeight="1">
      <c r="A161" s="8">
        <v>31404</v>
      </c>
      <c r="B161" s="9" t="s">
        <v>175</v>
      </c>
    </row>
    <row r="162" spans="1:2" ht="15.75" customHeight="1">
      <c r="A162" s="8">
        <v>31405</v>
      </c>
      <c r="B162" s="9" t="s">
        <v>176</v>
      </c>
    </row>
    <row r="163" spans="1:2" ht="15.75" customHeight="1">
      <c r="A163" s="8">
        <v>31501</v>
      </c>
      <c r="B163" s="9" t="s">
        <v>177</v>
      </c>
    </row>
    <row r="164" spans="1:2" ht="15.75" customHeight="1">
      <c r="A164" s="8">
        <v>31601</v>
      </c>
      <c r="B164" s="9" t="s">
        <v>178</v>
      </c>
    </row>
    <row r="165" spans="1:2" ht="15.75" customHeight="1">
      <c r="A165" s="8">
        <v>31602</v>
      </c>
      <c r="B165" s="9" t="s">
        <v>179</v>
      </c>
    </row>
    <row r="166" spans="1:2" ht="15.75" customHeight="1">
      <c r="A166" s="8">
        <v>40101</v>
      </c>
      <c r="B166" s="9" t="s">
        <v>180</v>
      </c>
    </row>
    <row r="167" spans="1:2" ht="15.75" customHeight="1">
      <c r="A167" s="8">
        <v>40102</v>
      </c>
      <c r="B167" s="9" t="s">
        <v>181</v>
      </c>
    </row>
    <row r="168" spans="1:2" ht="15.75" customHeight="1">
      <c r="A168" s="8">
        <v>40103</v>
      </c>
      <c r="B168" s="9" t="s">
        <v>182</v>
      </c>
    </row>
    <row r="169" spans="1:2" ht="15.75" customHeight="1">
      <c r="A169" s="8">
        <v>40104</v>
      </c>
      <c r="B169" s="9" t="s">
        <v>183</v>
      </c>
    </row>
    <row r="170" spans="1:2" ht="15.75" customHeight="1">
      <c r="A170" s="8">
        <v>40201</v>
      </c>
      <c r="B170" s="9" t="s">
        <v>184</v>
      </c>
    </row>
    <row r="171" spans="1:2" ht="15.75" customHeight="1">
      <c r="A171" s="8">
        <v>40202</v>
      </c>
      <c r="B171" s="9" t="s">
        <v>185</v>
      </c>
    </row>
    <row r="172" spans="1:2" ht="15.75" customHeight="1">
      <c r="A172" s="8">
        <v>40301</v>
      </c>
      <c r="B172" s="9" t="s">
        <v>186</v>
      </c>
    </row>
    <row r="173" spans="1:2" ht="15.75" customHeight="1">
      <c r="A173" s="8">
        <v>40302</v>
      </c>
      <c r="B173" s="9" t="s">
        <v>187</v>
      </c>
    </row>
    <row r="174" spans="1:2" ht="15.75" customHeight="1">
      <c r="A174" s="8">
        <v>40401</v>
      </c>
      <c r="B174" s="9" t="s">
        <v>188</v>
      </c>
    </row>
    <row r="175" spans="1:2" ht="15.75" customHeight="1">
      <c r="A175" s="8">
        <v>40402</v>
      </c>
      <c r="B175" s="9" t="s">
        <v>189</v>
      </c>
    </row>
    <row r="176" spans="1:2" ht="15.75" customHeight="1">
      <c r="A176" s="8">
        <v>40501</v>
      </c>
      <c r="B176" s="9" t="s">
        <v>190</v>
      </c>
    </row>
    <row r="177" spans="1:2" ht="15.75" customHeight="1">
      <c r="A177" s="8">
        <v>40502</v>
      </c>
      <c r="B177" s="9" t="s">
        <v>191</v>
      </c>
    </row>
    <row r="178" spans="1:2" ht="15.75" customHeight="1">
      <c r="A178" s="8">
        <v>40503</v>
      </c>
      <c r="B178" s="9" t="s">
        <v>192</v>
      </c>
    </row>
    <row r="179" spans="1:2" ht="15.75" customHeight="1">
      <c r="A179" s="8">
        <v>40504</v>
      </c>
      <c r="B179" s="9" t="s">
        <v>193</v>
      </c>
    </row>
    <row r="180" spans="1:2" ht="15.75" customHeight="1">
      <c r="A180" s="8">
        <v>40505</v>
      </c>
      <c r="B180" s="9" t="s">
        <v>194</v>
      </c>
    </row>
    <row r="181" spans="1:2" ht="15.75" customHeight="1">
      <c r="A181" s="8">
        <v>40601</v>
      </c>
      <c r="B181" s="9" t="s">
        <v>195</v>
      </c>
    </row>
    <row r="182" spans="1:2" ht="15.75" customHeight="1">
      <c r="A182" s="8">
        <v>40602</v>
      </c>
      <c r="B182" s="9" t="s">
        <v>196</v>
      </c>
    </row>
    <row r="183" spans="1:2" ht="15.75" customHeight="1">
      <c r="A183" s="8">
        <v>40603</v>
      </c>
      <c r="B183" s="9" t="s">
        <v>197</v>
      </c>
    </row>
    <row r="184" spans="1:2" ht="15.75" customHeight="1">
      <c r="A184" s="8">
        <v>40701</v>
      </c>
      <c r="B184" s="9" t="s">
        <v>198</v>
      </c>
    </row>
    <row r="185" spans="1:2" ht="15.75" customHeight="1">
      <c r="A185" s="8">
        <v>40702</v>
      </c>
      <c r="B185" s="9" t="s">
        <v>199</v>
      </c>
    </row>
    <row r="186" spans="1:2" ht="15.75" customHeight="1">
      <c r="A186" s="8">
        <v>40801</v>
      </c>
      <c r="B186" s="9" t="s">
        <v>200</v>
      </c>
    </row>
    <row r="187" spans="1:2" ht="15.75" customHeight="1">
      <c r="A187" s="8">
        <v>40802</v>
      </c>
      <c r="B187" s="9" t="s">
        <v>201</v>
      </c>
    </row>
    <row r="188" spans="1:2" ht="15.75" customHeight="1">
      <c r="A188" s="8">
        <v>40901</v>
      </c>
      <c r="B188" s="9" t="s">
        <v>202</v>
      </c>
    </row>
    <row r="189" spans="1:2" ht="15.75" customHeight="1">
      <c r="A189" s="8">
        <v>40902</v>
      </c>
      <c r="B189" s="9" t="s">
        <v>203</v>
      </c>
    </row>
    <row r="190" spans="1:2" ht="15.75" customHeight="1">
      <c r="A190" s="8">
        <v>40903</v>
      </c>
      <c r="B190" s="9" t="s">
        <v>204</v>
      </c>
    </row>
    <row r="191" spans="1:2" ht="15.75" customHeight="1">
      <c r="A191" s="8">
        <v>41001</v>
      </c>
      <c r="B191" s="9" t="s">
        <v>205</v>
      </c>
    </row>
    <row r="192" spans="1:2" ht="15.75" customHeight="1">
      <c r="A192" s="8">
        <v>41101</v>
      </c>
      <c r="B192" s="9" t="s">
        <v>206</v>
      </c>
    </row>
    <row r="193" spans="1:2" ht="15.75" customHeight="1">
      <c r="A193" s="8">
        <v>41201</v>
      </c>
      <c r="B193" s="9" t="s">
        <v>207</v>
      </c>
    </row>
    <row r="194" spans="1:2" ht="15.75" customHeight="1">
      <c r="A194" s="8">
        <v>41202</v>
      </c>
      <c r="B194" s="9" t="s">
        <v>208</v>
      </c>
    </row>
    <row r="195" spans="1:2" ht="15.75" customHeight="1">
      <c r="A195" s="8">
        <v>41301</v>
      </c>
      <c r="B195" s="9" t="s">
        <v>209</v>
      </c>
    </row>
    <row r="196" spans="1:2" ht="15.75" customHeight="1">
      <c r="A196" s="8">
        <v>41401</v>
      </c>
      <c r="B196" s="9" t="s">
        <v>210</v>
      </c>
    </row>
    <row r="197" spans="1:2" ht="15.75" customHeight="1">
      <c r="A197" s="8">
        <v>41501</v>
      </c>
      <c r="B197" s="9" t="s">
        <v>211</v>
      </c>
    </row>
    <row r="198" spans="1:2" ht="15.75" customHeight="1">
      <c r="A198" s="8">
        <v>41502</v>
      </c>
      <c r="B198" s="9" t="s">
        <v>212</v>
      </c>
    </row>
    <row r="199" spans="1:2" ht="15.75" customHeight="1">
      <c r="A199" s="8">
        <v>41503</v>
      </c>
      <c r="B199" s="9" t="s">
        <v>213</v>
      </c>
    </row>
    <row r="200" spans="1:2" ht="15.75" customHeight="1">
      <c r="A200" s="8">
        <v>41601</v>
      </c>
      <c r="B200" s="9" t="s">
        <v>214</v>
      </c>
    </row>
    <row r="201" spans="1:2" ht="15.75" customHeight="1">
      <c r="A201" s="8">
        <v>50101</v>
      </c>
      <c r="B201" s="9" t="s">
        <v>215</v>
      </c>
    </row>
    <row r="202" spans="1:2" ht="15.75" customHeight="1">
      <c r="A202" s="8">
        <v>50102</v>
      </c>
      <c r="B202" s="9" t="s">
        <v>216</v>
      </c>
    </row>
    <row r="203" spans="1:2" ht="15.75" customHeight="1">
      <c r="A203" s="8">
        <v>50103</v>
      </c>
      <c r="B203" s="9" t="s">
        <v>217</v>
      </c>
    </row>
    <row r="204" spans="1:2" ht="15.75" customHeight="1">
      <c r="A204" s="8">
        <v>50104</v>
      </c>
      <c r="B204" s="9" t="s">
        <v>218</v>
      </c>
    </row>
    <row r="205" spans="1:2" ht="15.75" customHeight="1">
      <c r="A205" s="8">
        <v>50201</v>
      </c>
      <c r="B205" s="9" t="s">
        <v>219</v>
      </c>
    </row>
    <row r="206" spans="1:2" ht="15.75" customHeight="1">
      <c r="A206" s="8">
        <v>50202</v>
      </c>
      <c r="B206" s="9" t="s">
        <v>220</v>
      </c>
    </row>
    <row r="207" spans="1:2" ht="15.75" customHeight="1">
      <c r="A207" s="8">
        <v>50203</v>
      </c>
      <c r="B207" s="9" t="s">
        <v>221</v>
      </c>
    </row>
    <row r="208" spans="1:2" ht="15.75" customHeight="1">
      <c r="A208" s="8">
        <v>50204</v>
      </c>
      <c r="B208" s="9" t="s">
        <v>222</v>
      </c>
    </row>
    <row r="209" spans="1:2" ht="15.75" customHeight="1">
      <c r="A209" s="8">
        <v>50301</v>
      </c>
      <c r="B209" s="9" t="s">
        <v>223</v>
      </c>
    </row>
    <row r="210" spans="1:2" ht="15.75" customHeight="1">
      <c r="A210" s="8">
        <v>50302</v>
      </c>
      <c r="B210" s="9" t="s">
        <v>224</v>
      </c>
    </row>
    <row r="211" spans="1:2" ht="15.75" customHeight="1">
      <c r="A211" s="8">
        <v>50303</v>
      </c>
      <c r="B211" s="9" t="s">
        <v>225</v>
      </c>
    </row>
    <row r="212" spans="1:2" ht="15.75" customHeight="1">
      <c r="A212" s="8">
        <v>50401</v>
      </c>
      <c r="B212" s="9" t="s">
        <v>226</v>
      </c>
    </row>
    <row r="213" spans="1:2" ht="15.75" customHeight="1">
      <c r="A213" s="8">
        <v>50402</v>
      </c>
      <c r="B213" s="9" t="s">
        <v>227</v>
      </c>
    </row>
    <row r="214" spans="1:2" ht="15.75" customHeight="1">
      <c r="A214" s="8">
        <v>50403</v>
      </c>
      <c r="B214" s="9" t="s">
        <v>228</v>
      </c>
    </row>
    <row r="215" spans="1:2" ht="15.75" customHeight="1">
      <c r="A215" s="8">
        <v>50404</v>
      </c>
      <c r="B215" s="9" t="s">
        <v>229</v>
      </c>
    </row>
    <row r="216" spans="1:2" ht="15.75" customHeight="1">
      <c r="A216" s="8">
        <v>50405</v>
      </c>
      <c r="B216" s="9" t="s">
        <v>230</v>
      </c>
    </row>
    <row r="217" spans="1:2" ht="15.75" customHeight="1">
      <c r="A217" s="8">
        <v>50501</v>
      </c>
      <c r="B217" s="9" t="s">
        <v>231</v>
      </c>
    </row>
    <row r="218" spans="1:2" ht="15.75" customHeight="1">
      <c r="A218" s="8">
        <v>50502</v>
      </c>
      <c r="B218" s="9" t="s">
        <v>232</v>
      </c>
    </row>
    <row r="219" spans="1:2" ht="15.75" customHeight="1">
      <c r="A219" s="8">
        <v>50601</v>
      </c>
      <c r="B219" s="9" t="s">
        <v>233</v>
      </c>
    </row>
    <row r="220" spans="1:2" ht="15.75" customHeight="1">
      <c r="A220" s="8">
        <v>50602</v>
      </c>
      <c r="B220" s="9" t="s">
        <v>234</v>
      </c>
    </row>
    <row r="221" spans="1:2" ht="15.75" customHeight="1">
      <c r="A221" s="8">
        <v>50701</v>
      </c>
      <c r="B221" s="9" t="s">
        <v>235</v>
      </c>
    </row>
    <row r="222" spans="1:2" ht="15.75" customHeight="1">
      <c r="A222" s="8">
        <v>50702</v>
      </c>
      <c r="B222" s="9" t="s">
        <v>236</v>
      </c>
    </row>
    <row r="223" spans="1:2" ht="15.75" customHeight="1">
      <c r="A223" s="8">
        <v>50801</v>
      </c>
      <c r="B223" s="9" t="s">
        <v>237</v>
      </c>
    </row>
    <row r="224" spans="1:2" ht="15.75" customHeight="1">
      <c r="A224" s="8">
        <v>50802</v>
      </c>
      <c r="B224" s="9" t="s">
        <v>238</v>
      </c>
    </row>
    <row r="225" spans="1:2" ht="15.75" customHeight="1">
      <c r="A225" s="8">
        <v>50901</v>
      </c>
      <c r="B225" s="9" t="s">
        <v>239</v>
      </c>
    </row>
    <row r="226" spans="1:2" ht="15.75" customHeight="1">
      <c r="A226" s="8">
        <v>50902</v>
      </c>
      <c r="B226" s="9" t="s">
        <v>240</v>
      </c>
    </row>
    <row r="227" spans="1:2" ht="15.75" customHeight="1">
      <c r="A227" s="8">
        <v>51001</v>
      </c>
      <c r="B227" s="9" t="s">
        <v>241</v>
      </c>
    </row>
    <row r="228" spans="1:2" ht="15.75" customHeight="1">
      <c r="A228" s="8">
        <v>51002</v>
      </c>
      <c r="B228" s="9" t="s">
        <v>242</v>
      </c>
    </row>
    <row r="229" spans="1:2" ht="15.75" customHeight="1">
      <c r="A229" s="8">
        <v>51003</v>
      </c>
      <c r="B229" s="9" t="s">
        <v>243</v>
      </c>
    </row>
    <row r="230" spans="1:2" ht="15.75" customHeight="1">
      <c r="A230" s="8">
        <v>51101</v>
      </c>
      <c r="B230" s="9" t="s">
        <v>244</v>
      </c>
    </row>
    <row r="231" spans="1:2" ht="15.75" customHeight="1">
      <c r="A231" s="8">
        <v>51102</v>
      </c>
      <c r="B231" s="9" t="s">
        <v>245</v>
      </c>
    </row>
    <row r="232" spans="1:2" ht="15.75" customHeight="1">
      <c r="A232" s="8">
        <v>51103</v>
      </c>
      <c r="B232" s="9" t="s">
        <v>246</v>
      </c>
    </row>
    <row r="233" spans="1:2" ht="15.75" customHeight="1">
      <c r="A233" s="8">
        <v>51201</v>
      </c>
      <c r="B233" s="9" t="s">
        <v>247</v>
      </c>
    </row>
    <row r="234" spans="1:2" ht="15.75" customHeight="1">
      <c r="A234" s="8">
        <v>51202</v>
      </c>
      <c r="B234" s="9" t="s">
        <v>248</v>
      </c>
    </row>
    <row r="235" spans="1:2" ht="15.75" customHeight="1">
      <c r="A235" s="8">
        <v>51203</v>
      </c>
      <c r="B235" s="9" t="s">
        <v>249</v>
      </c>
    </row>
    <row r="236" spans="1:2" ht="15.75" customHeight="1">
      <c r="A236" s="8">
        <v>51204</v>
      </c>
      <c r="B236" s="9" t="s">
        <v>250</v>
      </c>
    </row>
    <row r="237" spans="1:2" ht="15.75" customHeight="1">
      <c r="A237" s="8">
        <v>51301</v>
      </c>
      <c r="B237" s="9" t="s">
        <v>251</v>
      </c>
    </row>
    <row r="238" spans="1:2" ht="15.75" customHeight="1">
      <c r="A238" s="8">
        <v>51302</v>
      </c>
      <c r="B238" s="9" t="s">
        <v>252</v>
      </c>
    </row>
    <row r="239" spans="1:2" ht="15.75" customHeight="1">
      <c r="A239" s="8">
        <v>51401</v>
      </c>
      <c r="B239" s="9" t="s">
        <v>253</v>
      </c>
    </row>
    <row r="240" spans="1:2" ht="15.75" customHeight="1">
      <c r="A240" s="8">
        <v>51402</v>
      </c>
      <c r="B240" s="9" t="s">
        <v>254</v>
      </c>
    </row>
    <row r="241" spans="1:2" ht="15.75" customHeight="1">
      <c r="A241" s="8">
        <v>51501</v>
      </c>
      <c r="B241" s="9" t="s">
        <v>255</v>
      </c>
    </row>
    <row r="242" spans="1:2" ht="15.75" customHeight="1">
      <c r="A242" s="8">
        <v>51601</v>
      </c>
      <c r="B242" s="9" t="s">
        <v>256</v>
      </c>
    </row>
    <row r="243" spans="1:2" ht="15.75" customHeight="1">
      <c r="A243" s="8">
        <v>60101</v>
      </c>
      <c r="B243" s="9" t="s">
        <v>257</v>
      </c>
    </row>
    <row r="244" spans="1:2" ht="15.75" customHeight="1">
      <c r="A244" s="8">
        <v>60201</v>
      </c>
      <c r="B244" s="9" t="s">
        <v>258</v>
      </c>
    </row>
    <row r="245" spans="1:2" ht="15.75" customHeight="1">
      <c r="A245" s="8">
        <v>60202</v>
      </c>
      <c r="B245" s="9" t="s">
        <v>259</v>
      </c>
    </row>
    <row r="246" spans="1:2" ht="15.75" customHeight="1">
      <c r="A246" s="8">
        <v>60301</v>
      </c>
      <c r="B246" s="9" t="s">
        <v>260</v>
      </c>
    </row>
    <row r="247" spans="1:2" ht="15.75" customHeight="1">
      <c r="A247" s="8">
        <v>60302</v>
      </c>
      <c r="B247" s="9" t="s">
        <v>261</v>
      </c>
    </row>
    <row r="248" spans="1:2" ht="15.75" customHeight="1">
      <c r="A248" s="8">
        <v>60303</v>
      </c>
      <c r="B248" s="9" t="s">
        <v>262</v>
      </c>
    </row>
    <row r="249" spans="1:2" ht="15.75" customHeight="1">
      <c r="A249" s="8">
        <v>60401</v>
      </c>
      <c r="B249" s="9" t="s">
        <v>263</v>
      </c>
    </row>
    <row r="250" spans="1:2" ht="15.75" customHeight="1">
      <c r="A250" s="8">
        <v>60402</v>
      </c>
      <c r="B250" s="9" t="s">
        <v>264</v>
      </c>
    </row>
    <row r="251" spans="1:2" ht="15.75" customHeight="1">
      <c r="A251" s="8">
        <v>60501</v>
      </c>
      <c r="B251" s="9" t="s">
        <v>265</v>
      </c>
    </row>
    <row r="252" spans="1:2" ht="15.75" customHeight="1">
      <c r="A252" s="8">
        <v>60502</v>
      </c>
      <c r="B252" s="9" t="s">
        <v>266</v>
      </c>
    </row>
    <row r="253" spans="1:2" ht="15.75" customHeight="1">
      <c r="A253" s="8">
        <v>60601</v>
      </c>
      <c r="B253" s="9" t="s">
        <v>167</v>
      </c>
    </row>
    <row r="254" spans="1:2" ht="15.75" customHeight="1">
      <c r="A254" s="8">
        <v>70101</v>
      </c>
      <c r="B254" s="9" t="s">
        <v>267</v>
      </c>
    </row>
    <row r="255" spans="1:2" ht="15.75" customHeight="1">
      <c r="A255" s="8">
        <v>70102</v>
      </c>
      <c r="B255" s="9" t="s">
        <v>268</v>
      </c>
    </row>
    <row r="256" spans="1:2" ht="15.75" customHeight="1">
      <c r="A256" s="8">
        <v>70103</v>
      </c>
      <c r="B256" s="9" t="s">
        <v>269</v>
      </c>
    </row>
    <row r="257" spans="1:2" ht="15.75" customHeight="1">
      <c r="A257" s="8">
        <v>70104</v>
      </c>
      <c r="B257" s="9" t="s">
        <v>270</v>
      </c>
    </row>
    <row r="258" spans="1:2" ht="15.75" customHeight="1">
      <c r="A258" s="8">
        <v>70105</v>
      </c>
      <c r="B258" s="9" t="s">
        <v>271</v>
      </c>
    </row>
    <row r="259" spans="1:2" ht="15.75" customHeight="1">
      <c r="A259" s="8">
        <v>70201</v>
      </c>
      <c r="B259" s="9" t="s">
        <v>272</v>
      </c>
    </row>
    <row r="260" spans="1:2" ht="15.75" customHeight="1">
      <c r="A260" s="8">
        <v>70202</v>
      </c>
      <c r="B260" s="9" t="s">
        <v>273</v>
      </c>
    </row>
    <row r="261" spans="1:2" ht="15.75" customHeight="1">
      <c r="A261" s="8">
        <v>70301</v>
      </c>
      <c r="B261" s="9" t="s">
        <v>274</v>
      </c>
    </row>
    <row r="262" spans="1:2" ht="15.75" customHeight="1">
      <c r="A262" s="8">
        <v>70302</v>
      </c>
      <c r="B262" s="9" t="s">
        <v>275</v>
      </c>
    </row>
    <row r="263" spans="1:2" ht="15.75" customHeight="1">
      <c r="A263" s="8">
        <v>70303</v>
      </c>
      <c r="B263" s="9" t="s">
        <v>276</v>
      </c>
    </row>
    <row r="264" spans="1:2" ht="15.75" customHeight="1">
      <c r="A264" s="8">
        <v>70401</v>
      </c>
      <c r="B264" s="9" t="s">
        <v>277</v>
      </c>
    </row>
    <row r="265" spans="1:2" ht="15.75" customHeight="1">
      <c r="A265" s="8">
        <v>70402</v>
      </c>
      <c r="B265" s="9" t="s">
        <v>278</v>
      </c>
    </row>
    <row r="266" spans="1:2" ht="15.75" customHeight="1">
      <c r="A266" s="8">
        <v>70403</v>
      </c>
      <c r="B266" s="9" t="s">
        <v>279</v>
      </c>
    </row>
    <row r="267" spans="1:2" ht="15.75" customHeight="1">
      <c r="A267" s="8">
        <v>70404</v>
      </c>
      <c r="B267" s="9" t="s">
        <v>280</v>
      </c>
    </row>
    <row r="268" spans="1:2" ht="15.75" customHeight="1">
      <c r="A268" s="8">
        <v>70501</v>
      </c>
      <c r="B268" s="9" t="s">
        <v>281</v>
      </c>
    </row>
    <row r="269" spans="1:2" ht="15.75" customHeight="1">
      <c r="A269" s="8">
        <v>70502</v>
      </c>
      <c r="B269" s="9" t="s">
        <v>282</v>
      </c>
    </row>
    <row r="270" spans="1:2" ht="15.75" customHeight="1">
      <c r="A270" s="8">
        <v>70503</v>
      </c>
      <c r="B270" s="9" t="s">
        <v>283</v>
      </c>
    </row>
    <row r="271" spans="1:2" ht="15.75" customHeight="1">
      <c r="A271" s="8">
        <v>70601</v>
      </c>
      <c r="B271" s="9" t="s">
        <v>284</v>
      </c>
    </row>
    <row r="272" spans="1:2" ht="15.75" customHeight="1">
      <c r="A272" s="8">
        <v>70602</v>
      </c>
      <c r="B272" s="9" t="s">
        <v>285</v>
      </c>
    </row>
    <row r="273" spans="1:2" ht="15.75" customHeight="1">
      <c r="A273" s="8">
        <v>70603</v>
      </c>
      <c r="B273" s="9" t="s">
        <v>286</v>
      </c>
    </row>
    <row r="274" spans="1:2" ht="15.75" customHeight="1">
      <c r="A274" s="8">
        <v>70701</v>
      </c>
      <c r="B274" s="9" t="s">
        <v>287</v>
      </c>
    </row>
    <row r="275" spans="1:2" ht="15.75" customHeight="1">
      <c r="A275" s="8">
        <v>70702</v>
      </c>
      <c r="B275" s="9" t="s">
        <v>288</v>
      </c>
    </row>
    <row r="276" spans="1:2" ht="15.75" customHeight="1">
      <c r="A276" s="8">
        <v>70703</v>
      </c>
      <c r="B276" s="9" t="s">
        <v>289</v>
      </c>
    </row>
    <row r="277" spans="1:2" ht="15.75" customHeight="1">
      <c r="A277" s="8">
        <v>70704</v>
      </c>
      <c r="B277" s="9" t="s">
        <v>290</v>
      </c>
    </row>
    <row r="278" spans="1:2" ht="15.75" customHeight="1">
      <c r="A278" s="8">
        <v>70705</v>
      </c>
      <c r="B278" s="9" t="s">
        <v>291</v>
      </c>
    </row>
    <row r="279" spans="1:2" ht="15.75" customHeight="1">
      <c r="A279" s="8">
        <v>70706</v>
      </c>
      <c r="B279" s="9" t="s">
        <v>292</v>
      </c>
    </row>
    <row r="280" spans="1:2" ht="15.75" customHeight="1">
      <c r="A280" s="8">
        <v>70707</v>
      </c>
      <c r="B280" s="9" t="s">
        <v>293</v>
      </c>
    </row>
    <row r="281" spans="1:2" ht="15.75" customHeight="1">
      <c r="A281" s="8">
        <v>70801</v>
      </c>
      <c r="B281" s="9" t="s">
        <v>294</v>
      </c>
    </row>
    <row r="282" spans="1:2" ht="15.75" customHeight="1">
      <c r="A282" s="8">
        <v>70802</v>
      </c>
      <c r="B282" s="9" t="s">
        <v>295</v>
      </c>
    </row>
    <row r="283" spans="1:2" ht="15.75" customHeight="1">
      <c r="A283" s="8">
        <v>70803</v>
      </c>
      <c r="B283" s="9" t="s">
        <v>296</v>
      </c>
    </row>
    <row r="284" spans="1:2" ht="15.75" customHeight="1">
      <c r="A284" s="8">
        <v>70804</v>
      </c>
      <c r="B284" s="9" t="s">
        <v>297</v>
      </c>
    </row>
    <row r="285" spans="1:2" ht="15.75" customHeight="1">
      <c r="A285" s="8">
        <v>70805</v>
      </c>
      <c r="B285" s="9" t="s">
        <v>298</v>
      </c>
    </row>
    <row r="286" spans="1:2" ht="15.75" customHeight="1">
      <c r="A286" s="8">
        <v>70901</v>
      </c>
      <c r="B286" s="9" t="s">
        <v>299</v>
      </c>
    </row>
    <row r="287" spans="1:2" ht="15.75" customHeight="1">
      <c r="A287" s="8">
        <v>70902</v>
      </c>
      <c r="B287" s="9" t="s">
        <v>300</v>
      </c>
    </row>
    <row r="288" spans="1:2" ht="15.75" customHeight="1">
      <c r="A288" s="8">
        <v>70903</v>
      </c>
      <c r="B288" s="9" t="s">
        <v>301</v>
      </c>
    </row>
    <row r="289" spans="1:2" ht="15.75" customHeight="1">
      <c r="A289" s="8">
        <v>70904</v>
      </c>
      <c r="B289" s="9" t="s">
        <v>302</v>
      </c>
    </row>
    <row r="290" spans="1:2" ht="15.75" customHeight="1">
      <c r="A290" s="8">
        <v>71001</v>
      </c>
      <c r="B290" s="9" t="s">
        <v>303</v>
      </c>
    </row>
    <row r="291" spans="1:2" ht="15.75" customHeight="1">
      <c r="A291" s="8">
        <v>71002</v>
      </c>
      <c r="B291" s="9" t="s">
        <v>304</v>
      </c>
    </row>
    <row r="292" spans="1:2" ht="15.75" customHeight="1">
      <c r="A292" s="8">
        <v>71003</v>
      </c>
      <c r="B292" s="9" t="s">
        <v>305</v>
      </c>
    </row>
    <row r="293" spans="1:2" ht="15.75" customHeight="1">
      <c r="A293" s="8">
        <v>71004</v>
      </c>
      <c r="B293" s="9" t="s">
        <v>306</v>
      </c>
    </row>
    <row r="294" spans="1:2" ht="15.75" customHeight="1">
      <c r="A294" s="8">
        <v>71005</v>
      </c>
      <c r="B294" s="9" t="s">
        <v>307</v>
      </c>
    </row>
    <row r="295" spans="1:2" ht="15.75" customHeight="1">
      <c r="A295" s="8">
        <v>71101</v>
      </c>
      <c r="B295" s="9" t="s">
        <v>308</v>
      </c>
    </row>
    <row r="296" spans="1:2" ht="15.75" customHeight="1">
      <c r="A296" s="8">
        <v>71102</v>
      </c>
      <c r="B296" s="9" t="s">
        <v>309</v>
      </c>
    </row>
    <row r="297" spans="1:2" ht="15.75" customHeight="1">
      <c r="A297" s="8">
        <v>71103</v>
      </c>
      <c r="B297" s="9" t="s">
        <v>310</v>
      </c>
    </row>
    <row r="298" spans="1:2" ht="15.75" customHeight="1">
      <c r="A298" s="8">
        <v>71104</v>
      </c>
      <c r="B298" s="9" t="s">
        <v>311</v>
      </c>
    </row>
    <row r="299" spans="1:2" ht="15.75" customHeight="1">
      <c r="A299" s="8">
        <v>71105</v>
      </c>
      <c r="B299" s="9" t="s">
        <v>312</v>
      </c>
    </row>
    <row r="300" spans="1:2" ht="15.75" customHeight="1">
      <c r="A300" s="8">
        <v>71106</v>
      </c>
      <c r="B300" s="9" t="s">
        <v>313</v>
      </c>
    </row>
    <row r="301" spans="1:2" ht="15.75" customHeight="1">
      <c r="A301" s="8">
        <v>71201</v>
      </c>
      <c r="B301" s="9" t="s">
        <v>314</v>
      </c>
    </row>
    <row r="302" spans="1:2" ht="15.75" customHeight="1">
      <c r="A302" s="8">
        <v>71301</v>
      </c>
      <c r="B302" s="9" t="s">
        <v>315</v>
      </c>
    </row>
    <row r="303" spans="1:2" ht="15.75" customHeight="1">
      <c r="A303" s="8">
        <v>71302</v>
      </c>
      <c r="B303" s="9" t="s">
        <v>316</v>
      </c>
    </row>
    <row r="304" spans="1:2" ht="15.75" customHeight="1">
      <c r="A304" s="8">
        <v>71401</v>
      </c>
      <c r="B304" s="9" t="s">
        <v>317</v>
      </c>
    </row>
    <row r="305" spans="1:2" ht="15.75" customHeight="1">
      <c r="A305" s="8">
        <v>71402</v>
      </c>
      <c r="B305" s="9" t="s">
        <v>318</v>
      </c>
    </row>
    <row r="306" spans="1:2" ht="15.75" customHeight="1">
      <c r="A306" s="8">
        <v>71403</v>
      </c>
      <c r="B306" s="9" t="s">
        <v>319</v>
      </c>
    </row>
    <row r="307" spans="1:2" ht="15.75" customHeight="1">
      <c r="A307" s="8">
        <v>71501</v>
      </c>
      <c r="B307" s="9" t="s">
        <v>320</v>
      </c>
    </row>
    <row r="308" spans="1:2" ht="15.75" customHeight="1">
      <c r="A308" s="8">
        <v>71502</v>
      </c>
      <c r="B308" s="9" t="s">
        <v>321</v>
      </c>
    </row>
    <row r="309" spans="1:2" ht="15.75" customHeight="1">
      <c r="A309" s="8">
        <v>71503</v>
      </c>
      <c r="B309" s="9" t="s">
        <v>266</v>
      </c>
    </row>
    <row r="310" spans="1:2" ht="15.75" customHeight="1">
      <c r="A310" s="8">
        <v>80101</v>
      </c>
      <c r="B310" s="9" t="s">
        <v>322</v>
      </c>
    </row>
    <row r="311" spans="1:2" ht="15.75" customHeight="1">
      <c r="A311" s="8">
        <v>80102</v>
      </c>
      <c r="B311" s="9" t="s">
        <v>309</v>
      </c>
    </row>
    <row r="312" spans="1:2" ht="15.75" customHeight="1">
      <c r="A312" s="8">
        <v>80201</v>
      </c>
      <c r="B312" s="9" t="s">
        <v>323</v>
      </c>
    </row>
    <row r="313" spans="1:2" ht="15.75" customHeight="1">
      <c r="A313" s="8">
        <v>80202</v>
      </c>
      <c r="B313" s="9" t="s">
        <v>324</v>
      </c>
    </row>
    <row r="314" spans="1:2" ht="15.75" customHeight="1">
      <c r="A314" s="8">
        <v>80301</v>
      </c>
      <c r="B314" s="9" t="s">
        <v>325</v>
      </c>
    </row>
    <row r="315" spans="1:2" ht="15.75" customHeight="1">
      <c r="A315" s="8">
        <v>80302</v>
      </c>
      <c r="B315" s="9" t="s">
        <v>326</v>
      </c>
    </row>
    <row r="316" spans="1:2" ht="15.75" customHeight="1">
      <c r="A316" s="8">
        <v>80303</v>
      </c>
      <c r="B316" s="9" t="s">
        <v>327</v>
      </c>
    </row>
    <row r="317" spans="1:2" ht="15.75" customHeight="1">
      <c r="A317" s="8">
        <v>80304</v>
      </c>
      <c r="B317" s="9" t="s">
        <v>328</v>
      </c>
    </row>
    <row r="318" spans="1:2" ht="15.75" customHeight="1">
      <c r="A318" s="8">
        <v>80401</v>
      </c>
      <c r="B318" s="9" t="s">
        <v>329</v>
      </c>
    </row>
    <row r="319" spans="1:2" ht="15.75" customHeight="1">
      <c r="A319" s="8">
        <v>80402</v>
      </c>
      <c r="B319" s="9" t="s">
        <v>330</v>
      </c>
    </row>
    <row r="320" spans="1:2" ht="15.75" customHeight="1">
      <c r="A320" s="8">
        <v>80501</v>
      </c>
      <c r="B320" s="9" t="s">
        <v>331</v>
      </c>
    </row>
    <row r="321" spans="1:2" ht="15.75" customHeight="1">
      <c r="A321" s="8">
        <v>80601</v>
      </c>
      <c r="B321" s="9" t="s">
        <v>332</v>
      </c>
    </row>
    <row r="322" spans="1:2" ht="15.75" customHeight="1">
      <c r="A322" s="8">
        <v>80602</v>
      </c>
      <c r="B322" s="9" t="s">
        <v>333</v>
      </c>
    </row>
    <row r="323" spans="1:2" ht="15.75" customHeight="1">
      <c r="A323" s="8">
        <v>80701</v>
      </c>
      <c r="B323" s="9" t="s">
        <v>334</v>
      </c>
    </row>
    <row r="324" spans="1:2" ht="15.75" customHeight="1">
      <c r="A324" s="8">
        <v>80702</v>
      </c>
      <c r="B324" s="9" t="s">
        <v>310</v>
      </c>
    </row>
    <row r="325" spans="1:2" ht="15.75" customHeight="1">
      <c r="A325" s="8">
        <v>80703</v>
      </c>
      <c r="B325" s="9" t="s">
        <v>335</v>
      </c>
    </row>
    <row r="326" spans="1:2" ht="15.75" customHeight="1">
      <c r="A326" s="8">
        <v>80801</v>
      </c>
      <c r="B326" s="9" t="s">
        <v>336</v>
      </c>
    </row>
    <row r="327" spans="1:2" ht="15.75" customHeight="1">
      <c r="A327" s="8">
        <v>80802</v>
      </c>
      <c r="B327" s="9" t="s">
        <v>337</v>
      </c>
    </row>
    <row r="328" spans="1:2" ht="15.75" customHeight="1">
      <c r="A328" s="8">
        <v>80803</v>
      </c>
      <c r="B328" s="9" t="s">
        <v>338</v>
      </c>
    </row>
    <row r="329" spans="1:2" ht="15.75" customHeight="1">
      <c r="A329" s="8">
        <v>80901</v>
      </c>
      <c r="B329" s="9" t="s">
        <v>339</v>
      </c>
    </row>
    <row r="330" spans="1:2" ht="15.75" customHeight="1">
      <c r="A330" s="8">
        <v>90101</v>
      </c>
      <c r="B330" s="9" t="s">
        <v>340</v>
      </c>
    </row>
    <row r="331" spans="1:2" ht="15.75" customHeight="1">
      <c r="A331" s="8">
        <v>90102</v>
      </c>
      <c r="B331" s="9" t="s">
        <v>341</v>
      </c>
    </row>
    <row r="332" spans="1:2" ht="15.75" customHeight="1">
      <c r="A332" s="8">
        <v>90103</v>
      </c>
      <c r="B332" s="9" t="s">
        <v>342</v>
      </c>
    </row>
    <row r="333" spans="1:2" ht="15.75" customHeight="1">
      <c r="A333" s="8">
        <v>90104</v>
      </c>
      <c r="B333" s="9" t="s">
        <v>343</v>
      </c>
    </row>
    <row r="334" spans="1:2" ht="15.75" customHeight="1">
      <c r="A334" s="8">
        <v>90201</v>
      </c>
      <c r="B334" s="9" t="s">
        <v>344</v>
      </c>
    </row>
    <row r="335" spans="1:2" ht="15.75" customHeight="1">
      <c r="A335" s="8">
        <v>90202</v>
      </c>
      <c r="B335" s="9" t="s">
        <v>307</v>
      </c>
    </row>
    <row r="336" spans="1:2" ht="15.75" customHeight="1">
      <c r="A336" s="8">
        <v>90203</v>
      </c>
      <c r="B336" s="9" t="s">
        <v>345</v>
      </c>
    </row>
    <row r="337" spans="1:2" ht="15.75" customHeight="1">
      <c r="A337" s="8">
        <v>90301</v>
      </c>
      <c r="B337" s="9" t="s">
        <v>346</v>
      </c>
    </row>
    <row r="338" spans="1:2" ht="15.75" customHeight="1">
      <c r="A338" s="8">
        <v>90302</v>
      </c>
      <c r="B338" s="9" t="s">
        <v>347</v>
      </c>
    </row>
    <row r="339" spans="1:2" ht="15.75" customHeight="1">
      <c r="A339" s="8">
        <v>90303</v>
      </c>
      <c r="B339" s="9" t="s">
        <v>348</v>
      </c>
    </row>
    <row r="340" spans="1:2" ht="15.75" customHeight="1">
      <c r="A340" s="8">
        <v>90401</v>
      </c>
      <c r="B340" s="9" t="s">
        <v>349</v>
      </c>
    </row>
    <row r="341" spans="1:2" ht="15.75" customHeight="1">
      <c r="A341" s="8">
        <v>90402</v>
      </c>
      <c r="B341" s="9" t="s">
        <v>350</v>
      </c>
    </row>
    <row r="342" spans="1:2" ht="15.75" customHeight="1">
      <c r="A342" s="8">
        <v>90501</v>
      </c>
      <c r="B342" s="9" t="s">
        <v>351</v>
      </c>
    </row>
    <row r="343" spans="1:2" ht="15.75" customHeight="1">
      <c r="A343" s="8">
        <v>90502</v>
      </c>
      <c r="B343" s="9" t="s">
        <v>352</v>
      </c>
    </row>
    <row r="344" spans="1:2" ht="15.75" customHeight="1">
      <c r="A344" s="8">
        <v>90503</v>
      </c>
      <c r="B344" s="9" t="s">
        <v>353</v>
      </c>
    </row>
    <row r="345" spans="1:2" ht="15.75" customHeight="1"/>
    <row r="346" spans="1:2" ht="15.75" customHeight="1"/>
    <row r="347" spans="1:2" ht="15.75" customHeight="1"/>
    <row r="348" spans="1:2" ht="15.75" customHeight="1"/>
    <row r="349" spans="1:2" ht="15.75" customHeight="1"/>
    <row r="350" spans="1:2" ht="15.75" customHeight="1"/>
    <row r="351" spans="1:2" ht="15.75" customHeight="1"/>
    <row r="352" spans="1: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crudos 2012</vt:lpstr>
      <vt:lpstr>Datos crudos 2024</vt:lpstr>
      <vt:lpstr>Indicador_MUN</vt:lpstr>
      <vt:lpstr>Absoluto_MUN</vt:lpstr>
      <vt:lpstr>Indicador_DEP</vt:lpstr>
      <vt:lpstr>Absoluto_DEP</vt:lpstr>
      <vt:lpstr>Umbral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marion torrico</cp:lastModifiedBy>
  <dcterms:created xsi:type="dcterms:W3CDTF">2026-05-29T04:08:58Z</dcterms:created>
  <dcterms:modified xsi:type="dcterms:W3CDTF">2026-06-03T17:12:12Z</dcterms:modified>
</cp:coreProperties>
</file>