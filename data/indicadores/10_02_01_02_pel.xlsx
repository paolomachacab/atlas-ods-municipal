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crudos 2012" sheetId="1" r:id="rId4"/>
    <sheet state="visible" name="Datos crudos 2024" sheetId="2" r:id="rId5"/>
    <sheet state="visible" name="Indicador_MUN" sheetId="3" r:id="rId6"/>
    <sheet state="visible" name="Absoluto_MUN" sheetId="4" r:id="rId7"/>
    <sheet state="visible" name="Indicador_DEP" sheetId="5" r:id="rId8"/>
    <sheet state="visible" name="Absoluto_DEP" sheetId="6" r:id="rId9"/>
    <sheet state="visible" name="Umbral" sheetId="7" r:id="rId10"/>
    <sheet state="visible" name="Mapa" sheetId="8" r:id="rId11"/>
  </sheets>
  <definedNames/>
  <calcPr/>
  <extLst>
    <ext uri="GoogleSheetsCustomDataVersion2">
      <go:sheetsCustomData xmlns:go="http://customooxmlschemas.google.com/" r:id="rId12" roundtripDataChecksum="Je1PZCHzIxDk3YfV2ssl3VI1m18fAkbRhVQ/xL8mkqE="/>
    </ext>
  </extLst>
</workbook>
</file>

<file path=xl/sharedStrings.xml><?xml version="1.0" encoding="utf-8"?>
<sst xmlns="http://schemas.openxmlformats.org/spreadsheetml/2006/main" count="1830" uniqueCount="379">
  <si>
    <t xml:space="preserve">id </t>
  </si>
  <si>
    <t>Municipio</t>
  </si>
  <si>
    <t>Cantidad de personas pobres con jefe de hogar indígena</t>
  </si>
  <si>
    <t>Suma de privaciones de personas con jefe de hogar indígena</t>
  </si>
  <si>
    <t>Cantidad de personas con jefe de hogar indígena</t>
  </si>
  <si>
    <t>H de jefe de hogar indígena</t>
  </si>
  <si>
    <t>A de jefe de hogar indígena</t>
  </si>
  <si>
    <t>IPM de jefe de hogar indígena</t>
  </si>
  <si>
    <t>Cantidad de personas pobres con jefe de hogar no indígena</t>
  </si>
  <si>
    <t>Suma de privaciones de personas con jefe de hogar no indígena</t>
  </si>
  <si>
    <t>Cantidad de personas con jefe de hogar no indígena</t>
  </si>
  <si>
    <t>H de jefe de hogar no indígena</t>
  </si>
  <si>
    <t>A de jefe de hogar no indígena</t>
  </si>
  <si>
    <t>IPM de jefe de hogar no indígena</t>
  </si>
  <si>
    <t>brecha etnica 2012</t>
  </si>
  <si>
    <t>idep</t>
  </si>
  <si>
    <t>Sucre</t>
  </si>
  <si>
    <t>Yotala</t>
  </si>
  <si>
    <t>Poroma</t>
  </si>
  <si>
    <t>Villa Azurduy</t>
  </si>
  <si>
    <t>Tarvita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</si>
  <si>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</si>
  <si>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</si>
  <si>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</si>
  <si>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</si>
  <si>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</si>
  <si>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</si>
  <si>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</si>
  <si>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</si>
  <si>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</si>
  <si>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</si>
  <si>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</si>
  <si>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</si>
  <si>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</si>
  <si>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</si>
  <si>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</si>
  <si>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</si>
  <si>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</si>
  <si>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</si>
  <si>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</si>
  <si>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</si>
  <si>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</si>
  <si>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</si>
  <si>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</si>
  <si>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</si>
  <si>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</si>
  <si>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</si>
  <si>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</si>
  <si>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</si>
  <si>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</si>
  <si>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</si>
  <si>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</si>
  <si>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</si>
  <si>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</si>
  <si>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</si>
  <si>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</si>
  <si>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</si>
  <si>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</si>
  <si>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</si>
  <si>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</si>
  <si>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</si>
  <si>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</si>
  <si>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</si>
  <si>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</si>
  <si>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</si>
  <si>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</si>
  <si>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</si>
  <si>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</si>
  <si>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</si>
  <si>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</si>
  <si>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</si>
  <si>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</si>
  <si>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</si>
  <si>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</si>
  <si>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</si>
  <si>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</si>
  <si>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</si>
  <si>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</si>
  <si>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</si>
  <si>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</si>
  <si>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</si>
  <si>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</si>
  <si>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</si>
  <si>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</si>
  <si>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</si>
  <si>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</si>
  <si>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</si>
  <si>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</si>
  <si>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</si>
  <si>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</si>
  <si>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</si>
  <si>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</si>
  <si>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</si>
  <si>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</si>
  <si>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</si>
  <si>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</si>
  <si>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</si>
  <si>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</si>
  <si>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</si>
  <si>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</si>
  <si>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</si>
  <si>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</si>
  <si>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</si>
  <si>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</si>
  <si>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</si>
  <si>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</si>
  <si>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</si>
  <si>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</si>
  <si>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</si>
  <si>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</si>
  <si>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</si>
  <si>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</si>
  <si>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</si>
  <si>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</si>
  <si>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</si>
  <si>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</si>
  <si>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</si>
  <si>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</si>
  <si>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</si>
  <si>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</si>
  <si>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</si>
  <si>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</si>
  <si>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</si>
  <si>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</si>
  <si>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</si>
  <si>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</si>
  <si>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</si>
  <si>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</si>
  <si>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</si>
  <si>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</si>
  <si>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</si>
  <si>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</si>
  <si>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</si>
  <si>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</si>
  <si>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</si>
  <si>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</si>
  <si>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</si>
  <si>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</si>
  <si>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</si>
  <si>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</si>
  <si>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</si>
  <si>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</si>
  <si>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</si>
  <si>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</si>
  <si>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</si>
  <si>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</si>
  <si>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</si>
  <si>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</si>
  <si>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</si>
  <si>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</si>
  <si>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</si>
  <si>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</si>
  <si>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</si>
  <si>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</si>
  <si>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</si>
  <si>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</si>
  <si>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</si>
  <si>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</si>
  <si>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</si>
  <si>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</si>
  <si>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</si>
  <si>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</si>
  <si>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</si>
  <si>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</si>
  <si>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</si>
  <si>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</si>
  <si>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</si>
  <si>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</si>
  <si>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</si>
  <si>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</si>
  <si>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</si>
  <si>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</si>
  <si>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</si>
  <si>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</si>
  <si>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</si>
  <si>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</si>
  <si>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</si>
  <si>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</si>
  <si>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</si>
  <si>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</si>
  <si>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</si>
  <si>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</si>
  <si>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</si>
  <si>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</si>
  <si>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</si>
  <si>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</si>
  <si>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</si>
  <si>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</si>
  <si>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</si>
  <si>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</si>
  <si>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</si>
  <si>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</si>
  <si>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</si>
  <si>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</si>
  <si>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</si>
  <si>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</si>
  <si>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</si>
  <si>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</si>
  <si>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</si>
  <si>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</si>
  <si>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</si>
  <si>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</si>
  <si>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</si>
  <si>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</si>
  <si>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</si>
  <si>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</si>
  <si>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</si>
  <si>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</si>
  <si>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</si>
  <si>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</si>
  <si>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</si>
  <si>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</si>
  <si>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</si>
  <si>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</si>
  <si>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</si>
  <si>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Potosí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</si>
  <si>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</si>
  <si>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</si>
  <si>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</si>
  <si>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</si>
  <si>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</si>
  <si>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</si>
  <si>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</si>
  <si>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</si>
  <si>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</si>
  <si>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</si>
  <si>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</si>
  <si>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</si>
  <si>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</si>
  <si>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</si>
  <si>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</si>
  <si>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</si>
  <si>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</si>
  <si>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</si>
  <si>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</si>
  <si>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</si>
  <si>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</si>
  <si>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</si>
  <si>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</si>
  <si>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</si>
  <si>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</si>
  <si>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</si>
  <si>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</si>
  <si>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</si>
  <si>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</si>
  <si>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</si>
  <si>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</si>
  <si>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</si>
  <si>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</si>
  <si>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</si>
  <si>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</si>
  <si>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</si>
  <si>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</si>
  <si>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</si>
  <si>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</si>
  <si>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</si>
  <si>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</si>
  <si>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</si>
  <si>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</si>
  <si>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</si>
  <si>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</si>
  <si>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</si>
  <si>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</si>
  <si>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</si>
  <si>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</si>
  <si>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</si>
  <si>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</si>
  <si>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</si>
  <si>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</si>
  <si>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</si>
  <si>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</si>
  <si>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</si>
  <si>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</si>
  <si>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</si>
  <si>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</si>
  <si>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</si>
  <si>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</si>
  <si>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</si>
  <si>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</si>
  <si>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</si>
  <si>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</si>
  <si>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</si>
  <si>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</si>
  <si>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</si>
  <si>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</si>
  <si>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</si>
  <si>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</si>
  <si>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</si>
  <si>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</si>
  <si>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</si>
  <si>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</si>
  <si>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</si>
  <si>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</si>
  <si>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</si>
  <si>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</si>
  <si>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</si>
  <si>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</si>
  <si>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</si>
  <si>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</si>
  <si>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</si>
  <si>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</si>
  <si>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</si>
  <si>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</si>
  <si>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</si>
  <si>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</si>
  <si>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</si>
  <si>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</si>
  <si>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</si>
  <si>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</si>
  <si>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</si>
  <si>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</si>
  <si>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</si>
  <si>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</si>
  <si>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</si>
  <si>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</si>
  <si>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</si>
  <si>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</si>
  <si>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</si>
  <si>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</si>
  <si>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</si>
  <si>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</si>
  <si>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</si>
  <si>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</si>
  <si>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</si>
  <si>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</si>
  <si>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</si>
  <si>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</si>
  <si>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</si>
  <si>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</si>
  <si>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</si>
  <si>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</si>
  <si>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</si>
  <si>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</si>
  <si>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</si>
  <si>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</si>
  <si>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</si>
  <si>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</si>
  <si>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</si>
  <si>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</si>
  <si>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Indigena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</si>
  <si>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</si>
  <si>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</si>
  <si>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</si>
  <si>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</si>
  <si>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</si>
  <si>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</si>
  <si>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</si>
  <si>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</si>
  <si>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</si>
  <si>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</si>
  <si>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</si>
  <si>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</si>
  <si>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</si>
  <si>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</si>
  <si>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Gran Chaco</t>
  </si>
  <si>
    <t>Bolivia</t>
  </si>
  <si>
    <t>brecha etnica 2024</t>
  </si>
  <si>
    <t>brecha 2012</t>
  </si>
  <si>
    <t>brecha 2024</t>
  </si>
  <si>
    <t>id_departamento</t>
  </si>
  <si>
    <t>Departamento</t>
  </si>
  <si>
    <t>Chuquisaca</t>
  </si>
  <si>
    <t>La Paz</t>
  </si>
  <si>
    <t>Santa Cruz</t>
  </si>
  <si>
    <t>Beni</t>
  </si>
  <si>
    <t>Pando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</si>
  <si>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</si>
  <si>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</si>
  <si>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</si>
  <si>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</si>
  <si>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</si>
  <si>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</si>
  <si>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</si>
  <si>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</si>
  <si>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</si>
  <si>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</si>
  <si>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</si>
  <si>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 xml:space="preserve">Brecha de pobreza multidimensional según autoidentificación indígena
</t>
  </si>
  <si>
    <t>Paridad alcanzada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</si>
</sst>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#,##0.0000"/>
    <numFmt numFmtId="165" formatCode="000"/>
    <numFmt numFmtId="166" formatCode="0.000"/>
    <numFmt numFmtId="167" formatCode="0.0"/>
  </numFmts>
  <fonts count="5">
    <font>
      <sz val="10.0"/>
      <color rgb="FF00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b/>
      <sz val="11.0"/>
      <color theme="1"/>
      <name val="Calibri"/>
    </font>
    <font>
      <b/>
      <sz val="9.0"/>
      <color theme="1"/>
      <name val="Play"/>
    </font>
  </fonts>
  <fills count="8">
    <fill>
      <patternFill patternType="none"/>
    </fill>
    <fill>
      <patternFill patternType="lightGray"/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1" fillId="0" fontId="1" numFmtId="1" xfId="0" applyAlignment="1" applyBorder="1" applyFont="1" applyNumberFormat="1">
      <alignment shrinkToFit="0" wrapText="1"/>
    </xf>
    <xf borderId="1" fillId="0" fontId="1" numFmtId="49" xfId="0" applyAlignment="1" applyBorder="1" applyFont="1" applyNumberFormat="1">
      <alignment shrinkToFit="0" wrapText="1"/>
    </xf>
    <xf borderId="1" fillId="0" fontId="1" numFmtId="164" xfId="0" applyAlignment="1" applyBorder="1" applyFont="1" applyNumberFormat="1">
      <alignment shrinkToFit="0" wrapText="1"/>
    </xf>
    <xf borderId="1" fillId="0" fontId="1" numFmtId="2" xfId="0" applyAlignment="1" applyBorder="1" applyFont="1" applyNumberFormat="1">
      <alignment shrinkToFit="0" wrapText="1"/>
    </xf>
    <xf borderId="0" fillId="0" fontId="1" numFmtId="165" xfId="0" applyAlignment="1" applyFont="1" applyNumberFormat="1">
      <alignment shrinkToFit="0" wrapText="1"/>
    </xf>
    <xf borderId="1" fillId="0" fontId="1" numFmtId="165" xfId="0" applyAlignment="1" applyBorder="1" applyFont="1" applyNumberFormat="1">
      <alignment shrinkToFit="0" wrapText="1"/>
    </xf>
    <xf borderId="0" fillId="0" fontId="2" numFmtId="0" xfId="0" applyAlignment="1" applyFont="1">
      <alignment shrinkToFit="0" wrapText="1"/>
    </xf>
    <xf borderId="1" fillId="0" fontId="1" numFmtId="1" xfId="0" applyAlignment="1" applyBorder="1" applyFont="1" applyNumberFormat="1">
      <alignment horizontal="right"/>
    </xf>
    <xf borderId="1" fillId="0" fontId="1" numFmtId="49" xfId="0" applyBorder="1" applyFont="1" applyNumberFormat="1"/>
    <xf borderId="1" fillId="0" fontId="2" numFmtId="4" xfId="0" applyBorder="1" applyFont="1" applyNumberFormat="1"/>
    <xf borderId="1" fillId="0" fontId="1" numFmtId="4" xfId="0" applyBorder="1" applyFont="1" applyNumberFormat="1"/>
    <xf borderId="1" fillId="0" fontId="1" numFmtId="4" xfId="0" applyAlignment="1" applyBorder="1" applyFont="1" applyNumberFormat="1">
      <alignment horizontal="right"/>
    </xf>
    <xf borderId="1" fillId="0" fontId="2" numFmtId="4" xfId="0" applyAlignment="1" applyBorder="1" applyFont="1" applyNumberFormat="1">
      <alignment horizontal="right"/>
    </xf>
    <xf borderId="1" fillId="0" fontId="1" numFmtId="2" xfId="0" applyAlignment="1" applyBorder="1" applyFont="1" applyNumberFormat="1">
      <alignment horizontal="right"/>
    </xf>
    <xf borderId="0" fillId="0" fontId="1" numFmtId="1" xfId="0" applyAlignment="1" applyFont="1" applyNumberFormat="1">
      <alignment horizontal="right"/>
    </xf>
    <xf borderId="1" fillId="0" fontId="1" numFmtId="166" xfId="0" applyAlignment="1" applyBorder="1" applyFont="1" applyNumberFormat="1">
      <alignment horizontal="right"/>
    </xf>
    <xf borderId="1" fillId="0" fontId="2" numFmtId="166" xfId="0" applyBorder="1" applyFont="1" applyNumberFormat="1"/>
    <xf borderId="1" fillId="0" fontId="2" numFmtId="2" xfId="0" applyBorder="1" applyFont="1" applyNumberFormat="1"/>
    <xf borderId="1" fillId="0" fontId="2" numFmtId="1" xfId="0" applyBorder="1" applyFont="1" applyNumberFormat="1"/>
    <xf borderId="0" fillId="0" fontId="2" numFmtId="2" xfId="0" applyFont="1" applyNumberFormat="1"/>
    <xf borderId="0" fillId="0" fontId="2" numFmtId="1" xfId="0" applyFont="1" applyNumberFormat="1"/>
    <xf borderId="0" fillId="0" fontId="2" numFmtId="4" xfId="0" applyFont="1" applyNumberFormat="1"/>
    <xf borderId="1" fillId="0" fontId="2" numFmtId="0" xfId="0" applyBorder="1" applyFont="1"/>
    <xf borderId="1" fillId="0" fontId="1" numFmtId="1" xfId="0" applyBorder="1" applyFont="1" applyNumberFormat="1"/>
    <xf borderId="2" fillId="0" fontId="1" numFmtId="4" xfId="0" applyAlignment="1" applyBorder="1" applyFont="1" applyNumberFormat="1">
      <alignment horizontal="right"/>
    </xf>
    <xf borderId="2" fillId="0" fontId="2" numFmtId="2" xfId="0" applyBorder="1" applyFont="1" applyNumberFormat="1"/>
    <xf borderId="0" fillId="0" fontId="2" numFmtId="49" xfId="0" applyFont="1" applyNumberFormat="1"/>
    <xf borderId="3" fillId="0" fontId="1" numFmtId="4" xfId="0" applyAlignment="1" applyBorder="1" applyFont="1" applyNumberFormat="1">
      <alignment horizontal="right"/>
    </xf>
    <xf borderId="3" fillId="0" fontId="2" numFmtId="2" xfId="0" applyBorder="1" applyFont="1" applyNumberFormat="1"/>
    <xf borderId="0" fillId="0" fontId="1" numFmtId="4" xfId="0" applyAlignment="1" applyFont="1" applyNumberFormat="1">
      <alignment horizontal="right"/>
    </xf>
    <xf borderId="1" fillId="0" fontId="1" numFmtId="3" xfId="0" applyBorder="1" applyFont="1" applyNumberFormat="1"/>
    <xf borderId="4" fillId="0" fontId="1" numFmtId="49" xfId="0" applyBorder="1" applyFont="1" applyNumberFormat="1"/>
    <xf borderId="1" fillId="0" fontId="1" numFmtId="3" xfId="0" applyAlignment="1" applyBorder="1" applyFont="1" applyNumberFormat="1">
      <alignment horizontal="right"/>
    </xf>
    <xf borderId="0" fillId="0" fontId="2" numFmtId="3" xfId="0" applyFont="1" applyNumberFormat="1"/>
    <xf borderId="1" fillId="2" fontId="3" numFmtId="0" xfId="0" applyBorder="1" applyFill="1" applyFont="1"/>
    <xf borderId="1" fillId="3" fontId="4" numFmtId="0" xfId="0" applyAlignment="1" applyBorder="1" applyFill="1" applyFont="1">
      <alignment horizontal="center" shrinkToFit="0" wrapText="1"/>
    </xf>
    <xf borderId="1" fillId="4" fontId="4" numFmtId="0" xfId="0" applyAlignment="1" applyBorder="1" applyFill="1" applyFont="1">
      <alignment horizontal="center" shrinkToFit="0" wrapText="1"/>
    </xf>
    <xf borderId="1" fillId="5" fontId="4" numFmtId="0" xfId="0" applyAlignment="1" applyBorder="1" applyFill="1" applyFont="1">
      <alignment horizontal="center" shrinkToFit="0" wrapText="1"/>
    </xf>
    <xf borderId="1" fillId="6" fontId="4" numFmtId="0" xfId="0" applyAlignment="1" applyBorder="1" applyFill="1" applyFont="1">
      <alignment horizontal="center" shrinkToFit="0" wrapText="1"/>
    </xf>
    <xf borderId="1" fillId="7" fontId="3" numFmtId="0" xfId="0" applyAlignment="1" applyBorder="1" applyFill="1" applyFont="1">
      <alignment horizontal="center" shrinkToFit="0" vertical="bottom" wrapText="1"/>
    </xf>
    <xf borderId="0" fillId="0" fontId="2" numFmtId="0" xfId="0" applyFont="1"/>
    <xf borderId="1" fillId="0" fontId="1" numFmtId="0" xfId="0" applyAlignment="1" applyBorder="1" applyFont="1">
      <alignment horizontal="right"/>
    </xf>
    <xf borderId="1" fillId="0" fontId="1" numFmtId="0" xfId="0" applyBorder="1" applyFont="1"/>
    <xf borderId="1" fillId="0" fontId="2" numFmtId="1" xfId="0" applyAlignment="1" applyBorder="1" applyFont="1" applyNumberFormat="1">
      <alignment horizontal="right"/>
    </xf>
    <xf borderId="1" fillId="0" fontId="2" numFmtId="2" xfId="0" applyAlignment="1" applyBorder="1" applyFont="1" applyNumberForma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1" numFmtId="167" xfId="0" applyAlignment="1" applyBorder="1" applyFont="1" applyNumberFormat="1">
      <alignment horizontal="right"/>
    </xf>
    <xf borderId="1" fillId="0" fontId="1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6" max="7" width="11.63"/>
    <col customWidth="1" min="8" max="8" width="11.75"/>
    <col customWidth="1" min="14" max="14" width="10.63"/>
    <col customWidth="1" min="27" max="27" width="9.88"/>
    <col customWidth="1" min="28" max="28" width="9.75"/>
    <col customWidth="1" min="29" max="29" width="11.75"/>
  </cols>
  <sheetData>
    <row r="1" ht="57.0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1" t="s">
        <v>9</v>
      </c>
      <c r="K1" s="1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P1" s="5"/>
      <c r="Q1" s="6" t="s">
        <v>15</v>
      </c>
      <c r="R1" s="1" t="s">
        <v>2</v>
      </c>
      <c r="S1" s="1" t="s">
        <v>3</v>
      </c>
      <c r="T1" s="1" t="s">
        <v>4</v>
      </c>
      <c r="U1" s="3" t="s">
        <v>5</v>
      </c>
      <c r="V1" s="3" t="s">
        <v>6</v>
      </c>
      <c r="W1" s="3" t="s">
        <v>7</v>
      </c>
      <c r="X1" s="1" t="s">
        <v>8</v>
      </c>
      <c r="Y1" s="1" t="s">
        <v>9</v>
      </c>
      <c r="Z1" s="1" t="s">
        <v>10</v>
      </c>
      <c r="AA1" s="3" t="s">
        <v>11</v>
      </c>
      <c r="AB1" s="3" t="s">
        <v>12</v>
      </c>
      <c r="AC1" s="3" t="s">
        <v>13</v>
      </c>
      <c r="AD1" s="4" t="s">
        <v>14</v>
      </c>
      <c r="AE1" s="7"/>
      <c r="AF1" s="7"/>
      <c r="AG1" s="7"/>
    </row>
    <row r="2" ht="15.75" customHeight="1">
      <c r="A2" s="8">
        <v>10101.0</v>
      </c>
      <c r="B2" s="9" t="s">
        <v>16</v>
      </c>
      <c r="C2" s="8">
        <v>35337.0</v>
      </c>
      <c r="D2" s="8">
        <v>15905.333753019571</v>
      </c>
      <c r="E2" s="8">
        <v>140821.0</v>
      </c>
      <c r="F2" s="10">
        <f t="shared" ref="F2:F346" si="1">C2/E2</f>
        <v>0.2509355849</v>
      </c>
      <c r="G2" s="10">
        <f t="shared" ref="G2:G346" si="2">D2/C2</f>
        <v>0.4501042463</v>
      </c>
      <c r="H2" s="10">
        <f t="shared" ref="H2:H346" si="3">F2*G2</f>
        <v>0.1129471723</v>
      </c>
      <c r="I2" s="8">
        <v>5253.0</v>
      </c>
      <c r="J2" s="8">
        <v>2054.4444964826107</v>
      </c>
      <c r="K2" s="8">
        <v>113458.0</v>
      </c>
      <c r="L2" s="11">
        <f t="shared" ref="L2:L346" si="4">I2/K2</f>
        <v>0.04629907102</v>
      </c>
      <c r="M2" s="12">
        <f t="shared" ref="M2:M346" si="5">J2/I2</f>
        <v>0.3910992759</v>
      </c>
      <c r="N2" s="13">
        <f t="shared" ref="N2:N346" si="6">L2*M2</f>
        <v>0.01810753315</v>
      </c>
      <c r="O2" s="14">
        <f t="shared" ref="O2:O346" si="7">N2/H2</f>
        <v>0.1603186054</v>
      </c>
      <c r="P2" s="15"/>
      <c r="Q2" s="8">
        <v>1.0</v>
      </c>
      <c r="R2" s="8">
        <v>202135.0</v>
      </c>
      <c r="S2" s="8">
        <v>105996.11398014426</v>
      </c>
      <c r="T2" s="8">
        <v>375711.0</v>
      </c>
      <c r="U2" s="16">
        <f t="shared" ref="U2:U10" si="8">R2/T2</f>
        <v>0.5380066061</v>
      </c>
      <c r="V2" s="17">
        <f t="shared" ref="V2:V10" si="9">S2/R2</f>
        <v>0.5243827837</v>
      </c>
      <c r="W2" s="17">
        <f t="shared" ref="W2:W10" si="10">U2*V2</f>
        <v>0.2821214018</v>
      </c>
      <c r="X2" s="8">
        <v>40963.0</v>
      </c>
      <c r="Y2" s="8">
        <v>19258.77829453349</v>
      </c>
      <c r="Z2" s="8">
        <v>189503.0</v>
      </c>
      <c r="AA2" s="18">
        <f t="shared" ref="AA2:AA12" si="11">X2/Z2</f>
        <v>0.2161601663</v>
      </c>
      <c r="AB2" s="18">
        <f t="shared" ref="AB2:AB12" si="12">Y2/X2</f>
        <v>0.4701505821</v>
      </c>
      <c r="AC2" s="18">
        <f t="shared" ref="AC2:AC12" si="13">AB2*AA2</f>
        <v>0.101627828</v>
      </c>
      <c r="AD2" s="18">
        <f t="shared" ref="AD2:AD12" si="14">AC2/W2</f>
        <v>0.3602272901</v>
      </c>
    </row>
    <row r="3" ht="15.75" customHeight="1">
      <c r="A3" s="8">
        <v>10102.0</v>
      </c>
      <c r="B3" s="9" t="s">
        <v>17</v>
      </c>
      <c r="C3" s="8">
        <v>2734.0</v>
      </c>
      <c r="D3" s="8">
        <v>1208.5555867254734</v>
      </c>
      <c r="E3" s="8">
        <v>7846.0</v>
      </c>
      <c r="F3" s="10">
        <f t="shared" si="1"/>
        <v>0.3484578129</v>
      </c>
      <c r="G3" s="10">
        <f t="shared" si="2"/>
        <v>0.4420466667</v>
      </c>
      <c r="H3" s="10">
        <f t="shared" si="3"/>
        <v>0.1540346147</v>
      </c>
      <c r="I3" s="8">
        <v>245.0</v>
      </c>
      <c r="J3" s="8">
        <v>93.44444674253464</v>
      </c>
      <c r="K3" s="8">
        <v>1238.0</v>
      </c>
      <c r="L3" s="11">
        <f t="shared" si="4"/>
        <v>0.1978998384</v>
      </c>
      <c r="M3" s="12">
        <f t="shared" si="5"/>
        <v>0.3814059051</v>
      </c>
      <c r="N3" s="13">
        <f t="shared" si="6"/>
        <v>0.075480167</v>
      </c>
      <c r="O3" s="14">
        <f t="shared" si="7"/>
        <v>0.4900208123</v>
      </c>
      <c r="P3" s="15"/>
      <c r="Q3" s="8">
        <v>2.0</v>
      </c>
      <c r="R3" s="8">
        <v>606490.0</v>
      </c>
      <c r="S3" s="8">
        <v>263249.7843917012</v>
      </c>
      <c r="T3" s="8">
        <v>1795716.0</v>
      </c>
      <c r="U3" s="16">
        <f t="shared" si="8"/>
        <v>0.3377427166</v>
      </c>
      <c r="V3" s="17">
        <f t="shared" si="9"/>
        <v>0.4340546166</v>
      </c>
      <c r="W3" s="17">
        <f t="shared" si="10"/>
        <v>0.1465987853</v>
      </c>
      <c r="X3" s="8">
        <v>74464.0</v>
      </c>
      <c r="Y3" s="8">
        <v>30254.556301236153</v>
      </c>
      <c r="Z3" s="8">
        <v>876386.0</v>
      </c>
      <c r="AA3" s="18">
        <f t="shared" si="11"/>
        <v>0.08496712636</v>
      </c>
      <c r="AB3" s="18">
        <f t="shared" si="12"/>
        <v>0.4062977587</v>
      </c>
      <c r="AC3" s="18">
        <f t="shared" si="13"/>
        <v>0.034521953</v>
      </c>
      <c r="AD3" s="18">
        <f t="shared" si="14"/>
        <v>0.2354859416</v>
      </c>
    </row>
    <row r="4" ht="15.75" customHeight="1">
      <c r="A4" s="8">
        <v>10103.0</v>
      </c>
      <c r="B4" s="9" t="s">
        <v>18</v>
      </c>
      <c r="C4" s="8">
        <v>15027.0</v>
      </c>
      <c r="D4" s="8">
        <v>8707.778020650148</v>
      </c>
      <c r="E4" s="8">
        <v>16004.0</v>
      </c>
      <c r="F4" s="10">
        <f t="shared" si="1"/>
        <v>0.9389527618</v>
      </c>
      <c r="G4" s="10">
        <f t="shared" si="2"/>
        <v>0.5794754788</v>
      </c>
      <c r="H4" s="10">
        <f t="shared" si="3"/>
        <v>0.5441001013</v>
      </c>
      <c r="I4" s="8">
        <v>225.0</v>
      </c>
      <c r="J4" s="8">
        <v>112.11111438274384</v>
      </c>
      <c r="K4" s="8">
        <v>311.0</v>
      </c>
      <c r="L4" s="11">
        <f t="shared" si="4"/>
        <v>0.7234726688</v>
      </c>
      <c r="M4" s="12">
        <f t="shared" si="5"/>
        <v>0.4982716195</v>
      </c>
      <c r="N4" s="13">
        <f t="shared" si="6"/>
        <v>0.3604858983</v>
      </c>
      <c r="O4" s="14">
        <f t="shared" si="7"/>
        <v>0.6625359883</v>
      </c>
      <c r="P4" s="15"/>
      <c r="Q4" s="8">
        <v>3.0</v>
      </c>
      <c r="R4" s="8">
        <v>474675.0</v>
      </c>
      <c r="S4" s="8">
        <v>213474.78328868747</v>
      </c>
      <c r="T4" s="8">
        <v>1128232.0</v>
      </c>
      <c r="U4" s="16">
        <f t="shared" si="8"/>
        <v>0.4207246382</v>
      </c>
      <c r="V4" s="17">
        <f t="shared" si="9"/>
        <v>0.4497283052</v>
      </c>
      <c r="W4" s="17">
        <f t="shared" si="10"/>
        <v>0.1892117785</v>
      </c>
      <c r="X4" s="8">
        <v>81558.0</v>
      </c>
      <c r="Y4" s="8">
        <v>32099.889699727297</v>
      </c>
      <c r="Z4" s="8">
        <v>603248.0</v>
      </c>
      <c r="AA4" s="18">
        <f t="shared" si="11"/>
        <v>0.1351981275</v>
      </c>
      <c r="AB4" s="18">
        <f t="shared" si="12"/>
        <v>0.393583581</v>
      </c>
      <c r="AC4" s="18">
        <f t="shared" si="13"/>
        <v>0.05321176315</v>
      </c>
      <c r="AD4" s="18">
        <f t="shared" si="14"/>
        <v>0.2812285978</v>
      </c>
    </row>
    <row r="5" ht="15.75" customHeight="1">
      <c r="A5" s="8">
        <v>10201.0</v>
      </c>
      <c r="B5" s="9" t="s">
        <v>19</v>
      </c>
      <c r="C5" s="8">
        <v>7299.0</v>
      </c>
      <c r="D5" s="8">
        <v>4475.2223427295685</v>
      </c>
      <c r="E5" s="8">
        <v>8111.0</v>
      </c>
      <c r="F5" s="10">
        <f t="shared" si="1"/>
        <v>0.8998890396</v>
      </c>
      <c r="G5" s="10">
        <f t="shared" si="2"/>
        <v>0.6131281467</v>
      </c>
      <c r="H5" s="10">
        <f t="shared" si="3"/>
        <v>0.5517472991</v>
      </c>
      <c r="I5" s="8">
        <v>1595.0</v>
      </c>
      <c r="J5" s="8">
        <v>831.3333566486835</v>
      </c>
      <c r="K5" s="8">
        <v>2258.0</v>
      </c>
      <c r="L5" s="11">
        <f t="shared" si="4"/>
        <v>0.7063773251</v>
      </c>
      <c r="M5" s="12">
        <f t="shared" si="5"/>
        <v>0.5212121358</v>
      </c>
      <c r="N5" s="13">
        <f t="shared" si="6"/>
        <v>0.3681724343</v>
      </c>
      <c r="O5" s="14">
        <f t="shared" si="7"/>
        <v>0.6672845249</v>
      </c>
      <c r="P5" s="15"/>
      <c r="Q5" s="8">
        <v>4.0</v>
      </c>
      <c r="R5" s="8">
        <v>127038.0</v>
      </c>
      <c r="S5" s="8">
        <v>55939.334710776806</v>
      </c>
      <c r="T5" s="8">
        <v>309642.0</v>
      </c>
      <c r="U5" s="16">
        <f t="shared" si="8"/>
        <v>0.4102738001</v>
      </c>
      <c r="V5" s="17">
        <f t="shared" si="9"/>
        <v>0.4403354485</v>
      </c>
      <c r="W5" s="17">
        <f t="shared" si="10"/>
        <v>0.1806580978</v>
      </c>
      <c r="X5" s="8">
        <v>17657.0</v>
      </c>
      <c r="Y5" s="8">
        <v>7142.3335102796555</v>
      </c>
      <c r="Z5" s="8">
        <v>176156.0</v>
      </c>
      <c r="AA5" s="18">
        <f t="shared" si="11"/>
        <v>0.100235019</v>
      </c>
      <c r="AB5" s="18">
        <f t="shared" si="12"/>
        <v>0.4045043615</v>
      </c>
      <c r="AC5" s="18">
        <f t="shared" si="13"/>
        <v>0.04054550234</v>
      </c>
      <c r="AD5" s="18">
        <f t="shared" si="14"/>
        <v>0.2244322443</v>
      </c>
    </row>
    <row r="6" ht="15.75" customHeight="1">
      <c r="A6" s="8">
        <v>10202.0</v>
      </c>
      <c r="B6" s="9" t="s">
        <v>20</v>
      </c>
      <c r="C6" s="8">
        <v>11112.0</v>
      </c>
      <c r="D6" s="8">
        <v>6243.333506196737</v>
      </c>
      <c r="E6" s="8">
        <v>13578.0</v>
      </c>
      <c r="F6" s="10">
        <f t="shared" si="1"/>
        <v>0.8183826779</v>
      </c>
      <c r="G6" s="10">
        <f t="shared" si="2"/>
        <v>0.5618550672</v>
      </c>
      <c r="H6" s="10">
        <f t="shared" si="3"/>
        <v>0.4598124544</v>
      </c>
      <c r="I6" s="8">
        <v>273.0</v>
      </c>
      <c r="J6" s="8">
        <v>130.66666999459267</v>
      </c>
      <c r="K6" s="8">
        <v>519.0</v>
      </c>
      <c r="L6" s="11">
        <f t="shared" si="4"/>
        <v>0.5260115607</v>
      </c>
      <c r="M6" s="12">
        <f t="shared" si="5"/>
        <v>0.4786324908</v>
      </c>
      <c r="N6" s="13">
        <f t="shared" si="6"/>
        <v>0.2517662235</v>
      </c>
      <c r="O6" s="14">
        <f t="shared" si="7"/>
        <v>0.5475411139</v>
      </c>
      <c r="P6" s="15"/>
      <c r="Q6" s="8">
        <v>5.0</v>
      </c>
      <c r="R6" s="8">
        <v>360790.0</v>
      </c>
      <c r="S6" s="8">
        <v>173343.33793896437</v>
      </c>
      <c r="T6" s="8">
        <v>650359.0</v>
      </c>
      <c r="U6" s="16">
        <f t="shared" si="8"/>
        <v>0.5547551429</v>
      </c>
      <c r="V6" s="17">
        <f t="shared" si="9"/>
        <v>0.4804549404</v>
      </c>
      <c r="W6" s="17">
        <f t="shared" si="10"/>
        <v>0.2665348491</v>
      </c>
      <c r="X6" s="8">
        <v>23437.0</v>
      </c>
      <c r="Y6" s="8">
        <v>9819.333581537008</v>
      </c>
      <c r="Z6" s="8">
        <v>163121.0</v>
      </c>
      <c r="AA6" s="18">
        <f t="shared" si="11"/>
        <v>0.1436786189</v>
      </c>
      <c r="AB6" s="18">
        <f t="shared" si="12"/>
        <v>0.4189671708</v>
      </c>
      <c r="AC6" s="18">
        <f t="shared" si="13"/>
        <v>0.06019662448</v>
      </c>
      <c r="AD6" s="18">
        <f t="shared" si="14"/>
        <v>0.2258489825</v>
      </c>
    </row>
    <row r="7" ht="15.75" customHeight="1">
      <c r="A7" s="8">
        <v>10301.0</v>
      </c>
      <c r="B7" s="9" t="s">
        <v>21</v>
      </c>
      <c r="C7" s="8">
        <v>6490.0</v>
      </c>
      <c r="D7" s="8">
        <v>3305.111198693514</v>
      </c>
      <c r="E7" s="8">
        <v>10221.0</v>
      </c>
      <c r="F7" s="10">
        <f t="shared" si="1"/>
        <v>0.6349672243</v>
      </c>
      <c r="G7" s="10">
        <f t="shared" si="2"/>
        <v>0.5092621261</v>
      </c>
      <c r="H7" s="10">
        <f t="shared" si="3"/>
        <v>0.3233647587</v>
      </c>
      <c r="I7" s="8">
        <v>162.0</v>
      </c>
      <c r="J7" s="8">
        <v>76.55555778741837</v>
      </c>
      <c r="K7" s="8">
        <v>747.0</v>
      </c>
      <c r="L7" s="11">
        <f t="shared" si="4"/>
        <v>0.2168674699</v>
      </c>
      <c r="M7" s="12">
        <f t="shared" si="5"/>
        <v>0.4725651715</v>
      </c>
      <c r="N7" s="13">
        <f t="shared" si="6"/>
        <v>0.1024840131</v>
      </c>
      <c r="O7" s="14">
        <f t="shared" si="7"/>
        <v>0.3169300622</v>
      </c>
      <c r="P7" s="15"/>
      <c r="Q7" s="8">
        <v>6.0</v>
      </c>
      <c r="R7" s="8">
        <v>37955.0</v>
      </c>
      <c r="S7" s="8">
        <v>16432.33375608921</v>
      </c>
      <c r="T7" s="8">
        <v>144232.0</v>
      </c>
      <c r="U7" s="16">
        <f t="shared" si="8"/>
        <v>0.2631524211</v>
      </c>
      <c r="V7" s="17">
        <f t="shared" si="9"/>
        <v>0.4329425308</v>
      </c>
      <c r="W7" s="17">
        <f t="shared" si="10"/>
        <v>0.1139298752</v>
      </c>
      <c r="X7" s="8">
        <v>48588.0</v>
      </c>
      <c r="Y7" s="8">
        <v>20270.222739875317</v>
      </c>
      <c r="Z7" s="8">
        <v>319078.0</v>
      </c>
      <c r="AA7" s="18">
        <f t="shared" si="11"/>
        <v>0.1522762459</v>
      </c>
      <c r="AB7" s="18">
        <f t="shared" si="12"/>
        <v>0.4171857813</v>
      </c>
      <c r="AC7" s="18">
        <f t="shared" si="13"/>
        <v>0.06352748463</v>
      </c>
      <c r="AD7" s="18">
        <f t="shared" si="14"/>
        <v>0.5576016346</v>
      </c>
    </row>
    <row r="8" ht="15.75" customHeight="1">
      <c r="A8" s="8">
        <v>10302.0</v>
      </c>
      <c r="B8" s="9" t="s">
        <v>22</v>
      </c>
      <c r="C8" s="8">
        <v>8983.0</v>
      </c>
      <c r="D8" s="8">
        <v>5220.44458296895</v>
      </c>
      <c r="E8" s="8">
        <v>11005.0</v>
      </c>
      <c r="F8" s="10">
        <f t="shared" si="1"/>
        <v>0.8162653339</v>
      </c>
      <c r="G8" s="10">
        <f t="shared" si="2"/>
        <v>0.5811471204</v>
      </c>
      <c r="H8" s="10">
        <f t="shared" si="3"/>
        <v>0.4743702483</v>
      </c>
      <c r="I8" s="8">
        <v>303.0</v>
      </c>
      <c r="J8" s="8">
        <v>161.22222557663918</v>
      </c>
      <c r="K8" s="8">
        <v>832.0</v>
      </c>
      <c r="L8" s="11">
        <f t="shared" si="4"/>
        <v>0.3641826923</v>
      </c>
      <c r="M8" s="12">
        <f t="shared" si="5"/>
        <v>0.5320865531</v>
      </c>
      <c r="N8" s="13">
        <f t="shared" si="6"/>
        <v>0.1937767134</v>
      </c>
      <c r="O8" s="14">
        <f t="shared" si="7"/>
        <v>0.4084925522</v>
      </c>
      <c r="P8" s="15"/>
      <c r="Q8" s="8">
        <v>7.0</v>
      </c>
      <c r="R8" s="8">
        <v>296311.0</v>
      </c>
      <c r="S8" s="8">
        <v>124207.55873927474</v>
      </c>
      <c r="T8" s="8">
        <v>931077.0</v>
      </c>
      <c r="U8" s="16">
        <f t="shared" si="8"/>
        <v>0.3182454298</v>
      </c>
      <c r="V8" s="17">
        <f t="shared" si="9"/>
        <v>0.419179709</v>
      </c>
      <c r="W8" s="17">
        <f t="shared" si="10"/>
        <v>0.1334020266</v>
      </c>
      <c r="X8" s="8">
        <v>306683.0</v>
      </c>
      <c r="Y8" s="8">
        <v>120492.22526192665</v>
      </c>
      <c r="Z8" s="8">
        <v>1652092.0</v>
      </c>
      <c r="AA8" s="18">
        <f t="shared" si="11"/>
        <v>0.1856331245</v>
      </c>
      <c r="AB8" s="18">
        <f t="shared" si="12"/>
        <v>0.3928885046</v>
      </c>
      <c r="AC8" s="18">
        <f t="shared" si="13"/>
        <v>0.07293312071</v>
      </c>
      <c r="AD8" s="18">
        <f t="shared" si="14"/>
        <v>0.5467167371</v>
      </c>
    </row>
    <row r="9" ht="15.75" customHeight="1">
      <c r="A9" s="8">
        <v>10303.0</v>
      </c>
      <c r="B9" s="9" t="s">
        <v>23</v>
      </c>
      <c r="C9" s="8">
        <v>5037.0</v>
      </c>
      <c r="D9" s="8">
        <v>2588.0000752210617</v>
      </c>
      <c r="E9" s="8">
        <v>7487.0</v>
      </c>
      <c r="F9" s="10">
        <f t="shared" si="1"/>
        <v>0.672766128</v>
      </c>
      <c r="G9" s="10">
        <f t="shared" si="2"/>
        <v>0.5137979105</v>
      </c>
      <c r="H9" s="10">
        <f t="shared" si="3"/>
        <v>0.3456658308</v>
      </c>
      <c r="I9" s="8">
        <v>248.0</v>
      </c>
      <c r="J9" s="8">
        <v>118.11111417412758</v>
      </c>
      <c r="K9" s="8">
        <v>451.0</v>
      </c>
      <c r="L9" s="11">
        <f t="shared" si="4"/>
        <v>0.5498891353</v>
      </c>
      <c r="M9" s="12">
        <f t="shared" si="5"/>
        <v>0.4762544926</v>
      </c>
      <c r="N9" s="13">
        <f t="shared" si="6"/>
        <v>0.2618871711</v>
      </c>
      <c r="O9" s="14">
        <f t="shared" si="7"/>
        <v>0.7576310638</v>
      </c>
      <c r="P9" s="15"/>
      <c r="Q9" s="8">
        <v>8.0</v>
      </c>
      <c r="R9" s="8">
        <v>86110.0</v>
      </c>
      <c r="S9" s="8">
        <v>41234.55659580231</v>
      </c>
      <c r="T9" s="8">
        <v>146328.0</v>
      </c>
      <c r="U9" s="16">
        <f t="shared" si="8"/>
        <v>0.5884724728</v>
      </c>
      <c r="V9" s="17">
        <f t="shared" si="9"/>
        <v>0.4788590941</v>
      </c>
      <c r="W9" s="17">
        <f t="shared" si="10"/>
        <v>0.2817953952</v>
      </c>
      <c r="X9" s="8">
        <v>123206.0</v>
      </c>
      <c r="Y9" s="8">
        <v>52191.445780456066</v>
      </c>
      <c r="Z9" s="8">
        <v>262074.0</v>
      </c>
      <c r="AA9" s="18">
        <f t="shared" si="11"/>
        <v>0.4701191267</v>
      </c>
      <c r="AB9" s="18">
        <f t="shared" si="12"/>
        <v>0.4236112347</v>
      </c>
      <c r="AC9" s="18">
        <f t="shared" si="13"/>
        <v>0.1991477437</v>
      </c>
      <c r="AD9" s="18">
        <f t="shared" si="14"/>
        <v>0.7067104255</v>
      </c>
    </row>
    <row r="10" ht="15.75" customHeight="1">
      <c r="A10" s="8">
        <v>10304.0</v>
      </c>
      <c r="B10" s="9" t="s">
        <v>24</v>
      </c>
      <c r="C10" s="8">
        <v>4533.0</v>
      </c>
      <c r="D10" s="8">
        <v>2307.4445077478886</v>
      </c>
      <c r="E10" s="8">
        <v>7428.0</v>
      </c>
      <c r="F10" s="10">
        <f t="shared" si="1"/>
        <v>0.6102584814</v>
      </c>
      <c r="G10" s="10">
        <f t="shared" si="2"/>
        <v>0.5090325409</v>
      </c>
      <c r="H10" s="10">
        <f t="shared" si="3"/>
        <v>0.3106414254</v>
      </c>
      <c r="I10" s="8">
        <v>33.0</v>
      </c>
      <c r="J10" s="8">
        <v>14.333333820104599</v>
      </c>
      <c r="K10" s="8">
        <v>175.0</v>
      </c>
      <c r="L10" s="11">
        <f t="shared" si="4"/>
        <v>0.1885714286</v>
      </c>
      <c r="M10" s="12">
        <f t="shared" si="5"/>
        <v>0.4343434491</v>
      </c>
      <c r="N10" s="13">
        <f t="shared" si="6"/>
        <v>0.08190476469</v>
      </c>
      <c r="O10" s="14">
        <f t="shared" si="7"/>
        <v>0.2636633687</v>
      </c>
      <c r="P10" s="15"/>
      <c r="Q10" s="8">
        <v>9.0</v>
      </c>
      <c r="R10" s="8">
        <v>18665.0</v>
      </c>
      <c r="S10" s="8">
        <v>8904.222457677126</v>
      </c>
      <c r="T10" s="8">
        <v>31864.0</v>
      </c>
      <c r="U10" s="16">
        <f t="shared" si="8"/>
        <v>0.5857707758</v>
      </c>
      <c r="V10" s="17">
        <f t="shared" si="9"/>
        <v>0.4770545115</v>
      </c>
      <c r="W10" s="17">
        <f t="shared" si="10"/>
        <v>0.2794445913</v>
      </c>
      <c r="X10" s="8">
        <v>34648.0</v>
      </c>
      <c r="Y10" s="8">
        <v>15801.333744645119</v>
      </c>
      <c r="Z10" s="8">
        <v>72270.0</v>
      </c>
      <c r="AA10" s="18">
        <f t="shared" si="11"/>
        <v>0.4794243808</v>
      </c>
      <c r="AB10" s="18">
        <f t="shared" si="12"/>
        <v>0.4560532713</v>
      </c>
      <c r="AC10" s="18">
        <f t="shared" si="13"/>
        <v>0.2186430572</v>
      </c>
      <c r="AD10" s="18">
        <f t="shared" si="14"/>
        <v>0.7824200718</v>
      </c>
    </row>
    <row r="11" ht="15.75" customHeight="1">
      <c r="A11" s="8">
        <v>10401.0</v>
      </c>
      <c r="B11" s="9" t="s">
        <v>25</v>
      </c>
      <c r="C11" s="8">
        <v>2855.0</v>
      </c>
      <c r="D11" s="8">
        <v>1523.4444888532162</v>
      </c>
      <c r="E11" s="8">
        <v>4105.0</v>
      </c>
      <c r="F11" s="10">
        <f t="shared" si="1"/>
        <v>0.6954933009</v>
      </c>
      <c r="G11" s="10">
        <f t="shared" si="2"/>
        <v>0.5336057754</v>
      </c>
      <c r="H11" s="10">
        <f t="shared" si="3"/>
        <v>0.3711192421</v>
      </c>
      <c r="I11" s="8">
        <v>3223.0</v>
      </c>
      <c r="J11" s="8">
        <v>1623.4444898664951</v>
      </c>
      <c r="K11" s="8">
        <v>5994.0</v>
      </c>
      <c r="L11" s="11">
        <f t="shared" si="4"/>
        <v>0.537704371</v>
      </c>
      <c r="M11" s="12">
        <f t="shared" si="5"/>
        <v>0.5037060161</v>
      </c>
      <c r="N11" s="13">
        <f t="shared" si="6"/>
        <v>0.2708449266</v>
      </c>
      <c r="O11" s="14">
        <f t="shared" si="7"/>
        <v>0.7298056685</v>
      </c>
      <c r="P11" s="15"/>
      <c r="Q11" s="8">
        <v>10.0</v>
      </c>
      <c r="R11" s="19">
        <v>13770.0</v>
      </c>
      <c r="S11" s="19">
        <v>5932.444599747658</v>
      </c>
      <c r="T11" s="19">
        <v>48451.0</v>
      </c>
      <c r="U11" s="10">
        <v>0.28420466037852676</v>
      </c>
      <c r="V11" s="10">
        <v>0.43082386345298895</v>
      </c>
      <c r="W11" s="10">
        <v>0.12244214979562151</v>
      </c>
      <c r="X11" s="19">
        <v>13017.0</v>
      </c>
      <c r="Y11" s="19">
        <v>5255.333466976881</v>
      </c>
      <c r="Z11" s="19">
        <v>90519.0</v>
      </c>
      <c r="AA11" s="18">
        <f t="shared" si="11"/>
        <v>0.1438040632</v>
      </c>
      <c r="AB11" s="18">
        <f t="shared" si="12"/>
        <v>0.4037284679</v>
      </c>
      <c r="AC11" s="18">
        <f t="shared" si="13"/>
        <v>0.05805779413</v>
      </c>
      <c r="AD11" s="18">
        <f t="shared" si="14"/>
        <v>0.4741650994</v>
      </c>
    </row>
    <row r="12" ht="15.75" customHeight="1">
      <c r="A12" s="8">
        <v>10402.0</v>
      </c>
      <c r="B12" s="9" t="s">
        <v>26</v>
      </c>
      <c r="C12" s="8">
        <v>5201.0</v>
      </c>
      <c r="D12" s="8">
        <v>2532.000070363283</v>
      </c>
      <c r="E12" s="8">
        <v>7651.0</v>
      </c>
      <c r="F12" s="10">
        <f t="shared" si="1"/>
        <v>0.6797804209</v>
      </c>
      <c r="G12" s="10">
        <f t="shared" si="2"/>
        <v>0.4868294694</v>
      </c>
      <c r="H12" s="10">
        <f t="shared" si="3"/>
        <v>0.3309371416</v>
      </c>
      <c r="I12" s="8">
        <v>234.0</v>
      </c>
      <c r="J12" s="8">
        <v>106.4444471001625</v>
      </c>
      <c r="K12" s="8">
        <v>675.0</v>
      </c>
      <c r="L12" s="11">
        <f t="shared" si="4"/>
        <v>0.3466666667</v>
      </c>
      <c r="M12" s="12">
        <f t="shared" si="5"/>
        <v>0.4548907996</v>
      </c>
      <c r="N12" s="13">
        <f t="shared" si="6"/>
        <v>0.1576954772</v>
      </c>
      <c r="O12" s="14">
        <f t="shared" si="7"/>
        <v>0.476511873</v>
      </c>
      <c r="P12" s="15"/>
      <c r="Q12" s="8">
        <v>11.0</v>
      </c>
      <c r="R12" s="19">
        <v>2210169.0</v>
      </c>
      <c r="S12" s="19">
        <v>1002782.0258591175</v>
      </c>
      <c r="T12" s="19">
        <v>5513161.0</v>
      </c>
      <c r="U12" s="10">
        <v>0.400889616682698</v>
      </c>
      <c r="V12" s="10">
        <v>0.4537128273263798</v>
      </c>
      <c r="W12" s="10">
        <v>0.18188876143089555</v>
      </c>
      <c r="X12" s="19">
        <v>751204.0</v>
      </c>
      <c r="Y12" s="19">
        <v>307330.11891421676</v>
      </c>
      <c r="Z12" s="19">
        <v>4313928.0</v>
      </c>
      <c r="AA12" s="18">
        <f t="shared" si="11"/>
        <v>0.1741345706</v>
      </c>
      <c r="AB12" s="18">
        <f t="shared" si="12"/>
        <v>0.4091167232</v>
      </c>
      <c r="AC12" s="18">
        <f t="shared" si="13"/>
        <v>0.07124136493</v>
      </c>
      <c r="AD12" s="18">
        <f t="shared" si="14"/>
        <v>0.3916754634</v>
      </c>
    </row>
    <row r="13" ht="15.75" customHeight="1">
      <c r="A13" s="8">
        <v>10403.0</v>
      </c>
      <c r="B13" s="9" t="s">
        <v>27</v>
      </c>
      <c r="C13" s="8">
        <v>4642.0</v>
      </c>
      <c r="D13" s="8">
        <v>2515.1111846864223</v>
      </c>
      <c r="E13" s="8">
        <v>6371.0</v>
      </c>
      <c r="F13" s="10">
        <f t="shared" si="1"/>
        <v>0.7286140323</v>
      </c>
      <c r="G13" s="10">
        <f t="shared" si="2"/>
        <v>0.5418162828</v>
      </c>
      <c r="H13" s="10">
        <f t="shared" si="3"/>
        <v>0.3947749466</v>
      </c>
      <c r="I13" s="8">
        <v>332.0</v>
      </c>
      <c r="J13" s="8">
        <v>166.1111159324646</v>
      </c>
      <c r="K13" s="8">
        <v>799.0</v>
      </c>
      <c r="L13" s="11">
        <f t="shared" si="4"/>
        <v>0.4155193992</v>
      </c>
      <c r="M13" s="12">
        <f t="shared" si="5"/>
        <v>0.5003346865</v>
      </c>
      <c r="N13" s="13">
        <f t="shared" si="6"/>
        <v>0.2078987684</v>
      </c>
      <c r="O13" s="14">
        <f t="shared" si="7"/>
        <v>0.526626044</v>
      </c>
      <c r="P13" s="15"/>
      <c r="Q13" s="15"/>
      <c r="AD13" s="20"/>
    </row>
    <row r="14" ht="15.75" customHeight="1">
      <c r="A14" s="8">
        <v>10404.0</v>
      </c>
      <c r="B14" s="9" t="s">
        <v>28</v>
      </c>
      <c r="C14" s="8">
        <v>1481.0</v>
      </c>
      <c r="D14" s="8">
        <v>719.4444627761841</v>
      </c>
      <c r="E14" s="8">
        <v>2443.0</v>
      </c>
      <c r="F14" s="10">
        <f t="shared" si="1"/>
        <v>0.6062218584</v>
      </c>
      <c r="G14" s="10">
        <f t="shared" si="2"/>
        <v>0.4857828918</v>
      </c>
      <c r="H14" s="10">
        <f t="shared" si="3"/>
        <v>0.2944922074</v>
      </c>
      <c r="I14" s="8">
        <v>1312.0</v>
      </c>
      <c r="J14" s="8">
        <v>622.2222392857075</v>
      </c>
      <c r="K14" s="8">
        <v>2391.0</v>
      </c>
      <c r="L14" s="11">
        <f t="shared" si="4"/>
        <v>0.5487243831</v>
      </c>
      <c r="M14" s="12">
        <f t="shared" si="5"/>
        <v>0.4742547556</v>
      </c>
      <c r="N14" s="13">
        <f t="shared" si="6"/>
        <v>0.2602351482</v>
      </c>
      <c r="O14" s="14">
        <f t="shared" si="7"/>
        <v>0.8836741401</v>
      </c>
      <c r="P14" s="15"/>
      <c r="Q14" s="15"/>
      <c r="AD14" s="20"/>
    </row>
    <row r="15" ht="15.75" customHeight="1">
      <c r="A15" s="8">
        <v>10405.0</v>
      </c>
      <c r="B15" s="9" t="s">
        <v>29</v>
      </c>
      <c r="C15" s="8">
        <v>1848.0</v>
      </c>
      <c r="D15" s="8">
        <v>929.2222468852997</v>
      </c>
      <c r="E15" s="8">
        <v>2636.0</v>
      </c>
      <c r="F15" s="10">
        <f t="shared" si="1"/>
        <v>0.7010622155</v>
      </c>
      <c r="G15" s="10">
        <f t="shared" si="2"/>
        <v>0.5028258912</v>
      </c>
      <c r="H15" s="10">
        <f t="shared" si="3"/>
        <v>0.3525122333</v>
      </c>
      <c r="I15" s="8">
        <v>1089.0</v>
      </c>
      <c r="J15" s="8">
        <v>530.6666823923588</v>
      </c>
      <c r="K15" s="8">
        <v>1672.0</v>
      </c>
      <c r="L15" s="11">
        <f t="shared" si="4"/>
        <v>0.6513157895</v>
      </c>
      <c r="M15" s="12">
        <f t="shared" si="5"/>
        <v>0.487297229</v>
      </c>
      <c r="N15" s="13">
        <f t="shared" si="6"/>
        <v>0.3173843794</v>
      </c>
      <c r="O15" s="14">
        <f t="shared" si="7"/>
        <v>0.9003499722</v>
      </c>
      <c r="P15" s="15"/>
      <c r="Q15" s="15"/>
      <c r="AD15" s="20"/>
    </row>
    <row r="16" ht="15.75" customHeight="1">
      <c r="A16" s="8">
        <v>10501.0</v>
      </c>
      <c r="B16" s="9" t="s">
        <v>30</v>
      </c>
      <c r="C16" s="8">
        <v>4577.0</v>
      </c>
      <c r="D16" s="8">
        <v>2271.222284555435</v>
      </c>
      <c r="E16" s="8">
        <v>9046.0</v>
      </c>
      <c r="F16" s="10">
        <f t="shared" si="1"/>
        <v>0.5059694893</v>
      </c>
      <c r="G16" s="10">
        <f t="shared" si="2"/>
        <v>0.4962251004</v>
      </c>
      <c r="H16" s="10">
        <f t="shared" si="3"/>
        <v>0.2510747606</v>
      </c>
      <c r="I16" s="8">
        <v>5552.0</v>
      </c>
      <c r="J16" s="8">
        <v>2670.111184835434</v>
      </c>
      <c r="K16" s="8">
        <v>14270.0</v>
      </c>
      <c r="L16" s="11">
        <f t="shared" si="4"/>
        <v>0.3890679748</v>
      </c>
      <c r="M16" s="12">
        <f t="shared" si="5"/>
        <v>0.4809278071</v>
      </c>
      <c r="N16" s="13">
        <f t="shared" si="6"/>
        <v>0.1871136079</v>
      </c>
      <c r="O16" s="14">
        <f t="shared" si="7"/>
        <v>0.7452505678</v>
      </c>
      <c r="P16" s="15"/>
      <c r="Q16" s="15"/>
      <c r="AD16" s="20"/>
    </row>
    <row r="17" ht="15.75" customHeight="1">
      <c r="A17" s="8">
        <v>10502.0</v>
      </c>
      <c r="B17" s="9" t="s">
        <v>31</v>
      </c>
      <c r="C17" s="8">
        <v>2990.0</v>
      </c>
      <c r="D17" s="8">
        <v>1560.4444872438908</v>
      </c>
      <c r="E17" s="8">
        <v>3741.0</v>
      </c>
      <c r="F17" s="10">
        <f t="shared" si="1"/>
        <v>0.799251537</v>
      </c>
      <c r="G17" s="10">
        <f t="shared" si="2"/>
        <v>0.5218877884</v>
      </c>
      <c r="H17" s="10">
        <f t="shared" si="3"/>
        <v>0.417119617</v>
      </c>
      <c r="I17" s="8">
        <v>2513.0</v>
      </c>
      <c r="J17" s="8">
        <v>1218.7778107225895</v>
      </c>
      <c r="K17" s="8">
        <v>4291.0</v>
      </c>
      <c r="L17" s="11">
        <f t="shared" si="4"/>
        <v>0.5856443719</v>
      </c>
      <c r="M17" s="12">
        <f t="shared" si="5"/>
        <v>0.4849891806</v>
      </c>
      <c r="N17" s="13">
        <f t="shared" si="6"/>
        <v>0.284031184</v>
      </c>
      <c r="O17" s="14">
        <f t="shared" si="7"/>
        <v>0.6809346107</v>
      </c>
      <c r="P17" s="15"/>
      <c r="Q17" s="15"/>
      <c r="AD17" s="20"/>
    </row>
    <row r="18" ht="15.75" customHeight="1">
      <c r="A18" s="8">
        <v>10601.0</v>
      </c>
      <c r="B18" s="9" t="s">
        <v>32</v>
      </c>
      <c r="C18" s="8">
        <v>11280.0</v>
      </c>
      <c r="D18" s="8">
        <v>5741.555713623762</v>
      </c>
      <c r="E18" s="8">
        <v>16147.0</v>
      </c>
      <c r="F18" s="10">
        <f t="shared" si="1"/>
        <v>0.6985817799</v>
      </c>
      <c r="G18" s="10">
        <f t="shared" si="2"/>
        <v>0.5090031661</v>
      </c>
      <c r="H18" s="10">
        <f t="shared" si="3"/>
        <v>0.3555803377</v>
      </c>
      <c r="I18" s="8">
        <v>202.0</v>
      </c>
      <c r="J18" s="8">
        <v>98.44444698095322</v>
      </c>
      <c r="K18" s="8">
        <v>566.0</v>
      </c>
      <c r="L18" s="11">
        <f t="shared" si="4"/>
        <v>0.3568904594</v>
      </c>
      <c r="M18" s="12">
        <f t="shared" si="5"/>
        <v>0.4873487474</v>
      </c>
      <c r="N18" s="13">
        <f t="shared" si="6"/>
        <v>0.1739301183</v>
      </c>
      <c r="O18" s="14">
        <f t="shared" si="7"/>
        <v>0.4891443645</v>
      </c>
      <c r="P18" s="15"/>
      <c r="Q18" s="15"/>
      <c r="AD18" s="20"/>
    </row>
    <row r="19" ht="15.75" customHeight="1">
      <c r="A19" s="8">
        <v>10602.0</v>
      </c>
      <c r="B19" s="9" t="s">
        <v>33</v>
      </c>
      <c r="C19" s="8">
        <v>6015.0</v>
      </c>
      <c r="D19" s="8">
        <v>3036.444530725479</v>
      </c>
      <c r="E19" s="8">
        <v>9348.0</v>
      </c>
      <c r="F19" s="10">
        <f t="shared" si="1"/>
        <v>0.6434531451</v>
      </c>
      <c r="G19" s="10">
        <f t="shared" si="2"/>
        <v>0.5048120583</v>
      </c>
      <c r="H19" s="10">
        <f t="shared" si="3"/>
        <v>0.3248229066</v>
      </c>
      <c r="I19" s="8">
        <v>246.0</v>
      </c>
      <c r="J19" s="8">
        <v>105.22222539782524</v>
      </c>
      <c r="K19" s="8">
        <v>535.0</v>
      </c>
      <c r="L19" s="11">
        <f t="shared" si="4"/>
        <v>0.4598130841</v>
      </c>
      <c r="M19" s="12">
        <f t="shared" si="5"/>
        <v>0.4277326236</v>
      </c>
      <c r="N19" s="13">
        <f t="shared" si="6"/>
        <v>0.1966770568</v>
      </c>
      <c r="O19" s="14">
        <f t="shared" si="7"/>
        <v>0.6054901081</v>
      </c>
      <c r="P19" s="15"/>
      <c r="Q19" s="15"/>
      <c r="AD19" s="20"/>
    </row>
    <row r="20" ht="15.75" customHeight="1">
      <c r="A20" s="8">
        <v>10701.0</v>
      </c>
      <c r="B20" s="9" t="s">
        <v>34</v>
      </c>
      <c r="C20" s="8">
        <v>4397.0</v>
      </c>
      <c r="D20" s="8">
        <v>2165.7778347432613</v>
      </c>
      <c r="E20" s="8">
        <v>8628.0</v>
      </c>
      <c r="F20" s="10">
        <f t="shared" si="1"/>
        <v>0.5096198424</v>
      </c>
      <c r="G20" s="10">
        <f t="shared" si="2"/>
        <v>0.4925580702</v>
      </c>
      <c r="H20" s="10">
        <f t="shared" si="3"/>
        <v>0.2510173661</v>
      </c>
      <c r="I20" s="8">
        <v>1825.0</v>
      </c>
      <c r="J20" s="8">
        <v>804.6666888296604</v>
      </c>
      <c r="K20" s="8">
        <v>6384.0</v>
      </c>
      <c r="L20" s="11">
        <f t="shared" si="4"/>
        <v>0.2858709273</v>
      </c>
      <c r="M20" s="12">
        <f t="shared" si="5"/>
        <v>0.4409132542</v>
      </c>
      <c r="N20" s="13">
        <f t="shared" si="6"/>
        <v>0.1260442808</v>
      </c>
      <c r="O20" s="14">
        <f t="shared" si="7"/>
        <v>0.5021337081</v>
      </c>
      <c r="P20" s="15"/>
      <c r="Q20" s="15"/>
      <c r="AD20" s="20"/>
    </row>
    <row r="21" ht="15.75" customHeight="1">
      <c r="A21" s="8">
        <v>10702.0</v>
      </c>
      <c r="B21" s="9" t="s">
        <v>35</v>
      </c>
      <c r="C21" s="8">
        <v>22719.0</v>
      </c>
      <c r="D21" s="8">
        <v>12494.778117120266</v>
      </c>
      <c r="E21" s="8">
        <v>31075.0</v>
      </c>
      <c r="F21" s="10">
        <f t="shared" si="1"/>
        <v>0.7311021722</v>
      </c>
      <c r="G21" s="10">
        <f t="shared" si="2"/>
        <v>0.5499704264</v>
      </c>
      <c r="H21" s="10">
        <f t="shared" si="3"/>
        <v>0.4020845734</v>
      </c>
      <c r="I21" s="8">
        <v>587.0</v>
      </c>
      <c r="J21" s="8">
        <v>251.22222766280174</v>
      </c>
      <c r="K21" s="8">
        <v>1138.0</v>
      </c>
      <c r="L21" s="11">
        <f t="shared" si="4"/>
        <v>0.5158172232</v>
      </c>
      <c r="M21" s="12">
        <f t="shared" si="5"/>
        <v>0.4279765378</v>
      </c>
      <c r="N21" s="13">
        <f t="shared" si="6"/>
        <v>0.2207576693</v>
      </c>
      <c r="O21" s="14">
        <f t="shared" si="7"/>
        <v>0.5490329247</v>
      </c>
      <c r="P21" s="15"/>
      <c r="Q21" s="15"/>
      <c r="AD21" s="20"/>
    </row>
    <row r="22" ht="15.75" customHeight="1">
      <c r="A22" s="8">
        <v>10703.0</v>
      </c>
      <c r="B22" s="9" t="s">
        <v>36</v>
      </c>
      <c r="C22" s="8">
        <v>8497.0</v>
      </c>
      <c r="D22" s="8">
        <v>5183.889016091824</v>
      </c>
      <c r="E22" s="8">
        <v>9812.0</v>
      </c>
      <c r="F22" s="10">
        <f t="shared" si="1"/>
        <v>0.8659804321</v>
      </c>
      <c r="G22" s="10">
        <f t="shared" si="2"/>
        <v>0.61008462</v>
      </c>
      <c r="H22" s="10">
        <f t="shared" si="3"/>
        <v>0.5283213429</v>
      </c>
      <c r="I22" s="8">
        <v>1639.0</v>
      </c>
      <c r="J22" s="8">
        <v>758.2222421467304</v>
      </c>
      <c r="K22" s="8">
        <v>3043.0</v>
      </c>
      <c r="L22" s="11">
        <f t="shared" si="4"/>
        <v>0.5386132106</v>
      </c>
      <c r="M22" s="12">
        <f t="shared" si="5"/>
        <v>0.4626127164</v>
      </c>
      <c r="N22" s="13">
        <f t="shared" si="6"/>
        <v>0.2491693205</v>
      </c>
      <c r="O22" s="14">
        <f t="shared" si="7"/>
        <v>0.4716245592</v>
      </c>
      <c r="P22" s="15"/>
      <c r="Q22" s="15"/>
      <c r="AD22" s="20"/>
    </row>
    <row r="23" ht="15.75" customHeight="1">
      <c r="A23" s="8">
        <v>10704.0</v>
      </c>
      <c r="B23" s="9" t="s">
        <v>37</v>
      </c>
      <c r="C23" s="8">
        <v>10850.0</v>
      </c>
      <c r="D23" s="8">
        <v>6008.333493292332</v>
      </c>
      <c r="E23" s="8">
        <v>14148.0</v>
      </c>
      <c r="F23" s="10">
        <f t="shared" si="1"/>
        <v>0.766892847</v>
      </c>
      <c r="G23" s="10">
        <f t="shared" si="2"/>
        <v>0.5537634556</v>
      </c>
      <c r="H23" s="10">
        <f t="shared" si="3"/>
        <v>0.4246772331</v>
      </c>
      <c r="I23" s="8">
        <v>729.0</v>
      </c>
      <c r="J23" s="8">
        <v>331.66667515039444</v>
      </c>
      <c r="K23" s="8">
        <v>1537.0</v>
      </c>
      <c r="L23" s="11">
        <f t="shared" si="4"/>
        <v>0.4743005856</v>
      </c>
      <c r="M23" s="12">
        <f t="shared" si="5"/>
        <v>0.4549611456</v>
      </c>
      <c r="N23" s="13">
        <f t="shared" si="6"/>
        <v>0.2157883378</v>
      </c>
      <c r="O23" s="14">
        <f t="shared" si="7"/>
        <v>0.5081231603</v>
      </c>
      <c r="P23" s="15"/>
      <c r="Q23" s="15"/>
      <c r="AD23" s="20"/>
    </row>
    <row r="24" ht="15.75" customHeight="1">
      <c r="A24" s="8">
        <v>10801.0</v>
      </c>
      <c r="B24" s="9" t="s">
        <v>38</v>
      </c>
      <c r="C24" s="8">
        <v>3923.0</v>
      </c>
      <c r="D24" s="8">
        <v>1961.1111647486687</v>
      </c>
      <c r="E24" s="8">
        <v>6608.0</v>
      </c>
      <c r="F24" s="10">
        <f t="shared" si="1"/>
        <v>0.5936743341</v>
      </c>
      <c r="G24" s="10">
        <f t="shared" si="2"/>
        <v>0.4999008832</v>
      </c>
      <c r="H24" s="10">
        <f t="shared" si="3"/>
        <v>0.296778324</v>
      </c>
      <c r="I24" s="8">
        <v>1936.0</v>
      </c>
      <c r="J24" s="8">
        <v>946.7778035104275</v>
      </c>
      <c r="K24" s="8">
        <v>4299.0</v>
      </c>
      <c r="L24" s="11">
        <f t="shared" si="4"/>
        <v>0.4503372877</v>
      </c>
      <c r="M24" s="12">
        <f t="shared" si="5"/>
        <v>0.4890381216</v>
      </c>
      <c r="N24" s="13">
        <f t="shared" si="6"/>
        <v>0.2202321013</v>
      </c>
      <c r="O24" s="14">
        <f t="shared" si="7"/>
        <v>0.7420761003</v>
      </c>
      <c r="P24" s="15"/>
      <c r="Q24" s="15"/>
      <c r="AD24" s="20"/>
    </row>
    <row r="25" ht="15.75" customHeight="1">
      <c r="A25" s="8">
        <v>10901.0</v>
      </c>
      <c r="B25" s="9" t="s">
        <v>39</v>
      </c>
      <c r="C25" s="8">
        <v>902.0</v>
      </c>
      <c r="D25" s="8">
        <v>441.0000120103359</v>
      </c>
      <c r="E25" s="8">
        <v>1349.0</v>
      </c>
      <c r="F25" s="10">
        <f t="shared" si="1"/>
        <v>0.6686434396</v>
      </c>
      <c r="G25" s="10">
        <f t="shared" si="2"/>
        <v>0.4889135388</v>
      </c>
      <c r="H25" s="10">
        <f t="shared" si="3"/>
        <v>0.3269088303</v>
      </c>
      <c r="I25" s="8">
        <v>1147.0</v>
      </c>
      <c r="J25" s="8">
        <v>550.4444593191147</v>
      </c>
      <c r="K25" s="8">
        <v>2024.0</v>
      </c>
      <c r="L25" s="11">
        <f t="shared" si="4"/>
        <v>0.5666996047</v>
      </c>
      <c r="M25" s="12">
        <f t="shared" si="5"/>
        <v>0.4798992671</v>
      </c>
      <c r="N25" s="13">
        <f t="shared" si="6"/>
        <v>0.271958725</v>
      </c>
      <c r="O25" s="14">
        <f t="shared" si="7"/>
        <v>0.83191</v>
      </c>
      <c r="P25" s="15"/>
      <c r="Q25" s="15"/>
      <c r="AD25" s="20"/>
    </row>
    <row r="26" ht="15.75" customHeight="1">
      <c r="A26" s="8">
        <v>10902.0</v>
      </c>
      <c r="B26" s="9" t="s">
        <v>40</v>
      </c>
      <c r="C26" s="8">
        <v>6202.0</v>
      </c>
      <c r="D26" s="8">
        <v>3456.888980537653</v>
      </c>
      <c r="E26" s="8">
        <v>8278.0</v>
      </c>
      <c r="F26" s="10">
        <f t="shared" si="1"/>
        <v>0.7492147862</v>
      </c>
      <c r="G26" s="10">
        <f t="shared" si="2"/>
        <v>0.5573829378</v>
      </c>
      <c r="H26" s="10">
        <f t="shared" si="3"/>
        <v>0.4175995386</v>
      </c>
      <c r="I26" s="8">
        <v>5492.0</v>
      </c>
      <c r="J26" s="8">
        <v>2795.3334063887596</v>
      </c>
      <c r="K26" s="8">
        <v>9266.0</v>
      </c>
      <c r="L26" s="11">
        <f t="shared" si="4"/>
        <v>0.5927045111</v>
      </c>
      <c r="M26" s="12">
        <f t="shared" si="5"/>
        <v>0.5089827761</v>
      </c>
      <c r="N26" s="13">
        <f t="shared" si="6"/>
        <v>0.3016763875</v>
      </c>
      <c r="O26" s="14">
        <f t="shared" si="7"/>
        <v>0.7224059406</v>
      </c>
      <c r="P26" s="15"/>
      <c r="Q26" s="15"/>
      <c r="AD26" s="20"/>
    </row>
    <row r="27" ht="15.75" customHeight="1">
      <c r="A27" s="8">
        <v>10903.0</v>
      </c>
      <c r="B27" s="9" t="s">
        <v>41</v>
      </c>
      <c r="C27" s="8">
        <v>397.0</v>
      </c>
      <c r="D27" s="8">
        <v>182.55556082725525</v>
      </c>
      <c r="E27" s="8">
        <v>820.0</v>
      </c>
      <c r="F27" s="10">
        <f t="shared" si="1"/>
        <v>0.4841463415</v>
      </c>
      <c r="G27" s="10">
        <f t="shared" si="2"/>
        <v>0.4598376847</v>
      </c>
      <c r="H27" s="10">
        <f t="shared" si="3"/>
        <v>0.2226287327</v>
      </c>
      <c r="I27" s="8">
        <v>1511.0</v>
      </c>
      <c r="J27" s="8">
        <v>696.3333516120911</v>
      </c>
      <c r="K27" s="8">
        <v>3117.0</v>
      </c>
      <c r="L27" s="11">
        <f t="shared" si="4"/>
        <v>0.4847609881</v>
      </c>
      <c r="M27" s="12">
        <f t="shared" si="5"/>
        <v>0.4608427211</v>
      </c>
      <c r="N27" s="13">
        <f t="shared" si="6"/>
        <v>0.2233985729</v>
      </c>
      <c r="O27" s="14">
        <f t="shared" si="7"/>
        <v>1.003457955</v>
      </c>
      <c r="P27" s="15"/>
      <c r="Q27" s="15"/>
      <c r="AD27" s="20"/>
    </row>
    <row r="28" ht="15.75" customHeight="1">
      <c r="A28" s="8">
        <v>11001.0</v>
      </c>
      <c r="B28" s="9" t="s">
        <v>42</v>
      </c>
      <c r="C28" s="8">
        <v>3493.0</v>
      </c>
      <c r="D28" s="8">
        <v>1745.7778271734715</v>
      </c>
      <c r="E28" s="8">
        <v>5366.0</v>
      </c>
      <c r="F28" s="10">
        <f t="shared" si="1"/>
        <v>0.6509504286</v>
      </c>
      <c r="G28" s="10">
        <f t="shared" si="2"/>
        <v>0.4997932514</v>
      </c>
      <c r="H28" s="10">
        <f t="shared" si="3"/>
        <v>0.3253406312</v>
      </c>
      <c r="I28" s="8">
        <v>1500.0</v>
      </c>
      <c r="J28" s="8">
        <v>689.5555739402771</v>
      </c>
      <c r="K28" s="8">
        <v>3979.0</v>
      </c>
      <c r="L28" s="11">
        <f t="shared" si="4"/>
        <v>0.3769791405</v>
      </c>
      <c r="M28" s="12">
        <f t="shared" si="5"/>
        <v>0.459703716</v>
      </c>
      <c r="N28" s="13">
        <f t="shared" si="6"/>
        <v>0.1732987117</v>
      </c>
      <c r="O28" s="14">
        <f t="shared" si="7"/>
        <v>0.5326685175</v>
      </c>
      <c r="P28" s="15"/>
      <c r="Q28" s="15"/>
      <c r="AD28" s="20"/>
    </row>
    <row r="29" ht="15.75" customHeight="1">
      <c r="A29" s="8">
        <v>11002.0</v>
      </c>
      <c r="B29" s="9" t="s">
        <v>43</v>
      </c>
      <c r="C29" s="8">
        <v>1313.0</v>
      </c>
      <c r="D29" s="8">
        <v>609.5555706620216</v>
      </c>
      <c r="E29" s="8">
        <v>2000.0</v>
      </c>
      <c r="F29" s="10">
        <f t="shared" si="1"/>
        <v>0.6565</v>
      </c>
      <c r="G29" s="10">
        <f t="shared" si="2"/>
        <v>0.4642464361</v>
      </c>
      <c r="H29" s="10">
        <f t="shared" si="3"/>
        <v>0.3047777853</v>
      </c>
      <c r="I29" s="8">
        <v>246.0</v>
      </c>
      <c r="J29" s="8">
        <v>115.00000283122063</v>
      </c>
      <c r="K29" s="8">
        <v>429.0</v>
      </c>
      <c r="L29" s="11">
        <f t="shared" si="4"/>
        <v>0.5734265734</v>
      </c>
      <c r="M29" s="12">
        <f t="shared" si="5"/>
        <v>0.4674796863</v>
      </c>
      <c r="N29" s="13">
        <f t="shared" si="6"/>
        <v>0.2680652747</v>
      </c>
      <c r="O29" s="14">
        <f t="shared" si="7"/>
        <v>0.8795433511</v>
      </c>
      <c r="P29" s="15"/>
      <c r="Q29" s="15"/>
      <c r="AD29" s="20"/>
    </row>
    <row r="30" ht="15.75" customHeight="1">
      <c r="A30" s="8">
        <v>11003.0</v>
      </c>
      <c r="B30" s="9" t="s">
        <v>44</v>
      </c>
      <c r="C30" s="8">
        <v>2001.0</v>
      </c>
      <c r="D30" s="8">
        <v>956.3333592712879</v>
      </c>
      <c r="E30" s="8">
        <v>3638.0</v>
      </c>
      <c r="F30" s="10">
        <f t="shared" si="1"/>
        <v>0.5500274876</v>
      </c>
      <c r="G30" s="10">
        <f t="shared" si="2"/>
        <v>0.4779277158</v>
      </c>
      <c r="H30" s="10">
        <f t="shared" si="3"/>
        <v>0.2628733808</v>
      </c>
      <c r="I30" s="8">
        <v>1311.0</v>
      </c>
      <c r="J30" s="8">
        <v>585.888905018568</v>
      </c>
      <c r="K30" s="8">
        <v>3105.0</v>
      </c>
      <c r="L30" s="11">
        <f t="shared" si="4"/>
        <v>0.4222222222</v>
      </c>
      <c r="M30" s="12">
        <f t="shared" si="5"/>
        <v>0.4469022922</v>
      </c>
      <c r="N30" s="13">
        <f t="shared" si="6"/>
        <v>0.1886920789</v>
      </c>
      <c r="O30" s="14">
        <f t="shared" si="7"/>
        <v>0.717805958</v>
      </c>
      <c r="P30" s="15"/>
      <c r="Q30" s="15"/>
      <c r="AD30" s="20"/>
    </row>
    <row r="31" ht="15.75" customHeight="1">
      <c r="A31" s="8">
        <v>20101.0</v>
      </c>
      <c r="B31" s="9" t="s">
        <v>45</v>
      </c>
      <c r="C31" s="8">
        <v>22280.0</v>
      </c>
      <c r="D31" s="8">
        <v>8858.222444146872</v>
      </c>
      <c r="E31" s="8">
        <v>258589.0</v>
      </c>
      <c r="F31" s="10">
        <f t="shared" si="1"/>
        <v>0.08615989079</v>
      </c>
      <c r="G31" s="10">
        <f t="shared" si="2"/>
        <v>0.3975862856</v>
      </c>
      <c r="H31" s="10">
        <f t="shared" si="3"/>
        <v>0.03425599095</v>
      </c>
      <c r="I31" s="8">
        <v>11510.0</v>
      </c>
      <c r="J31" s="8">
        <v>4323.555665910244</v>
      </c>
      <c r="K31" s="8">
        <v>489599.0</v>
      </c>
      <c r="L31" s="11">
        <f t="shared" si="4"/>
        <v>0.02350903494</v>
      </c>
      <c r="M31" s="12">
        <f t="shared" si="5"/>
        <v>0.3756347234</v>
      </c>
      <c r="N31" s="13">
        <f t="shared" si="6"/>
        <v>0.008830809838</v>
      </c>
      <c r="O31" s="14">
        <f t="shared" si="7"/>
        <v>0.2577887719</v>
      </c>
      <c r="P31" s="15"/>
      <c r="Q31" s="15"/>
      <c r="AD31" s="20"/>
    </row>
    <row r="32" ht="15.75" customHeight="1">
      <c r="A32" s="8">
        <v>20102.0</v>
      </c>
      <c r="B32" s="9" t="s">
        <v>46</v>
      </c>
      <c r="C32" s="8">
        <v>8121.0</v>
      </c>
      <c r="D32" s="8">
        <v>3517.5556438863277</v>
      </c>
      <c r="E32" s="8">
        <v>15528.0</v>
      </c>
      <c r="F32" s="10">
        <f t="shared" si="1"/>
        <v>0.5229907264</v>
      </c>
      <c r="G32" s="10">
        <f t="shared" si="2"/>
        <v>0.4331431651</v>
      </c>
      <c r="H32" s="10">
        <f t="shared" si="3"/>
        <v>0.2265298586</v>
      </c>
      <c r="I32" s="8">
        <v>370.0</v>
      </c>
      <c r="J32" s="8">
        <v>151.0000034570694</v>
      </c>
      <c r="K32" s="8">
        <v>958.0</v>
      </c>
      <c r="L32" s="11">
        <f t="shared" si="4"/>
        <v>0.3862212944</v>
      </c>
      <c r="M32" s="12">
        <f t="shared" si="5"/>
        <v>0.4081081175</v>
      </c>
      <c r="N32" s="13">
        <f t="shared" si="6"/>
        <v>0.1576200454</v>
      </c>
      <c r="O32" s="14">
        <f t="shared" si="7"/>
        <v>0.6958025152</v>
      </c>
      <c r="P32" s="15"/>
      <c r="Q32" s="15"/>
      <c r="AD32" s="20"/>
    </row>
    <row r="33" ht="15.75" customHeight="1">
      <c r="A33" s="8">
        <v>20103.0</v>
      </c>
      <c r="B33" s="9" t="s">
        <v>47</v>
      </c>
      <c r="C33" s="8">
        <v>5778.0</v>
      </c>
      <c r="D33" s="8">
        <v>2484.4445078372955</v>
      </c>
      <c r="E33" s="8">
        <v>12787.0</v>
      </c>
      <c r="F33" s="10">
        <f t="shared" si="1"/>
        <v>0.4518651756</v>
      </c>
      <c r="G33" s="10">
        <f t="shared" si="2"/>
        <v>0.4299834731</v>
      </c>
      <c r="H33" s="10">
        <f t="shared" si="3"/>
        <v>0.1942945576</v>
      </c>
      <c r="I33" s="8">
        <v>372.0</v>
      </c>
      <c r="J33" s="8">
        <v>151.55555945634842</v>
      </c>
      <c r="K33" s="8">
        <v>2958.0</v>
      </c>
      <c r="L33" s="11">
        <f t="shared" si="4"/>
        <v>0.1257606491</v>
      </c>
      <c r="M33" s="12">
        <f t="shared" si="5"/>
        <v>0.4074074179</v>
      </c>
      <c r="N33" s="13">
        <f t="shared" si="6"/>
        <v>0.05123582132</v>
      </c>
      <c r="O33" s="14">
        <f t="shared" si="7"/>
        <v>0.2637017833</v>
      </c>
      <c r="P33" s="15"/>
      <c r="Q33" s="15"/>
      <c r="AD33" s="20"/>
    </row>
    <row r="34" ht="15.75" customHeight="1">
      <c r="A34" s="8">
        <v>20104.0</v>
      </c>
      <c r="B34" s="9" t="s">
        <v>48</v>
      </c>
      <c r="C34" s="8">
        <v>8856.0</v>
      </c>
      <c r="D34" s="8">
        <v>3665.888978600502</v>
      </c>
      <c r="E34" s="8">
        <v>18136.0</v>
      </c>
      <c r="F34" s="10">
        <f t="shared" si="1"/>
        <v>0.4883105426</v>
      </c>
      <c r="G34" s="10">
        <f t="shared" si="2"/>
        <v>0.4139441033</v>
      </c>
      <c r="H34" s="10">
        <f t="shared" si="3"/>
        <v>0.2021332697</v>
      </c>
      <c r="I34" s="8">
        <v>1627.0</v>
      </c>
      <c r="J34" s="8">
        <v>675.0000169575214</v>
      </c>
      <c r="K34" s="8">
        <v>4106.0</v>
      </c>
      <c r="L34" s="11">
        <f t="shared" si="4"/>
        <v>0.3962493911</v>
      </c>
      <c r="M34" s="12">
        <f t="shared" si="5"/>
        <v>0.4148740117</v>
      </c>
      <c r="N34" s="13">
        <f t="shared" si="6"/>
        <v>0.1643935745</v>
      </c>
      <c r="O34" s="14">
        <f t="shared" si="7"/>
        <v>0.8132930061</v>
      </c>
      <c r="P34" s="15"/>
      <c r="Q34" s="15"/>
      <c r="AD34" s="20"/>
    </row>
    <row r="35" ht="15.75" customHeight="1">
      <c r="A35" s="8">
        <v>20105.0</v>
      </c>
      <c r="B35" s="9" t="s">
        <v>49</v>
      </c>
      <c r="C35" s="8">
        <v>91475.0</v>
      </c>
      <c r="D35" s="8">
        <v>36117.77868154645</v>
      </c>
      <c r="E35" s="8">
        <v>573615.0</v>
      </c>
      <c r="F35" s="10">
        <f t="shared" si="1"/>
        <v>0.1594710738</v>
      </c>
      <c r="G35" s="10">
        <f t="shared" si="2"/>
        <v>0.3948377008</v>
      </c>
      <c r="H35" s="10">
        <f t="shared" si="3"/>
        <v>0.06296519213</v>
      </c>
      <c r="I35" s="8">
        <v>22513.0</v>
      </c>
      <c r="J35" s="8">
        <v>8621.889103710651</v>
      </c>
      <c r="K35" s="8">
        <v>266070.0</v>
      </c>
      <c r="L35" s="11">
        <f t="shared" si="4"/>
        <v>0.08461307175</v>
      </c>
      <c r="M35" s="12">
        <f t="shared" si="5"/>
        <v>0.3829737975</v>
      </c>
      <c r="N35" s="13">
        <f t="shared" si="6"/>
        <v>0.03240458941</v>
      </c>
      <c r="O35" s="14">
        <f t="shared" si="7"/>
        <v>0.5146429053</v>
      </c>
      <c r="P35" s="15"/>
      <c r="Q35" s="15"/>
      <c r="AD35" s="20"/>
    </row>
    <row r="36" ht="15.75" customHeight="1">
      <c r="A36" s="8">
        <v>20201.0</v>
      </c>
      <c r="B36" s="9" t="s">
        <v>50</v>
      </c>
      <c r="C36" s="8">
        <v>17138.0</v>
      </c>
      <c r="D36" s="8">
        <v>7239.000181794167</v>
      </c>
      <c r="E36" s="8">
        <v>44174.0</v>
      </c>
      <c r="F36" s="10">
        <f t="shared" si="1"/>
        <v>0.3879657717</v>
      </c>
      <c r="G36" s="10">
        <f t="shared" si="2"/>
        <v>0.4223946891</v>
      </c>
      <c r="H36" s="10">
        <f t="shared" si="3"/>
        <v>0.1638746815</v>
      </c>
      <c r="I36" s="8">
        <v>368.0</v>
      </c>
      <c r="J36" s="8">
        <v>152.88889279961586</v>
      </c>
      <c r="K36" s="8">
        <v>1493.0</v>
      </c>
      <c r="L36" s="11">
        <f t="shared" si="4"/>
        <v>0.2464835901</v>
      </c>
      <c r="M36" s="12">
        <f t="shared" si="5"/>
        <v>0.4154589478</v>
      </c>
      <c r="N36" s="13">
        <f t="shared" si="6"/>
        <v>0.102403813</v>
      </c>
      <c r="O36" s="14">
        <f t="shared" si="7"/>
        <v>0.6248909962</v>
      </c>
      <c r="P36" s="15"/>
      <c r="Q36" s="15"/>
      <c r="AD36" s="20"/>
    </row>
    <row r="37" ht="15.75" customHeight="1">
      <c r="A37" s="8">
        <v>20202.0</v>
      </c>
      <c r="B37" s="9" t="s">
        <v>51</v>
      </c>
      <c r="C37" s="8">
        <v>7103.0</v>
      </c>
      <c r="D37" s="8">
        <v>3009.3334078490734</v>
      </c>
      <c r="E37" s="8">
        <v>12809.0</v>
      </c>
      <c r="F37" s="10">
        <f t="shared" si="1"/>
        <v>0.5545319697</v>
      </c>
      <c r="G37" s="10">
        <f t="shared" si="2"/>
        <v>0.4236707599</v>
      </c>
      <c r="H37" s="10">
        <f t="shared" si="3"/>
        <v>0.234938981</v>
      </c>
      <c r="I37" s="8">
        <v>98.0</v>
      </c>
      <c r="J37" s="8">
        <v>39.77777859568596</v>
      </c>
      <c r="K37" s="8">
        <v>274.0</v>
      </c>
      <c r="L37" s="11">
        <f t="shared" si="4"/>
        <v>0.3576642336</v>
      </c>
      <c r="M37" s="12">
        <f t="shared" si="5"/>
        <v>0.4058957</v>
      </c>
      <c r="N37" s="13">
        <f t="shared" si="6"/>
        <v>0.1451743744</v>
      </c>
      <c r="O37" s="14">
        <f t="shared" si="7"/>
        <v>0.6179237426</v>
      </c>
      <c r="P37" s="15"/>
      <c r="Q37" s="15"/>
      <c r="AD37" s="20"/>
    </row>
    <row r="38" ht="15.75" customHeight="1">
      <c r="A38" s="8">
        <v>20203.0</v>
      </c>
      <c r="B38" s="9" t="s">
        <v>52</v>
      </c>
      <c r="C38" s="8">
        <v>3275.0</v>
      </c>
      <c r="D38" s="8">
        <v>1388.0000337958336</v>
      </c>
      <c r="E38" s="8">
        <v>7672.0</v>
      </c>
      <c r="F38" s="10">
        <f t="shared" si="1"/>
        <v>0.4268769552</v>
      </c>
      <c r="G38" s="10">
        <f t="shared" si="2"/>
        <v>0.4238168042</v>
      </c>
      <c r="H38" s="10">
        <f t="shared" si="3"/>
        <v>0.1809176269</v>
      </c>
      <c r="I38" s="8">
        <v>101.0</v>
      </c>
      <c r="J38" s="8">
        <v>39.00000071525574</v>
      </c>
      <c r="K38" s="8">
        <v>227.0</v>
      </c>
      <c r="L38" s="11">
        <f t="shared" si="4"/>
        <v>0.4449339207</v>
      </c>
      <c r="M38" s="12">
        <f t="shared" si="5"/>
        <v>0.3861386209</v>
      </c>
      <c r="N38" s="13">
        <f t="shared" si="6"/>
        <v>0.1718061706</v>
      </c>
      <c r="O38" s="14">
        <f t="shared" si="7"/>
        <v>0.9496375421</v>
      </c>
      <c r="P38" s="15"/>
      <c r="Q38" s="15"/>
      <c r="AD38" s="20"/>
    </row>
    <row r="39" ht="15.75" customHeight="1">
      <c r="A39" s="8">
        <v>20204.0</v>
      </c>
      <c r="B39" s="9" t="s">
        <v>53</v>
      </c>
      <c r="C39" s="8">
        <v>3129.0</v>
      </c>
      <c r="D39" s="8">
        <v>1283.7778084874153</v>
      </c>
      <c r="E39" s="8">
        <v>8108.0</v>
      </c>
      <c r="F39" s="10">
        <f t="shared" si="1"/>
        <v>0.3859151455</v>
      </c>
      <c r="G39" s="10">
        <f t="shared" si="2"/>
        <v>0.4102837355</v>
      </c>
      <c r="H39" s="10">
        <f t="shared" si="3"/>
        <v>0.1583347075</v>
      </c>
      <c r="I39" s="8">
        <v>108.0</v>
      </c>
      <c r="J39" s="8">
        <v>42.55555656552315</v>
      </c>
      <c r="K39" s="8">
        <v>414.0</v>
      </c>
      <c r="L39" s="11">
        <f t="shared" si="4"/>
        <v>0.2608695652</v>
      </c>
      <c r="M39" s="12">
        <f t="shared" si="5"/>
        <v>0.3940329312</v>
      </c>
      <c r="N39" s="13">
        <f t="shared" si="6"/>
        <v>0.1027911994</v>
      </c>
      <c r="O39" s="14">
        <f t="shared" si="7"/>
        <v>0.6492019409</v>
      </c>
      <c r="P39" s="15"/>
      <c r="Q39" s="15"/>
      <c r="AD39" s="20"/>
    </row>
    <row r="40" ht="15.75" customHeight="1">
      <c r="A40" s="8">
        <v>20205.0</v>
      </c>
      <c r="B40" s="9" t="s">
        <v>54</v>
      </c>
      <c r="C40" s="8">
        <v>776.0</v>
      </c>
      <c r="D40" s="8">
        <v>302.777784883976</v>
      </c>
      <c r="E40" s="8">
        <v>3650.0</v>
      </c>
      <c r="F40" s="10">
        <f t="shared" si="1"/>
        <v>0.2126027397</v>
      </c>
      <c r="G40" s="10">
        <f t="shared" si="2"/>
        <v>0.3901775578</v>
      </c>
      <c r="H40" s="10">
        <f t="shared" si="3"/>
        <v>0.08295281778</v>
      </c>
      <c r="I40" s="8">
        <v>32.0</v>
      </c>
      <c r="J40" s="8">
        <v>12.666666865348816</v>
      </c>
      <c r="K40" s="8">
        <v>231.0</v>
      </c>
      <c r="L40" s="11">
        <f t="shared" si="4"/>
        <v>0.1385281385</v>
      </c>
      <c r="M40" s="12">
        <f t="shared" si="5"/>
        <v>0.3958333395</v>
      </c>
      <c r="N40" s="13">
        <f t="shared" si="6"/>
        <v>0.05483405569</v>
      </c>
      <c r="O40" s="14">
        <f t="shared" si="7"/>
        <v>0.6610270412</v>
      </c>
      <c r="P40" s="15"/>
      <c r="Q40" s="15"/>
      <c r="AD40" s="20"/>
    </row>
    <row r="41" ht="15.75" customHeight="1">
      <c r="A41" s="8">
        <v>20206.0</v>
      </c>
      <c r="B41" s="9" t="s">
        <v>55</v>
      </c>
      <c r="C41" s="8">
        <v>1750.0</v>
      </c>
      <c r="D41" s="8">
        <v>701.6666840910912</v>
      </c>
      <c r="E41" s="8">
        <v>4719.0</v>
      </c>
      <c r="F41" s="10">
        <f t="shared" si="1"/>
        <v>0.3708412799</v>
      </c>
      <c r="G41" s="10">
        <f t="shared" si="2"/>
        <v>0.4009523909</v>
      </c>
      <c r="H41" s="10">
        <f t="shared" si="3"/>
        <v>0.1486896978</v>
      </c>
      <c r="I41" s="8">
        <v>58.0</v>
      </c>
      <c r="J41" s="8">
        <v>22.222222805023193</v>
      </c>
      <c r="K41" s="8">
        <v>141.0</v>
      </c>
      <c r="L41" s="11">
        <f t="shared" si="4"/>
        <v>0.4113475177</v>
      </c>
      <c r="M41" s="12">
        <f t="shared" si="5"/>
        <v>0.3831417725</v>
      </c>
      <c r="N41" s="13">
        <f t="shared" si="6"/>
        <v>0.1576044171</v>
      </c>
      <c r="O41" s="14">
        <f t="shared" si="7"/>
        <v>1.059955191</v>
      </c>
      <c r="P41" s="15"/>
      <c r="Q41" s="15"/>
      <c r="AD41" s="20"/>
    </row>
    <row r="42" ht="15.75" customHeight="1">
      <c r="A42" s="8">
        <v>20301.0</v>
      </c>
      <c r="B42" s="9" t="s">
        <v>56</v>
      </c>
      <c r="C42" s="8">
        <v>6122.0</v>
      </c>
      <c r="D42" s="8">
        <v>2839.111182361841</v>
      </c>
      <c r="E42" s="8">
        <v>9322.0</v>
      </c>
      <c r="F42" s="10">
        <f t="shared" si="1"/>
        <v>0.6567260245</v>
      </c>
      <c r="G42" s="10">
        <f t="shared" si="2"/>
        <v>0.4637555019</v>
      </c>
      <c r="H42" s="10">
        <f t="shared" si="3"/>
        <v>0.3045603071</v>
      </c>
      <c r="I42" s="8">
        <v>463.0</v>
      </c>
      <c r="J42" s="8">
        <v>207.88889408111572</v>
      </c>
      <c r="K42" s="8">
        <v>1027.0</v>
      </c>
      <c r="L42" s="11">
        <f t="shared" si="4"/>
        <v>0.4508276534</v>
      </c>
      <c r="M42" s="12">
        <f t="shared" si="5"/>
        <v>0.4490040909</v>
      </c>
      <c r="N42" s="13">
        <f t="shared" si="6"/>
        <v>0.2024234606</v>
      </c>
      <c r="O42" s="14">
        <f t="shared" si="7"/>
        <v>0.6646416357</v>
      </c>
      <c r="P42" s="15"/>
      <c r="Q42" s="15"/>
      <c r="AD42" s="20"/>
    </row>
    <row r="43" ht="15.75" customHeight="1">
      <c r="A43" s="8">
        <v>20302.0</v>
      </c>
      <c r="B43" s="9" t="s">
        <v>57</v>
      </c>
      <c r="C43" s="8">
        <v>10028.0</v>
      </c>
      <c r="D43" s="8">
        <v>4524.666778594255</v>
      </c>
      <c r="E43" s="8">
        <v>14121.0</v>
      </c>
      <c r="F43" s="10">
        <f t="shared" si="1"/>
        <v>0.7101480065</v>
      </c>
      <c r="G43" s="10">
        <f t="shared" si="2"/>
        <v>0.4512033086</v>
      </c>
      <c r="H43" s="10">
        <f t="shared" si="3"/>
        <v>0.3204211301</v>
      </c>
      <c r="I43" s="8">
        <v>323.0</v>
      </c>
      <c r="J43" s="8">
        <v>139.33333709836006</v>
      </c>
      <c r="K43" s="8">
        <v>508.0</v>
      </c>
      <c r="L43" s="11">
        <f t="shared" si="4"/>
        <v>0.6358267717</v>
      </c>
      <c r="M43" s="12">
        <f t="shared" si="5"/>
        <v>0.4313725607</v>
      </c>
      <c r="N43" s="13">
        <f t="shared" si="6"/>
        <v>0.2742782226</v>
      </c>
      <c r="O43" s="14">
        <f t="shared" si="7"/>
        <v>0.8559929319</v>
      </c>
      <c r="P43" s="15"/>
      <c r="Q43" s="15"/>
      <c r="AD43" s="20"/>
    </row>
    <row r="44" ht="15.75" customHeight="1">
      <c r="A44" s="8">
        <v>20303.0</v>
      </c>
      <c r="B44" s="9" t="s">
        <v>58</v>
      </c>
      <c r="C44" s="8">
        <v>7600.0</v>
      </c>
      <c r="D44" s="8">
        <v>3412.6667493879795</v>
      </c>
      <c r="E44" s="8">
        <v>9469.0</v>
      </c>
      <c r="F44" s="10">
        <f t="shared" si="1"/>
        <v>0.8026190728</v>
      </c>
      <c r="G44" s="10">
        <f t="shared" si="2"/>
        <v>0.4490350986</v>
      </c>
      <c r="H44" s="10">
        <f t="shared" si="3"/>
        <v>0.3604041345</v>
      </c>
      <c r="I44" s="8">
        <v>239.0</v>
      </c>
      <c r="J44" s="8">
        <v>103.55555778741837</v>
      </c>
      <c r="K44" s="8">
        <v>335.0</v>
      </c>
      <c r="L44" s="11">
        <f t="shared" si="4"/>
        <v>0.7134328358</v>
      </c>
      <c r="M44" s="12">
        <f t="shared" si="5"/>
        <v>0.4332868527</v>
      </c>
      <c r="N44" s="13">
        <f t="shared" si="6"/>
        <v>0.309121068</v>
      </c>
      <c r="O44" s="14">
        <f t="shared" si="7"/>
        <v>0.8577067754</v>
      </c>
      <c r="P44" s="15"/>
      <c r="Q44" s="15"/>
      <c r="AD44" s="20"/>
    </row>
    <row r="45" ht="15.75" customHeight="1">
      <c r="A45" s="8">
        <v>20304.0</v>
      </c>
      <c r="B45" s="9" t="s">
        <v>59</v>
      </c>
      <c r="C45" s="8">
        <v>2408.0</v>
      </c>
      <c r="D45" s="8">
        <v>1080.4444708824158</v>
      </c>
      <c r="E45" s="8">
        <v>3802.0</v>
      </c>
      <c r="F45" s="10">
        <f t="shared" si="1"/>
        <v>0.633350868</v>
      </c>
      <c r="G45" s="10">
        <f t="shared" si="2"/>
        <v>0.4486895643</v>
      </c>
      <c r="H45" s="10">
        <f t="shared" si="3"/>
        <v>0.284177925</v>
      </c>
      <c r="I45" s="8">
        <v>8.0</v>
      </c>
      <c r="J45" s="8">
        <v>3.1111111640930176</v>
      </c>
      <c r="K45" s="8">
        <v>44.0</v>
      </c>
      <c r="L45" s="11">
        <f t="shared" si="4"/>
        <v>0.1818181818</v>
      </c>
      <c r="M45" s="12">
        <f t="shared" si="5"/>
        <v>0.3888888955</v>
      </c>
      <c r="N45" s="13">
        <f t="shared" si="6"/>
        <v>0.07070707191</v>
      </c>
      <c r="O45" s="14">
        <f t="shared" si="7"/>
        <v>0.2488126828</v>
      </c>
      <c r="P45" s="15"/>
      <c r="Q45" s="15"/>
      <c r="AD45" s="20"/>
    </row>
    <row r="46" ht="15.75" customHeight="1">
      <c r="A46" s="8">
        <v>20305.0</v>
      </c>
      <c r="B46" s="9" t="s">
        <v>60</v>
      </c>
      <c r="C46" s="8">
        <v>1897.0</v>
      </c>
      <c r="D46" s="8">
        <v>864.6666887998581</v>
      </c>
      <c r="E46" s="8">
        <v>2658.0</v>
      </c>
      <c r="F46" s="10">
        <f t="shared" si="1"/>
        <v>0.7136945071</v>
      </c>
      <c r="G46" s="10">
        <f t="shared" si="2"/>
        <v>0.4558074269</v>
      </c>
      <c r="H46" s="10">
        <f t="shared" si="3"/>
        <v>0.3253072569</v>
      </c>
      <c r="I46" s="8">
        <v>190.0</v>
      </c>
      <c r="J46" s="8">
        <v>83.44444638490677</v>
      </c>
      <c r="K46" s="8">
        <v>361.0</v>
      </c>
      <c r="L46" s="11">
        <f t="shared" si="4"/>
        <v>0.5263157895</v>
      </c>
      <c r="M46" s="12">
        <f t="shared" si="5"/>
        <v>0.4391812968</v>
      </c>
      <c r="N46" s="13">
        <f t="shared" si="6"/>
        <v>0.2311480509</v>
      </c>
      <c r="O46" s="14">
        <f t="shared" si="7"/>
        <v>0.7105530111</v>
      </c>
      <c r="P46" s="15"/>
      <c r="Q46" s="15"/>
      <c r="AD46" s="20"/>
    </row>
    <row r="47" ht="15.75" customHeight="1">
      <c r="A47" s="8">
        <v>20306.0</v>
      </c>
      <c r="B47" s="9" t="s">
        <v>61</v>
      </c>
      <c r="C47" s="8">
        <v>3166.0</v>
      </c>
      <c r="D47" s="8">
        <v>1381.8889236748219</v>
      </c>
      <c r="E47" s="8">
        <v>4702.0</v>
      </c>
      <c r="F47" s="10">
        <f t="shared" si="1"/>
        <v>0.6733304977</v>
      </c>
      <c r="G47" s="10">
        <f t="shared" si="2"/>
        <v>0.436477866</v>
      </c>
      <c r="H47" s="10">
        <f t="shared" si="3"/>
        <v>0.2938938587</v>
      </c>
      <c r="I47" s="8">
        <v>161.0</v>
      </c>
      <c r="J47" s="8">
        <v>66.22222378849983</v>
      </c>
      <c r="K47" s="8">
        <v>299.0</v>
      </c>
      <c r="L47" s="11">
        <f t="shared" si="4"/>
        <v>0.5384615385</v>
      </c>
      <c r="M47" s="12">
        <f t="shared" si="5"/>
        <v>0.4113181602</v>
      </c>
      <c r="N47" s="13">
        <f t="shared" si="6"/>
        <v>0.2214790093</v>
      </c>
      <c r="O47" s="14">
        <f t="shared" si="7"/>
        <v>0.7536020327</v>
      </c>
      <c r="P47" s="15"/>
      <c r="Q47" s="15"/>
      <c r="AD47" s="20"/>
    </row>
    <row r="48" ht="15.75" customHeight="1">
      <c r="A48" s="8">
        <v>20307.0</v>
      </c>
      <c r="B48" s="9" t="s">
        <v>62</v>
      </c>
      <c r="C48" s="8">
        <v>366.0</v>
      </c>
      <c r="D48" s="8">
        <v>149.66667050123215</v>
      </c>
      <c r="E48" s="8">
        <v>578.0</v>
      </c>
      <c r="F48" s="10">
        <f t="shared" si="1"/>
        <v>0.6332179931</v>
      </c>
      <c r="G48" s="10">
        <f t="shared" si="2"/>
        <v>0.4089253292</v>
      </c>
      <c r="H48" s="10">
        <f t="shared" si="3"/>
        <v>0.2589388763</v>
      </c>
      <c r="I48" s="8">
        <v>20.0</v>
      </c>
      <c r="J48" s="8">
        <v>7.4444445967674255</v>
      </c>
      <c r="K48" s="8">
        <v>22.0</v>
      </c>
      <c r="L48" s="11">
        <f t="shared" si="4"/>
        <v>0.9090909091</v>
      </c>
      <c r="M48" s="12">
        <f t="shared" si="5"/>
        <v>0.3722222298</v>
      </c>
      <c r="N48" s="13">
        <f t="shared" si="6"/>
        <v>0.3383838453</v>
      </c>
      <c r="O48" s="14">
        <f t="shared" si="7"/>
        <v>1.306809739</v>
      </c>
      <c r="P48" s="15"/>
      <c r="Q48" s="15"/>
      <c r="AD48" s="20"/>
    </row>
    <row r="49" ht="15.75" customHeight="1">
      <c r="A49" s="8">
        <v>20308.0</v>
      </c>
      <c r="B49" s="9" t="s">
        <v>63</v>
      </c>
      <c r="C49" s="8">
        <v>6365.0</v>
      </c>
      <c r="D49" s="8">
        <v>3067.888966023922</v>
      </c>
      <c r="E49" s="8">
        <v>7030.0</v>
      </c>
      <c r="F49" s="10">
        <f t="shared" si="1"/>
        <v>0.9054054054</v>
      </c>
      <c r="G49" s="10">
        <f t="shared" si="2"/>
        <v>0.4819935532</v>
      </c>
      <c r="H49" s="10">
        <f t="shared" si="3"/>
        <v>0.4363995684</v>
      </c>
      <c r="I49" s="8">
        <v>156.0</v>
      </c>
      <c r="J49" s="8">
        <v>72.22222381830215</v>
      </c>
      <c r="K49" s="8">
        <v>212.0</v>
      </c>
      <c r="L49" s="11">
        <f t="shared" si="4"/>
        <v>0.7358490566</v>
      </c>
      <c r="M49" s="12">
        <f t="shared" si="5"/>
        <v>0.4629629732</v>
      </c>
      <c r="N49" s="13">
        <f t="shared" si="6"/>
        <v>0.3406708671</v>
      </c>
      <c r="O49" s="14">
        <f t="shared" si="7"/>
        <v>0.7806397891</v>
      </c>
      <c r="P49" s="15"/>
      <c r="Q49" s="15"/>
      <c r="AD49" s="20"/>
    </row>
    <row r="50" ht="15.75" customHeight="1">
      <c r="A50" s="8">
        <v>20401.0</v>
      </c>
      <c r="B50" s="9" t="s">
        <v>64</v>
      </c>
      <c r="C50" s="8">
        <v>7088.0</v>
      </c>
      <c r="D50" s="8">
        <v>3109.111188799143</v>
      </c>
      <c r="E50" s="8">
        <v>10851.0</v>
      </c>
      <c r="F50" s="10">
        <f t="shared" si="1"/>
        <v>0.6532116856</v>
      </c>
      <c r="G50" s="10">
        <f t="shared" si="2"/>
        <v>0.4386443551</v>
      </c>
      <c r="H50" s="10">
        <f t="shared" si="3"/>
        <v>0.2865276185</v>
      </c>
      <c r="I50" s="8">
        <v>223.0</v>
      </c>
      <c r="J50" s="8">
        <v>103.88889139890671</v>
      </c>
      <c r="K50" s="8">
        <v>384.0</v>
      </c>
      <c r="L50" s="11">
        <f t="shared" si="4"/>
        <v>0.5807291667</v>
      </c>
      <c r="M50" s="12">
        <f t="shared" si="5"/>
        <v>0.4658694682</v>
      </c>
      <c r="N50" s="13">
        <f t="shared" si="6"/>
        <v>0.270543988</v>
      </c>
      <c r="O50" s="14">
        <f t="shared" si="7"/>
        <v>0.9442160913</v>
      </c>
      <c r="P50" s="15"/>
      <c r="Q50" s="15"/>
      <c r="AD50" s="20"/>
    </row>
    <row r="51" ht="15.75" customHeight="1">
      <c r="A51" s="8">
        <v>20402.0</v>
      </c>
      <c r="B51" s="9" t="s">
        <v>65</v>
      </c>
      <c r="C51" s="8">
        <v>9433.0</v>
      </c>
      <c r="D51" s="8">
        <v>4098.222326010466</v>
      </c>
      <c r="E51" s="8">
        <v>15164.0</v>
      </c>
      <c r="F51" s="10">
        <f t="shared" si="1"/>
        <v>0.6220654181</v>
      </c>
      <c r="G51" s="10">
        <f t="shared" si="2"/>
        <v>0.4344558811</v>
      </c>
      <c r="H51" s="10">
        <f t="shared" si="3"/>
        <v>0.2702599793</v>
      </c>
      <c r="I51" s="8">
        <v>170.0</v>
      </c>
      <c r="J51" s="8">
        <v>66.66666832566261</v>
      </c>
      <c r="K51" s="8">
        <v>405.0</v>
      </c>
      <c r="L51" s="11">
        <f t="shared" si="4"/>
        <v>0.4197530864</v>
      </c>
      <c r="M51" s="12">
        <f t="shared" si="5"/>
        <v>0.3921568725</v>
      </c>
      <c r="N51" s="13">
        <f t="shared" si="6"/>
        <v>0.1646090576</v>
      </c>
      <c r="O51" s="14">
        <f t="shared" si="7"/>
        <v>0.6090767047</v>
      </c>
      <c r="P51" s="15"/>
      <c r="Q51" s="15"/>
      <c r="AD51" s="20"/>
    </row>
    <row r="52" ht="15.75" customHeight="1">
      <c r="A52" s="8">
        <v>20403.0</v>
      </c>
      <c r="B52" s="9" t="s">
        <v>66</v>
      </c>
      <c r="C52" s="8">
        <v>8626.0</v>
      </c>
      <c r="D52" s="8">
        <v>3956.0001037716866</v>
      </c>
      <c r="E52" s="8">
        <v>13926.0</v>
      </c>
      <c r="F52" s="10">
        <f t="shared" si="1"/>
        <v>0.619416918</v>
      </c>
      <c r="G52" s="10">
        <f t="shared" si="2"/>
        <v>0.4586135061</v>
      </c>
      <c r="H52" s="10">
        <f t="shared" si="3"/>
        <v>0.2840729645</v>
      </c>
      <c r="I52" s="8">
        <v>156.0</v>
      </c>
      <c r="J52" s="8">
        <v>60.333334773778915</v>
      </c>
      <c r="K52" s="8">
        <v>409.0</v>
      </c>
      <c r="L52" s="11">
        <f t="shared" si="4"/>
        <v>0.3814180929</v>
      </c>
      <c r="M52" s="12">
        <f t="shared" si="5"/>
        <v>0.386752146</v>
      </c>
      <c r="N52" s="13">
        <f t="shared" si="6"/>
        <v>0.147514266</v>
      </c>
      <c r="O52" s="14">
        <f t="shared" si="7"/>
        <v>0.5192830166</v>
      </c>
      <c r="P52" s="15"/>
      <c r="Q52" s="15"/>
      <c r="AD52" s="20"/>
    </row>
    <row r="53" ht="15.75" customHeight="1">
      <c r="A53" s="8">
        <v>20404.0</v>
      </c>
      <c r="B53" s="9" t="s">
        <v>67</v>
      </c>
      <c r="C53" s="8">
        <v>3621.0</v>
      </c>
      <c r="D53" s="8">
        <v>1607.6667072176933</v>
      </c>
      <c r="E53" s="8">
        <v>5192.0</v>
      </c>
      <c r="F53" s="10">
        <f t="shared" si="1"/>
        <v>0.6974191063</v>
      </c>
      <c r="G53" s="10">
        <f t="shared" si="2"/>
        <v>0.4439841776</v>
      </c>
      <c r="H53" s="10">
        <f t="shared" si="3"/>
        <v>0.3096430484</v>
      </c>
      <c r="I53" s="8">
        <v>83.0</v>
      </c>
      <c r="J53" s="8">
        <v>36.22222310304642</v>
      </c>
      <c r="K53" s="8">
        <v>144.0</v>
      </c>
      <c r="L53" s="11">
        <f t="shared" si="4"/>
        <v>0.5763888889</v>
      </c>
      <c r="M53" s="12">
        <f t="shared" si="5"/>
        <v>0.4364123265</v>
      </c>
      <c r="N53" s="13">
        <f t="shared" si="6"/>
        <v>0.251543216</v>
      </c>
      <c r="O53" s="14">
        <f t="shared" si="7"/>
        <v>0.8123651324</v>
      </c>
      <c r="P53" s="15"/>
      <c r="Q53" s="15"/>
      <c r="AD53" s="20"/>
    </row>
    <row r="54" ht="15.75" customHeight="1">
      <c r="A54" s="8">
        <v>20405.0</v>
      </c>
      <c r="B54" s="9" t="s">
        <v>68</v>
      </c>
      <c r="C54" s="8">
        <v>3715.0</v>
      </c>
      <c r="D54" s="8">
        <v>1549.0000374019146</v>
      </c>
      <c r="E54" s="8">
        <v>7044.0</v>
      </c>
      <c r="F54" s="10">
        <f t="shared" si="1"/>
        <v>0.527399205</v>
      </c>
      <c r="G54" s="10">
        <f t="shared" si="2"/>
        <v>0.4169582873</v>
      </c>
      <c r="H54" s="10">
        <f t="shared" si="3"/>
        <v>0.2199034693</v>
      </c>
      <c r="I54" s="8">
        <v>31.0</v>
      </c>
      <c r="J54" s="8">
        <v>13.444444745779037</v>
      </c>
      <c r="K54" s="8">
        <v>104.0</v>
      </c>
      <c r="L54" s="11">
        <f t="shared" si="4"/>
        <v>0.2980769231</v>
      </c>
      <c r="M54" s="12">
        <f t="shared" si="5"/>
        <v>0.433691766</v>
      </c>
      <c r="N54" s="13">
        <f t="shared" si="6"/>
        <v>0.1292735072</v>
      </c>
      <c r="O54" s="14">
        <f t="shared" si="7"/>
        <v>0.5878647918</v>
      </c>
      <c r="P54" s="15"/>
      <c r="Q54" s="15"/>
      <c r="AD54" s="20"/>
    </row>
    <row r="55" ht="15.75" customHeight="1">
      <c r="A55" s="8">
        <v>20501.0</v>
      </c>
      <c r="B55" s="9" t="s">
        <v>69</v>
      </c>
      <c r="C55" s="8">
        <v>5925.0</v>
      </c>
      <c r="D55" s="8">
        <v>2613.7778455615044</v>
      </c>
      <c r="E55" s="8">
        <v>11039.0</v>
      </c>
      <c r="F55" s="10">
        <f t="shared" si="1"/>
        <v>0.5367333998</v>
      </c>
      <c r="G55" s="10">
        <f t="shared" si="2"/>
        <v>0.4411439402</v>
      </c>
      <c r="H55" s="10">
        <f t="shared" si="3"/>
        <v>0.2367766868</v>
      </c>
      <c r="I55" s="8">
        <v>138.0</v>
      </c>
      <c r="J55" s="8">
        <v>55.66666793823242</v>
      </c>
      <c r="K55" s="8">
        <v>407.0</v>
      </c>
      <c r="L55" s="11">
        <f t="shared" si="4"/>
        <v>0.3390663391</v>
      </c>
      <c r="M55" s="12">
        <f t="shared" si="5"/>
        <v>0.4033816517</v>
      </c>
      <c r="N55" s="13">
        <f t="shared" si="6"/>
        <v>0.1367731399</v>
      </c>
      <c r="O55" s="14">
        <f t="shared" si="7"/>
        <v>0.5776461431</v>
      </c>
      <c r="P55" s="15"/>
      <c r="Q55" s="15"/>
      <c r="AD55" s="20"/>
    </row>
    <row r="56" ht="15.75" customHeight="1">
      <c r="A56" s="8">
        <v>20502.0</v>
      </c>
      <c r="B56" s="9" t="s">
        <v>70</v>
      </c>
      <c r="C56" s="8">
        <v>5380.0</v>
      </c>
      <c r="D56" s="8">
        <v>2459.7778415977955</v>
      </c>
      <c r="E56" s="8">
        <v>7867.0</v>
      </c>
      <c r="F56" s="10">
        <f t="shared" si="1"/>
        <v>0.6838693276</v>
      </c>
      <c r="G56" s="10">
        <f t="shared" si="2"/>
        <v>0.4572077772</v>
      </c>
      <c r="H56" s="10">
        <f t="shared" si="3"/>
        <v>0.3126703752</v>
      </c>
      <c r="I56" s="8">
        <v>108.0</v>
      </c>
      <c r="J56" s="8">
        <v>41.888889878988266</v>
      </c>
      <c r="K56" s="8">
        <v>384.0</v>
      </c>
      <c r="L56" s="11">
        <f t="shared" si="4"/>
        <v>0.28125</v>
      </c>
      <c r="M56" s="12">
        <f t="shared" si="5"/>
        <v>0.3878600915</v>
      </c>
      <c r="N56" s="13">
        <f t="shared" si="6"/>
        <v>0.1090856507</v>
      </c>
      <c r="O56" s="14">
        <f t="shared" si="7"/>
        <v>0.3488838706</v>
      </c>
      <c r="P56" s="15"/>
      <c r="Q56" s="15"/>
      <c r="AD56" s="20"/>
    </row>
    <row r="57" ht="15.75" customHeight="1">
      <c r="A57" s="8">
        <v>20503.0</v>
      </c>
      <c r="B57" s="9" t="s">
        <v>71</v>
      </c>
      <c r="C57" s="8">
        <v>3508.0</v>
      </c>
      <c r="D57" s="8">
        <v>1594.0000414252281</v>
      </c>
      <c r="E57" s="8">
        <v>5228.0</v>
      </c>
      <c r="F57" s="10">
        <f t="shared" si="1"/>
        <v>0.6710022953</v>
      </c>
      <c r="G57" s="10">
        <f t="shared" si="2"/>
        <v>0.4543899776</v>
      </c>
      <c r="H57" s="10">
        <f t="shared" si="3"/>
        <v>0.3048967179</v>
      </c>
      <c r="I57" s="8">
        <v>91.0</v>
      </c>
      <c r="J57" s="8">
        <v>34.66666755080223</v>
      </c>
      <c r="K57" s="8">
        <v>208.0</v>
      </c>
      <c r="L57" s="11">
        <f t="shared" si="4"/>
        <v>0.4375</v>
      </c>
      <c r="M57" s="12">
        <f t="shared" si="5"/>
        <v>0.3809523907</v>
      </c>
      <c r="N57" s="13">
        <f t="shared" si="6"/>
        <v>0.1666666709</v>
      </c>
      <c r="O57" s="14">
        <f t="shared" si="7"/>
        <v>0.5466332076</v>
      </c>
      <c r="P57" s="15"/>
      <c r="Q57" s="15"/>
      <c r="AD57" s="20"/>
    </row>
    <row r="58" ht="15.75" customHeight="1">
      <c r="A58" s="8">
        <v>20601.0</v>
      </c>
      <c r="B58" s="9" t="s">
        <v>72</v>
      </c>
      <c r="C58" s="8">
        <v>11340.0</v>
      </c>
      <c r="D58" s="8">
        <v>5025.222351074219</v>
      </c>
      <c r="E58" s="8">
        <v>21496.0</v>
      </c>
      <c r="F58" s="10">
        <f t="shared" si="1"/>
        <v>0.5275400074</v>
      </c>
      <c r="G58" s="10">
        <f t="shared" si="2"/>
        <v>0.4431413008</v>
      </c>
      <c r="H58" s="10">
        <f t="shared" si="3"/>
        <v>0.2337747651</v>
      </c>
      <c r="I58" s="8">
        <v>910.0</v>
      </c>
      <c r="J58" s="8">
        <v>399.2222317457199</v>
      </c>
      <c r="K58" s="8">
        <v>1849.0</v>
      </c>
      <c r="L58" s="11">
        <f t="shared" si="4"/>
        <v>0.4921579232</v>
      </c>
      <c r="M58" s="12">
        <f t="shared" si="5"/>
        <v>0.4387057492</v>
      </c>
      <c r="N58" s="13">
        <f t="shared" si="6"/>
        <v>0.2159125104</v>
      </c>
      <c r="O58" s="14">
        <f t="shared" si="7"/>
        <v>0.9235920323</v>
      </c>
      <c r="P58" s="15"/>
      <c r="Q58" s="15"/>
      <c r="AD58" s="20"/>
    </row>
    <row r="59" ht="15.75" customHeight="1">
      <c r="A59" s="8">
        <v>20602.0</v>
      </c>
      <c r="B59" s="9" t="s">
        <v>73</v>
      </c>
      <c r="C59" s="8">
        <v>5365.0</v>
      </c>
      <c r="D59" s="8">
        <v>2490.2222867310047</v>
      </c>
      <c r="E59" s="8">
        <v>11277.0</v>
      </c>
      <c r="F59" s="10">
        <f t="shared" si="1"/>
        <v>0.4757470959</v>
      </c>
      <c r="G59" s="10">
        <f t="shared" si="2"/>
        <v>0.4641607245</v>
      </c>
      <c r="H59" s="10">
        <f t="shared" si="3"/>
        <v>0.2208231167</v>
      </c>
      <c r="I59" s="8">
        <v>885.0</v>
      </c>
      <c r="J59" s="8">
        <v>373.6666756570339</v>
      </c>
      <c r="K59" s="8">
        <v>3145.0</v>
      </c>
      <c r="L59" s="11">
        <f t="shared" si="4"/>
        <v>0.2813990461</v>
      </c>
      <c r="M59" s="12">
        <f t="shared" si="5"/>
        <v>0.4222222324</v>
      </c>
      <c r="N59" s="13">
        <f t="shared" si="6"/>
        <v>0.1188129334</v>
      </c>
      <c r="O59" s="14">
        <f t="shared" si="7"/>
        <v>0.5380457229</v>
      </c>
      <c r="P59" s="15"/>
      <c r="Q59" s="15"/>
      <c r="AD59" s="20"/>
    </row>
    <row r="60" ht="15.75" customHeight="1">
      <c r="A60" s="8">
        <v>20603.0</v>
      </c>
      <c r="B60" s="9" t="s">
        <v>74</v>
      </c>
      <c r="C60" s="8">
        <v>3984.0</v>
      </c>
      <c r="D60" s="8">
        <v>1804.0000458955765</v>
      </c>
      <c r="E60" s="8">
        <v>6860.0</v>
      </c>
      <c r="F60" s="10">
        <f t="shared" si="1"/>
        <v>0.5807580175</v>
      </c>
      <c r="G60" s="10">
        <f t="shared" si="2"/>
        <v>0.4528112565</v>
      </c>
      <c r="H60" s="10">
        <f t="shared" si="3"/>
        <v>0.2629737676</v>
      </c>
      <c r="I60" s="8">
        <v>494.0</v>
      </c>
      <c r="J60" s="8">
        <v>203.1111158132553</v>
      </c>
      <c r="K60" s="8">
        <v>1043.0</v>
      </c>
      <c r="L60" s="11">
        <f t="shared" si="4"/>
        <v>0.4736337488</v>
      </c>
      <c r="M60" s="12">
        <f t="shared" si="5"/>
        <v>0.4111561049</v>
      </c>
      <c r="N60" s="13">
        <f t="shared" si="6"/>
        <v>0.1947374073</v>
      </c>
      <c r="O60" s="14">
        <f t="shared" si="7"/>
        <v>0.7405202772</v>
      </c>
      <c r="P60" s="15"/>
      <c r="Q60" s="15"/>
      <c r="AD60" s="20"/>
    </row>
    <row r="61" ht="15.75" customHeight="1">
      <c r="A61" s="8">
        <v>20604.0</v>
      </c>
      <c r="B61" s="9" t="s">
        <v>75</v>
      </c>
      <c r="C61" s="8">
        <v>1432.0</v>
      </c>
      <c r="D61" s="8">
        <v>628.0000156760216</v>
      </c>
      <c r="E61" s="8">
        <v>2456.0</v>
      </c>
      <c r="F61" s="10">
        <f t="shared" si="1"/>
        <v>0.5830618893</v>
      </c>
      <c r="G61" s="10">
        <f t="shared" si="2"/>
        <v>0.438547497</v>
      </c>
      <c r="H61" s="10">
        <f t="shared" si="3"/>
        <v>0.2557003321</v>
      </c>
      <c r="I61" s="8">
        <v>55.0</v>
      </c>
      <c r="J61" s="8">
        <v>21.111111640930176</v>
      </c>
      <c r="K61" s="8">
        <v>168.0</v>
      </c>
      <c r="L61" s="11">
        <f t="shared" si="4"/>
        <v>0.3273809524</v>
      </c>
      <c r="M61" s="12">
        <f t="shared" si="5"/>
        <v>0.3838383935</v>
      </c>
      <c r="N61" s="13">
        <f t="shared" si="6"/>
        <v>0.1256613788</v>
      </c>
      <c r="O61" s="14">
        <f t="shared" si="7"/>
        <v>0.4914400297</v>
      </c>
      <c r="P61" s="15"/>
      <c r="Q61" s="15"/>
      <c r="AD61" s="20"/>
    </row>
    <row r="62" ht="15.75" customHeight="1">
      <c r="A62" s="8">
        <v>20605.0</v>
      </c>
      <c r="B62" s="9" t="s">
        <v>76</v>
      </c>
      <c r="C62" s="8">
        <v>1773.0</v>
      </c>
      <c r="D62" s="8">
        <v>725.4444625973701</v>
      </c>
      <c r="E62" s="8">
        <v>3621.0</v>
      </c>
      <c r="F62" s="10">
        <f t="shared" si="1"/>
        <v>0.4896437448</v>
      </c>
      <c r="G62" s="10">
        <f t="shared" si="2"/>
        <v>0.4091621334</v>
      </c>
      <c r="H62" s="10">
        <f t="shared" si="3"/>
        <v>0.2003436793</v>
      </c>
      <c r="I62" s="8">
        <v>15.0</v>
      </c>
      <c r="J62" s="8">
        <v>6.555555611848831</v>
      </c>
      <c r="K62" s="8">
        <v>58.0</v>
      </c>
      <c r="L62" s="11">
        <f t="shared" si="4"/>
        <v>0.2586206897</v>
      </c>
      <c r="M62" s="12">
        <f t="shared" si="5"/>
        <v>0.4370370408</v>
      </c>
      <c r="N62" s="13">
        <f t="shared" si="6"/>
        <v>0.1130268209</v>
      </c>
      <c r="O62" s="14">
        <f t="shared" si="7"/>
        <v>0.564164646</v>
      </c>
      <c r="P62" s="15"/>
      <c r="Q62" s="15"/>
      <c r="AD62" s="20"/>
    </row>
    <row r="63" ht="15.75" customHeight="1">
      <c r="A63" s="8">
        <v>20606.0</v>
      </c>
      <c r="B63" s="9" t="s">
        <v>77</v>
      </c>
      <c r="C63" s="8">
        <v>1723.0</v>
      </c>
      <c r="D63" s="8">
        <v>704.2222396433353</v>
      </c>
      <c r="E63" s="8">
        <v>5430.0</v>
      </c>
      <c r="F63" s="10">
        <f t="shared" si="1"/>
        <v>0.3173112339</v>
      </c>
      <c r="G63" s="10">
        <f t="shared" si="2"/>
        <v>0.4087186533</v>
      </c>
      <c r="H63" s="10">
        <f t="shared" si="3"/>
        <v>0.1296910202</v>
      </c>
      <c r="I63" s="8">
        <v>1153.0</v>
      </c>
      <c r="J63" s="8">
        <v>445.7777886390686</v>
      </c>
      <c r="K63" s="8">
        <v>4354.0</v>
      </c>
      <c r="L63" s="11">
        <f t="shared" si="4"/>
        <v>0.2648139642</v>
      </c>
      <c r="M63" s="12">
        <f t="shared" si="5"/>
        <v>0.3866242746</v>
      </c>
      <c r="N63" s="13">
        <f t="shared" si="6"/>
        <v>0.1023835068</v>
      </c>
      <c r="O63" s="14">
        <f t="shared" si="7"/>
        <v>0.7894417567</v>
      </c>
      <c r="P63" s="15"/>
      <c r="Q63" s="15"/>
      <c r="AD63" s="20"/>
    </row>
    <row r="64" ht="15.75" customHeight="1">
      <c r="A64" s="8">
        <v>20607.0</v>
      </c>
      <c r="B64" s="9" t="s">
        <v>78</v>
      </c>
      <c r="C64" s="8">
        <v>3124.0</v>
      </c>
      <c r="D64" s="8">
        <v>1247.5555857121944</v>
      </c>
      <c r="E64" s="8">
        <v>9995.0</v>
      </c>
      <c r="F64" s="10">
        <f t="shared" si="1"/>
        <v>0.3125562781</v>
      </c>
      <c r="G64" s="10">
        <f t="shared" si="2"/>
        <v>0.399345578</v>
      </c>
      <c r="H64" s="10">
        <f t="shared" si="3"/>
        <v>0.1248179676</v>
      </c>
      <c r="I64" s="8">
        <v>675.0</v>
      </c>
      <c r="J64" s="8">
        <v>261.2222281694412</v>
      </c>
      <c r="K64" s="8">
        <v>3149.0</v>
      </c>
      <c r="L64" s="11">
        <f t="shared" si="4"/>
        <v>0.2143537631</v>
      </c>
      <c r="M64" s="12">
        <f t="shared" si="5"/>
        <v>0.3869958936</v>
      </c>
      <c r="N64" s="13">
        <f t="shared" si="6"/>
        <v>0.08295402609</v>
      </c>
      <c r="O64" s="14">
        <f t="shared" si="7"/>
        <v>0.6646000389</v>
      </c>
      <c r="P64" s="15"/>
      <c r="Q64" s="15"/>
      <c r="AD64" s="20"/>
    </row>
    <row r="65" ht="15.75" customHeight="1">
      <c r="A65" s="8">
        <v>20608.0</v>
      </c>
      <c r="B65" s="9" t="s">
        <v>79</v>
      </c>
      <c r="C65" s="8">
        <v>4268.0</v>
      </c>
      <c r="D65" s="8">
        <v>2012.4444946348667</v>
      </c>
      <c r="E65" s="8">
        <v>6867.0</v>
      </c>
      <c r="F65" s="10">
        <f t="shared" si="1"/>
        <v>0.621523227</v>
      </c>
      <c r="G65" s="10">
        <f t="shared" si="2"/>
        <v>0.4715193286</v>
      </c>
      <c r="H65" s="10">
        <f t="shared" si="3"/>
        <v>0.2930602147</v>
      </c>
      <c r="I65" s="8">
        <v>968.0</v>
      </c>
      <c r="J65" s="8">
        <v>421.2222326397896</v>
      </c>
      <c r="K65" s="8">
        <v>2183.0</v>
      </c>
      <c r="L65" s="11">
        <f t="shared" si="4"/>
        <v>0.4434264773</v>
      </c>
      <c r="M65" s="12">
        <f t="shared" si="5"/>
        <v>0.4351469345</v>
      </c>
      <c r="N65" s="13">
        <f t="shared" si="6"/>
        <v>0.1929556723</v>
      </c>
      <c r="O65" s="14">
        <f t="shared" si="7"/>
        <v>0.6584164707</v>
      </c>
      <c r="P65" s="15"/>
      <c r="Q65" s="15"/>
      <c r="AD65" s="20"/>
    </row>
    <row r="66" ht="15.75" customHeight="1">
      <c r="A66" s="8">
        <v>20701.0</v>
      </c>
      <c r="B66" s="9" t="s">
        <v>80</v>
      </c>
      <c r="C66" s="8">
        <v>8641.0</v>
      </c>
      <c r="D66" s="8">
        <v>4329.2223381102085</v>
      </c>
      <c r="E66" s="8">
        <v>14546.0</v>
      </c>
      <c r="F66" s="10">
        <f t="shared" si="1"/>
        <v>0.5940464733</v>
      </c>
      <c r="G66" s="10">
        <f t="shared" si="2"/>
        <v>0.501009413</v>
      </c>
      <c r="H66" s="10">
        <f t="shared" si="3"/>
        <v>0.2976228749</v>
      </c>
      <c r="I66" s="8">
        <v>1380.0</v>
      </c>
      <c r="J66" s="8">
        <v>623.0000159442425</v>
      </c>
      <c r="K66" s="8">
        <v>3959.0</v>
      </c>
      <c r="L66" s="11">
        <f t="shared" si="4"/>
        <v>0.3485728719</v>
      </c>
      <c r="M66" s="12">
        <f t="shared" si="5"/>
        <v>0.4514492869</v>
      </c>
      <c r="N66" s="13">
        <f t="shared" si="6"/>
        <v>0.1573629745</v>
      </c>
      <c r="O66" s="14">
        <f t="shared" si="7"/>
        <v>0.5287327949</v>
      </c>
      <c r="P66" s="15"/>
      <c r="Q66" s="15"/>
      <c r="AD66" s="20"/>
    </row>
    <row r="67" ht="15.75" customHeight="1">
      <c r="A67" s="8">
        <v>20702.0</v>
      </c>
      <c r="B67" s="9" t="s">
        <v>81</v>
      </c>
      <c r="C67" s="8">
        <v>4141.0</v>
      </c>
      <c r="D67" s="8">
        <v>1938.1111621558666</v>
      </c>
      <c r="E67" s="8">
        <v>5694.0</v>
      </c>
      <c r="F67" s="10">
        <f t="shared" si="1"/>
        <v>0.7272567615</v>
      </c>
      <c r="G67" s="10">
        <f t="shared" si="2"/>
        <v>0.4680297421</v>
      </c>
      <c r="H67" s="10">
        <f t="shared" si="3"/>
        <v>0.3403777945</v>
      </c>
      <c r="I67" s="8">
        <v>153.0</v>
      </c>
      <c r="J67" s="8">
        <v>60.77777898311615</v>
      </c>
      <c r="K67" s="8">
        <v>298.0</v>
      </c>
      <c r="L67" s="11">
        <f t="shared" si="4"/>
        <v>0.5134228188</v>
      </c>
      <c r="M67" s="12">
        <f t="shared" si="5"/>
        <v>0.3972403855</v>
      </c>
      <c r="N67" s="13">
        <f t="shared" si="6"/>
        <v>0.2039522785</v>
      </c>
      <c r="O67" s="14">
        <f t="shared" si="7"/>
        <v>0.5991938421</v>
      </c>
      <c r="P67" s="15"/>
      <c r="Q67" s="15"/>
      <c r="AD67" s="20"/>
    </row>
    <row r="68" ht="15.75" customHeight="1">
      <c r="A68" s="8">
        <v>20801.0</v>
      </c>
      <c r="B68" s="9" t="s">
        <v>82</v>
      </c>
      <c r="C68" s="8">
        <v>20048.0</v>
      </c>
      <c r="D68" s="8">
        <v>8366.222427606583</v>
      </c>
      <c r="E68" s="8">
        <v>60535.0</v>
      </c>
      <c r="F68" s="10">
        <f t="shared" si="1"/>
        <v>0.3311803089</v>
      </c>
      <c r="G68" s="10">
        <f t="shared" si="2"/>
        <v>0.4173095784</v>
      </c>
      <c r="H68" s="10">
        <f t="shared" si="3"/>
        <v>0.1382047151</v>
      </c>
      <c r="I68" s="8">
        <v>3988.0</v>
      </c>
      <c r="J68" s="8">
        <v>1637.888927578926</v>
      </c>
      <c r="K68" s="8">
        <v>18223.0</v>
      </c>
      <c r="L68" s="11">
        <f t="shared" si="4"/>
        <v>0.2188443176</v>
      </c>
      <c r="M68" s="12">
        <f t="shared" si="5"/>
        <v>0.4107043449</v>
      </c>
      <c r="N68" s="13">
        <f t="shared" si="6"/>
        <v>0.08988031211</v>
      </c>
      <c r="O68" s="14">
        <f t="shared" si="7"/>
        <v>0.6503418646</v>
      </c>
      <c r="P68" s="15"/>
      <c r="Q68" s="15"/>
      <c r="AD68" s="20"/>
    </row>
    <row r="69" ht="15.75" customHeight="1">
      <c r="A69" s="8">
        <v>20802.0</v>
      </c>
      <c r="B69" s="9" t="s">
        <v>83</v>
      </c>
      <c r="C69" s="8">
        <v>2387.0</v>
      </c>
      <c r="D69" s="8">
        <v>961.4444675147533</v>
      </c>
      <c r="E69" s="8">
        <v>6366.0</v>
      </c>
      <c r="F69" s="10">
        <f t="shared" si="1"/>
        <v>0.3749607289</v>
      </c>
      <c r="G69" s="10">
        <f t="shared" si="2"/>
        <v>0.402783606</v>
      </c>
      <c r="H69" s="10">
        <f t="shared" si="3"/>
        <v>0.1510280345</v>
      </c>
      <c r="I69" s="8">
        <v>220.0</v>
      </c>
      <c r="J69" s="8">
        <v>90.7777801156044</v>
      </c>
      <c r="K69" s="8">
        <v>638.0</v>
      </c>
      <c r="L69" s="11">
        <f t="shared" si="4"/>
        <v>0.3448275862</v>
      </c>
      <c r="M69" s="12">
        <f t="shared" si="5"/>
        <v>0.4126262733</v>
      </c>
      <c r="N69" s="13">
        <f t="shared" si="6"/>
        <v>0.1422849218</v>
      </c>
      <c r="O69" s="14">
        <f t="shared" si="7"/>
        <v>0.9421093395</v>
      </c>
      <c r="P69" s="15"/>
      <c r="Q69" s="15"/>
      <c r="AD69" s="20"/>
    </row>
    <row r="70" ht="15.75" customHeight="1">
      <c r="A70" s="8">
        <v>20803.0</v>
      </c>
      <c r="B70" s="9" t="s">
        <v>84</v>
      </c>
      <c r="C70" s="8">
        <v>5594.0</v>
      </c>
      <c r="D70" s="8">
        <v>2432.555615514517</v>
      </c>
      <c r="E70" s="8">
        <v>11642.0</v>
      </c>
      <c r="F70" s="10">
        <f t="shared" si="1"/>
        <v>0.480501632</v>
      </c>
      <c r="G70" s="10">
        <f t="shared" si="2"/>
        <v>0.434850843</v>
      </c>
      <c r="H70" s="10">
        <f t="shared" si="3"/>
        <v>0.2089465397</v>
      </c>
      <c r="I70" s="8">
        <v>121.0</v>
      </c>
      <c r="J70" s="8">
        <v>48.44444543123245</v>
      </c>
      <c r="K70" s="8">
        <v>449.0</v>
      </c>
      <c r="L70" s="11">
        <f t="shared" si="4"/>
        <v>0.2694877506</v>
      </c>
      <c r="M70" s="12">
        <f t="shared" si="5"/>
        <v>0.4003673176</v>
      </c>
      <c r="N70" s="13">
        <f t="shared" si="6"/>
        <v>0.1078940878</v>
      </c>
      <c r="O70" s="14">
        <f t="shared" si="7"/>
        <v>0.5163717378</v>
      </c>
      <c r="P70" s="15"/>
      <c r="Q70" s="15"/>
      <c r="AD70" s="20"/>
    </row>
    <row r="71" ht="15.75" customHeight="1">
      <c r="A71" s="8">
        <v>20804.0</v>
      </c>
      <c r="B71" s="9" t="s">
        <v>85</v>
      </c>
      <c r="C71" s="8">
        <v>1617.0</v>
      </c>
      <c r="D71" s="8">
        <v>630.0000148415565</v>
      </c>
      <c r="E71" s="8">
        <v>5988.0</v>
      </c>
      <c r="F71" s="10">
        <f t="shared" si="1"/>
        <v>0.2700400802</v>
      </c>
      <c r="G71" s="10">
        <f t="shared" si="2"/>
        <v>0.3896103988</v>
      </c>
      <c r="H71" s="10">
        <f t="shared" si="3"/>
        <v>0.1052104233</v>
      </c>
      <c r="I71" s="8">
        <v>129.0</v>
      </c>
      <c r="J71" s="8">
        <v>48.33333459496498</v>
      </c>
      <c r="K71" s="8">
        <v>765.0</v>
      </c>
      <c r="L71" s="11">
        <f t="shared" si="4"/>
        <v>0.168627451</v>
      </c>
      <c r="M71" s="12">
        <f t="shared" si="5"/>
        <v>0.3746770124</v>
      </c>
      <c r="N71" s="13">
        <f t="shared" si="6"/>
        <v>0.06318082954</v>
      </c>
      <c r="O71" s="14">
        <f t="shared" si="7"/>
        <v>0.6005187275</v>
      </c>
      <c r="P71" s="15"/>
      <c r="Q71" s="15"/>
      <c r="AD71" s="20"/>
    </row>
    <row r="72" ht="15.75" customHeight="1">
      <c r="A72" s="8">
        <v>20805.0</v>
      </c>
      <c r="B72" s="9" t="s">
        <v>86</v>
      </c>
      <c r="C72" s="8">
        <v>3999.0</v>
      </c>
      <c r="D72" s="8">
        <v>1716.3333764970303</v>
      </c>
      <c r="E72" s="8">
        <v>5905.0</v>
      </c>
      <c r="F72" s="10">
        <f t="shared" si="1"/>
        <v>0.6772226926</v>
      </c>
      <c r="G72" s="10">
        <f t="shared" si="2"/>
        <v>0.4291906418</v>
      </c>
      <c r="H72" s="10">
        <f t="shared" si="3"/>
        <v>0.2906576421</v>
      </c>
      <c r="I72" s="8">
        <v>105.0</v>
      </c>
      <c r="J72" s="8">
        <v>44.6666679084301</v>
      </c>
      <c r="K72" s="8">
        <v>176.0</v>
      </c>
      <c r="L72" s="11">
        <f t="shared" si="4"/>
        <v>0.5965909091</v>
      </c>
      <c r="M72" s="12">
        <f t="shared" si="5"/>
        <v>0.4253968372</v>
      </c>
      <c r="N72" s="13">
        <f t="shared" si="6"/>
        <v>0.2537878858</v>
      </c>
      <c r="O72" s="14">
        <f t="shared" si="7"/>
        <v>0.8731505699</v>
      </c>
      <c r="P72" s="15"/>
      <c r="Q72" s="15"/>
      <c r="AD72" s="20"/>
    </row>
    <row r="73" ht="15.75" customHeight="1">
      <c r="A73" s="8">
        <v>20806.0</v>
      </c>
      <c r="B73" s="9" t="s">
        <v>87</v>
      </c>
      <c r="C73" s="8">
        <v>6746.0</v>
      </c>
      <c r="D73" s="8">
        <v>2847.444512784481</v>
      </c>
      <c r="E73" s="8">
        <v>14518.0</v>
      </c>
      <c r="F73" s="10">
        <f t="shared" si="1"/>
        <v>0.4646645543</v>
      </c>
      <c r="G73" s="10">
        <f t="shared" si="2"/>
        <v>0.4220937612</v>
      </c>
      <c r="H73" s="10">
        <f t="shared" si="3"/>
        <v>0.1961320094</v>
      </c>
      <c r="I73" s="8">
        <v>141.0</v>
      </c>
      <c r="J73" s="8">
        <v>58.22222337126732</v>
      </c>
      <c r="K73" s="8">
        <v>452.0</v>
      </c>
      <c r="L73" s="11">
        <f t="shared" si="4"/>
        <v>0.3119469027</v>
      </c>
      <c r="M73" s="12">
        <f t="shared" si="5"/>
        <v>0.41292357</v>
      </c>
      <c r="N73" s="13">
        <f t="shared" si="6"/>
        <v>0.1288102287</v>
      </c>
      <c r="O73" s="14">
        <f t="shared" si="7"/>
        <v>0.65675271</v>
      </c>
      <c r="P73" s="15"/>
      <c r="Q73" s="15"/>
      <c r="AD73" s="20"/>
    </row>
    <row r="74" ht="15.75" customHeight="1">
      <c r="A74" s="8">
        <v>20807.0</v>
      </c>
      <c r="B74" s="9" t="s">
        <v>88</v>
      </c>
      <c r="C74" s="8">
        <v>2659.0</v>
      </c>
      <c r="D74" s="8">
        <v>1094.3333603441715</v>
      </c>
      <c r="E74" s="8">
        <v>6476.0</v>
      </c>
      <c r="F74" s="10">
        <f t="shared" si="1"/>
        <v>0.4105929586</v>
      </c>
      <c r="G74" s="10">
        <f t="shared" si="2"/>
        <v>0.4115582401</v>
      </c>
      <c r="H74" s="10">
        <f t="shared" si="3"/>
        <v>0.1689829154</v>
      </c>
      <c r="I74" s="8">
        <v>40.0</v>
      </c>
      <c r="J74" s="8">
        <v>16.000000298023224</v>
      </c>
      <c r="K74" s="8">
        <v>91.0</v>
      </c>
      <c r="L74" s="11">
        <f t="shared" si="4"/>
        <v>0.4395604396</v>
      </c>
      <c r="M74" s="12">
        <f t="shared" si="5"/>
        <v>0.4000000075</v>
      </c>
      <c r="N74" s="13">
        <f t="shared" si="6"/>
        <v>0.1758241791</v>
      </c>
      <c r="O74" s="14">
        <f t="shared" si="7"/>
        <v>1.040484943</v>
      </c>
      <c r="P74" s="15"/>
      <c r="Q74" s="15"/>
      <c r="AD74" s="20"/>
    </row>
    <row r="75" ht="15.75" customHeight="1">
      <c r="A75" s="8">
        <v>20901.0</v>
      </c>
      <c r="B75" s="9" t="s">
        <v>89</v>
      </c>
      <c r="C75" s="8">
        <v>4400.0</v>
      </c>
      <c r="D75" s="8">
        <v>1876.4444909989834</v>
      </c>
      <c r="E75" s="8">
        <v>10585.0</v>
      </c>
      <c r="F75" s="10">
        <f t="shared" si="1"/>
        <v>0.4156825697</v>
      </c>
      <c r="G75" s="10">
        <f t="shared" si="2"/>
        <v>0.426464657</v>
      </c>
      <c r="H75" s="10">
        <f t="shared" si="3"/>
        <v>0.1772739245</v>
      </c>
      <c r="I75" s="8">
        <v>179.0</v>
      </c>
      <c r="J75" s="8">
        <v>72.55555701255798</v>
      </c>
      <c r="K75" s="8">
        <v>465.0</v>
      </c>
      <c r="L75" s="11">
        <f t="shared" si="4"/>
        <v>0.3849462366</v>
      </c>
      <c r="M75" s="12">
        <f t="shared" si="5"/>
        <v>0.4053383073</v>
      </c>
      <c r="N75" s="13">
        <f t="shared" si="6"/>
        <v>0.1560334559</v>
      </c>
      <c r="O75" s="14">
        <f t="shared" si="7"/>
        <v>0.8801827813</v>
      </c>
      <c r="P75" s="15"/>
      <c r="Q75" s="15"/>
      <c r="AD75" s="20"/>
    </row>
    <row r="76" ht="15.75" customHeight="1">
      <c r="A76" s="8">
        <v>20902.0</v>
      </c>
      <c r="B76" s="9" t="s">
        <v>90</v>
      </c>
      <c r="C76" s="8">
        <v>7952.0</v>
      </c>
      <c r="D76" s="8">
        <v>3526.8889776468277</v>
      </c>
      <c r="E76" s="8">
        <v>11746.0</v>
      </c>
      <c r="F76" s="10">
        <f t="shared" si="1"/>
        <v>0.6769964243</v>
      </c>
      <c r="G76" s="10">
        <f t="shared" si="2"/>
        <v>0.4435222557</v>
      </c>
      <c r="H76" s="10">
        <f t="shared" si="3"/>
        <v>0.3002629812</v>
      </c>
      <c r="I76" s="8">
        <v>369.0</v>
      </c>
      <c r="J76" s="8">
        <v>155.4444481432438</v>
      </c>
      <c r="K76" s="8">
        <v>649.0</v>
      </c>
      <c r="L76" s="11">
        <f t="shared" si="4"/>
        <v>0.5685670262</v>
      </c>
      <c r="M76" s="12">
        <f t="shared" si="5"/>
        <v>0.4212586671</v>
      </c>
      <c r="N76" s="13">
        <f t="shared" si="6"/>
        <v>0.2395137876</v>
      </c>
      <c r="O76" s="14">
        <f t="shared" si="7"/>
        <v>0.7976800423</v>
      </c>
      <c r="P76" s="15"/>
      <c r="Q76" s="15"/>
      <c r="AD76" s="20"/>
    </row>
    <row r="77" ht="15.75" customHeight="1">
      <c r="A77" s="8">
        <v>20903.0</v>
      </c>
      <c r="B77" s="9" t="s">
        <v>91</v>
      </c>
      <c r="C77" s="8">
        <v>4048.0</v>
      </c>
      <c r="D77" s="8">
        <v>1722.8889319300652</v>
      </c>
      <c r="E77" s="8">
        <v>6879.0</v>
      </c>
      <c r="F77" s="10">
        <f t="shared" si="1"/>
        <v>0.5884576247</v>
      </c>
      <c r="G77" s="10">
        <f t="shared" si="2"/>
        <v>0.4256148547</v>
      </c>
      <c r="H77" s="10">
        <f t="shared" si="3"/>
        <v>0.2504563064</v>
      </c>
      <c r="I77" s="8">
        <v>193.0</v>
      </c>
      <c r="J77" s="8">
        <v>79.55555739998817</v>
      </c>
      <c r="K77" s="8">
        <v>339.0</v>
      </c>
      <c r="L77" s="11">
        <f t="shared" si="4"/>
        <v>0.5693215339</v>
      </c>
      <c r="M77" s="12">
        <f t="shared" si="5"/>
        <v>0.4122049606</v>
      </c>
      <c r="N77" s="13">
        <f t="shared" si="6"/>
        <v>0.2346771605</v>
      </c>
      <c r="O77" s="14">
        <f t="shared" si="7"/>
        <v>0.9369984083</v>
      </c>
      <c r="P77" s="15"/>
      <c r="Q77" s="15"/>
      <c r="AD77" s="20"/>
    </row>
    <row r="78" ht="15.75" customHeight="1">
      <c r="A78" s="8">
        <v>20904.0</v>
      </c>
      <c r="B78" s="9" t="s">
        <v>92</v>
      </c>
      <c r="C78" s="8">
        <v>2572.0</v>
      </c>
      <c r="D78" s="8">
        <v>1086.4444721639156</v>
      </c>
      <c r="E78" s="8">
        <v>4838.0</v>
      </c>
      <c r="F78" s="10">
        <f t="shared" si="1"/>
        <v>0.5316246383</v>
      </c>
      <c r="G78" s="10">
        <f t="shared" si="2"/>
        <v>0.4224123142</v>
      </c>
      <c r="H78" s="10">
        <f t="shared" si="3"/>
        <v>0.2245647938</v>
      </c>
      <c r="I78" s="8">
        <v>98.0</v>
      </c>
      <c r="J78" s="8">
        <v>43.00000128149986</v>
      </c>
      <c r="K78" s="8">
        <v>168.0</v>
      </c>
      <c r="L78" s="11">
        <f t="shared" si="4"/>
        <v>0.5833333333</v>
      </c>
      <c r="M78" s="12">
        <f t="shared" si="5"/>
        <v>0.4387755233</v>
      </c>
      <c r="N78" s="13">
        <f t="shared" si="6"/>
        <v>0.2559523886</v>
      </c>
      <c r="O78" s="14">
        <f t="shared" si="7"/>
        <v>1.139770773</v>
      </c>
      <c r="P78" s="15"/>
      <c r="Q78" s="15"/>
      <c r="AD78" s="20"/>
    </row>
    <row r="79" ht="15.75" customHeight="1">
      <c r="A79" s="8">
        <v>20905.0</v>
      </c>
      <c r="B79" s="9" t="s">
        <v>93</v>
      </c>
      <c r="C79" s="8">
        <v>4766.0</v>
      </c>
      <c r="D79" s="8">
        <v>2051.666719406843</v>
      </c>
      <c r="E79" s="8">
        <v>10336.0</v>
      </c>
      <c r="F79" s="10">
        <f t="shared" si="1"/>
        <v>0.4611068111</v>
      </c>
      <c r="G79" s="10">
        <f t="shared" si="2"/>
        <v>0.4304797984</v>
      </c>
      <c r="H79" s="10">
        <f t="shared" si="3"/>
        <v>0.1984971671</v>
      </c>
      <c r="I79" s="8">
        <v>260.0</v>
      </c>
      <c r="J79" s="8">
        <v>96.55555784702301</v>
      </c>
      <c r="K79" s="8">
        <v>905.0</v>
      </c>
      <c r="L79" s="11">
        <f t="shared" si="4"/>
        <v>0.2872928177</v>
      </c>
      <c r="M79" s="12">
        <f t="shared" si="5"/>
        <v>0.3713675302</v>
      </c>
      <c r="N79" s="13">
        <f t="shared" si="6"/>
        <v>0.1066912241</v>
      </c>
      <c r="O79" s="14">
        <f t="shared" si="7"/>
        <v>0.5374949461</v>
      </c>
      <c r="P79" s="15"/>
      <c r="Q79" s="15"/>
      <c r="AD79" s="20"/>
    </row>
    <row r="80" ht="15.75" customHeight="1">
      <c r="A80" s="8">
        <v>21001.0</v>
      </c>
      <c r="B80" s="9" t="s">
        <v>94</v>
      </c>
      <c r="C80" s="8">
        <v>10938.0</v>
      </c>
      <c r="D80" s="8">
        <v>5398.000142842531</v>
      </c>
      <c r="E80" s="8">
        <v>13916.0</v>
      </c>
      <c r="F80" s="10">
        <f t="shared" si="1"/>
        <v>0.7860017246</v>
      </c>
      <c r="G80" s="10">
        <f t="shared" si="2"/>
        <v>0.4935088812</v>
      </c>
      <c r="H80" s="10">
        <f t="shared" si="3"/>
        <v>0.3878988318</v>
      </c>
      <c r="I80" s="8">
        <v>318.0</v>
      </c>
      <c r="J80" s="8">
        <v>147.44444808363914</v>
      </c>
      <c r="K80" s="8">
        <v>713.0</v>
      </c>
      <c r="L80" s="11">
        <f t="shared" si="4"/>
        <v>0.446002805</v>
      </c>
      <c r="M80" s="12">
        <f t="shared" si="5"/>
        <v>0.4636617864</v>
      </c>
      <c r="N80" s="13">
        <f t="shared" si="6"/>
        <v>0.2067944573</v>
      </c>
      <c r="O80" s="14">
        <f t="shared" si="7"/>
        <v>0.5331144113</v>
      </c>
      <c r="P80" s="15"/>
      <c r="Q80" s="15"/>
      <c r="AD80" s="20"/>
    </row>
    <row r="81" ht="15.75" customHeight="1">
      <c r="A81" s="8">
        <v>21002.0</v>
      </c>
      <c r="B81" s="9" t="s">
        <v>95</v>
      </c>
      <c r="C81" s="8">
        <v>3044.0</v>
      </c>
      <c r="D81" s="8">
        <v>1329.555588722229</v>
      </c>
      <c r="E81" s="8">
        <v>6490.0</v>
      </c>
      <c r="F81" s="10">
        <f t="shared" si="1"/>
        <v>0.4690292758</v>
      </c>
      <c r="G81" s="10">
        <f t="shared" si="2"/>
        <v>0.4367791027</v>
      </c>
      <c r="H81" s="10">
        <f t="shared" si="3"/>
        <v>0.2048621862</v>
      </c>
      <c r="I81" s="8">
        <v>351.0</v>
      </c>
      <c r="J81" s="8">
        <v>148.0000039935112</v>
      </c>
      <c r="K81" s="8">
        <v>1580.0</v>
      </c>
      <c r="L81" s="11">
        <f t="shared" si="4"/>
        <v>0.2221518987</v>
      </c>
      <c r="M81" s="12">
        <f t="shared" si="5"/>
        <v>0.421652433</v>
      </c>
      <c r="N81" s="13">
        <f t="shared" si="6"/>
        <v>0.0936708886</v>
      </c>
      <c r="O81" s="14">
        <f t="shared" si="7"/>
        <v>0.4572385481</v>
      </c>
      <c r="P81" s="15"/>
      <c r="Q81" s="15"/>
      <c r="AD81" s="20"/>
    </row>
    <row r="82" ht="15.75" customHeight="1">
      <c r="A82" s="8">
        <v>21003.0</v>
      </c>
      <c r="B82" s="9" t="s">
        <v>96</v>
      </c>
      <c r="C82" s="8">
        <v>2636.0</v>
      </c>
      <c r="D82" s="8">
        <v>1135.111139625311</v>
      </c>
      <c r="E82" s="8">
        <v>7871.0</v>
      </c>
      <c r="F82" s="10">
        <f t="shared" si="1"/>
        <v>0.3349002668</v>
      </c>
      <c r="G82" s="10">
        <f t="shared" si="2"/>
        <v>0.4306187935</v>
      </c>
      <c r="H82" s="10">
        <f t="shared" si="3"/>
        <v>0.1442143488</v>
      </c>
      <c r="I82" s="8">
        <v>608.0</v>
      </c>
      <c r="J82" s="8">
        <v>251.55556190013885</v>
      </c>
      <c r="K82" s="8">
        <v>2353.0</v>
      </c>
      <c r="L82" s="11">
        <f t="shared" si="4"/>
        <v>0.2583935402</v>
      </c>
      <c r="M82" s="12">
        <f t="shared" si="5"/>
        <v>0.4137427005</v>
      </c>
      <c r="N82" s="13">
        <f t="shared" si="6"/>
        <v>0.1069084411</v>
      </c>
      <c r="O82" s="14">
        <f t="shared" si="7"/>
        <v>0.7413162557</v>
      </c>
      <c r="P82" s="15"/>
      <c r="Q82" s="15"/>
      <c r="AD82" s="20"/>
    </row>
    <row r="83" ht="15.75" customHeight="1">
      <c r="A83" s="8">
        <v>21004.0</v>
      </c>
      <c r="B83" s="9" t="s">
        <v>97</v>
      </c>
      <c r="C83" s="8">
        <v>8792.0</v>
      </c>
      <c r="D83" s="8">
        <v>3852.555654257536</v>
      </c>
      <c r="E83" s="8">
        <v>17077.0</v>
      </c>
      <c r="F83" s="10">
        <f t="shared" si="1"/>
        <v>0.5148445277</v>
      </c>
      <c r="G83" s="10">
        <f t="shared" si="2"/>
        <v>0.4381887687</v>
      </c>
      <c r="H83" s="10">
        <f t="shared" si="3"/>
        <v>0.2255990897</v>
      </c>
      <c r="I83" s="8">
        <v>554.0</v>
      </c>
      <c r="J83" s="8">
        <v>231.33333891630173</v>
      </c>
      <c r="K83" s="8">
        <v>2225.0</v>
      </c>
      <c r="L83" s="11">
        <f t="shared" si="4"/>
        <v>0.248988764</v>
      </c>
      <c r="M83" s="12">
        <f t="shared" si="5"/>
        <v>0.4175692038</v>
      </c>
      <c r="N83" s="13">
        <f t="shared" si="6"/>
        <v>0.10397004</v>
      </c>
      <c r="O83" s="14">
        <f t="shared" si="7"/>
        <v>0.4608619659</v>
      </c>
      <c r="P83" s="15"/>
      <c r="Q83" s="15"/>
      <c r="AD83" s="20"/>
    </row>
    <row r="84" ht="15.75" customHeight="1">
      <c r="A84" s="8">
        <v>21005.0</v>
      </c>
      <c r="B84" s="9" t="s">
        <v>98</v>
      </c>
      <c r="C84" s="8">
        <v>5247.0</v>
      </c>
      <c r="D84" s="8">
        <v>2520.6667332053185</v>
      </c>
      <c r="E84" s="8">
        <v>7459.0</v>
      </c>
      <c r="F84" s="10">
        <f t="shared" si="1"/>
        <v>0.7034455021</v>
      </c>
      <c r="G84" s="10">
        <f t="shared" si="2"/>
        <v>0.480401512</v>
      </c>
      <c r="H84" s="10">
        <f t="shared" si="3"/>
        <v>0.3379362828</v>
      </c>
      <c r="I84" s="8">
        <v>175.0</v>
      </c>
      <c r="J84" s="8">
        <v>75.22222450375557</v>
      </c>
      <c r="K84" s="8">
        <v>298.0</v>
      </c>
      <c r="L84" s="11">
        <f t="shared" si="4"/>
        <v>0.5872483221</v>
      </c>
      <c r="M84" s="12">
        <f t="shared" si="5"/>
        <v>0.4298412829</v>
      </c>
      <c r="N84" s="13">
        <f t="shared" si="6"/>
        <v>0.2524235722</v>
      </c>
      <c r="O84" s="14">
        <f t="shared" si="7"/>
        <v>0.7469561128</v>
      </c>
      <c r="P84" s="15"/>
      <c r="Q84" s="15"/>
      <c r="AD84" s="20"/>
    </row>
    <row r="85" ht="15.75" customHeight="1">
      <c r="A85" s="8">
        <v>21006.0</v>
      </c>
      <c r="B85" s="9" t="s">
        <v>99</v>
      </c>
      <c r="C85" s="8">
        <v>2359.0</v>
      </c>
      <c r="D85" s="8">
        <v>1094.7778054475784</v>
      </c>
      <c r="E85" s="8">
        <v>4675.0</v>
      </c>
      <c r="F85" s="10">
        <f t="shared" si="1"/>
        <v>0.5045989305</v>
      </c>
      <c r="G85" s="10">
        <f t="shared" si="2"/>
        <v>0.464085547</v>
      </c>
      <c r="H85" s="10">
        <f t="shared" si="3"/>
        <v>0.2341770707</v>
      </c>
      <c r="I85" s="8">
        <v>167.0</v>
      </c>
      <c r="J85" s="8">
        <v>80.22222465276718</v>
      </c>
      <c r="K85" s="8">
        <v>784.0</v>
      </c>
      <c r="L85" s="11">
        <f t="shared" si="4"/>
        <v>0.2130102041</v>
      </c>
      <c r="M85" s="12">
        <f t="shared" si="5"/>
        <v>0.4803726027</v>
      </c>
      <c r="N85" s="13">
        <f t="shared" si="6"/>
        <v>0.1023242661</v>
      </c>
      <c r="O85" s="14">
        <f t="shared" si="7"/>
        <v>0.4369525413</v>
      </c>
      <c r="P85" s="15"/>
      <c r="Q85" s="15"/>
      <c r="AD85" s="20"/>
    </row>
    <row r="86" ht="15.75" customHeight="1">
      <c r="A86" s="8">
        <v>21101.0</v>
      </c>
      <c r="B86" s="9" t="s">
        <v>100</v>
      </c>
      <c r="C86" s="8">
        <v>4091.0</v>
      </c>
      <c r="D86" s="8">
        <v>1678.4444862008095</v>
      </c>
      <c r="E86" s="8">
        <v>14048.0</v>
      </c>
      <c r="F86" s="10">
        <f t="shared" si="1"/>
        <v>0.2912158314</v>
      </c>
      <c r="G86" s="10">
        <f t="shared" si="2"/>
        <v>0.4102773127</v>
      </c>
      <c r="H86" s="10">
        <f t="shared" si="3"/>
        <v>0.1194792487</v>
      </c>
      <c r="I86" s="8">
        <v>773.0</v>
      </c>
      <c r="J86" s="8">
        <v>317.5555627942085</v>
      </c>
      <c r="K86" s="8">
        <v>3408.0</v>
      </c>
      <c r="L86" s="11">
        <f t="shared" si="4"/>
        <v>0.2268192488</v>
      </c>
      <c r="M86" s="12">
        <f t="shared" si="5"/>
        <v>0.4108092662</v>
      </c>
      <c r="N86" s="13">
        <f t="shared" si="6"/>
        <v>0.09317944918</v>
      </c>
      <c r="O86" s="14">
        <f t="shared" si="7"/>
        <v>0.7798797713</v>
      </c>
      <c r="P86" s="15"/>
      <c r="Q86" s="15"/>
      <c r="AD86" s="20"/>
    </row>
    <row r="87" ht="15.75" customHeight="1">
      <c r="A87" s="8">
        <v>21102.0</v>
      </c>
      <c r="B87" s="9" t="s">
        <v>101</v>
      </c>
      <c r="C87" s="8">
        <v>5877.0</v>
      </c>
      <c r="D87" s="8">
        <v>2604.66673001647</v>
      </c>
      <c r="E87" s="8">
        <v>13636.0</v>
      </c>
      <c r="F87" s="10">
        <f t="shared" si="1"/>
        <v>0.4309914931</v>
      </c>
      <c r="G87" s="10">
        <f t="shared" si="2"/>
        <v>0.4431966531</v>
      </c>
      <c r="H87" s="10">
        <f t="shared" si="3"/>
        <v>0.1910139872</v>
      </c>
      <c r="I87" s="8">
        <v>917.0</v>
      </c>
      <c r="J87" s="8">
        <v>395.3333429992199</v>
      </c>
      <c r="K87" s="8">
        <v>3089.0</v>
      </c>
      <c r="L87" s="11">
        <f t="shared" si="4"/>
        <v>0.2968598252</v>
      </c>
      <c r="M87" s="12">
        <f t="shared" si="5"/>
        <v>0.4311159684</v>
      </c>
      <c r="N87" s="13">
        <f t="shared" si="6"/>
        <v>0.127981011</v>
      </c>
      <c r="O87" s="14">
        <f t="shared" si="7"/>
        <v>0.6700085834</v>
      </c>
      <c r="P87" s="15"/>
      <c r="Q87" s="15"/>
      <c r="AD87" s="20"/>
    </row>
    <row r="88" ht="15.75" customHeight="1">
      <c r="A88" s="8">
        <v>21103.0</v>
      </c>
      <c r="B88" s="9" t="s">
        <v>102</v>
      </c>
      <c r="C88" s="8">
        <v>1320.0</v>
      </c>
      <c r="D88" s="8">
        <v>572.5555690824986</v>
      </c>
      <c r="E88" s="8">
        <v>4751.0</v>
      </c>
      <c r="F88" s="10">
        <f t="shared" si="1"/>
        <v>0.277836245</v>
      </c>
      <c r="G88" s="10">
        <f t="shared" si="2"/>
        <v>0.433754219</v>
      </c>
      <c r="H88" s="10">
        <f t="shared" si="3"/>
        <v>0.1205126435</v>
      </c>
      <c r="I88" s="8">
        <v>234.0</v>
      </c>
      <c r="J88" s="8">
        <v>100.888891518116</v>
      </c>
      <c r="K88" s="8">
        <v>1445.0</v>
      </c>
      <c r="L88" s="11">
        <f t="shared" si="4"/>
        <v>0.1619377163</v>
      </c>
      <c r="M88" s="12">
        <f t="shared" si="5"/>
        <v>0.4311491091</v>
      </c>
      <c r="N88" s="13">
        <f t="shared" si="6"/>
        <v>0.06981930209</v>
      </c>
      <c r="O88" s="14">
        <f t="shared" si="7"/>
        <v>0.5793525068</v>
      </c>
      <c r="P88" s="15"/>
      <c r="Q88" s="15"/>
      <c r="AD88" s="20"/>
    </row>
    <row r="89" ht="15.75" customHeight="1">
      <c r="A89" s="8">
        <v>21104.0</v>
      </c>
      <c r="B89" s="9" t="s">
        <v>103</v>
      </c>
      <c r="C89" s="8">
        <v>9136.0</v>
      </c>
      <c r="D89" s="8">
        <v>4157.111207872629</v>
      </c>
      <c r="E89" s="8">
        <v>19499.0</v>
      </c>
      <c r="F89" s="10">
        <f t="shared" si="1"/>
        <v>0.468536848</v>
      </c>
      <c r="G89" s="10">
        <f t="shared" si="2"/>
        <v>0.4550253073</v>
      </c>
      <c r="H89" s="10">
        <f t="shared" si="3"/>
        <v>0.2131961233</v>
      </c>
      <c r="I89" s="8">
        <v>1880.0</v>
      </c>
      <c r="J89" s="8">
        <v>825.5555738210678</v>
      </c>
      <c r="K89" s="8">
        <v>4510.0</v>
      </c>
      <c r="L89" s="11">
        <f t="shared" si="4"/>
        <v>0.4168514412</v>
      </c>
      <c r="M89" s="12">
        <f t="shared" si="5"/>
        <v>0.4391253052</v>
      </c>
      <c r="N89" s="13">
        <f t="shared" si="6"/>
        <v>0.1830500164</v>
      </c>
      <c r="O89" s="14">
        <f t="shared" si="7"/>
        <v>0.8585991788</v>
      </c>
      <c r="P89" s="15"/>
      <c r="Q89" s="15"/>
      <c r="AD89" s="20"/>
    </row>
    <row r="90" ht="15.75" customHeight="1">
      <c r="A90" s="8">
        <v>21105.0</v>
      </c>
      <c r="B90" s="9" t="s">
        <v>104</v>
      </c>
      <c r="C90" s="8">
        <v>26353.0</v>
      </c>
      <c r="D90" s="8">
        <v>12960.333665639162</v>
      </c>
      <c r="E90" s="8">
        <v>33412.0</v>
      </c>
      <c r="F90" s="10">
        <f t="shared" si="1"/>
        <v>0.7887286005</v>
      </c>
      <c r="G90" s="10">
        <f t="shared" si="2"/>
        <v>0.4917972779</v>
      </c>
      <c r="H90" s="10">
        <f t="shared" si="3"/>
        <v>0.3878945788</v>
      </c>
      <c r="I90" s="8">
        <v>4313.0</v>
      </c>
      <c r="J90" s="8">
        <v>2035.4444950520992</v>
      </c>
      <c r="K90" s="8">
        <v>6171.0</v>
      </c>
      <c r="L90" s="11">
        <f t="shared" si="4"/>
        <v>0.6989142765</v>
      </c>
      <c r="M90" s="12">
        <f t="shared" si="5"/>
        <v>0.4719324125</v>
      </c>
      <c r="N90" s="13">
        <f t="shared" si="6"/>
        <v>0.3298403006</v>
      </c>
      <c r="O90" s="14">
        <f t="shared" si="7"/>
        <v>0.8503349071</v>
      </c>
      <c r="P90" s="15"/>
      <c r="Q90" s="15"/>
      <c r="AD90" s="20"/>
    </row>
    <row r="91" ht="15.75" customHeight="1">
      <c r="A91" s="8">
        <v>21201.0</v>
      </c>
      <c r="B91" s="9" t="s">
        <v>105</v>
      </c>
      <c r="C91" s="8">
        <v>15084.0</v>
      </c>
      <c r="D91" s="8">
        <v>6662.000168889761</v>
      </c>
      <c r="E91" s="8">
        <v>28917.0</v>
      </c>
      <c r="F91" s="10">
        <f t="shared" si="1"/>
        <v>0.5216308746</v>
      </c>
      <c r="G91" s="10">
        <f t="shared" si="2"/>
        <v>0.4416600483</v>
      </c>
      <c r="H91" s="10">
        <f t="shared" si="3"/>
        <v>0.2303835173</v>
      </c>
      <c r="I91" s="8">
        <v>434.0</v>
      </c>
      <c r="J91" s="8">
        <v>182.88889333605766</v>
      </c>
      <c r="K91" s="8">
        <v>951.0</v>
      </c>
      <c r="L91" s="11">
        <f t="shared" si="4"/>
        <v>0.4563617245</v>
      </c>
      <c r="M91" s="12">
        <f t="shared" si="5"/>
        <v>0.42140298</v>
      </c>
      <c r="N91" s="13">
        <f t="shared" si="6"/>
        <v>0.1923121907</v>
      </c>
      <c r="O91" s="14">
        <f t="shared" si="7"/>
        <v>0.8347480452</v>
      </c>
      <c r="P91" s="15"/>
      <c r="Q91" s="15"/>
      <c r="AD91" s="20"/>
    </row>
    <row r="92" ht="15.75" customHeight="1">
      <c r="A92" s="8">
        <v>21202.0</v>
      </c>
      <c r="B92" s="9" t="s">
        <v>106</v>
      </c>
      <c r="C92" s="8">
        <v>12189.0</v>
      </c>
      <c r="D92" s="8">
        <v>5216.333461582661</v>
      </c>
      <c r="E92" s="8">
        <v>23313.0</v>
      </c>
      <c r="F92" s="10">
        <f t="shared" si="1"/>
        <v>0.5228413332</v>
      </c>
      <c r="G92" s="10">
        <f t="shared" si="2"/>
        <v>0.4279541768</v>
      </c>
      <c r="H92" s="10">
        <f t="shared" si="3"/>
        <v>0.2237521324</v>
      </c>
      <c r="I92" s="8">
        <v>532.0</v>
      </c>
      <c r="J92" s="8">
        <v>213.88889333605766</v>
      </c>
      <c r="K92" s="8">
        <v>1120.0</v>
      </c>
      <c r="L92" s="11">
        <f t="shared" si="4"/>
        <v>0.475</v>
      </c>
      <c r="M92" s="12">
        <f t="shared" si="5"/>
        <v>0.402046792</v>
      </c>
      <c r="N92" s="13">
        <f t="shared" si="6"/>
        <v>0.1909722262</v>
      </c>
      <c r="O92" s="14">
        <f t="shared" si="7"/>
        <v>0.8534990223</v>
      </c>
      <c r="P92" s="15"/>
      <c r="Q92" s="15"/>
      <c r="AD92" s="20"/>
    </row>
    <row r="93" ht="15.75" customHeight="1">
      <c r="A93" s="8">
        <v>21203.0</v>
      </c>
      <c r="B93" s="9" t="s">
        <v>107</v>
      </c>
      <c r="C93" s="8">
        <v>6796.0</v>
      </c>
      <c r="D93" s="8">
        <v>2961.555630773306</v>
      </c>
      <c r="E93" s="8">
        <v>16998.0</v>
      </c>
      <c r="F93" s="10">
        <f t="shared" si="1"/>
        <v>0.3998117426</v>
      </c>
      <c r="G93" s="10">
        <f t="shared" si="2"/>
        <v>0.4357792276</v>
      </c>
      <c r="H93" s="10">
        <f t="shared" si="3"/>
        <v>0.1742296524</v>
      </c>
      <c r="I93" s="8">
        <v>88.0</v>
      </c>
      <c r="J93" s="8">
        <v>33.55555635690689</v>
      </c>
      <c r="K93" s="8">
        <v>368.0</v>
      </c>
      <c r="L93" s="11">
        <f t="shared" si="4"/>
        <v>0.2391304348</v>
      </c>
      <c r="M93" s="12">
        <f t="shared" si="5"/>
        <v>0.3813131404</v>
      </c>
      <c r="N93" s="13">
        <f t="shared" si="6"/>
        <v>0.09118357706</v>
      </c>
      <c r="O93" s="14">
        <f t="shared" si="7"/>
        <v>0.5233528037</v>
      </c>
      <c r="P93" s="15"/>
      <c r="Q93" s="15"/>
      <c r="AD93" s="20"/>
    </row>
    <row r="94" ht="15.75" customHeight="1">
      <c r="A94" s="8">
        <v>21204.0</v>
      </c>
      <c r="B94" s="9" t="s">
        <v>108</v>
      </c>
      <c r="C94" s="8">
        <v>2797.0</v>
      </c>
      <c r="D94" s="8">
        <v>1119.7778050005436</v>
      </c>
      <c r="E94" s="8">
        <v>6323.0</v>
      </c>
      <c r="F94" s="10">
        <f t="shared" si="1"/>
        <v>0.4423533133</v>
      </c>
      <c r="G94" s="10">
        <f t="shared" si="2"/>
        <v>0.4003495906</v>
      </c>
      <c r="H94" s="10">
        <f t="shared" si="3"/>
        <v>0.1770959679</v>
      </c>
      <c r="I94" s="8">
        <v>50.0</v>
      </c>
      <c r="J94" s="8">
        <v>20.111111670732498</v>
      </c>
      <c r="K94" s="8">
        <v>134.0</v>
      </c>
      <c r="L94" s="11">
        <f t="shared" si="4"/>
        <v>0.3731343284</v>
      </c>
      <c r="M94" s="12">
        <f t="shared" si="5"/>
        <v>0.4022222334</v>
      </c>
      <c r="N94" s="13">
        <f t="shared" si="6"/>
        <v>0.1500829229</v>
      </c>
      <c r="O94" s="14">
        <f t="shared" si="7"/>
        <v>0.847466629</v>
      </c>
      <c r="P94" s="15"/>
      <c r="Q94" s="15"/>
      <c r="AD94" s="20"/>
    </row>
    <row r="95" ht="15.75" customHeight="1">
      <c r="A95" s="8">
        <v>21301.0</v>
      </c>
      <c r="B95" s="9" t="s">
        <v>109</v>
      </c>
      <c r="C95" s="8">
        <v>16174.0</v>
      </c>
      <c r="D95" s="8">
        <v>7048.222400039434</v>
      </c>
      <c r="E95" s="8">
        <v>29414.0</v>
      </c>
      <c r="F95" s="10">
        <f t="shared" si="1"/>
        <v>0.5498742096</v>
      </c>
      <c r="G95" s="10">
        <f t="shared" si="2"/>
        <v>0.4357748485</v>
      </c>
      <c r="H95" s="10">
        <f t="shared" si="3"/>
        <v>0.2396213504</v>
      </c>
      <c r="I95" s="8">
        <v>575.0</v>
      </c>
      <c r="J95" s="8">
        <v>238.33333921432495</v>
      </c>
      <c r="K95" s="8">
        <v>1745.0</v>
      </c>
      <c r="L95" s="11">
        <f t="shared" si="4"/>
        <v>0.329512894</v>
      </c>
      <c r="M95" s="12">
        <f t="shared" si="5"/>
        <v>0.4144927639</v>
      </c>
      <c r="N95" s="13">
        <f t="shared" si="6"/>
        <v>0.1365807102</v>
      </c>
      <c r="O95" s="14">
        <f t="shared" si="7"/>
        <v>0.5699855624</v>
      </c>
      <c r="P95" s="15"/>
      <c r="Q95" s="15"/>
      <c r="AD95" s="20"/>
    </row>
    <row r="96" ht="15.75" customHeight="1">
      <c r="A96" s="8">
        <v>21302.0</v>
      </c>
      <c r="B96" s="9" t="s">
        <v>110</v>
      </c>
      <c r="C96" s="8">
        <v>4835.0</v>
      </c>
      <c r="D96" s="8">
        <v>2146.1111640930176</v>
      </c>
      <c r="E96" s="8">
        <v>8541.0</v>
      </c>
      <c r="F96" s="10">
        <f t="shared" si="1"/>
        <v>0.5660929634</v>
      </c>
      <c r="G96" s="10">
        <f t="shared" si="2"/>
        <v>0.4438699409</v>
      </c>
      <c r="H96" s="10">
        <f t="shared" si="3"/>
        <v>0.2512716502</v>
      </c>
      <c r="I96" s="8">
        <v>139.0</v>
      </c>
      <c r="J96" s="8">
        <v>63.11111259460449</v>
      </c>
      <c r="K96" s="8">
        <v>327.0</v>
      </c>
      <c r="L96" s="11">
        <f t="shared" si="4"/>
        <v>0.4250764526</v>
      </c>
      <c r="M96" s="12">
        <f t="shared" si="5"/>
        <v>0.4540367813</v>
      </c>
      <c r="N96" s="13">
        <f t="shared" si="6"/>
        <v>0.1930003443</v>
      </c>
      <c r="O96" s="14">
        <f t="shared" si="7"/>
        <v>0.7680943879</v>
      </c>
      <c r="P96" s="15"/>
      <c r="Q96" s="15"/>
      <c r="AD96" s="20"/>
    </row>
    <row r="97" ht="15.75" customHeight="1">
      <c r="A97" s="8">
        <v>21303.0</v>
      </c>
      <c r="B97" s="9" t="s">
        <v>111</v>
      </c>
      <c r="C97" s="8">
        <v>4557.0</v>
      </c>
      <c r="D97" s="8">
        <v>2042.3333826065063</v>
      </c>
      <c r="E97" s="8">
        <v>7524.0</v>
      </c>
      <c r="F97" s="10">
        <f t="shared" si="1"/>
        <v>0.605661882</v>
      </c>
      <c r="G97" s="10">
        <f t="shared" si="2"/>
        <v>0.4481749797</v>
      </c>
      <c r="H97" s="10">
        <f t="shared" si="3"/>
        <v>0.2714425017</v>
      </c>
      <c r="I97" s="8">
        <v>141.0</v>
      </c>
      <c r="J97" s="8">
        <v>70.00000214576721</v>
      </c>
      <c r="K97" s="8">
        <v>244.0</v>
      </c>
      <c r="L97" s="11">
        <f t="shared" si="4"/>
        <v>0.5778688525</v>
      </c>
      <c r="M97" s="12">
        <f t="shared" si="5"/>
        <v>0.4964539159</v>
      </c>
      <c r="N97" s="13">
        <f t="shared" si="6"/>
        <v>0.2868852547</v>
      </c>
      <c r="O97" s="14">
        <f t="shared" si="7"/>
        <v>1.056891433</v>
      </c>
      <c r="P97" s="15"/>
      <c r="Q97" s="15"/>
      <c r="AD97" s="20"/>
    </row>
    <row r="98" ht="15.75" customHeight="1">
      <c r="A98" s="8">
        <v>21304.0</v>
      </c>
      <c r="B98" s="9" t="s">
        <v>112</v>
      </c>
      <c r="C98" s="8">
        <v>5732.0</v>
      </c>
      <c r="D98" s="8">
        <v>2464.88894996047</v>
      </c>
      <c r="E98" s="8">
        <v>11684.0</v>
      </c>
      <c r="F98" s="10">
        <f t="shared" si="1"/>
        <v>0.490585416</v>
      </c>
      <c r="G98" s="10">
        <f t="shared" si="2"/>
        <v>0.4300224965</v>
      </c>
      <c r="H98" s="10">
        <f t="shared" si="3"/>
        <v>0.2109627653</v>
      </c>
      <c r="I98" s="8">
        <v>289.0</v>
      </c>
      <c r="J98" s="8">
        <v>119.22222477197647</v>
      </c>
      <c r="K98" s="8">
        <v>660.0</v>
      </c>
      <c r="L98" s="11">
        <f t="shared" si="4"/>
        <v>0.4378787879</v>
      </c>
      <c r="M98" s="12">
        <f t="shared" si="5"/>
        <v>0.4125336497</v>
      </c>
      <c r="N98" s="13">
        <f t="shared" si="6"/>
        <v>0.1806397345</v>
      </c>
      <c r="O98" s="14">
        <f t="shared" si="7"/>
        <v>0.8562635887</v>
      </c>
      <c r="P98" s="15"/>
      <c r="Q98" s="15"/>
      <c r="AD98" s="20"/>
    </row>
    <row r="99" ht="15.75" customHeight="1">
      <c r="A99" s="8">
        <v>21305.0</v>
      </c>
      <c r="B99" s="9" t="s">
        <v>113</v>
      </c>
      <c r="C99" s="8">
        <v>7149.0</v>
      </c>
      <c r="D99" s="8">
        <v>3021.66674131155</v>
      </c>
      <c r="E99" s="8">
        <v>20298.0</v>
      </c>
      <c r="F99" s="10">
        <f t="shared" si="1"/>
        <v>0.3522021874</v>
      </c>
      <c r="G99" s="10">
        <f t="shared" si="2"/>
        <v>0.4226698477</v>
      </c>
      <c r="H99" s="10">
        <f t="shared" si="3"/>
        <v>0.1488652449</v>
      </c>
      <c r="I99" s="8">
        <v>430.0</v>
      </c>
      <c r="J99" s="8">
        <v>173.0000044107437</v>
      </c>
      <c r="K99" s="8">
        <v>2017.0</v>
      </c>
      <c r="L99" s="11">
        <f t="shared" si="4"/>
        <v>0.2131879028</v>
      </c>
      <c r="M99" s="12">
        <f t="shared" si="5"/>
        <v>0.4023255917</v>
      </c>
      <c r="N99" s="13">
        <f t="shared" si="6"/>
        <v>0.08577094914</v>
      </c>
      <c r="O99" s="14">
        <f t="shared" si="7"/>
        <v>0.5761650356</v>
      </c>
      <c r="P99" s="15"/>
      <c r="Q99" s="15"/>
      <c r="AD99" s="20"/>
    </row>
    <row r="100" ht="15.75" customHeight="1">
      <c r="A100" s="8">
        <v>21306.0</v>
      </c>
      <c r="B100" s="9" t="s">
        <v>114</v>
      </c>
      <c r="C100" s="8">
        <v>4691.0</v>
      </c>
      <c r="D100" s="8">
        <v>2049.3333839178085</v>
      </c>
      <c r="E100" s="8">
        <v>9251.0</v>
      </c>
      <c r="F100" s="10">
        <f t="shared" si="1"/>
        <v>0.5070803156</v>
      </c>
      <c r="G100" s="10">
        <f t="shared" si="2"/>
        <v>0.4368649294</v>
      </c>
      <c r="H100" s="10">
        <f t="shared" si="3"/>
        <v>0.2215256063</v>
      </c>
      <c r="I100" s="8">
        <v>276.0</v>
      </c>
      <c r="J100" s="8">
        <v>110.22222444415092</v>
      </c>
      <c r="K100" s="8">
        <v>611.0</v>
      </c>
      <c r="L100" s="11">
        <f t="shared" si="4"/>
        <v>0.4517184943</v>
      </c>
      <c r="M100" s="12">
        <f t="shared" si="5"/>
        <v>0.3993558857</v>
      </c>
      <c r="N100" s="13">
        <f t="shared" si="6"/>
        <v>0.1803964394</v>
      </c>
      <c r="O100" s="14">
        <f t="shared" si="7"/>
        <v>0.8143367368</v>
      </c>
      <c r="P100" s="15"/>
      <c r="Q100" s="15"/>
      <c r="AD100" s="20"/>
    </row>
    <row r="101" ht="15.75" customHeight="1">
      <c r="A101" s="8">
        <v>21307.0</v>
      </c>
      <c r="B101" s="9" t="s">
        <v>115</v>
      </c>
      <c r="C101" s="8">
        <v>1779.0</v>
      </c>
      <c r="D101" s="8">
        <v>720.6666840612888</v>
      </c>
      <c r="E101" s="8">
        <v>4553.0</v>
      </c>
      <c r="F101" s="10">
        <f t="shared" si="1"/>
        <v>0.3907313859</v>
      </c>
      <c r="G101" s="10">
        <f t="shared" si="2"/>
        <v>0.4050965059</v>
      </c>
      <c r="H101" s="10">
        <f t="shared" si="3"/>
        <v>0.1582839192</v>
      </c>
      <c r="I101" s="8">
        <v>186.0</v>
      </c>
      <c r="J101" s="8">
        <v>73.22222340106964</v>
      </c>
      <c r="K101" s="8">
        <v>426.0</v>
      </c>
      <c r="L101" s="11">
        <f t="shared" si="4"/>
        <v>0.4366197183</v>
      </c>
      <c r="M101" s="12">
        <f t="shared" si="5"/>
        <v>0.3936678677</v>
      </c>
      <c r="N101" s="13">
        <f t="shared" si="6"/>
        <v>0.1718831535</v>
      </c>
      <c r="O101" s="14">
        <f t="shared" si="7"/>
        <v>1.085916715</v>
      </c>
      <c r="P101" s="15"/>
      <c r="Q101" s="15"/>
      <c r="AD101" s="20"/>
    </row>
    <row r="102" ht="15.75" customHeight="1">
      <c r="A102" s="8">
        <v>21401.0</v>
      </c>
      <c r="B102" s="9" t="s">
        <v>116</v>
      </c>
      <c r="C102" s="8">
        <v>5864.0</v>
      </c>
      <c r="D102" s="8">
        <v>2541.7778392732143</v>
      </c>
      <c r="E102" s="8">
        <v>15597.0</v>
      </c>
      <c r="F102" s="10">
        <f t="shared" si="1"/>
        <v>0.3759697378</v>
      </c>
      <c r="G102" s="10">
        <f t="shared" si="2"/>
        <v>0.4334546111</v>
      </c>
      <c r="H102" s="10">
        <f t="shared" si="3"/>
        <v>0.1629658165</v>
      </c>
      <c r="I102" s="8">
        <v>772.0</v>
      </c>
      <c r="J102" s="8">
        <v>324.44445219635963</v>
      </c>
      <c r="K102" s="8">
        <v>3130.0</v>
      </c>
      <c r="L102" s="11">
        <f t="shared" si="4"/>
        <v>0.2466453674</v>
      </c>
      <c r="M102" s="12">
        <f t="shared" si="5"/>
        <v>0.4202648345</v>
      </c>
      <c r="N102" s="13">
        <f t="shared" si="6"/>
        <v>0.1036563745</v>
      </c>
      <c r="O102" s="14">
        <f t="shared" si="7"/>
        <v>0.6360620697</v>
      </c>
      <c r="P102" s="15"/>
      <c r="Q102" s="15"/>
      <c r="AD102" s="20"/>
    </row>
    <row r="103" ht="15.75" customHeight="1">
      <c r="A103" s="8">
        <v>21402.0</v>
      </c>
      <c r="B103" s="9" t="s">
        <v>117</v>
      </c>
      <c r="C103" s="8">
        <v>3219.0</v>
      </c>
      <c r="D103" s="8">
        <v>1309.0000350475311</v>
      </c>
      <c r="E103" s="8">
        <v>14447.0</v>
      </c>
      <c r="F103" s="10">
        <f t="shared" si="1"/>
        <v>0.2228144251</v>
      </c>
      <c r="G103" s="10">
        <f t="shared" si="2"/>
        <v>0.4066480382</v>
      </c>
      <c r="H103" s="10">
        <f t="shared" si="3"/>
        <v>0.09060704887</v>
      </c>
      <c r="I103" s="8">
        <v>364.0</v>
      </c>
      <c r="J103" s="8">
        <v>140.000003606081</v>
      </c>
      <c r="K103" s="8">
        <v>2321.0</v>
      </c>
      <c r="L103" s="11">
        <f t="shared" si="4"/>
        <v>0.156828953</v>
      </c>
      <c r="M103" s="12">
        <f t="shared" si="5"/>
        <v>0.3846153945</v>
      </c>
      <c r="N103" s="13">
        <f t="shared" si="6"/>
        <v>0.06031882965</v>
      </c>
      <c r="O103" s="14">
        <f t="shared" si="7"/>
        <v>0.6657189523</v>
      </c>
      <c r="P103" s="15"/>
      <c r="Q103" s="15"/>
      <c r="AD103" s="20"/>
    </row>
    <row r="104" ht="15.75" customHeight="1">
      <c r="A104" s="8">
        <v>21501.0</v>
      </c>
      <c r="B104" s="9" t="s">
        <v>118</v>
      </c>
      <c r="C104" s="8">
        <v>3571.0</v>
      </c>
      <c r="D104" s="8">
        <v>1677.1111553907394</v>
      </c>
      <c r="E104" s="8">
        <v>5452.0</v>
      </c>
      <c r="F104" s="10">
        <f t="shared" si="1"/>
        <v>0.6549889949</v>
      </c>
      <c r="G104" s="10">
        <f t="shared" si="2"/>
        <v>0.4696474812</v>
      </c>
      <c r="H104" s="10">
        <f t="shared" si="3"/>
        <v>0.3076139317</v>
      </c>
      <c r="I104" s="8">
        <v>1467.0</v>
      </c>
      <c r="J104" s="8">
        <v>663.6666839122772</v>
      </c>
      <c r="K104" s="8">
        <v>2886.0</v>
      </c>
      <c r="L104" s="11">
        <f t="shared" si="4"/>
        <v>0.5083160083</v>
      </c>
      <c r="M104" s="12">
        <f t="shared" si="5"/>
        <v>0.4523971942</v>
      </c>
      <c r="N104" s="13">
        <f t="shared" si="6"/>
        <v>0.2299607359</v>
      </c>
      <c r="O104" s="14">
        <f t="shared" si="7"/>
        <v>0.7475628126</v>
      </c>
      <c r="P104" s="15"/>
      <c r="Q104" s="15"/>
      <c r="AD104" s="20"/>
    </row>
    <row r="105" ht="15.75" customHeight="1">
      <c r="A105" s="8">
        <v>21502.0</v>
      </c>
      <c r="B105" s="9" t="s">
        <v>119</v>
      </c>
      <c r="C105" s="8">
        <v>2542.0</v>
      </c>
      <c r="D105" s="8">
        <v>1165.6666966378689</v>
      </c>
      <c r="E105" s="8">
        <v>5926.0</v>
      </c>
      <c r="F105" s="10">
        <f t="shared" si="1"/>
        <v>0.428957138</v>
      </c>
      <c r="G105" s="10">
        <f t="shared" si="2"/>
        <v>0.4585628232</v>
      </c>
      <c r="H105" s="10">
        <f t="shared" si="3"/>
        <v>0.1967037963</v>
      </c>
      <c r="I105" s="8">
        <v>550.0</v>
      </c>
      <c r="J105" s="8">
        <v>240.11111691594124</v>
      </c>
      <c r="K105" s="8">
        <v>2288.0</v>
      </c>
      <c r="L105" s="11">
        <f t="shared" si="4"/>
        <v>0.2403846154</v>
      </c>
      <c r="M105" s="12">
        <f t="shared" si="5"/>
        <v>0.4365656671</v>
      </c>
      <c r="N105" s="13">
        <f t="shared" si="6"/>
        <v>0.10494367</v>
      </c>
      <c r="O105" s="14">
        <f t="shared" si="7"/>
        <v>0.5335111573</v>
      </c>
      <c r="P105" s="15"/>
      <c r="Q105" s="15"/>
      <c r="AD105" s="20"/>
    </row>
    <row r="106" ht="15.75" customHeight="1">
      <c r="A106" s="8">
        <v>21601.0</v>
      </c>
      <c r="B106" s="9" t="s">
        <v>120</v>
      </c>
      <c r="C106" s="8">
        <v>9175.0</v>
      </c>
      <c r="D106" s="8">
        <v>4208.444555670023</v>
      </c>
      <c r="E106" s="8">
        <v>12609.0</v>
      </c>
      <c r="F106" s="10">
        <f t="shared" si="1"/>
        <v>0.7276548497</v>
      </c>
      <c r="G106" s="10">
        <f t="shared" si="2"/>
        <v>0.4586860551</v>
      </c>
      <c r="H106" s="10">
        <f t="shared" si="3"/>
        <v>0.3337651325</v>
      </c>
      <c r="I106" s="8">
        <v>164.0</v>
      </c>
      <c r="J106" s="8">
        <v>71.0000017285347</v>
      </c>
      <c r="K106" s="8">
        <v>318.0</v>
      </c>
      <c r="L106" s="11">
        <f t="shared" si="4"/>
        <v>0.5157232704</v>
      </c>
      <c r="M106" s="12">
        <f t="shared" si="5"/>
        <v>0.4329268398</v>
      </c>
      <c r="N106" s="13">
        <f t="shared" si="6"/>
        <v>0.2232704457</v>
      </c>
      <c r="O106" s="14">
        <f t="shared" si="7"/>
        <v>0.6689447877</v>
      </c>
      <c r="P106" s="15"/>
      <c r="Q106" s="15"/>
      <c r="AD106" s="20"/>
    </row>
    <row r="107" ht="15.75" customHeight="1">
      <c r="A107" s="8">
        <v>21602.0</v>
      </c>
      <c r="B107" s="9" t="s">
        <v>121</v>
      </c>
      <c r="C107" s="8">
        <v>2288.0</v>
      </c>
      <c r="D107" s="8">
        <v>1085.0000295937061</v>
      </c>
      <c r="E107" s="8">
        <v>3219.0</v>
      </c>
      <c r="F107" s="10">
        <f t="shared" si="1"/>
        <v>0.7107797453</v>
      </c>
      <c r="G107" s="10">
        <f t="shared" si="2"/>
        <v>0.4742132996</v>
      </c>
      <c r="H107" s="10">
        <f t="shared" si="3"/>
        <v>0.3370612083</v>
      </c>
      <c r="I107" s="8">
        <v>29.0</v>
      </c>
      <c r="J107" s="8">
        <v>13.111111372709274</v>
      </c>
      <c r="K107" s="8">
        <v>45.0</v>
      </c>
      <c r="L107" s="11">
        <f t="shared" si="4"/>
        <v>0.6444444444</v>
      </c>
      <c r="M107" s="12">
        <f t="shared" si="5"/>
        <v>0.4521072887</v>
      </c>
      <c r="N107" s="13">
        <f t="shared" si="6"/>
        <v>0.2913580305</v>
      </c>
      <c r="O107" s="14">
        <f t="shared" si="7"/>
        <v>0.864406889</v>
      </c>
      <c r="P107" s="15"/>
      <c r="Q107" s="15"/>
      <c r="AD107" s="20"/>
    </row>
    <row r="108" ht="15.75" customHeight="1">
      <c r="A108" s="8">
        <v>21701.0</v>
      </c>
      <c r="B108" s="9" t="s">
        <v>122</v>
      </c>
      <c r="C108" s="8">
        <v>4514.0</v>
      </c>
      <c r="D108" s="8">
        <v>1844.000045567751</v>
      </c>
      <c r="E108" s="8">
        <v>13214.0</v>
      </c>
      <c r="F108" s="10">
        <f t="shared" si="1"/>
        <v>0.3416073861</v>
      </c>
      <c r="G108" s="10">
        <f t="shared" si="2"/>
        <v>0.4085068776</v>
      </c>
      <c r="H108" s="10">
        <f t="shared" si="3"/>
        <v>0.1395489667</v>
      </c>
      <c r="I108" s="8">
        <v>162.0</v>
      </c>
      <c r="J108" s="8">
        <v>62.00000160932541</v>
      </c>
      <c r="K108" s="8">
        <v>1273.0</v>
      </c>
      <c r="L108" s="11">
        <f t="shared" si="4"/>
        <v>0.1272584446</v>
      </c>
      <c r="M108" s="12">
        <f t="shared" si="5"/>
        <v>0.3827160593</v>
      </c>
      <c r="N108" s="13">
        <f t="shared" si="6"/>
        <v>0.04870385044</v>
      </c>
      <c r="O108" s="14">
        <f t="shared" si="7"/>
        <v>0.3490090368</v>
      </c>
      <c r="P108" s="15"/>
      <c r="Q108" s="15"/>
      <c r="AD108" s="20"/>
    </row>
    <row r="109" ht="15.75" customHeight="1">
      <c r="A109" s="8">
        <v>21702.0</v>
      </c>
      <c r="B109" s="9" t="s">
        <v>123</v>
      </c>
      <c r="C109" s="8">
        <v>2536.0</v>
      </c>
      <c r="D109" s="8">
        <v>1074.777804106474</v>
      </c>
      <c r="E109" s="8">
        <v>5563.0</v>
      </c>
      <c r="F109" s="10">
        <f t="shared" si="1"/>
        <v>0.4558691354</v>
      </c>
      <c r="G109" s="10">
        <f t="shared" si="2"/>
        <v>0.4238082824</v>
      </c>
      <c r="H109" s="10">
        <f t="shared" si="3"/>
        <v>0.1932011152</v>
      </c>
      <c r="I109" s="8">
        <v>120.0</v>
      </c>
      <c r="J109" s="8">
        <v>49.777779042720795</v>
      </c>
      <c r="K109" s="8">
        <v>380.0</v>
      </c>
      <c r="L109" s="11">
        <f t="shared" si="4"/>
        <v>0.3157894737</v>
      </c>
      <c r="M109" s="12">
        <f t="shared" si="5"/>
        <v>0.4148148254</v>
      </c>
      <c r="N109" s="13">
        <f t="shared" si="6"/>
        <v>0.1309941554</v>
      </c>
      <c r="O109" s="14">
        <f t="shared" si="7"/>
        <v>0.6780196647</v>
      </c>
      <c r="P109" s="15"/>
      <c r="Q109" s="15"/>
      <c r="AD109" s="20"/>
    </row>
    <row r="110" ht="15.75" customHeight="1">
      <c r="A110" s="8">
        <v>21703.0</v>
      </c>
      <c r="B110" s="9" t="s">
        <v>124</v>
      </c>
      <c r="C110" s="8">
        <v>3610.0</v>
      </c>
      <c r="D110" s="8">
        <v>1651.0000430345535</v>
      </c>
      <c r="E110" s="8">
        <v>6027.0</v>
      </c>
      <c r="F110" s="10">
        <f t="shared" si="1"/>
        <v>0.5989712958</v>
      </c>
      <c r="G110" s="10">
        <f t="shared" si="2"/>
        <v>0.4573407321</v>
      </c>
      <c r="H110" s="10">
        <f t="shared" si="3"/>
        <v>0.273933971</v>
      </c>
      <c r="I110" s="8">
        <v>116.0</v>
      </c>
      <c r="J110" s="8">
        <v>54.333334535360336</v>
      </c>
      <c r="K110" s="8">
        <v>218.0</v>
      </c>
      <c r="L110" s="11">
        <f t="shared" si="4"/>
        <v>0.5321100917</v>
      </c>
      <c r="M110" s="12">
        <f t="shared" si="5"/>
        <v>0.468390815</v>
      </c>
      <c r="N110" s="13">
        <f t="shared" si="6"/>
        <v>0.2492354795</v>
      </c>
      <c r="O110" s="14">
        <f t="shared" si="7"/>
        <v>0.9098377928</v>
      </c>
      <c r="P110" s="15"/>
      <c r="Q110" s="15"/>
      <c r="AD110" s="20"/>
    </row>
    <row r="111" ht="15.75" customHeight="1">
      <c r="A111" s="8">
        <v>21801.0</v>
      </c>
      <c r="B111" s="9" t="s">
        <v>125</v>
      </c>
      <c r="C111" s="8">
        <v>5935.0</v>
      </c>
      <c r="D111" s="8">
        <v>2689.1111747324467</v>
      </c>
      <c r="E111" s="8">
        <v>8536.0</v>
      </c>
      <c r="F111" s="10">
        <f t="shared" si="1"/>
        <v>0.6952905342</v>
      </c>
      <c r="G111" s="10">
        <f t="shared" si="2"/>
        <v>0.453093711</v>
      </c>
      <c r="H111" s="10">
        <f t="shared" si="3"/>
        <v>0.3150317684</v>
      </c>
      <c r="I111" s="8">
        <v>169.0</v>
      </c>
      <c r="J111" s="8">
        <v>75.88889077305794</v>
      </c>
      <c r="K111" s="8">
        <v>273.0</v>
      </c>
      <c r="L111" s="11">
        <f t="shared" si="4"/>
        <v>0.619047619</v>
      </c>
      <c r="M111" s="12">
        <f t="shared" si="5"/>
        <v>0.449046691</v>
      </c>
      <c r="N111" s="13">
        <f t="shared" si="6"/>
        <v>0.2779812849</v>
      </c>
      <c r="O111" s="14">
        <f t="shared" si="7"/>
        <v>0.8823912786</v>
      </c>
      <c r="P111" s="15"/>
      <c r="Q111" s="15"/>
      <c r="AD111" s="20"/>
    </row>
    <row r="112" ht="15.75" customHeight="1">
      <c r="A112" s="8">
        <v>21802.0</v>
      </c>
      <c r="B112" s="9" t="s">
        <v>126</v>
      </c>
      <c r="C112" s="8">
        <v>3392.0</v>
      </c>
      <c r="D112" s="8">
        <v>1448.2222573161125</v>
      </c>
      <c r="E112" s="8">
        <v>6627.0</v>
      </c>
      <c r="F112" s="10">
        <f t="shared" si="1"/>
        <v>0.5118454806</v>
      </c>
      <c r="G112" s="10">
        <f t="shared" si="2"/>
        <v>0.4269523164</v>
      </c>
      <c r="H112" s="10">
        <f t="shared" si="3"/>
        <v>0.2185336136</v>
      </c>
      <c r="I112" s="8">
        <v>238.0</v>
      </c>
      <c r="J112" s="8">
        <v>104.66666918992996</v>
      </c>
      <c r="K112" s="8">
        <v>359.0</v>
      </c>
      <c r="L112" s="11">
        <f t="shared" si="4"/>
        <v>0.6629526462</v>
      </c>
      <c r="M112" s="12">
        <f t="shared" si="5"/>
        <v>0.439775921</v>
      </c>
      <c r="N112" s="13">
        <f t="shared" si="6"/>
        <v>0.2915506106</v>
      </c>
      <c r="O112" s="14">
        <f t="shared" si="7"/>
        <v>1.334122498</v>
      </c>
      <c r="P112" s="15"/>
      <c r="Q112" s="15"/>
      <c r="AD112" s="20"/>
    </row>
    <row r="113" ht="15.75" customHeight="1">
      <c r="A113" s="8">
        <v>21803.0</v>
      </c>
      <c r="B113" s="9" t="s">
        <v>127</v>
      </c>
      <c r="C113" s="8">
        <v>1548.0</v>
      </c>
      <c r="D113" s="8">
        <v>688.3333502411842</v>
      </c>
      <c r="E113" s="8">
        <v>1978.0</v>
      </c>
      <c r="F113" s="10">
        <f t="shared" si="1"/>
        <v>0.7826086957</v>
      </c>
      <c r="G113" s="10">
        <f t="shared" si="2"/>
        <v>0.444659787</v>
      </c>
      <c r="H113" s="10">
        <f t="shared" si="3"/>
        <v>0.3479946159</v>
      </c>
      <c r="I113" s="8">
        <v>17.0</v>
      </c>
      <c r="J113" s="8">
        <v>7.666666954755783</v>
      </c>
      <c r="K113" s="8">
        <v>22.0</v>
      </c>
      <c r="L113" s="11">
        <f t="shared" si="4"/>
        <v>0.7727272727</v>
      </c>
      <c r="M113" s="12">
        <f t="shared" si="5"/>
        <v>0.4509804091</v>
      </c>
      <c r="N113" s="13">
        <f t="shared" si="6"/>
        <v>0.3484848616</v>
      </c>
      <c r="O113" s="14">
        <f t="shared" si="7"/>
        <v>1.001408774</v>
      </c>
      <c r="P113" s="15"/>
      <c r="Q113" s="15"/>
      <c r="AD113" s="20"/>
    </row>
    <row r="114" ht="15.75" customHeight="1">
      <c r="A114" s="8">
        <v>21901.0</v>
      </c>
      <c r="B114" s="9" t="s">
        <v>128</v>
      </c>
      <c r="C114" s="8">
        <v>2258.0</v>
      </c>
      <c r="D114" s="8">
        <v>936.333356231451</v>
      </c>
      <c r="E114" s="8">
        <v>4270.0</v>
      </c>
      <c r="F114" s="10">
        <f t="shared" si="1"/>
        <v>0.5288056206</v>
      </c>
      <c r="G114" s="10">
        <f t="shared" si="2"/>
        <v>0.4146737627</v>
      </c>
      <c r="H114" s="10">
        <f t="shared" si="3"/>
        <v>0.2192818164</v>
      </c>
      <c r="I114" s="8">
        <v>150.0</v>
      </c>
      <c r="J114" s="8">
        <v>63.666668087244034</v>
      </c>
      <c r="K114" s="8">
        <v>279.0</v>
      </c>
      <c r="L114" s="11">
        <f t="shared" si="4"/>
        <v>0.5376344086</v>
      </c>
      <c r="M114" s="12">
        <f t="shared" si="5"/>
        <v>0.4244444539</v>
      </c>
      <c r="N114" s="13">
        <f t="shared" si="6"/>
        <v>0.228195943</v>
      </c>
      <c r="O114" s="14">
        <f t="shared" si="7"/>
        <v>1.040651462</v>
      </c>
      <c r="P114" s="15"/>
      <c r="Q114" s="15"/>
      <c r="AD114" s="20"/>
    </row>
    <row r="115" ht="15.75" customHeight="1">
      <c r="A115" s="8">
        <v>21902.0</v>
      </c>
      <c r="B115" s="9" t="s">
        <v>129</v>
      </c>
      <c r="C115" s="8">
        <v>1472.0</v>
      </c>
      <c r="D115" s="8">
        <v>621.7777928113937</v>
      </c>
      <c r="E115" s="8">
        <v>2721.0</v>
      </c>
      <c r="F115" s="10">
        <f t="shared" si="1"/>
        <v>0.5409775818</v>
      </c>
      <c r="G115" s="10">
        <f t="shared" si="2"/>
        <v>0.4224033919</v>
      </c>
      <c r="H115" s="10">
        <f t="shared" si="3"/>
        <v>0.2285107655</v>
      </c>
      <c r="I115" s="8">
        <v>77.0</v>
      </c>
      <c r="J115" s="8">
        <v>32.888889849185944</v>
      </c>
      <c r="K115" s="8">
        <v>139.0</v>
      </c>
      <c r="L115" s="11">
        <f t="shared" si="4"/>
        <v>0.5539568345</v>
      </c>
      <c r="M115" s="12">
        <f t="shared" si="5"/>
        <v>0.4271284396</v>
      </c>
      <c r="N115" s="13">
        <f t="shared" si="6"/>
        <v>0.2366107183</v>
      </c>
      <c r="O115" s="14">
        <f t="shared" si="7"/>
        <v>1.035446701</v>
      </c>
      <c r="P115" s="15"/>
      <c r="Q115" s="15"/>
      <c r="AD115" s="20"/>
    </row>
    <row r="116" ht="15.75" customHeight="1">
      <c r="A116" s="8">
        <v>22001.0</v>
      </c>
      <c r="B116" s="9" t="s">
        <v>130</v>
      </c>
      <c r="C116" s="8">
        <v>19769.0</v>
      </c>
      <c r="D116" s="8">
        <v>8751.444662630558</v>
      </c>
      <c r="E116" s="8">
        <v>39061.0</v>
      </c>
      <c r="F116" s="10">
        <f t="shared" si="1"/>
        <v>0.5061058345</v>
      </c>
      <c r="G116" s="10">
        <f t="shared" si="2"/>
        <v>0.4426852477</v>
      </c>
      <c r="H116" s="10">
        <f t="shared" si="3"/>
        <v>0.2240455867</v>
      </c>
      <c r="I116" s="8">
        <v>3257.0</v>
      </c>
      <c r="J116" s="8">
        <v>1392.8889237344265</v>
      </c>
      <c r="K116" s="8">
        <v>10128.0</v>
      </c>
      <c r="L116" s="11">
        <f t="shared" si="4"/>
        <v>0.3215837283</v>
      </c>
      <c r="M116" s="12">
        <f t="shared" si="5"/>
        <v>0.4276600933</v>
      </c>
      <c r="N116" s="13">
        <f t="shared" si="6"/>
        <v>0.1375285272</v>
      </c>
      <c r="O116" s="14">
        <f t="shared" si="7"/>
        <v>0.6138417152</v>
      </c>
      <c r="P116" s="15"/>
      <c r="Q116" s="15"/>
      <c r="AD116" s="20"/>
    </row>
    <row r="117" ht="15.75" customHeight="1">
      <c r="A117" s="8">
        <v>22002.0</v>
      </c>
      <c r="B117" s="9" t="s">
        <v>131</v>
      </c>
      <c r="C117" s="8">
        <v>5713.0</v>
      </c>
      <c r="D117" s="8">
        <v>2707.0000698566437</v>
      </c>
      <c r="E117" s="8">
        <v>8983.0</v>
      </c>
      <c r="F117" s="10">
        <f t="shared" si="1"/>
        <v>0.6359790716</v>
      </c>
      <c r="G117" s="10">
        <f t="shared" si="2"/>
        <v>0.4738316243</v>
      </c>
      <c r="H117" s="10">
        <f t="shared" si="3"/>
        <v>0.3013469965</v>
      </c>
      <c r="I117" s="8">
        <v>1134.0</v>
      </c>
      <c r="J117" s="8">
        <v>517.1111237108707</v>
      </c>
      <c r="K117" s="8">
        <v>1898.0</v>
      </c>
      <c r="L117" s="11">
        <f t="shared" si="4"/>
        <v>0.5974710221</v>
      </c>
      <c r="M117" s="12">
        <f t="shared" si="5"/>
        <v>0.4560062819</v>
      </c>
      <c r="N117" s="13">
        <f t="shared" si="6"/>
        <v>0.2724505394</v>
      </c>
      <c r="O117" s="14">
        <f t="shared" si="7"/>
        <v>0.9041090255</v>
      </c>
      <c r="P117" s="15"/>
      <c r="Q117" s="15"/>
      <c r="AD117" s="20"/>
    </row>
    <row r="118" ht="15.75" customHeight="1">
      <c r="A118" s="8">
        <v>30101.0</v>
      </c>
      <c r="B118" s="9" t="s">
        <v>132</v>
      </c>
      <c r="C118" s="8">
        <v>96989.0</v>
      </c>
      <c r="D118" s="8">
        <v>39293.667650491</v>
      </c>
      <c r="E118" s="8">
        <v>278930.0</v>
      </c>
      <c r="F118" s="10">
        <f t="shared" si="1"/>
        <v>0.3477180655</v>
      </c>
      <c r="G118" s="10">
        <f t="shared" si="2"/>
        <v>0.4051353004</v>
      </c>
      <c r="H118" s="10">
        <f t="shared" si="3"/>
        <v>0.1408728629</v>
      </c>
      <c r="I118" s="8">
        <v>39338.0</v>
      </c>
      <c r="J118" s="8">
        <v>15136.333716869354</v>
      </c>
      <c r="K118" s="8">
        <v>342254.0</v>
      </c>
      <c r="L118" s="11">
        <f t="shared" si="4"/>
        <v>0.1149380285</v>
      </c>
      <c r="M118" s="12">
        <f t="shared" si="5"/>
        <v>0.3847763922</v>
      </c>
      <c r="N118" s="13">
        <f t="shared" si="6"/>
        <v>0.04422543993</v>
      </c>
      <c r="O118" s="14">
        <f t="shared" si="7"/>
        <v>0.313938675</v>
      </c>
      <c r="P118" s="15"/>
      <c r="Q118" s="15"/>
      <c r="AD118" s="20"/>
    </row>
    <row r="119" ht="15.75" customHeight="1">
      <c r="A119" s="8">
        <v>30201.0</v>
      </c>
      <c r="B119" s="9" t="s">
        <v>133</v>
      </c>
      <c r="C119" s="8">
        <v>10808.0</v>
      </c>
      <c r="D119" s="8">
        <v>5359.666811197996</v>
      </c>
      <c r="E119" s="8">
        <v>20457.0</v>
      </c>
      <c r="F119" s="10">
        <f t="shared" si="1"/>
        <v>0.5283277118</v>
      </c>
      <c r="G119" s="10">
        <f t="shared" si="2"/>
        <v>0.4958981135</v>
      </c>
      <c r="H119" s="10">
        <f t="shared" si="3"/>
        <v>0.2619967156</v>
      </c>
      <c r="I119" s="8">
        <v>423.0</v>
      </c>
      <c r="J119" s="8">
        <v>204.00000575184822</v>
      </c>
      <c r="K119" s="8">
        <v>2595.0</v>
      </c>
      <c r="L119" s="11">
        <f t="shared" si="4"/>
        <v>0.1630057803</v>
      </c>
      <c r="M119" s="12">
        <f t="shared" si="5"/>
        <v>0.4822695171</v>
      </c>
      <c r="N119" s="13">
        <f t="shared" si="6"/>
        <v>0.07861271898</v>
      </c>
      <c r="O119" s="14">
        <f t="shared" si="7"/>
        <v>0.3000523071</v>
      </c>
      <c r="P119" s="15"/>
      <c r="Q119" s="15"/>
      <c r="AD119" s="20"/>
    </row>
    <row r="120" ht="15.75" customHeight="1">
      <c r="A120" s="8">
        <v>30202.0</v>
      </c>
      <c r="B120" s="9" t="s">
        <v>134</v>
      </c>
      <c r="C120" s="8">
        <v>1309.0</v>
      </c>
      <c r="D120" s="8">
        <v>650.2222399413586</v>
      </c>
      <c r="E120" s="8">
        <v>1991.0</v>
      </c>
      <c r="F120" s="10">
        <f t="shared" si="1"/>
        <v>0.6574585635</v>
      </c>
      <c r="G120" s="10">
        <f t="shared" si="2"/>
        <v>0.4967320397</v>
      </c>
      <c r="H120" s="10">
        <f t="shared" si="3"/>
        <v>0.3265807333</v>
      </c>
      <c r="I120" s="8">
        <v>2228.0</v>
      </c>
      <c r="J120" s="8">
        <v>1004.1111369132996</v>
      </c>
      <c r="K120" s="8">
        <v>4803.0</v>
      </c>
      <c r="L120" s="11">
        <f t="shared" si="4"/>
        <v>0.4638767437</v>
      </c>
      <c r="M120" s="12">
        <f t="shared" si="5"/>
        <v>0.4506782482</v>
      </c>
      <c r="N120" s="13">
        <f t="shared" si="6"/>
        <v>0.2090591582</v>
      </c>
      <c r="O120" s="14">
        <f t="shared" si="7"/>
        <v>0.6401454125</v>
      </c>
      <c r="P120" s="15"/>
      <c r="Q120" s="15"/>
      <c r="AD120" s="20"/>
    </row>
    <row r="121" ht="15.75" customHeight="1">
      <c r="A121" s="8">
        <v>30203.0</v>
      </c>
      <c r="B121" s="9" t="s">
        <v>135</v>
      </c>
      <c r="C121" s="8">
        <v>2118.0</v>
      </c>
      <c r="D121" s="8">
        <v>1025.1111400425434</v>
      </c>
      <c r="E121" s="8">
        <v>5158.0</v>
      </c>
      <c r="F121" s="10">
        <f t="shared" si="1"/>
        <v>0.410624273</v>
      </c>
      <c r="G121" s="10">
        <f t="shared" si="2"/>
        <v>0.483999594</v>
      </c>
      <c r="H121" s="10">
        <f t="shared" si="3"/>
        <v>0.1987419814</v>
      </c>
      <c r="I121" s="8">
        <v>78.0</v>
      </c>
      <c r="J121" s="8">
        <v>32.88888955116272</v>
      </c>
      <c r="K121" s="8">
        <v>429.0</v>
      </c>
      <c r="L121" s="11">
        <f t="shared" si="4"/>
        <v>0.1818181818</v>
      </c>
      <c r="M121" s="12">
        <f t="shared" si="5"/>
        <v>0.4216524301</v>
      </c>
      <c r="N121" s="13">
        <f t="shared" si="6"/>
        <v>0.07666407821</v>
      </c>
      <c r="O121" s="14">
        <f t="shared" si="7"/>
        <v>0.3857467741</v>
      </c>
      <c r="P121" s="15"/>
      <c r="Q121" s="15"/>
      <c r="AD121" s="20"/>
    </row>
    <row r="122" ht="15.75" customHeight="1">
      <c r="A122" s="8">
        <v>30301.0</v>
      </c>
      <c r="B122" s="9" t="s">
        <v>136</v>
      </c>
      <c r="C122" s="8">
        <v>15935.0</v>
      </c>
      <c r="D122" s="8">
        <v>7941.000213474035</v>
      </c>
      <c r="E122" s="8">
        <v>22576.0</v>
      </c>
      <c r="F122" s="10">
        <f t="shared" si="1"/>
        <v>0.7058380581</v>
      </c>
      <c r="G122" s="10">
        <f t="shared" si="2"/>
        <v>0.4983370074</v>
      </c>
      <c r="H122" s="10">
        <f t="shared" si="3"/>
        <v>0.3517452256</v>
      </c>
      <c r="I122" s="8">
        <v>265.0</v>
      </c>
      <c r="J122" s="8">
        <v>109.2222250699997</v>
      </c>
      <c r="K122" s="8">
        <v>816.0</v>
      </c>
      <c r="L122" s="11">
        <f t="shared" si="4"/>
        <v>0.324754902</v>
      </c>
      <c r="M122" s="12">
        <f t="shared" si="5"/>
        <v>0.4121593399</v>
      </c>
      <c r="N122" s="13">
        <f t="shared" si="6"/>
        <v>0.133850766</v>
      </c>
      <c r="O122" s="14">
        <f t="shared" si="7"/>
        <v>0.3805332845</v>
      </c>
      <c r="P122" s="15"/>
      <c r="Q122" s="15"/>
      <c r="AD122" s="20"/>
    </row>
    <row r="123" ht="15.75" customHeight="1">
      <c r="A123" s="8">
        <v>30302.0</v>
      </c>
      <c r="B123" s="9" t="s">
        <v>137</v>
      </c>
      <c r="C123" s="8">
        <v>9250.0</v>
      </c>
      <c r="D123" s="8">
        <v>4785.777905166149</v>
      </c>
      <c r="E123" s="8">
        <v>12328.0</v>
      </c>
      <c r="F123" s="10">
        <f t="shared" si="1"/>
        <v>0.7503244646</v>
      </c>
      <c r="G123" s="10">
        <f t="shared" si="2"/>
        <v>0.5173813952</v>
      </c>
      <c r="H123" s="10">
        <f t="shared" si="3"/>
        <v>0.3882039183</v>
      </c>
      <c r="I123" s="8">
        <v>256.0</v>
      </c>
      <c r="J123" s="8">
        <v>119.44444757699966</v>
      </c>
      <c r="K123" s="8">
        <v>393.0</v>
      </c>
      <c r="L123" s="11">
        <f t="shared" si="4"/>
        <v>0.6513994911</v>
      </c>
      <c r="M123" s="12">
        <f t="shared" si="5"/>
        <v>0.4665798733</v>
      </c>
      <c r="N123" s="13">
        <f t="shared" si="6"/>
        <v>0.3039298921</v>
      </c>
      <c r="O123" s="14">
        <f t="shared" si="7"/>
        <v>0.7829129942</v>
      </c>
      <c r="P123" s="15"/>
      <c r="Q123" s="15"/>
      <c r="AD123" s="20"/>
    </row>
    <row r="124" ht="15.75" customHeight="1">
      <c r="A124" s="8">
        <v>30303.0</v>
      </c>
      <c r="B124" s="9" t="s">
        <v>138</v>
      </c>
      <c r="C124" s="8">
        <v>14494.0</v>
      </c>
      <c r="D124" s="8">
        <v>7321.444641560316</v>
      </c>
      <c r="E124" s="8">
        <v>17253.0</v>
      </c>
      <c r="F124" s="10">
        <f t="shared" si="1"/>
        <v>0.8400857822</v>
      </c>
      <c r="G124" s="10">
        <f t="shared" si="2"/>
        <v>0.5051362386</v>
      </c>
      <c r="H124" s="10">
        <f t="shared" si="3"/>
        <v>0.4243577721</v>
      </c>
      <c r="I124" s="8">
        <v>243.0</v>
      </c>
      <c r="J124" s="8">
        <v>115.22222569584846</v>
      </c>
      <c r="K124" s="8">
        <v>303.0</v>
      </c>
      <c r="L124" s="11">
        <f t="shared" si="4"/>
        <v>0.801980198</v>
      </c>
      <c r="M124" s="12">
        <f t="shared" si="5"/>
        <v>0.4741655378</v>
      </c>
      <c r="N124" s="13">
        <f t="shared" si="6"/>
        <v>0.3802713719</v>
      </c>
      <c r="O124" s="14">
        <f t="shared" si="7"/>
        <v>0.8961103035</v>
      </c>
      <c r="P124" s="15"/>
      <c r="Q124" s="15"/>
      <c r="AD124" s="20"/>
    </row>
    <row r="125" ht="15.75" customHeight="1">
      <c r="A125" s="8">
        <v>30401.0</v>
      </c>
      <c r="B125" s="9" t="s">
        <v>139</v>
      </c>
      <c r="C125" s="8">
        <v>2794.0</v>
      </c>
      <c r="D125" s="8">
        <v>1313.5555914342403</v>
      </c>
      <c r="E125" s="8">
        <v>6363.0</v>
      </c>
      <c r="F125" s="10">
        <f t="shared" si="1"/>
        <v>0.439101053</v>
      </c>
      <c r="G125" s="10">
        <f t="shared" si="2"/>
        <v>0.4701344279</v>
      </c>
      <c r="H125" s="10">
        <f t="shared" si="3"/>
        <v>0.2064365223</v>
      </c>
      <c r="I125" s="8">
        <v>155.0</v>
      </c>
      <c r="J125" s="8">
        <v>65.66666796803474</v>
      </c>
      <c r="K125" s="8">
        <v>1449.0</v>
      </c>
      <c r="L125" s="11">
        <f t="shared" si="4"/>
        <v>0.1069703244</v>
      </c>
      <c r="M125" s="12">
        <f t="shared" si="5"/>
        <v>0.4236559224</v>
      </c>
      <c r="N125" s="13">
        <f t="shared" si="6"/>
        <v>0.04531861143</v>
      </c>
      <c r="O125" s="14">
        <f t="shared" si="7"/>
        <v>0.2195280706</v>
      </c>
      <c r="P125" s="15"/>
      <c r="Q125" s="15"/>
      <c r="AD125" s="20"/>
    </row>
    <row r="126" ht="15.75" customHeight="1">
      <c r="A126" s="8">
        <v>30402.0</v>
      </c>
      <c r="B126" s="9" t="s">
        <v>140</v>
      </c>
      <c r="C126" s="8">
        <v>4925.0</v>
      </c>
      <c r="D126" s="8">
        <v>2418.3333997130394</v>
      </c>
      <c r="E126" s="8">
        <v>6836.0</v>
      </c>
      <c r="F126" s="10">
        <f t="shared" si="1"/>
        <v>0.7204505559</v>
      </c>
      <c r="G126" s="10">
        <f t="shared" si="2"/>
        <v>0.4910321624</v>
      </c>
      <c r="H126" s="10">
        <f t="shared" si="3"/>
        <v>0.3537643943</v>
      </c>
      <c r="I126" s="8">
        <v>116.0</v>
      </c>
      <c r="J126" s="8">
        <v>51.11111259460449</v>
      </c>
      <c r="K126" s="8">
        <v>325.0</v>
      </c>
      <c r="L126" s="11">
        <f t="shared" si="4"/>
        <v>0.3569230769</v>
      </c>
      <c r="M126" s="12">
        <f t="shared" si="5"/>
        <v>0.4406130396</v>
      </c>
      <c r="N126" s="13">
        <f t="shared" si="6"/>
        <v>0.1572649618</v>
      </c>
      <c r="O126" s="14">
        <f t="shared" si="7"/>
        <v>0.4445471742</v>
      </c>
      <c r="P126" s="15"/>
      <c r="Q126" s="15"/>
      <c r="AD126" s="20"/>
    </row>
    <row r="127" ht="15.75" customHeight="1">
      <c r="A127" s="8">
        <v>30403.0</v>
      </c>
      <c r="B127" s="9" t="s">
        <v>141</v>
      </c>
      <c r="C127" s="8">
        <v>5902.0</v>
      </c>
      <c r="D127" s="8">
        <v>2644.5556252896786</v>
      </c>
      <c r="E127" s="8">
        <v>14387.0</v>
      </c>
      <c r="F127" s="10">
        <f t="shared" si="1"/>
        <v>0.410231459</v>
      </c>
      <c r="G127" s="10">
        <f t="shared" si="2"/>
        <v>0.4480778762</v>
      </c>
      <c r="H127" s="10">
        <f t="shared" si="3"/>
        <v>0.1838156409</v>
      </c>
      <c r="I127" s="8">
        <v>915.0</v>
      </c>
      <c r="J127" s="8">
        <v>379.888897895813</v>
      </c>
      <c r="K127" s="8">
        <v>2756.0</v>
      </c>
      <c r="L127" s="11">
        <f t="shared" si="4"/>
        <v>0.3320029028</v>
      </c>
      <c r="M127" s="12">
        <f t="shared" si="5"/>
        <v>0.4151791234</v>
      </c>
      <c r="N127" s="13">
        <f t="shared" si="6"/>
        <v>0.1378406741</v>
      </c>
      <c r="O127" s="14">
        <f t="shared" si="7"/>
        <v>0.7498854476</v>
      </c>
      <c r="P127" s="15"/>
      <c r="Q127" s="15"/>
      <c r="AD127" s="20"/>
    </row>
    <row r="128" ht="15.75" customHeight="1">
      <c r="A128" s="8">
        <v>30404.0</v>
      </c>
      <c r="B128" s="9" t="s">
        <v>142</v>
      </c>
      <c r="C128" s="8">
        <v>2547.0</v>
      </c>
      <c r="D128" s="8">
        <v>1197.1111423373222</v>
      </c>
      <c r="E128" s="8">
        <v>4069.0</v>
      </c>
      <c r="F128" s="10">
        <f t="shared" si="1"/>
        <v>0.6259523224</v>
      </c>
      <c r="G128" s="10">
        <f t="shared" si="2"/>
        <v>0.4700083009</v>
      </c>
      <c r="H128" s="10">
        <f t="shared" si="3"/>
        <v>0.2942027875</v>
      </c>
      <c r="I128" s="8">
        <v>157.0</v>
      </c>
      <c r="J128" s="8">
        <v>68.77777910232544</v>
      </c>
      <c r="K128" s="8">
        <v>254.0</v>
      </c>
      <c r="L128" s="11">
        <f t="shared" si="4"/>
        <v>0.6181102362</v>
      </c>
      <c r="M128" s="12">
        <f t="shared" si="5"/>
        <v>0.4380750261</v>
      </c>
      <c r="N128" s="13">
        <f t="shared" si="6"/>
        <v>0.2707786579</v>
      </c>
      <c r="O128" s="14">
        <f t="shared" si="7"/>
        <v>0.9203810072</v>
      </c>
      <c r="P128" s="15"/>
      <c r="Q128" s="15"/>
      <c r="AD128" s="20"/>
    </row>
    <row r="129" ht="15.75" customHeight="1">
      <c r="A129" s="8">
        <v>30501.0</v>
      </c>
      <c r="B129" s="9" t="s">
        <v>143</v>
      </c>
      <c r="C129" s="8">
        <v>2564.0</v>
      </c>
      <c r="D129" s="8">
        <v>1122.1111408174038</v>
      </c>
      <c r="E129" s="8">
        <v>8550.0</v>
      </c>
      <c r="F129" s="10">
        <f t="shared" si="1"/>
        <v>0.2998830409</v>
      </c>
      <c r="G129" s="10">
        <f t="shared" si="2"/>
        <v>0.4376408506</v>
      </c>
      <c r="H129" s="10">
        <f t="shared" si="3"/>
        <v>0.1312410691</v>
      </c>
      <c r="I129" s="8">
        <v>70.0</v>
      </c>
      <c r="J129" s="8">
        <v>26.33333396911621</v>
      </c>
      <c r="K129" s="8">
        <v>854.0</v>
      </c>
      <c r="L129" s="11">
        <f t="shared" si="4"/>
        <v>0.08196721311</v>
      </c>
      <c r="M129" s="12">
        <f t="shared" si="5"/>
        <v>0.3761904853</v>
      </c>
      <c r="N129" s="13">
        <f t="shared" si="6"/>
        <v>0.03083528568</v>
      </c>
      <c r="O129" s="14">
        <f t="shared" si="7"/>
        <v>0.2349514972</v>
      </c>
      <c r="P129" s="15"/>
      <c r="Q129" s="15"/>
      <c r="AD129" s="20"/>
    </row>
    <row r="130" ht="15.75" customHeight="1">
      <c r="A130" s="8">
        <v>30502.0</v>
      </c>
      <c r="B130" s="9" t="s">
        <v>144</v>
      </c>
      <c r="C130" s="8">
        <v>4624.0</v>
      </c>
      <c r="D130" s="8">
        <v>2057.3333869874477</v>
      </c>
      <c r="E130" s="8">
        <v>8635.0</v>
      </c>
      <c r="F130" s="10">
        <f t="shared" si="1"/>
        <v>0.5354950782</v>
      </c>
      <c r="G130" s="10">
        <f t="shared" si="2"/>
        <v>0.4449250404</v>
      </c>
      <c r="H130" s="10">
        <f t="shared" si="3"/>
        <v>0.2382551693</v>
      </c>
      <c r="I130" s="8">
        <v>117.0</v>
      </c>
      <c r="J130" s="8">
        <v>51.22222355008125</v>
      </c>
      <c r="K130" s="8">
        <v>272.0</v>
      </c>
      <c r="L130" s="11">
        <f t="shared" si="4"/>
        <v>0.4301470588</v>
      </c>
      <c r="M130" s="12">
        <f t="shared" si="5"/>
        <v>0.4377967825</v>
      </c>
      <c r="N130" s="13">
        <f t="shared" si="6"/>
        <v>0.1883169983</v>
      </c>
      <c r="O130" s="14">
        <f t="shared" si="7"/>
        <v>0.7904004723</v>
      </c>
      <c r="P130" s="15"/>
      <c r="Q130" s="15"/>
      <c r="AD130" s="20"/>
    </row>
    <row r="131" ht="15.75" customHeight="1">
      <c r="A131" s="8">
        <v>30601.0</v>
      </c>
      <c r="B131" s="9" t="s">
        <v>145</v>
      </c>
      <c r="C131" s="8">
        <v>8380.0</v>
      </c>
      <c r="D131" s="8">
        <v>4312.444562137127</v>
      </c>
      <c r="E131" s="8">
        <v>10314.0</v>
      </c>
      <c r="F131" s="10">
        <f t="shared" si="1"/>
        <v>0.8124878806</v>
      </c>
      <c r="G131" s="10">
        <f t="shared" si="2"/>
        <v>0.5146115229</v>
      </c>
      <c r="H131" s="10">
        <f t="shared" si="3"/>
        <v>0.4181156256</v>
      </c>
      <c r="I131" s="8">
        <v>84.0</v>
      </c>
      <c r="J131" s="8">
        <v>33.88888990879059</v>
      </c>
      <c r="K131" s="8">
        <v>172.0</v>
      </c>
      <c r="L131" s="11">
        <f t="shared" si="4"/>
        <v>0.488372093</v>
      </c>
      <c r="M131" s="12">
        <f t="shared" si="5"/>
        <v>0.4034391656</v>
      </c>
      <c r="N131" s="13">
        <f t="shared" si="6"/>
        <v>0.1970284297</v>
      </c>
      <c r="O131" s="14">
        <f t="shared" si="7"/>
        <v>0.4712295299</v>
      </c>
      <c r="P131" s="15"/>
      <c r="Q131" s="15"/>
      <c r="AD131" s="20"/>
    </row>
    <row r="132" ht="15.75" customHeight="1">
      <c r="A132" s="8">
        <v>30602.0</v>
      </c>
      <c r="B132" s="9" t="s">
        <v>146</v>
      </c>
      <c r="C132" s="8">
        <v>6975.0</v>
      </c>
      <c r="D132" s="8">
        <v>3123.555635601282</v>
      </c>
      <c r="E132" s="8">
        <v>9858.0</v>
      </c>
      <c r="F132" s="10">
        <f t="shared" si="1"/>
        <v>0.7075471698</v>
      </c>
      <c r="G132" s="10">
        <f t="shared" si="2"/>
        <v>0.4478215965</v>
      </c>
      <c r="H132" s="10">
        <f t="shared" si="3"/>
        <v>0.3168549032</v>
      </c>
      <c r="I132" s="8">
        <v>130.0</v>
      </c>
      <c r="J132" s="8">
        <v>50.00000116229057</v>
      </c>
      <c r="K132" s="8">
        <v>253.0</v>
      </c>
      <c r="L132" s="11">
        <f t="shared" si="4"/>
        <v>0.5138339921</v>
      </c>
      <c r="M132" s="12">
        <f t="shared" si="5"/>
        <v>0.3846153936</v>
      </c>
      <c r="N132" s="13">
        <f t="shared" si="6"/>
        <v>0.1976284631</v>
      </c>
      <c r="O132" s="14">
        <f t="shared" si="7"/>
        <v>0.6237191254</v>
      </c>
      <c r="P132" s="15"/>
      <c r="Q132" s="15"/>
      <c r="AD132" s="20"/>
    </row>
    <row r="133" ht="15.75" customHeight="1">
      <c r="A133" s="8">
        <v>30701.0</v>
      </c>
      <c r="B133" s="9" t="s">
        <v>147</v>
      </c>
      <c r="C133" s="8">
        <v>6110.0</v>
      </c>
      <c r="D133" s="8">
        <v>2788.6667372584343</v>
      </c>
      <c r="E133" s="8">
        <v>16266.0</v>
      </c>
      <c r="F133" s="10">
        <f t="shared" si="1"/>
        <v>0.3756301488</v>
      </c>
      <c r="G133" s="10">
        <f t="shared" si="2"/>
        <v>0.456410268</v>
      </c>
      <c r="H133" s="10">
        <f t="shared" si="3"/>
        <v>0.1714414569</v>
      </c>
      <c r="I133" s="8">
        <v>481.0</v>
      </c>
      <c r="J133" s="8">
        <v>201.55556041002274</v>
      </c>
      <c r="K133" s="8">
        <v>2915.0</v>
      </c>
      <c r="L133" s="11">
        <f t="shared" si="4"/>
        <v>0.1650085763</v>
      </c>
      <c r="M133" s="12">
        <f t="shared" si="5"/>
        <v>0.4190344291</v>
      </c>
      <c r="N133" s="13">
        <f t="shared" si="6"/>
        <v>0.06914427458</v>
      </c>
      <c r="O133" s="14">
        <f t="shared" si="7"/>
        <v>0.4033112868</v>
      </c>
      <c r="P133" s="15"/>
      <c r="Q133" s="15"/>
      <c r="AD133" s="20"/>
    </row>
    <row r="134" ht="15.75" customHeight="1">
      <c r="A134" s="8">
        <v>30702.0</v>
      </c>
      <c r="B134" s="9" t="s">
        <v>148</v>
      </c>
      <c r="C134" s="8">
        <v>2022.0</v>
      </c>
      <c r="D134" s="8">
        <v>890.4444668889046</v>
      </c>
      <c r="E134" s="8">
        <v>5806.0</v>
      </c>
      <c r="F134" s="10">
        <f t="shared" si="1"/>
        <v>0.3482604203</v>
      </c>
      <c r="G134" s="10">
        <f t="shared" si="2"/>
        <v>0.4403780746</v>
      </c>
      <c r="H134" s="10">
        <f t="shared" si="3"/>
        <v>0.1533662533</v>
      </c>
      <c r="I134" s="8">
        <v>88.0</v>
      </c>
      <c r="J134" s="8">
        <v>36.444445580244064</v>
      </c>
      <c r="K134" s="8">
        <v>562.0</v>
      </c>
      <c r="L134" s="11">
        <f t="shared" si="4"/>
        <v>0.1565836299</v>
      </c>
      <c r="M134" s="12">
        <f t="shared" si="5"/>
        <v>0.414141427</v>
      </c>
      <c r="N134" s="13">
        <f t="shared" si="6"/>
        <v>0.06484776794</v>
      </c>
      <c r="O134" s="14">
        <f t="shared" si="7"/>
        <v>0.422829446</v>
      </c>
      <c r="P134" s="15"/>
      <c r="Q134" s="15"/>
      <c r="AD134" s="20"/>
    </row>
    <row r="135" ht="15.75" customHeight="1">
      <c r="A135" s="8">
        <v>30703.0</v>
      </c>
      <c r="B135" s="9" t="s">
        <v>149</v>
      </c>
      <c r="C135" s="8">
        <v>2102.0</v>
      </c>
      <c r="D135" s="8">
        <v>996.4444718360901</v>
      </c>
      <c r="E135" s="8">
        <v>3633.0</v>
      </c>
      <c r="F135" s="10">
        <f t="shared" si="1"/>
        <v>0.5785851913</v>
      </c>
      <c r="G135" s="10">
        <f t="shared" si="2"/>
        <v>0.4740458953</v>
      </c>
      <c r="H135" s="10">
        <f t="shared" si="3"/>
        <v>0.274275935</v>
      </c>
      <c r="I135" s="8">
        <v>34.0</v>
      </c>
      <c r="J135" s="8">
        <v>13.7777781188488</v>
      </c>
      <c r="K135" s="8">
        <v>84.0</v>
      </c>
      <c r="L135" s="11">
        <f t="shared" si="4"/>
        <v>0.4047619048</v>
      </c>
      <c r="M135" s="12">
        <f t="shared" si="5"/>
        <v>0.4052287682</v>
      </c>
      <c r="N135" s="13">
        <f t="shared" si="6"/>
        <v>0.1640211681</v>
      </c>
      <c r="O135" s="14">
        <f t="shared" si="7"/>
        <v>0.5980151634</v>
      </c>
      <c r="P135" s="15"/>
      <c r="Q135" s="15"/>
      <c r="AD135" s="20"/>
    </row>
    <row r="136" ht="15.75" customHeight="1">
      <c r="A136" s="8">
        <v>30801.0</v>
      </c>
      <c r="B136" s="9" t="s">
        <v>150</v>
      </c>
      <c r="C136" s="8">
        <v>2935.0</v>
      </c>
      <c r="D136" s="8">
        <v>1108.0000285804272</v>
      </c>
      <c r="E136" s="8">
        <v>18749.0</v>
      </c>
      <c r="F136" s="10">
        <f t="shared" si="1"/>
        <v>0.1565416822</v>
      </c>
      <c r="G136" s="10">
        <f t="shared" si="2"/>
        <v>0.3775127866</v>
      </c>
      <c r="H136" s="10">
        <f t="shared" si="3"/>
        <v>0.05909648667</v>
      </c>
      <c r="I136" s="8">
        <v>426.0</v>
      </c>
      <c r="J136" s="8">
        <v>172.88889294862747</v>
      </c>
      <c r="K136" s="8">
        <v>3019.0</v>
      </c>
      <c r="L136" s="11">
        <f t="shared" si="4"/>
        <v>0.1411063266</v>
      </c>
      <c r="M136" s="12">
        <f t="shared" si="5"/>
        <v>0.4058424717</v>
      </c>
      <c r="N136" s="13">
        <f t="shared" si="6"/>
        <v>0.05726694036</v>
      </c>
      <c r="O136" s="14">
        <f t="shared" si="7"/>
        <v>0.9690413692</v>
      </c>
      <c r="P136" s="15"/>
      <c r="Q136" s="15"/>
      <c r="AD136" s="20"/>
    </row>
    <row r="137" ht="15.75" customHeight="1">
      <c r="A137" s="8">
        <v>30802.0</v>
      </c>
      <c r="B137" s="9" t="s">
        <v>151</v>
      </c>
      <c r="C137" s="8">
        <v>1946.0</v>
      </c>
      <c r="D137" s="8">
        <v>807.3333535194397</v>
      </c>
      <c r="E137" s="8">
        <v>6796.0</v>
      </c>
      <c r="F137" s="10">
        <f t="shared" si="1"/>
        <v>0.2863449088</v>
      </c>
      <c r="G137" s="10">
        <f t="shared" si="2"/>
        <v>0.4148681159</v>
      </c>
      <c r="H137" s="10">
        <f t="shared" si="3"/>
        <v>0.1187953728</v>
      </c>
      <c r="I137" s="8">
        <v>41.0</v>
      </c>
      <c r="J137" s="8">
        <v>15.444444864988327</v>
      </c>
      <c r="K137" s="8">
        <v>238.0</v>
      </c>
      <c r="L137" s="11">
        <f t="shared" si="4"/>
        <v>0.1722689076</v>
      </c>
      <c r="M137" s="12">
        <f t="shared" si="5"/>
        <v>0.3766937772</v>
      </c>
      <c r="N137" s="13">
        <f t="shared" si="6"/>
        <v>0.06489262548</v>
      </c>
      <c r="O137" s="14">
        <f t="shared" si="7"/>
        <v>0.5462554976</v>
      </c>
      <c r="P137" s="15"/>
      <c r="Q137" s="15"/>
      <c r="AD137" s="20"/>
    </row>
    <row r="138" ht="15.75" customHeight="1">
      <c r="A138" s="8">
        <v>30803.0</v>
      </c>
      <c r="B138" s="9" t="s">
        <v>152</v>
      </c>
      <c r="C138" s="8">
        <v>1035.0</v>
      </c>
      <c r="D138" s="8">
        <v>412.00001016259193</v>
      </c>
      <c r="E138" s="8">
        <v>3953.0</v>
      </c>
      <c r="F138" s="10">
        <f t="shared" si="1"/>
        <v>0.2618264609</v>
      </c>
      <c r="G138" s="10">
        <f t="shared" si="2"/>
        <v>0.3980676427</v>
      </c>
      <c r="H138" s="10">
        <f t="shared" si="3"/>
        <v>0.1042246421</v>
      </c>
      <c r="I138" s="8">
        <v>192.0</v>
      </c>
      <c r="J138" s="8">
        <v>68.66666841506958</v>
      </c>
      <c r="K138" s="8">
        <v>1177.0</v>
      </c>
      <c r="L138" s="11">
        <f t="shared" si="4"/>
        <v>0.163126593</v>
      </c>
      <c r="M138" s="12">
        <f t="shared" si="5"/>
        <v>0.357638898</v>
      </c>
      <c r="N138" s="13">
        <f t="shared" si="6"/>
        <v>0.05834041497</v>
      </c>
      <c r="O138" s="14">
        <f t="shared" si="7"/>
        <v>0.5597564434</v>
      </c>
      <c r="P138" s="15"/>
      <c r="Q138" s="15"/>
      <c r="AD138" s="20"/>
    </row>
    <row r="139" ht="15.75" customHeight="1">
      <c r="A139" s="8">
        <v>30901.0</v>
      </c>
      <c r="B139" s="9" t="s">
        <v>153</v>
      </c>
      <c r="C139" s="8">
        <v>15745.0</v>
      </c>
      <c r="D139" s="8">
        <v>6427.777943730354</v>
      </c>
      <c r="E139" s="8">
        <v>76611.0</v>
      </c>
      <c r="F139" s="10">
        <f t="shared" si="1"/>
        <v>0.2055187897</v>
      </c>
      <c r="G139" s="10">
        <f t="shared" si="2"/>
        <v>0.4082424861</v>
      </c>
      <c r="H139" s="10">
        <f t="shared" si="3"/>
        <v>0.08390150166</v>
      </c>
      <c r="I139" s="8">
        <v>5944.0</v>
      </c>
      <c r="J139" s="8">
        <v>2217.3333900272846</v>
      </c>
      <c r="K139" s="8">
        <v>58248.0</v>
      </c>
      <c r="L139" s="11">
        <f t="shared" si="4"/>
        <v>0.1020464222</v>
      </c>
      <c r="M139" s="12">
        <f t="shared" si="5"/>
        <v>0.373037246</v>
      </c>
      <c r="N139" s="13">
        <f t="shared" si="6"/>
        <v>0.0380671163</v>
      </c>
      <c r="O139" s="14">
        <f t="shared" si="7"/>
        <v>0.4537119782</v>
      </c>
      <c r="P139" s="15"/>
      <c r="Q139" s="15"/>
      <c r="AD139" s="20"/>
    </row>
    <row r="140" ht="15.75" customHeight="1">
      <c r="A140" s="8">
        <v>30902.0</v>
      </c>
      <c r="B140" s="9" t="s">
        <v>154</v>
      </c>
      <c r="C140" s="8">
        <v>9876.0</v>
      </c>
      <c r="D140" s="8">
        <v>4499.111227750778</v>
      </c>
      <c r="E140" s="8">
        <v>32092.0</v>
      </c>
      <c r="F140" s="10">
        <f t="shared" si="1"/>
        <v>0.3077402468</v>
      </c>
      <c r="G140" s="10">
        <f t="shared" si="2"/>
        <v>0.4555600676</v>
      </c>
      <c r="H140" s="10">
        <f t="shared" si="3"/>
        <v>0.1401941676</v>
      </c>
      <c r="I140" s="8">
        <v>1189.0</v>
      </c>
      <c r="J140" s="8">
        <v>462.6666785776615</v>
      </c>
      <c r="K140" s="8">
        <v>8837.0</v>
      </c>
      <c r="L140" s="11">
        <f t="shared" si="4"/>
        <v>0.1345479235</v>
      </c>
      <c r="M140" s="12">
        <f t="shared" si="5"/>
        <v>0.3891225219</v>
      </c>
      <c r="N140" s="13">
        <f t="shared" si="6"/>
        <v>0.05235562731</v>
      </c>
      <c r="O140" s="14">
        <f t="shared" si="7"/>
        <v>0.3734508232</v>
      </c>
      <c r="P140" s="15"/>
      <c r="Q140" s="15"/>
      <c r="AD140" s="20"/>
    </row>
    <row r="141" ht="15.75" customHeight="1">
      <c r="A141" s="8">
        <v>30903.0</v>
      </c>
      <c r="B141" s="9" t="s">
        <v>155</v>
      </c>
      <c r="C141" s="8">
        <v>9224.0</v>
      </c>
      <c r="D141" s="8">
        <v>3874.777878433466</v>
      </c>
      <c r="E141" s="8">
        <v>29562.0</v>
      </c>
      <c r="F141" s="10">
        <f t="shared" si="1"/>
        <v>0.3120221907</v>
      </c>
      <c r="G141" s="10">
        <f t="shared" si="2"/>
        <v>0.420075659</v>
      </c>
      <c r="H141" s="10">
        <f t="shared" si="3"/>
        <v>0.1310729274</v>
      </c>
      <c r="I141" s="8">
        <v>3684.0</v>
      </c>
      <c r="J141" s="8">
        <v>1388.4444797039032</v>
      </c>
      <c r="K141" s="8">
        <v>23258.0</v>
      </c>
      <c r="L141" s="11">
        <f t="shared" si="4"/>
        <v>0.1583971107</v>
      </c>
      <c r="M141" s="12">
        <f t="shared" si="5"/>
        <v>0.3768850379</v>
      </c>
      <c r="N141" s="13">
        <f t="shared" si="6"/>
        <v>0.05969750106</v>
      </c>
      <c r="O141" s="14">
        <f t="shared" si="7"/>
        <v>0.4554525657</v>
      </c>
      <c r="P141" s="15"/>
      <c r="Q141" s="15"/>
      <c r="AD141" s="20"/>
    </row>
    <row r="142" ht="15.75" customHeight="1">
      <c r="A142" s="8">
        <v>30904.0</v>
      </c>
      <c r="B142" s="9" t="s">
        <v>156</v>
      </c>
      <c r="C142" s="8">
        <v>11462.0</v>
      </c>
      <c r="D142" s="8">
        <v>4716.555675238371</v>
      </c>
      <c r="E142" s="8">
        <v>36735.0</v>
      </c>
      <c r="F142" s="10">
        <f t="shared" si="1"/>
        <v>0.312018511</v>
      </c>
      <c r="G142" s="10">
        <f t="shared" si="2"/>
        <v>0.4114949987</v>
      </c>
      <c r="H142" s="10">
        <f t="shared" si="3"/>
        <v>0.1283940568</v>
      </c>
      <c r="I142" s="8">
        <v>2300.0</v>
      </c>
      <c r="J142" s="8">
        <v>896.1111335158348</v>
      </c>
      <c r="K142" s="8">
        <v>14669.0</v>
      </c>
      <c r="L142" s="11">
        <f t="shared" si="4"/>
        <v>0.1567932374</v>
      </c>
      <c r="M142" s="12">
        <f t="shared" si="5"/>
        <v>0.3896135363</v>
      </c>
      <c r="N142" s="13">
        <f t="shared" si="6"/>
        <v>0.06108876771</v>
      </c>
      <c r="O142" s="14">
        <f t="shared" si="7"/>
        <v>0.4757912418</v>
      </c>
      <c r="P142" s="15"/>
      <c r="Q142" s="15"/>
      <c r="AD142" s="20"/>
    </row>
    <row r="143" ht="15.75" customHeight="1">
      <c r="A143" s="8">
        <v>30905.0</v>
      </c>
      <c r="B143" s="9" t="s">
        <v>157</v>
      </c>
      <c r="C143" s="8">
        <v>3120.0</v>
      </c>
      <c r="D143" s="8">
        <v>1175.555584460497</v>
      </c>
      <c r="E143" s="8">
        <v>23376.0</v>
      </c>
      <c r="F143" s="10">
        <f t="shared" si="1"/>
        <v>0.1334702259</v>
      </c>
      <c r="G143" s="10">
        <f t="shared" si="2"/>
        <v>0.376780636</v>
      </c>
      <c r="H143" s="10">
        <f t="shared" si="3"/>
        <v>0.0502889966</v>
      </c>
      <c r="I143" s="8">
        <v>2258.0</v>
      </c>
      <c r="J143" s="8">
        <v>826.666687130928</v>
      </c>
      <c r="K143" s="8">
        <v>27943.0</v>
      </c>
      <c r="L143" s="11">
        <f t="shared" si="4"/>
        <v>0.08080735784</v>
      </c>
      <c r="M143" s="12">
        <f t="shared" si="5"/>
        <v>0.3661057073</v>
      </c>
      <c r="N143" s="13">
        <f t="shared" si="6"/>
        <v>0.0295840349</v>
      </c>
      <c r="O143" s="14">
        <f t="shared" si="7"/>
        <v>0.5882804768</v>
      </c>
      <c r="P143" s="15"/>
      <c r="Q143" s="15"/>
      <c r="AD143" s="20"/>
    </row>
    <row r="144" ht="15.75" customHeight="1">
      <c r="A144" s="8">
        <v>31001.0</v>
      </c>
      <c r="B144" s="9" t="s">
        <v>158</v>
      </c>
      <c r="C144" s="8">
        <v>31522.0</v>
      </c>
      <c r="D144" s="8">
        <v>13050.667000710964</v>
      </c>
      <c r="E144" s="8">
        <v>103444.0</v>
      </c>
      <c r="F144" s="10">
        <f t="shared" si="1"/>
        <v>0.304725262</v>
      </c>
      <c r="G144" s="10">
        <f t="shared" si="2"/>
        <v>0.4140177337</v>
      </c>
      <c r="H144" s="10">
        <f t="shared" si="3"/>
        <v>0.1261616624</v>
      </c>
      <c r="I144" s="8">
        <v>8200.0</v>
      </c>
      <c r="J144" s="8">
        <v>3166.555634856224</v>
      </c>
      <c r="K144" s="8">
        <v>66292.0</v>
      </c>
      <c r="L144" s="11">
        <f t="shared" si="4"/>
        <v>0.1236951668</v>
      </c>
      <c r="M144" s="12">
        <f t="shared" si="5"/>
        <v>0.3861653213</v>
      </c>
      <c r="N144" s="13">
        <f t="shared" si="6"/>
        <v>0.04776678385</v>
      </c>
      <c r="O144" s="14">
        <f t="shared" si="7"/>
        <v>0.3786156821</v>
      </c>
      <c r="P144" s="15"/>
      <c r="Q144" s="15"/>
      <c r="AD144" s="20"/>
    </row>
    <row r="145" ht="15.75" customHeight="1">
      <c r="A145" s="8">
        <v>31002.0</v>
      </c>
      <c r="B145" s="9" t="s">
        <v>159</v>
      </c>
      <c r="C145" s="8">
        <v>7505.0</v>
      </c>
      <c r="D145" s="8">
        <v>3409.1111972033978</v>
      </c>
      <c r="E145" s="8">
        <v>17573.0</v>
      </c>
      <c r="F145" s="10">
        <f t="shared" si="1"/>
        <v>0.4270756274</v>
      </c>
      <c r="G145" s="10">
        <f t="shared" si="2"/>
        <v>0.4542453294</v>
      </c>
      <c r="H145" s="10">
        <f t="shared" si="3"/>
        <v>0.193997109</v>
      </c>
      <c r="I145" s="8">
        <v>321.0</v>
      </c>
      <c r="J145" s="8">
        <v>135.2222254574299</v>
      </c>
      <c r="K145" s="8">
        <v>1160.0</v>
      </c>
      <c r="L145" s="11">
        <f t="shared" si="4"/>
        <v>0.2767241379</v>
      </c>
      <c r="M145" s="12">
        <f t="shared" si="5"/>
        <v>0.4212530388</v>
      </c>
      <c r="N145" s="13">
        <f t="shared" si="6"/>
        <v>0.116570884</v>
      </c>
      <c r="O145" s="14">
        <f t="shared" si="7"/>
        <v>0.6008897998</v>
      </c>
      <c r="P145" s="15"/>
      <c r="Q145" s="15"/>
      <c r="AD145" s="20"/>
    </row>
    <row r="146" ht="15.75" customHeight="1">
      <c r="A146" s="8">
        <v>31003.0</v>
      </c>
      <c r="B146" s="9" t="s">
        <v>160</v>
      </c>
      <c r="C146" s="8">
        <v>37703.0</v>
      </c>
      <c r="D146" s="8">
        <v>17055.22264868021</v>
      </c>
      <c r="E146" s="8">
        <v>61430.0</v>
      </c>
      <c r="F146" s="10">
        <f t="shared" si="1"/>
        <v>0.6137554941</v>
      </c>
      <c r="G146" s="10">
        <f t="shared" si="2"/>
        <v>0.4523571771</v>
      </c>
      <c r="H146" s="10">
        <f t="shared" si="3"/>
        <v>0.2776367027</v>
      </c>
      <c r="I146" s="8">
        <v>3181.0</v>
      </c>
      <c r="J146" s="8">
        <v>1360.888922482729</v>
      </c>
      <c r="K146" s="8">
        <v>7775.0</v>
      </c>
      <c r="L146" s="11">
        <f t="shared" si="4"/>
        <v>0.4091318328</v>
      </c>
      <c r="M146" s="12">
        <f t="shared" si="5"/>
        <v>0.4278179574</v>
      </c>
      <c r="N146" s="13">
        <f t="shared" si="6"/>
        <v>0.175033945</v>
      </c>
      <c r="O146" s="14">
        <f t="shared" si="7"/>
        <v>0.6304423849</v>
      </c>
      <c r="P146" s="15"/>
      <c r="Q146" s="15"/>
      <c r="AD146" s="20"/>
    </row>
    <row r="147" ht="15.75" customHeight="1">
      <c r="A147" s="8">
        <v>31101.0</v>
      </c>
      <c r="B147" s="9" t="s">
        <v>161</v>
      </c>
      <c r="C147" s="8">
        <v>19373.0</v>
      </c>
      <c r="D147" s="8">
        <v>9824.222486764193</v>
      </c>
      <c r="E147" s="8">
        <v>23928.0</v>
      </c>
      <c r="F147" s="10">
        <f t="shared" si="1"/>
        <v>0.8096372451</v>
      </c>
      <c r="G147" s="10">
        <f t="shared" si="2"/>
        <v>0.5071089912</v>
      </c>
      <c r="H147" s="10">
        <f t="shared" si="3"/>
        <v>0.4105743266</v>
      </c>
      <c r="I147" s="8">
        <v>308.0</v>
      </c>
      <c r="J147" s="8">
        <v>139.66667053103447</v>
      </c>
      <c r="K147" s="8">
        <v>473.0</v>
      </c>
      <c r="L147" s="11">
        <f t="shared" si="4"/>
        <v>0.6511627907</v>
      </c>
      <c r="M147" s="12">
        <f t="shared" si="5"/>
        <v>0.453463216</v>
      </c>
      <c r="N147" s="13">
        <f t="shared" si="6"/>
        <v>0.2952783732</v>
      </c>
      <c r="O147" s="14">
        <f t="shared" si="7"/>
        <v>0.7191837241</v>
      </c>
      <c r="P147" s="15"/>
      <c r="Q147" s="15"/>
      <c r="AD147" s="20"/>
    </row>
    <row r="148" ht="15.75" customHeight="1">
      <c r="A148" s="8">
        <v>31201.0</v>
      </c>
      <c r="B148" s="9" t="s">
        <v>162</v>
      </c>
      <c r="C148" s="8">
        <v>10086.0</v>
      </c>
      <c r="D148" s="8">
        <v>5138.55569177866</v>
      </c>
      <c r="E148" s="8">
        <v>13968.0</v>
      </c>
      <c r="F148" s="10">
        <f t="shared" si="1"/>
        <v>0.7220790378</v>
      </c>
      <c r="G148" s="10">
        <f t="shared" si="2"/>
        <v>0.509474092</v>
      </c>
      <c r="H148" s="10">
        <f t="shared" si="3"/>
        <v>0.3678805621</v>
      </c>
      <c r="I148" s="8">
        <v>247.0</v>
      </c>
      <c r="J148" s="8">
        <v>104.88889163732529</v>
      </c>
      <c r="K148" s="8">
        <v>556.0</v>
      </c>
      <c r="L148" s="11">
        <f t="shared" si="4"/>
        <v>0.4442446043</v>
      </c>
      <c r="M148" s="12">
        <f t="shared" si="5"/>
        <v>0.4246513831</v>
      </c>
      <c r="N148" s="13">
        <f t="shared" si="6"/>
        <v>0.1886490857</v>
      </c>
      <c r="O148" s="14">
        <f t="shared" si="7"/>
        <v>0.512799819</v>
      </c>
      <c r="P148" s="15"/>
      <c r="Q148" s="15"/>
      <c r="AD148" s="20"/>
    </row>
    <row r="149" ht="15.75" customHeight="1">
      <c r="A149" s="8">
        <v>31202.0</v>
      </c>
      <c r="B149" s="9" t="s">
        <v>163</v>
      </c>
      <c r="C149" s="8">
        <v>6858.0</v>
      </c>
      <c r="D149" s="8">
        <v>3502.2223177552223</v>
      </c>
      <c r="E149" s="8">
        <v>9477.0</v>
      </c>
      <c r="F149" s="10">
        <f t="shared" si="1"/>
        <v>0.7236467236</v>
      </c>
      <c r="G149" s="10">
        <f t="shared" si="2"/>
        <v>0.5106769201</v>
      </c>
      <c r="H149" s="10">
        <f t="shared" si="3"/>
        <v>0.36954968</v>
      </c>
      <c r="I149" s="8">
        <v>319.0</v>
      </c>
      <c r="J149" s="8">
        <v>149.11111521720886</v>
      </c>
      <c r="K149" s="8">
        <v>595.0</v>
      </c>
      <c r="L149" s="11">
        <f t="shared" si="4"/>
        <v>0.5361344538</v>
      </c>
      <c r="M149" s="12">
        <f t="shared" si="5"/>
        <v>0.4674329631</v>
      </c>
      <c r="N149" s="13">
        <f t="shared" si="6"/>
        <v>0.2506069163</v>
      </c>
      <c r="O149" s="14">
        <f t="shared" si="7"/>
        <v>0.678141343</v>
      </c>
      <c r="P149" s="15"/>
      <c r="Q149" s="15"/>
      <c r="AD149" s="20"/>
    </row>
    <row r="150" ht="15.75" customHeight="1">
      <c r="A150" s="8">
        <v>31203.0</v>
      </c>
      <c r="B150" s="9" t="s">
        <v>164</v>
      </c>
      <c r="C150" s="8">
        <v>5321.0</v>
      </c>
      <c r="D150" s="8">
        <v>2373.000059813261</v>
      </c>
      <c r="E150" s="8">
        <v>10204.0</v>
      </c>
      <c r="F150" s="10">
        <f t="shared" si="1"/>
        <v>0.5214621717</v>
      </c>
      <c r="G150" s="10">
        <f t="shared" si="2"/>
        <v>0.4459688141</v>
      </c>
      <c r="H150" s="10">
        <f t="shared" si="3"/>
        <v>0.2325558663</v>
      </c>
      <c r="I150" s="8">
        <v>122.0</v>
      </c>
      <c r="J150" s="8">
        <v>53.66666802763939</v>
      </c>
      <c r="K150" s="8">
        <v>334.0</v>
      </c>
      <c r="L150" s="11">
        <f t="shared" si="4"/>
        <v>0.3652694611</v>
      </c>
      <c r="M150" s="12">
        <f t="shared" si="5"/>
        <v>0.4398907215</v>
      </c>
      <c r="N150" s="13">
        <f t="shared" si="6"/>
        <v>0.1606786468</v>
      </c>
      <c r="O150" s="14">
        <f t="shared" si="7"/>
        <v>0.6909249349</v>
      </c>
      <c r="P150" s="15"/>
      <c r="Q150" s="15"/>
      <c r="AD150" s="20"/>
    </row>
    <row r="151" ht="15.75" customHeight="1">
      <c r="A151" s="8">
        <v>31204.0</v>
      </c>
      <c r="B151" s="9" t="s">
        <v>165</v>
      </c>
      <c r="C151" s="8">
        <v>9819.0</v>
      </c>
      <c r="D151" s="8">
        <v>4512.333450675011</v>
      </c>
      <c r="E151" s="8">
        <v>17220.0</v>
      </c>
      <c r="F151" s="10">
        <f t="shared" si="1"/>
        <v>0.5702090592</v>
      </c>
      <c r="G151" s="10">
        <f t="shared" si="2"/>
        <v>0.4595512222</v>
      </c>
      <c r="H151" s="10">
        <f t="shared" si="3"/>
        <v>0.2620402701</v>
      </c>
      <c r="I151" s="8">
        <v>1179.0</v>
      </c>
      <c r="J151" s="8">
        <v>529.0000144541264</v>
      </c>
      <c r="K151" s="8">
        <v>3471.0</v>
      </c>
      <c r="L151" s="11">
        <f t="shared" si="4"/>
        <v>0.3396715644</v>
      </c>
      <c r="M151" s="12">
        <f t="shared" si="5"/>
        <v>0.4486853388</v>
      </c>
      <c r="N151" s="13">
        <f t="shared" si="6"/>
        <v>0.152405651</v>
      </c>
      <c r="O151" s="14">
        <f t="shared" si="7"/>
        <v>0.5816115626</v>
      </c>
      <c r="P151" s="15"/>
      <c r="Q151" s="15"/>
      <c r="AD151" s="20"/>
    </row>
    <row r="152" ht="15.75" customHeight="1">
      <c r="A152" s="8">
        <v>31205.0</v>
      </c>
      <c r="B152" s="9" t="s">
        <v>166</v>
      </c>
      <c r="C152" s="8">
        <v>19911.0</v>
      </c>
      <c r="D152" s="8">
        <v>8968.778002589941</v>
      </c>
      <c r="E152" s="8">
        <v>39087.0</v>
      </c>
      <c r="F152" s="10">
        <f t="shared" si="1"/>
        <v>0.509402103</v>
      </c>
      <c r="G152" s="10">
        <f t="shared" si="2"/>
        <v>0.4504433731</v>
      </c>
      <c r="H152" s="10">
        <f t="shared" si="3"/>
        <v>0.2294568016</v>
      </c>
      <c r="I152" s="8">
        <v>2434.0</v>
      </c>
      <c r="J152" s="8">
        <v>1049.1111368834972</v>
      </c>
      <c r="K152" s="8">
        <v>6520.0</v>
      </c>
      <c r="L152" s="11">
        <f t="shared" si="4"/>
        <v>0.3733128834</v>
      </c>
      <c r="M152" s="12">
        <f t="shared" si="5"/>
        <v>0.4310234745</v>
      </c>
      <c r="N152" s="13">
        <f t="shared" si="6"/>
        <v>0.1609066161</v>
      </c>
      <c r="O152" s="14">
        <f t="shared" si="7"/>
        <v>0.7012501481</v>
      </c>
      <c r="P152" s="15"/>
      <c r="Q152" s="15"/>
      <c r="AD152" s="20"/>
    </row>
    <row r="153" ht="15.75" customHeight="1">
      <c r="A153" s="8">
        <v>31206.0</v>
      </c>
      <c r="B153" s="9" t="s">
        <v>167</v>
      </c>
      <c r="C153" s="8">
        <v>13412.0</v>
      </c>
      <c r="D153" s="8">
        <v>5946.111254572868</v>
      </c>
      <c r="E153" s="8">
        <v>25088.0</v>
      </c>
      <c r="F153" s="10">
        <f t="shared" si="1"/>
        <v>0.5345982143</v>
      </c>
      <c r="G153" s="10">
        <f t="shared" si="2"/>
        <v>0.4433426226</v>
      </c>
      <c r="H153" s="10">
        <f t="shared" si="3"/>
        <v>0.2370101744</v>
      </c>
      <c r="I153" s="8">
        <v>1667.0</v>
      </c>
      <c r="J153" s="8">
        <v>697.4444613754749</v>
      </c>
      <c r="K153" s="8">
        <v>4496.0</v>
      </c>
      <c r="L153" s="11">
        <f t="shared" si="4"/>
        <v>0.3707740214</v>
      </c>
      <c r="M153" s="12">
        <f t="shared" si="5"/>
        <v>0.4183830002</v>
      </c>
      <c r="N153" s="13">
        <f t="shared" si="6"/>
        <v>0.1551255475</v>
      </c>
      <c r="O153" s="14">
        <f t="shared" si="7"/>
        <v>0.6545100769</v>
      </c>
      <c r="P153" s="15"/>
      <c r="Q153" s="15"/>
      <c r="AD153" s="20"/>
    </row>
    <row r="154" ht="15.75" customHeight="1">
      <c r="A154" s="8">
        <v>31301.0</v>
      </c>
      <c r="B154" s="9" t="s">
        <v>168</v>
      </c>
      <c r="C154" s="8">
        <v>10521.0</v>
      </c>
      <c r="D154" s="8">
        <v>5195.444581538439</v>
      </c>
      <c r="E154" s="8">
        <v>18426.0</v>
      </c>
      <c r="F154" s="10">
        <f t="shared" si="1"/>
        <v>0.5709866493</v>
      </c>
      <c r="G154" s="10">
        <f t="shared" si="2"/>
        <v>0.4938166126</v>
      </c>
      <c r="H154" s="10">
        <f t="shared" si="3"/>
        <v>0.281962693</v>
      </c>
      <c r="I154" s="8">
        <v>246.0</v>
      </c>
      <c r="J154" s="8">
        <v>106.55555856227875</v>
      </c>
      <c r="K154" s="8">
        <v>1140.0</v>
      </c>
      <c r="L154" s="11">
        <f t="shared" si="4"/>
        <v>0.2157894737</v>
      </c>
      <c r="M154" s="12">
        <f t="shared" si="5"/>
        <v>0.4331526771</v>
      </c>
      <c r="N154" s="13">
        <f t="shared" si="6"/>
        <v>0.09346978821</v>
      </c>
      <c r="O154" s="14">
        <f t="shared" si="7"/>
        <v>0.3314970048</v>
      </c>
      <c r="P154" s="15"/>
      <c r="Q154" s="15"/>
      <c r="AD154" s="20"/>
    </row>
    <row r="155" ht="15.75" customHeight="1">
      <c r="A155" s="8">
        <v>31302.0</v>
      </c>
      <c r="B155" s="9" t="s">
        <v>169</v>
      </c>
      <c r="C155" s="8">
        <v>4475.0</v>
      </c>
      <c r="D155" s="8">
        <v>2462.000067651272</v>
      </c>
      <c r="E155" s="8">
        <v>5283.0</v>
      </c>
      <c r="F155" s="10">
        <f t="shared" si="1"/>
        <v>0.8470565966</v>
      </c>
      <c r="G155" s="10">
        <f t="shared" si="2"/>
        <v>0.5501676129</v>
      </c>
      <c r="H155" s="10">
        <f t="shared" si="3"/>
        <v>0.4660231057</v>
      </c>
      <c r="I155" s="8">
        <v>70.0</v>
      </c>
      <c r="J155" s="8">
        <v>34.11111208796501</v>
      </c>
      <c r="K155" s="8">
        <v>133.0</v>
      </c>
      <c r="L155" s="11">
        <f t="shared" si="4"/>
        <v>0.5263157895</v>
      </c>
      <c r="M155" s="12">
        <f t="shared" si="5"/>
        <v>0.4873016013</v>
      </c>
      <c r="N155" s="13">
        <f t="shared" si="6"/>
        <v>0.256474527</v>
      </c>
      <c r="O155" s="14">
        <f t="shared" si="7"/>
        <v>0.5503472335</v>
      </c>
      <c r="P155" s="15"/>
      <c r="Q155" s="15"/>
      <c r="AD155" s="20"/>
    </row>
    <row r="156" ht="15.75" customHeight="1">
      <c r="A156" s="8">
        <v>31303.0</v>
      </c>
      <c r="B156" s="9" t="s">
        <v>170</v>
      </c>
      <c r="C156" s="8">
        <v>3024.0</v>
      </c>
      <c r="D156" s="8">
        <v>1615.1111538112164</v>
      </c>
      <c r="E156" s="8">
        <v>3366.0</v>
      </c>
      <c r="F156" s="10">
        <f t="shared" si="1"/>
        <v>0.8983957219</v>
      </c>
      <c r="G156" s="10">
        <f t="shared" si="2"/>
        <v>0.5340976038</v>
      </c>
      <c r="H156" s="10">
        <f t="shared" si="3"/>
        <v>0.4798310023</v>
      </c>
      <c r="I156" s="8">
        <v>44.0</v>
      </c>
      <c r="J156" s="8">
        <v>20.666667103767395</v>
      </c>
      <c r="K156" s="8">
        <v>52.0</v>
      </c>
      <c r="L156" s="11">
        <f t="shared" si="4"/>
        <v>0.8461538462</v>
      </c>
      <c r="M156" s="12">
        <f t="shared" si="5"/>
        <v>0.4696969796</v>
      </c>
      <c r="N156" s="13">
        <f t="shared" si="6"/>
        <v>0.3974359058</v>
      </c>
      <c r="O156" s="14">
        <f t="shared" si="7"/>
        <v>0.8282830912</v>
      </c>
      <c r="P156" s="15"/>
      <c r="Q156" s="15"/>
      <c r="AD156" s="20"/>
    </row>
    <row r="157" ht="15.75" customHeight="1">
      <c r="A157" s="8">
        <v>31304.0</v>
      </c>
      <c r="B157" s="9" t="s">
        <v>171</v>
      </c>
      <c r="C157" s="8">
        <v>6517.0</v>
      </c>
      <c r="D157" s="8">
        <v>3910.444548755884</v>
      </c>
      <c r="E157" s="8">
        <v>6878.0</v>
      </c>
      <c r="F157" s="10">
        <f t="shared" si="1"/>
        <v>0.9475138122</v>
      </c>
      <c r="G157" s="10">
        <f t="shared" si="2"/>
        <v>0.6000375247</v>
      </c>
      <c r="H157" s="10">
        <f t="shared" si="3"/>
        <v>0.5685438425</v>
      </c>
      <c r="I157" s="8">
        <v>108.0</v>
      </c>
      <c r="J157" s="8">
        <v>43.44444540143013</v>
      </c>
      <c r="K157" s="8">
        <v>143.0</v>
      </c>
      <c r="L157" s="11">
        <f t="shared" si="4"/>
        <v>0.7552447552</v>
      </c>
      <c r="M157" s="12">
        <f t="shared" si="5"/>
        <v>0.4022633833</v>
      </c>
      <c r="N157" s="13">
        <f t="shared" si="6"/>
        <v>0.3038073105</v>
      </c>
      <c r="O157" s="14">
        <f t="shared" si="7"/>
        <v>0.5343603919</v>
      </c>
      <c r="P157" s="15"/>
      <c r="Q157" s="15"/>
      <c r="AD157" s="20"/>
    </row>
    <row r="158" ht="15.75" customHeight="1">
      <c r="A158" s="8">
        <v>31401.0</v>
      </c>
      <c r="B158" s="9" t="s">
        <v>172</v>
      </c>
      <c r="C158" s="8">
        <v>3856.0</v>
      </c>
      <c r="D158" s="8">
        <v>1493.2222601771355</v>
      </c>
      <c r="E158" s="8">
        <v>22858.0</v>
      </c>
      <c r="F158" s="10">
        <f t="shared" si="1"/>
        <v>0.168693674</v>
      </c>
      <c r="G158" s="10">
        <f t="shared" si="2"/>
        <v>0.3872464368</v>
      </c>
      <c r="H158" s="10">
        <f t="shared" si="3"/>
        <v>0.06532602416</v>
      </c>
      <c r="I158" s="8">
        <v>525.0</v>
      </c>
      <c r="J158" s="8">
        <v>202.88889360427856</v>
      </c>
      <c r="K158" s="8">
        <v>5826.0</v>
      </c>
      <c r="L158" s="11">
        <f t="shared" si="4"/>
        <v>0.09011328527</v>
      </c>
      <c r="M158" s="12">
        <f t="shared" si="5"/>
        <v>0.3864550354</v>
      </c>
      <c r="N158" s="13">
        <f t="shared" si="6"/>
        <v>0.03482473285</v>
      </c>
      <c r="O158" s="14">
        <f t="shared" si="7"/>
        <v>0.533091265</v>
      </c>
      <c r="P158" s="15"/>
      <c r="Q158" s="15"/>
      <c r="AD158" s="20"/>
    </row>
    <row r="159" ht="15.75" customHeight="1">
      <c r="A159" s="8">
        <v>31402.0</v>
      </c>
      <c r="B159" s="9" t="s">
        <v>173</v>
      </c>
      <c r="C159" s="8">
        <v>2268.0</v>
      </c>
      <c r="D159" s="8">
        <v>893.0000221729279</v>
      </c>
      <c r="E159" s="8">
        <v>7697.0</v>
      </c>
      <c r="F159" s="10">
        <f t="shared" si="1"/>
        <v>0.2946602572</v>
      </c>
      <c r="G159" s="10">
        <f t="shared" si="2"/>
        <v>0.3937389868</v>
      </c>
      <c r="H159" s="10">
        <f t="shared" si="3"/>
        <v>0.1160192312</v>
      </c>
      <c r="I159" s="8">
        <v>121.0</v>
      </c>
      <c r="J159" s="8">
        <v>45.55555671453476</v>
      </c>
      <c r="K159" s="8">
        <v>426.0</v>
      </c>
      <c r="L159" s="11">
        <f t="shared" si="4"/>
        <v>0.2840375587</v>
      </c>
      <c r="M159" s="12">
        <f t="shared" si="5"/>
        <v>0.3764922043</v>
      </c>
      <c r="N159" s="13">
        <f t="shared" si="6"/>
        <v>0.1069379266</v>
      </c>
      <c r="O159" s="14">
        <f t="shared" si="7"/>
        <v>0.9217258682</v>
      </c>
      <c r="P159" s="15"/>
      <c r="Q159" s="15"/>
      <c r="AD159" s="20"/>
    </row>
    <row r="160" ht="15.75" customHeight="1">
      <c r="A160" s="8">
        <v>31403.0</v>
      </c>
      <c r="B160" s="9" t="s">
        <v>174</v>
      </c>
      <c r="C160" s="8">
        <v>2853.0</v>
      </c>
      <c r="D160" s="8">
        <v>1136.1111390590668</v>
      </c>
      <c r="E160" s="8">
        <v>11768.0</v>
      </c>
      <c r="F160" s="10">
        <f t="shared" si="1"/>
        <v>0.2424371176</v>
      </c>
      <c r="G160" s="10">
        <f t="shared" si="2"/>
        <v>0.3982163123</v>
      </c>
      <c r="H160" s="10">
        <f t="shared" si="3"/>
        <v>0.09654241494</v>
      </c>
      <c r="I160" s="8">
        <v>276.0</v>
      </c>
      <c r="J160" s="8">
        <v>109.44444707036018</v>
      </c>
      <c r="K160" s="8">
        <v>1618.0</v>
      </c>
      <c r="L160" s="11">
        <f t="shared" si="4"/>
        <v>0.1705809642</v>
      </c>
      <c r="M160" s="12">
        <f t="shared" si="5"/>
        <v>0.3965378517</v>
      </c>
      <c r="N160" s="13">
        <f t="shared" si="6"/>
        <v>0.06764180907</v>
      </c>
      <c r="O160" s="14">
        <f t="shared" si="7"/>
        <v>0.7006434333</v>
      </c>
      <c r="P160" s="15"/>
      <c r="Q160" s="15"/>
      <c r="AD160" s="20"/>
    </row>
    <row r="161" ht="15.75" customHeight="1">
      <c r="A161" s="8">
        <v>31404.0</v>
      </c>
      <c r="B161" s="9" t="s">
        <v>175</v>
      </c>
      <c r="C161" s="8">
        <v>608.0</v>
      </c>
      <c r="D161" s="8">
        <v>246.0000069141388</v>
      </c>
      <c r="E161" s="8">
        <v>1252.0</v>
      </c>
      <c r="F161" s="10">
        <f t="shared" si="1"/>
        <v>0.4856230032</v>
      </c>
      <c r="G161" s="10">
        <f t="shared" si="2"/>
        <v>0.4046052745</v>
      </c>
      <c r="H161" s="10">
        <f t="shared" si="3"/>
        <v>0.1964856285</v>
      </c>
      <c r="I161" s="8">
        <v>17.0</v>
      </c>
      <c r="J161" s="8">
        <v>6.444444566965103</v>
      </c>
      <c r="K161" s="8">
        <v>44.0</v>
      </c>
      <c r="L161" s="11">
        <f t="shared" si="4"/>
        <v>0.3863636364</v>
      </c>
      <c r="M161" s="12">
        <f t="shared" si="5"/>
        <v>0.3790849745</v>
      </c>
      <c r="N161" s="13">
        <f t="shared" si="6"/>
        <v>0.1464646492</v>
      </c>
      <c r="O161" s="14">
        <f t="shared" si="7"/>
        <v>0.7454216899</v>
      </c>
      <c r="P161" s="15"/>
      <c r="Q161" s="15"/>
      <c r="AD161" s="20"/>
    </row>
    <row r="162" ht="15.75" customHeight="1">
      <c r="A162" s="8">
        <v>31405.0</v>
      </c>
      <c r="B162" s="9" t="s">
        <v>176</v>
      </c>
      <c r="C162" s="8">
        <v>1442.0</v>
      </c>
      <c r="D162" s="8">
        <v>636.1111260354519</v>
      </c>
      <c r="E162" s="8">
        <v>2715.0</v>
      </c>
      <c r="F162" s="10">
        <f t="shared" si="1"/>
        <v>0.5311233886</v>
      </c>
      <c r="G162" s="10">
        <f t="shared" si="2"/>
        <v>0.4411311554</v>
      </c>
      <c r="H162" s="10">
        <f t="shared" si="3"/>
        <v>0.234295074</v>
      </c>
      <c r="I162" s="8">
        <v>11.0</v>
      </c>
      <c r="J162" s="8">
        <v>5.000000208616257</v>
      </c>
      <c r="K162" s="8">
        <v>43.0</v>
      </c>
      <c r="L162" s="11">
        <f t="shared" si="4"/>
        <v>0.2558139535</v>
      </c>
      <c r="M162" s="12">
        <f t="shared" si="5"/>
        <v>0.4545454735</v>
      </c>
      <c r="N162" s="13">
        <f t="shared" si="6"/>
        <v>0.1162790746</v>
      </c>
      <c r="O162" s="14">
        <f t="shared" si="7"/>
        <v>0.4962932964</v>
      </c>
      <c r="P162" s="15"/>
      <c r="Q162" s="15"/>
      <c r="AD162" s="20"/>
    </row>
    <row r="163" ht="15.75" customHeight="1">
      <c r="A163" s="8">
        <v>31501.0</v>
      </c>
      <c r="B163" s="9" t="s">
        <v>177</v>
      </c>
      <c r="C163" s="8">
        <v>5238.0</v>
      </c>
      <c r="D163" s="8">
        <v>2424.000066012144</v>
      </c>
      <c r="E163" s="8">
        <v>6928.0</v>
      </c>
      <c r="F163" s="10">
        <f t="shared" si="1"/>
        <v>0.7560623557</v>
      </c>
      <c r="G163" s="10">
        <f t="shared" si="2"/>
        <v>0.462772063</v>
      </c>
      <c r="H163" s="10">
        <f t="shared" si="3"/>
        <v>0.3498845361</v>
      </c>
      <c r="I163" s="8">
        <v>117.0</v>
      </c>
      <c r="J163" s="8">
        <v>48.333334386348724</v>
      </c>
      <c r="K163" s="8">
        <v>243.0</v>
      </c>
      <c r="L163" s="11">
        <f t="shared" si="4"/>
        <v>0.4814814815</v>
      </c>
      <c r="M163" s="12">
        <f t="shared" si="5"/>
        <v>0.4131054221</v>
      </c>
      <c r="N163" s="13">
        <f t="shared" si="6"/>
        <v>0.1989026106</v>
      </c>
      <c r="O163" s="14">
        <f t="shared" si="7"/>
        <v>0.5684807133</v>
      </c>
      <c r="P163" s="15"/>
      <c r="Q163" s="15"/>
      <c r="AD163" s="20"/>
    </row>
    <row r="164" ht="15.75" customHeight="1">
      <c r="A164" s="8">
        <v>31601.0</v>
      </c>
      <c r="B164" s="9" t="s">
        <v>178</v>
      </c>
      <c r="C164" s="8">
        <v>8920.0</v>
      </c>
      <c r="D164" s="8">
        <v>3877.0000981390476</v>
      </c>
      <c r="E164" s="8">
        <v>20556.0</v>
      </c>
      <c r="F164" s="10">
        <f t="shared" si="1"/>
        <v>0.4339365635</v>
      </c>
      <c r="G164" s="10">
        <f t="shared" si="2"/>
        <v>0.4346412666</v>
      </c>
      <c r="H164" s="10">
        <f t="shared" si="3"/>
        <v>0.1886067376</v>
      </c>
      <c r="I164" s="8">
        <v>157.0</v>
      </c>
      <c r="J164" s="8">
        <v>62.55555707216263</v>
      </c>
      <c r="K164" s="8">
        <v>529.0</v>
      </c>
      <c r="L164" s="11">
        <f t="shared" si="4"/>
        <v>0.2967863894</v>
      </c>
      <c r="M164" s="12">
        <f t="shared" si="5"/>
        <v>0.3984430387</v>
      </c>
      <c r="N164" s="13">
        <f t="shared" si="6"/>
        <v>0.1182524708</v>
      </c>
      <c r="O164" s="14">
        <f t="shared" si="7"/>
        <v>0.6269790377</v>
      </c>
      <c r="P164" s="15"/>
      <c r="Q164" s="15"/>
      <c r="AD164" s="20"/>
    </row>
    <row r="165" ht="15.75" customHeight="1">
      <c r="A165" s="8">
        <v>31602.0</v>
      </c>
      <c r="B165" s="9" t="s">
        <v>179</v>
      </c>
      <c r="C165" s="8">
        <v>8252.0</v>
      </c>
      <c r="D165" s="8">
        <v>3543.555643826723</v>
      </c>
      <c r="E165" s="8">
        <v>17802.0</v>
      </c>
      <c r="F165" s="10">
        <f t="shared" si="1"/>
        <v>0.4635434221</v>
      </c>
      <c r="G165" s="10">
        <f t="shared" si="2"/>
        <v>0.4294177949</v>
      </c>
      <c r="H165" s="10">
        <f t="shared" si="3"/>
        <v>0.1990537942</v>
      </c>
      <c r="I165" s="8">
        <v>676.0</v>
      </c>
      <c r="J165" s="8">
        <v>281.22222915291786</v>
      </c>
      <c r="K165" s="8">
        <v>2501.0</v>
      </c>
      <c r="L165" s="11">
        <f t="shared" si="4"/>
        <v>0.2702918832</v>
      </c>
      <c r="M165" s="12">
        <f t="shared" si="5"/>
        <v>0.4160092147</v>
      </c>
      <c r="N165" s="13">
        <f t="shared" si="6"/>
        <v>0.1124439141</v>
      </c>
      <c r="O165" s="14">
        <f t="shared" si="7"/>
        <v>0.5648920914</v>
      </c>
      <c r="P165" s="15"/>
      <c r="Q165" s="15"/>
      <c r="AD165" s="20"/>
    </row>
    <row r="166" ht="15.75" customHeight="1">
      <c r="A166" s="8">
        <v>40101.0</v>
      </c>
      <c r="B166" s="9" t="s">
        <v>180</v>
      </c>
      <c r="C166" s="8">
        <v>20814.0</v>
      </c>
      <c r="D166" s="8">
        <v>8466.44465509057</v>
      </c>
      <c r="E166" s="8">
        <v>115392.0</v>
      </c>
      <c r="F166" s="10">
        <f t="shared" si="1"/>
        <v>0.1803764559</v>
      </c>
      <c r="G166" s="10">
        <f t="shared" si="2"/>
        <v>0.4067668231</v>
      </c>
      <c r="H166" s="10">
        <f t="shared" si="3"/>
        <v>0.07337115792</v>
      </c>
      <c r="I166" s="8">
        <v>9194.0</v>
      </c>
      <c r="J166" s="8">
        <v>3598.6667569875717</v>
      </c>
      <c r="K166" s="8">
        <v>144939.0</v>
      </c>
      <c r="L166" s="11">
        <f t="shared" si="4"/>
        <v>0.0634335824</v>
      </c>
      <c r="M166" s="12">
        <f t="shared" si="5"/>
        <v>0.3914147006</v>
      </c>
      <c r="N166" s="13">
        <f t="shared" si="6"/>
        <v>0.02482883666</v>
      </c>
      <c r="O166" s="14">
        <f t="shared" si="7"/>
        <v>0.3384005018</v>
      </c>
      <c r="P166" s="15"/>
      <c r="Q166" s="15"/>
      <c r="AD166" s="20"/>
    </row>
    <row r="167" ht="15.75" customHeight="1">
      <c r="A167" s="8">
        <v>40102.0</v>
      </c>
      <c r="B167" s="9" t="s">
        <v>181</v>
      </c>
      <c r="C167" s="8">
        <v>11035.0</v>
      </c>
      <c r="D167" s="8">
        <v>4929.555684685707</v>
      </c>
      <c r="E167" s="8">
        <v>20383.0</v>
      </c>
      <c r="F167" s="10">
        <f t="shared" si="1"/>
        <v>0.5413825247</v>
      </c>
      <c r="G167" s="10">
        <f t="shared" si="2"/>
        <v>0.4467200439</v>
      </c>
      <c r="H167" s="10">
        <f t="shared" si="3"/>
        <v>0.2418464252</v>
      </c>
      <c r="I167" s="8">
        <v>736.0</v>
      </c>
      <c r="J167" s="8">
        <v>308.11111894249916</v>
      </c>
      <c r="K167" s="8">
        <v>2546.0</v>
      </c>
      <c r="L167" s="11">
        <f t="shared" si="4"/>
        <v>0.2890809112</v>
      </c>
      <c r="M167" s="12">
        <f t="shared" si="5"/>
        <v>0.4186292377</v>
      </c>
      <c r="N167" s="13">
        <f t="shared" si="6"/>
        <v>0.1210177215</v>
      </c>
      <c r="O167" s="14">
        <f t="shared" si="7"/>
        <v>0.5003907807</v>
      </c>
      <c r="P167" s="15"/>
      <c r="Q167" s="15"/>
      <c r="AD167" s="20"/>
    </row>
    <row r="168" ht="15.75" customHeight="1">
      <c r="A168" s="8">
        <v>40103.0</v>
      </c>
      <c r="B168" s="9" t="s">
        <v>182</v>
      </c>
      <c r="C168" s="8">
        <v>7280.0</v>
      </c>
      <c r="D168" s="8">
        <v>3565.777861684561</v>
      </c>
      <c r="E168" s="8">
        <v>8017.0</v>
      </c>
      <c r="F168" s="10">
        <f t="shared" si="1"/>
        <v>0.9080703505</v>
      </c>
      <c r="G168" s="10">
        <f t="shared" si="2"/>
        <v>0.4898046513</v>
      </c>
      <c r="H168" s="10">
        <f t="shared" si="3"/>
        <v>0.4447770814</v>
      </c>
      <c r="I168" s="8">
        <v>609.0</v>
      </c>
      <c r="J168" s="8">
        <v>289.7777842283249</v>
      </c>
      <c r="K168" s="8">
        <v>682.0</v>
      </c>
      <c r="L168" s="11">
        <f t="shared" si="4"/>
        <v>0.8929618768</v>
      </c>
      <c r="M168" s="12">
        <f t="shared" si="5"/>
        <v>0.4758255899</v>
      </c>
      <c r="N168" s="13">
        <f t="shared" si="6"/>
        <v>0.4248941118</v>
      </c>
      <c r="O168" s="14">
        <f t="shared" si="7"/>
        <v>0.9552967757</v>
      </c>
      <c r="P168" s="15"/>
      <c r="Q168" s="15"/>
      <c r="AD168" s="20"/>
    </row>
    <row r="169" ht="15.75" customHeight="1">
      <c r="A169" s="8">
        <v>40104.0</v>
      </c>
      <c r="B169" s="9" t="s">
        <v>183</v>
      </c>
      <c r="C169" s="8">
        <v>6155.0</v>
      </c>
      <c r="D169" s="8">
        <v>2696.55562505126</v>
      </c>
      <c r="E169" s="8">
        <v>12216.0</v>
      </c>
      <c r="F169" s="10">
        <f t="shared" si="1"/>
        <v>0.5038474132</v>
      </c>
      <c r="G169" s="10">
        <f t="shared" si="2"/>
        <v>0.4381081438</v>
      </c>
      <c r="H169" s="10">
        <f t="shared" si="3"/>
        <v>0.220739655</v>
      </c>
      <c r="I169" s="8">
        <v>257.0</v>
      </c>
      <c r="J169" s="8">
        <v>101.11111354827881</v>
      </c>
      <c r="K169" s="8">
        <v>559.0</v>
      </c>
      <c r="L169" s="11">
        <f t="shared" si="4"/>
        <v>0.4597495528</v>
      </c>
      <c r="M169" s="12">
        <f t="shared" si="5"/>
        <v>0.3934284574</v>
      </c>
      <c r="N169" s="13">
        <f t="shared" si="6"/>
        <v>0.1808785573</v>
      </c>
      <c r="O169" s="14">
        <f t="shared" si="7"/>
        <v>0.8194203138</v>
      </c>
      <c r="P169" s="15"/>
      <c r="Q169" s="15"/>
      <c r="AD169" s="20"/>
    </row>
    <row r="170" ht="15.75" customHeight="1">
      <c r="A170" s="8">
        <v>40201.0</v>
      </c>
      <c r="B170" s="9" t="s">
        <v>184</v>
      </c>
      <c r="C170" s="8">
        <v>12353.0</v>
      </c>
      <c r="D170" s="8">
        <v>5451.889025300741</v>
      </c>
      <c r="E170" s="8">
        <v>24247.0</v>
      </c>
      <c r="F170" s="10">
        <f t="shared" si="1"/>
        <v>0.5094650885</v>
      </c>
      <c r="G170" s="10">
        <f t="shared" si="2"/>
        <v>0.4413412957</v>
      </c>
      <c r="H170" s="10">
        <f t="shared" si="3"/>
        <v>0.2248479822</v>
      </c>
      <c r="I170" s="8">
        <v>949.0</v>
      </c>
      <c r="J170" s="8">
        <v>385.7777875959873</v>
      </c>
      <c r="K170" s="8">
        <v>3837.0</v>
      </c>
      <c r="L170" s="11">
        <f t="shared" si="4"/>
        <v>0.2473286422</v>
      </c>
      <c r="M170" s="12">
        <f t="shared" si="5"/>
        <v>0.4065097867</v>
      </c>
      <c r="N170" s="13">
        <f t="shared" si="6"/>
        <v>0.1005415136</v>
      </c>
      <c r="O170" s="14">
        <f t="shared" si="7"/>
        <v>0.4471532836</v>
      </c>
      <c r="P170" s="15"/>
      <c r="Q170" s="15"/>
      <c r="AD170" s="20"/>
    </row>
    <row r="171" ht="15.75" customHeight="1">
      <c r="A171" s="8">
        <v>40202.0</v>
      </c>
      <c r="B171" s="9" t="s">
        <v>185</v>
      </c>
      <c r="C171" s="8">
        <v>1757.0</v>
      </c>
      <c r="D171" s="8">
        <v>767.0000182390213</v>
      </c>
      <c r="E171" s="8">
        <v>3567.0</v>
      </c>
      <c r="F171" s="10">
        <f t="shared" si="1"/>
        <v>0.4925707878</v>
      </c>
      <c r="G171" s="10">
        <f t="shared" si="2"/>
        <v>0.4365395664</v>
      </c>
      <c r="H171" s="10">
        <f t="shared" si="3"/>
        <v>0.2150266381</v>
      </c>
      <c r="I171" s="8">
        <v>215.0</v>
      </c>
      <c r="J171" s="8">
        <v>94.77777975797653</v>
      </c>
      <c r="K171" s="8">
        <v>412.0</v>
      </c>
      <c r="L171" s="11">
        <f t="shared" si="4"/>
        <v>0.5218446602</v>
      </c>
      <c r="M171" s="12">
        <f t="shared" si="5"/>
        <v>0.4408268826</v>
      </c>
      <c r="N171" s="13">
        <f t="shared" si="6"/>
        <v>0.2300431548</v>
      </c>
      <c r="O171" s="14">
        <f t="shared" si="7"/>
        <v>1.069835611</v>
      </c>
      <c r="P171" s="15"/>
      <c r="Q171" s="15"/>
      <c r="AD171" s="20"/>
    </row>
    <row r="172" ht="15.75" customHeight="1">
      <c r="A172" s="8">
        <v>40301.0</v>
      </c>
      <c r="B172" s="9" t="s">
        <v>186</v>
      </c>
      <c r="C172" s="8">
        <v>6144.0</v>
      </c>
      <c r="D172" s="8">
        <v>2889.4445176124573</v>
      </c>
      <c r="E172" s="8">
        <v>8501.0</v>
      </c>
      <c r="F172" s="10">
        <f t="shared" si="1"/>
        <v>0.7227385014</v>
      </c>
      <c r="G172" s="10">
        <f t="shared" si="2"/>
        <v>0.4702871936</v>
      </c>
      <c r="H172" s="10">
        <f t="shared" si="3"/>
        <v>0.3398946615</v>
      </c>
      <c r="I172" s="8">
        <v>282.0</v>
      </c>
      <c r="J172" s="8">
        <v>132.2222257256508</v>
      </c>
      <c r="K172" s="8">
        <v>487.0</v>
      </c>
      <c r="L172" s="11">
        <f t="shared" si="4"/>
        <v>0.5790554415</v>
      </c>
      <c r="M172" s="12">
        <f t="shared" si="5"/>
        <v>0.4688731409</v>
      </c>
      <c r="N172" s="13">
        <f t="shared" si="6"/>
        <v>0.2715035436</v>
      </c>
      <c r="O172" s="14">
        <f t="shared" si="7"/>
        <v>0.7987873136</v>
      </c>
      <c r="P172" s="15"/>
      <c r="Q172" s="15"/>
      <c r="AD172" s="20"/>
    </row>
    <row r="173" ht="15.75" customHeight="1">
      <c r="A173" s="8">
        <v>40302.0</v>
      </c>
      <c r="B173" s="9" t="s">
        <v>187</v>
      </c>
      <c r="C173" s="8">
        <v>1214.0</v>
      </c>
      <c r="D173" s="8">
        <v>567.7777918279171</v>
      </c>
      <c r="E173" s="8">
        <v>1706.0</v>
      </c>
      <c r="F173" s="10">
        <f t="shared" si="1"/>
        <v>0.7116060961</v>
      </c>
      <c r="G173" s="10">
        <f t="shared" si="2"/>
        <v>0.467691756</v>
      </c>
      <c r="H173" s="10">
        <f t="shared" si="3"/>
        <v>0.3328123047</v>
      </c>
      <c r="I173" s="8">
        <v>78.0</v>
      </c>
      <c r="J173" s="8">
        <v>34.11111170053482</v>
      </c>
      <c r="K173" s="8">
        <v>138.0</v>
      </c>
      <c r="L173" s="11">
        <f t="shared" si="4"/>
        <v>0.5652173913</v>
      </c>
      <c r="M173" s="12">
        <f t="shared" si="5"/>
        <v>0.4373219449</v>
      </c>
      <c r="N173" s="13">
        <f t="shared" si="6"/>
        <v>0.2471819688</v>
      </c>
      <c r="O173" s="14">
        <f t="shared" si="7"/>
        <v>0.7427068211</v>
      </c>
      <c r="P173" s="15"/>
      <c r="Q173" s="15"/>
      <c r="AD173" s="20"/>
    </row>
    <row r="174" ht="15.75" customHeight="1">
      <c r="A174" s="8">
        <v>40401.0</v>
      </c>
      <c r="B174" s="9" t="s">
        <v>188</v>
      </c>
      <c r="C174" s="8">
        <v>1706.0</v>
      </c>
      <c r="D174" s="8">
        <v>734.2222403287888</v>
      </c>
      <c r="E174" s="8">
        <v>3523.0</v>
      </c>
      <c r="F174" s="10">
        <f t="shared" si="1"/>
        <v>0.4842463809</v>
      </c>
      <c r="G174" s="10">
        <f t="shared" si="2"/>
        <v>0.4303764597</v>
      </c>
      <c r="H174" s="10">
        <f t="shared" si="3"/>
        <v>0.2084082431</v>
      </c>
      <c r="I174" s="8">
        <v>102.0</v>
      </c>
      <c r="J174" s="8">
        <v>41.111112147569656</v>
      </c>
      <c r="K174" s="8">
        <v>393.0</v>
      </c>
      <c r="L174" s="11">
        <f t="shared" si="4"/>
        <v>0.2595419847</v>
      </c>
      <c r="M174" s="12">
        <f t="shared" si="5"/>
        <v>0.4030501191</v>
      </c>
      <c r="N174" s="13">
        <f t="shared" si="6"/>
        <v>0.1046084279</v>
      </c>
      <c r="O174" s="14">
        <f t="shared" si="7"/>
        <v>0.5019399728</v>
      </c>
      <c r="P174" s="15"/>
      <c r="Q174" s="15"/>
      <c r="AD174" s="20"/>
    </row>
    <row r="175" ht="15.75" customHeight="1">
      <c r="A175" s="8">
        <v>40402.0</v>
      </c>
      <c r="B175" s="9" t="s">
        <v>189</v>
      </c>
      <c r="C175" s="8">
        <v>2739.0</v>
      </c>
      <c r="D175" s="8">
        <v>1206.5555853247643</v>
      </c>
      <c r="E175" s="8">
        <v>4869.0</v>
      </c>
      <c r="F175" s="10">
        <f t="shared" si="1"/>
        <v>0.5625385089</v>
      </c>
      <c r="G175" s="10">
        <f t="shared" si="2"/>
        <v>0.4405095237</v>
      </c>
      <c r="H175" s="10">
        <f t="shared" si="3"/>
        <v>0.2478035706</v>
      </c>
      <c r="I175" s="8">
        <v>91.0</v>
      </c>
      <c r="J175" s="8">
        <v>41.111112117767334</v>
      </c>
      <c r="K175" s="8">
        <v>270.0</v>
      </c>
      <c r="L175" s="11">
        <f t="shared" si="4"/>
        <v>0.337037037</v>
      </c>
      <c r="M175" s="12">
        <f t="shared" si="5"/>
        <v>0.4517704628</v>
      </c>
      <c r="N175" s="13">
        <f t="shared" si="6"/>
        <v>0.1522633782</v>
      </c>
      <c r="O175" s="14">
        <f t="shared" si="7"/>
        <v>0.6144519138</v>
      </c>
      <c r="P175" s="15"/>
      <c r="Q175" s="15"/>
      <c r="AD175" s="20"/>
    </row>
    <row r="176" ht="15.75" customHeight="1">
      <c r="A176" s="8">
        <v>40501.0</v>
      </c>
      <c r="B176" s="9" t="s">
        <v>190</v>
      </c>
      <c r="C176" s="8">
        <v>41.0</v>
      </c>
      <c r="D176" s="8">
        <v>14.888889253139496</v>
      </c>
      <c r="E176" s="8">
        <v>484.0</v>
      </c>
      <c r="F176" s="10">
        <f t="shared" si="1"/>
        <v>0.0847107438</v>
      </c>
      <c r="G176" s="10">
        <f t="shared" si="2"/>
        <v>0.3631436403</v>
      </c>
      <c r="H176" s="10">
        <f t="shared" si="3"/>
        <v>0.03076216788</v>
      </c>
      <c r="I176" s="8">
        <v>7.0</v>
      </c>
      <c r="J176" s="8">
        <v>2.4444445073604584</v>
      </c>
      <c r="K176" s="8">
        <v>183.0</v>
      </c>
      <c r="L176" s="11">
        <f t="shared" si="4"/>
        <v>0.03825136612</v>
      </c>
      <c r="M176" s="12">
        <f t="shared" si="5"/>
        <v>0.3492063582</v>
      </c>
      <c r="N176" s="13">
        <f t="shared" si="6"/>
        <v>0.01335762026</v>
      </c>
      <c r="O176" s="14">
        <f t="shared" si="7"/>
        <v>0.4342223315</v>
      </c>
      <c r="P176" s="15"/>
      <c r="Q176" s="15"/>
      <c r="AD176" s="20"/>
    </row>
    <row r="177" ht="15.75" customHeight="1">
      <c r="A177" s="8">
        <v>40502.0</v>
      </c>
      <c r="B177" s="9" t="s">
        <v>191</v>
      </c>
      <c r="C177" s="8">
        <v>2752.0</v>
      </c>
      <c r="D177" s="8">
        <v>1254.8889201283455</v>
      </c>
      <c r="E177" s="8">
        <v>3956.0</v>
      </c>
      <c r="F177" s="10">
        <f t="shared" si="1"/>
        <v>0.6956521739</v>
      </c>
      <c r="G177" s="10">
        <f t="shared" si="2"/>
        <v>0.4559916134</v>
      </c>
      <c r="H177" s="10">
        <f t="shared" si="3"/>
        <v>0.3172115572</v>
      </c>
      <c r="I177" s="8">
        <v>176.0</v>
      </c>
      <c r="J177" s="8">
        <v>79.55555710196495</v>
      </c>
      <c r="K177" s="8">
        <v>243.0</v>
      </c>
      <c r="L177" s="11">
        <f t="shared" si="4"/>
        <v>0.7242798354</v>
      </c>
      <c r="M177" s="12">
        <f t="shared" si="5"/>
        <v>0.4520202108</v>
      </c>
      <c r="N177" s="13">
        <f t="shared" si="6"/>
        <v>0.3273891239</v>
      </c>
      <c r="O177" s="14">
        <f t="shared" si="7"/>
        <v>1.032084476</v>
      </c>
      <c r="P177" s="15"/>
      <c r="Q177" s="15"/>
      <c r="AD177" s="20"/>
    </row>
    <row r="178" ht="15.75" customHeight="1">
      <c r="A178" s="8">
        <v>40503.0</v>
      </c>
      <c r="B178" s="9" t="s">
        <v>192</v>
      </c>
      <c r="C178" s="8">
        <v>1149.0</v>
      </c>
      <c r="D178" s="8">
        <v>517.2222358882427</v>
      </c>
      <c r="E178" s="8">
        <v>1823.0</v>
      </c>
      <c r="F178" s="10">
        <f t="shared" si="1"/>
        <v>0.6302797586</v>
      </c>
      <c r="G178" s="10">
        <f t="shared" si="2"/>
        <v>0.4501499007</v>
      </c>
      <c r="H178" s="10">
        <f t="shared" si="3"/>
        <v>0.2837203708</v>
      </c>
      <c r="I178" s="8">
        <v>85.0</v>
      </c>
      <c r="J178" s="8">
        <v>40.22222286462784</v>
      </c>
      <c r="K178" s="8">
        <v>130.0</v>
      </c>
      <c r="L178" s="11">
        <f t="shared" si="4"/>
        <v>0.6538461538</v>
      </c>
      <c r="M178" s="12">
        <f t="shared" si="5"/>
        <v>0.4732026219</v>
      </c>
      <c r="N178" s="13">
        <f t="shared" si="6"/>
        <v>0.3094017143</v>
      </c>
      <c r="O178" s="14">
        <f t="shared" si="7"/>
        <v>1.090516389</v>
      </c>
      <c r="P178" s="15"/>
      <c r="Q178" s="15"/>
      <c r="AD178" s="20"/>
    </row>
    <row r="179" ht="15.75" customHeight="1">
      <c r="A179" s="8">
        <v>40504.0</v>
      </c>
      <c r="B179" s="9" t="s">
        <v>193</v>
      </c>
      <c r="C179" s="8">
        <v>291.0</v>
      </c>
      <c r="D179" s="8">
        <v>120.6666696369648</v>
      </c>
      <c r="E179" s="8">
        <v>453.0</v>
      </c>
      <c r="F179" s="10">
        <f t="shared" si="1"/>
        <v>0.642384106</v>
      </c>
      <c r="G179" s="10">
        <f t="shared" si="2"/>
        <v>0.414662095</v>
      </c>
      <c r="H179" s="10">
        <f t="shared" si="3"/>
        <v>0.2663723392</v>
      </c>
      <c r="I179" s="8">
        <v>21.0</v>
      </c>
      <c r="J179" s="8">
        <v>9.888889104127884</v>
      </c>
      <c r="K179" s="8">
        <v>60.0</v>
      </c>
      <c r="L179" s="11">
        <f t="shared" si="4"/>
        <v>0.35</v>
      </c>
      <c r="M179" s="12">
        <f t="shared" si="5"/>
        <v>0.4708994811</v>
      </c>
      <c r="N179" s="13">
        <f t="shared" si="6"/>
        <v>0.1648148184</v>
      </c>
      <c r="O179" s="14">
        <f t="shared" si="7"/>
        <v>0.6187384881</v>
      </c>
      <c r="P179" s="15"/>
      <c r="Q179" s="15"/>
      <c r="AD179" s="20"/>
    </row>
    <row r="180" ht="15.75" customHeight="1">
      <c r="A180" s="8">
        <v>40505.0</v>
      </c>
      <c r="B180" s="9" t="s">
        <v>194</v>
      </c>
      <c r="C180" s="8">
        <v>872.0</v>
      </c>
      <c r="D180" s="8">
        <v>365.00000953674316</v>
      </c>
      <c r="E180" s="8">
        <v>2542.0</v>
      </c>
      <c r="F180" s="10">
        <f t="shared" si="1"/>
        <v>0.3430369788</v>
      </c>
      <c r="G180" s="10">
        <f t="shared" si="2"/>
        <v>0.4185779926</v>
      </c>
      <c r="H180" s="10">
        <f t="shared" si="3"/>
        <v>0.14358773</v>
      </c>
      <c r="I180" s="8">
        <v>82.0</v>
      </c>
      <c r="J180" s="8">
        <v>34.888889849185944</v>
      </c>
      <c r="K180" s="8">
        <v>146.0</v>
      </c>
      <c r="L180" s="11">
        <f t="shared" si="4"/>
        <v>0.5616438356</v>
      </c>
      <c r="M180" s="12">
        <f t="shared" si="5"/>
        <v>0.4254742665</v>
      </c>
      <c r="N180" s="13">
        <f t="shared" si="6"/>
        <v>0.238964999</v>
      </c>
      <c r="O180" s="14">
        <f t="shared" si="7"/>
        <v>1.664243867</v>
      </c>
      <c r="P180" s="15"/>
      <c r="Q180" s="15"/>
      <c r="AD180" s="20"/>
    </row>
    <row r="181" ht="15.75" customHeight="1">
      <c r="A181" s="8">
        <v>40601.0</v>
      </c>
      <c r="B181" s="9" t="s">
        <v>195</v>
      </c>
      <c r="C181" s="8">
        <v>2357.0</v>
      </c>
      <c r="D181" s="8">
        <v>986.444467484951</v>
      </c>
      <c r="E181" s="8">
        <v>5667.0</v>
      </c>
      <c r="F181" s="10">
        <f t="shared" si="1"/>
        <v>0.4159167108</v>
      </c>
      <c r="G181" s="10">
        <f t="shared" si="2"/>
        <v>0.4185169569</v>
      </c>
      <c r="H181" s="10">
        <f t="shared" si="3"/>
        <v>0.1740681961</v>
      </c>
      <c r="I181" s="8">
        <v>277.0</v>
      </c>
      <c r="J181" s="8">
        <v>108.77778035402298</v>
      </c>
      <c r="K181" s="8">
        <v>1558.0</v>
      </c>
      <c r="L181" s="11">
        <f t="shared" si="4"/>
        <v>0.1777920411</v>
      </c>
      <c r="M181" s="12">
        <f t="shared" si="5"/>
        <v>0.3926995681</v>
      </c>
      <c r="N181" s="13">
        <f t="shared" si="6"/>
        <v>0.06981885774</v>
      </c>
      <c r="O181" s="14">
        <f t="shared" si="7"/>
        <v>0.401100599</v>
      </c>
      <c r="P181" s="15"/>
      <c r="Q181" s="15"/>
      <c r="AD181" s="20"/>
    </row>
    <row r="182" ht="15.75" customHeight="1">
      <c r="A182" s="8">
        <v>40602.0</v>
      </c>
      <c r="B182" s="9" t="s">
        <v>196</v>
      </c>
      <c r="C182" s="8">
        <v>1684.0</v>
      </c>
      <c r="D182" s="8">
        <v>715.7777950763702</v>
      </c>
      <c r="E182" s="8">
        <v>4285.0</v>
      </c>
      <c r="F182" s="10">
        <f t="shared" si="1"/>
        <v>0.3929988331</v>
      </c>
      <c r="G182" s="10">
        <f t="shared" si="2"/>
        <v>0.4250461966</v>
      </c>
      <c r="H182" s="10">
        <f t="shared" si="3"/>
        <v>0.1670426593</v>
      </c>
      <c r="I182" s="8">
        <v>396.0</v>
      </c>
      <c r="J182" s="8">
        <v>154.22222611308098</v>
      </c>
      <c r="K182" s="8">
        <v>1648.0</v>
      </c>
      <c r="L182" s="11">
        <f t="shared" si="4"/>
        <v>0.2402912621</v>
      </c>
      <c r="M182" s="12">
        <f t="shared" si="5"/>
        <v>0.3894500659</v>
      </c>
      <c r="N182" s="13">
        <f t="shared" si="6"/>
        <v>0.09358144788</v>
      </c>
      <c r="O182" s="14">
        <f t="shared" si="7"/>
        <v>0.5602248448</v>
      </c>
      <c r="P182" s="15"/>
      <c r="Q182" s="15"/>
      <c r="AD182" s="20"/>
    </row>
    <row r="183" ht="15.75" customHeight="1">
      <c r="A183" s="8">
        <v>40603.0</v>
      </c>
      <c r="B183" s="9" t="s">
        <v>197</v>
      </c>
      <c r="C183" s="8">
        <v>857.0</v>
      </c>
      <c r="D183" s="8">
        <v>357.33334216475487</v>
      </c>
      <c r="E183" s="8">
        <v>2484.0</v>
      </c>
      <c r="F183" s="10">
        <f t="shared" si="1"/>
        <v>0.3450080515</v>
      </c>
      <c r="G183" s="10">
        <f t="shared" si="2"/>
        <v>0.4169583923</v>
      </c>
      <c r="H183" s="10">
        <f t="shared" si="3"/>
        <v>0.1438540025</v>
      </c>
      <c r="I183" s="8">
        <v>76.0</v>
      </c>
      <c r="J183" s="8">
        <v>29.333333998918533</v>
      </c>
      <c r="K183" s="8">
        <v>745.0</v>
      </c>
      <c r="L183" s="11">
        <f t="shared" si="4"/>
        <v>0.1020134228</v>
      </c>
      <c r="M183" s="12">
        <f t="shared" si="5"/>
        <v>0.385964921</v>
      </c>
      <c r="N183" s="13">
        <f t="shared" si="6"/>
        <v>0.03937360268</v>
      </c>
      <c r="O183" s="14">
        <f t="shared" si="7"/>
        <v>0.2737052985</v>
      </c>
      <c r="P183" s="15"/>
      <c r="Q183" s="15"/>
      <c r="AD183" s="20"/>
    </row>
    <row r="184" ht="15.75" customHeight="1">
      <c r="A184" s="8">
        <v>40701.0</v>
      </c>
      <c r="B184" s="9" t="s">
        <v>198</v>
      </c>
      <c r="C184" s="8">
        <v>3622.0</v>
      </c>
      <c r="D184" s="8">
        <v>1474.666702657938</v>
      </c>
      <c r="E184" s="8">
        <v>15430.0</v>
      </c>
      <c r="F184" s="10">
        <f t="shared" si="1"/>
        <v>0.2347375243</v>
      </c>
      <c r="G184" s="10">
        <f t="shared" si="2"/>
        <v>0.4071415524</v>
      </c>
      <c r="H184" s="10">
        <f t="shared" si="3"/>
        <v>0.09557140004</v>
      </c>
      <c r="I184" s="8">
        <v>869.0</v>
      </c>
      <c r="J184" s="8">
        <v>323.8888974785805</v>
      </c>
      <c r="K184" s="8">
        <v>8740.0</v>
      </c>
      <c r="L184" s="11">
        <f t="shared" si="4"/>
        <v>0.09942791762</v>
      </c>
      <c r="M184" s="12">
        <f t="shared" si="5"/>
        <v>0.3727144965</v>
      </c>
      <c r="N184" s="13">
        <f t="shared" si="6"/>
        <v>0.03705822626</v>
      </c>
      <c r="O184" s="14">
        <f t="shared" si="7"/>
        <v>0.3877543516</v>
      </c>
      <c r="P184" s="15"/>
      <c r="Q184" s="15"/>
      <c r="AD184" s="20"/>
    </row>
    <row r="185" ht="15.75" customHeight="1">
      <c r="A185" s="8">
        <v>40702.0</v>
      </c>
      <c r="B185" s="9" t="s">
        <v>199</v>
      </c>
      <c r="C185" s="8">
        <v>1023.0</v>
      </c>
      <c r="D185" s="8">
        <v>424.7777879536152</v>
      </c>
      <c r="E185" s="8">
        <v>3823.0</v>
      </c>
      <c r="F185" s="10">
        <f t="shared" si="1"/>
        <v>0.2675908972</v>
      </c>
      <c r="G185" s="10">
        <f t="shared" si="2"/>
        <v>0.4152275542</v>
      </c>
      <c r="H185" s="10">
        <f t="shared" si="3"/>
        <v>0.1111111138</v>
      </c>
      <c r="I185" s="8">
        <v>115.0</v>
      </c>
      <c r="J185" s="8">
        <v>41.66666775941849</v>
      </c>
      <c r="K185" s="8">
        <v>917.0</v>
      </c>
      <c r="L185" s="11">
        <f t="shared" si="4"/>
        <v>0.1254089422</v>
      </c>
      <c r="M185" s="12">
        <f t="shared" si="5"/>
        <v>0.3623188501</v>
      </c>
      <c r="N185" s="13">
        <f t="shared" si="6"/>
        <v>0.04543802373</v>
      </c>
      <c r="O185" s="14">
        <f t="shared" si="7"/>
        <v>0.4089422038</v>
      </c>
      <c r="P185" s="15"/>
      <c r="Q185" s="15"/>
      <c r="AD185" s="20"/>
    </row>
    <row r="186" ht="15.75" customHeight="1">
      <c r="A186" s="8">
        <v>40801.0</v>
      </c>
      <c r="B186" s="9" t="s">
        <v>200</v>
      </c>
      <c r="C186" s="8">
        <v>5924.0</v>
      </c>
      <c r="D186" s="8">
        <v>2492.5556167662144</v>
      </c>
      <c r="E186" s="8">
        <v>10575.0</v>
      </c>
      <c r="F186" s="10">
        <f t="shared" si="1"/>
        <v>0.5601891253</v>
      </c>
      <c r="G186" s="10">
        <f t="shared" si="2"/>
        <v>0.4207555059</v>
      </c>
      <c r="H186" s="10">
        <f t="shared" si="3"/>
        <v>0.2357026588</v>
      </c>
      <c r="I186" s="8">
        <v>523.0</v>
      </c>
      <c r="J186" s="8">
        <v>224.77778327465057</v>
      </c>
      <c r="K186" s="8">
        <v>1142.0</v>
      </c>
      <c r="L186" s="11">
        <f t="shared" si="4"/>
        <v>0.4579684764</v>
      </c>
      <c r="M186" s="12">
        <f t="shared" si="5"/>
        <v>0.4297854365</v>
      </c>
      <c r="N186" s="13">
        <f t="shared" si="6"/>
        <v>0.1968281815</v>
      </c>
      <c r="O186" s="14">
        <f t="shared" si="7"/>
        <v>0.8350698397</v>
      </c>
      <c r="P186" s="15"/>
      <c r="Q186" s="15"/>
      <c r="AD186" s="20"/>
    </row>
    <row r="187" ht="15.75" customHeight="1">
      <c r="A187" s="8">
        <v>40802.0</v>
      </c>
      <c r="B187" s="9" t="s">
        <v>201</v>
      </c>
      <c r="C187" s="8">
        <v>1663.0</v>
      </c>
      <c r="D187" s="8">
        <v>728.7777956426144</v>
      </c>
      <c r="E187" s="8">
        <v>2837.0</v>
      </c>
      <c r="F187" s="10">
        <f t="shared" si="1"/>
        <v>0.5861825872</v>
      </c>
      <c r="G187" s="10">
        <f t="shared" si="2"/>
        <v>0.4382307851</v>
      </c>
      <c r="H187" s="10">
        <f t="shared" si="3"/>
        <v>0.2568832554</v>
      </c>
      <c r="I187" s="8">
        <v>66.0</v>
      </c>
      <c r="J187" s="8">
        <v>28.222222954034805</v>
      </c>
      <c r="K187" s="8">
        <v>95.0</v>
      </c>
      <c r="L187" s="11">
        <f t="shared" si="4"/>
        <v>0.6947368421</v>
      </c>
      <c r="M187" s="12">
        <f t="shared" si="5"/>
        <v>0.4276094387</v>
      </c>
      <c r="N187" s="13">
        <f t="shared" si="6"/>
        <v>0.2970760311</v>
      </c>
      <c r="O187" s="14">
        <f t="shared" si="7"/>
        <v>1.156463198</v>
      </c>
      <c r="P187" s="15"/>
      <c r="Q187" s="15"/>
      <c r="AD187" s="20"/>
    </row>
    <row r="188" ht="15.75" customHeight="1">
      <c r="A188" s="8">
        <v>40901.0</v>
      </c>
      <c r="B188" s="9" t="s">
        <v>202</v>
      </c>
      <c r="C188" s="8">
        <v>3168.0</v>
      </c>
      <c r="D188" s="8">
        <v>1344.2222555577755</v>
      </c>
      <c r="E188" s="8">
        <v>6637.0</v>
      </c>
      <c r="F188" s="10">
        <f t="shared" si="1"/>
        <v>0.4773240922</v>
      </c>
      <c r="G188" s="10">
        <f t="shared" si="2"/>
        <v>0.4243125807</v>
      </c>
      <c r="H188" s="10">
        <f t="shared" si="3"/>
        <v>0.2025346174</v>
      </c>
      <c r="I188" s="8">
        <v>433.0</v>
      </c>
      <c r="J188" s="8">
        <v>176.44444873929024</v>
      </c>
      <c r="K188" s="8">
        <v>1167.0</v>
      </c>
      <c r="L188" s="11">
        <f t="shared" si="4"/>
        <v>0.3710368466</v>
      </c>
      <c r="M188" s="12">
        <f t="shared" si="5"/>
        <v>0.4074929532</v>
      </c>
      <c r="N188" s="13">
        <f t="shared" si="6"/>
        <v>0.1511949004</v>
      </c>
      <c r="O188" s="14">
        <f t="shared" si="7"/>
        <v>0.7465138668</v>
      </c>
      <c r="P188" s="15"/>
      <c r="Q188" s="15"/>
      <c r="AD188" s="20"/>
    </row>
    <row r="189" ht="15.75" customHeight="1">
      <c r="A189" s="8">
        <v>40902.0</v>
      </c>
      <c r="B189" s="9" t="s">
        <v>203</v>
      </c>
      <c r="C189" s="8">
        <v>410.0</v>
      </c>
      <c r="D189" s="8">
        <v>174.22222688794136</v>
      </c>
      <c r="E189" s="8">
        <v>745.0</v>
      </c>
      <c r="F189" s="10">
        <f t="shared" si="1"/>
        <v>0.5503355705</v>
      </c>
      <c r="G189" s="10">
        <f t="shared" si="2"/>
        <v>0.4249322607</v>
      </c>
      <c r="H189" s="10">
        <f t="shared" si="3"/>
        <v>0.2338553381</v>
      </c>
      <c r="I189" s="8">
        <v>57.0</v>
      </c>
      <c r="J189" s="8">
        <v>24.666667461395264</v>
      </c>
      <c r="K189" s="8">
        <v>129.0</v>
      </c>
      <c r="L189" s="11">
        <f t="shared" si="4"/>
        <v>0.4418604651</v>
      </c>
      <c r="M189" s="12">
        <f t="shared" si="5"/>
        <v>0.432748552</v>
      </c>
      <c r="N189" s="13">
        <f t="shared" si="6"/>
        <v>0.1912144764</v>
      </c>
      <c r="O189" s="14">
        <f t="shared" si="7"/>
        <v>0.8176613713</v>
      </c>
      <c r="P189" s="15"/>
      <c r="Q189" s="15"/>
      <c r="AD189" s="20"/>
    </row>
    <row r="190" ht="15.75" customHeight="1">
      <c r="A190" s="8">
        <v>40903.0</v>
      </c>
      <c r="B190" s="9" t="s">
        <v>204</v>
      </c>
      <c r="C190" s="8">
        <v>970.0</v>
      </c>
      <c r="D190" s="8">
        <v>427.77778869867325</v>
      </c>
      <c r="E190" s="8">
        <v>1834.0</v>
      </c>
      <c r="F190" s="10">
        <f t="shared" si="1"/>
        <v>0.5288985823</v>
      </c>
      <c r="G190" s="10">
        <f t="shared" si="2"/>
        <v>0.4410080296</v>
      </c>
      <c r="H190" s="10">
        <f t="shared" si="3"/>
        <v>0.2332485216</v>
      </c>
      <c r="I190" s="8">
        <v>66.0</v>
      </c>
      <c r="J190" s="8">
        <v>24.555556297302246</v>
      </c>
      <c r="K190" s="8">
        <v>146.0</v>
      </c>
      <c r="L190" s="11">
        <f t="shared" si="4"/>
        <v>0.4520547945</v>
      </c>
      <c r="M190" s="12">
        <f t="shared" si="5"/>
        <v>0.3720538833</v>
      </c>
      <c r="N190" s="13">
        <f t="shared" si="6"/>
        <v>0.1681887418</v>
      </c>
      <c r="O190" s="14">
        <f t="shared" si="7"/>
        <v>0.7210709872</v>
      </c>
      <c r="P190" s="15"/>
      <c r="Q190" s="15"/>
      <c r="AD190" s="20"/>
    </row>
    <row r="191" ht="15.75" customHeight="1">
      <c r="A191" s="8">
        <v>41001.0</v>
      </c>
      <c r="B191" s="9" t="s">
        <v>205</v>
      </c>
      <c r="C191" s="8">
        <v>6813.0</v>
      </c>
      <c r="D191" s="8">
        <v>3162.7778498232365</v>
      </c>
      <c r="E191" s="8">
        <v>8951.0</v>
      </c>
      <c r="F191" s="10">
        <f t="shared" si="1"/>
        <v>0.7611440063</v>
      </c>
      <c r="G191" s="10">
        <f t="shared" si="2"/>
        <v>0.4642268971</v>
      </c>
      <c r="H191" s="10">
        <f t="shared" si="3"/>
        <v>0.3533435203</v>
      </c>
      <c r="I191" s="8">
        <v>694.0</v>
      </c>
      <c r="J191" s="8">
        <v>304.88889586925507</v>
      </c>
      <c r="K191" s="8">
        <v>1076.0</v>
      </c>
      <c r="L191" s="11">
        <f t="shared" si="4"/>
        <v>0.6449814126</v>
      </c>
      <c r="M191" s="12">
        <f t="shared" si="5"/>
        <v>0.4393211756</v>
      </c>
      <c r="N191" s="13">
        <f t="shared" si="6"/>
        <v>0.2833539924</v>
      </c>
      <c r="O191" s="14">
        <f t="shared" si="7"/>
        <v>0.8019221415</v>
      </c>
      <c r="P191" s="15"/>
      <c r="Q191" s="15"/>
      <c r="AD191" s="20"/>
    </row>
    <row r="192" ht="15.75" customHeight="1">
      <c r="A192" s="8">
        <v>41101.0</v>
      </c>
      <c r="B192" s="9" t="s">
        <v>206</v>
      </c>
      <c r="C192" s="8">
        <v>1901.0</v>
      </c>
      <c r="D192" s="8">
        <v>805.2222420275211</v>
      </c>
      <c r="E192" s="8">
        <v>4385.0</v>
      </c>
      <c r="F192" s="10">
        <f t="shared" si="1"/>
        <v>0.4335233751</v>
      </c>
      <c r="G192" s="10">
        <f t="shared" si="2"/>
        <v>0.4235782441</v>
      </c>
      <c r="H192" s="10">
        <f t="shared" si="3"/>
        <v>0.18363107</v>
      </c>
      <c r="I192" s="8">
        <v>185.0</v>
      </c>
      <c r="J192" s="8">
        <v>76.66666889190674</v>
      </c>
      <c r="K192" s="8">
        <v>843.0</v>
      </c>
      <c r="L192" s="11">
        <f t="shared" si="4"/>
        <v>0.2194543298</v>
      </c>
      <c r="M192" s="12">
        <f t="shared" si="5"/>
        <v>0.4144144264</v>
      </c>
      <c r="N192" s="13">
        <f t="shared" si="6"/>
        <v>0.0909450402</v>
      </c>
      <c r="O192" s="14">
        <f t="shared" si="7"/>
        <v>0.4952595451</v>
      </c>
      <c r="P192" s="15"/>
      <c r="Q192" s="15"/>
      <c r="AD192" s="20"/>
    </row>
    <row r="193" ht="15.75" customHeight="1">
      <c r="A193" s="8">
        <v>41201.0</v>
      </c>
      <c r="B193" s="9" t="s">
        <v>207</v>
      </c>
      <c r="C193" s="8">
        <v>3422.0</v>
      </c>
      <c r="D193" s="8">
        <v>1525.7778132855892</v>
      </c>
      <c r="E193" s="8">
        <v>4794.0</v>
      </c>
      <c r="F193" s="10">
        <f t="shared" si="1"/>
        <v>0.7138089278</v>
      </c>
      <c r="G193" s="10">
        <f t="shared" si="2"/>
        <v>0.445873119</v>
      </c>
      <c r="H193" s="10">
        <f t="shared" si="3"/>
        <v>0.318268213</v>
      </c>
      <c r="I193" s="8">
        <v>226.0</v>
      </c>
      <c r="J193" s="8">
        <v>100.77778020501137</v>
      </c>
      <c r="K193" s="8">
        <v>391.0</v>
      </c>
      <c r="L193" s="11">
        <f t="shared" si="4"/>
        <v>0.5780051151</v>
      </c>
      <c r="M193" s="12">
        <f t="shared" si="5"/>
        <v>0.4459193814</v>
      </c>
      <c r="N193" s="13">
        <f t="shared" si="6"/>
        <v>0.2577436834</v>
      </c>
      <c r="O193" s="14">
        <f t="shared" si="7"/>
        <v>0.8098316855</v>
      </c>
      <c r="P193" s="15"/>
      <c r="Q193" s="15"/>
      <c r="AD193" s="20"/>
    </row>
    <row r="194" ht="15.75" customHeight="1">
      <c r="A194" s="8">
        <v>41202.0</v>
      </c>
      <c r="B194" s="9" t="s">
        <v>208</v>
      </c>
      <c r="C194" s="8">
        <v>1192.0</v>
      </c>
      <c r="D194" s="8">
        <v>498.4444559812546</v>
      </c>
      <c r="E194" s="8">
        <v>1920.0</v>
      </c>
      <c r="F194" s="10">
        <f t="shared" si="1"/>
        <v>0.6208333333</v>
      </c>
      <c r="G194" s="10">
        <f t="shared" si="2"/>
        <v>0.4181581007</v>
      </c>
      <c r="H194" s="10">
        <f t="shared" si="3"/>
        <v>0.2596064875</v>
      </c>
      <c r="I194" s="8">
        <v>42.0</v>
      </c>
      <c r="J194" s="8">
        <v>15.333333671092987</v>
      </c>
      <c r="K194" s="8">
        <v>73.0</v>
      </c>
      <c r="L194" s="11">
        <f t="shared" si="4"/>
        <v>0.5753424658</v>
      </c>
      <c r="M194" s="12">
        <f t="shared" si="5"/>
        <v>0.3650793731</v>
      </c>
      <c r="N194" s="13">
        <f t="shared" si="6"/>
        <v>0.2100456667</v>
      </c>
      <c r="O194" s="14">
        <f t="shared" si="7"/>
        <v>0.8090925183</v>
      </c>
      <c r="P194" s="15"/>
      <c r="Q194" s="15"/>
      <c r="AD194" s="20"/>
    </row>
    <row r="195" ht="15.75" customHeight="1">
      <c r="A195" s="8">
        <v>41301.0</v>
      </c>
      <c r="B195" s="9" t="s">
        <v>209</v>
      </c>
      <c r="C195" s="8">
        <v>3810.0</v>
      </c>
      <c r="D195" s="8">
        <v>1735.66670691967</v>
      </c>
      <c r="E195" s="8">
        <v>5284.0</v>
      </c>
      <c r="F195" s="10">
        <f t="shared" si="1"/>
        <v>0.7210446631</v>
      </c>
      <c r="G195" s="10">
        <f t="shared" si="2"/>
        <v>0.4555555661</v>
      </c>
      <c r="H195" s="10">
        <f t="shared" si="3"/>
        <v>0.3284759097</v>
      </c>
      <c r="I195" s="8">
        <v>128.0</v>
      </c>
      <c r="J195" s="8">
        <v>56.88889044523239</v>
      </c>
      <c r="K195" s="8">
        <v>210.0</v>
      </c>
      <c r="L195" s="11">
        <f t="shared" si="4"/>
        <v>0.6095238095</v>
      </c>
      <c r="M195" s="12">
        <f t="shared" si="5"/>
        <v>0.4444444566</v>
      </c>
      <c r="N195" s="13">
        <f t="shared" si="6"/>
        <v>0.2708994783</v>
      </c>
      <c r="O195" s="14">
        <f t="shared" si="7"/>
        <v>0.8247164261</v>
      </c>
      <c r="P195" s="15"/>
      <c r="Q195" s="15"/>
      <c r="AD195" s="20"/>
    </row>
    <row r="196" ht="15.75" customHeight="1">
      <c r="A196" s="8">
        <v>41401.0</v>
      </c>
      <c r="B196" s="9" t="s">
        <v>210</v>
      </c>
      <c r="C196" s="8">
        <v>6627.0</v>
      </c>
      <c r="D196" s="8">
        <v>3095.6667436361313</v>
      </c>
      <c r="E196" s="8">
        <v>11335.0</v>
      </c>
      <c r="F196" s="10">
        <f t="shared" si="1"/>
        <v>0.5846493163</v>
      </c>
      <c r="G196" s="10">
        <f t="shared" si="2"/>
        <v>0.4671294317</v>
      </c>
      <c r="H196" s="10">
        <f t="shared" si="3"/>
        <v>0.2731069028</v>
      </c>
      <c r="I196" s="8">
        <v>309.0</v>
      </c>
      <c r="J196" s="8">
        <v>120.33333623409271</v>
      </c>
      <c r="K196" s="8">
        <v>1757.0</v>
      </c>
      <c r="L196" s="11">
        <f t="shared" si="4"/>
        <v>0.1758679567</v>
      </c>
      <c r="M196" s="12">
        <f t="shared" si="5"/>
        <v>0.3894282726</v>
      </c>
      <c r="N196" s="13">
        <f t="shared" si="6"/>
        <v>0.0684879546</v>
      </c>
      <c r="O196" s="14">
        <f t="shared" si="7"/>
        <v>0.2507734293</v>
      </c>
      <c r="P196" s="15"/>
      <c r="Q196" s="15"/>
      <c r="AD196" s="20"/>
    </row>
    <row r="197" ht="15.75" customHeight="1">
      <c r="A197" s="8">
        <v>41501.0</v>
      </c>
      <c r="B197" s="9" t="s">
        <v>211</v>
      </c>
      <c r="C197" s="8">
        <v>301.0</v>
      </c>
      <c r="D197" s="8">
        <v>134.00000321865082</v>
      </c>
      <c r="E197" s="8">
        <v>427.0</v>
      </c>
      <c r="F197" s="10">
        <f t="shared" si="1"/>
        <v>0.7049180328</v>
      </c>
      <c r="G197" s="10">
        <f t="shared" si="2"/>
        <v>0.4451827349</v>
      </c>
      <c r="H197" s="10">
        <f t="shared" si="3"/>
        <v>0.3138173377</v>
      </c>
      <c r="I197" s="8">
        <v>47.0</v>
      </c>
      <c r="J197" s="8">
        <v>21.44444516301155</v>
      </c>
      <c r="K197" s="8">
        <v>80.0</v>
      </c>
      <c r="L197" s="11">
        <f t="shared" si="4"/>
        <v>0.5875</v>
      </c>
      <c r="M197" s="12">
        <f t="shared" si="5"/>
        <v>0.4562647907</v>
      </c>
      <c r="N197" s="13">
        <f t="shared" si="6"/>
        <v>0.2680555645</v>
      </c>
      <c r="O197" s="14">
        <f t="shared" si="7"/>
        <v>0.8541770396</v>
      </c>
      <c r="P197" s="15"/>
      <c r="Q197" s="15"/>
      <c r="AD197" s="20"/>
    </row>
    <row r="198" ht="15.75" customHeight="1">
      <c r="A198" s="8">
        <v>41502.0</v>
      </c>
      <c r="B198" s="9" t="s">
        <v>212</v>
      </c>
      <c r="C198" s="8">
        <v>455.0</v>
      </c>
      <c r="D198" s="8">
        <v>211.8888940513134</v>
      </c>
      <c r="E198" s="8">
        <v>620.0</v>
      </c>
      <c r="F198" s="10">
        <f t="shared" si="1"/>
        <v>0.7338709677</v>
      </c>
      <c r="G198" s="10">
        <f t="shared" si="2"/>
        <v>0.465689877</v>
      </c>
      <c r="H198" s="10">
        <f t="shared" si="3"/>
        <v>0.3417562807</v>
      </c>
      <c r="I198" s="8">
        <v>15.0</v>
      </c>
      <c r="J198" s="8">
        <v>6.444444507360458</v>
      </c>
      <c r="K198" s="8">
        <v>41.0</v>
      </c>
      <c r="L198" s="11">
        <f t="shared" si="4"/>
        <v>0.3658536585</v>
      </c>
      <c r="M198" s="12">
        <f t="shared" si="5"/>
        <v>0.4296296338</v>
      </c>
      <c r="N198" s="13">
        <f t="shared" si="6"/>
        <v>0.1571815734</v>
      </c>
      <c r="O198" s="14">
        <f t="shared" si="7"/>
        <v>0.4599229984</v>
      </c>
      <c r="P198" s="15"/>
      <c r="Q198" s="15"/>
      <c r="AD198" s="20"/>
    </row>
    <row r="199" ht="15.75" customHeight="1">
      <c r="A199" s="8">
        <v>41503.0</v>
      </c>
      <c r="B199" s="9" t="s">
        <v>213</v>
      </c>
      <c r="C199" s="8">
        <v>542.0</v>
      </c>
      <c r="D199" s="8">
        <v>255.22222891449928</v>
      </c>
      <c r="E199" s="8">
        <v>718.0</v>
      </c>
      <c r="F199" s="10">
        <f t="shared" si="1"/>
        <v>0.7548746518</v>
      </c>
      <c r="G199" s="10">
        <f t="shared" si="2"/>
        <v>0.4708897212</v>
      </c>
      <c r="H199" s="10">
        <f t="shared" si="3"/>
        <v>0.3554627144</v>
      </c>
      <c r="I199" s="8">
        <v>97.0</v>
      </c>
      <c r="J199" s="8">
        <v>43.66666769981384</v>
      </c>
      <c r="K199" s="8">
        <v>122.0</v>
      </c>
      <c r="L199" s="11">
        <f t="shared" si="4"/>
        <v>0.7950819672</v>
      </c>
      <c r="M199" s="12">
        <f t="shared" si="5"/>
        <v>0.450171832</v>
      </c>
      <c r="N199" s="13">
        <f t="shared" si="6"/>
        <v>0.3579235057</v>
      </c>
      <c r="O199" s="14">
        <f t="shared" si="7"/>
        <v>1.006922783</v>
      </c>
      <c r="P199" s="15"/>
      <c r="Q199" s="15"/>
      <c r="AD199" s="20"/>
    </row>
    <row r="200" ht="15.75" customHeight="1">
      <c r="A200" s="8">
        <v>41601.0</v>
      </c>
      <c r="B200" s="9" t="s">
        <v>214</v>
      </c>
      <c r="C200" s="8">
        <v>3995.0</v>
      </c>
      <c r="D200" s="8">
        <v>1840.2222644388676</v>
      </c>
      <c r="E200" s="8">
        <v>5212.0</v>
      </c>
      <c r="F200" s="10">
        <f t="shared" si="1"/>
        <v>0.7665003837</v>
      </c>
      <c r="G200" s="10">
        <f t="shared" si="2"/>
        <v>0.4606313553</v>
      </c>
      <c r="H200" s="10">
        <f t="shared" si="3"/>
        <v>0.3530741106</v>
      </c>
      <c r="I200" s="8">
        <v>152.0</v>
      </c>
      <c r="J200" s="8">
        <v>65.55555698275566</v>
      </c>
      <c r="K200" s="8">
        <v>251.0</v>
      </c>
      <c r="L200" s="11">
        <f t="shared" si="4"/>
        <v>0.6055776892</v>
      </c>
      <c r="M200" s="12">
        <f t="shared" si="5"/>
        <v>0.4312865591</v>
      </c>
      <c r="N200" s="13">
        <f t="shared" si="6"/>
        <v>0.2611775179</v>
      </c>
      <c r="O200" s="14">
        <f t="shared" si="7"/>
        <v>0.7397243525</v>
      </c>
      <c r="P200" s="15"/>
      <c r="Q200" s="15"/>
      <c r="AD200" s="20"/>
    </row>
    <row r="201" ht="15.75" customHeight="1">
      <c r="A201" s="8">
        <v>50101.0</v>
      </c>
      <c r="B201" s="9" t="s">
        <v>215</v>
      </c>
      <c r="C201" s="8">
        <v>19605.0</v>
      </c>
      <c r="D201" s="8">
        <v>8204.000210553408</v>
      </c>
      <c r="E201" s="8">
        <v>98373.0</v>
      </c>
      <c r="F201" s="10">
        <f t="shared" si="1"/>
        <v>0.1992924888</v>
      </c>
      <c r="G201" s="10">
        <f t="shared" si="2"/>
        <v>0.4184646881</v>
      </c>
      <c r="H201" s="10">
        <f t="shared" si="3"/>
        <v>0.08339686917</v>
      </c>
      <c r="I201" s="8">
        <v>3795.0</v>
      </c>
      <c r="J201" s="8">
        <v>1434.222259014845</v>
      </c>
      <c r="K201" s="8">
        <v>89530.0</v>
      </c>
      <c r="L201" s="11">
        <f t="shared" si="4"/>
        <v>0.04238802636</v>
      </c>
      <c r="M201" s="12">
        <f t="shared" si="5"/>
        <v>0.3779241789</v>
      </c>
      <c r="N201" s="13">
        <f t="shared" si="6"/>
        <v>0.01601946006</v>
      </c>
      <c r="O201" s="14">
        <f t="shared" si="7"/>
        <v>0.1920870678</v>
      </c>
      <c r="P201" s="15"/>
      <c r="Q201" s="15"/>
      <c r="AD201" s="20"/>
    </row>
    <row r="202" ht="15.75" customHeight="1">
      <c r="A202" s="8">
        <v>50102.0</v>
      </c>
      <c r="B202" s="9" t="s">
        <v>216</v>
      </c>
      <c r="C202" s="8">
        <v>22778.0</v>
      </c>
      <c r="D202" s="8">
        <v>12239.000332474709</v>
      </c>
      <c r="E202" s="8">
        <v>26262.0</v>
      </c>
      <c r="F202" s="10">
        <f t="shared" si="1"/>
        <v>0.8673368365</v>
      </c>
      <c r="G202" s="10">
        <f t="shared" si="2"/>
        <v>0.5373167237</v>
      </c>
      <c r="H202" s="10">
        <f t="shared" si="3"/>
        <v>0.4660345873</v>
      </c>
      <c r="I202" s="8">
        <v>583.0</v>
      </c>
      <c r="J202" s="8">
        <v>290.4444522857666</v>
      </c>
      <c r="K202" s="8">
        <v>832.0</v>
      </c>
      <c r="L202" s="11">
        <f t="shared" si="4"/>
        <v>0.7007211538</v>
      </c>
      <c r="M202" s="12">
        <f t="shared" si="5"/>
        <v>0.498189455</v>
      </c>
      <c r="N202" s="13">
        <f t="shared" si="6"/>
        <v>0.3490918898</v>
      </c>
      <c r="O202" s="14">
        <f t="shared" si="7"/>
        <v>0.7490686298</v>
      </c>
      <c r="P202" s="15"/>
      <c r="Q202" s="15"/>
      <c r="AD202" s="20"/>
    </row>
    <row r="203" ht="15.75" customHeight="1">
      <c r="A203" s="8">
        <v>50103.0</v>
      </c>
      <c r="B203" s="9" t="s">
        <v>217</v>
      </c>
      <c r="C203" s="8">
        <v>3039.0</v>
      </c>
      <c r="D203" s="8">
        <v>1262.8889200389385</v>
      </c>
      <c r="E203" s="8">
        <v>8279.0</v>
      </c>
      <c r="F203" s="10">
        <f t="shared" si="1"/>
        <v>0.367073318</v>
      </c>
      <c r="G203" s="10">
        <f t="shared" si="2"/>
        <v>0.4155606844</v>
      </c>
      <c r="H203" s="10">
        <f t="shared" si="3"/>
        <v>0.1525412393</v>
      </c>
      <c r="I203" s="8">
        <v>153.0</v>
      </c>
      <c r="J203" s="8">
        <v>61.111112505197525</v>
      </c>
      <c r="K203" s="8">
        <v>522.0</v>
      </c>
      <c r="L203" s="11">
        <f t="shared" si="4"/>
        <v>0.2931034483</v>
      </c>
      <c r="M203" s="12">
        <f t="shared" si="5"/>
        <v>0.399419036</v>
      </c>
      <c r="N203" s="13">
        <f t="shared" si="6"/>
        <v>0.1170710968</v>
      </c>
      <c r="O203" s="14">
        <f t="shared" si="7"/>
        <v>0.7674717821</v>
      </c>
      <c r="P203" s="15"/>
      <c r="Q203" s="15"/>
      <c r="AD203" s="20"/>
    </row>
    <row r="204" ht="15.75" customHeight="1">
      <c r="A204" s="8">
        <v>50104.0</v>
      </c>
      <c r="B204" s="9" t="s">
        <v>218</v>
      </c>
      <c r="C204" s="8">
        <v>1705.0</v>
      </c>
      <c r="D204" s="8">
        <v>765.2222422659397</v>
      </c>
      <c r="E204" s="8">
        <v>2700.0</v>
      </c>
      <c r="F204" s="10">
        <f t="shared" si="1"/>
        <v>0.6314814815</v>
      </c>
      <c r="G204" s="10">
        <f t="shared" si="2"/>
        <v>0.4488106993</v>
      </c>
      <c r="H204" s="10">
        <f t="shared" si="3"/>
        <v>0.2834156453</v>
      </c>
      <c r="I204" s="8">
        <v>31.0</v>
      </c>
      <c r="J204" s="8">
        <v>11.777777999639511</v>
      </c>
      <c r="K204" s="8">
        <v>54.0</v>
      </c>
      <c r="L204" s="11">
        <f t="shared" si="4"/>
        <v>0.5740740741</v>
      </c>
      <c r="M204" s="12">
        <f t="shared" si="5"/>
        <v>0.3799283226</v>
      </c>
      <c r="N204" s="13">
        <f t="shared" si="6"/>
        <v>0.218107</v>
      </c>
      <c r="O204" s="14">
        <f t="shared" si="7"/>
        <v>0.769565843</v>
      </c>
      <c r="P204" s="15"/>
      <c r="Q204" s="15"/>
      <c r="AD204" s="20"/>
    </row>
    <row r="205" ht="15.75" customHeight="1">
      <c r="A205" s="8">
        <v>50201.0</v>
      </c>
      <c r="B205" s="9" t="s">
        <v>219</v>
      </c>
      <c r="C205" s="8">
        <v>10094.0</v>
      </c>
      <c r="D205" s="8">
        <v>4409.444555461407</v>
      </c>
      <c r="E205" s="8">
        <v>18269.0</v>
      </c>
      <c r="F205" s="10">
        <f t="shared" si="1"/>
        <v>0.5525206634</v>
      </c>
      <c r="G205" s="10">
        <f t="shared" si="2"/>
        <v>0.4368381767</v>
      </c>
      <c r="H205" s="10">
        <f t="shared" si="3"/>
        <v>0.2413621192</v>
      </c>
      <c r="I205" s="8">
        <v>480.0</v>
      </c>
      <c r="J205" s="8">
        <v>189.44444912672043</v>
      </c>
      <c r="K205" s="8">
        <v>3280.0</v>
      </c>
      <c r="L205" s="11">
        <f t="shared" si="4"/>
        <v>0.1463414634</v>
      </c>
      <c r="M205" s="12">
        <f t="shared" si="5"/>
        <v>0.3946759357</v>
      </c>
      <c r="N205" s="13">
        <f t="shared" si="6"/>
        <v>0.057757454</v>
      </c>
      <c r="O205" s="14">
        <f t="shared" si="7"/>
        <v>0.2392979238</v>
      </c>
      <c r="P205" s="15"/>
      <c r="Q205" s="15"/>
      <c r="AD205" s="20"/>
    </row>
    <row r="206" ht="15.75" customHeight="1">
      <c r="A206" s="8">
        <v>50202.0</v>
      </c>
      <c r="B206" s="9" t="s">
        <v>220</v>
      </c>
      <c r="C206" s="8">
        <v>8766.0</v>
      </c>
      <c r="D206" s="8">
        <v>3831.333429902792</v>
      </c>
      <c r="E206" s="8">
        <v>15113.0</v>
      </c>
      <c r="F206" s="10">
        <f t="shared" si="1"/>
        <v>0.5800304374</v>
      </c>
      <c r="G206" s="10">
        <f t="shared" si="2"/>
        <v>0.4370674686</v>
      </c>
      <c r="H206" s="10">
        <f t="shared" si="3"/>
        <v>0.253512435</v>
      </c>
      <c r="I206" s="8">
        <v>253.0</v>
      </c>
      <c r="J206" s="8">
        <v>101.2222244143486</v>
      </c>
      <c r="K206" s="8">
        <v>830.0</v>
      </c>
      <c r="L206" s="11">
        <f t="shared" si="4"/>
        <v>0.3048192771</v>
      </c>
      <c r="M206" s="12">
        <f t="shared" si="5"/>
        <v>0.4000878435</v>
      </c>
      <c r="N206" s="13">
        <f t="shared" si="6"/>
        <v>0.1219544872</v>
      </c>
      <c r="O206" s="14">
        <f t="shared" si="7"/>
        <v>0.4810591924</v>
      </c>
      <c r="P206" s="15"/>
      <c r="Q206" s="15"/>
      <c r="AD206" s="20"/>
    </row>
    <row r="207" ht="15.75" customHeight="1">
      <c r="A207" s="8">
        <v>50203.0</v>
      </c>
      <c r="B207" s="9" t="s">
        <v>221</v>
      </c>
      <c r="C207" s="8">
        <v>9961.0</v>
      </c>
      <c r="D207" s="8">
        <v>4165.888996571302</v>
      </c>
      <c r="E207" s="8">
        <v>29405.0</v>
      </c>
      <c r="F207" s="10">
        <f t="shared" si="1"/>
        <v>0.3387519129</v>
      </c>
      <c r="G207" s="10">
        <f t="shared" si="2"/>
        <v>0.4182199575</v>
      </c>
      <c r="H207" s="10">
        <f t="shared" si="3"/>
        <v>0.1416728106</v>
      </c>
      <c r="I207" s="8">
        <v>1304.0</v>
      </c>
      <c r="J207" s="8">
        <v>509.88890132308006</v>
      </c>
      <c r="K207" s="8">
        <v>10970.0</v>
      </c>
      <c r="L207" s="11">
        <f t="shared" si="4"/>
        <v>0.1188696445</v>
      </c>
      <c r="M207" s="12">
        <f t="shared" si="5"/>
        <v>0.3910190961</v>
      </c>
      <c r="N207" s="13">
        <f t="shared" si="6"/>
        <v>0.04648030094</v>
      </c>
      <c r="O207" s="14">
        <f t="shared" si="7"/>
        <v>0.3280820133</v>
      </c>
      <c r="P207" s="15"/>
      <c r="Q207" s="15"/>
      <c r="AD207" s="20"/>
    </row>
    <row r="208" ht="15.75" customHeight="1">
      <c r="A208" s="8">
        <v>50204.0</v>
      </c>
      <c r="B208" s="9" t="s">
        <v>222</v>
      </c>
      <c r="C208" s="8">
        <v>5634.0</v>
      </c>
      <c r="D208" s="8">
        <v>2705.555627197027</v>
      </c>
      <c r="E208" s="8">
        <v>7593.0</v>
      </c>
      <c r="F208" s="10">
        <f t="shared" si="1"/>
        <v>0.7419992098</v>
      </c>
      <c r="G208" s="10">
        <f t="shared" si="2"/>
        <v>0.4802193162</v>
      </c>
      <c r="H208" s="10">
        <f t="shared" si="3"/>
        <v>0.3563223531</v>
      </c>
      <c r="I208" s="8">
        <v>103.0</v>
      </c>
      <c r="J208" s="8">
        <v>43.77777877449989</v>
      </c>
      <c r="K208" s="8">
        <v>318.0</v>
      </c>
      <c r="L208" s="11">
        <f t="shared" si="4"/>
        <v>0.3238993711</v>
      </c>
      <c r="M208" s="12">
        <f t="shared" si="5"/>
        <v>0.4250269784</v>
      </c>
      <c r="N208" s="13">
        <f t="shared" si="6"/>
        <v>0.137665971</v>
      </c>
      <c r="O208" s="14">
        <f t="shared" si="7"/>
        <v>0.386352329</v>
      </c>
      <c r="P208" s="15"/>
      <c r="Q208" s="15"/>
      <c r="AD208" s="20"/>
    </row>
    <row r="209" ht="15.75" customHeight="1">
      <c r="A209" s="8">
        <v>50301.0</v>
      </c>
      <c r="B209" s="9" t="s">
        <v>223</v>
      </c>
      <c r="C209" s="8">
        <v>19841.0</v>
      </c>
      <c r="D209" s="8">
        <v>9463.333581745625</v>
      </c>
      <c r="E209" s="8">
        <v>31987.0</v>
      </c>
      <c r="F209" s="10">
        <f t="shared" si="1"/>
        <v>0.6202832401</v>
      </c>
      <c r="G209" s="10">
        <f t="shared" si="2"/>
        <v>0.4769584992</v>
      </c>
      <c r="H209" s="10">
        <f t="shared" si="3"/>
        <v>0.2958493632</v>
      </c>
      <c r="I209" s="8">
        <v>497.0</v>
      </c>
      <c r="J209" s="8">
        <v>208.77778261899948</v>
      </c>
      <c r="K209" s="8">
        <v>1656.0</v>
      </c>
      <c r="L209" s="11">
        <f t="shared" si="4"/>
        <v>0.3001207729</v>
      </c>
      <c r="M209" s="12">
        <f t="shared" si="5"/>
        <v>0.4200760214</v>
      </c>
      <c r="N209" s="13">
        <f t="shared" si="6"/>
        <v>0.1260735402</v>
      </c>
      <c r="O209" s="14">
        <f t="shared" si="7"/>
        <v>0.426140989</v>
      </c>
      <c r="P209" s="15"/>
      <c r="Q209" s="15"/>
      <c r="AD209" s="20"/>
    </row>
    <row r="210" ht="15.75" customHeight="1">
      <c r="A210" s="8">
        <v>50302.0</v>
      </c>
      <c r="B210" s="9" t="s">
        <v>224</v>
      </c>
      <c r="C210" s="8">
        <v>5254.0</v>
      </c>
      <c r="D210" s="8">
        <v>2328.7778368890285</v>
      </c>
      <c r="E210" s="8">
        <v>9393.0</v>
      </c>
      <c r="F210" s="10">
        <f t="shared" si="1"/>
        <v>0.5593527095</v>
      </c>
      <c r="G210" s="10">
        <f t="shared" si="2"/>
        <v>0.4432390249</v>
      </c>
      <c r="H210" s="10">
        <f t="shared" si="3"/>
        <v>0.2479269495</v>
      </c>
      <c r="I210" s="8">
        <v>223.0</v>
      </c>
      <c r="J210" s="8">
        <v>93.88889148831367</v>
      </c>
      <c r="K210" s="8">
        <v>414.0</v>
      </c>
      <c r="L210" s="11">
        <f t="shared" si="4"/>
        <v>0.538647343</v>
      </c>
      <c r="M210" s="12">
        <f t="shared" si="5"/>
        <v>0.4210264192</v>
      </c>
      <c r="N210" s="13">
        <f t="shared" si="6"/>
        <v>0.226784762</v>
      </c>
      <c r="O210" s="14">
        <f t="shared" si="7"/>
        <v>0.9147241253</v>
      </c>
      <c r="P210" s="15"/>
      <c r="Q210" s="15"/>
      <c r="AD210" s="20"/>
    </row>
    <row r="211" ht="15.75" customHeight="1">
      <c r="A211" s="8">
        <v>50303.0</v>
      </c>
      <c r="B211" s="9" t="s">
        <v>225</v>
      </c>
      <c r="C211" s="8">
        <v>10326.0</v>
      </c>
      <c r="D211" s="8">
        <v>5448.111261963844</v>
      </c>
      <c r="E211" s="8">
        <v>11168.0</v>
      </c>
      <c r="F211" s="10">
        <f t="shared" si="1"/>
        <v>0.9246060172</v>
      </c>
      <c r="G211" s="10">
        <f t="shared" si="2"/>
        <v>0.5276110074</v>
      </c>
      <c r="H211" s="10">
        <f t="shared" si="3"/>
        <v>0.4878323121</v>
      </c>
      <c r="I211" s="8">
        <v>437.0</v>
      </c>
      <c r="J211" s="8">
        <v>195.88889381289482</v>
      </c>
      <c r="K211" s="8">
        <v>527.0</v>
      </c>
      <c r="L211" s="11">
        <f t="shared" si="4"/>
        <v>0.8292220114</v>
      </c>
      <c r="M211" s="12">
        <f t="shared" si="5"/>
        <v>0.4482583382</v>
      </c>
      <c r="N211" s="13">
        <f t="shared" si="6"/>
        <v>0.3717056809</v>
      </c>
      <c r="O211" s="14">
        <f t="shared" si="7"/>
        <v>0.7619537936</v>
      </c>
      <c r="P211" s="15"/>
      <c r="Q211" s="15"/>
      <c r="AD211" s="20"/>
    </row>
    <row r="212" ht="15.75" customHeight="1">
      <c r="A212" s="8">
        <v>50401.0</v>
      </c>
      <c r="B212" s="9" t="s">
        <v>226</v>
      </c>
      <c r="C212" s="8">
        <v>10858.0</v>
      </c>
      <c r="D212" s="8">
        <v>5666.555714279413</v>
      </c>
      <c r="E212" s="8">
        <v>14373.0</v>
      </c>
      <c r="F212" s="10">
        <f t="shared" si="1"/>
        <v>0.7554442357</v>
      </c>
      <c r="G212" s="10">
        <f t="shared" si="2"/>
        <v>0.5218784043</v>
      </c>
      <c r="H212" s="10">
        <f t="shared" si="3"/>
        <v>0.3942500323</v>
      </c>
      <c r="I212" s="8">
        <v>325.0</v>
      </c>
      <c r="J212" s="8">
        <v>149.44444835186005</v>
      </c>
      <c r="K212" s="8">
        <v>696.0</v>
      </c>
      <c r="L212" s="11">
        <f t="shared" si="4"/>
        <v>0.466954023</v>
      </c>
      <c r="M212" s="12">
        <f t="shared" si="5"/>
        <v>0.4598290719</v>
      </c>
      <c r="N212" s="13">
        <f t="shared" si="6"/>
        <v>0.214719035</v>
      </c>
      <c r="O212" s="14">
        <f t="shared" si="7"/>
        <v>0.5446265501</v>
      </c>
      <c r="P212" s="15"/>
      <c r="Q212" s="15"/>
      <c r="AD212" s="20"/>
    </row>
    <row r="213" ht="15.75" customHeight="1">
      <c r="A213" s="8">
        <v>50402.0</v>
      </c>
      <c r="B213" s="9" t="s">
        <v>227</v>
      </c>
      <c r="C213" s="8">
        <v>16788.0</v>
      </c>
      <c r="D213" s="8">
        <v>8872.444683730602</v>
      </c>
      <c r="E213" s="8">
        <v>20419.0</v>
      </c>
      <c r="F213" s="10">
        <f t="shared" si="1"/>
        <v>0.8221754248</v>
      </c>
      <c r="G213" s="10">
        <f t="shared" si="2"/>
        <v>0.5284992068</v>
      </c>
      <c r="H213" s="10">
        <f t="shared" si="3"/>
        <v>0.4345190599</v>
      </c>
      <c r="I213" s="8">
        <v>343.0</v>
      </c>
      <c r="J213" s="8">
        <v>154.7777819633484</v>
      </c>
      <c r="K213" s="8">
        <v>622.0</v>
      </c>
      <c r="L213" s="11">
        <f t="shared" si="4"/>
        <v>0.5514469453</v>
      </c>
      <c r="M213" s="12">
        <f t="shared" si="5"/>
        <v>0.4512471777</v>
      </c>
      <c r="N213" s="13">
        <f t="shared" si="6"/>
        <v>0.2488388778</v>
      </c>
      <c r="O213" s="14">
        <f t="shared" si="7"/>
        <v>0.5726765538</v>
      </c>
      <c r="P213" s="15"/>
      <c r="Q213" s="15"/>
      <c r="AD213" s="20"/>
    </row>
    <row r="214" ht="15.75" customHeight="1">
      <c r="A214" s="8">
        <v>50403.0</v>
      </c>
      <c r="B214" s="9" t="s">
        <v>228</v>
      </c>
      <c r="C214" s="8">
        <v>19127.0</v>
      </c>
      <c r="D214" s="8">
        <v>9038.22246274352</v>
      </c>
      <c r="E214" s="8">
        <v>25155.0</v>
      </c>
      <c r="F214" s="10">
        <f t="shared" si="1"/>
        <v>0.7603657325</v>
      </c>
      <c r="G214" s="10">
        <f t="shared" si="2"/>
        <v>0.4725373798</v>
      </c>
      <c r="H214" s="10">
        <f t="shared" si="3"/>
        <v>0.3593012309</v>
      </c>
      <c r="I214" s="8">
        <v>649.0</v>
      </c>
      <c r="J214" s="8">
        <v>290.00000727176666</v>
      </c>
      <c r="K214" s="8">
        <v>1018.0</v>
      </c>
      <c r="L214" s="11">
        <f t="shared" si="4"/>
        <v>0.637524558</v>
      </c>
      <c r="M214" s="12">
        <f t="shared" si="5"/>
        <v>0.4468413055</v>
      </c>
      <c r="N214" s="13">
        <f t="shared" si="6"/>
        <v>0.2848723058</v>
      </c>
      <c r="O214" s="14">
        <f t="shared" si="7"/>
        <v>0.7928509042</v>
      </c>
      <c r="P214" s="15"/>
      <c r="Q214" s="15"/>
      <c r="AD214" s="20"/>
    </row>
    <row r="215" ht="15.75" customHeight="1">
      <c r="A215" s="8">
        <v>50404.0</v>
      </c>
      <c r="B215" s="9" t="s">
        <v>229</v>
      </c>
      <c r="C215" s="8">
        <v>13400.0</v>
      </c>
      <c r="D215" s="8">
        <v>7222.889086276293</v>
      </c>
      <c r="E215" s="8">
        <v>15631.0</v>
      </c>
      <c r="F215" s="10">
        <f t="shared" si="1"/>
        <v>0.857270808</v>
      </c>
      <c r="G215" s="10">
        <f t="shared" si="2"/>
        <v>0.5390215736</v>
      </c>
      <c r="H215" s="10">
        <f t="shared" si="3"/>
        <v>0.4620874599</v>
      </c>
      <c r="I215" s="8">
        <v>253.0</v>
      </c>
      <c r="J215" s="8">
        <v>114.00000295042992</v>
      </c>
      <c r="K215" s="8">
        <v>392.0</v>
      </c>
      <c r="L215" s="11">
        <f t="shared" si="4"/>
        <v>0.6454081633</v>
      </c>
      <c r="M215" s="12">
        <f t="shared" si="5"/>
        <v>0.450592897</v>
      </c>
      <c r="N215" s="13">
        <f t="shared" si="6"/>
        <v>0.2908163341</v>
      </c>
      <c r="O215" s="14">
        <f t="shared" si="7"/>
        <v>0.6293534434</v>
      </c>
      <c r="P215" s="15"/>
      <c r="Q215" s="15"/>
      <c r="AD215" s="20"/>
    </row>
    <row r="216" ht="15.75" customHeight="1">
      <c r="A216" s="8">
        <v>50405.0</v>
      </c>
      <c r="B216" s="9" t="s">
        <v>230</v>
      </c>
      <c r="C216" s="8">
        <v>15857.0</v>
      </c>
      <c r="D216" s="8">
        <v>7737.000212073326</v>
      </c>
      <c r="E216" s="8">
        <v>19352.0</v>
      </c>
      <c r="F216" s="10">
        <f t="shared" si="1"/>
        <v>0.8193985118</v>
      </c>
      <c r="G216" s="10">
        <f t="shared" si="2"/>
        <v>0.487923328</v>
      </c>
      <c r="H216" s="10">
        <f t="shared" si="3"/>
        <v>0.3998036488</v>
      </c>
      <c r="I216" s="8">
        <v>320.0</v>
      </c>
      <c r="J216" s="8">
        <v>140.66667026281357</v>
      </c>
      <c r="K216" s="8">
        <v>481.0</v>
      </c>
      <c r="L216" s="11">
        <f t="shared" si="4"/>
        <v>0.6652806653</v>
      </c>
      <c r="M216" s="12">
        <f t="shared" si="5"/>
        <v>0.4395833446</v>
      </c>
      <c r="N216" s="13">
        <f t="shared" si="6"/>
        <v>0.2924462999</v>
      </c>
      <c r="O216" s="14">
        <f t="shared" si="7"/>
        <v>0.7314748147</v>
      </c>
      <c r="P216" s="15"/>
      <c r="Q216" s="15"/>
      <c r="AD216" s="20"/>
    </row>
    <row r="217" ht="15.75" customHeight="1">
      <c r="A217" s="8">
        <v>50501.0</v>
      </c>
      <c r="B217" s="9" t="s">
        <v>231</v>
      </c>
      <c r="C217" s="8">
        <v>26368.0</v>
      </c>
      <c r="D217" s="8">
        <v>14484.333740323782</v>
      </c>
      <c r="E217" s="8">
        <v>28860.0</v>
      </c>
      <c r="F217" s="10">
        <f t="shared" si="1"/>
        <v>0.9136521137</v>
      </c>
      <c r="G217" s="10">
        <f t="shared" si="2"/>
        <v>0.5493148415</v>
      </c>
      <c r="H217" s="10">
        <f t="shared" si="3"/>
        <v>0.501882666</v>
      </c>
      <c r="I217" s="8">
        <v>616.0</v>
      </c>
      <c r="J217" s="8">
        <v>298.44445261359215</v>
      </c>
      <c r="K217" s="8">
        <v>953.0</v>
      </c>
      <c r="L217" s="11">
        <f t="shared" si="4"/>
        <v>0.6463798531</v>
      </c>
      <c r="M217" s="12">
        <f t="shared" si="5"/>
        <v>0.4844877477</v>
      </c>
      <c r="N217" s="13">
        <f t="shared" si="6"/>
        <v>0.3131631192</v>
      </c>
      <c r="O217" s="14">
        <f t="shared" si="7"/>
        <v>0.6239767588</v>
      </c>
      <c r="P217" s="15"/>
      <c r="Q217" s="15"/>
      <c r="AD217" s="20"/>
    </row>
    <row r="218" ht="15.75" customHeight="1">
      <c r="A218" s="8">
        <v>50502.0</v>
      </c>
      <c r="B218" s="9" t="s">
        <v>232</v>
      </c>
      <c r="C218" s="8">
        <v>8097.0</v>
      </c>
      <c r="D218" s="8">
        <v>4214.444560229778</v>
      </c>
      <c r="E218" s="8">
        <v>10114.0</v>
      </c>
      <c r="F218" s="10">
        <f t="shared" si="1"/>
        <v>0.8005734625</v>
      </c>
      <c r="G218" s="10">
        <f t="shared" si="2"/>
        <v>0.5204945733</v>
      </c>
      <c r="H218" s="10">
        <f t="shared" si="3"/>
        <v>0.4166941428</v>
      </c>
      <c r="I218" s="8">
        <v>222.0</v>
      </c>
      <c r="J218" s="8">
        <v>99.77778074145317</v>
      </c>
      <c r="K218" s="8">
        <v>603.0</v>
      </c>
      <c r="L218" s="11">
        <f t="shared" si="4"/>
        <v>0.368159204</v>
      </c>
      <c r="M218" s="12">
        <f t="shared" si="5"/>
        <v>0.4494494628</v>
      </c>
      <c r="N218" s="13">
        <f t="shared" si="6"/>
        <v>0.1654689565</v>
      </c>
      <c r="O218" s="14">
        <f t="shared" si="7"/>
        <v>0.3970993097</v>
      </c>
      <c r="P218" s="15"/>
      <c r="Q218" s="15"/>
      <c r="AD218" s="20"/>
    </row>
    <row r="219" ht="15.75" customHeight="1">
      <c r="A219" s="8">
        <v>50601.0</v>
      </c>
      <c r="B219" s="9" t="s">
        <v>233</v>
      </c>
      <c r="C219" s="8">
        <v>17413.0</v>
      </c>
      <c r="D219" s="8">
        <v>7701.11130964756</v>
      </c>
      <c r="E219" s="8">
        <v>28221.0</v>
      </c>
      <c r="F219" s="10">
        <f t="shared" si="1"/>
        <v>0.6170227845</v>
      </c>
      <c r="G219" s="10">
        <f t="shared" si="2"/>
        <v>0.4422621782</v>
      </c>
      <c r="H219" s="10">
        <f t="shared" si="3"/>
        <v>0.2728858407</v>
      </c>
      <c r="I219" s="8">
        <v>1143.0</v>
      </c>
      <c r="J219" s="8">
        <v>467.8888999223709</v>
      </c>
      <c r="K219" s="8">
        <v>3225.0</v>
      </c>
      <c r="L219" s="11">
        <f t="shared" si="4"/>
        <v>0.3544186047</v>
      </c>
      <c r="M219" s="12">
        <f t="shared" si="5"/>
        <v>0.4093516185</v>
      </c>
      <c r="N219" s="13">
        <f t="shared" si="6"/>
        <v>0.1450818294</v>
      </c>
      <c r="O219" s="14">
        <f t="shared" si="7"/>
        <v>0.5316575938</v>
      </c>
      <c r="P219" s="15"/>
      <c r="Q219" s="15"/>
      <c r="AD219" s="20"/>
    </row>
    <row r="220" ht="15.75" customHeight="1">
      <c r="A220" s="8">
        <v>50602.0</v>
      </c>
      <c r="B220" s="9" t="s">
        <v>234</v>
      </c>
      <c r="C220" s="8">
        <v>5128.0</v>
      </c>
      <c r="D220" s="8">
        <v>2218.1111708283424</v>
      </c>
      <c r="E220" s="8">
        <v>9924.0</v>
      </c>
      <c r="F220" s="10">
        <f t="shared" si="1"/>
        <v>0.5167271262</v>
      </c>
      <c r="G220" s="10">
        <f t="shared" si="2"/>
        <v>0.4325489803</v>
      </c>
      <c r="H220" s="10">
        <f t="shared" si="3"/>
        <v>0.2235097915</v>
      </c>
      <c r="I220" s="8">
        <v>215.0</v>
      </c>
      <c r="J220" s="8">
        <v>80.88889074325562</v>
      </c>
      <c r="K220" s="8">
        <v>556.0</v>
      </c>
      <c r="L220" s="11">
        <f t="shared" si="4"/>
        <v>0.3866906475</v>
      </c>
      <c r="M220" s="12">
        <f t="shared" si="5"/>
        <v>0.3762273988</v>
      </c>
      <c r="N220" s="13">
        <f t="shared" si="6"/>
        <v>0.1454836164</v>
      </c>
      <c r="O220" s="14">
        <f t="shared" si="7"/>
        <v>0.6509048909</v>
      </c>
      <c r="P220" s="15"/>
      <c r="Q220" s="15"/>
      <c r="AD220" s="20"/>
    </row>
    <row r="221" ht="15.75" customHeight="1">
      <c r="A221" s="8">
        <v>50701.0</v>
      </c>
      <c r="B221" s="9" t="s">
        <v>235</v>
      </c>
      <c r="C221" s="8">
        <v>13760.0</v>
      </c>
      <c r="D221" s="8">
        <v>6662.777954697609</v>
      </c>
      <c r="E221" s="8">
        <v>18253.0</v>
      </c>
      <c r="F221" s="10">
        <f t="shared" si="1"/>
        <v>0.7538486824</v>
      </c>
      <c r="G221" s="10">
        <f t="shared" si="2"/>
        <v>0.4842135141</v>
      </c>
      <c r="H221" s="10">
        <f t="shared" si="3"/>
        <v>0.3650237196</v>
      </c>
      <c r="I221" s="8">
        <v>498.0</v>
      </c>
      <c r="J221" s="8">
        <v>245.77778443694115</v>
      </c>
      <c r="K221" s="8">
        <v>1114.0</v>
      </c>
      <c r="L221" s="11">
        <f t="shared" si="4"/>
        <v>0.447037702</v>
      </c>
      <c r="M221" s="12">
        <f t="shared" si="5"/>
        <v>0.4935296876</v>
      </c>
      <c r="N221" s="13">
        <f t="shared" si="6"/>
        <v>0.2206263774</v>
      </c>
      <c r="O221" s="14">
        <f t="shared" si="7"/>
        <v>0.6044165503</v>
      </c>
      <c r="P221" s="15"/>
      <c r="Q221" s="15"/>
      <c r="AD221" s="20"/>
    </row>
    <row r="222" ht="15.75" customHeight="1">
      <c r="A222" s="8">
        <v>50702.0</v>
      </c>
      <c r="B222" s="9" t="s">
        <v>236</v>
      </c>
      <c r="C222" s="8">
        <v>6223.0</v>
      </c>
      <c r="D222" s="8">
        <v>2744.222293227911</v>
      </c>
      <c r="E222" s="8">
        <v>8433.0</v>
      </c>
      <c r="F222" s="10">
        <f t="shared" si="1"/>
        <v>0.7379343057</v>
      </c>
      <c r="G222" s="10">
        <f t="shared" si="2"/>
        <v>0.4409806031</v>
      </c>
      <c r="H222" s="10">
        <f t="shared" si="3"/>
        <v>0.3254147152</v>
      </c>
      <c r="I222" s="8">
        <v>61.0</v>
      </c>
      <c r="J222" s="8">
        <v>25.222223103046417</v>
      </c>
      <c r="K222" s="8">
        <v>212.0</v>
      </c>
      <c r="L222" s="11">
        <f t="shared" si="4"/>
        <v>0.2877358491</v>
      </c>
      <c r="M222" s="12">
        <f t="shared" si="5"/>
        <v>0.4134790673</v>
      </c>
      <c r="N222" s="13">
        <f t="shared" si="6"/>
        <v>0.1189727505</v>
      </c>
      <c r="O222" s="14">
        <f t="shared" si="7"/>
        <v>0.3656034744</v>
      </c>
      <c r="P222" s="15"/>
      <c r="Q222" s="15"/>
      <c r="AD222" s="20"/>
    </row>
    <row r="223" ht="15.75" customHeight="1">
      <c r="A223" s="8">
        <v>50801.0</v>
      </c>
      <c r="B223" s="9" t="s">
        <v>237</v>
      </c>
      <c r="C223" s="8">
        <v>11378.0</v>
      </c>
      <c r="D223" s="8">
        <v>5013.00013178587</v>
      </c>
      <c r="E223" s="8">
        <v>37149.0</v>
      </c>
      <c r="F223" s="10">
        <f t="shared" si="1"/>
        <v>0.3062801152</v>
      </c>
      <c r="G223" s="10">
        <f t="shared" si="2"/>
        <v>0.4405871095</v>
      </c>
      <c r="H223" s="10">
        <f t="shared" si="3"/>
        <v>0.1349430707</v>
      </c>
      <c r="I223" s="8">
        <v>1873.0</v>
      </c>
      <c r="J223" s="8">
        <v>788.4444638192654</v>
      </c>
      <c r="K223" s="8">
        <v>6570.0</v>
      </c>
      <c r="L223" s="11">
        <f t="shared" si="4"/>
        <v>0.2850837139</v>
      </c>
      <c r="M223" s="12">
        <f t="shared" si="5"/>
        <v>0.4209527303</v>
      </c>
      <c r="N223" s="13">
        <f t="shared" si="6"/>
        <v>0.1200067677</v>
      </c>
      <c r="O223" s="14">
        <f t="shared" si="7"/>
        <v>0.8893140427</v>
      </c>
      <c r="P223" s="15"/>
      <c r="Q223" s="15"/>
      <c r="AD223" s="20"/>
    </row>
    <row r="224" ht="15.75" customHeight="1">
      <c r="A224" s="8">
        <v>50802.0</v>
      </c>
      <c r="B224" s="9" t="s">
        <v>238</v>
      </c>
      <c r="C224" s="8">
        <v>1695.0</v>
      </c>
      <c r="D224" s="8">
        <v>695.6666848063469</v>
      </c>
      <c r="E224" s="8">
        <v>6945.0</v>
      </c>
      <c r="F224" s="10">
        <f t="shared" si="1"/>
        <v>0.2440604752</v>
      </c>
      <c r="G224" s="10">
        <f t="shared" si="2"/>
        <v>0.4104228229</v>
      </c>
      <c r="H224" s="10">
        <f t="shared" si="3"/>
        <v>0.1001679892</v>
      </c>
      <c r="I224" s="8">
        <v>569.0</v>
      </c>
      <c r="J224" s="8">
        <v>214.22222739458084</v>
      </c>
      <c r="K224" s="8">
        <v>3985.0</v>
      </c>
      <c r="L224" s="11">
        <f t="shared" si="4"/>
        <v>0.1427854454</v>
      </c>
      <c r="M224" s="12">
        <f t="shared" si="5"/>
        <v>0.3764889761</v>
      </c>
      <c r="N224" s="13">
        <f t="shared" si="6"/>
        <v>0.05375714615</v>
      </c>
      <c r="O224" s="14">
        <f t="shared" si="7"/>
        <v>0.5366699141</v>
      </c>
      <c r="P224" s="15"/>
      <c r="Q224" s="15"/>
      <c r="AD224" s="20"/>
    </row>
    <row r="225" ht="15.75" customHeight="1">
      <c r="A225" s="8">
        <v>50901.0</v>
      </c>
      <c r="B225" s="9" t="s">
        <v>239</v>
      </c>
      <c r="C225" s="8">
        <v>4992.0</v>
      </c>
      <c r="D225" s="8">
        <v>2245.5556142628193</v>
      </c>
      <c r="E225" s="8">
        <v>9549.0</v>
      </c>
      <c r="F225" s="10">
        <f t="shared" si="1"/>
        <v>0.5227772542</v>
      </c>
      <c r="G225" s="10">
        <f t="shared" si="2"/>
        <v>0.4498308522</v>
      </c>
      <c r="H225" s="10">
        <f t="shared" si="3"/>
        <v>0.2351613378</v>
      </c>
      <c r="I225" s="8">
        <v>386.0</v>
      </c>
      <c r="J225" s="8">
        <v>156.22222569584846</v>
      </c>
      <c r="K225" s="8">
        <v>1569.0</v>
      </c>
      <c r="L225" s="11">
        <f t="shared" si="4"/>
        <v>0.2460165711</v>
      </c>
      <c r="M225" s="12">
        <f t="shared" si="5"/>
        <v>0.404720792</v>
      </c>
      <c r="N225" s="13">
        <f t="shared" si="6"/>
        <v>0.09956802148</v>
      </c>
      <c r="O225" s="14">
        <f t="shared" si="7"/>
        <v>0.4234030237</v>
      </c>
      <c r="P225" s="15"/>
      <c r="Q225" s="15"/>
      <c r="AD225" s="20"/>
    </row>
    <row r="226" ht="15.75" customHeight="1">
      <c r="A226" s="8">
        <v>50902.0</v>
      </c>
      <c r="B226" s="9" t="s">
        <v>240</v>
      </c>
      <c r="C226" s="8">
        <v>262.0</v>
      </c>
      <c r="D226" s="8">
        <v>105.77778035402298</v>
      </c>
      <c r="E226" s="8">
        <v>642.0</v>
      </c>
      <c r="F226" s="10">
        <f t="shared" si="1"/>
        <v>0.4080996885</v>
      </c>
      <c r="G226" s="10">
        <f t="shared" si="2"/>
        <v>0.4037319861</v>
      </c>
      <c r="H226" s="10">
        <f t="shared" si="3"/>
        <v>0.1647628977</v>
      </c>
      <c r="I226" s="8">
        <v>179.0</v>
      </c>
      <c r="J226" s="8">
        <v>76.11111283302307</v>
      </c>
      <c r="K226" s="8">
        <v>353.0</v>
      </c>
      <c r="L226" s="11">
        <f t="shared" si="4"/>
        <v>0.507082153</v>
      </c>
      <c r="M226" s="12">
        <f t="shared" si="5"/>
        <v>0.4252017477</v>
      </c>
      <c r="N226" s="13">
        <f t="shared" si="6"/>
        <v>0.2156122177</v>
      </c>
      <c r="O226" s="14">
        <f t="shared" si="7"/>
        <v>1.30862118</v>
      </c>
      <c r="P226" s="15"/>
      <c r="Q226" s="15"/>
      <c r="AD226" s="20"/>
    </row>
    <row r="227" ht="15.75" customHeight="1">
      <c r="A227" s="8">
        <v>51001.0</v>
      </c>
      <c r="B227" s="9" t="s">
        <v>241</v>
      </c>
      <c r="C227" s="8">
        <v>1637.0</v>
      </c>
      <c r="D227" s="8">
        <v>743.3333510458469</v>
      </c>
      <c r="E227" s="8">
        <v>2536.0</v>
      </c>
      <c r="F227" s="10">
        <f t="shared" si="1"/>
        <v>0.6455047319</v>
      </c>
      <c r="G227" s="10">
        <f t="shared" si="2"/>
        <v>0.4540826824</v>
      </c>
      <c r="H227" s="10">
        <f t="shared" si="3"/>
        <v>0.2931125201</v>
      </c>
      <c r="I227" s="8">
        <v>203.0</v>
      </c>
      <c r="J227" s="8">
        <v>82.22222435474396</v>
      </c>
      <c r="K227" s="8">
        <v>422.0</v>
      </c>
      <c r="L227" s="11">
        <f t="shared" si="4"/>
        <v>0.481042654</v>
      </c>
      <c r="M227" s="12">
        <f t="shared" si="5"/>
        <v>0.405035588</v>
      </c>
      <c r="N227" s="13">
        <f t="shared" si="6"/>
        <v>0.1948393942</v>
      </c>
      <c r="O227" s="14">
        <f t="shared" si="7"/>
        <v>0.6647255945</v>
      </c>
      <c r="P227" s="15"/>
      <c r="Q227" s="15"/>
      <c r="AD227" s="20"/>
    </row>
    <row r="228" ht="15.75" customHeight="1">
      <c r="A228" s="8">
        <v>51002.0</v>
      </c>
      <c r="B228" s="9" t="s">
        <v>242</v>
      </c>
      <c r="C228" s="8">
        <v>790.0</v>
      </c>
      <c r="D228" s="8">
        <v>395.0000114738941</v>
      </c>
      <c r="E228" s="8">
        <v>1021.0</v>
      </c>
      <c r="F228" s="10">
        <f t="shared" si="1"/>
        <v>0.7737512243</v>
      </c>
      <c r="G228" s="10">
        <f t="shared" si="2"/>
        <v>0.5000000145</v>
      </c>
      <c r="H228" s="10">
        <f t="shared" si="3"/>
        <v>0.3868756234</v>
      </c>
      <c r="I228" s="8">
        <v>62.0</v>
      </c>
      <c r="J228" s="8">
        <v>21.777778446674347</v>
      </c>
      <c r="K228" s="8">
        <v>157.0</v>
      </c>
      <c r="L228" s="11">
        <f t="shared" si="4"/>
        <v>0.3949044586</v>
      </c>
      <c r="M228" s="12">
        <f t="shared" si="5"/>
        <v>0.3512544911</v>
      </c>
      <c r="N228" s="13">
        <f t="shared" si="6"/>
        <v>0.1387119646</v>
      </c>
      <c r="O228" s="14">
        <f t="shared" si="7"/>
        <v>0.3585440804</v>
      </c>
      <c r="P228" s="15"/>
      <c r="Q228" s="15"/>
      <c r="AD228" s="20"/>
    </row>
    <row r="229" ht="15.75" customHeight="1">
      <c r="A229" s="8">
        <v>51003.0</v>
      </c>
      <c r="B229" s="9" t="s">
        <v>243</v>
      </c>
      <c r="C229" s="8">
        <v>1025.0</v>
      </c>
      <c r="D229" s="8">
        <v>454.0000119507313</v>
      </c>
      <c r="E229" s="8">
        <v>1785.0</v>
      </c>
      <c r="F229" s="10">
        <f t="shared" si="1"/>
        <v>0.5742296919</v>
      </c>
      <c r="G229" s="10">
        <f t="shared" si="2"/>
        <v>0.4429268409</v>
      </c>
      <c r="H229" s="10">
        <f t="shared" si="3"/>
        <v>0.2543417434</v>
      </c>
      <c r="I229" s="8">
        <v>251.0</v>
      </c>
      <c r="J229" s="8">
        <v>103.22222459316254</v>
      </c>
      <c r="K229" s="8">
        <v>454.0</v>
      </c>
      <c r="L229" s="11">
        <f t="shared" si="4"/>
        <v>0.5528634361</v>
      </c>
      <c r="M229" s="12">
        <f t="shared" si="5"/>
        <v>0.4112439227</v>
      </c>
      <c r="N229" s="13">
        <f t="shared" si="6"/>
        <v>0.2273617282</v>
      </c>
      <c r="O229" s="14">
        <f t="shared" si="7"/>
        <v>0.8939221897</v>
      </c>
      <c r="P229" s="15"/>
      <c r="Q229" s="15"/>
      <c r="AD229" s="20"/>
    </row>
    <row r="230" ht="15.75" customHeight="1">
      <c r="A230" s="8">
        <v>51101.0</v>
      </c>
      <c r="B230" s="9" t="s">
        <v>244</v>
      </c>
      <c r="C230" s="8">
        <v>10729.0</v>
      </c>
      <c r="D230" s="8">
        <v>4727.777898907661</v>
      </c>
      <c r="E230" s="8">
        <v>20832.0</v>
      </c>
      <c r="F230" s="10">
        <f t="shared" si="1"/>
        <v>0.5150249616</v>
      </c>
      <c r="G230" s="10">
        <f t="shared" si="2"/>
        <v>0.4406541056</v>
      </c>
      <c r="H230" s="10">
        <f t="shared" si="3"/>
        <v>0.2269478638</v>
      </c>
      <c r="I230" s="8">
        <v>403.0</v>
      </c>
      <c r="J230" s="8">
        <v>167.4444484114647</v>
      </c>
      <c r="K230" s="8">
        <v>938.0</v>
      </c>
      <c r="L230" s="11">
        <f t="shared" si="4"/>
        <v>0.4296375267</v>
      </c>
      <c r="M230" s="12">
        <f t="shared" si="5"/>
        <v>0.4154949092</v>
      </c>
      <c r="N230" s="13">
        <f t="shared" si="6"/>
        <v>0.1785122051</v>
      </c>
      <c r="O230" s="14">
        <f t="shared" si="7"/>
        <v>0.7865780366</v>
      </c>
      <c r="P230" s="15"/>
      <c r="Q230" s="15"/>
      <c r="AD230" s="20"/>
    </row>
    <row r="231" ht="15.75" customHeight="1">
      <c r="A231" s="8">
        <v>51102.0</v>
      </c>
      <c r="B231" s="9" t="s">
        <v>245</v>
      </c>
      <c r="C231" s="8">
        <v>5315.0</v>
      </c>
      <c r="D231" s="8">
        <v>2278.6667224168777</v>
      </c>
      <c r="E231" s="8">
        <v>11103.0</v>
      </c>
      <c r="F231" s="10">
        <f t="shared" si="1"/>
        <v>0.4786994506</v>
      </c>
      <c r="G231" s="10">
        <f t="shared" si="2"/>
        <v>0.4287237483</v>
      </c>
      <c r="H231" s="10">
        <f t="shared" si="3"/>
        <v>0.2052298228</v>
      </c>
      <c r="I231" s="8">
        <v>232.0</v>
      </c>
      <c r="J231" s="8">
        <v>97.66666918992996</v>
      </c>
      <c r="K231" s="8">
        <v>659.0</v>
      </c>
      <c r="L231" s="11">
        <f t="shared" si="4"/>
        <v>0.3520485584</v>
      </c>
      <c r="M231" s="12">
        <f t="shared" si="5"/>
        <v>0.4209770224</v>
      </c>
      <c r="N231" s="13">
        <f t="shared" si="6"/>
        <v>0.1482043539</v>
      </c>
      <c r="O231" s="14">
        <f t="shared" si="7"/>
        <v>0.7221384877</v>
      </c>
      <c r="P231" s="15"/>
      <c r="Q231" s="15"/>
      <c r="AD231" s="20"/>
    </row>
    <row r="232" ht="15.75" customHeight="1">
      <c r="A232" s="8">
        <v>51103.0</v>
      </c>
      <c r="B232" s="9" t="s">
        <v>246</v>
      </c>
      <c r="C232" s="8">
        <v>13510.0</v>
      </c>
      <c r="D232" s="8">
        <v>7356.666863024235</v>
      </c>
      <c r="E232" s="8">
        <v>15368.0</v>
      </c>
      <c r="F232" s="10">
        <f t="shared" si="1"/>
        <v>0.8790994274</v>
      </c>
      <c r="G232" s="10">
        <f t="shared" si="2"/>
        <v>0.5445349269</v>
      </c>
      <c r="H232" s="10">
        <f t="shared" si="3"/>
        <v>0.4787003425</v>
      </c>
      <c r="I232" s="8">
        <v>216.0</v>
      </c>
      <c r="J232" s="8">
        <v>95.44444707036018</v>
      </c>
      <c r="K232" s="8">
        <v>314.0</v>
      </c>
      <c r="L232" s="11">
        <f t="shared" si="4"/>
        <v>0.6878980892</v>
      </c>
      <c r="M232" s="12">
        <f t="shared" si="5"/>
        <v>0.4418724401</v>
      </c>
      <c r="N232" s="13">
        <f t="shared" si="6"/>
        <v>0.3039632072</v>
      </c>
      <c r="O232" s="14">
        <f t="shared" si="7"/>
        <v>0.6349759552</v>
      </c>
      <c r="P232" s="15"/>
      <c r="Q232" s="15"/>
      <c r="AD232" s="20"/>
    </row>
    <row r="233" ht="15.75" customHeight="1">
      <c r="A233" s="8">
        <v>51201.0</v>
      </c>
      <c r="B233" s="9" t="s">
        <v>247</v>
      </c>
      <c r="C233" s="8">
        <v>9073.0</v>
      </c>
      <c r="D233" s="8">
        <v>4101.111218363047</v>
      </c>
      <c r="E233" s="8">
        <v>20043.0</v>
      </c>
      <c r="F233" s="10">
        <f t="shared" si="1"/>
        <v>0.452676745</v>
      </c>
      <c r="G233" s="10">
        <f t="shared" si="2"/>
        <v>0.452012699</v>
      </c>
      <c r="H233" s="10">
        <f t="shared" si="3"/>
        <v>0.2046156373</v>
      </c>
      <c r="I233" s="8">
        <v>1777.0</v>
      </c>
      <c r="J233" s="8">
        <v>725.2222408652306</v>
      </c>
      <c r="K233" s="8">
        <v>8610.0</v>
      </c>
      <c r="L233" s="11">
        <f t="shared" si="4"/>
        <v>0.206387921</v>
      </c>
      <c r="M233" s="12">
        <f t="shared" si="5"/>
        <v>0.4081160613</v>
      </c>
      <c r="N233" s="13">
        <f t="shared" si="6"/>
        <v>0.08423022542</v>
      </c>
      <c r="O233" s="14">
        <f t="shared" si="7"/>
        <v>0.4116509693</v>
      </c>
      <c r="P233" s="15"/>
      <c r="Q233" s="15"/>
      <c r="AD233" s="20"/>
    </row>
    <row r="234" ht="15.75" customHeight="1">
      <c r="A234" s="8">
        <v>51202.0</v>
      </c>
      <c r="B234" s="9" t="s">
        <v>248</v>
      </c>
      <c r="C234" s="8">
        <v>5532.0</v>
      </c>
      <c r="D234" s="8">
        <v>2462.000061392784</v>
      </c>
      <c r="E234" s="8">
        <v>8086.0</v>
      </c>
      <c r="F234" s="10">
        <f t="shared" si="1"/>
        <v>0.6841454366</v>
      </c>
      <c r="G234" s="10">
        <f t="shared" si="2"/>
        <v>0.4450470104</v>
      </c>
      <c r="H234" s="10">
        <f t="shared" si="3"/>
        <v>0.3044768812</v>
      </c>
      <c r="I234" s="8">
        <v>456.0</v>
      </c>
      <c r="J234" s="8">
        <v>205.00000467896461</v>
      </c>
      <c r="K234" s="8">
        <v>642.0</v>
      </c>
      <c r="L234" s="11">
        <f t="shared" si="4"/>
        <v>0.7102803738</v>
      </c>
      <c r="M234" s="12">
        <f t="shared" si="5"/>
        <v>0.4495614138</v>
      </c>
      <c r="N234" s="13">
        <f t="shared" si="6"/>
        <v>0.319314649</v>
      </c>
      <c r="O234" s="14">
        <f t="shared" si="7"/>
        <v>1.048732002</v>
      </c>
      <c r="P234" s="15"/>
      <c r="Q234" s="15"/>
      <c r="AD234" s="20"/>
    </row>
    <row r="235" ht="15.75" customHeight="1">
      <c r="A235" s="8">
        <v>51203.0</v>
      </c>
      <c r="B235" s="9" t="s">
        <v>249</v>
      </c>
      <c r="C235" s="8">
        <v>2652.0</v>
      </c>
      <c r="D235" s="8">
        <v>1232.666697949171</v>
      </c>
      <c r="E235" s="8">
        <v>9025.0</v>
      </c>
      <c r="F235" s="10">
        <f t="shared" si="1"/>
        <v>0.2938504155</v>
      </c>
      <c r="G235" s="10">
        <f t="shared" si="2"/>
        <v>0.4648064472</v>
      </c>
      <c r="H235" s="10">
        <f t="shared" si="3"/>
        <v>0.1365835676</v>
      </c>
      <c r="I235" s="8">
        <v>380.0</v>
      </c>
      <c r="J235" s="8">
        <v>175.2222264111042</v>
      </c>
      <c r="K235" s="8">
        <v>1662.0</v>
      </c>
      <c r="L235" s="11">
        <f t="shared" si="4"/>
        <v>0.2286401925</v>
      </c>
      <c r="M235" s="12">
        <f t="shared" si="5"/>
        <v>0.4611111221</v>
      </c>
      <c r="N235" s="13">
        <f t="shared" si="6"/>
        <v>0.1054285357</v>
      </c>
      <c r="O235" s="14">
        <f t="shared" si="7"/>
        <v>0.7718976563</v>
      </c>
      <c r="P235" s="15"/>
      <c r="Q235" s="15"/>
      <c r="AD235" s="20"/>
    </row>
    <row r="236" ht="15.75" customHeight="1">
      <c r="A236" s="8">
        <v>51204.0</v>
      </c>
      <c r="B236" s="9" t="s">
        <v>250</v>
      </c>
      <c r="C236" s="8">
        <v>3765.0</v>
      </c>
      <c r="D236" s="8">
        <v>1773.3333789408207</v>
      </c>
      <c r="E236" s="8">
        <v>5555.0</v>
      </c>
      <c r="F236" s="10">
        <f t="shared" si="1"/>
        <v>0.6777677768</v>
      </c>
      <c r="G236" s="10">
        <f t="shared" si="2"/>
        <v>0.4710048815</v>
      </c>
      <c r="H236" s="10">
        <f t="shared" si="3"/>
        <v>0.3192319314</v>
      </c>
      <c r="I236" s="8">
        <v>140.0</v>
      </c>
      <c r="J236" s="8">
        <v>54.444445699453354</v>
      </c>
      <c r="K236" s="8">
        <v>320.0</v>
      </c>
      <c r="L236" s="11">
        <f t="shared" si="4"/>
        <v>0.4375</v>
      </c>
      <c r="M236" s="12">
        <f t="shared" si="5"/>
        <v>0.3888888979</v>
      </c>
      <c r="N236" s="13">
        <f t="shared" si="6"/>
        <v>0.1701388928</v>
      </c>
      <c r="O236" s="14">
        <f t="shared" si="7"/>
        <v>0.5329632661</v>
      </c>
      <c r="P236" s="15"/>
      <c r="Q236" s="15"/>
      <c r="AD236" s="20"/>
    </row>
    <row r="237" ht="15.75" customHeight="1">
      <c r="A237" s="8">
        <v>51301.0</v>
      </c>
      <c r="B237" s="9" t="s">
        <v>251</v>
      </c>
      <c r="C237" s="8">
        <v>2965.0</v>
      </c>
      <c r="D237" s="8">
        <v>1496.1111525297165</v>
      </c>
      <c r="E237" s="8">
        <v>3940.0</v>
      </c>
      <c r="F237" s="10">
        <f t="shared" si="1"/>
        <v>0.7525380711</v>
      </c>
      <c r="G237" s="10">
        <f t="shared" si="2"/>
        <v>0.5045906079</v>
      </c>
      <c r="H237" s="10">
        <f t="shared" si="3"/>
        <v>0.3797236428</v>
      </c>
      <c r="I237" s="8">
        <v>108.0</v>
      </c>
      <c r="J237" s="8">
        <v>47.33333459496498</v>
      </c>
      <c r="K237" s="8">
        <v>174.0</v>
      </c>
      <c r="L237" s="11">
        <f t="shared" si="4"/>
        <v>0.6206896552</v>
      </c>
      <c r="M237" s="12">
        <f t="shared" si="5"/>
        <v>0.4382716166</v>
      </c>
      <c r="N237" s="13">
        <f t="shared" si="6"/>
        <v>0.2720306586</v>
      </c>
      <c r="O237" s="14">
        <f t="shared" si="7"/>
        <v>0.7163911539</v>
      </c>
      <c r="P237" s="15"/>
      <c r="Q237" s="15"/>
      <c r="AD237" s="20"/>
    </row>
    <row r="238" ht="15.75" customHeight="1">
      <c r="A238" s="8">
        <v>51302.0</v>
      </c>
      <c r="B238" s="9" t="s">
        <v>252</v>
      </c>
      <c r="C238" s="8">
        <v>4111.0</v>
      </c>
      <c r="D238" s="8">
        <v>1954.5556072592735</v>
      </c>
      <c r="E238" s="8">
        <v>5900.0</v>
      </c>
      <c r="F238" s="10">
        <f t="shared" si="1"/>
        <v>0.696779661</v>
      </c>
      <c r="G238" s="10">
        <f t="shared" si="2"/>
        <v>0.4754452949</v>
      </c>
      <c r="H238" s="10">
        <f t="shared" si="3"/>
        <v>0.3312806114</v>
      </c>
      <c r="I238" s="8">
        <v>94.0</v>
      </c>
      <c r="J238" s="8">
        <v>38.11111190915108</v>
      </c>
      <c r="K238" s="8">
        <v>199.0</v>
      </c>
      <c r="L238" s="11">
        <f t="shared" si="4"/>
        <v>0.472361809</v>
      </c>
      <c r="M238" s="12">
        <f t="shared" si="5"/>
        <v>0.4054373607</v>
      </c>
      <c r="N238" s="13">
        <f t="shared" si="6"/>
        <v>0.1915131252</v>
      </c>
      <c r="O238" s="14">
        <f t="shared" si="7"/>
        <v>0.5780994075</v>
      </c>
      <c r="P238" s="15"/>
      <c r="Q238" s="15"/>
      <c r="AD238" s="20"/>
    </row>
    <row r="239" ht="15.75" customHeight="1">
      <c r="A239" s="8">
        <v>51401.0</v>
      </c>
      <c r="B239" s="9" t="s">
        <v>253</v>
      </c>
      <c r="C239" s="8">
        <v>2020.0</v>
      </c>
      <c r="D239" s="8">
        <v>853.444465726614</v>
      </c>
      <c r="E239" s="8">
        <v>3533.0</v>
      </c>
      <c r="F239" s="10">
        <f t="shared" si="1"/>
        <v>0.5717520521</v>
      </c>
      <c r="G239" s="10">
        <f t="shared" si="2"/>
        <v>0.4224972603</v>
      </c>
      <c r="H239" s="10">
        <f t="shared" si="3"/>
        <v>0.2415636756</v>
      </c>
      <c r="I239" s="8">
        <v>221.0</v>
      </c>
      <c r="J239" s="8">
        <v>90.55555772781372</v>
      </c>
      <c r="K239" s="8">
        <v>452.0</v>
      </c>
      <c r="L239" s="11">
        <f t="shared" si="4"/>
        <v>0.4889380531</v>
      </c>
      <c r="M239" s="12">
        <f t="shared" si="5"/>
        <v>0.4097536549</v>
      </c>
      <c r="N239" s="13">
        <f t="shared" si="6"/>
        <v>0.2003441543</v>
      </c>
      <c r="O239" s="14">
        <f t="shared" si="7"/>
        <v>0.8293637436</v>
      </c>
      <c r="P239" s="15"/>
      <c r="Q239" s="15"/>
      <c r="AD239" s="20"/>
    </row>
    <row r="240" ht="15.75" customHeight="1">
      <c r="A240" s="8">
        <v>51402.0</v>
      </c>
      <c r="B240" s="9" t="s">
        <v>254</v>
      </c>
      <c r="C240" s="8">
        <v>582.0</v>
      </c>
      <c r="D240" s="8">
        <v>240.2222282886505</v>
      </c>
      <c r="E240" s="8">
        <v>1515.0</v>
      </c>
      <c r="F240" s="10">
        <f t="shared" si="1"/>
        <v>0.3841584158</v>
      </c>
      <c r="G240" s="10">
        <f t="shared" si="2"/>
        <v>0.4127529696</v>
      </c>
      <c r="H240" s="10">
        <f t="shared" si="3"/>
        <v>0.1585625269</v>
      </c>
      <c r="I240" s="8">
        <v>38.0</v>
      </c>
      <c r="J240" s="8">
        <v>14.888889342546463</v>
      </c>
      <c r="K240" s="8">
        <v>157.0</v>
      </c>
      <c r="L240" s="11">
        <f t="shared" si="4"/>
        <v>0.2420382166</v>
      </c>
      <c r="M240" s="12">
        <f t="shared" si="5"/>
        <v>0.3918128774</v>
      </c>
      <c r="N240" s="13">
        <f t="shared" si="6"/>
        <v>0.09483369008</v>
      </c>
      <c r="O240" s="14">
        <f t="shared" si="7"/>
        <v>0.5980838721</v>
      </c>
      <c r="P240" s="15"/>
      <c r="Q240" s="15"/>
      <c r="AD240" s="20"/>
    </row>
    <row r="241" ht="15.75" customHeight="1">
      <c r="A241" s="8">
        <v>51501.0</v>
      </c>
      <c r="B241" s="9" t="s">
        <v>255</v>
      </c>
      <c r="C241" s="8">
        <v>7897.0</v>
      </c>
      <c r="D241" s="8">
        <v>3445.2223095595837</v>
      </c>
      <c r="E241" s="8">
        <v>26940.0</v>
      </c>
      <c r="F241" s="10">
        <f t="shared" si="1"/>
        <v>0.2931328879</v>
      </c>
      <c r="G241" s="10">
        <f t="shared" si="2"/>
        <v>0.4362697619</v>
      </c>
      <c r="H241" s="10">
        <f t="shared" si="3"/>
        <v>0.1278850152</v>
      </c>
      <c r="I241" s="8">
        <v>3322.0</v>
      </c>
      <c r="J241" s="8">
        <v>1448.5555937290192</v>
      </c>
      <c r="K241" s="8">
        <v>16646.0</v>
      </c>
      <c r="L241" s="11">
        <f t="shared" si="4"/>
        <v>0.1995674637</v>
      </c>
      <c r="M241" s="12">
        <f t="shared" si="5"/>
        <v>0.4360492456</v>
      </c>
      <c r="N241" s="13">
        <f t="shared" si="6"/>
        <v>0.08702124196</v>
      </c>
      <c r="O241" s="14">
        <f t="shared" si="7"/>
        <v>0.6804647271</v>
      </c>
      <c r="P241" s="15"/>
      <c r="Q241" s="15"/>
      <c r="AD241" s="20"/>
    </row>
    <row r="242" ht="15.75" customHeight="1">
      <c r="A242" s="8">
        <v>51601.0</v>
      </c>
      <c r="B242" s="9" t="s">
        <v>256</v>
      </c>
      <c r="C242" s="8">
        <v>838.0</v>
      </c>
      <c r="D242" s="8">
        <v>383.5555658042431</v>
      </c>
      <c r="E242" s="8">
        <v>1615.0</v>
      </c>
      <c r="F242" s="10">
        <f t="shared" si="1"/>
        <v>0.5188854489</v>
      </c>
      <c r="G242" s="10">
        <f t="shared" si="2"/>
        <v>0.4577035391</v>
      </c>
      <c r="H242" s="10">
        <f t="shared" si="3"/>
        <v>0.2374957064</v>
      </c>
      <c r="I242" s="8">
        <v>23.0</v>
      </c>
      <c r="J242" s="8">
        <v>9.88888904452324</v>
      </c>
      <c r="K242" s="8">
        <v>33.0</v>
      </c>
      <c r="L242" s="11">
        <f t="shared" si="4"/>
        <v>0.696969697</v>
      </c>
      <c r="M242" s="12">
        <f t="shared" si="5"/>
        <v>0.4299516976</v>
      </c>
      <c r="N242" s="13">
        <f t="shared" si="6"/>
        <v>0.2996633044</v>
      </c>
      <c r="O242" s="14">
        <f t="shared" si="7"/>
        <v>1.26176304</v>
      </c>
      <c r="P242" s="15"/>
      <c r="Q242" s="15"/>
      <c r="AD242" s="20"/>
    </row>
    <row r="243" ht="15.75" customHeight="1">
      <c r="A243" s="8">
        <v>60101.0</v>
      </c>
      <c r="B243" s="9" t="s">
        <v>257</v>
      </c>
      <c r="C243" s="8">
        <v>9448.0</v>
      </c>
      <c r="D243" s="8">
        <v>3935.3334304094315</v>
      </c>
      <c r="E243" s="8">
        <v>54820.0</v>
      </c>
      <c r="F243" s="10">
        <f t="shared" si="1"/>
        <v>0.1723458592</v>
      </c>
      <c r="G243" s="10">
        <f t="shared" si="2"/>
        <v>0.4165255536</v>
      </c>
      <c r="H243" s="10">
        <f t="shared" si="3"/>
        <v>0.0717864544</v>
      </c>
      <c r="I243" s="8">
        <v>12683.0</v>
      </c>
      <c r="J243" s="8">
        <v>5069.4445707798</v>
      </c>
      <c r="K243" s="8">
        <v>144228.0</v>
      </c>
      <c r="L243" s="11">
        <f t="shared" si="4"/>
        <v>0.08793715506</v>
      </c>
      <c r="M243" s="12">
        <f t="shared" si="5"/>
        <v>0.3997039006</v>
      </c>
      <c r="N243" s="13">
        <f t="shared" si="6"/>
        <v>0.03514882388</v>
      </c>
      <c r="O243" s="14">
        <f t="shared" si="7"/>
        <v>0.4896303094</v>
      </c>
      <c r="P243" s="15"/>
      <c r="Q243" s="15"/>
      <c r="AD243" s="20"/>
    </row>
    <row r="244" ht="15.75" customHeight="1">
      <c r="A244" s="8">
        <v>60201.0</v>
      </c>
      <c r="B244" s="9" t="s">
        <v>258</v>
      </c>
      <c r="C244" s="8">
        <v>2975.0</v>
      </c>
      <c r="D244" s="8">
        <v>1294.0000329911709</v>
      </c>
      <c r="E244" s="8">
        <v>7585.0</v>
      </c>
      <c r="F244" s="10">
        <f t="shared" si="1"/>
        <v>0.3922214898</v>
      </c>
      <c r="G244" s="10">
        <f t="shared" si="2"/>
        <v>0.4349579943</v>
      </c>
      <c r="H244" s="10">
        <f t="shared" si="3"/>
        <v>0.1705998725</v>
      </c>
      <c r="I244" s="8">
        <v>3921.0</v>
      </c>
      <c r="J244" s="8">
        <v>1693.2222650647163</v>
      </c>
      <c r="K244" s="8">
        <v>10609.0</v>
      </c>
      <c r="L244" s="11">
        <f t="shared" si="4"/>
        <v>0.369591856</v>
      </c>
      <c r="M244" s="12">
        <f t="shared" si="5"/>
        <v>0.4318342936</v>
      </c>
      <c r="N244" s="13">
        <f t="shared" si="6"/>
        <v>0.159602438</v>
      </c>
      <c r="O244" s="14">
        <f t="shared" si="7"/>
        <v>0.9355366782</v>
      </c>
      <c r="P244" s="15"/>
      <c r="Q244" s="15"/>
      <c r="AD244" s="20"/>
    </row>
    <row r="245" ht="15.75" customHeight="1">
      <c r="A245" s="8">
        <v>60202.0</v>
      </c>
      <c r="B245" s="9" t="s">
        <v>259</v>
      </c>
      <c r="C245" s="8">
        <v>1657.0</v>
      </c>
      <c r="D245" s="8">
        <v>677.8889058232307</v>
      </c>
      <c r="E245" s="8">
        <v>7461.0</v>
      </c>
      <c r="F245" s="10">
        <f t="shared" si="1"/>
        <v>0.2220881919</v>
      </c>
      <c r="G245" s="10">
        <f t="shared" si="2"/>
        <v>0.4091061592</v>
      </c>
      <c r="H245" s="10">
        <f t="shared" si="3"/>
        <v>0.09085764721</v>
      </c>
      <c r="I245" s="8">
        <v>2733.0</v>
      </c>
      <c r="J245" s="8">
        <v>1068.888916015625</v>
      </c>
      <c r="K245" s="8">
        <v>25498.0</v>
      </c>
      <c r="L245" s="11">
        <f t="shared" si="4"/>
        <v>0.1071848772</v>
      </c>
      <c r="M245" s="12">
        <f t="shared" si="5"/>
        <v>0.3911046162</v>
      </c>
      <c r="N245" s="13">
        <f t="shared" si="6"/>
        <v>0.04192050028</v>
      </c>
      <c r="O245" s="14">
        <f t="shared" si="7"/>
        <v>0.4613865928</v>
      </c>
      <c r="P245" s="15"/>
      <c r="Q245" s="15"/>
      <c r="AD245" s="20"/>
    </row>
    <row r="246" ht="15.75" customHeight="1">
      <c r="A246" s="8">
        <v>60301.0</v>
      </c>
      <c r="B246" s="9" t="s">
        <v>260</v>
      </c>
      <c r="C246" s="8">
        <v>8480.0</v>
      </c>
      <c r="D246" s="8">
        <v>3722.4445411860943</v>
      </c>
      <c r="E246" s="8">
        <v>31397.0</v>
      </c>
      <c r="F246" s="10">
        <f t="shared" si="1"/>
        <v>0.270089499</v>
      </c>
      <c r="G246" s="10">
        <f t="shared" si="2"/>
        <v>0.4389675166</v>
      </c>
      <c r="H246" s="10">
        <f t="shared" si="3"/>
        <v>0.1185605166</v>
      </c>
      <c r="I246" s="8">
        <v>6740.0</v>
      </c>
      <c r="J246" s="8">
        <v>2692.88895714283</v>
      </c>
      <c r="K246" s="8">
        <v>56472.0</v>
      </c>
      <c r="L246" s="11">
        <f t="shared" si="4"/>
        <v>0.1193511829</v>
      </c>
      <c r="M246" s="12">
        <f t="shared" si="5"/>
        <v>0.3995384209</v>
      </c>
      <c r="N246" s="13">
        <f t="shared" si="6"/>
        <v>0.04768538315</v>
      </c>
      <c r="O246" s="14">
        <f t="shared" si="7"/>
        <v>0.402202896</v>
      </c>
      <c r="P246" s="15"/>
      <c r="Q246" s="15"/>
      <c r="AD246" s="20"/>
    </row>
    <row r="247" ht="15.75" customHeight="1">
      <c r="A247" s="8">
        <v>60302.0</v>
      </c>
      <c r="B247" s="9" t="s">
        <v>261</v>
      </c>
      <c r="C247" s="8">
        <v>1336.0</v>
      </c>
      <c r="D247" s="8">
        <v>561.3333479464054</v>
      </c>
      <c r="E247" s="8">
        <v>5721.0</v>
      </c>
      <c r="F247" s="10">
        <f t="shared" si="1"/>
        <v>0.2335256074</v>
      </c>
      <c r="G247" s="10">
        <f t="shared" si="2"/>
        <v>0.4201596916</v>
      </c>
      <c r="H247" s="10">
        <f t="shared" si="3"/>
        <v>0.09811804719</v>
      </c>
      <c r="I247" s="8">
        <v>1058.0</v>
      </c>
      <c r="J247" s="8">
        <v>423.00001165270805</v>
      </c>
      <c r="K247" s="8">
        <v>7590.0</v>
      </c>
      <c r="L247" s="11">
        <f t="shared" si="4"/>
        <v>0.1393939394</v>
      </c>
      <c r="M247" s="12">
        <f t="shared" si="5"/>
        <v>0.3998109751</v>
      </c>
      <c r="N247" s="13">
        <f t="shared" si="6"/>
        <v>0.05573122683</v>
      </c>
      <c r="O247" s="14">
        <f t="shared" si="7"/>
        <v>0.5680017941</v>
      </c>
      <c r="P247" s="15"/>
      <c r="Q247" s="15"/>
      <c r="AD247" s="20"/>
    </row>
    <row r="248" ht="15.75" customHeight="1">
      <c r="A248" s="8">
        <v>60303.0</v>
      </c>
      <c r="B248" s="9" t="s">
        <v>262</v>
      </c>
      <c r="C248" s="8">
        <v>3954.0</v>
      </c>
      <c r="D248" s="8">
        <v>1648.666710615158</v>
      </c>
      <c r="E248" s="8">
        <v>11333.0</v>
      </c>
      <c r="F248" s="10">
        <f t="shared" si="1"/>
        <v>0.3488926145</v>
      </c>
      <c r="G248" s="10">
        <f t="shared" si="2"/>
        <v>0.4169617376</v>
      </c>
      <c r="H248" s="10">
        <f t="shared" si="3"/>
        <v>0.1454748708</v>
      </c>
      <c r="I248" s="8">
        <v>5219.0</v>
      </c>
      <c r="J248" s="8">
        <v>2139.444498181343</v>
      </c>
      <c r="K248" s="8">
        <v>26457.0</v>
      </c>
      <c r="L248" s="11">
        <f t="shared" si="4"/>
        <v>0.1972634841</v>
      </c>
      <c r="M248" s="12">
        <f t="shared" si="5"/>
        <v>0.4099337992</v>
      </c>
      <c r="N248" s="13">
        <f t="shared" si="6"/>
        <v>0.0808649695</v>
      </c>
      <c r="O248" s="14">
        <f t="shared" si="7"/>
        <v>0.5558689901</v>
      </c>
      <c r="P248" s="15"/>
      <c r="Q248" s="15"/>
      <c r="AD248" s="20"/>
    </row>
    <row r="249" ht="15.75" customHeight="1">
      <c r="A249" s="8">
        <v>60401.0</v>
      </c>
      <c r="B249" s="9" t="s">
        <v>263</v>
      </c>
      <c r="C249" s="8">
        <v>1453.0</v>
      </c>
      <c r="D249" s="8">
        <v>644.3333508372307</v>
      </c>
      <c r="E249" s="8">
        <v>3972.0</v>
      </c>
      <c r="F249" s="10">
        <f t="shared" si="1"/>
        <v>0.3658106747</v>
      </c>
      <c r="G249" s="10">
        <f t="shared" si="2"/>
        <v>0.4434503447</v>
      </c>
      <c r="H249" s="10">
        <f t="shared" si="3"/>
        <v>0.1622188698</v>
      </c>
      <c r="I249" s="8">
        <v>3403.0</v>
      </c>
      <c r="J249" s="8">
        <v>1473.4444822072983</v>
      </c>
      <c r="K249" s="8">
        <v>10543.0</v>
      </c>
      <c r="L249" s="11">
        <f t="shared" si="4"/>
        <v>0.3227734042</v>
      </c>
      <c r="M249" s="12">
        <f t="shared" si="5"/>
        <v>0.4329839795</v>
      </c>
      <c r="N249" s="13">
        <f t="shared" si="6"/>
        <v>0.139755713</v>
      </c>
      <c r="O249" s="14">
        <f t="shared" si="7"/>
        <v>0.8615256239</v>
      </c>
      <c r="P249" s="15"/>
      <c r="Q249" s="15"/>
      <c r="AD249" s="20"/>
    </row>
    <row r="250" ht="15.75" customHeight="1">
      <c r="A250" s="8">
        <v>60402.0</v>
      </c>
      <c r="B250" s="9" t="s">
        <v>264</v>
      </c>
      <c r="C250" s="8">
        <v>1550.0</v>
      </c>
      <c r="D250" s="8">
        <v>669.3333505690098</v>
      </c>
      <c r="E250" s="8">
        <v>4062.0</v>
      </c>
      <c r="F250" s="10">
        <f t="shared" si="1"/>
        <v>0.3815854259</v>
      </c>
      <c r="G250" s="10">
        <f t="shared" si="2"/>
        <v>0.4318279681</v>
      </c>
      <c r="H250" s="10">
        <f t="shared" si="3"/>
        <v>0.1647792591</v>
      </c>
      <c r="I250" s="8">
        <v>402.0</v>
      </c>
      <c r="J250" s="8">
        <v>185.44444969296455</v>
      </c>
      <c r="K250" s="8">
        <v>1163.0</v>
      </c>
      <c r="L250" s="11">
        <f t="shared" si="4"/>
        <v>0.3456577816</v>
      </c>
      <c r="M250" s="12">
        <f t="shared" si="5"/>
        <v>0.4613046012</v>
      </c>
      <c r="N250" s="13">
        <f t="shared" si="6"/>
        <v>0.1594535251</v>
      </c>
      <c r="O250" s="14">
        <f t="shared" si="7"/>
        <v>0.9676795851</v>
      </c>
      <c r="P250" s="15"/>
      <c r="Q250" s="15"/>
      <c r="AD250" s="20"/>
    </row>
    <row r="251" ht="15.75" customHeight="1">
      <c r="A251" s="8">
        <v>60501.0</v>
      </c>
      <c r="B251" s="9" t="s">
        <v>265</v>
      </c>
      <c r="C251" s="8">
        <v>2535.0</v>
      </c>
      <c r="D251" s="8">
        <v>1174.5555855333805</v>
      </c>
      <c r="E251" s="8">
        <v>8787.0</v>
      </c>
      <c r="F251" s="10">
        <f t="shared" si="1"/>
        <v>0.2884943667</v>
      </c>
      <c r="G251" s="10">
        <f t="shared" si="2"/>
        <v>0.4633355367</v>
      </c>
      <c r="H251" s="10">
        <f t="shared" si="3"/>
        <v>0.1336696922</v>
      </c>
      <c r="I251" s="8">
        <v>4478.0</v>
      </c>
      <c r="J251" s="8">
        <v>2053.4444974064827</v>
      </c>
      <c r="K251" s="8">
        <v>14468.0</v>
      </c>
      <c r="L251" s="11">
        <f t="shared" si="4"/>
        <v>0.3095106442</v>
      </c>
      <c r="M251" s="12">
        <f t="shared" si="5"/>
        <v>0.4585628623</v>
      </c>
      <c r="N251" s="13">
        <f t="shared" si="6"/>
        <v>0.1419300869</v>
      </c>
      <c r="O251" s="14">
        <f t="shared" si="7"/>
        <v>1.061797065</v>
      </c>
      <c r="P251" s="15"/>
      <c r="Q251" s="15"/>
      <c r="AD251" s="20"/>
    </row>
    <row r="252" ht="15.75" customHeight="1">
      <c r="A252" s="8">
        <v>60502.0</v>
      </c>
      <c r="B252" s="9" t="s">
        <v>266</v>
      </c>
      <c r="C252" s="8">
        <v>893.0</v>
      </c>
      <c r="D252" s="8">
        <v>374.3333427608013</v>
      </c>
      <c r="E252" s="8">
        <v>2470.0</v>
      </c>
      <c r="F252" s="10">
        <f t="shared" si="1"/>
        <v>0.3615384615</v>
      </c>
      <c r="G252" s="10">
        <f t="shared" si="2"/>
        <v>0.4191862741</v>
      </c>
      <c r="H252" s="10">
        <f t="shared" si="3"/>
        <v>0.1515519606</v>
      </c>
      <c r="I252" s="8">
        <v>2674.0</v>
      </c>
      <c r="J252" s="8">
        <v>1150.6666971445084</v>
      </c>
      <c r="K252" s="8">
        <v>8477.0</v>
      </c>
      <c r="L252" s="11">
        <f t="shared" si="4"/>
        <v>0.3154417836</v>
      </c>
      <c r="M252" s="12">
        <f t="shared" si="5"/>
        <v>0.4303166407</v>
      </c>
      <c r="N252" s="13">
        <f t="shared" si="6"/>
        <v>0.1357398487</v>
      </c>
      <c r="O252" s="14">
        <f t="shared" si="7"/>
        <v>0.8956654081</v>
      </c>
      <c r="P252" s="15"/>
      <c r="Q252" s="15"/>
      <c r="AD252" s="20"/>
    </row>
    <row r="253" ht="15.75" customHeight="1">
      <c r="A253" s="8">
        <v>60601.0</v>
      </c>
      <c r="B253" s="9" t="s">
        <v>167</v>
      </c>
      <c r="C253" s="8">
        <v>3674.0</v>
      </c>
      <c r="D253" s="8">
        <v>1730.1111574172974</v>
      </c>
      <c r="E253" s="8">
        <v>6624.0</v>
      </c>
      <c r="F253" s="10">
        <f t="shared" si="1"/>
        <v>0.5546497585</v>
      </c>
      <c r="G253" s="10">
        <f t="shared" si="2"/>
        <v>0.4709066841</v>
      </c>
      <c r="H253" s="10">
        <f t="shared" si="3"/>
        <v>0.2611882786</v>
      </c>
      <c r="I253" s="8">
        <v>5277.0</v>
      </c>
      <c r="J253" s="8">
        <v>2320.33339458704</v>
      </c>
      <c r="K253" s="8">
        <v>13573.0</v>
      </c>
      <c r="L253" s="11">
        <f t="shared" si="4"/>
        <v>0.3887865616</v>
      </c>
      <c r="M253" s="12">
        <f t="shared" si="5"/>
        <v>0.4397069158</v>
      </c>
      <c r="N253" s="13">
        <f t="shared" si="6"/>
        <v>0.1709521399</v>
      </c>
      <c r="O253" s="14">
        <f t="shared" si="7"/>
        <v>0.6545168903</v>
      </c>
      <c r="P253" s="15"/>
      <c r="Q253" s="15"/>
      <c r="AD253" s="20"/>
    </row>
    <row r="254" ht="15.75" customHeight="1">
      <c r="A254" s="8">
        <v>70101.0</v>
      </c>
      <c r="B254" s="9" t="s">
        <v>267</v>
      </c>
      <c r="C254" s="8">
        <v>65871.0</v>
      </c>
      <c r="D254" s="8">
        <v>24617.333951056004</v>
      </c>
      <c r="E254" s="8">
        <v>372573.0</v>
      </c>
      <c r="F254" s="10">
        <f t="shared" si="1"/>
        <v>0.1768002512</v>
      </c>
      <c r="G254" s="10">
        <f t="shared" si="2"/>
        <v>0.3737203618</v>
      </c>
      <c r="H254" s="10">
        <f t="shared" si="3"/>
        <v>0.06607385385</v>
      </c>
      <c r="I254" s="8">
        <v>128058.0</v>
      </c>
      <c r="J254" s="8">
        <v>47442.77897340059</v>
      </c>
      <c r="K254" s="8">
        <v>1038658.0</v>
      </c>
      <c r="L254" s="11">
        <f t="shared" si="4"/>
        <v>0.1232917861</v>
      </c>
      <c r="M254" s="12">
        <f t="shared" si="5"/>
        <v>0.3704788375</v>
      </c>
      <c r="N254" s="13">
        <f t="shared" si="6"/>
        <v>0.0456769976</v>
      </c>
      <c r="O254" s="14">
        <f t="shared" si="7"/>
        <v>0.6913021557</v>
      </c>
      <c r="P254" s="15"/>
      <c r="Q254" s="15"/>
      <c r="AD254" s="20"/>
    </row>
    <row r="255" ht="15.75" customHeight="1">
      <c r="A255" s="8">
        <v>70102.0</v>
      </c>
      <c r="B255" s="9" t="s">
        <v>268</v>
      </c>
      <c r="C255" s="8">
        <v>6368.0</v>
      </c>
      <c r="D255" s="8">
        <v>2512.111175239086</v>
      </c>
      <c r="E255" s="8">
        <v>21165.0</v>
      </c>
      <c r="F255" s="10">
        <f t="shared" si="1"/>
        <v>0.3008740846</v>
      </c>
      <c r="G255" s="10">
        <f t="shared" si="2"/>
        <v>0.3944898202</v>
      </c>
      <c r="H255" s="10">
        <f t="shared" si="3"/>
        <v>0.1186917635</v>
      </c>
      <c r="I255" s="8">
        <v>7768.0</v>
      </c>
      <c r="J255" s="8">
        <v>3010.2222967743874</v>
      </c>
      <c r="K255" s="8">
        <v>33482.0</v>
      </c>
      <c r="L255" s="11">
        <f t="shared" si="4"/>
        <v>0.2320052566</v>
      </c>
      <c r="M255" s="12">
        <f t="shared" si="5"/>
        <v>0.3875157437</v>
      </c>
      <c r="N255" s="13">
        <f t="shared" si="6"/>
        <v>0.08990568953</v>
      </c>
      <c r="O255" s="14">
        <f t="shared" si="7"/>
        <v>0.757472017</v>
      </c>
      <c r="P255" s="15"/>
      <c r="Q255" s="15"/>
      <c r="AD255" s="20"/>
    </row>
    <row r="256" ht="15.75" customHeight="1">
      <c r="A256" s="8">
        <v>70103.0</v>
      </c>
      <c r="B256" s="9" t="s">
        <v>269</v>
      </c>
      <c r="C256" s="8">
        <v>1322.0</v>
      </c>
      <c r="D256" s="8">
        <v>599.0000155866146</v>
      </c>
      <c r="E256" s="8">
        <v>2968.0</v>
      </c>
      <c r="F256" s="10">
        <f t="shared" si="1"/>
        <v>0.4454177898</v>
      </c>
      <c r="G256" s="10">
        <f t="shared" si="2"/>
        <v>0.4531013734</v>
      </c>
      <c r="H256" s="10">
        <f t="shared" si="3"/>
        <v>0.2018194123</v>
      </c>
      <c r="I256" s="8">
        <v>3375.0</v>
      </c>
      <c r="J256" s="8">
        <v>1415.3333698809147</v>
      </c>
      <c r="K256" s="8">
        <v>12280.0</v>
      </c>
      <c r="L256" s="11">
        <f t="shared" si="4"/>
        <v>0.2748371336</v>
      </c>
      <c r="M256" s="12">
        <f t="shared" si="5"/>
        <v>0.4193580355</v>
      </c>
      <c r="N256" s="13">
        <f t="shared" si="6"/>
        <v>0.1152551604</v>
      </c>
      <c r="O256" s="14">
        <f t="shared" si="7"/>
        <v>0.5710806464</v>
      </c>
      <c r="P256" s="15"/>
      <c r="Q256" s="15"/>
      <c r="AD256" s="20"/>
    </row>
    <row r="257" ht="15.75" customHeight="1">
      <c r="A257" s="8">
        <v>70104.0</v>
      </c>
      <c r="B257" s="9" t="s">
        <v>270</v>
      </c>
      <c r="C257" s="8">
        <v>8217.0</v>
      </c>
      <c r="D257" s="8">
        <v>3174.1111922562122</v>
      </c>
      <c r="E257" s="8">
        <v>30412.0</v>
      </c>
      <c r="F257" s="10">
        <f t="shared" si="1"/>
        <v>0.2701893989</v>
      </c>
      <c r="G257" s="10">
        <f t="shared" si="2"/>
        <v>0.3862858942</v>
      </c>
      <c r="H257" s="10">
        <f t="shared" si="3"/>
        <v>0.1043703536</v>
      </c>
      <c r="I257" s="8">
        <v>13111.0</v>
      </c>
      <c r="J257" s="8">
        <v>4950.444569289684</v>
      </c>
      <c r="K257" s="8">
        <v>57923.0</v>
      </c>
      <c r="L257" s="11">
        <f t="shared" si="4"/>
        <v>0.2263522262</v>
      </c>
      <c r="M257" s="12">
        <f t="shared" si="5"/>
        <v>0.3775794805</v>
      </c>
      <c r="N257" s="13">
        <f t="shared" si="6"/>
        <v>0.085465956</v>
      </c>
      <c r="O257" s="14">
        <f t="shared" si="7"/>
        <v>0.8188719602</v>
      </c>
      <c r="P257" s="15"/>
      <c r="Q257" s="15"/>
      <c r="AD257" s="20"/>
    </row>
    <row r="258" ht="15.75" customHeight="1">
      <c r="A258" s="8">
        <v>70105.0</v>
      </c>
      <c r="B258" s="9" t="s">
        <v>271</v>
      </c>
      <c r="C258" s="8">
        <v>7216.0</v>
      </c>
      <c r="D258" s="8">
        <v>3273.1111978292465</v>
      </c>
      <c r="E258" s="8">
        <v>18626.0</v>
      </c>
      <c r="F258" s="10">
        <f t="shared" si="1"/>
        <v>0.3874154408</v>
      </c>
      <c r="G258" s="10">
        <f t="shared" si="2"/>
        <v>0.4535907979</v>
      </c>
      <c r="H258" s="10">
        <f t="shared" si="3"/>
        <v>0.1757280789</v>
      </c>
      <c r="I258" s="8">
        <v>7533.0</v>
      </c>
      <c r="J258" s="8">
        <v>3042.6667456030846</v>
      </c>
      <c r="K258" s="8">
        <v>30445.0</v>
      </c>
      <c r="L258" s="11">
        <f t="shared" si="4"/>
        <v>0.2474297914</v>
      </c>
      <c r="M258" s="12">
        <f t="shared" si="5"/>
        <v>0.403911688</v>
      </c>
      <c r="N258" s="13">
        <f t="shared" si="6"/>
        <v>0.09993978471</v>
      </c>
      <c r="O258" s="14">
        <f t="shared" si="7"/>
        <v>0.5687183593</v>
      </c>
      <c r="P258" s="15"/>
      <c r="Q258" s="15"/>
      <c r="AD258" s="20"/>
    </row>
    <row r="259" ht="15.75" customHeight="1">
      <c r="A259" s="8">
        <v>70201.0</v>
      </c>
      <c r="B259" s="9" t="s">
        <v>272</v>
      </c>
      <c r="C259" s="8">
        <v>10697.0</v>
      </c>
      <c r="D259" s="8">
        <v>4291.666775137186</v>
      </c>
      <c r="E259" s="8">
        <v>37824.0</v>
      </c>
      <c r="F259" s="10">
        <f t="shared" si="1"/>
        <v>0.2828098562</v>
      </c>
      <c r="G259" s="10">
        <f t="shared" si="2"/>
        <v>0.4012028396</v>
      </c>
      <c r="H259" s="10">
        <f t="shared" si="3"/>
        <v>0.1134641174</v>
      </c>
      <c r="I259" s="8">
        <v>13997.0</v>
      </c>
      <c r="J259" s="8">
        <v>5491.889024883509</v>
      </c>
      <c r="K259" s="8">
        <v>57195.0</v>
      </c>
      <c r="L259" s="11">
        <f t="shared" si="4"/>
        <v>0.2447241892</v>
      </c>
      <c r="M259" s="12">
        <f t="shared" si="5"/>
        <v>0.392361865</v>
      </c>
      <c r="N259" s="13">
        <f t="shared" si="6"/>
        <v>0.09602043928</v>
      </c>
      <c r="O259" s="14">
        <f t="shared" si="7"/>
        <v>0.8462626028</v>
      </c>
      <c r="P259" s="15"/>
      <c r="Q259" s="15"/>
      <c r="AD259" s="20"/>
    </row>
    <row r="260" ht="15.75" customHeight="1">
      <c r="A260" s="8">
        <v>70202.0</v>
      </c>
      <c r="B260" s="9" t="s">
        <v>273</v>
      </c>
      <c r="C260" s="8">
        <v>936.0</v>
      </c>
      <c r="D260" s="8">
        <v>377.2222318351269</v>
      </c>
      <c r="E260" s="8">
        <v>3730.0</v>
      </c>
      <c r="F260" s="10">
        <f t="shared" si="1"/>
        <v>0.2509383378</v>
      </c>
      <c r="G260" s="10">
        <f t="shared" si="2"/>
        <v>0.403015205</v>
      </c>
      <c r="H260" s="10">
        <f t="shared" si="3"/>
        <v>0.1011319656</v>
      </c>
      <c r="I260" s="8">
        <v>2348.0</v>
      </c>
      <c r="J260" s="8">
        <v>929.0000233948231</v>
      </c>
      <c r="K260" s="8">
        <v>8386.0</v>
      </c>
      <c r="L260" s="11">
        <f t="shared" si="4"/>
        <v>0.2799904603</v>
      </c>
      <c r="M260" s="12">
        <f t="shared" si="5"/>
        <v>0.3956558873</v>
      </c>
      <c r="N260" s="13">
        <f t="shared" si="6"/>
        <v>0.110779874</v>
      </c>
      <c r="O260" s="14">
        <f t="shared" si="7"/>
        <v>1.095399198</v>
      </c>
      <c r="P260" s="15"/>
      <c r="Q260" s="15"/>
      <c r="AD260" s="20"/>
    </row>
    <row r="261" ht="15.75" customHeight="1">
      <c r="A261" s="8">
        <v>70301.0</v>
      </c>
      <c r="B261" s="9" t="s">
        <v>274</v>
      </c>
      <c r="C261" s="8">
        <v>17510.0</v>
      </c>
      <c r="D261" s="8">
        <v>7577.77797472477</v>
      </c>
      <c r="E261" s="8">
        <v>36482.0</v>
      </c>
      <c r="F261" s="10">
        <f t="shared" si="1"/>
        <v>0.4799627213</v>
      </c>
      <c r="G261" s="10">
        <f t="shared" si="2"/>
        <v>0.4327685879</v>
      </c>
      <c r="H261" s="10">
        <f t="shared" si="3"/>
        <v>0.2077127892</v>
      </c>
      <c r="I261" s="8">
        <v>5935.0</v>
      </c>
      <c r="J261" s="8">
        <v>2489.66673001647</v>
      </c>
      <c r="K261" s="8">
        <v>14539.0</v>
      </c>
      <c r="L261" s="11">
        <f t="shared" si="4"/>
        <v>0.4082123942</v>
      </c>
      <c r="M261" s="12">
        <f t="shared" si="5"/>
        <v>0.4194889183</v>
      </c>
      <c r="N261" s="13">
        <f t="shared" si="6"/>
        <v>0.1712405757</v>
      </c>
      <c r="O261" s="14">
        <f t="shared" si="7"/>
        <v>0.8244103619</v>
      </c>
      <c r="P261" s="15"/>
      <c r="Q261" s="15"/>
      <c r="AD261" s="20"/>
    </row>
    <row r="262" ht="15.75" customHeight="1">
      <c r="A262" s="8">
        <v>70302.0</v>
      </c>
      <c r="B262" s="9" t="s">
        <v>275</v>
      </c>
      <c r="C262" s="8">
        <v>5801.0</v>
      </c>
      <c r="D262" s="8">
        <v>2604.5556207299232</v>
      </c>
      <c r="E262" s="8">
        <v>9619.0</v>
      </c>
      <c r="F262" s="10">
        <f t="shared" si="1"/>
        <v>0.603077243</v>
      </c>
      <c r="G262" s="10">
        <f t="shared" si="2"/>
        <v>0.4489839029</v>
      </c>
      <c r="H262" s="10">
        <f t="shared" si="3"/>
        <v>0.2707719743</v>
      </c>
      <c r="I262" s="8">
        <v>715.0</v>
      </c>
      <c r="J262" s="8">
        <v>328.22223085165024</v>
      </c>
      <c r="K262" s="8">
        <v>1613.0</v>
      </c>
      <c r="L262" s="11">
        <f t="shared" si="4"/>
        <v>0.4432734036</v>
      </c>
      <c r="M262" s="12">
        <f t="shared" si="5"/>
        <v>0.4590520711</v>
      </c>
      <c r="N262" s="13">
        <f t="shared" si="6"/>
        <v>0.203485574</v>
      </c>
      <c r="O262" s="14">
        <f t="shared" si="7"/>
        <v>0.7515016077</v>
      </c>
      <c r="P262" s="15"/>
      <c r="Q262" s="15"/>
      <c r="AD262" s="20"/>
    </row>
    <row r="263" ht="15.75" customHeight="1">
      <c r="A263" s="8">
        <v>70303.0</v>
      </c>
      <c r="B263" s="9" t="s">
        <v>276</v>
      </c>
      <c r="C263" s="8">
        <v>1955.0</v>
      </c>
      <c r="D263" s="8">
        <v>881.8889144361019</v>
      </c>
      <c r="E263" s="8">
        <v>3247.0</v>
      </c>
      <c r="F263" s="10">
        <f t="shared" si="1"/>
        <v>0.6020942408</v>
      </c>
      <c r="G263" s="10">
        <f t="shared" si="2"/>
        <v>0.4510940739</v>
      </c>
      <c r="H263" s="10">
        <f t="shared" si="3"/>
        <v>0.271601144</v>
      </c>
      <c r="I263" s="8">
        <v>1177.0</v>
      </c>
      <c r="J263" s="8">
        <v>510.77779120206833</v>
      </c>
      <c r="K263" s="8">
        <v>2373.0</v>
      </c>
      <c r="L263" s="11">
        <f t="shared" si="4"/>
        <v>0.4959966287</v>
      </c>
      <c r="M263" s="12">
        <f t="shared" si="5"/>
        <v>0.4339658379</v>
      </c>
      <c r="N263" s="13">
        <f t="shared" si="6"/>
        <v>0.2152455926</v>
      </c>
      <c r="O263" s="14">
        <f t="shared" si="7"/>
        <v>0.7925062076</v>
      </c>
      <c r="P263" s="15"/>
      <c r="Q263" s="15"/>
      <c r="AD263" s="20"/>
    </row>
    <row r="264" ht="15.75" customHeight="1">
      <c r="A264" s="8">
        <v>70401.0</v>
      </c>
      <c r="B264" s="9" t="s">
        <v>277</v>
      </c>
      <c r="C264" s="8">
        <v>2558.0</v>
      </c>
      <c r="D264" s="8">
        <v>1133.0000294446945</v>
      </c>
      <c r="E264" s="8">
        <v>6824.0</v>
      </c>
      <c r="F264" s="10">
        <f t="shared" si="1"/>
        <v>0.3748534584</v>
      </c>
      <c r="G264" s="10">
        <f t="shared" si="2"/>
        <v>0.442924171</v>
      </c>
      <c r="H264" s="10">
        <f t="shared" si="3"/>
        <v>0.1660316573</v>
      </c>
      <c r="I264" s="8">
        <v>1317.0</v>
      </c>
      <c r="J264" s="8">
        <v>558.6666813194752</v>
      </c>
      <c r="K264" s="8">
        <v>5711.0</v>
      </c>
      <c r="L264" s="11">
        <f t="shared" si="4"/>
        <v>0.2306075994</v>
      </c>
      <c r="M264" s="12">
        <f t="shared" si="5"/>
        <v>0.4241964171</v>
      </c>
      <c r="N264" s="13">
        <f t="shared" si="6"/>
        <v>0.09782291741</v>
      </c>
      <c r="O264" s="14">
        <f t="shared" si="7"/>
        <v>0.5891823222</v>
      </c>
      <c r="P264" s="15"/>
      <c r="Q264" s="15"/>
      <c r="AD264" s="20"/>
    </row>
    <row r="265" ht="15.75" customHeight="1">
      <c r="A265" s="8">
        <v>70402.0</v>
      </c>
      <c r="B265" s="9" t="s">
        <v>278</v>
      </c>
      <c r="C265" s="8">
        <v>4165.0</v>
      </c>
      <c r="D265" s="8">
        <v>1821.555603325367</v>
      </c>
      <c r="E265" s="8">
        <v>9327.0</v>
      </c>
      <c r="F265" s="10">
        <f t="shared" si="1"/>
        <v>0.4465530181</v>
      </c>
      <c r="G265" s="10">
        <f t="shared" si="2"/>
        <v>0.4373482841</v>
      </c>
      <c r="H265" s="10">
        <f t="shared" si="3"/>
        <v>0.1952991962</v>
      </c>
      <c r="I265" s="8">
        <v>4142.0</v>
      </c>
      <c r="J265" s="8">
        <v>1762.4444888532162</v>
      </c>
      <c r="K265" s="8">
        <v>10372.0</v>
      </c>
      <c r="L265" s="11">
        <f t="shared" si="4"/>
        <v>0.3993443887</v>
      </c>
      <c r="M265" s="12">
        <f t="shared" si="5"/>
        <v>0.4255056709</v>
      </c>
      <c r="N265" s="13">
        <f t="shared" si="6"/>
        <v>0.169923302</v>
      </c>
      <c r="O265" s="14">
        <f t="shared" si="7"/>
        <v>0.8700665713</v>
      </c>
      <c r="P265" s="15"/>
      <c r="Q265" s="15"/>
      <c r="AD265" s="20"/>
    </row>
    <row r="266" ht="15.75" customHeight="1">
      <c r="A266" s="8">
        <v>70403.0</v>
      </c>
      <c r="B266" s="9" t="s">
        <v>279</v>
      </c>
      <c r="C266" s="8">
        <v>16432.0</v>
      </c>
      <c r="D266" s="8">
        <v>7463.7779613137245</v>
      </c>
      <c r="E266" s="8">
        <v>30789.0</v>
      </c>
      <c r="F266" s="10">
        <f t="shared" si="1"/>
        <v>0.5336970996</v>
      </c>
      <c r="G266" s="10">
        <f t="shared" si="2"/>
        <v>0.4542221252</v>
      </c>
      <c r="H266" s="10">
        <f t="shared" si="3"/>
        <v>0.2424170308</v>
      </c>
      <c r="I266" s="8">
        <v>7157.0</v>
      </c>
      <c r="J266" s="8">
        <v>3068.555630028248</v>
      </c>
      <c r="K266" s="8">
        <v>18562.0</v>
      </c>
      <c r="L266" s="11">
        <f t="shared" si="4"/>
        <v>0.3855726754</v>
      </c>
      <c r="M266" s="12">
        <f t="shared" si="5"/>
        <v>0.4287488655</v>
      </c>
      <c r="N266" s="13">
        <f t="shared" si="6"/>
        <v>0.1653138471</v>
      </c>
      <c r="O266" s="14">
        <f t="shared" si="7"/>
        <v>0.6819399056</v>
      </c>
      <c r="P266" s="15"/>
      <c r="Q266" s="15"/>
      <c r="AD266" s="20"/>
    </row>
    <row r="267" ht="15.75" customHeight="1">
      <c r="A267" s="8">
        <v>70404.0</v>
      </c>
      <c r="B267" s="9" t="s">
        <v>280</v>
      </c>
      <c r="C267" s="8">
        <v>1693.0</v>
      </c>
      <c r="D267" s="8">
        <v>726.3333524167538</v>
      </c>
      <c r="E267" s="8">
        <v>3555.0</v>
      </c>
      <c r="F267" s="10">
        <f t="shared" si="1"/>
        <v>0.476230661</v>
      </c>
      <c r="G267" s="10">
        <f t="shared" si="2"/>
        <v>0.4290214722</v>
      </c>
      <c r="H267" s="10">
        <f t="shared" si="3"/>
        <v>0.2043131793</v>
      </c>
      <c r="I267" s="8">
        <v>1863.0</v>
      </c>
      <c r="J267" s="8">
        <v>809.4444652199745</v>
      </c>
      <c r="K267" s="8">
        <v>4632.0</v>
      </c>
      <c r="L267" s="11">
        <f t="shared" si="4"/>
        <v>0.4022020725</v>
      </c>
      <c r="M267" s="12">
        <f t="shared" si="5"/>
        <v>0.434484415</v>
      </c>
      <c r="N267" s="13">
        <f t="shared" si="6"/>
        <v>0.1747505322</v>
      </c>
      <c r="O267" s="14">
        <f t="shared" si="7"/>
        <v>0.8553071946</v>
      </c>
      <c r="P267" s="15"/>
      <c r="Q267" s="15"/>
      <c r="AD267" s="20"/>
    </row>
    <row r="268" ht="15.75" customHeight="1">
      <c r="A268" s="8">
        <v>70501.0</v>
      </c>
      <c r="B268" s="9" t="s">
        <v>281</v>
      </c>
      <c r="C268" s="8">
        <v>3775.0</v>
      </c>
      <c r="D268" s="8">
        <v>1491.7778136730194</v>
      </c>
      <c r="E268" s="8">
        <v>11821.0</v>
      </c>
      <c r="F268" s="10">
        <f t="shared" si="1"/>
        <v>0.319346925</v>
      </c>
      <c r="G268" s="10">
        <f t="shared" si="2"/>
        <v>0.3951729308</v>
      </c>
      <c r="H268" s="10">
        <f t="shared" si="3"/>
        <v>0.1261972603</v>
      </c>
      <c r="I268" s="8">
        <v>3281.0</v>
      </c>
      <c r="J268" s="8">
        <v>1268.7778083980083</v>
      </c>
      <c r="K268" s="8">
        <v>10051.0</v>
      </c>
      <c r="L268" s="11">
        <f t="shared" si="4"/>
        <v>0.3264351806</v>
      </c>
      <c r="M268" s="12">
        <f t="shared" si="5"/>
        <v>0.3867046048</v>
      </c>
      <c r="N268" s="13">
        <f t="shared" si="6"/>
        <v>0.1262339875</v>
      </c>
      <c r="O268" s="14">
        <f t="shared" si="7"/>
        <v>1.00029103</v>
      </c>
      <c r="P268" s="15"/>
      <c r="Q268" s="15"/>
      <c r="AD268" s="20"/>
    </row>
    <row r="269" ht="15.75" customHeight="1">
      <c r="A269" s="8">
        <v>70502.0</v>
      </c>
      <c r="B269" s="9" t="s">
        <v>282</v>
      </c>
      <c r="C269" s="8">
        <v>6915.0</v>
      </c>
      <c r="D269" s="8">
        <v>2662.8889552652836</v>
      </c>
      <c r="E269" s="8">
        <v>18600.0</v>
      </c>
      <c r="F269" s="10">
        <f t="shared" si="1"/>
        <v>0.3717741935</v>
      </c>
      <c r="G269" s="10">
        <f t="shared" si="2"/>
        <v>0.385088786</v>
      </c>
      <c r="H269" s="10">
        <f t="shared" si="3"/>
        <v>0.1431660729</v>
      </c>
      <c r="I269" s="8">
        <v>5453.0</v>
      </c>
      <c r="J269" s="8">
        <v>2160.7778319716454</v>
      </c>
      <c r="K269" s="8">
        <v>17702.0</v>
      </c>
      <c r="L269" s="11">
        <f t="shared" si="4"/>
        <v>0.3080442888</v>
      </c>
      <c r="M269" s="12">
        <f t="shared" si="5"/>
        <v>0.3962548747</v>
      </c>
      <c r="N269" s="13">
        <f t="shared" si="6"/>
        <v>0.1220640511</v>
      </c>
      <c r="O269" s="14">
        <f t="shared" si="7"/>
        <v>0.8526045915</v>
      </c>
      <c r="P269" s="15"/>
      <c r="Q269" s="15"/>
      <c r="AD269" s="20"/>
    </row>
    <row r="270" ht="15.75" customHeight="1">
      <c r="A270" s="8">
        <v>70503.0</v>
      </c>
      <c r="B270" s="9" t="s">
        <v>283</v>
      </c>
      <c r="C270" s="8">
        <v>2142.0</v>
      </c>
      <c r="D270" s="8">
        <v>904.7777997553349</v>
      </c>
      <c r="E270" s="8">
        <v>9139.0</v>
      </c>
      <c r="F270" s="10">
        <f t="shared" si="1"/>
        <v>0.2343801291</v>
      </c>
      <c r="G270" s="10">
        <f t="shared" si="2"/>
        <v>0.4223985993</v>
      </c>
      <c r="H270" s="10">
        <f t="shared" si="3"/>
        <v>0.09900183825</v>
      </c>
      <c r="I270" s="8">
        <v>1143.0</v>
      </c>
      <c r="J270" s="8">
        <v>476.5555680990219</v>
      </c>
      <c r="K270" s="8">
        <v>5586.0</v>
      </c>
      <c r="L270" s="11">
        <f t="shared" si="4"/>
        <v>0.2046186896</v>
      </c>
      <c r="M270" s="12">
        <f t="shared" si="5"/>
        <v>0.4169340053</v>
      </c>
      <c r="N270" s="13">
        <f t="shared" si="6"/>
        <v>0.08531248981</v>
      </c>
      <c r="O270" s="14">
        <f t="shared" si="7"/>
        <v>0.8617263207</v>
      </c>
      <c r="P270" s="15"/>
      <c r="Q270" s="15"/>
      <c r="AD270" s="20"/>
    </row>
    <row r="271" ht="15.75" customHeight="1">
      <c r="A271" s="8">
        <v>70601.0</v>
      </c>
      <c r="B271" s="9" t="s">
        <v>284</v>
      </c>
      <c r="C271" s="8">
        <v>1642.0</v>
      </c>
      <c r="D271" s="8">
        <v>682.8889058828354</v>
      </c>
      <c r="E271" s="8">
        <v>7412.0</v>
      </c>
      <c r="F271" s="10">
        <f t="shared" si="1"/>
        <v>0.2215326498</v>
      </c>
      <c r="G271" s="10">
        <f t="shared" si="2"/>
        <v>0.4158884932</v>
      </c>
      <c r="H271" s="10">
        <f t="shared" si="3"/>
        <v>0.09213287991</v>
      </c>
      <c r="I271" s="8">
        <v>2252.0</v>
      </c>
      <c r="J271" s="8">
        <v>900.3333569765091</v>
      </c>
      <c r="K271" s="8">
        <v>10046.0</v>
      </c>
      <c r="L271" s="11">
        <f t="shared" si="4"/>
        <v>0.2241688234</v>
      </c>
      <c r="M271" s="12">
        <f t="shared" si="5"/>
        <v>0.3997927873</v>
      </c>
      <c r="N271" s="13">
        <f t="shared" si="6"/>
        <v>0.08962107874</v>
      </c>
      <c r="O271" s="14">
        <f t="shared" si="7"/>
        <v>0.9727371903</v>
      </c>
      <c r="P271" s="15"/>
      <c r="Q271" s="15"/>
      <c r="AD271" s="20"/>
    </row>
    <row r="272" ht="15.75" customHeight="1">
      <c r="A272" s="8">
        <v>70602.0</v>
      </c>
      <c r="B272" s="9" t="s">
        <v>285</v>
      </c>
      <c r="C272" s="8">
        <v>5367.0</v>
      </c>
      <c r="D272" s="8">
        <v>2478.4445093274117</v>
      </c>
      <c r="E272" s="8">
        <v>9231.0</v>
      </c>
      <c r="F272" s="10">
        <f t="shared" si="1"/>
        <v>0.5814104647</v>
      </c>
      <c r="G272" s="10">
        <f t="shared" si="2"/>
        <v>0.4617932754</v>
      </c>
      <c r="H272" s="10">
        <f t="shared" si="3"/>
        <v>0.2684914429</v>
      </c>
      <c r="I272" s="8">
        <v>4402.0</v>
      </c>
      <c r="J272" s="8">
        <v>1906.5556044578552</v>
      </c>
      <c r="K272" s="8">
        <v>9756.0</v>
      </c>
      <c r="L272" s="11">
        <f t="shared" si="4"/>
        <v>0.4512095121</v>
      </c>
      <c r="M272" s="12">
        <f t="shared" si="5"/>
        <v>0.4331112232</v>
      </c>
      <c r="N272" s="13">
        <f t="shared" si="6"/>
        <v>0.1954239037</v>
      </c>
      <c r="O272" s="14">
        <f t="shared" si="7"/>
        <v>0.7278589649</v>
      </c>
      <c r="P272" s="15"/>
      <c r="Q272" s="15"/>
      <c r="AD272" s="20"/>
    </row>
    <row r="273" ht="15.75" customHeight="1">
      <c r="A273" s="8">
        <v>70603.0</v>
      </c>
      <c r="B273" s="9" t="s">
        <v>286</v>
      </c>
      <c r="C273" s="8">
        <v>621.0</v>
      </c>
      <c r="D273" s="8">
        <v>255.3333394229412</v>
      </c>
      <c r="E273" s="8">
        <v>2288.0</v>
      </c>
      <c r="F273" s="10">
        <f t="shared" si="1"/>
        <v>0.2714160839</v>
      </c>
      <c r="G273" s="10">
        <f t="shared" si="2"/>
        <v>0.4111647978</v>
      </c>
      <c r="H273" s="10">
        <f t="shared" si="3"/>
        <v>0.1115967393</v>
      </c>
      <c r="I273" s="8">
        <v>1311.0</v>
      </c>
      <c r="J273" s="8">
        <v>542.6666809916496</v>
      </c>
      <c r="K273" s="8">
        <v>3701.0</v>
      </c>
      <c r="L273" s="11">
        <f t="shared" si="4"/>
        <v>0.3542285869</v>
      </c>
      <c r="M273" s="12">
        <f t="shared" si="5"/>
        <v>0.4139333951</v>
      </c>
      <c r="N273" s="13">
        <f t="shared" si="6"/>
        <v>0.1466270416</v>
      </c>
      <c r="O273" s="14">
        <f t="shared" si="7"/>
        <v>1.31390077</v>
      </c>
      <c r="P273" s="15"/>
      <c r="Q273" s="15"/>
      <c r="AD273" s="20"/>
    </row>
    <row r="274" ht="15.75" customHeight="1">
      <c r="A274" s="8">
        <v>70701.0</v>
      </c>
      <c r="B274" s="9" t="s">
        <v>287</v>
      </c>
      <c r="C274" s="8">
        <v>2317.0</v>
      </c>
      <c r="D274" s="8">
        <v>1086.5555837750435</v>
      </c>
      <c r="E274" s="8">
        <v>3587.0</v>
      </c>
      <c r="F274" s="10">
        <f t="shared" si="1"/>
        <v>0.6459436855</v>
      </c>
      <c r="G274" s="10">
        <f t="shared" si="2"/>
        <v>0.468949324</v>
      </c>
      <c r="H274" s="10">
        <f t="shared" si="3"/>
        <v>0.3029148547</v>
      </c>
      <c r="I274" s="8">
        <v>423.0</v>
      </c>
      <c r="J274" s="8">
        <v>187.22222703695297</v>
      </c>
      <c r="K274" s="8">
        <v>1487.0</v>
      </c>
      <c r="L274" s="11">
        <f t="shared" si="4"/>
        <v>0.2844653665</v>
      </c>
      <c r="M274" s="12">
        <f t="shared" si="5"/>
        <v>0.4426057377</v>
      </c>
      <c r="N274" s="13">
        <f t="shared" si="6"/>
        <v>0.1259060034</v>
      </c>
      <c r="O274" s="14">
        <f t="shared" si="7"/>
        <v>0.4156481646</v>
      </c>
      <c r="P274" s="15"/>
      <c r="Q274" s="15"/>
      <c r="AD274" s="20"/>
    </row>
    <row r="275" ht="15.75" customHeight="1">
      <c r="A275" s="8">
        <v>70702.0</v>
      </c>
      <c r="B275" s="9" t="s">
        <v>288</v>
      </c>
      <c r="C275" s="8">
        <v>11746.0</v>
      </c>
      <c r="D275" s="8">
        <v>5248.55569434166</v>
      </c>
      <c r="E275" s="8">
        <v>19802.0</v>
      </c>
      <c r="F275" s="10">
        <f t="shared" si="1"/>
        <v>0.5931724068</v>
      </c>
      <c r="G275" s="10">
        <f t="shared" si="2"/>
        <v>0.446837706</v>
      </c>
      <c r="H275" s="10">
        <f t="shared" si="3"/>
        <v>0.2650517975</v>
      </c>
      <c r="I275" s="8">
        <v>5597.0</v>
      </c>
      <c r="J275" s="8">
        <v>2222.5556086301804</v>
      </c>
      <c r="K275" s="8">
        <v>11222.0</v>
      </c>
      <c r="L275" s="11">
        <f t="shared" si="4"/>
        <v>0.4987524505</v>
      </c>
      <c r="M275" s="12">
        <f t="shared" si="5"/>
        <v>0.397097661</v>
      </c>
      <c r="N275" s="13">
        <f t="shared" si="6"/>
        <v>0.1980534315</v>
      </c>
      <c r="O275" s="14">
        <f t="shared" si="7"/>
        <v>0.7472253853</v>
      </c>
      <c r="P275" s="15"/>
      <c r="Q275" s="15"/>
      <c r="AD275" s="20"/>
    </row>
    <row r="276" ht="15.75" customHeight="1">
      <c r="A276" s="8">
        <v>70703.0</v>
      </c>
      <c r="B276" s="9" t="s">
        <v>289</v>
      </c>
      <c r="C276" s="8">
        <v>3081.0</v>
      </c>
      <c r="D276" s="8">
        <v>1382.7778140306473</v>
      </c>
      <c r="E276" s="8">
        <v>7426.0</v>
      </c>
      <c r="F276" s="10">
        <f t="shared" si="1"/>
        <v>0.414893617</v>
      </c>
      <c r="G276" s="10">
        <f t="shared" si="2"/>
        <v>0.4488081188</v>
      </c>
      <c r="H276" s="10">
        <f t="shared" si="3"/>
        <v>0.1862076238</v>
      </c>
      <c r="I276" s="8">
        <v>6492.0</v>
      </c>
      <c r="J276" s="8">
        <v>2601.2222853899</v>
      </c>
      <c r="K276" s="8">
        <v>17610.0</v>
      </c>
      <c r="L276" s="11">
        <f t="shared" si="4"/>
        <v>0.3686541738</v>
      </c>
      <c r="M276" s="12">
        <f t="shared" si="5"/>
        <v>0.40068119</v>
      </c>
      <c r="N276" s="13">
        <f t="shared" si="6"/>
        <v>0.147712793</v>
      </c>
      <c r="O276" s="14">
        <f t="shared" si="7"/>
        <v>0.793269309</v>
      </c>
      <c r="P276" s="15"/>
      <c r="Q276" s="15"/>
      <c r="AD276" s="20"/>
    </row>
    <row r="277" ht="15.75" customHeight="1">
      <c r="A277" s="8">
        <v>70704.0</v>
      </c>
      <c r="B277" s="9" t="s">
        <v>290</v>
      </c>
      <c r="C277" s="8">
        <v>1567.0</v>
      </c>
      <c r="D277" s="8">
        <v>820.7778000831604</v>
      </c>
      <c r="E277" s="8">
        <v>2482.0</v>
      </c>
      <c r="F277" s="10">
        <f t="shared" si="1"/>
        <v>0.631345689</v>
      </c>
      <c r="G277" s="10">
        <f t="shared" si="2"/>
        <v>0.5237892789</v>
      </c>
      <c r="H277" s="10">
        <f t="shared" si="3"/>
        <v>0.3306921032</v>
      </c>
      <c r="I277" s="8">
        <v>788.0</v>
      </c>
      <c r="J277" s="8">
        <v>323.33334201574326</v>
      </c>
      <c r="K277" s="8">
        <v>2298.0</v>
      </c>
      <c r="L277" s="11">
        <f t="shared" si="4"/>
        <v>0.3429068755</v>
      </c>
      <c r="M277" s="12">
        <f t="shared" si="5"/>
        <v>0.4103215</v>
      </c>
      <c r="N277" s="13">
        <f t="shared" si="6"/>
        <v>0.1407020635</v>
      </c>
      <c r="O277" s="14">
        <f t="shared" si="7"/>
        <v>0.425477543</v>
      </c>
      <c r="P277" s="15"/>
      <c r="Q277" s="15"/>
      <c r="AD277" s="20"/>
    </row>
    <row r="278" ht="15.75" customHeight="1">
      <c r="A278" s="8">
        <v>70705.0</v>
      </c>
      <c r="B278" s="9" t="s">
        <v>291</v>
      </c>
      <c r="C278" s="8">
        <v>7978.0</v>
      </c>
      <c r="D278" s="8">
        <v>3868.777878522873</v>
      </c>
      <c r="E278" s="8">
        <v>10957.0</v>
      </c>
      <c r="F278" s="10">
        <f t="shared" si="1"/>
        <v>0.7281190107</v>
      </c>
      <c r="G278" s="10">
        <f t="shared" si="2"/>
        <v>0.4849307945</v>
      </c>
      <c r="H278" s="10">
        <f t="shared" si="3"/>
        <v>0.3530873303</v>
      </c>
      <c r="I278" s="8">
        <v>345.0</v>
      </c>
      <c r="J278" s="8">
        <v>143.44444823265076</v>
      </c>
      <c r="K278" s="8">
        <v>929.0</v>
      </c>
      <c r="L278" s="11">
        <f t="shared" si="4"/>
        <v>0.3713670614</v>
      </c>
      <c r="M278" s="12">
        <f t="shared" si="5"/>
        <v>0.4157810094</v>
      </c>
      <c r="N278" s="13">
        <f t="shared" si="6"/>
        <v>0.1544073716</v>
      </c>
      <c r="O278" s="14">
        <f t="shared" si="7"/>
        <v>0.4373064632</v>
      </c>
      <c r="P278" s="15"/>
      <c r="Q278" s="15"/>
      <c r="AD278" s="20"/>
    </row>
    <row r="279" ht="15.75" customHeight="1">
      <c r="A279" s="8">
        <v>70706.0</v>
      </c>
      <c r="B279" s="9" t="s">
        <v>292</v>
      </c>
      <c r="C279" s="8">
        <v>2998.0</v>
      </c>
      <c r="D279" s="8">
        <v>1278.4444783329964</v>
      </c>
      <c r="E279" s="8">
        <v>10391.0</v>
      </c>
      <c r="F279" s="10">
        <f t="shared" si="1"/>
        <v>0.2885189106</v>
      </c>
      <c r="G279" s="10">
        <f t="shared" si="2"/>
        <v>0.4264324477</v>
      </c>
      <c r="H279" s="10">
        <f t="shared" si="3"/>
        <v>0.1230338253</v>
      </c>
      <c r="I279" s="8">
        <v>2407.0</v>
      </c>
      <c r="J279" s="8">
        <v>923.8889122903347</v>
      </c>
      <c r="K279" s="8">
        <v>22551.0</v>
      </c>
      <c r="L279" s="11">
        <f t="shared" si="4"/>
        <v>0.1067358432</v>
      </c>
      <c r="M279" s="12">
        <f t="shared" si="5"/>
        <v>0.383834197</v>
      </c>
      <c r="N279" s="13">
        <f t="shared" si="6"/>
        <v>0.04096886667</v>
      </c>
      <c r="O279" s="14">
        <f t="shared" si="7"/>
        <v>0.3329886442</v>
      </c>
      <c r="P279" s="15"/>
      <c r="Q279" s="15"/>
      <c r="AD279" s="20"/>
    </row>
    <row r="280" ht="15.75" customHeight="1">
      <c r="A280" s="8">
        <v>70707.0</v>
      </c>
      <c r="B280" s="9" t="s">
        <v>293</v>
      </c>
      <c r="C280" s="8">
        <v>1695.0</v>
      </c>
      <c r="D280" s="8">
        <v>811.1111313700676</v>
      </c>
      <c r="E280" s="8">
        <v>2791.0</v>
      </c>
      <c r="F280" s="10">
        <f t="shared" si="1"/>
        <v>0.6073092082</v>
      </c>
      <c r="G280" s="10">
        <f t="shared" si="2"/>
        <v>0.4785316409</v>
      </c>
      <c r="H280" s="10">
        <f t="shared" si="3"/>
        <v>0.2906166719</v>
      </c>
      <c r="I280" s="8">
        <v>685.0</v>
      </c>
      <c r="J280" s="8">
        <v>301.3333416581154</v>
      </c>
      <c r="K280" s="8">
        <v>2104.0</v>
      </c>
      <c r="L280" s="11">
        <f t="shared" si="4"/>
        <v>0.3255703422</v>
      </c>
      <c r="M280" s="12">
        <f t="shared" si="5"/>
        <v>0.4399026886</v>
      </c>
      <c r="N280" s="13">
        <f t="shared" si="6"/>
        <v>0.1432192688</v>
      </c>
      <c r="O280" s="14">
        <f t="shared" si="7"/>
        <v>0.4928116061</v>
      </c>
      <c r="P280" s="15"/>
      <c r="Q280" s="15"/>
      <c r="AD280" s="20"/>
    </row>
    <row r="281" ht="15.75" customHeight="1">
      <c r="A281" s="8">
        <v>70801.0</v>
      </c>
      <c r="B281" s="9" t="s">
        <v>294</v>
      </c>
      <c r="C281" s="8">
        <v>1143.0</v>
      </c>
      <c r="D281" s="8">
        <v>515.4444575607777</v>
      </c>
      <c r="E281" s="8">
        <v>3355.0</v>
      </c>
      <c r="F281" s="10">
        <f t="shared" si="1"/>
        <v>0.340685544</v>
      </c>
      <c r="G281" s="10">
        <f t="shared" si="2"/>
        <v>0.4509575307</v>
      </c>
      <c r="H281" s="10">
        <f t="shared" si="3"/>
        <v>0.1536347116</v>
      </c>
      <c r="I281" s="8">
        <v>4186.0</v>
      </c>
      <c r="J281" s="8">
        <v>1853.000048995018</v>
      </c>
      <c r="K281" s="8">
        <v>13441.0</v>
      </c>
      <c r="L281" s="11">
        <f t="shared" si="4"/>
        <v>0.3114351611</v>
      </c>
      <c r="M281" s="12">
        <f t="shared" si="5"/>
        <v>0.4426660413</v>
      </c>
      <c r="N281" s="13">
        <f t="shared" si="6"/>
        <v>0.1378617699</v>
      </c>
      <c r="O281" s="14">
        <f t="shared" si="7"/>
        <v>0.8973347781</v>
      </c>
      <c r="P281" s="15"/>
      <c r="Q281" s="15"/>
      <c r="AD281" s="20"/>
    </row>
    <row r="282" ht="15.75" customHeight="1">
      <c r="A282" s="8">
        <v>70802.0</v>
      </c>
      <c r="B282" s="9" t="s">
        <v>295</v>
      </c>
      <c r="C282" s="8">
        <v>107.0</v>
      </c>
      <c r="D282" s="8">
        <v>47.88889026641846</v>
      </c>
      <c r="E282" s="8">
        <v>448.0</v>
      </c>
      <c r="F282" s="10">
        <f t="shared" si="1"/>
        <v>0.2388392857</v>
      </c>
      <c r="G282" s="10">
        <f t="shared" si="2"/>
        <v>0.4475597221</v>
      </c>
      <c r="H282" s="10">
        <f t="shared" si="3"/>
        <v>0.1068948443</v>
      </c>
      <c r="I282" s="8">
        <v>373.0</v>
      </c>
      <c r="J282" s="8">
        <v>150.44444838166237</v>
      </c>
      <c r="K282" s="8">
        <v>1629.0</v>
      </c>
      <c r="L282" s="11">
        <f t="shared" si="4"/>
        <v>0.2289748312</v>
      </c>
      <c r="M282" s="12">
        <f t="shared" si="5"/>
        <v>0.4033363227</v>
      </c>
      <c r="N282" s="13">
        <f t="shared" si="6"/>
        <v>0.09235386641</v>
      </c>
      <c r="O282" s="14">
        <f t="shared" si="7"/>
        <v>0.863969324</v>
      </c>
      <c r="P282" s="15"/>
      <c r="Q282" s="15"/>
      <c r="AD282" s="20"/>
    </row>
    <row r="283" ht="15.75" customHeight="1">
      <c r="A283" s="8">
        <v>70803.0</v>
      </c>
      <c r="B283" s="9" t="s">
        <v>296</v>
      </c>
      <c r="C283" s="8">
        <v>107.0</v>
      </c>
      <c r="D283" s="8">
        <v>54.88889065384865</v>
      </c>
      <c r="E283" s="8">
        <v>262.0</v>
      </c>
      <c r="F283" s="10">
        <f t="shared" si="1"/>
        <v>0.4083969466</v>
      </c>
      <c r="G283" s="10">
        <f t="shared" si="2"/>
        <v>0.5129802865</v>
      </c>
      <c r="H283" s="10">
        <f t="shared" si="3"/>
        <v>0.2094995826</v>
      </c>
      <c r="I283" s="8">
        <v>1113.0</v>
      </c>
      <c r="J283" s="8">
        <v>502.7777898609638</v>
      </c>
      <c r="K283" s="8">
        <v>2490.0</v>
      </c>
      <c r="L283" s="11">
        <f t="shared" si="4"/>
        <v>0.4469879518</v>
      </c>
      <c r="M283" s="12">
        <f t="shared" si="5"/>
        <v>0.4517320664</v>
      </c>
      <c r="N283" s="13">
        <f t="shared" si="6"/>
        <v>0.2019187911</v>
      </c>
      <c r="O283" s="14">
        <f t="shared" si="7"/>
        <v>0.9638147654</v>
      </c>
      <c r="P283" s="15"/>
      <c r="Q283" s="15"/>
      <c r="AD283" s="20"/>
    </row>
    <row r="284" ht="15.75" customHeight="1">
      <c r="A284" s="8">
        <v>70804.0</v>
      </c>
      <c r="B284" s="9" t="s">
        <v>297</v>
      </c>
      <c r="C284" s="8">
        <v>146.0</v>
      </c>
      <c r="D284" s="8">
        <v>81.55555829405785</v>
      </c>
      <c r="E284" s="8">
        <v>272.0</v>
      </c>
      <c r="F284" s="10">
        <f t="shared" si="1"/>
        <v>0.5367647059</v>
      </c>
      <c r="G284" s="10">
        <f t="shared" si="2"/>
        <v>0.5585997143</v>
      </c>
      <c r="H284" s="10">
        <f t="shared" si="3"/>
        <v>0.2998366114</v>
      </c>
      <c r="I284" s="8">
        <v>1019.0</v>
      </c>
      <c r="J284" s="8">
        <v>548.5555703639984</v>
      </c>
      <c r="K284" s="8">
        <v>2025.0</v>
      </c>
      <c r="L284" s="11">
        <f t="shared" si="4"/>
        <v>0.5032098765</v>
      </c>
      <c r="M284" s="12">
        <f t="shared" si="5"/>
        <v>0.5383273507</v>
      </c>
      <c r="N284" s="13">
        <f t="shared" si="6"/>
        <v>0.2708916397</v>
      </c>
      <c r="O284" s="14">
        <f t="shared" si="7"/>
        <v>0.9034641849</v>
      </c>
      <c r="P284" s="15"/>
      <c r="Q284" s="15"/>
      <c r="AD284" s="20"/>
    </row>
    <row r="285" ht="15.75" customHeight="1">
      <c r="A285" s="8">
        <v>70805.0</v>
      </c>
      <c r="B285" s="9" t="s">
        <v>298</v>
      </c>
      <c r="C285" s="8">
        <v>130.0</v>
      </c>
      <c r="D285" s="8">
        <v>61.777779549360275</v>
      </c>
      <c r="E285" s="8">
        <v>274.0</v>
      </c>
      <c r="F285" s="10">
        <f t="shared" si="1"/>
        <v>0.4744525547</v>
      </c>
      <c r="G285" s="10">
        <f t="shared" si="2"/>
        <v>0.4752136888</v>
      </c>
      <c r="H285" s="10">
        <f t="shared" si="3"/>
        <v>0.2254663487</v>
      </c>
      <c r="I285" s="8">
        <v>957.0</v>
      </c>
      <c r="J285" s="8">
        <v>436.77778881788254</v>
      </c>
      <c r="K285" s="8">
        <v>1774.0</v>
      </c>
      <c r="L285" s="11">
        <f t="shared" si="4"/>
        <v>0.5394588501</v>
      </c>
      <c r="M285" s="12">
        <f t="shared" si="5"/>
        <v>0.4564031231</v>
      </c>
      <c r="N285" s="13">
        <f t="shared" si="6"/>
        <v>0.246210704</v>
      </c>
      <c r="O285" s="14">
        <f t="shared" si="7"/>
        <v>1.092006436</v>
      </c>
      <c r="P285" s="15"/>
      <c r="Q285" s="15"/>
      <c r="AD285" s="20"/>
    </row>
    <row r="286" ht="15.75" customHeight="1">
      <c r="A286" s="8">
        <v>70901.0</v>
      </c>
      <c r="B286" s="9" t="s">
        <v>299</v>
      </c>
      <c r="C286" s="8">
        <v>1443.0</v>
      </c>
      <c r="D286" s="8">
        <v>697.5555748343468</v>
      </c>
      <c r="E286" s="8">
        <v>3444.0</v>
      </c>
      <c r="F286" s="10">
        <f t="shared" si="1"/>
        <v>0.418989547</v>
      </c>
      <c r="G286" s="10">
        <f t="shared" si="2"/>
        <v>0.4834064968</v>
      </c>
      <c r="H286" s="10">
        <f t="shared" si="3"/>
        <v>0.2025422691</v>
      </c>
      <c r="I286" s="8">
        <v>2089.0</v>
      </c>
      <c r="J286" s="8">
        <v>909.0000241696835</v>
      </c>
      <c r="K286" s="8">
        <v>6806.0</v>
      </c>
      <c r="L286" s="11">
        <f t="shared" si="4"/>
        <v>0.3069350573</v>
      </c>
      <c r="M286" s="12">
        <f t="shared" si="5"/>
        <v>0.4351364405</v>
      </c>
      <c r="N286" s="13">
        <f t="shared" si="6"/>
        <v>0.1335586283</v>
      </c>
      <c r="O286" s="14">
        <f t="shared" si="7"/>
        <v>0.6594111386</v>
      </c>
      <c r="P286" s="15"/>
      <c r="Q286" s="15"/>
      <c r="AD286" s="20"/>
    </row>
    <row r="287" ht="15.75" customHeight="1">
      <c r="A287" s="8">
        <v>70902.0</v>
      </c>
      <c r="B287" s="9" t="s">
        <v>300</v>
      </c>
      <c r="C287" s="8">
        <v>2051.0</v>
      </c>
      <c r="D287" s="8">
        <v>947.2222485840321</v>
      </c>
      <c r="E287" s="8">
        <v>4733.0</v>
      </c>
      <c r="F287" s="10">
        <f t="shared" si="1"/>
        <v>0.4333403761</v>
      </c>
      <c r="G287" s="10">
        <f t="shared" si="2"/>
        <v>0.4618343484</v>
      </c>
      <c r="H287" s="10">
        <f t="shared" si="3"/>
        <v>0.2001314702</v>
      </c>
      <c r="I287" s="8">
        <v>1009.0</v>
      </c>
      <c r="J287" s="8">
        <v>413.66667810082436</v>
      </c>
      <c r="K287" s="8">
        <v>4364.0</v>
      </c>
      <c r="L287" s="11">
        <f t="shared" si="4"/>
        <v>0.2312098992</v>
      </c>
      <c r="M287" s="12">
        <f t="shared" si="5"/>
        <v>0.4099768861</v>
      </c>
      <c r="N287" s="13">
        <f t="shared" si="6"/>
        <v>0.09479071451</v>
      </c>
      <c r="O287" s="14">
        <f t="shared" si="7"/>
        <v>0.4736422233</v>
      </c>
      <c r="P287" s="15"/>
      <c r="Q287" s="15"/>
      <c r="AD287" s="20"/>
    </row>
    <row r="288" ht="15.75" customHeight="1">
      <c r="A288" s="8">
        <v>70903.0</v>
      </c>
      <c r="B288" s="9" t="s">
        <v>301</v>
      </c>
      <c r="C288" s="8">
        <v>1605.0</v>
      </c>
      <c r="D288" s="8">
        <v>687.2222400307655</v>
      </c>
      <c r="E288" s="8">
        <v>4301.0</v>
      </c>
      <c r="F288" s="10">
        <f t="shared" si="1"/>
        <v>0.3731690305</v>
      </c>
      <c r="G288" s="10">
        <f t="shared" si="2"/>
        <v>0.4281758505</v>
      </c>
      <c r="H288" s="10">
        <f t="shared" si="3"/>
        <v>0.159781967</v>
      </c>
      <c r="I288" s="8">
        <v>1059.0</v>
      </c>
      <c r="J288" s="8">
        <v>422.2222326993942</v>
      </c>
      <c r="K288" s="8">
        <v>5725.0</v>
      </c>
      <c r="L288" s="11">
        <f t="shared" si="4"/>
        <v>0.1849781659</v>
      </c>
      <c r="M288" s="12">
        <f t="shared" si="5"/>
        <v>0.3986989922</v>
      </c>
      <c r="N288" s="13">
        <f t="shared" si="6"/>
        <v>0.07375060833</v>
      </c>
      <c r="O288" s="14">
        <f t="shared" si="7"/>
        <v>0.4615702868</v>
      </c>
      <c r="P288" s="15"/>
      <c r="Q288" s="15"/>
      <c r="AD288" s="20"/>
    </row>
    <row r="289" ht="15.75" customHeight="1">
      <c r="A289" s="8">
        <v>70904.0</v>
      </c>
      <c r="B289" s="9" t="s">
        <v>302</v>
      </c>
      <c r="C289" s="8">
        <v>208.0</v>
      </c>
      <c r="D289" s="8">
        <v>96.88889148831367</v>
      </c>
      <c r="E289" s="8">
        <v>748.0</v>
      </c>
      <c r="F289" s="10">
        <f t="shared" si="1"/>
        <v>0.2780748663</v>
      </c>
      <c r="G289" s="10">
        <f t="shared" si="2"/>
        <v>0.4658119783</v>
      </c>
      <c r="H289" s="10">
        <f t="shared" si="3"/>
        <v>0.1295306036</v>
      </c>
      <c r="I289" s="8">
        <v>672.0</v>
      </c>
      <c r="J289" s="8">
        <v>300.4444523155689</v>
      </c>
      <c r="K289" s="8">
        <v>2170.0</v>
      </c>
      <c r="L289" s="11">
        <f t="shared" si="4"/>
        <v>0.3096774194</v>
      </c>
      <c r="M289" s="12">
        <f t="shared" si="5"/>
        <v>0.4470899588</v>
      </c>
      <c r="N289" s="13">
        <f t="shared" si="6"/>
        <v>0.1384536647</v>
      </c>
      <c r="O289" s="14">
        <f t="shared" si="7"/>
        <v>1.068887667</v>
      </c>
      <c r="P289" s="15"/>
      <c r="Q289" s="15"/>
      <c r="AD289" s="20"/>
    </row>
    <row r="290" ht="15.75" customHeight="1">
      <c r="A290" s="8">
        <v>71001.0</v>
      </c>
      <c r="B290" s="9" t="s">
        <v>303</v>
      </c>
      <c r="C290" s="8">
        <v>10292.0</v>
      </c>
      <c r="D290" s="8">
        <v>4148.222327709198</v>
      </c>
      <c r="E290" s="8">
        <v>41097.0</v>
      </c>
      <c r="F290" s="10">
        <f t="shared" si="1"/>
        <v>0.250431905</v>
      </c>
      <c r="G290" s="10">
        <f t="shared" si="2"/>
        <v>0.4030530828</v>
      </c>
      <c r="H290" s="10">
        <f t="shared" si="3"/>
        <v>0.1009373513</v>
      </c>
      <c r="I290" s="8">
        <v>12162.0</v>
      </c>
      <c r="J290" s="8">
        <v>4823.222343415022</v>
      </c>
      <c r="K290" s="8">
        <v>65857.0</v>
      </c>
      <c r="L290" s="11">
        <f t="shared" si="4"/>
        <v>0.1846728518</v>
      </c>
      <c r="M290" s="12">
        <f t="shared" si="5"/>
        <v>0.3965813471</v>
      </c>
      <c r="N290" s="13">
        <f t="shared" si="6"/>
        <v>0.07323780833</v>
      </c>
      <c r="O290" s="14">
        <f t="shared" si="7"/>
        <v>0.7255768788</v>
      </c>
      <c r="P290" s="15"/>
      <c r="Q290" s="15"/>
      <c r="AD290" s="20"/>
    </row>
    <row r="291" ht="15.75" customHeight="1">
      <c r="A291" s="8">
        <v>71002.0</v>
      </c>
      <c r="B291" s="9" t="s">
        <v>304</v>
      </c>
      <c r="C291" s="8">
        <v>2267.0</v>
      </c>
      <c r="D291" s="8">
        <v>954.4444696605206</v>
      </c>
      <c r="E291" s="8">
        <v>6041.0</v>
      </c>
      <c r="F291" s="10">
        <f t="shared" si="1"/>
        <v>0.3752689952</v>
      </c>
      <c r="G291" s="10">
        <f t="shared" si="2"/>
        <v>0.4210165283</v>
      </c>
      <c r="H291" s="10">
        <f t="shared" si="3"/>
        <v>0.1579944495</v>
      </c>
      <c r="I291" s="8">
        <v>2409.0</v>
      </c>
      <c r="J291" s="8">
        <v>977.4444698095322</v>
      </c>
      <c r="K291" s="8">
        <v>7865.0</v>
      </c>
      <c r="L291" s="11">
        <f t="shared" si="4"/>
        <v>0.3062937063</v>
      </c>
      <c r="M291" s="12">
        <f t="shared" si="5"/>
        <v>0.4057469779</v>
      </c>
      <c r="N291" s="13">
        <f t="shared" si="6"/>
        <v>0.1242777457</v>
      </c>
      <c r="O291" s="14">
        <f t="shared" si="7"/>
        <v>0.7865956434</v>
      </c>
      <c r="P291" s="15"/>
      <c r="Q291" s="15"/>
      <c r="AD291" s="20"/>
    </row>
    <row r="292" ht="15.75" customHeight="1">
      <c r="A292" s="8">
        <v>71003.0</v>
      </c>
      <c r="B292" s="9" t="s">
        <v>305</v>
      </c>
      <c r="C292" s="8">
        <v>3485.0</v>
      </c>
      <c r="D292" s="8">
        <v>1443.0000365674496</v>
      </c>
      <c r="E292" s="8">
        <v>8244.0</v>
      </c>
      <c r="F292" s="10">
        <f t="shared" si="1"/>
        <v>0.4227316836</v>
      </c>
      <c r="G292" s="10">
        <f t="shared" si="2"/>
        <v>0.4140602687</v>
      </c>
      <c r="H292" s="10">
        <f t="shared" si="3"/>
        <v>0.1750363945</v>
      </c>
      <c r="I292" s="8">
        <v>4992.0</v>
      </c>
      <c r="J292" s="8">
        <v>1974.4444943964481</v>
      </c>
      <c r="K292" s="8">
        <v>14649.0</v>
      </c>
      <c r="L292" s="11">
        <f t="shared" si="4"/>
        <v>0.3407741143</v>
      </c>
      <c r="M292" s="12">
        <f t="shared" si="5"/>
        <v>0.3955217337</v>
      </c>
      <c r="N292" s="13">
        <f t="shared" si="6"/>
        <v>0.1347835685</v>
      </c>
      <c r="O292" s="14">
        <f t="shared" si="7"/>
        <v>0.7700316772</v>
      </c>
      <c r="P292" s="15"/>
      <c r="Q292" s="15"/>
      <c r="AD292" s="20"/>
    </row>
    <row r="293" ht="15.75" customHeight="1">
      <c r="A293" s="8">
        <v>71004.0</v>
      </c>
      <c r="B293" s="9" t="s">
        <v>306</v>
      </c>
      <c r="C293" s="8">
        <v>2911.0</v>
      </c>
      <c r="D293" s="8">
        <v>1183.1111413240433</v>
      </c>
      <c r="E293" s="8">
        <v>8213.0</v>
      </c>
      <c r="F293" s="10">
        <f t="shared" si="1"/>
        <v>0.354438086</v>
      </c>
      <c r="G293" s="10">
        <f t="shared" si="2"/>
        <v>0.4064277366</v>
      </c>
      <c r="H293" s="10">
        <f t="shared" si="3"/>
        <v>0.1440534691</v>
      </c>
      <c r="I293" s="8">
        <v>1682.0</v>
      </c>
      <c r="J293" s="8">
        <v>647.2222385108471</v>
      </c>
      <c r="K293" s="8">
        <v>5587.0</v>
      </c>
      <c r="L293" s="11">
        <f t="shared" si="4"/>
        <v>0.3010560229</v>
      </c>
      <c r="M293" s="12">
        <f t="shared" si="5"/>
        <v>0.3847932453</v>
      </c>
      <c r="N293" s="13">
        <f t="shared" si="6"/>
        <v>0.1158443241</v>
      </c>
      <c r="O293" s="14">
        <f t="shared" si="7"/>
        <v>0.8041758718</v>
      </c>
      <c r="P293" s="15"/>
      <c r="Q293" s="15"/>
      <c r="AD293" s="20"/>
    </row>
    <row r="294" ht="15.75" customHeight="1">
      <c r="A294" s="8">
        <v>71005.0</v>
      </c>
      <c r="B294" s="9" t="s">
        <v>307</v>
      </c>
      <c r="C294" s="8">
        <v>2647.0</v>
      </c>
      <c r="D294" s="8">
        <v>1031.5555826425552</v>
      </c>
      <c r="E294" s="8">
        <v>9264.0</v>
      </c>
      <c r="F294" s="10">
        <f t="shared" si="1"/>
        <v>0.2857297064</v>
      </c>
      <c r="G294" s="10">
        <f t="shared" si="2"/>
        <v>0.3897074358</v>
      </c>
      <c r="H294" s="10">
        <f t="shared" si="3"/>
        <v>0.1113509912</v>
      </c>
      <c r="I294" s="8">
        <v>2033.0</v>
      </c>
      <c r="J294" s="8">
        <v>812.6666866242886</v>
      </c>
      <c r="K294" s="8">
        <v>6751.0</v>
      </c>
      <c r="L294" s="11">
        <f t="shared" si="4"/>
        <v>0.3011405718</v>
      </c>
      <c r="M294" s="12">
        <f t="shared" si="5"/>
        <v>0.3997376717</v>
      </c>
      <c r="N294" s="13">
        <f t="shared" si="6"/>
        <v>0.120377231</v>
      </c>
      <c r="O294" s="14">
        <f t="shared" si="7"/>
        <v>1.081061154</v>
      </c>
      <c r="P294" s="15"/>
      <c r="Q294" s="15"/>
      <c r="AD294" s="20"/>
    </row>
    <row r="295" ht="15.75" customHeight="1">
      <c r="A295" s="8">
        <v>71101.0</v>
      </c>
      <c r="B295" s="9" t="s">
        <v>308</v>
      </c>
      <c r="C295" s="8">
        <v>7453.0</v>
      </c>
      <c r="D295" s="8">
        <v>3340.555641949177</v>
      </c>
      <c r="E295" s="8">
        <v>13368.0</v>
      </c>
      <c r="F295" s="10">
        <f t="shared" si="1"/>
        <v>0.5575254339</v>
      </c>
      <c r="G295" s="10">
        <f t="shared" si="2"/>
        <v>0.4482162407</v>
      </c>
      <c r="H295" s="10">
        <f t="shared" si="3"/>
        <v>0.2498919541</v>
      </c>
      <c r="I295" s="8">
        <v>2485.0</v>
      </c>
      <c r="J295" s="8">
        <v>1121.8889183700085</v>
      </c>
      <c r="K295" s="8">
        <v>5087.0</v>
      </c>
      <c r="L295" s="11">
        <f t="shared" si="4"/>
        <v>0.4885000983</v>
      </c>
      <c r="M295" s="12">
        <f t="shared" si="5"/>
        <v>0.4514643535</v>
      </c>
      <c r="N295" s="13">
        <f t="shared" si="6"/>
        <v>0.220540381</v>
      </c>
      <c r="O295" s="14">
        <f t="shared" si="7"/>
        <v>0.8825429449</v>
      </c>
      <c r="P295" s="15"/>
      <c r="Q295" s="15"/>
      <c r="AD295" s="20"/>
    </row>
    <row r="296" ht="15.75" customHeight="1">
      <c r="A296" s="8">
        <v>71102.0</v>
      </c>
      <c r="B296" s="9" t="s">
        <v>309</v>
      </c>
      <c r="C296" s="8">
        <v>4811.0</v>
      </c>
      <c r="D296" s="8">
        <v>2220.0000591874123</v>
      </c>
      <c r="E296" s="8">
        <v>9164.0</v>
      </c>
      <c r="F296" s="10">
        <f t="shared" si="1"/>
        <v>0.5249890877</v>
      </c>
      <c r="G296" s="10">
        <f t="shared" si="2"/>
        <v>0.4614425398</v>
      </c>
      <c r="H296" s="10">
        <f t="shared" si="3"/>
        <v>0.242252298</v>
      </c>
      <c r="I296" s="8">
        <v>1904.0</v>
      </c>
      <c r="J296" s="8">
        <v>867.2222439050674</v>
      </c>
      <c r="K296" s="8">
        <v>4186.0</v>
      </c>
      <c r="L296" s="11">
        <f t="shared" si="4"/>
        <v>0.4548494983</v>
      </c>
      <c r="M296" s="12">
        <f t="shared" si="5"/>
        <v>0.4554738676</v>
      </c>
      <c r="N296" s="13">
        <f t="shared" si="6"/>
        <v>0.2071720602</v>
      </c>
      <c r="O296" s="14">
        <f t="shared" si="7"/>
        <v>0.8551913103</v>
      </c>
      <c r="P296" s="15"/>
      <c r="Q296" s="15"/>
      <c r="AD296" s="20"/>
    </row>
    <row r="297" ht="15.75" customHeight="1">
      <c r="A297" s="8">
        <v>71103.0</v>
      </c>
      <c r="B297" s="9" t="s">
        <v>310</v>
      </c>
      <c r="C297" s="8">
        <v>11822.0</v>
      </c>
      <c r="D297" s="8">
        <v>4799.111228376627</v>
      </c>
      <c r="E297" s="8">
        <v>28176.0</v>
      </c>
      <c r="F297" s="10">
        <f t="shared" si="1"/>
        <v>0.4195769449</v>
      </c>
      <c r="G297" s="10">
        <f t="shared" si="2"/>
        <v>0.4059474901</v>
      </c>
      <c r="H297" s="10">
        <f t="shared" si="3"/>
        <v>0.1703262077</v>
      </c>
      <c r="I297" s="8">
        <v>6954.0</v>
      </c>
      <c r="J297" s="8">
        <v>2763.000068515539</v>
      </c>
      <c r="K297" s="8">
        <v>18194.0</v>
      </c>
      <c r="L297" s="11">
        <f t="shared" si="4"/>
        <v>0.3822139167</v>
      </c>
      <c r="M297" s="12">
        <f t="shared" si="5"/>
        <v>0.3973252903</v>
      </c>
      <c r="N297" s="13">
        <f t="shared" si="6"/>
        <v>0.1518632554</v>
      </c>
      <c r="O297" s="14">
        <f t="shared" si="7"/>
        <v>0.8916023989</v>
      </c>
      <c r="P297" s="15"/>
      <c r="Q297" s="15"/>
      <c r="AD297" s="20"/>
    </row>
    <row r="298" ht="15.75" customHeight="1">
      <c r="A298" s="8">
        <v>71104.0</v>
      </c>
      <c r="B298" s="9" t="s">
        <v>311</v>
      </c>
      <c r="C298" s="8">
        <v>2262.0</v>
      </c>
      <c r="D298" s="8">
        <v>966.8889144361019</v>
      </c>
      <c r="E298" s="8">
        <v>6236.0</v>
      </c>
      <c r="F298" s="10">
        <f t="shared" si="1"/>
        <v>0.3627325208</v>
      </c>
      <c r="G298" s="10">
        <f t="shared" si="2"/>
        <v>0.4274486801</v>
      </c>
      <c r="H298" s="10">
        <f t="shared" si="3"/>
        <v>0.1550495373</v>
      </c>
      <c r="I298" s="8">
        <v>37.0</v>
      </c>
      <c r="J298" s="8">
        <v>14.88888931274414</v>
      </c>
      <c r="K298" s="8">
        <v>228.0</v>
      </c>
      <c r="L298" s="11">
        <f t="shared" si="4"/>
        <v>0.1622807018</v>
      </c>
      <c r="M298" s="12">
        <f t="shared" si="5"/>
        <v>0.4024024139</v>
      </c>
      <c r="N298" s="13">
        <f t="shared" si="6"/>
        <v>0.06530214611</v>
      </c>
      <c r="O298" s="14">
        <f t="shared" si="7"/>
        <v>0.4211695646</v>
      </c>
      <c r="P298" s="15"/>
      <c r="Q298" s="15"/>
      <c r="AD298" s="20"/>
    </row>
    <row r="299" ht="15.75" customHeight="1">
      <c r="A299" s="8">
        <v>71105.0</v>
      </c>
      <c r="B299" s="9" t="s">
        <v>312</v>
      </c>
      <c r="C299" s="8">
        <v>1608.0</v>
      </c>
      <c r="D299" s="8">
        <v>702.2222395837307</v>
      </c>
      <c r="E299" s="8">
        <v>3647.0</v>
      </c>
      <c r="F299" s="10">
        <f t="shared" si="1"/>
        <v>0.4409103373</v>
      </c>
      <c r="G299" s="10">
        <f t="shared" si="2"/>
        <v>0.4367053729</v>
      </c>
      <c r="H299" s="10">
        <f t="shared" si="3"/>
        <v>0.1925479132</v>
      </c>
      <c r="I299" s="8">
        <v>1341.0</v>
      </c>
      <c r="J299" s="8">
        <v>590.6666807234287</v>
      </c>
      <c r="K299" s="8">
        <v>3302.0</v>
      </c>
      <c r="L299" s="11">
        <f t="shared" si="4"/>
        <v>0.4061175045</v>
      </c>
      <c r="M299" s="12">
        <f t="shared" si="5"/>
        <v>0.4404673234</v>
      </c>
      <c r="N299" s="13">
        <f t="shared" si="6"/>
        <v>0.1788814902</v>
      </c>
      <c r="O299" s="14">
        <f t="shared" si="7"/>
        <v>0.9290232608</v>
      </c>
      <c r="P299" s="15"/>
      <c r="Q299" s="15"/>
      <c r="AD299" s="20"/>
    </row>
    <row r="300" ht="15.75" customHeight="1">
      <c r="A300" s="8">
        <v>71106.0</v>
      </c>
      <c r="B300" s="9" t="s">
        <v>313</v>
      </c>
      <c r="C300" s="8">
        <v>3711.0</v>
      </c>
      <c r="D300" s="8">
        <v>1473.8889269530773</v>
      </c>
      <c r="E300" s="8">
        <v>10779.0</v>
      </c>
      <c r="F300" s="10">
        <f t="shared" si="1"/>
        <v>0.3442805455</v>
      </c>
      <c r="G300" s="10">
        <f t="shared" si="2"/>
        <v>0.3971675901</v>
      </c>
      <c r="H300" s="10">
        <f t="shared" si="3"/>
        <v>0.1367370746</v>
      </c>
      <c r="I300" s="8">
        <v>2765.0</v>
      </c>
      <c r="J300" s="8">
        <v>1029.2222474515438</v>
      </c>
      <c r="K300" s="8">
        <v>10582.0</v>
      </c>
      <c r="L300" s="11">
        <f t="shared" si="4"/>
        <v>0.2612927613</v>
      </c>
      <c r="M300" s="12">
        <f t="shared" si="5"/>
        <v>0.3722322776</v>
      </c>
      <c r="N300" s="13">
        <f t="shared" si="6"/>
        <v>0.09726159965</v>
      </c>
      <c r="O300" s="14">
        <f t="shared" si="7"/>
        <v>0.7113037919</v>
      </c>
      <c r="P300" s="15"/>
      <c r="Q300" s="15"/>
      <c r="AD300" s="20"/>
    </row>
    <row r="301" ht="15.75" customHeight="1">
      <c r="A301" s="8">
        <v>71201.0</v>
      </c>
      <c r="B301" s="9" t="s">
        <v>314</v>
      </c>
      <c r="C301" s="8">
        <v>4293.0</v>
      </c>
      <c r="D301" s="8">
        <v>1936.4444957971573</v>
      </c>
      <c r="E301" s="8">
        <v>7909.0</v>
      </c>
      <c r="F301" s="10">
        <f t="shared" si="1"/>
        <v>0.5427993425</v>
      </c>
      <c r="G301" s="10">
        <f t="shared" si="2"/>
        <v>0.4510702296</v>
      </c>
      <c r="H301" s="10">
        <f t="shared" si="3"/>
        <v>0.2448406241</v>
      </c>
      <c r="I301" s="8">
        <v>3216.0</v>
      </c>
      <c r="J301" s="8">
        <v>1408.666705161333</v>
      </c>
      <c r="K301" s="8">
        <v>6171.0</v>
      </c>
      <c r="L301" s="11">
        <f t="shared" si="4"/>
        <v>0.5211473019</v>
      </c>
      <c r="M301" s="12">
        <f t="shared" si="5"/>
        <v>0.4380182541</v>
      </c>
      <c r="N301" s="13">
        <f t="shared" si="6"/>
        <v>0.2282720313</v>
      </c>
      <c r="O301" s="14">
        <f t="shared" si="7"/>
        <v>0.9323290698</v>
      </c>
      <c r="P301" s="15"/>
      <c r="Q301" s="15"/>
      <c r="AD301" s="20"/>
    </row>
    <row r="302" ht="15.75" customHeight="1">
      <c r="A302" s="8">
        <v>71301.0</v>
      </c>
      <c r="B302" s="9" t="s">
        <v>315</v>
      </c>
      <c r="C302" s="8">
        <v>4041.0</v>
      </c>
      <c r="D302" s="8">
        <v>1857.6667152643204</v>
      </c>
      <c r="E302" s="8">
        <v>9476.0</v>
      </c>
      <c r="F302" s="10">
        <f t="shared" si="1"/>
        <v>0.4264457577</v>
      </c>
      <c r="G302" s="10">
        <f t="shared" si="2"/>
        <v>0.4597047056</v>
      </c>
      <c r="H302" s="10">
        <f t="shared" si="3"/>
        <v>0.1960391215</v>
      </c>
      <c r="I302" s="8">
        <v>1408.0</v>
      </c>
      <c r="J302" s="8">
        <v>629.5555715858936</v>
      </c>
      <c r="K302" s="8">
        <v>6272.0</v>
      </c>
      <c r="L302" s="11">
        <f t="shared" si="4"/>
        <v>0.2244897959</v>
      </c>
      <c r="M302" s="12">
        <f t="shared" si="5"/>
        <v>0.4471275366</v>
      </c>
      <c r="N302" s="13">
        <f t="shared" si="6"/>
        <v>0.1003755694</v>
      </c>
      <c r="O302" s="14">
        <f t="shared" si="7"/>
        <v>0.5120180538</v>
      </c>
      <c r="P302" s="15"/>
      <c r="Q302" s="15"/>
      <c r="AD302" s="20"/>
    </row>
    <row r="303" ht="15.75" customHeight="1">
      <c r="A303" s="8">
        <v>71302.0</v>
      </c>
      <c r="B303" s="9" t="s">
        <v>316</v>
      </c>
      <c r="C303" s="8">
        <v>1576.0</v>
      </c>
      <c r="D303" s="8">
        <v>658.1111294031143</v>
      </c>
      <c r="E303" s="8">
        <v>3564.0</v>
      </c>
      <c r="F303" s="10">
        <f t="shared" si="1"/>
        <v>0.4421997755</v>
      </c>
      <c r="G303" s="10">
        <f t="shared" si="2"/>
        <v>0.4175832039</v>
      </c>
      <c r="H303" s="10">
        <f t="shared" si="3"/>
        <v>0.184655199</v>
      </c>
      <c r="I303" s="8">
        <v>1107.0</v>
      </c>
      <c r="J303" s="8">
        <v>465.22223433852196</v>
      </c>
      <c r="K303" s="8">
        <v>3561.0</v>
      </c>
      <c r="L303" s="11">
        <f t="shared" si="4"/>
        <v>0.3108677338</v>
      </c>
      <c r="M303" s="12">
        <f t="shared" si="5"/>
        <v>0.4202549542</v>
      </c>
      <c r="N303" s="13">
        <f t="shared" si="6"/>
        <v>0.1306437052</v>
      </c>
      <c r="O303" s="14">
        <f t="shared" si="7"/>
        <v>0.7075008227</v>
      </c>
      <c r="P303" s="15"/>
      <c r="Q303" s="15"/>
      <c r="AD303" s="20"/>
    </row>
    <row r="304" ht="15.75" customHeight="1">
      <c r="A304" s="8">
        <v>71401.0</v>
      </c>
      <c r="B304" s="9" t="s">
        <v>317</v>
      </c>
      <c r="C304" s="8">
        <v>1553.0</v>
      </c>
      <c r="D304" s="8">
        <v>626.8889044225216</v>
      </c>
      <c r="E304" s="8">
        <v>6014.0</v>
      </c>
      <c r="F304" s="10">
        <f t="shared" si="1"/>
        <v>0.2582307948</v>
      </c>
      <c r="G304" s="10">
        <f t="shared" si="2"/>
        <v>0.4036631709</v>
      </c>
      <c r="H304" s="10">
        <f t="shared" si="3"/>
        <v>0.1042382615</v>
      </c>
      <c r="I304" s="8">
        <v>2737.0</v>
      </c>
      <c r="J304" s="8">
        <v>1091.5555825829506</v>
      </c>
      <c r="K304" s="8">
        <v>12499.0</v>
      </c>
      <c r="L304" s="11">
        <f t="shared" si="4"/>
        <v>0.2189775182</v>
      </c>
      <c r="M304" s="12">
        <f t="shared" si="5"/>
        <v>0.3988146082</v>
      </c>
      <c r="N304" s="13">
        <f t="shared" si="6"/>
        <v>0.08733143312</v>
      </c>
      <c r="O304" s="14">
        <f t="shared" si="7"/>
        <v>0.8378059256</v>
      </c>
      <c r="P304" s="15"/>
      <c r="Q304" s="15"/>
      <c r="AD304" s="20"/>
    </row>
    <row r="305" ht="15.75" customHeight="1">
      <c r="A305" s="8">
        <v>71402.0</v>
      </c>
      <c r="B305" s="9" t="s">
        <v>318</v>
      </c>
      <c r="C305" s="8">
        <v>1561.0</v>
      </c>
      <c r="D305" s="8">
        <v>601.2222366034985</v>
      </c>
      <c r="E305" s="8">
        <v>5444.0</v>
      </c>
      <c r="F305" s="10">
        <f t="shared" si="1"/>
        <v>0.2867376929</v>
      </c>
      <c r="G305" s="10">
        <f t="shared" si="2"/>
        <v>0.3851519773</v>
      </c>
      <c r="H305" s="10">
        <f t="shared" si="3"/>
        <v>0.1104375894</v>
      </c>
      <c r="I305" s="8">
        <v>2693.0</v>
      </c>
      <c r="J305" s="8">
        <v>1041.888913422823</v>
      </c>
      <c r="K305" s="8">
        <v>10252.0</v>
      </c>
      <c r="L305" s="11">
        <f t="shared" si="4"/>
        <v>0.2626804526</v>
      </c>
      <c r="M305" s="12">
        <f t="shared" si="5"/>
        <v>0.3868878253</v>
      </c>
      <c r="N305" s="13">
        <f t="shared" si="6"/>
        <v>0.101627869</v>
      </c>
      <c r="O305" s="14">
        <f t="shared" si="7"/>
        <v>0.9202289692</v>
      </c>
      <c r="P305" s="15"/>
      <c r="Q305" s="15"/>
      <c r="AD305" s="20"/>
    </row>
    <row r="306" ht="15.75" customHeight="1">
      <c r="A306" s="8">
        <v>71403.0</v>
      </c>
      <c r="B306" s="9" t="s">
        <v>319</v>
      </c>
      <c r="C306" s="8">
        <v>1153.0</v>
      </c>
      <c r="D306" s="8">
        <v>501.2222349345684</v>
      </c>
      <c r="E306" s="8">
        <v>2302.0</v>
      </c>
      <c r="F306" s="10">
        <f t="shared" si="1"/>
        <v>0.5008688097</v>
      </c>
      <c r="G306" s="10">
        <f t="shared" si="2"/>
        <v>0.434711392</v>
      </c>
      <c r="H306" s="10">
        <f t="shared" si="3"/>
        <v>0.2177333775</v>
      </c>
      <c r="I306" s="8">
        <v>1683.0</v>
      </c>
      <c r="J306" s="8">
        <v>733.1111294031143</v>
      </c>
      <c r="K306" s="8">
        <v>3763.0</v>
      </c>
      <c r="L306" s="11">
        <f t="shared" si="4"/>
        <v>0.4472495349</v>
      </c>
      <c r="M306" s="12">
        <f t="shared" si="5"/>
        <v>0.435597819</v>
      </c>
      <c r="N306" s="13">
        <f t="shared" si="6"/>
        <v>0.194820922</v>
      </c>
      <c r="O306" s="14">
        <f t="shared" si="7"/>
        <v>0.8947682907</v>
      </c>
      <c r="P306" s="15"/>
      <c r="Q306" s="15"/>
      <c r="AD306" s="20"/>
    </row>
    <row r="307" ht="15.75" customHeight="1">
      <c r="A307" s="8">
        <v>71501.0</v>
      </c>
      <c r="B307" s="9" t="s">
        <v>320</v>
      </c>
      <c r="C307" s="8">
        <v>9944.0</v>
      </c>
      <c r="D307" s="8">
        <v>4350.111225754023</v>
      </c>
      <c r="E307" s="8">
        <v>16339.0</v>
      </c>
      <c r="F307" s="10">
        <f t="shared" si="1"/>
        <v>0.6086051778</v>
      </c>
      <c r="G307" s="10">
        <f t="shared" si="2"/>
        <v>0.4374609036</v>
      </c>
      <c r="H307" s="10">
        <f t="shared" si="3"/>
        <v>0.266240971</v>
      </c>
      <c r="I307" s="8">
        <v>6133.0</v>
      </c>
      <c r="J307" s="8">
        <v>2742.4445150196552</v>
      </c>
      <c r="K307" s="8">
        <v>9840.0</v>
      </c>
      <c r="L307" s="11">
        <f t="shared" si="4"/>
        <v>0.6232723577</v>
      </c>
      <c r="M307" s="12">
        <f t="shared" si="5"/>
        <v>0.4471619949</v>
      </c>
      <c r="N307" s="13">
        <f t="shared" si="6"/>
        <v>0.2787037109</v>
      </c>
      <c r="O307" s="14">
        <f t="shared" si="7"/>
        <v>1.04681</v>
      </c>
      <c r="P307" s="15"/>
      <c r="Q307" s="15"/>
      <c r="AD307" s="20"/>
    </row>
    <row r="308" ht="15.75" customHeight="1">
      <c r="A308" s="8">
        <v>71502.0</v>
      </c>
      <c r="B308" s="9" t="s">
        <v>321</v>
      </c>
      <c r="C308" s="8">
        <v>3519.0</v>
      </c>
      <c r="D308" s="8">
        <v>1560.3333744108677</v>
      </c>
      <c r="E308" s="8">
        <v>6260.0</v>
      </c>
      <c r="F308" s="10">
        <f t="shared" si="1"/>
        <v>0.5621405751</v>
      </c>
      <c r="G308" s="10">
        <f t="shared" si="2"/>
        <v>0.4434024934</v>
      </c>
      <c r="H308" s="10">
        <f t="shared" si="3"/>
        <v>0.2492545327</v>
      </c>
      <c r="I308" s="8">
        <v>300.0</v>
      </c>
      <c r="J308" s="8">
        <v>131.55555945634842</v>
      </c>
      <c r="K308" s="8">
        <v>542.0</v>
      </c>
      <c r="L308" s="11">
        <f t="shared" si="4"/>
        <v>0.5535055351</v>
      </c>
      <c r="M308" s="12">
        <f t="shared" si="5"/>
        <v>0.4385185315</v>
      </c>
      <c r="N308" s="13">
        <f t="shared" si="6"/>
        <v>0.2427224344</v>
      </c>
      <c r="O308" s="14">
        <f t="shared" si="7"/>
        <v>0.9737934626</v>
      </c>
      <c r="P308" s="15"/>
      <c r="Q308" s="15"/>
      <c r="AD308" s="20"/>
    </row>
    <row r="309" ht="15.75" customHeight="1">
      <c r="A309" s="8">
        <v>71503.0</v>
      </c>
      <c r="B309" s="9" t="s">
        <v>266</v>
      </c>
      <c r="C309" s="8">
        <v>5877.0</v>
      </c>
      <c r="D309" s="8">
        <v>2635.5556239187717</v>
      </c>
      <c r="E309" s="8">
        <v>8635.0</v>
      </c>
      <c r="F309" s="10">
        <f t="shared" si="1"/>
        <v>0.6806022003</v>
      </c>
      <c r="G309" s="10">
        <f t="shared" si="2"/>
        <v>0.4484525479</v>
      </c>
      <c r="H309" s="10">
        <f t="shared" si="3"/>
        <v>0.3052177908</v>
      </c>
      <c r="I309" s="8">
        <v>3090.0</v>
      </c>
      <c r="J309" s="8">
        <v>1320.6666993498802</v>
      </c>
      <c r="K309" s="8">
        <v>5266.0</v>
      </c>
      <c r="L309" s="11">
        <f t="shared" si="4"/>
        <v>0.5867831371</v>
      </c>
      <c r="M309" s="12">
        <f t="shared" si="5"/>
        <v>0.4274002263</v>
      </c>
      <c r="N309" s="13">
        <f t="shared" si="6"/>
        <v>0.2507912456</v>
      </c>
      <c r="O309" s="14">
        <f t="shared" si="7"/>
        <v>0.8216796436</v>
      </c>
      <c r="P309" s="15"/>
      <c r="Q309" s="15"/>
      <c r="AD309" s="20"/>
    </row>
    <row r="310" ht="15.75" customHeight="1">
      <c r="A310" s="8">
        <v>80101.0</v>
      </c>
      <c r="B310" s="9" t="s">
        <v>322</v>
      </c>
      <c r="C310" s="8">
        <v>12508.0</v>
      </c>
      <c r="D310" s="8">
        <v>5160.222353756428</v>
      </c>
      <c r="E310" s="8">
        <v>30638.0</v>
      </c>
      <c r="F310" s="10">
        <f t="shared" si="1"/>
        <v>0.4082511913</v>
      </c>
      <c r="G310" s="10">
        <f t="shared" si="2"/>
        <v>0.4125537539</v>
      </c>
      <c r="H310" s="10">
        <f t="shared" si="3"/>
        <v>0.1684255615</v>
      </c>
      <c r="I310" s="8">
        <v>24176.0</v>
      </c>
      <c r="J310" s="8">
        <v>9755.66691878438</v>
      </c>
      <c r="K310" s="8">
        <v>72390.0</v>
      </c>
      <c r="L310" s="11">
        <f t="shared" si="4"/>
        <v>0.3339687802</v>
      </c>
      <c r="M310" s="12">
        <f t="shared" si="5"/>
        <v>0.4035269242</v>
      </c>
      <c r="N310" s="13">
        <f t="shared" si="6"/>
        <v>0.1347653947</v>
      </c>
      <c r="O310" s="14">
        <f t="shared" si="7"/>
        <v>0.8001481096</v>
      </c>
      <c r="P310" s="15"/>
      <c r="Q310" s="15"/>
      <c r="AD310" s="20"/>
    </row>
    <row r="311" ht="15.75" customHeight="1">
      <c r="A311" s="8">
        <v>80102.0</v>
      </c>
      <c r="B311" s="9" t="s">
        <v>309</v>
      </c>
      <c r="C311" s="8">
        <v>1773.0</v>
      </c>
      <c r="D311" s="8">
        <v>751.7777965664864</v>
      </c>
      <c r="E311" s="8">
        <v>2937.0</v>
      </c>
      <c r="F311" s="10">
        <f t="shared" si="1"/>
        <v>0.6036772217</v>
      </c>
      <c r="G311" s="10">
        <f t="shared" si="2"/>
        <v>0.4240145497</v>
      </c>
      <c r="H311" s="10">
        <f t="shared" si="3"/>
        <v>0.2559679253</v>
      </c>
      <c r="I311" s="8">
        <v>1261.0</v>
      </c>
      <c r="J311" s="8">
        <v>549.111125767231</v>
      </c>
      <c r="K311" s="8">
        <v>2301.0</v>
      </c>
      <c r="L311" s="11">
        <f t="shared" si="4"/>
        <v>0.5480225989</v>
      </c>
      <c r="M311" s="12">
        <f t="shared" si="5"/>
        <v>0.4354568801</v>
      </c>
      <c r="N311" s="13">
        <f t="shared" si="6"/>
        <v>0.2386402111</v>
      </c>
      <c r="O311" s="14">
        <f t="shared" si="7"/>
        <v>0.9323051349</v>
      </c>
      <c r="P311" s="15"/>
      <c r="Q311" s="15"/>
      <c r="AD311" s="20"/>
    </row>
    <row r="312" ht="15.75" customHeight="1">
      <c r="A312" s="8">
        <v>80201.0</v>
      </c>
      <c r="B312" s="9" t="s">
        <v>323</v>
      </c>
      <c r="C312" s="8">
        <v>9556.0</v>
      </c>
      <c r="D312" s="8">
        <v>4413.666781574488</v>
      </c>
      <c r="E312" s="8">
        <v>13158.0</v>
      </c>
      <c r="F312" s="10">
        <f t="shared" si="1"/>
        <v>0.72625019</v>
      </c>
      <c r="G312" s="10">
        <f t="shared" si="2"/>
        <v>0.4618738784</v>
      </c>
      <c r="H312" s="10">
        <f t="shared" si="3"/>
        <v>0.3354359919</v>
      </c>
      <c r="I312" s="8">
        <v>48792.0</v>
      </c>
      <c r="J312" s="8">
        <v>21103.111650675535</v>
      </c>
      <c r="K312" s="8">
        <v>73745.0</v>
      </c>
      <c r="L312" s="11">
        <f t="shared" si="4"/>
        <v>0.661631297</v>
      </c>
      <c r="M312" s="12">
        <f t="shared" si="5"/>
        <v>0.4325117161</v>
      </c>
      <c r="N312" s="13">
        <f t="shared" si="6"/>
        <v>0.2861632877</v>
      </c>
      <c r="O312" s="14">
        <f t="shared" si="7"/>
        <v>0.8531084755</v>
      </c>
      <c r="P312" s="15"/>
      <c r="Q312" s="15"/>
      <c r="AD312" s="20"/>
    </row>
    <row r="313" ht="15.75" customHeight="1">
      <c r="A313" s="8">
        <v>80202.0</v>
      </c>
      <c r="B313" s="9" t="s">
        <v>324</v>
      </c>
      <c r="C313" s="8">
        <v>2555.0</v>
      </c>
      <c r="D313" s="8">
        <v>1083.666694521904</v>
      </c>
      <c r="E313" s="8">
        <v>6257.0</v>
      </c>
      <c r="F313" s="10">
        <f t="shared" si="1"/>
        <v>0.4083426562</v>
      </c>
      <c r="G313" s="10">
        <f t="shared" si="2"/>
        <v>0.4241356926</v>
      </c>
      <c r="H313" s="10">
        <f t="shared" si="3"/>
        <v>0.1731926953</v>
      </c>
      <c r="I313" s="8">
        <v>12535.0</v>
      </c>
      <c r="J313" s="8">
        <v>5172.000131696463</v>
      </c>
      <c r="K313" s="8">
        <v>33929.0</v>
      </c>
      <c r="L313" s="11">
        <f t="shared" si="4"/>
        <v>0.3694479649</v>
      </c>
      <c r="M313" s="12">
        <f t="shared" si="5"/>
        <v>0.4126047173</v>
      </c>
      <c r="N313" s="13">
        <f t="shared" si="6"/>
        <v>0.1524359731</v>
      </c>
      <c r="O313" s="14">
        <f t="shared" si="7"/>
        <v>0.8801524385</v>
      </c>
      <c r="P313" s="15"/>
      <c r="Q313" s="15"/>
      <c r="AD313" s="20"/>
    </row>
    <row r="314" ht="15.75" customHeight="1">
      <c r="A314" s="8">
        <v>80301.0</v>
      </c>
      <c r="B314" s="9" t="s">
        <v>325</v>
      </c>
      <c r="C314" s="8">
        <v>5012.0</v>
      </c>
      <c r="D314" s="8">
        <v>2296.33339625597</v>
      </c>
      <c r="E314" s="8">
        <v>7176.0</v>
      </c>
      <c r="F314" s="10">
        <f t="shared" si="1"/>
        <v>0.6984392419</v>
      </c>
      <c r="G314" s="10">
        <f t="shared" si="2"/>
        <v>0.4581670783</v>
      </c>
      <c r="H314" s="10">
        <f t="shared" si="3"/>
        <v>0.3200018668</v>
      </c>
      <c r="I314" s="8">
        <v>3312.0</v>
      </c>
      <c r="J314" s="8">
        <v>1383.1111453175545</v>
      </c>
      <c r="K314" s="8">
        <v>5736.0</v>
      </c>
      <c r="L314" s="11">
        <f t="shared" si="4"/>
        <v>0.5774058577</v>
      </c>
      <c r="M314" s="12">
        <f t="shared" si="5"/>
        <v>0.4176060221</v>
      </c>
      <c r="N314" s="13">
        <f t="shared" si="6"/>
        <v>0.2411281634</v>
      </c>
      <c r="O314" s="14">
        <f t="shared" si="7"/>
        <v>0.7535211148</v>
      </c>
      <c r="P314" s="15"/>
      <c r="Q314" s="15"/>
      <c r="AD314" s="20"/>
    </row>
    <row r="315" ht="15.75" customHeight="1">
      <c r="A315" s="8">
        <v>80302.0</v>
      </c>
      <c r="B315" s="9" t="s">
        <v>326</v>
      </c>
      <c r="C315" s="8">
        <v>16420.0</v>
      </c>
      <c r="D315" s="8">
        <v>9664.222454100847</v>
      </c>
      <c r="E315" s="8">
        <v>21079.0</v>
      </c>
      <c r="F315" s="10">
        <f t="shared" si="1"/>
        <v>0.7789743346</v>
      </c>
      <c r="G315" s="10">
        <f t="shared" si="2"/>
        <v>0.5885640959</v>
      </c>
      <c r="H315" s="10">
        <f t="shared" si="3"/>
        <v>0.458476325</v>
      </c>
      <c r="I315" s="8">
        <v>7991.0</v>
      </c>
      <c r="J315" s="8">
        <v>3394.5556438565254</v>
      </c>
      <c r="K315" s="8">
        <v>18849.0</v>
      </c>
      <c r="L315" s="11">
        <f t="shared" si="4"/>
        <v>0.4239482201</v>
      </c>
      <c r="M315" s="12">
        <f t="shared" si="5"/>
        <v>0.4247973525</v>
      </c>
      <c r="N315" s="13">
        <f t="shared" si="6"/>
        <v>0.1800920815</v>
      </c>
      <c r="O315" s="14">
        <f t="shared" si="7"/>
        <v>0.3928056296</v>
      </c>
      <c r="P315" s="15"/>
      <c r="Q315" s="15"/>
      <c r="AD315" s="20"/>
    </row>
    <row r="316" ht="15.75" customHeight="1">
      <c r="A316" s="8">
        <v>80303.0</v>
      </c>
      <c r="B316" s="9" t="s">
        <v>327</v>
      </c>
      <c r="C316" s="8">
        <v>757.0</v>
      </c>
      <c r="D316" s="8">
        <v>344.22223100066185</v>
      </c>
      <c r="E316" s="8">
        <v>1318.0</v>
      </c>
      <c r="F316" s="10">
        <f t="shared" si="1"/>
        <v>0.5743550835</v>
      </c>
      <c r="G316" s="10">
        <f t="shared" si="2"/>
        <v>0.4547189313</v>
      </c>
      <c r="H316" s="10">
        <f t="shared" si="3"/>
        <v>0.2611701297</v>
      </c>
      <c r="I316" s="8">
        <v>3552.0</v>
      </c>
      <c r="J316" s="8">
        <v>1503.1111489832401</v>
      </c>
      <c r="K316" s="8">
        <v>7979.0</v>
      </c>
      <c r="L316" s="11">
        <f t="shared" si="4"/>
        <v>0.4451685675</v>
      </c>
      <c r="M316" s="12">
        <f t="shared" si="5"/>
        <v>0.4231731838</v>
      </c>
      <c r="N316" s="13">
        <f t="shared" si="6"/>
        <v>0.1883834</v>
      </c>
      <c r="O316" s="14">
        <f t="shared" si="7"/>
        <v>0.7213053048</v>
      </c>
      <c r="P316" s="15"/>
      <c r="Q316" s="15"/>
      <c r="AD316" s="20"/>
    </row>
    <row r="317" ht="15.75" customHeight="1">
      <c r="A317" s="8">
        <v>80304.0</v>
      </c>
      <c r="B317" s="9" t="s">
        <v>328</v>
      </c>
      <c r="C317" s="8">
        <v>3972.0</v>
      </c>
      <c r="D317" s="8">
        <v>1966.3333821296692</v>
      </c>
      <c r="E317" s="8">
        <v>7826.0</v>
      </c>
      <c r="F317" s="10">
        <f t="shared" si="1"/>
        <v>0.5075389727</v>
      </c>
      <c r="G317" s="10">
        <f t="shared" si="2"/>
        <v>0.4950486863</v>
      </c>
      <c r="H317" s="10">
        <f t="shared" si="3"/>
        <v>0.2512565017</v>
      </c>
      <c r="I317" s="8">
        <v>2590.0</v>
      </c>
      <c r="J317" s="8">
        <v>1081.111139535904</v>
      </c>
      <c r="K317" s="8">
        <v>10481.0</v>
      </c>
      <c r="L317" s="11">
        <f t="shared" si="4"/>
        <v>0.247113825</v>
      </c>
      <c r="M317" s="12">
        <f t="shared" si="5"/>
        <v>0.4174174284</v>
      </c>
      <c r="N317" s="13">
        <f t="shared" si="6"/>
        <v>0.1031496174</v>
      </c>
      <c r="O317" s="14">
        <f t="shared" si="7"/>
        <v>0.4105351172</v>
      </c>
      <c r="P317" s="15"/>
      <c r="Q317" s="15"/>
      <c r="AD317" s="20"/>
    </row>
    <row r="318" ht="15.75" customHeight="1">
      <c r="A318" s="8">
        <v>80401.0</v>
      </c>
      <c r="B318" s="9" t="s">
        <v>329</v>
      </c>
      <c r="C318" s="8">
        <v>4920.0</v>
      </c>
      <c r="D318" s="8">
        <v>2262.111167550087</v>
      </c>
      <c r="E318" s="8">
        <v>11290.0</v>
      </c>
      <c r="F318" s="10">
        <f t="shared" si="1"/>
        <v>0.4357838795</v>
      </c>
      <c r="G318" s="10">
        <f t="shared" si="2"/>
        <v>0.4597786926</v>
      </c>
      <c r="H318" s="10">
        <f t="shared" si="3"/>
        <v>0.2003641424</v>
      </c>
      <c r="I318" s="8">
        <v>1904.0</v>
      </c>
      <c r="J318" s="8">
        <v>807.2222426831722</v>
      </c>
      <c r="K318" s="8">
        <v>5285.0</v>
      </c>
      <c r="L318" s="11">
        <f t="shared" si="4"/>
        <v>0.3602649007</v>
      </c>
      <c r="M318" s="12">
        <f t="shared" si="5"/>
        <v>0.4239612619</v>
      </c>
      <c r="N318" s="13">
        <f t="shared" si="6"/>
        <v>0.1527383619</v>
      </c>
      <c r="O318" s="14">
        <f t="shared" si="7"/>
        <v>0.7623038738</v>
      </c>
      <c r="P318" s="15"/>
      <c r="Q318" s="15"/>
      <c r="AD318" s="20"/>
    </row>
    <row r="319" ht="15.75" customHeight="1">
      <c r="A319" s="8">
        <v>80402.0</v>
      </c>
      <c r="B319" s="9" t="s">
        <v>330</v>
      </c>
      <c r="C319" s="8">
        <v>2702.0</v>
      </c>
      <c r="D319" s="8">
        <v>1309.0000347793102</v>
      </c>
      <c r="E319" s="8">
        <v>3709.0</v>
      </c>
      <c r="F319" s="10">
        <f t="shared" si="1"/>
        <v>0.7284982475</v>
      </c>
      <c r="G319" s="10">
        <f t="shared" si="2"/>
        <v>0.4844559714</v>
      </c>
      <c r="H319" s="10">
        <f t="shared" si="3"/>
        <v>0.3529253262</v>
      </c>
      <c r="I319" s="8">
        <v>1658.0</v>
      </c>
      <c r="J319" s="8">
        <v>788.8889091312885</v>
      </c>
      <c r="K319" s="8">
        <v>2287.0</v>
      </c>
      <c r="L319" s="11">
        <f t="shared" si="4"/>
        <v>0.7249672059</v>
      </c>
      <c r="M319" s="12">
        <f t="shared" si="5"/>
        <v>0.4758075447</v>
      </c>
      <c r="N319" s="13">
        <f t="shared" si="6"/>
        <v>0.3449448663</v>
      </c>
      <c r="O319" s="14">
        <f t="shared" si="7"/>
        <v>0.9773876814</v>
      </c>
      <c r="P319" s="15"/>
      <c r="Q319" s="15"/>
      <c r="AD319" s="20"/>
    </row>
    <row r="320" ht="15.75" customHeight="1">
      <c r="A320" s="8">
        <v>80501.0</v>
      </c>
      <c r="B320" s="9" t="s">
        <v>331</v>
      </c>
      <c r="C320" s="8">
        <v>9397.0</v>
      </c>
      <c r="D320" s="8">
        <v>4471.111225783825</v>
      </c>
      <c r="E320" s="8">
        <v>13595.0</v>
      </c>
      <c r="F320" s="10">
        <f t="shared" si="1"/>
        <v>0.6912100037</v>
      </c>
      <c r="G320" s="10">
        <f t="shared" si="2"/>
        <v>0.4758019821</v>
      </c>
      <c r="H320" s="10">
        <f t="shared" si="3"/>
        <v>0.3288790898</v>
      </c>
      <c r="I320" s="8">
        <v>3227.0</v>
      </c>
      <c r="J320" s="8">
        <v>1434.0000372827053</v>
      </c>
      <c r="K320" s="8">
        <v>5122.0</v>
      </c>
      <c r="L320" s="11">
        <f t="shared" si="4"/>
        <v>0.6300273331</v>
      </c>
      <c r="M320" s="12">
        <f t="shared" si="5"/>
        <v>0.4443755926</v>
      </c>
      <c r="N320" s="13">
        <f t="shared" si="6"/>
        <v>0.2799687695</v>
      </c>
      <c r="O320" s="14">
        <f t="shared" si="7"/>
        <v>0.8512817572</v>
      </c>
      <c r="P320" s="15"/>
      <c r="Q320" s="15"/>
      <c r="AD320" s="20"/>
    </row>
    <row r="321" ht="15.75" customHeight="1">
      <c r="A321" s="8">
        <v>80601.0</v>
      </c>
      <c r="B321" s="9" t="s">
        <v>332</v>
      </c>
      <c r="C321" s="8">
        <v>1314.0</v>
      </c>
      <c r="D321" s="8">
        <v>673.000017106533</v>
      </c>
      <c r="E321" s="8">
        <v>1647.0</v>
      </c>
      <c r="F321" s="10">
        <f t="shared" si="1"/>
        <v>0.7978142077</v>
      </c>
      <c r="G321" s="10">
        <f t="shared" si="2"/>
        <v>0.5121765731</v>
      </c>
      <c r="H321" s="10">
        <f t="shared" si="3"/>
        <v>0.4086217469</v>
      </c>
      <c r="I321" s="8">
        <v>1170.0</v>
      </c>
      <c r="J321" s="8">
        <v>535.2222363352776</v>
      </c>
      <c r="K321" s="8">
        <v>2081.0</v>
      </c>
      <c r="L321" s="11">
        <f t="shared" si="4"/>
        <v>0.5622296973</v>
      </c>
      <c r="M321" s="12">
        <f t="shared" si="5"/>
        <v>0.4574549029</v>
      </c>
      <c r="N321" s="13">
        <f t="shared" si="6"/>
        <v>0.2571947315</v>
      </c>
      <c r="O321" s="14">
        <f t="shared" si="7"/>
        <v>0.6294200774</v>
      </c>
      <c r="P321" s="15"/>
      <c r="Q321" s="15"/>
      <c r="AD321" s="20"/>
    </row>
    <row r="322" ht="15.75" customHeight="1">
      <c r="A322" s="8">
        <v>80602.0</v>
      </c>
      <c r="B322" s="9" t="s">
        <v>333</v>
      </c>
      <c r="C322" s="8">
        <v>3847.0</v>
      </c>
      <c r="D322" s="8">
        <v>1705.000043451786</v>
      </c>
      <c r="E322" s="8">
        <v>6872.0</v>
      </c>
      <c r="F322" s="10">
        <f t="shared" si="1"/>
        <v>0.5598079162</v>
      </c>
      <c r="G322" s="10">
        <f t="shared" si="2"/>
        <v>0.4432025067</v>
      </c>
      <c r="H322" s="10">
        <f t="shared" si="3"/>
        <v>0.2481082717</v>
      </c>
      <c r="I322" s="8">
        <v>2276.0</v>
      </c>
      <c r="J322" s="8">
        <v>959.4444684386253</v>
      </c>
      <c r="K322" s="8">
        <v>4920.0</v>
      </c>
      <c r="L322" s="11">
        <f t="shared" si="4"/>
        <v>0.462601626</v>
      </c>
      <c r="M322" s="12">
        <f t="shared" si="5"/>
        <v>0.4215485362</v>
      </c>
      <c r="N322" s="13">
        <f t="shared" si="6"/>
        <v>0.1950090383</v>
      </c>
      <c r="O322" s="14">
        <f t="shared" si="7"/>
        <v>0.7859836229</v>
      </c>
      <c r="P322" s="15"/>
      <c r="Q322" s="15"/>
      <c r="AD322" s="20"/>
    </row>
    <row r="323" ht="15.75" customHeight="1">
      <c r="A323" s="8">
        <v>80701.0</v>
      </c>
      <c r="B323" s="9" t="s">
        <v>334</v>
      </c>
      <c r="C323" s="8">
        <v>1919.0</v>
      </c>
      <c r="D323" s="8">
        <v>813.5555761158466</v>
      </c>
      <c r="E323" s="8">
        <v>3588.0</v>
      </c>
      <c r="F323" s="10">
        <f t="shared" si="1"/>
        <v>0.5348383501</v>
      </c>
      <c r="G323" s="10">
        <f t="shared" si="2"/>
        <v>0.4239476686</v>
      </c>
      <c r="H323" s="10">
        <f t="shared" si="3"/>
        <v>0.2267434716</v>
      </c>
      <c r="I323" s="8">
        <v>1582.0</v>
      </c>
      <c r="J323" s="8">
        <v>668.5555719137192</v>
      </c>
      <c r="K323" s="8">
        <v>2930.0</v>
      </c>
      <c r="L323" s="11">
        <f t="shared" si="4"/>
        <v>0.5399317406</v>
      </c>
      <c r="M323" s="12">
        <f t="shared" si="5"/>
        <v>0.4226014993</v>
      </c>
      <c r="N323" s="13">
        <f t="shared" si="6"/>
        <v>0.2281759631</v>
      </c>
      <c r="O323" s="14">
        <f t="shared" si="7"/>
        <v>1.006317675</v>
      </c>
      <c r="P323" s="15"/>
      <c r="Q323" s="15"/>
      <c r="AD323" s="20"/>
    </row>
    <row r="324" ht="15.75" customHeight="1">
      <c r="A324" s="8">
        <v>80702.0</v>
      </c>
      <c r="B324" s="9" t="s">
        <v>310</v>
      </c>
      <c r="C324" s="8">
        <v>1159.0</v>
      </c>
      <c r="D324" s="8">
        <v>502.2222353219986</v>
      </c>
      <c r="E324" s="8">
        <v>2304.0</v>
      </c>
      <c r="F324" s="10">
        <f t="shared" si="1"/>
        <v>0.5030381944</v>
      </c>
      <c r="G324" s="10">
        <f t="shared" si="2"/>
        <v>0.4333237578</v>
      </c>
      <c r="H324" s="10">
        <f t="shared" si="3"/>
        <v>0.2179784007</v>
      </c>
      <c r="I324" s="8">
        <v>1018.0</v>
      </c>
      <c r="J324" s="8">
        <v>421.4444546997547</v>
      </c>
      <c r="K324" s="8">
        <v>2460.0</v>
      </c>
      <c r="L324" s="11">
        <f t="shared" si="4"/>
        <v>0.4138211382</v>
      </c>
      <c r="M324" s="12">
        <f t="shared" si="5"/>
        <v>0.4139925881</v>
      </c>
      <c r="N324" s="13">
        <f t="shared" si="6"/>
        <v>0.171318884</v>
      </c>
      <c r="O324" s="14">
        <f t="shared" si="7"/>
        <v>0.7859443112</v>
      </c>
      <c r="P324" s="15"/>
      <c r="Q324" s="15"/>
      <c r="AD324" s="20"/>
    </row>
    <row r="325" ht="15.75" customHeight="1">
      <c r="A325" s="8">
        <v>80703.0</v>
      </c>
      <c r="B325" s="9" t="s">
        <v>335</v>
      </c>
      <c r="C325" s="8">
        <v>154.0</v>
      </c>
      <c r="D325" s="8">
        <v>69.33333539962769</v>
      </c>
      <c r="E325" s="8">
        <v>294.0</v>
      </c>
      <c r="F325" s="10">
        <f t="shared" si="1"/>
        <v>0.5238095238</v>
      </c>
      <c r="G325" s="10">
        <f t="shared" si="2"/>
        <v>0.4502164636</v>
      </c>
      <c r="H325" s="10">
        <f t="shared" si="3"/>
        <v>0.2358276714</v>
      </c>
      <c r="I325" s="8">
        <v>254.0</v>
      </c>
      <c r="J325" s="8">
        <v>108.00000265240669</v>
      </c>
      <c r="K325" s="8">
        <v>541.0</v>
      </c>
      <c r="L325" s="11">
        <f t="shared" si="4"/>
        <v>0.4695009242</v>
      </c>
      <c r="M325" s="12">
        <f t="shared" si="5"/>
        <v>0.4251968608</v>
      </c>
      <c r="N325" s="13">
        <f t="shared" si="6"/>
        <v>0.1996303191</v>
      </c>
      <c r="O325" s="14">
        <f t="shared" si="7"/>
        <v>0.8465093088</v>
      </c>
      <c r="P325" s="15"/>
      <c r="Q325" s="15"/>
      <c r="AD325" s="20"/>
    </row>
    <row r="326" ht="15.75" customHeight="1">
      <c r="A326" s="8">
        <v>80801.0</v>
      </c>
      <c r="B326" s="9" t="s">
        <v>336</v>
      </c>
      <c r="C326" s="8">
        <v>3019.0</v>
      </c>
      <c r="D326" s="8">
        <v>1333.888920813799</v>
      </c>
      <c r="E326" s="8">
        <v>4724.0</v>
      </c>
      <c r="F326" s="10">
        <f t="shared" si="1"/>
        <v>0.6390770533</v>
      </c>
      <c r="G326" s="10">
        <f t="shared" si="2"/>
        <v>0.4418313749</v>
      </c>
      <c r="H326" s="10">
        <f t="shared" si="3"/>
        <v>0.2823642931</v>
      </c>
      <c r="I326" s="8">
        <v>3454.0</v>
      </c>
      <c r="J326" s="8">
        <v>1449.4444814026356</v>
      </c>
      <c r="K326" s="8">
        <v>6329.0</v>
      </c>
      <c r="L326" s="11">
        <f t="shared" si="4"/>
        <v>0.5457418234</v>
      </c>
      <c r="M326" s="12">
        <f t="shared" si="5"/>
        <v>0.4196422934</v>
      </c>
      <c r="N326" s="13">
        <f t="shared" si="6"/>
        <v>0.2290163504</v>
      </c>
      <c r="O326" s="14">
        <f t="shared" si="7"/>
        <v>0.8110669653</v>
      </c>
      <c r="P326" s="15"/>
      <c r="Q326" s="15"/>
      <c r="AD326" s="20"/>
    </row>
    <row r="327" ht="15.75" customHeight="1">
      <c r="A327" s="8">
        <v>80802.0</v>
      </c>
      <c r="B327" s="9" t="s">
        <v>337</v>
      </c>
      <c r="C327" s="8">
        <v>2029.0</v>
      </c>
      <c r="D327" s="8">
        <v>852.0000203847885</v>
      </c>
      <c r="E327" s="8">
        <v>3954.0</v>
      </c>
      <c r="F327" s="10">
        <f t="shared" si="1"/>
        <v>0.5131512393</v>
      </c>
      <c r="G327" s="10">
        <f t="shared" si="2"/>
        <v>0.4199112964</v>
      </c>
      <c r="H327" s="10">
        <f t="shared" si="3"/>
        <v>0.2154780021</v>
      </c>
      <c r="I327" s="8">
        <v>675.0</v>
      </c>
      <c r="J327" s="8">
        <v>277.4444509148598</v>
      </c>
      <c r="K327" s="8">
        <v>1510.0</v>
      </c>
      <c r="L327" s="11">
        <f t="shared" si="4"/>
        <v>0.4470198675</v>
      </c>
      <c r="M327" s="12">
        <f t="shared" si="5"/>
        <v>0.4110288162</v>
      </c>
      <c r="N327" s="13">
        <f t="shared" si="6"/>
        <v>0.183738047</v>
      </c>
      <c r="O327" s="14">
        <f t="shared" si="7"/>
        <v>0.8526997891</v>
      </c>
      <c r="P327" s="15"/>
      <c r="Q327" s="15"/>
      <c r="AD327" s="20"/>
    </row>
    <row r="328" ht="15.75" customHeight="1">
      <c r="A328" s="8">
        <v>80803.0</v>
      </c>
      <c r="B328" s="9" t="s">
        <v>338</v>
      </c>
      <c r="C328" s="8">
        <v>585.0</v>
      </c>
      <c r="D328" s="8">
        <v>251.88889634609222</v>
      </c>
      <c r="E328" s="8">
        <v>1137.0</v>
      </c>
      <c r="F328" s="10">
        <f t="shared" si="1"/>
        <v>0.5145118734</v>
      </c>
      <c r="G328" s="10">
        <f t="shared" si="2"/>
        <v>0.43057931</v>
      </c>
      <c r="H328" s="10">
        <f t="shared" si="3"/>
        <v>0.2215381674</v>
      </c>
      <c r="I328" s="8">
        <v>1506.0</v>
      </c>
      <c r="J328" s="8">
        <v>659.5555723905563</v>
      </c>
      <c r="K328" s="8">
        <v>2872.0</v>
      </c>
      <c r="L328" s="11">
        <f t="shared" si="4"/>
        <v>0.5243732591</v>
      </c>
      <c r="M328" s="12">
        <f t="shared" si="5"/>
        <v>0.4379519073</v>
      </c>
      <c r="N328" s="13">
        <f t="shared" si="6"/>
        <v>0.2296502689</v>
      </c>
      <c r="O328" s="14">
        <f t="shared" si="7"/>
        <v>1.036617174</v>
      </c>
      <c r="P328" s="15"/>
      <c r="Q328" s="15"/>
      <c r="AD328" s="20"/>
    </row>
    <row r="329" ht="15.75" customHeight="1">
      <c r="A329" s="8">
        <v>80901.0</v>
      </c>
      <c r="B329" s="9" t="s">
        <v>339</v>
      </c>
      <c r="C329" s="8">
        <v>2512.0</v>
      </c>
      <c r="D329" s="8">
        <v>1311.0000328421593</v>
      </c>
      <c r="E329" s="8">
        <v>2825.0</v>
      </c>
      <c r="F329" s="10">
        <f t="shared" si="1"/>
        <v>0.8892035398</v>
      </c>
      <c r="G329" s="10">
        <f t="shared" si="2"/>
        <v>0.5218949175</v>
      </c>
      <c r="H329" s="10">
        <f t="shared" si="3"/>
        <v>0.4640708081</v>
      </c>
      <c r="I329" s="8">
        <v>273.0</v>
      </c>
      <c r="J329" s="8">
        <v>140.44444799423218</v>
      </c>
      <c r="K329" s="8">
        <v>327.0</v>
      </c>
      <c r="L329" s="11">
        <f t="shared" si="4"/>
        <v>0.8348623853</v>
      </c>
      <c r="M329" s="12">
        <f t="shared" si="5"/>
        <v>0.5144485275</v>
      </c>
      <c r="N329" s="13">
        <f t="shared" si="6"/>
        <v>0.4294937248</v>
      </c>
      <c r="O329" s="14">
        <f t="shared" si="7"/>
        <v>0.9254917941</v>
      </c>
      <c r="P329" s="15"/>
      <c r="Q329" s="15"/>
      <c r="AD329" s="20"/>
    </row>
    <row r="330" ht="15.75" customHeight="1">
      <c r="A330" s="8">
        <v>90101.0</v>
      </c>
      <c r="B330" s="9" t="s">
        <v>340</v>
      </c>
      <c r="C330" s="8">
        <v>2106.0</v>
      </c>
      <c r="D330" s="8">
        <v>873.1111328601837</v>
      </c>
      <c r="E330" s="8">
        <v>9079.0</v>
      </c>
      <c r="F330" s="10">
        <f t="shared" si="1"/>
        <v>0.2319638727</v>
      </c>
      <c r="G330" s="10">
        <f t="shared" si="2"/>
        <v>0.4145826842</v>
      </c>
      <c r="H330" s="10">
        <f t="shared" si="3"/>
        <v>0.09616820496</v>
      </c>
      <c r="I330" s="8">
        <v>9721.0</v>
      </c>
      <c r="J330" s="8">
        <v>4028.111211270094</v>
      </c>
      <c r="K330" s="8">
        <v>34537.0</v>
      </c>
      <c r="L330" s="11">
        <f t="shared" si="4"/>
        <v>0.2814662536</v>
      </c>
      <c r="M330" s="12">
        <f t="shared" si="5"/>
        <v>0.4143721028</v>
      </c>
      <c r="N330" s="13">
        <f t="shared" si="6"/>
        <v>0.1166317634</v>
      </c>
      <c r="O330" s="14">
        <f t="shared" si="7"/>
        <v>1.212789231</v>
      </c>
      <c r="P330" s="15"/>
      <c r="Q330" s="15"/>
      <c r="AD330" s="20"/>
    </row>
    <row r="331" ht="15.75" customHeight="1">
      <c r="A331" s="8">
        <v>90102.0</v>
      </c>
      <c r="B331" s="9" t="s">
        <v>341</v>
      </c>
      <c r="C331" s="8">
        <v>318.0</v>
      </c>
      <c r="D331" s="8">
        <v>136.11111465096474</v>
      </c>
      <c r="E331" s="8">
        <v>843.0</v>
      </c>
      <c r="F331" s="10">
        <f t="shared" si="1"/>
        <v>0.3772241993</v>
      </c>
      <c r="G331" s="10">
        <f t="shared" si="2"/>
        <v>0.4280223731</v>
      </c>
      <c r="H331" s="10">
        <f t="shared" si="3"/>
        <v>0.161460397</v>
      </c>
      <c r="I331" s="8">
        <v>2683.0</v>
      </c>
      <c r="J331" s="8">
        <v>1142.8889171779156</v>
      </c>
      <c r="K331" s="8">
        <v>6810.0</v>
      </c>
      <c r="L331" s="11">
        <f t="shared" si="4"/>
        <v>0.393979442</v>
      </c>
      <c r="M331" s="12">
        <f t="shared" si="5"/>
        <v>0.4259742517</v>
      </c>
      <c r="N331" s="13">
        <f t="shared" si="6"/>
        <v>0.167825098</v>
      </c>
      <c r="O331" s="14">
        <f t="shared" si="7"/>
        <v>1.03941958</v>
      </c>
      <c r="P331" s="15"/>
      <c r="Q331" s="15"/>
      <c r="AD331" s="20"/>
    </row>
    <row r="332" ht="15.75" customHeight="1">
      <c r="A332" s="8">
        <v>90103.0</v>
      </c>
      <c r="B332" s="9" t="s">
        <v>342</v>
      </c>
      <c r="C332" s="8">
        <v>490.0</v>
      </c>
      <c r="D332" s="8">
        <v>246.22222778201103</v>
      </c>
      <c r="E332" s="8">
        <v>607.0</v>
      </c>
      <c r="F332" s="10">
        <f t="shared" si="1"/>
        <v>0.8072487644</v>
      </c>
      <c r="G332" s="10">
        <f t="shared" si="2"/>
        <v>0.5024943424</v>
      </c>
      <c r="H332" s="10">
        <f t="shared" si="3"/>
        <v>0.405637937</v>
      </c>
      <c r="I332" s="8">
        <v>1083.0</v>
      </c>
      <c r="J332" s="8">
        <v>499.4444582760334</v>
      </c>
      <c r="K332" s="8">
        <v>1451.0</v>
      </c>
      <c r="L332" s="11">
        <f t="shared" si="4"/>
        <v>0.7463818057</v>
      </c>
      <c r="M332" s="12">
        <f t="shared" si="5"/>
        <v>0.4611675515</v>
      </c>
      <c r="N332" s="13">
        <f t="shared" si="6"/>
        <v>0.3442070698</v>
      </c>
      <c r="O332" s="14">
        <f t="shared" si="7"/>
        <v>0.8485573916</v>
      </c>
      <c r="P332" s="15"/>
      <c r="Q332" s="15"/>
      <c r="AD332" s="20"/>
    </row>
    <row r="333" ht="15.75" customHeight="1">
      <c r="A333" s="8">
        <v>90104.0</v>
      </c>
      <c r="B333" s="9" t="s">
        <v>343</v>
      </c>
      <c r="C333" s="8">
        <v>529.0</v>
      </c>
      <c r="D333" s="8">
        <v>236.00000673532486</v>
      </c>
      <c r="E333" s="8">
        <v>1077.0</v>
      </c>
      <c r="F333" s="10">
        <f t="shared" si="1"/>
        <v>0.4911792015</v>
      </c>
      <c r="G333" s="10">
        <f t="shared" si="2"/>
        <v>0.4461247764</v>
      </c>
      <c r="H333" s="10">
        <f t="shared" si="3"/>
        <v>0.2191272115</v>
      </c>
      <c r="I333" s="8">
        <v>1645.0</v>
      </c>
      <c r="J333" s="8">
        <v>788.8889105618</v>
      </c>
      <c r="K333" s="8">
        <v>2473.0</v>
      </c>
      <c r="L333" s="11">
        <f t="shared" si="4"/>
        <v>0.6651839871</v>
      </c>
      <c r="M333" s="12">
        <f t="shared" si="5"/>
        <v>0.4795677268</v>
      </c>
      <c r="N333" s="13">
        <f t="shared" si="6"/>
        <v>0.3190007726</v>
      </c>
      <c r="O333" s="14">
        <f t="shared" si="7"/>
        <v>1.455778908</v>
      </c>
      <c r="P333" s="15"/>
      <c r="Q333" s="15"/>
      <c r="AD333" s="20"/>
    </row>
    <row r="334" ht="15.75" customHeight="1">
      <c r="A334" s="8">
        <v>90201.0</v>
      </c>
      <c r="B334" s="9" t="s">
        <v>344</v>
      </c>
      <c r="C334" s="8">
        <v>922.0</v>
      </c>
      <c r="D334" s="8">
        <v>418.5555658340454</v>
      </c>
      <c r="E334" s="8">
        <v>1782.0</v>
      </c>
      <c r="F334" s="10">
        <f t="shared" si="1"/>
        <v>0.5173961841</v>
      </c>
      <c r="G334" s="10">
        <f t="shared" si="2"/>
        <v>0.4539648219</v>
      </c>
      <c r="H334" s="10">
        <f t="shared" si="3"/>
        <v>0.2348796666</v>
      </c>
      <c r="I334" s="8">
        <v>1894.0</v>
      </c>
      <c r="J334" s="8">
        <v>817.4444649219513</v>
      </c>
      <c r="K334" s="8">
        <v>3857.0</v>
      </c>
      <c r="L334" s="11">
        <f t="shared" si="4"/>
        <v>0.4910552243</v>
      </c>
      <c r="M334" s="12">
        <f t="shared" si="5"/>
        <v>0.4315968664</v>
      </c>
      <c r="N334" s="13">
        <f t="shared" si="6"/>
        <v>0.211937896</v>
      </c>
      <c r="O334" s="14">
        <f t="shared" si="7"/>
        <v>0.9023254295</v>
      </c>
      <c r="P334" s="15"/>
      <c r="Q334" s="15"/>
      <c r="AD334" s="20"/>
    </row>
    <row r="335" ht="15.75" customHeight="1">
      <c r="A335" s="8">
        <v>90202.0</v>
      </c>
      <c r="B335" s="9" t="s">
        <v>307</v>
      </c>
      <c r="C335" s="8">
        <v>900.0</v>
      </c>
      <c r="D335" s="8">
        <v>462.44445848464966</v>
      </c>
      <c r="E335" s="8">
        <v>961.0</v>
      </c>
      <c r="F335" s="10">
        <f t="shared" si="1"/>
        <v>0.9365244537</v>
      </c>
      <c r="G335" s="10">
        <f t="shared" si="2"/>
        <v>0.5138271761</v>
      </c>
      <c r="H335" s="10">
        <f t="shared" si="3"/>
        <v>0.4812117154</v>
      </c>
      <c r="I335" s="8">
        <v>1859.0</v>
      </c>
      <c r="J335" s="8">
        <v>948.3333593308926</v>
      </c>
      <c r="K335" s="8">
        <v>2026.0</v>
      </c>
      <c r="L335" s="11">
        <f t="shared" si="4"/>
        <v>0.9175715696</v>
      </c>
      <c r="M335" s="12">
        <f t="shared" si="5"/>
        <v>0.5101309087</v>
      </c>
      <c r="N335" s="13">
        <f t="shared" si="6"/>
        <v>0.4680816186</v>
      </c>
      <c r="O335" s="14">
        <f t="shared" si="7"/>
        <v>0.9727145114</v>
      </c>
      <c r="P335" s="15"/>
      <c r="Q335" s="15"/>
      <c r="AD335" s="20"/>
    </row>
    <row r="336" ht="15.75" customHeight="1">
      <c r="A336" s="8">
        <v>90203.0</v>
      </c>
      <c r="B336" s="9" t="s">
        <v>345</v>
      </c>
      <c r="C336" s="8">
        <v>1080.0</v>
      </c>
      <c r="D336" s="8">
        <v>484.5555678009987</v>
      </c>
      <c r="E336" s="8">
        <v>1739.0</v>
      </c>
      <c r="F336" s="10">
        <f t="shared" si="1"/>
        <v>0.6210465785</v>
      </c>
      <c r="G336" s="10">
        <f t="shared" si="2"/>
        <v>0.4486625628</v>
      </c>
      <c r="H336" s="10">
        <f t="shared" si="3"/>
        <v>0.2786403495</v>
      </c>
      <c r="I336" s="8">
        <v>2587.0</v>
      </c>
      <c r="J336" s="8">
        <v>1157.0000295341015</v>
      </c>
      <c r="K336" s="8">
        <v>3795.0</v>
      </c>
      <c r="L336" s="11">
        <f t="shared" si="4"/>
        <v>0.6816864295</v>
      </c>
      <c r="M336" s="12">
        <f t="shared" si="5"/>
        <v>0.4472361923</v>
      </c>
      <c r="N336" s="13">
        <f t="shared" si="6"/>
        <v>0.3048748431</v>
      </c>
      <c r="O336" s="14">
        <f t="shared" si="7"/>
        <v>1.094151811</v>
      </c>
      <c r="P336" s="15"/>
      <c r="Q336" s="15"/>
      <c r="AD336" s="20"/>
    </row>
    <row r="337" ht="15.75" customHeight="1">
      <c r="A337" s="8">
        <v>90301.0</v>
      </c>
      <c r="B337" s="9" t="s">
        <v>346</v>
      </c>
      <c r="C337" s="8">
        <v>3273.0</v>
      </c>
      <c r="D337" s="8">
        <v>1679.3333773612976</v>
      </c>
      <c r="E337" s="8">
        <v>4302.0</v>
      </c>
      <c r="F337" s="10">
        <f t="shared" si="1"/>
        <v>0.7608089261</v>
      </c>
      <c r="G337" s="10">
        <f t="shared" si="2"/>
        <v>0.5130868858</v>
      </c>
      <c r="H337" s="10">
        <f t="shared" si="3"/>
        <v>0.3903610826</v>
      </c>
      <c r="I337" s="8">
        <v>1922.0</v>
      </c>
      <c r="J337" s="8">
        <v>856.777800232172</v>
      </c>
      <c r="K337" s="8">
        <v>3242.0</v>
      </c>
      <c r="L337" s="11">
        <f t="shared" si="4"/>
        <v>0.5928439235</v>
      </c>
      <c r="M337" s="12">
        <f t="shared" si="5"/>
        <v>0.4457740896</v>
      </c>
      <c r="N337" s="13">
        <f t="shared" si="6"/>
        <v>0.2642744603</v>
      </c>
      <c r="O337" s="14">
        <f t="shared" si="7"/>
        <v>0.6770000189</v>
      </c>
      <c r="P337" s="15"/>
      <c r="Q337" s="15"/>
      <c r="AD337" s="20"/>
    </row>
    <row r="338" ht="15.75" customHeight="1">
      <c r="A338" s="8">
        <v>90302.0</v>
      </c>
      <c r="B338" s="9" t="s">
        <v>347</v>
      </c>
      <c r="C338" s="8">
        <v>3742.0</v>
      </c>
      <c r="D338" s="8">
        <v>1791.6667132675648</v>
      </c>
      <c r="E338" s="8">
        <v>4957.0</v>
      </c>
      <c r="F338" s="10">
        <f t="shared" si="1"/>
        <v>0.7548920718</v>
      </c>
      <c r="G338" s="10">
        <f t="shared" si="2"/>
        <v>0.4787992286</v>
      </c>
      <c r="H338" s="10">
        <f t="shared" si="3"/>
        <v>0.3614417416</v>
      </c>
      <c r="I338" s="8">
        <v>1440.0</v>
      </c>
      <c r="J338" s="8">
        <v>638.6666829884052</v>
      </c>
      <c r="K338" s="8">
        <v>2101.0</v>
      </c>
      <c r="L338" s="11">
        <f t="shared" si="4"/>
        <v>0.6853879105</v>
      </c>
      <c r="M338" s="12">
        <f t="shared" si="5"/>
        <v>0.4435185299</v>
      </c>
      <c r="N338" s="13">
        <f t="shared" si="6"/>
        <v>0.3039822385</v>
      </c>
      <c r="O338" s="14">
        <f t="shared" si="7"/>
        <v>0.8410269303</v>
      </c>
      <c r="P338" s="15"/>
      <c r="Q338" s="15"/>
      <c r="AD338" s="20"/>
    </row>
    <row r="339" ht="15.75" customHeight="1">
      <c r="A339" s="8">
        <v>90303.0</v>
      </c>
      <c r="B339" s="9" t="s">
        <v>348</v>
      </c>
      <c r="C339" s="8">
        <v>2835.0</v>
      </c>
      <c r="D339" s="8">
        <v>1493.555598050356</v>
      </c>
      <c r="E339" s="8">
        <v>3032.0</v>
      </c>
      <c r="F339" s="10">
        <f t="shared" si="1"/>
        <v>0.9350263852</v>
      </c>
      <c r="G339" s="10">
        <f t="shared" si="2"/>
        <v>0.5268273714</v>
      </c>
      <c r="H339" s="10">
        <f t="shared" si="3"/>
        <v>0.4925974928</v>
      </c>
      <c r="I339" s="8">
        <v>4919.0</v>
      </c>
      <c r="J339" s="8">
        <v>2640.6667378544807</v>
      </c>
      <c r="K339" s="8">
        <v>5129.0</v>
      </c>
      <c r="L339" s="11">
        <f t="shared" si="4"/>
        <v>0.9590563463</v>
      </c>
      <c r="M339" s="12">
        <f t="shared" si="5"/>
        <v>0.5368299935</v>
      </c>
      <c r="N339" s="13">
        <f t="shared" si="6"/>
        <v>0.5148502121</v>
      </c>
      <c r="O339" s="14">
        <f t="shared" si="7"/>
        <v>1.045174244</v>
      </c>
      <c r="P339" s="15"/>
      <c r="Q339" s="15"/>
      <c r="AD339" s="20"/>
    </row>
    <row r="340" ht="15.75" customHeight="1">
      <c r="A340" s="8">
        <v>90401.0</v>
      </c>
      <c r="B340" s="9" t="s">
        <v>349</v>
      </c>
      <c r="C340" s="8">
        <v>433.0</v>
      </c>
      <c r="D340" s="8">
        <v>180.22222688794136</v>
      </c>
      <c r="E340" s="8">
        <v>816.0</v>
      </c>
      <c r="F340" s="10">
        <f t="shared" si="1"/>
        <v>0.5306372549</v>
      </c>
      <c r="G340" s="10">
        <f t="shared" si="2"/>
        <v>0.4162176141</v>
      </c>
      <c r="H340" s="10">
        <f t="shared" si="3"/>
        <v>0.2208605722</v>
      </c>
      <c r="I340" s="8">
        <v>692.0</v>
      </c>
      <c r="J340" s="8">
        <v>305.66667452454567</v>
      </c>
      <c r="K340" s="8">
        <v>1367.0</v>
      </c>
      <c r="L340" s="11">
        <f t="shared" si="4"/>
        <v>0.5062179956</v>
      </c>
      <c r="M340" s="12">
        <f t="shared" si="5"/>
        <v>0.4417148476</v>
      </c>
      <c r="N340" s="13">
        <f t="shared" si="6"/>
        <v>0.2236040048</v>
      </c>
      <c r="O340" s="14">
        <f t="shared" si="7"/>
        <v>1.012421559</v>
      </c>
      <c r="P340" s="15"/>
      <c r="Q340" s="15"/>
      <c r="AD340" s="20"/>
    </row>
    <row r="341" ht="15.75" customHeight="1">
      <c r="A341" s="8">
        <v>90402.0</v>
      </c>
      <c r="B341" s="9" t="s">
        <v>350</v>
      </c>
      <c r="C341" s="8">
        <v>306.0</v>
      </c>
      <c r="D341" s="8">
        <v>133.6666702926159</v>
      </c>
      <c r="E341" s="8">
        <v>435.0</v>
      </c>
      <c r="F341" s="10">
        <f t="shared" si="1"/>
        <v>0.7034482759</v>
      </c>
      <c r="G341" s="10">
        <f t="shared" si="2"/>
        <v>0.436819184</v>
      </c>
      <c r="H341" s="10">
        <f t="shared" si="3"/>
        <v>0.3072797018</v>
      </c>
      <c r="I341" s="8">
        <v>801.0</v>
      </c>
      <c r="J341" s="8">
        <v>370.0000104010105</v>
      </c>
      <c r="K341" s="8">
        <v>1183.0</v>
      </c>
      <c r="L341" s="11">
        <f t="shared" si="4"/>
        <v>0.6770921386</v>
      </c>
      <c r="M341" s="12">
        <f t="shared" si="5"/>
        <v>0.4619226097</v>
      </c>
      <c r="N341" s="13">
        <f t="shared" si="6"/>
        <v>0.3127641677</v>
      </c>
      <c r="O341" s="14">
        <f t="shared" si="7"/>
        <v>1.017848448</v>
      </c>
      <c r="AD341" s="20"/>
    </row>
    <row r="342" ht="15.75" customHeight="1">
      <c r="A342" s="8">
        <v>90501.0</v>
      </c>
      <c r="B342" s="9" t="s">
        <v>351</v>
      </c>
      <c r="C342" s="8">
        <v>616.0</v>
      </c>
      <c r="D342" s="8">
        <v>264.44445142149925</v>
      </c>
      <c r="E342" s="8">
        <v>738.0</v>
      </c>
      <c r="F342" s="10">
        <f t="shared" si="1"/>
        <v>0.8346883469</v>
      </c>
      <c r="G342" s="10">
        <f t="shared" si="2"/>
        <v>0.4292929406</v>
      </c>
      <c r="H342" s="10">
        <f t="shared" si="3"/>
        <v>0.3583258149</v>
      </c>
      <c r="I342" s="8">
        <v>755.0</v>
      </c>
      <c r="J342" s="8">
        <v>345.44445407390594</v>
      </c>
      <c r="K342" s="8">
        <v>1039.0</v>
      </c>
      <c r="L342" s="11">
        <f t="shared" si="4"/>
        <v>0.7266602502</v>
      </c>
      <c r="M342" s="12">
        <f t="shared" si="5"/>
        <v>0.4575423233</v>
      </c>
      <c r="N342" s="13">
        <f t="shared" si="6"/>
        <v>0.3324778191</v>
      </c>
      <c r="O342" s="14">
        <f t="shared" si="7"/>
        <v>0.9278645447</v>
      </c>
      <c r="AD342" s="20"/>
    </row>
    <row r="343" ht="15.75" customHeight="1">
      <c r="A343" s="8">
        <v>90502.0</v>
      </c>
      <c r="B343" s="9" t="s">
        <v>352</v>
      </c>
      <c r="C343" s="8">
        <v>678.0</v>
      </c>
      <c r="D343" s="8">
        <v>304.11111918091774</v>
      </c>
      <c r="E343" s="8">
        <v>932.0</v>
      </c>
      <c r="F343" s="10">
        <f t="shared" si="1"/>
        <v>0.7274678112</v>
      </c>
      <c r="G343" s="10">
        <f t="shared" si="2"/>
        <v>0.4485414737</v>
      </c>
      <c r="H343" s="10">
        <f t="shared" si="3"/>
        <v>0.3262994841</v>
      </c>
      <c r="I343" s="8">
        <v>1517.0</v>
      </c>
      <c r="J343" s="8">
        <v>727.4444635212421</v>
      </c>
      <c r="K343" s="8">
        <v>1855.0</v>
      </c>
      <c r="L343" s="11">
        <f t="shared" si="4"/>
        <v>0.8177897574</v>
      </c>
      <c r="M343" s="12">
        <f t="shared" si="5"/>
        <v>0.4795283214</v>
      </c>
      <c r="N343" s="13">
        <f t="shared" si="6"/>
        <v>0.3921533496</v>
      </c>
      <c r="O343" s="14">
        <f t="shared" si="7"/>
        <v>1.201820318</v>
      </c>
      <c r="AD343" s="20"/>
    </row>
    <row r="344" ht="15.75" customHeight="1">
      <c r="A344" s="8">
        <v>90503.0</v>
      </c>
      <c r="B344" s="9" t="s">
        <v>353</v>
      </c>
      <c r="C344" s="8">
        <v>437.0</v>
      </c>
      <c r="D344" s="8">
        <v>200.2222270667553</v>
      </c>
      <c r="E344" s="8">
        <v>564.0</v>
      </c>
      <c r="F344" s="10">
        <f t="shared" si="1"/>
        <v>0.774822695</v>
      </c>
      <c r="G344" s="10">
        <f t="shared" si="2"/>
        <v>0.4581744326</v>
      </c>
      <c r="H344" s="10">
        <f t="shared" si="3"/>
        <v>0.3550039487</v>
      </c>
      <c r="I344" s="8">
        <v>1130.0</v>
      </c>
      <c r="J344" s="8">
        <v>534.5555699765682</v>
      </c>
      <c r="K344" s="8">
        <v>1405.0</v>
      </c>
      <c r="L344" s="11">
        <f t="shared" si="4"/>
        <v>0.8042704626</v>
      </c>
      <c r="M344" s="12">
        <f t="shared" si="5"/>
        <v>0.4730580265</v>
      </c>
      <c r="N344" s="13">
        <f t="shared" si="6"/>
        <v>0.3804665978</v>
      </c>
      <c r="O344" s="14">
        <f t="shared" si="7"/>
        <v>1.071724974</v>
      </c>
      <c r="AD344" s="20"/>
    </row>
    <row r="345" ht="15.75" customHeight="1">
      <c r="A345" s="9">
        <v>10.0</v>
      </c>
      <c r="B345" s="9" t="s">
        <v>354</v>
      </c>
      <c r="C345" s="8">
        <f t="shared" ref="C345:E345" si="15">SUM(C246:C248)</f>
        <v>13770</v>
      </c>
      <c r="D345" s="8">
        <f t="shared" si="15"/>
        <v>5932.4446</v>
      </c>
      <c r="E345" s="8">
        <f t="shared" si="15"/>
        <v>48451</v>
      </c>
      <c r="F345" s="10">
        <f t="shared" si="1"/>
        <v>0.2842046604</v>
      </c>
      <c r="G345" s="10">
        <f t="shared" si="2"/>
        <v>0.4308238635</v>
      </c>
      <c r="H345" s="10">
        <f t="shared" si="3"/>
        <v>0.1224421498</v>
      </c>
      <c r="I345" s="8">
        <f t="shared" ref="I345:K345" si="16">SUM(I246:I248)</f>
        <v>13017</v>
      </c>
      <c r="J345" s="8">
        <f t="shared" si="16"/>
        <v>5255.333467</v>
      </c>
      <c r="K345" s="8">
        <f t="shared" si="16"/>
        <v>90519</v>
      </c>
      <c r="L345" s="11">
        <f t="shared" si="4"/>
        <v>0.1438040632</v>
      </c>
      <c r="M345" s="12">
        <f t="shared" si="5"/>
        <v>0.4037284679</v>
      </c>
      <c r="N345" s="13">
        <f t="shared" si="6"/>
        <v>0.05805779413</v>
      </c>
      <c r="O345" s="14">
        <f t="shared" si="7"/>
        <v>0.4741650994</v>
      </c>
      <c r="AD345" s="20"/>
    </row>
    <row r="346" ht="15.75" customHeight="1">
      <c r="A346" s="9">
        <v>11.0</v>
      </c>
      <c r="B346" s="9" t="s">
        <v>355</v>
      </c>
      <c r="C346" s="8">
        <f t="shared" ref="C346:E346" si="17">SUM(C2:C344)</f>
        <v>2210169</v>
      </c>
      <c r="D346" s="8">
        <f t="shared" si="17"/>
        <v>1002782.026</v>
      </c>
      <c r="E346" s="8">
        <f t="shared" si="17"/>
        <v>5513161</v>
      </c>
      <c r="F346" s="10">
        <f t="shared" si="1"/>
        <v>0.4008896167</v>
      </c>
      <c r="G346" s="10">
        <f t="shared" si="2"/>
        <v>0.4537128273</v>
      </c>
      <c r="H346" s="10">
        <f t="shared" si="3"/>
        <v>0.1818887614</v>
      </c>
      <c r="I346" s="8">
        <f t="shared" ref="I346:K346" si="18">SUM(I2:I344)</f>
        <v>751204</v>
      </c>
      <c r="J346" s="8">
        <f t="shared" si="18"/>
        <v>307330.1189</v>
      </c>
      <c r="K346" s="8">
        <f t="shared" si="18"/>
        <v>4313928</v>
      </c>
      <c r="L346" s="11">
        <f t="shared" si="4"/>
        <v>0.1741345706</v>
      </c>
      <c r="M346" s="12">
        <f t="shared" si="5"/>
        <v>0.4091167232</v>
      </c>
      <c r="N346" s="13">
        <f t="shared" si="6"/>
        <v>0.07124136493</v>
      </c>
      <c r="O346" s="14">
        <f t="shared" si="7"/>
        <v>0.3916754634</v>
      </c>
      <c r="AD346" s="20"/>
    </row>
    <row r="347" ht="15.75" customHeight="1">
      <c r="C347" s="21"/>
      <c r="D347" s="21"/>
      <c r="E347" s="21"/>
      <c r="F347" s="22"/>
      <c r="G347" s="22"/>
      <c r="H347" s="22"/>
      <c r="I347" s="22"/>
      <c r="J347" s="22"/>
      <c r="K347" s="22"/>
      <c r="L347" s="22"/>
      <c r="M347" s="22"/>
      <c r="O347" s="20"/>
      <c r="AD347" s="20"/>
    </row>
    <row r="348" ht="15.75" customHeight="1">
      <c r="C348" s="21"/>
      <c r="D348" s="21"/>
      <c r="E348" s="21"/>
      <c r="F348" s="22"/>
      <c r="G348" s="22"/>
      <c r="H348" s="22"/>
      <c r="I348" s="22"/>
      <c r="J348" s="22"/>
      <c r="K348" s="22"/>
      <c r="L348" s="22"/>
      <c r="M348" s="22"/>
      <c r="O348" s="20"/>
      <c r="AD348" s="20"/>
    </row>
    <row r="349" ht="15.75" customHeight="1">
      <c r="C349" s="21"/>
      <c r="D349" s="21"/>
      <c r="E349" s="21"/>
      <c r="F349" s="22"/>
      <c r="G349" s="22"/>
      <c r="H349" s="22"/>
      <c r="I349" s="22"/>
      <c r="J349" s="22"/>
      <c r="K349" s="22"/>
      <c r="L349" s="22"/>
      <c r="M349" s="22"/>
      <c r="O349" s="20"/>
      <c r="AD349" s="20"/>
    </row>
    <row r="350" ht="15.75" customHeight="1">
      <c r="C350" s="21"/>
      <c r="D350" s="21"/>
      <c r="E350" s="21"/>
      <c r="F350" s="22"/>
      <c r="G350" s="22"/>
      <c r="H350" s="22"/>
      <c r="I350" s="22"/>
      <c r="J350" s="22"/>
      <c r="K350" s="22"/>
      <c r="L350" s="22"/>
      <c r="M350" s="22"/>
      <c r="O350" s="20"/>
      <c r="AD350" s="20"/>
    </row>
    <row r="351" ht="15.75" customHeight="1">
      <c r="C351" s="21"/>
      <c r="D351" s="21"/>
      <c r="E351" s="21"/>
      <c r="F351" s="22"/>
      <c r="G351" s="22"/>
      <c r="H351" s="22"/>
      <c r="I351" s="22"/>
      <c r="J351" s="22"/>
      <c r="K351" s="22"/>
      <c r="L351" s="22"/>
      <c r="M351" s="22"/>
      <c r="O351" s="20"/>
      <c r="AD351" s="20"/>
    </row>
    <row r="352" ht="15.75" customHeight="1">
      <c r="C352" s="21"/>
      <c r="D352" s="21"/>
      <c r="E352" s="21"/>
      <c r="F352" s="22"/>
      <c r="G352" s="22"/>
      <c r="H352" s="22"/>
      <c r="I352" s="22"/>
      <c r="J352" s="22"/>
      <c r="K352" s="22"/>
      <c r="L352" s="22"/>
      <c r="M352" s="22"/>
      <c r="O352" s="20"/>
      <c r="AD352" s="20"/>
    </row>
    <row r="353" ht="15.75" customHeight="1">
      <c r="C353" s="21"/>
      <c r="D353" s="21"/>
      <c r="E353" s="21"/>
      <c r="F353" s="22"/>
      <c r="G353" s="22"/>
      <c r="H353" s="22"/>
      <c r="I353" s="22"/>
      <c r="J353" s="22"/>
      <c r="K353" s="22"/>
      <c r="L353" s="22"/>
      <c r="M353" s="22"/>
      <c r="O353" s="20"/>
      <c r="AD353" s="20"/>
    </row>
    <row r="354" ht="15.75" customHeight="1">
      <c r="C354" s="21"/>
      <c r="D354" s="21"/>
      <c r="E354" s="21"/>
      <c r="F354" s="22"/>
      <c r="G354" s="22"/>
      <c r="H354" s="22"/>
      <c r="I354" s="22"/>
      <c r="J354" s="22"/>
      <c r="K354" s="22"/>
      <c r="L354" s="22"/>
      <c r="M354" s="22"/>
      <c r="O354" s="20"/>
      <c r="AD354" s="20"/>
    </row>
    <row r="355" ht="15.75" customHeight="1">
      <c r="C355" s="21"/>
      <c r="D355" s="21"/>
      <c r="E355" s="21"/>
      <c r="F355" s="22"/>
      <c r="G355" s="22"/>
      <c r="H355" s="22"/>
      <c r="I355" s="22"/>
      <c r="J355" s="22"/>
      <c r="K355" s="22"/>
      <c r="L355" s="22"/>
      <c r="M355" s="22"/>
      <c r="O355" s="20"/>
      <c r="AD355" s="20"/>
    </row>
    <row r="356" ht="15.75" customHeight="1">
      <c r="C356" s="21"/>
      <c r="D356" s="21"/>
      <c r="E356" s="21"/>
      <c r="F356" s="22"/>
      <c r="G356" s="22"/>
      <c r="H356" s="22"/>
      <c r="I356" s="22"/>
      <c r="J356" s="22"/>
      <c r="K356" s="22"/>
      <c r="L356" s="22"/>
      <c r="M356" s="22"/>
      <c r="O356" s="20"/>
      <c r="AD356" s="20"/>
    </row>
    <row r="357" ht="15.75" customHeight="1">
      <c r="C357" s="21"/>
      <c r="D357" s="21"/>
      <c r="E357" s="21"/>
      <c r="F357" s="22"/>
      <c r="G357" s="22"/>
      <c r="H357" s="22"/>
      <c r="I357" s="22"/>
      <c r="J357" s="22"/>
      <c r="K357" s="22"/>
      <c r="L357" s="22"/>
      <c r="M357" s="22"/>
      <c r="O357" s="20"/>
      <c r="AD357" s="20"/>
    </row>
    <row r="358" ht="15.75" customHeight="1">
      <c r="C358" s="21"/>
      <c r="D358" s="21"/>
      <c r="E358" s="21"/>
      <c r="F358" s="22"/>
      <c r="G358" s="22"/>
      <c r="H358" s="22"/>
      <c r="I358" s="22"/>
      <c r="J358" s="22"/>
      <c r="K358" s="22"/>
      <c r="L358" s="22"/>
      <c r="M358" s="22"/>
      <c r="O358" s="20"/>
      <c r="AD358" s="20"/>
    </row>
    <row r="359" ht="15.75" customHeight="1">
      <c r="C359" s="21"/>
      <c r="D359" s="21"/>
      <c r="E359" s="21"/>
      <c r="F359" s="22"/>
      <c r="G359" s="22"/>
      <c r="H359" s="22"/>
      <c r="I359" s="22"/>
      <c r="J359" s="22"/>
      <c r="K359" s="22"/>
      <c r="L359" s="22"/>
      <c r="M359" s="22"/>
      <c r="O359" s="20"/>
      <c r="AD359" s="20"/>
    </row>
    <row r="360" ht="15.75" customHeight="1">
      <c r="C360" s="21"/>
      <c r="D360" s="21"/>
      <c r="E360" s="21"/>
      <c r="F360" s="22"/>
      <c r="G360" s="22"/>
      <c r="H360" s="22"/>
      <c r="I360" s="22"/>
      <c r="J360" s="22"/>
      <c r="K360" s="22"/>
      <c r="L360" s="22"/>
      <c r="M360" s="22"/>
      <c r="O360" s="20"/>
      <c r="AD360" s="20"/>
    </row>
    <row r="361" ht="15.75" customHeight="1">
      <c r="C361" s="21"/>
      <c r="D361" s="21"/>
      <c r="E361" s="21"/>
      <c r="F361" s="22"/>
      <c r="G361" s="22"/>
      <c r="H361" s="22"/>
      <c r="I361" s="22"/>
      <c r="J361" s="22"/>
      <c r="K361" s="22"/>
      <c r="L361" s="22"/>
      <c r="M361" s="22"/>
      <c r="O361" s="20"/>
      <c r="AD361" s="20"/>
    </row>
    <row r="362" ht="15.75" customHeight="1">
      <c r="C362" s="21"/>
      <c r="D362" s="21"/>
      <c r="E362" s="21"/>
      <c r="F362" s="22"/>
      <c r="G362" s="22"/>
      <c r="H362" s="22"/>
      <c r="I362" s="22"/>
      <c r="J362" s="22"/>
      <c r="K362" s="22"/>
      <c r="L362" s="22"/>
      <c r="M362" s="22"/>
      <c r="O362" s="20"/>
      <c r="AD362" s="20"/>
    </row>
    <row r="363" ht="15.75" customHeight="1">
      <c r="C363" s="21"/>
      <c r="D363" s="21"/>
      <c r="E363" s="21"/>
      <c r="F363" s="22"/>
      <c r="G363" s="22"/>
      <c r="H363" s="22"/>
      <c r="I363" s="22"/>
      <c r="J363" s="22"/>
      <c r="K363" s="22"/>
      <c r="L363" s="22"/>
      <c r="M363" s="22"/>
      <c r="O363" s="20"/>
      <c r="AD363" s="20"/>
    </row>
    <row r="364" ht="15.75" customHeight="1">
      <c r="C364" s="21"/>
      <c r="D364" s="21"/>
      <c r="E364" s="21"/>
      <c r="F364" s="22"/>
      <c r="G364" s="22"/>
      <c r="H364" s="22"/>
      <c r="I364" s="22"/>
      <c r="J364" s="22"/>
      <c r="K364" s="22"/>
      <c r="L364" s="22"/>
      <c r="M364" s="22"/>
      <c r="O364" s="20"/>
      <c r="AD364" s="20"/>
    </row>
    <row r="365" ht="15.75" customHeight="1">
      <c r="C365" s="21"/>
      <c r="D365" s="21"/>
      <c r="E365" s="21"/>
      <c r="F365" s="22"/>
      <c r="G365" s="22"/>
      <c r="H365" s="22"/>
      <c r="I365" s="22"/>
      <c r="J365" s="22"/>
      <c r="K365" s="22"/>
      <c r="L365" s="22"/>
      <c r="M365" s="22"/>
      <c r="O365" s="20"/>
      <c r="AD365" s="20"/>
    </row>
    <row r="366" ht="15.75" customHeight="1">
      <c r="C366" s="21"/>
      <c r="D366" s="21"/>
      <c r="E366" s="21"/>
      <c r="F366" s="22"/>
      <c r="G366" s="22"/>
      <c r="H366" s="22"/>
      <c r="I366" s="22"/>
      <c r="J366" s="22"/>
      <c r="K366" s="22"/>
      <c r="L366" s="22"/>
      <c r="M366" s="22"/>
      <c r="O366" s="20"/>
      <c r="AD366" s="20"/>
    </row>
    <row r="367" ht="15.75" customHeight="1">
      <c r="C367" s="21"/>
      <c r="D367" s="21"/>
      <c r="E367" s="21"/>
      <c r="F367" s="22"/>
      <c r="G367" s="22"/>
      <c r="H367" s="22"/>
      <c r="I367" s="22"/>
      <c r="J367" s="22"/>
      <c r="K367" s="22"/>
      <c r="L367" s="22"/>
      <c r="M367" s="22"/>
      <c r="O367" s="20"/>
      <c r="AD367" s="20"/>
    </row>
    <row r="368" ht="15.75" customHeight="1">
      <c r="C368" s="21"/>
      <c r="D368" s="21"/>
      <c r="E368" s="21"/>
      <c r="F368" s="22"/>
      <c r="G368" s="22"/>
      <c r="H368" s="22"/>
      <c r="I368" s="22"/>
      <c r="J368" s="22"/>
      <c r="K368" s="22"/>
      <c r="L368" s="22"/>
      <c r="M368" s="22"/>
      <c r="O368" s="20"/>
      <c r="AD368" s="20"/>
    </row>
    <row r="369" ht="15.75" customHeight="1">
      <c r="C369" s="21"/>
      <c r="D369" s="21"/>
      <c r="E369" s="21"/>
      <c r="F369" s="22"/>
      <c r="G369" s="22"/>
      <c r="H369" s="22"/>
      <c r="I369" s="22"/>
      <c r="J369" s="22"/>
      <c r="K369" s="22"/>
      <c r="L369" s="22"/>
      <c r="M369" s="22"/>
      <c r="O369" s="20"/>
      <c r="AD369" s="20"/>
    </row>
    <row r="370" ht="15.75" customHeight="1">
      <c r="C370" s="21"/>
      <c r="D370" s="21"/>
      <c r="E370" s="21"/>
      <c r="F370" s="22"/>
      <c r="G370" s="22"/>
      <c r="H370" s="22"/>
      <c r="I370" s="22"/>
      <c r="J370" s="22"/>
      <c r="K370" s="22"/>
      <c r="L370" s="22"/>
      <c r="M370" s="22"/>
      <c r="O370" s="20"/>
      <c r="AD370" s="20"/>
    </row>
    <row r="371" ht="15.75" customHeight="1">
      <c r="C371" s="21"/>
      <c r="D371" s="21"/>
      <c r="E371" s="21"/>
      <c r="F371" s="22"/>
      <c r="G371" s="22"/>
      <c r="H371" s="22"/>
      <c r="I371" s="22"/>
      <c r="J371" s="22"/>
      <c r="K371" s="22"/>
      <c r="L371" s="22"/>
      <c r="M371" s="22"/>
      <c r="O371" s="20"/>
      <c r="AD371" s="20"/>
    </row>
    <row r="372" ht="15.75" customHeight="1">
      <c r="C372" s="21"/>
      <c r="D372" s="21"/>
      <c r="E372" s="21"/>
      <c r="F372" s="22"/>
      <c r="G372" s="22"/>
      <c r="H372" s="22"/>
      <c r="I372" s="22"/>
      <c r="J372" s="22"/>
      <c r="K372" s="22"/>
      <c r="L372" s="22"/>
      <c r="M372" s="22"/>
      <c r="O372" s="20"/>
      <c r="AD372" s="20"/>
    </row>
    <row r="373" ht="15.75" customHeight="1">
      <c r="C373" s="21"/>
      <c r="D373" s="21"/>
      <c r="E373" s="21"/>
      <c r="F373" s="22"/>
      <c r="G373" s="22"/>
      <c r="H373" s="22"/>
      <c r="I373" s="22"/>
      <c r="J373" s="22"/>
      <c r="K373" s="22"/>
      <c r="L373" s="22"/>
      <c r="M373" s="22"/>
      <c r="O373" s="20"/>
      <c r="AD373" s="20"/>
    </row>
    <row r="374" ht="15.75" customHeight="1">
      <c r="C374" s="21"/>
      <c r="D374" s="21"/>
      <c r="E374" s="21"/>
      <c r="F374" s="22"/>
      <c r="G374" s="22"/>
      <c r="H374" s="22"/>
      <c r="I374" s="22"/>
      <c r="J374" s="22"/>
      <c r="K374" s="22"/>
      <c r="L374" s="22"/>
      <c r="M374" s="22"/>
      <c r="O374" s="20"/>
      <c r="AD374" s="20"/>
    </row>
    <row r="375" ht="15.75" customHeight="1">
      <c r="C375" s="21"/>
      <c r="D375" s="21"/>
      <c r="E375" s="21"/>
      <c r="F375" s="22"/>
      <c r="G375" s="22"/>
      <c r="H375" s="22"/>
      <c r="I375" s="22"/>
      <c r="J375" s="22"/>
      <c r="K375" s="22"/>
      <c r="L375" s="22"/>
      <c r="M375" s="22"/>
      <c r="O375" s="20"/>
      <c r="AD375" s="20"/>
    </row>
    <row r="376" ht="15.75" customHeight="1">
      <c r="C376" s="21"/>
      <c r="D376" s="21"/>
      <c r="E376" s="21"/>
      <c r="F376" s="22"/>
      <c r="G376" s="22"/>
      <c r="H376" s="22"/>
      <c r="I376" s="22"/>
      <c r="J376" s="22"/>
      <c r="K376" s="22"/>
      <c r="L376" s="22"/>
      <c r="M376" s="22"/>
      <c r="O376" s="20"/>
      <c r="AD376" s="20"/>
    </row>
    <row r="377" ht="15.75" customHeight="1">
      <c r="C377" s="21"/>
      <c r="D377" s="21"/>
      <c r="E377" s="21"/>
      <c r="F377" s="22"/>
      <c r="G377" s="22"/>
      <c r="H377" s="22"/>
      <c r="I377" s="22"/>
      <c r="J377" s="22"/>
      <c r="K377" s="22"/>
      <c r="L377" s="22"/>
      <c r="M377" s="22"/>
      <c r="O377" s="20"/>
      <c r="AD377" s="20"/>
    </row>
    <row r="378" ht="15.75" customHeight="1">
      <c r="C378" s="21"/>
      <c r="D378" s="21"/>
      <c r="E378" s="21"/>
      <c r="F378" s="22"/>
      <c r="G378" s="22"/>
      <c r="H378" s="22"/>
      <c r="I378" s="22"/>
      <c r="J378" s="22"/>
      <c r="K378" s="22"/>
      <c r="L378" s="22"/>
      <c r="M378" s="22"/>
      <c r="O378" s="20"/>
      <c r="AD378" s="20"/>
    </row>
    <row r="379" ht="15.75" customHeight="1">
      <c r="C379" s="21"/>
      <c r="D379" s="21"/>
      <c r="E379" s="21"/>
      <c r="F379" s="22"/>
      <c r="G379" s="22"/>
      <c r="H379" s="22"/>
      <c r="I379" s="22"/>
      <c r="J379" s="22"/>
      <c r="K379" s="22"/>
      <c r="L379" s="22"/>
      <c r="M379" s="22"/>
      <c r="O379" s="20"/>
      <c r="AD379" s="20"/>
    </row>
    <row r="380" ht="15.75" customHeight="1">
      <c r="C380" s="21"/>
      <c r="D380" s="21"/>
      <c r="E380" s="21"/>
      <c r="F380" s="22"/>
      <c r="G380" s="22"/>
      <c r="H380" s="22"/>
      <c r="I380" s="22"/>
      <c r="J380" s="22"/>
      <c r="K380" s="22"/>
      <c r="L380" s="22"/>
      <c r="M380" s="22"/>
      <c r="O380" s="20"/>
      <c r="AD380" s="20"/>
    </row>
    <row r="381" ht="15.75" customHeight="1">
      <c r="C381" s="21"/>
      <c r="D381" s="21"/>
      <c r="E381" s="21"/>
      <c r="F381" s="22"/>
      <c r="G381" s="22"/>
      <c r="H381" s="22"/>
      <c r="I381" s="22"/>
      <c r="J381" s="22"/>
      <c r="K381" s="22"/>
      <c r="L381" s="22"/>
      <c r="M381" s="22"/>
      <c r="O381" s="20"/>
      <c r="AD381" s="20"/>
    </row>
    <row r="382" ht="15.75" customHeight="1">
      <c r="C382" s="21"/>
      <c r="D382" s="21"/>
      <c r="E382" s="21"/>
      <c r="F382" s="22"/>
      <c r="G382" s="22"/>
      <c r="H382" s="22"/>
      <c r="I382" s="22"/>
      <c r="J382" s="22"/>
      <c r="K382" s="22"/>
      <c r="L382" s="22"/>
      <c r="M382" s="22"/>
      <c r="O382" s="20"/>
      <c r="AD382" s="20"/>
    </row>
    <row r="383" ht="15.75" customHeight="1">
      <c r="C383" s="21"/>
      <c r="D383" s="21"/>
      <c r="E383" s="21"/>
      <c r="F383" s="22"/>
      <c r="G383" s="22"/>
      <c r="H383" s="22"/>
      <c r="I383" s="22"/>
      <c r="J383" s="22"/>
      <c r="K383" s="22"/>
      <c r="L383" s="22"/>
      <c r="M383" s="22"/>
      <c r="O383" s="20"/>
      <c r="AD383" s="20"/>
    </row>
    <row r="384" ht="15.75" customHeight="1">
      <c r="C384" s="21"/>
      <c r="D384" s="21"/>
      <c r="E384" s="21"/>
      <c r="F384" s="22"/>
      <c r="G384" s="22"/>
      <c r="H384" s="22"/>
      <c r="I384" s="22"/>
      <c r="J384" s="22"/>
      <c r="K384" s="22"/>
      <c r="L384" s="22"/>
      <c r="M384" s="22"/>
      <c r="O384" s="20"/>
      <c r="AD384" s="20"/>
    </row>
    <row r="385" ht="15.75" customHeight="1">
      <c r="C385" s="21"/>
      <c r="D385" s="21"/>
      <c r="E385" s="21"/>
      <c r="F385" s="22"/>
      <c r="G385" s="22"/>
      <c r="H385" s="22"/>
      <c r="I385" s="22"/>
      <c r="J385" s="22"/>
      <c r="K385" s="22"/>
      <c r="L385" s="22"/>
      <c r="M385" s="22"/>
      <c r="O385" s="20"/>
      <c r="AD385" s="20"/>
    </row>
    <row r="386" ht="15.75" customHeight="1">
      <c r="C386" s="21"/>
      <c r="D386" s="21"/>
      <c r="E386" s="21"/>
      <c r="F386" s="22"/>
      <c r="G386" s="22"/>
      <c r="H386" s="22"/>
      <c r="I386" s="22"/>
      <c r="J386" s="22"/>
      <c r="K386" s="22"/>
      <c r="L386" s="22"/>
      <c r="M386" s="22"/>
      <c r="O386" s="20"/>
      <c r="AD386" s="20"/>
    </row>
    <row r="387" ht="15.75" customHeight="1">
      <c r="C387" s="21"/>
      <c r="D387" s="21"/>
      <c r="E387" s="21"/>
      <c r="F387" s="22"/>
      <c r="G387" s="22"/>
      <c r="H387" s="22"/>
      <c r="I387" s="22"/>
      <c r="J387" s="22"/>
      <c r="K387" s="22"/>
      <c r="L387" s="22"/>
      <c r="M387" s="22"/>
      <c r="O387" s="20"/>
      <c r="AD387" s="20"/>
    </row>
    <row r="388" ht="15.75" customHeight="1">
      <c r="C388" s="21"/>
      <c r="D388" s="21"/>
      <c r="E388" s="21"/>
      <c r="F388" s="22"/>
      <c r="G388" s="22"/>
      <c r="H388" s="22"/>
      <c r="I388" s="22"/>
      <c r="J388" s="22"/>
      <c r="K388" s="22"/>
      <c r="L388" s="22"/>
      <c r="M388" s="22"/>
      <c r="O388" s="20"/>
      <c r="AD388" s="20"/>
    </row>
    <row r="389" ht="15.75" customHeight="1">
      <c r="C389" s="21"/>
      <c r="D389" s="21"/>
      <c r="E389" s="21"/>
      <c r="F389" s="22"/>
      <c r="G389" s="22"/>
      <c r="H389" s="22"/>
      <c r="I389" s="22"/>
      <c r="J389" s="22"/>
      <c r="K389" s="22"/>
      <c r="L389" s="22"/>
      <c r="M389" s="22"/>
      <c r="O389" s="20"/>
      <c r="AD389" s="20"/>
    </row>
    <row r="390" ht="15.75" customHeight="1">
      <c r="C390" s="21"/>
      <c r="D390" s="21"/>
      <c r="E390" s="21"/>
      <c r="F390" s="22"/>
      <c r="G390" s="22"/>
      <c r="H390" s="22"/>
      <c r="I390" s="22"/>
      <c r="J390" s="22"/>
      <c r="K390" s="22"/>
      <c r="L390" s="22"/>
      <c r="M390" s="22"/>
      <c r="O390" s="20"/>
      <c r="AD390" s="20"/>
    </row>
    <row r="391" ht="15.75" customHeight="1">
      <c r="C391" s="21"/>
      <c r="D391" s="21"/>
      <c r="E391" s="21"/>
      <c r="F391" s="22"/>
      <c r="G391" s="22"/>
      <c r="H391" s="22"/>
      <c r="I391" s="22"/>
      <c r="J391" s="22"/>
      <c r="K391" s="22"/>
      <c r="L391" s="22"/>
      <c r="M391" s="22"/>
      <c r="O391" s="20"/>
      <c r="AD391" s="20"/>
    </row>
    <row r="392" ht="15.75" customHeight="1">
      <c r="C392" s="21"/>
      <c r="D392" s="21"/>
      <c r="E392" s="21"/>
      <c r="F392" s="22"/>
      <c r="G392" s="22"/>
      <c r="H392" s="22"/>
      <c r="I392" s="22"/>
      <c r="J392" s="22"/>
      <c r="K392" s="22"/>
      <c r="L392" s="22"/>
      <c r="M392" s="22"/>
      <c r="O392" s="20"/>
      <c r="AD392" s="20"/>
    </row>
    <row r="393" ht="15.75" customHeight="1">
      <c r="C393" s="21"/>
      <c r="D393" s="21"/>
      <c r="E393" s="21"/>
      <c r="F393" s="22"/>
      <c r="G393" s="22"/>
      <c r="H393" s="22"/>
      <c r="I393" s="22"/>
      <c r="J393" s="22"/>
      <c r="K393" s="22"/>
      <c r="L393" s="22"/>
      <c r="M393" s="22"/>
      <c r="O393" s="20"/>
      <c r="AD393" s="20"/>
    </row>
    <row r="394" ht="15.75" customHeight="1">
      <c r="C394" s="21"/>
      <c r="D394" s="21"/>
      <c r="E394" s="21"/>
      <c r="F394" s="22"/>
      <c r="G394" s="22"/>
      <c r="H394" s="22"/>
      <c r="I394" s="22"/>
      <c r="J394" s="22"/>
      <c r="K394" s="22"/>
      <c r="L394" s="22"/>
      <c r="M394" s="22"/>
      <c r="O394" s="20"/>
      <c r="AD394" s="20"/>
    </row>
    <row r="395" ht="15.75" customHeight="1">
      <c r="C395" s="21"/>
      <c r="D395" s="21"/>
      <c r="E395" s="21"/>
      <c r="F395" s="22"/>
      <c r="G395" s="22"/>
      <c r="H395" s="22"/>
      <c r="I395" s="22"/>
      <c r="J395" s="22"/>
      <c r="K395" s="22"/>
      <c r="L395" s="22"/>
      <c r="M395" s="22"/>
      <c r="O395" s="20"/>
      <c r="AD395" s="20"/>
    </row>
    <row r="396" ht="15.75" customHeight="1">
      <c r="C396" s="21"/>
      <c r="D396" s="21"/>
      <c r="E396" s="21"/>
      <c r="F396" s="22"/>
      <c r="G396" s="22"/>
      <c r="H396" s="22"/>
      <c r="I396" s="22"/>
      <c r="J396" s="22"/>
      <c r="K396" s="22"/>
      <c r="L396" s="22"/>
      <c r="M396" s="22"/>
      <c r="O396" s="20"/>
      <c r="AD396" s="20"/>
    </row>
    <row r="397" ht="15.75" customHeight="1">
      <c r="C397" s="21"/>
      <c r="D397" s="21"/>
      <c r="E397" s="21"/>
      <c r="F397" s="22"/>
      <c r="G397" s="22"/>
      <c r="H397" s="22"/>
      <c r="I397" s="22"/>
      <c r="J397" s="22"/>
      <c r="K397" s="22"/>
      <c r="L397" s="22"/>
      <c r="M397" s="22"/>
      <c r="O397" s="20"/>
      <c r="AD397" s="20"/>
    </row>
    <row r="398" ht="15.75" customHeight="1">
      <c r="C398" s="21"/>
      <c r="D398" s="21"/>
      <c r="E398" s="21"/>
      <c r="F398" s="22"/>
      <c r="G398" s="22"/>
      <c r="H398" s="22"/>
      <c r="I398" s="22"/>
      <c r="J398" s="22"/>
      <c r="K398" s="22"/>
      <c r="L398" s="22"/>
      <c r="M398" s="22"/>
      <c r="O398" s="20"/>
      <c r="AD398" s="20"/>
    </row>
    <row r="399" ht="15.75" customHeight="1">
      <c r="C399" s="21"/>
      <c r="D399" s="21"/>
      <c r="E399" s="21"/>
      <c r="F399" s="22"/>
      <c r="G399" s="22"/>
      <c r="H399" s="22"/>
      <c r="I399" s="22"/>
      <c r="J399" s="22"/>
      <c r="K399" s="22"/>
      <c r="L399" s="22"/>
      <c r="M399" s="22"/>
      <c r="O399" s="20"/>
      <c r="AD399" s="20"/>
    </row>
    <row r="400" ht="15.75" customHeight="1">
      <c r="C400" s="21"/>
      <c r="D400" s="21"/>
      <c r="E400" s="21"/>
      <c r="F400" s="22"/>
      <c r="G400" s="22"/>
      <c r="H400" s="22"/>
      <c r="I400" s="22"/>
      <c r="J400" s="22"/>
      <c r="K400" s="22"/>
      <c r="L400" s="22"/>
      <c r="M400" s="22"/>
      <c r="O400" s="20"/>
      <c r="AD400" s="20"/>
    </row>
    <row r="401" ht="15.75" customHeight="1">
      <c r="C401" s="21"/>
      <c r="D401" s="21"/>
      <c r="E401" s="21"/>
      <c r="F401" s="22"/>
      <c r="G401" s="22"/>
      <c r="H401" s="22"/>
      <c r="I401" s="22"/>
      <c r="J401" s="22"/>
      <c r="K401" s="22"/>
      <c r="L401" s="22"/>
      <c r="M401" s="22"/>
      <c r="O401" s="20"/>
      <c r="AD401" s="20"/>
    </row>
    <row r="402" ht="15.75" customHeight="1">
      <c r="C402" s="21"/>
      <c r="D402" s="21"/>
      <c r="E402" s="21"/>
      <c r="F402" s="22"/>
      <c r="G402" s="22"/>
      <c r="H402" s="22"/>
      <c r="I402" s="22"/>
      <c r="J402" s="22"/>
      <c r="K402" s="22"/>
      <c r="L402" s="22"/>
      <c r="M402" s="22"/>
      <c r="O402" s="20"/>
      <c r="AD402" s="20"/>
    </row>
    <row r="403" ht="15.75" customHeight="1">
      <c r="C403" s="21"/>
      <c r="D403" s="21"/>
      <c r="E403" s="21"/>
      <c r="F403" s="22"/>
      <c r="G403" s="22"/>
      <c r="H403" s="22"/>
      <c r="I403" s="22"/>
      <c r="J403" s="22"/>
      <c r="K403" s="22"/>
      <c r="L403" s="22"/>
      <c r="M403" s="22"/>
      <c r="O403" s="20"/>
      <c r="AD403" s="20"/>
    </row>
    <row r="404" ht="15.75" customHeight="1">
      <c r="C404" s="21"/>
      <c r="D404" s="21"/>
      <c r="E404" s="21"/>
      <c r="F404" s="22"/>
      <c r="G404" s="22"/>
      <c r="H404" s="22"/>
      <c r="I404" s="22"/>
      <c r="J404" s="22"/>
      <c r="K404" s="22"/>
      <c r="L404" s="22"/>
      <c r="M404" s="22"/>
      <c r="O404" s="20"/>
      <c r="AD404" s="20"/>
    </row>
    <row r="405" ht="15.75" customHeight="1">
      <c r="C405" s="21"/>
      <c r="D405" s="21"/>
      <c r="E405" s="21"/>
      <c r="F405" s="22"/>
      <c r="G405" s="22"/>
      <c r="H405" s="22"/>
      <c r="I405" s="22"/>
      <c r="J405" s="22"/>
      <c r="K405" s="22"/>
      <c r="L405" s="22"/>
      <c r="M405" s="22"/>
      <c r="O405" s="20"/>
      <c r="AD405" s="20"/>
    </row>
    <row r="406" ht="15.75" customHeight="1">
      <c r="C406" s="21"/>
      <c r="D406" s="21"/>
      <c r="E406" s="21"/>
      <c r="F406" s="22"/>
      <c r="G406" s="22"/>
      <c r="H406" s="22"/>
      <c r="I406" s="22"/>
      <c r="J406" s="22"/>
      <c r="K406" s="22"/>
      <c r="L406" s="22"/>
      <c r="M406" s="22"/>
      <c r="O406" s="20"/>
      <c r="AD406" s="20"/>
    </row>
    <row r="407" ht="15.75" customHeight="1">
      <c r="C407" s="21"/>
      <c r="D407" s="21"/>
      <c r="E407" s="21"/>
      <c r="F407" s="22"/>
      <c r="G407" s="22"/>
      <c r="H407" s="22"/>
      <c r="I407" s="22"/>
      <c r="J407" s="22"/>
      <c r="K407" s="22"/>
      <c r="L407" s="22"/>
      <c r="M407" s="22"/>
      <c r="O407" s="20"/>
      <c r="AD407" s="20"/>
    </row>
    <row r="408" ht="15.75" customHeight="1">
      <c r="C408" s="21"/>
      <c r="D408" s="21"/>
      <c r="E408" s="21"/>
      <c r="F408" s="22"/>
      <c r="G408" s="22"/>
      <c r="H408" s="22"/>
      <c r="I408" s="22"/>
      <c r="J408" s="22"/>
      <c r="K408" s="22"/>
      <c r="L408" s="22"/>
      <c r="M408" s="22"/>
      <c r="O408" s="20"/>
      <c r="AD408" s="20"/>
    </row>
    <row r="409" ht="15.75" customHeight="1">
      <c r="C409" s="21"/>
      <c r="D409" s="21"/>
      <c r="E409" s="21"/>
      <c r="F409" s="22"/>
      <c r="G409" s="22"/>
      <c r="H409" s="22"/>
      <c r="I409" s="22"/>
      <c r="J409" s="22"/>
      <c r="K409" s="22"/>
      <c r="L409" s="22"/>
      <c r="M409" s="22"/>
      <c r="O409" s="20"/>
      <c r="AD409" s="20"/>
    </row>
    <row r="410" ht="15.75" customHeight="1">
      <c r="C410" s="21"/>
      <c r="D410" s="21"/>
      <c r="E410" s="21"/>
      <c r="F410" s="22"/>
      <c r="G410" s="22"/>
      <c r="H410" s="22"/>
      <c r="I410" s="22"/>
      <c r="J410" s="22"/>
      <c r="K410" s="22"/>
      <c r="L410" s="22"/>
      <c r="M410" s="22"/>
      <c r="O410" s="20"/>
      <c r="AD410" s="20"/>
    </row>
    <row r="411" ht="15.75" customHeight="1">
      <c r="C411" s="21"/>
      <c r="D411" s="21"/>
      <c r="E411" s="21"/>
      <c r="F411" s="22"/>
      <c r="G411" s="22"/>
      <c r="H411" s="22"/>
      <c r="I411" s="22"/>
      <c r="J411" s="22"/>
      <c r="K411" s="22"/>
      <c r="L411" s="22"/>
      <c r="M411" s="22"/>
      <c r="O411" s="20"/>
      <c r="AD411" s="20"/>
    </row>
    <row r="412" ht="15.75" customHeight="1">
      <c r="C412" s="21"/>
      <c r="D412" s="21"/>
      <c r="E412" s="21"/>
      <c r="F412" s="22"/>
      <c r="G412" s="22"/>
      <c r="H412" s="22"/>
      <c r="I412" s="22"/>
      <c r="J412" s="22"/>
      <c r="K412" s="22"/>
      <c r="L412" s="22"/>
      <c r="M412" s="22"/>
      <c r="O412" s="20"/>
      <c r="AD412" s="20"/>
    </row>
    <row r="413" ht="15.75" customHeight="1">
      <c r="C413" s="21"/>
      <c r="D413" s="21"/>
      <c r="E413" s="21"/>
      <c r="F413" s="22"/>
      <c r="G413" s="22"/>
      <c r="H413" s="22"/>
      <c r="I413" s="22"/>
      <c r="J413" s="22"/>
      <c r="K413" s="22"/>
      <c r="L413" s="22"/>
      <c r="M413" s="22"/>
      <c r="O413" s="20"/>
      <c r="AD413" s="20"/>
    </row>
    <row r="414" ht="15.75" customHeight="1">
      <c r="C414" s="21"/>
      <c r="D414" s="21"/>
      <c r="E414" s="21"/>
      <c r="F414" s="22"/>
      <c r="G414" s="22"/>
      <c r="H414" s="22"/>
      <c r="I414" s="22"/>
      <c r="J414" s="22"/>
      <c r="K414" s="22"/>
      <c r="L414" s="22"/>
      <c r="M414" s="22"/>
      <c r="O414" s="20"/>
      <c r="AD414" s="20"/>
    </row>
    <row r="415" ht="15.75" customHeight="1">
      <c r="C415" s="21"/>
      <c r="D415" s="21"/>
      <c r="E415" s="21"/>
      <c r="F415" s="22"/>
      <c r="G415" s="22"/>
      <c r="H415" s="22"/>
      <c r="I415" s="22"/>
      <c r="J415" s="22"/>
      <c r="K415" s="22"/>
      <c r="L415" s="22"/>
      <c r="M415" s="22"/>
      <c r="O415" s="20"/>
      <c r="AD415" s="20"/>
    </row>
    <row r="416" ht="15.75" customHeight="1">
      <c r="C416" s="21"/>
      <c r="D416" s="21"/>
      <c r="E416" s="21"/>
      <c r="F416" s="22"/>
      <c r="G416" s="22"/>
      <c r="H416" s="22"/>
      <c r="I416" s="22"/>
      <c r="J416" s="22"/>
      <c r="K416" s="22"/>
      <c r="L416" s="22"/>
      <c r="M416" s="22"/>
      <c r="O416" s="20"/>
      <c r="AD416" s="20"/>
    </row>
    <row r="417" ht="15.75" customHeight="1">
      <c r="C417" s="21"/>
      <c r="D417" s="21"/>
      <c r="E417" s="21"/>
      <c r="F417" s="22"/>
      <c r="G417" s="22"/>
      <c r="H417" s="22"/>
      <c r="I417" s="22"/>
      <c r="J417" s="22"/>
      <c r="K417" s="22"/>
      <c r="L417" s="22"/>
      <c r="M417" s="22"/>
      <c r="O417" s="20"/>
      <c r="AD417" s="20"/>
    </row>
    <row r="418" ht="15.75" customHeight="1">
      <c r="C418" s="21"/>
      <c r="D418" s="21"/>
      <c r="E418" s="21"/>
      <c r="F418" s="22"/>
      <c r="G418" s="22"/>
      <c r="H418" s="22"/>
      <c r="I418" s="22"/>
      <c r="J418" s="22"/>
      <c r="K418" s="22"/>
      <c r="L418" s="22"/>
      <c r="M418" s="22"/>
      <c r="O418" s="20"/>
      <c r="AD418" s="20"/>
    </row>
    <row r="419" ht="15.75" customHeight="1">
      <c r="C419" s="21"/>
      <c r="D419" s="21"/>
      <c r="E419" s="21"/>
      <c r="F419" s="22"/>
      <c r="G419" s="22"/>
      <c r="H419" s="22"/>
      <c r="I419" s="22"/>
      <c r="J419" s="22"/>
      <c r="K419" s="22"/>
      <c r="L419" s="22"/>
      <c r="M419" s="22"/>
      <c r="O419" s="20"/>
      <c r="AD419" s="20"/>
    </row>
    <row r="420" ht="15.75" customHeight="1">
      <c r="C420" s="21"/>
      <c r="D420" s="21"/>
      <c r="E420" s="21"/>
      <c r="F420" s="22"/>
      <c r="G420" s="22"/>
      <c r="H420" s="22"/>
      <c r="I420" s="22"/>
      <c r="J420" s="22"/>
      <c r="K420" s="22"/>
      <c r="L420" s="22"/>
      <c r="M420" s="22"/>
      <c r="O420" s="20"/>
      <c r="AD420" s="20"/>
    </row>
    <row r="421" ht="15.75" customHeight="1">
      <c r="C421" s="21"/>
      <c r="D421" s="21"/>
      <c r="E421" s="21"/>
      <c r="F421" s="22"/>
      <c r="G421" s="22"/>
      <c r="H421" s="22"/>
      <c r="I421" s="22"/>
      <c r="J421" s="22"/>
      <c r="K421" s="22"/>
      <c r="L421" s="22"/>
      <c r="M421" s="22"/>
      <c r="O421" s="20"/>
      <c r="AD421" s="20"/>
    </row>
    <row r="422" ht="15.75" customHeight="1">
      <c r="C422" s="21"/>
      <c r="D422" s="21"/>
      <c r="E422" s="21"/>
      <c r="F422" s="22"/>
      <c r="G422" s="22"/>
      <c r="H422" s="22"/>
      <c r="I422" s="22"/>
      <c r="J422" s="22"/>
      <c r="K422" s="22"/>
      <c r="L422" s="22"/>
      <c r="M422" s="22"/>
      <c r="O422" s="20"/>
      <c r="AD422" s="20"/>
    </row>
    <row r="423" ht="15.75" customHeight="1">
      <c r="C423" s="21"/>
      <c r="D423" s="21"/>
      <c r="E423" s="21"/>
      <c r="F423" s="22"/>
      <c r="G423" s="22"/>
      <c r="H423" s="22"/>
      <c r="I423" s="22"/>
      <c r="J423" s="22"/>
      <c r="K423" s="22"/>
      <c r="L423" s="22"/>
      <c r="M423" s="22"/>
      <c r="O423" s="20"/>
      <c r="AD423" s="20"/>
    </row>
    <row r="424" ht="15.75" customHeight="1">
      <c r="C424" s="21"/>
      <c r="D424" s="21"/>
      <c r="E424" s="21"/>
      <c r="F424" s="22"/>
      <c r="G424" s="22"/>
      <c r="H424" s="22"/>
      <c r="I424" s="22"/>
      <c r="J424" s="22"/>
      <c r="K424" s="22"/>
      <c r="L424" s="22"/>
      <c r="M424" s="22"/>
      <c r="O424" s="20"/>
      <c r="AD424" s="20"/>
    </row>
    <row r="425" ht="15.75" customHeight="1">
      <c r="C425" s="21"/>
      <c r="D425" s="21"/>
      <c r="E425" s="21"/>
      <c r="F425" s="22"/>
      <c r="G425" s="22"/>
      <c r="H425" s="22"/>
      <c r="I425" s="22"/>
      <c r="J425" s="22"/>
      <c r="K425" s="22"/>
      <c r="L425" s="22"/>
      <c r="M425" s="22"/>
      <c r="O425" s="20"/>
      <c r="AD425" s="20"/>
    </row>
    <row r="426" ht="15.75" customHeight="1">
      <c r="C426" s="21"/>
      <c r="D426" s="21"/>
      <c r="E426" s="21"/>
      <c r="F426" s="22"/>
      <c r="G426" s="22"/>
      <c r="H426" s="22"/>
      <c r="I426" s="22"/>
      <c r="J426" s="22"/>
      <c r="K426" s="22"/>
      <c r="L426" s="22"/>
      <c r="M426" s="22"/>
      <c r="O426" s="20"/>
      <c r="AD426" s="20"/>
    </row>
    <row r="427" ht="15.75" customHeight="1">
      <c r="C427" s="21"/>
      <c r="D427" s="21"/>
      <c r="E427" s="21"/>
      <c r="F427" s="22"/>
      <c r="G427" s="22"/>
      <c r="H427" s="22"/>
      <c r="I427" s="22"/>
      <c r="J427" s="22"/>
      <c r="K427" s="22"/>
      <c r="L427" s="22"/>
      <c r="M427" s="22"/>
      <c r="O427" s="20"/>
      <c r="AD427" s="20"/>
    </row>
    <row r="428" ht="15.75" customHeight="1">
      <c r="C428" s="21"/>
      <c r="D428" s="21"/>
      <c r="E428" s="21"/>
      <c r="F428" s="22"/>
      <c r="G428" s="22"/>
      <c r="H428" s="22"/>
      <c r="I428" s="22"/>
      <c r="J428" s="22"/>
      <c r="K428" s="22"/>
      <c r="L428" s="22"/>
      <c r="M428" s="22"/>
      <c r="O428" s="20"/>
      <c r="AD428" s="20"/>
    </row>
    <row r="429" ht="15.75" customHeight="1">
      <c r="C429" s="21"/>
      <c r="D429" s="21"/>
      <c r="E429" s="21"/>
      <c r="F429" s="22"/>
      <c r="G429" s="22"/>
      <c r="H429" s="22"/>
      <c r="I429" s="22"/>
      <c r="J429" s="22"/>
      <c r="K429" s="22"/>
      <c r="L429" s="22"/>
      <c r="M429" s="22"/>
      <c r="O429" s="20"/>
      <c r="AD429" s="20"/>
    </row>
    <row r="430" ht="15.75" customHeight="1">
      <c r="C430" s="21"/>
      <c r="D430" s="21"/>
      <c r="E430" s="21"/>
      <c r="F430" s="22"/>
      <c r="G430" s="22"/>
      <c r="H430" s="22"/>
      <c r="I430" s="22"/>
      <c r="J430" s="22"/>
      <c r="K430" s="22"/>
      <c r="L430" s="22"/>
      <c r="M430" s="22"/>
      <c r="O430" s="20"/>
      <c r="AD430" s="20"/>
    </row>
    <row r="431" ht="15.75" customHeight="1">
      <c r="C431" s="21"/>
      <c r="D431" s="21"/>
      <c r="E431" s="21"/>
      <c r="F431" s="22"/>
      <c r="G431" s="22"/>
      <c r="H431" s="22"/>
      <c r="I431" s="22"/>
      <c r="J431" s="22"/>
      <c r="K431" s="22"/>
      <c r="L431" s="22"/>
      <c r="M431" s="22"/>
      <c r="O431" s="20"/>
      <c r="AD431" s="20"/>
    </row>
    <row r="432" ht="15.75" customHeight="1">
      <c r="C432" s="21"/>
      <c r="D432" s="21"/>
      <c r="E432" s="21"/>
      <c r="F432" s="22"/>
      <c r="G432" s="22"/>
      <c r="H432" s="22"/>
      <c r="I432" s="22"/>
      <c r="J432" s="22"/>
      <c r="K432" s="22"/>
      <c r="L432" s="22"/>
      <c r="M432" s="22"/>
      <c r="O432" s="20"/>
      <c r="AD432" s="20"/>
    </row>
    <row r="433" ht="15.75" customHeight="1">
      <c r="C433" s="21"/>
      <c r="D433" s="21"/>
      <c r="E433" s="21"/>
      <c r="F433" s="22"/>
      <c r="G433" s="22"/>
      <c r="H433" s="22"/>
      <c r="I433" s="22"/>
      <c r="J433" s="22"/>
      <c r="K433" s="22"/>
      <c r="L433" s="22"/>
      <c r="M433" s="22"/>
      <c r="O433" s="20"/>
      <c r="AD433" s="20"/>
    </row>
    <row r="434" ht="15.75" customHeight="1">
      <c r="C434" s="21"/>
      <c r="D434" s="21"/>
      <c r="E434" s="21"/>
      <c r="F434" s="22"/>
      <c r="G434" s="22"/>
      <c r="H434" s="22"/>
      <c r="I434" s="22"/>
      <c r="J434" s="22"/>
      <c r="K434" s="22"/>
      <c r="L434" s="22"/>
      <c r="M434" s="22"/>
      <c r="O434" s="20"/>
      <c r="AD434" s="20"/>
    </row>
    <row r="435" ht="15.75" customHeight="1">
      <c r="C435" s="21"/>
      <c r="D435" s="21"/>
      <c r="E435" s="21"/>
      <c r="F435" s="22"/>
      <c r="G435" s="22"/>
      <c r="H435" s="22"/>
      <c r="I435" s="22"/>
      <c r="J435" s="22"/>
      <c r="K435" s="22"/>
      <c r="L435" s="22"/>
      <c r="M435" s="22"/>
      <c r="O435" s="20"/>
      <c r="AD435" s="20"/>
    </row>
    <row r="436" ht="15.75" customHeight="1">
      <c r="C436" s="21"/>
      <c r="D436" s="21"/>
      <c r="E436" s="21"/>
      <c r="F436" s="22"/>
      <c r="G436" s="22"/>
      <c r="H436" s="22"/>
      <c r="I436" s="22"/>
      <c r="J436" s="22"/>
      <c r="K436" s="22"/>
      <c r="L436" s="22"/>
      <c r="M436" s="22"/>
      <c r="O436" s="20"/>
      <c r="AD436" s="20"/>
    </row>
    <row r="437" ht="15.75" customHeight="1">
      <c r="C437" s="21"/>
      <c r="D437" s="21"/>
      <c r="E437" s="21"/>
      <c r="F437" s="22"/>
      <c r="G437" s="22"/>
      <c r="H437" s="22"/>
      <c r="I437" s="22"/>
      <c r="J437" s="22"/>
      <c r="K437" s="22"/>
      <c r="L437" s="22"/>
      <c r="M437" s="22"/>
      <c r="O437" s="20"/>
      <c r="AD437" s="20"/>
    </row>
    <row r="438" ht="15.75" customHeight="1">
      <c r="C438" s="21"/>
      <c r="D438" s="21"/>
      <c r="E438" s="21"/>
      <c r="F438" s="22"/>
      <c r="G438" s="22"/>
      <c r="H438" s="22"/>
      <c r="I438" s="22"/>
      <c r="J438" s="22"/>
      <c r="K438" s="22"/>
      <c r="L438" s="22"/>
      <c r="M438" s="22"/>
      <c r="O438" s="20"/>
      <c r="AD438" s="20"/>
    </row>
    <row r="439" ht="15.75" customHeight="1">
      <c r="C439" s="21"/>
      <c r="D439" s="21"/>
      <c r="E439" s="21"/>
      <c r="F439" s="22"/>
      <c r="G439" s="22"/>
      <c r="H439" s="22"/>
      <c r="I439" s="22"/>
      <c r="J439" s="22"/>
      <c r="K439" s="22"/>
      <c r="L439" s="22"/>
      <c r="M439" s="22"/>
      <c r="O439" s="20"/>
      <c r="AD439" s="20"/>
    </row>
    <row r="440" ht="15.75" customHeight="1">
      <c r="C440" s="21"/>
      <c r="D440" s="21"/>
      <c r="E440" s="21"/>
      <c r="F440" s="22"/>
      <c r="G440" s="22"/>
      <c r="H440" s="22"/>
      <c r="I440" s="22"/>
      <c r="J440" s="22"/>
      <c r="K440" s="22"/>
      <c r="L440" s="22"/>
      <c r="M440" s="22"/>
      <c r="O440" s="20"/>
      <c r="AD440" s="20"/>
    </row>
    <row r="441" ht="15.75" customHeight="1">
      <c r="C441" s="21"/>
      <c r="D441" s="21"/>
      <c r="E441" s="21"/>
      <c r="F441" s="22"/>
      <c r="G441" s="22"/>
      <c r="H441" s="22"/>
      <c r="I441" s="22"/>
      <c r="J441" s="22"/>
      <c r="K441" s="22"/>
      <c r="L441" s="22"/>
      <c r="M441" s="22"/>
      <c r="O441" s="20"/>
      <c r="AD441" s="20"/>
    </row>
    <row r="442" ht="15.75" customHeight="1">
      <c r="C442" s="21"/>
      <c r="D442" s="21"/>
      <c r="E442" s="21"/>
      <c r="F442" s="22"/>
      <c r="G442" s="22"/>
      <c r="H442" s="22"/>
      <c r="I442" s="22"/>
      <c r="J442" s="22"/>
      <c r="K442" s="22"/>
      <c r="L442" s="22"/>
      <c r="M442" s="22"/>
      <c r="O442" s="20"/>
      <c r="AD442" s="20"/>
    </row>
    <row r="443" ht="15.75" customHeight="1">
      <c r="C443" s="21"/>
      <c r="D443" s="21"/>
      <c r="E443" s="21"/>
      <c r="F443" s="22"/>
      <c r="G443" s="22"/>
      <c r="H443" s="22"/>
      <c r="I443" s="22"/>
      <c r="J443" s="22"/>
      <c r="K443" s="22"/>
      <c r="L443" s="22"/>
      <c r="M443" s="22"/>
      <c r="O443" s="20"/>
      <c r="AD443" s="20"/>
    </row>
    <row r="444" ht="15.75" customHeight="1">
      <c r="C444" s="21"/>
      <c r="D444" s="21"/>
      <c r="E444" s="21"/>
      <c r="F444" s="22"/>
      <c r="G444" s="22"/>
      <c r="H444" s="22"/>
      <c r="I444" s="22"/>
      <c r="J444" s="22"/>
      <c r="K444" s="22"/>
      <c r="L444" s="22"/>
      <c r="M444" s="22"/>
      <c r="O444" s="20"/>
      <c r="AD444" s="20"/>
    </row>
    <row r="445" ht="15.75" customHeight="1">
      <c r="C445" s="21"/>
      <c r="D445" s="21"/>
      <c r="E445" s="21"/>
      <c r="F445" s="22"/>
      <c r="G445" s="22"/>
      <c r="H445" s="22"/>
      <c r="I445" s="22"/>
      <c r="J445" s="22"/>
      <c r="K445" s="22"/>
      <c r="L445" s="22"/>
      <c r="M445" s="22"/>
      <c r="O445" s="20"/>
      <c r="AD445" s="20"/>
    </row>
    <row r="446" ht="15.75" customHeight="1">
      <c r="C446" s="21"/>
      <c r="D446" s="21"/>
      <c r="E446" s="21"/>
      <c r="F446" s="22"/>
      <c r="G446" s="22"/>
      <c r="H446" s="22"/>
      <c r="I446" s="22"/>
      <c r="J446" s="22"/>
      <c r="K446" s="22"/>
      <c r="L446" s="22"/>
      <c r="M446" s="22"/>
      <c r="O446" s="20"/>
      <c r="AD446" s="20"/>
    </row>
    <row r="447" ht="15.75" customHeight="1">
      <c r="C447" s="21"/>
      <c r="D447" s="21"/>
      <c r="E447" s="21"/>
      <c r="F447" s="22"/>
      <c r="G447" s="22"/>
      <c r="H447" s="22"/>
      <c r="I447" s="22"/>
      <c r="J447" s="22"/>
      <c r="K447" s="22"/>
      <c r="L447" s="22"/>
      <c r="M447" s="22"/>
      <c r="O447" s="20"/>
      <c r="AD447" s="20"/>
    </row>
    <row r="448" ht="15.75" customHeight="1">
      <c r="C448" s="21"/>
      <c r="D448" s="21"/>
      <c r="E448" s="21"/>
      <c r="F448" s="22"/>
      <c r="G448" s="22"/>
      <c r="H448" s="22"/>
      <c r="I448" s="22"/>
      <c r="J448" s="22"/>
      <c r="K448" s="22"/>
      <c r="L448" s="22"/>
      <c r="M448" s="22"/>
      <c r="O448" s="20"/>
      <c r="AD448" s="20"/>
    </row>
    <row r="449" ht="15.75" customHeight="1">
      <c r="C449" s="21"/>
      <c r="D449" s="21"/>
      <c r="E449" s="21"/>
      <c r="F449" s="22"/>
      <c r="G449" s="22"/>
      <c r="H449" s="22"/>
      <c r="I449" s="22"/>
      <c r="J449" s="22"/>
      <c r="K449" s="22"/>
      <c r="L449" s="22"/>
      <c r="M449" s="22"/>
      <c r="O449" s="20"/>
      <c r="AD449" s="20"/>
    </row>
    <row r="450" ht="15.75" customHeight="1">
      <c r="C450" s="21"/>
      <c r="D450" s="21"/>
      <c r="E450" s="21"/>
      <c r="F450" s="22"/>
      <c r="G450" s="22"/>
      <c r="H450" s="22"/>
      <c r="I450" s="22"/>
      <c r="J450" s="22"/>
      <c r="K450" s="22"/>
      <c r="L450" s="22"/>
      <c r="M450" s="22"/>
      <c r="O450" s="20"/>
      <c r="AD450" s="20"/>
    </row>
    <row r="451" ht="15.75" customHeight="1">
      <c r="C451" s="21"/>
      <c r="D451" s="21"/>
      <c r="E451" s="21"/>
      <c r="F451" s="22"/>
      <c r="G451" s="22"/>
      <c r="H451" s="22"/>
      <c r="I451" s="22"/>
      <c r="J451" s="22"/>
      <c r="K451" s="22"/>
      <c r="L451" s="22"/>
      <c r="M451" s="22"/>
      <c r="O451" s="20"/>
      <c r="AD451" s="20"/>
    </row>
    <row r="452" ht="15.75" customHeight="1">
      <c r="C452" s="21"/>
      <c r="D452" s="21"/>
      <c r="E452" s="21"/>
      <c r="F452" s="22"/>
      <c r="G452" s="22"/>
      <c r="H452" s="22"/>
      <c r="I452" s="22"/>
      <c r="J452" s="22"/>
      <c r="K452" s="22"/>
      <c r="L452" s="22"/>
      <c r="M452" s="22"/>
      <c r="O452" s="20"/>
      <c r="AD452" s="20"/>
    </row>
    <row r="453" ht="15.75" customHeight="1">
      <c r="C453" s="21"/>
      <c r="D453" s="21"/>
      <c r="E453" s="21"/>
      <c r="F453" s="22"/>
      <c r="G453" s="22"/>
      <c r="H453" s="22"/>
      <c r="I453" s="22"/>
      <c r="J453" s="22"/>
      <c r="K453" s="22"/>
      <c r="L453" s="22"/>
      <c r="M453" s="22"/>
      <c r="O453" s="20"/>
      <c r="AD453" s="20"/>
    </row>
    <row r="454" ht="15.75" customHeight="1">
      <c r="C454" s="21"/>
      <c r="D454" s="21"/>
      <c r="E454" s="21"/>
      <c r="F454" s="22"/>
      <c r="G454" s="22"/>
      <c r="H454" s="22"/>
      <c r="I454" s="22"/>
      <c r="J454" s="22"/>
      <c r="K454" s="22"/>
      <c r="L454" s="22"/>
      <c r="M454" s="22"/>
      <c r="O454" s="20"/>
      <c r="AD454" s="20"/>
    </row>
    <row r="455" ht="15.75" customHeight="1">
      <c r="C455" s="21"/>
      <c r="D455" s="21"/>
      <c r="E455" s="21"/>
      <c r="F455" s="22"/>
      <c r="G455" s="22"/>
      <c r="H455" s="22"/>
      <c r="I455" s="22"/>
      <c r="J455" s="22"/>
      <c r="K455" s="22"/>
      <c r="L455" s="22"/>
      <c r="M455" s="22"/>
      <c r="O455" s="20"/>
      <c r="AD455" s="20"/>
    </row>
    <row r="456" ht="15.75" customHeight="1">
      <c r="C456" s="21"/>
      <c r="D456" s="21"/>
      <c r="E456" s="21"/>
      <c r="F456" s="22"/>
      <c r="G456" s="22"/>
      <c r="H456" s="22"/>
      <c r="I456" s="22"/>
      <c r="J456" s="22"/>
      <c r="K456" s="22"/>
      <c r="L456" s="22"/>
      <c r="M456" s="22"/>
      <c r="O456" s="20"/>
      <c r="AD456" s="20"/>
    </row>
    <row r="457" ht="15.75" customHeight="1">
      <c r="C457" s="21"/>
      <c r="D457" s="21"/>
      <c r="E457" s="21"/>
      <c r="F457" s="22"/>
      <c r="G457" s="22"/>
      <c r="H457" s="22"/>
      <c r="I457" s="22"/>
      <c r="J457" s="22"/>
      <c r="K457" s="22"/>
      <c r="L457" s="22"/>
      <c r="M457" s="22"/>
      <c r="O457" s="20"/>
      <c r="AD457" s="20"/>
    </row>
    <row r="458" ht="15.75" customHeight="1">
      <c r="C458" s="21"/>
      <c r="D458" s="21"/>
      <c r="E458" s="21"/>
      <c r="F458" s="22"/>
      <c r="G458" s="22"/>
      <c r="H458" s="22"/>
      <c r="I458" s="22"/>
      <c r="J458" s="22"/>
      <c r="K458" s="22"/>
      <c r="L458" s="22"/>
      <c r="M458" s="22"/>
      <c r="O458" s="20"/>
      <c r="AD458" s="20"/>
    </row>
    <row r="459" ht="15.75" customHeight="1">
      <c r="C459" s="21"/>
      <c r="D459" s="21"/>
      <c r="E459" s="21"/>
      <c r="F459" s="22"/>
      <c r="G459" s="22"/>
      <c r="H459" s="22"/>
      <c r="I459" s="22"/>
      <c r="J459" s="22"/>
      <c r="K459" s="22"/>
      <c r="L459" s="22"/>
      <c r="M459" s="22"/>
      <c r="O459" s="20"/>
      <c r="AD459" s="20"/>
    </row>
    <row r="460" ht="15.75" customHeight="1">
      <c r="C460" s="21"/>
      <c r="D460" s="21"/>
      <c r="E460" s="21"/>
      <c r="F460" s="22"/>
      <c r="G460" s="22"/>
      <c r="H460" s="22"/>
      <c r="I460" s="22"/>
      <c r="J460" s="22"/>
      <c r="K460" s="22"/>
      <c r="L460" s="22"/>
      <c r="M460" s="22"/>
      <c r="O460" s="20"/>
      <c r="AD460" s="20"/>
    </row>
    <row r="461" ht="15.75" customHeight="1">
      <c r="C461" s="21"/>
      <c r="D461" s="21"/>
      <c r="E461" s="21"/>
      <c r="F461" s="22"/>
      <c r="G461" s="22"/>
      <c r="H461" s="22"/>
      <c r="I461" s="22"/>
      <c r="J461" s="22"/>
      <c r="K461" s="22"/>
      <c r="L461" s="22"/>
      <c r="M461" s="22"/>
      <c r="O461" s="20"/>
      <c r="AD461" s="20"/>
    </row>
    <row r="462" ht="15.75" customHeight="1">
      <c r="C462" s="21"/>
      <c r="D462" s="21"/>
      <c r="E462" s="21"/>
      <c r="F462" s="22"/>
      <c r="G462" s="22"/>
      <c r="H462" s="22"/>
      <c r="I462" s="22"/>
      <c r="J462" s="22"/>
      <c r="K462" s="22"/>
      <c r="L462" s="22"/>
      <c r="M462" s="22"/>
      <c r="O462" s="20"/>
      <c r="AD462" s="20"/>
    </row>
    <row r="463" ht="15.75" customHeight="1">
      <c r="C463" s="21"/>
      <c r="D463" s="21"/>
      <c r="E463" s="21"/>
      <c r="F463" s="22"/>
      <c r="G463" s="22"/>
      <c r="H463" s="22"/>
      <c r="I463" s="22"/>
      <c r="J463" s="22"/>
      <c r="K463" s="22"/>
      <c r="L463" s="22"/>
      <c r="M463" s="22"/>
      <c r="O463" s="20"/>
      <c r="AD463" s="20"/>
    </row>
    <row r="464" ht="15.75" customHeight="1">
      <c r="C464" s="21"/>
      <c r="D464" s="21"/>
      <c r="E464" s="21"/>
      <c r="F464" s="22"/>
      <c r="G464" s="22"/>
      <c r="H464" s="22"/>
      <c r="I464" s="22"/>
      <c r="J464" s="22"/>
      <c r="K464" s="22"/>
      <c r="L464" s="22"/>
      <c r="M464" s="22"/>
      <c r="O464" s="20"/>
      <c r="AD464" s="20"/>
    </row>
    <row r="465" ht="15.75" customHeight="1">
      <c r="C465" s="21"/>
      <c r="D465" s="21"/>
      <c r="E465" s="21"/>
      <c r="F465" s="22"/>
      <c r="G465" s="22"/>
      <c r="H465" s="22"/>
      <c r="I465" s="22"/>
      <c r="J465" s="22"/>
      <c r="K465" s="22"/>
      <c r="L465" s="22"/>
      <c r="M465" s="22"/>
      <c r="O465" s="20"/>
      <c r="AD465" s="20"/>
    </row>
    <row r="466" ht="15.75" customHeight="1">
      <c r="C466" s="21"/>
      <c r="D466" s="21"/>
      <c r="E466" s="21"/>
      <c r="F466" s="22"/>
      <c r="G466" s="22"/>
      <c r="H466" s="22"/>
      <c r="I466" s="22"/>
      <c r="J466" s="22"/>
      <c r="K466" s="22"/>
      <c r="L466" s="22"/>
      <c r="M466" s="22"/>
      <c r="O466" s="20"/>
      <c r="AD466" s="20"/>
    </row>
    <row r="467" ht="15.75" customHeight="1">
      <c r="C467" s="21"/>
      <c r="D467" s="21"/>
      <c r="E467" s="21"/>
      <c r="F467" s="22"/>
      <c r="G467" s="22"/>
      <c r="H467" s="22"/>
      <c r="I467" s="22"/>
      <c r="J467" s="22"/>
      <c r="K467" s="22"/>
      <c r="L467" s="22"/>
      <c r="M467" s="22"/>
      <c r="O467" s="20"/>
      <c r="AD467" s="20"/>
    </row>
    <row r="468" ht="15.75" customHeight="1">
      <c r="C468" s="21"/>
      <c r="D468" s="21"/>
      <c r="E468" s="21"/>
      <c r="F468" s="22"/>
      <c r="G468" s="22"/>
      <c r="H468" s="22"/>
      <c r="I468" s="22"/>
      <c r="J468" s="22"/>
      <c r="K468" s="22"/>
      <c r="L468" s="22"/>
      <c r="M468" s="22"/>
      <c r="O468" s="20"/>
      <c r="AD468" s="20"/>
    </row>
    <row r="469" ht="15.75" customHeight="1">
      <c r="C469" s="21"/>
      <c r="D469" s="21"/>
      <c r="E469" s="21"/>
      <c r="F469" s="22"/>
      <c r="G469" s="22"/>
      <c r="H469" s="22"/>
      <c r="I469" s="22"/>
      <c r="J469" s="22"/>
      <c r="K469" s="22"/>
      <c r="L469" s="22"/>
      <c r="M469" s="22"/>
      <c r="O469" s="20"/>
      <c r="AD469" s="20"/>
    </row>
    <row r="470" ht="15.75" customHeight="1">
      <c r="C470" s="21"/>
      <c r="D470" s="21"/>
      <c r="E470" s="21"/>
      <c r="F470" s="22"/>
      <c r="G470" s="22"/>
      <c r="H470" s="22"/>
      <c r="I470" s="22"/>
      <c r="J470" s="22"/>
      <c r="K470" s="22"/>
      <c r="L470" s="22"/>
      <c r="M470" s="22"/>
      <c r="O470" s="20"/>
      <c r="AD470" s="20"/>
    </row>
    <row r="471" ht="15.75" customHeight="1">
      <c r="C471" s="21"/>
      <c r="D471" s="21"/>
      <c r="E471" s="21"/>
      <c r="F471" s="22"/>
      <c r="G471" s="22"/>
      <c r="H471" s="22"/>
      <c r="I471" s="22"/>
      <c r="J471" s="22"/>
      <c r="K471" s="22"/>
      <c r="L471" s="22"/>
      <c r="M471" s="22"/>
      <c r="O471" s="20"/>
      <c r="AD471" s="20"/>
    </row>
    <row r="472" ht="15.75" customHeight="1">
      <c r="C472" s="21"/>
      <c r="D472" s="21"/>
      <c r="E472" s="21"/>
      <c r="F472" s="22"/>
      <c r="G472" s="22"/>
      <c r="H472" s="22"/>
      <c r="I472" s="22"/>
      <c r="J472" s="22"/>
      <c r="K472" s="22"/>
      <c r="L472" s="22"/>
      <c r="M472" s="22"/>
      <c r="O472" s="20"/>
      <c r="AD472" s="20"/>
    </row>
    <row r="473" ht="15.75" customHeight="1">
      <c r="C473" s="21"/>
      <c r="D473" s="21"/>
      <c r="E473" s="21"/>
      <c r="F473" s="22"/>
      <c r="G473" s="22"/>
      <c r="H473" s="22"/>
      <c r="I473" s="22"/>
      <c r="J473" s="22"/>
      <c r="K473" s="22"/>
      <c r="L473" s="22"/>
      <c r="M473" s="22"/>
      <c r="O473" s="20"/>
      <c r="AD473" s="20"/>
    </row>
    <row r="474" ht="15.75" customHeight="1">
      <c r="C474" s="21"/>
      <c r="D474" s="21"/>
      <c r="E474" s="21"/>
      <c r="F474" s="22"/>
      <c r="G474" s="22"/>
      <c r="H474" s="22"/>
      <c r="I474" s="22"/>
      <c r="J474" s="22"/>
      <c r="K474" s="22"/>
      <c r="L474" s="22"/>
      <c r="M474" s="22"/>
      <c r="O474" s="20"/>
      <c r="AD474" s="20"/>
    </row>
    <row r="475" ht="15.75" customHeight="1">
      <c r="C475" s="21"/>
      <c r="D475" s="21"/>
      <c r="E475" s="21"/>
      <c r="F475" s="22"/>
      <c r="G475" s="22"/>
      <c r="H475" s="22"/>
      <c r="I475" s="22"/>
      <c r="J475" s="22"/>
      <c r="K475" s="22"/>
      <c r="L475" s="22"/>
      <c r="M475" s="22"/>
      <c r="O475" s="20"/>
      <c r="AD475" s="20"/>
    </row>
    <row r="476" ht="15.75" customHeight="1">
      <c r="C476" s="21"/>
      <c r="D476" s="21"/>
      <c r="E476" s="21"/>
      <c r="F476" s="22"/>
      <c r="G476" s="22"/>
      <c r="H476" s="22"/>
      <c r="I476" s="22"/>
      <c r="J476" s="22"/>
      <c r="K476" s="22"/>
      <c r="L476" s="22"/>
      <c r="M476" s="22"/>
      <c r="O476" s="20"/>
      <c r="AD476" s="20"/>
    </row>
    <row r="477" ht="15.75" customHeight="1">
      <c r="C477" s="21"/>
      <c r="D477" s="21"/>
      <c r="E477" s="21"/>
      <c r="F477" s="22"/>
      <c r="G477" s="22"/>
      <c r="H477" s="22"/>
      <c r="I477" s="22"/>
      <c r="J477" s="22"/>
      <c r="K477" s="22"/>
      <c r="L477" s="22"/>
      <c r="M477" s="22"/>
      <c r="O477" s="20"/>
      <c r="AD477" s="20"/>
    </row>
    <row r="478" ht="15.75" customHeight="1">
      <c r="C478" s="21"/>
      <c r="D478" s="21"/>
      <c r="E478" s="21"/>
      <c r="F478" s="22"/>
      <c r="G478" s="22"/>
      <c r="H478" s="22"/>
      <c r="I478" s="22"/>
      <c r="J478" s="22"/>
      <c r="K478" s="22"/>
      <c r="L478" s="22"/>
      <c r="M478" s="22"/>
      <c r="O478" s="20"/>
      <c r="AD478" s="20"/>
    </row>
    <row r="479" ht="15.75" customHeight="1">
      <c r="C479" s="21"/>
      <c r="D479" s="21"/>
      <c r="E479" s="21"/>
      <c r="F479" s="22"/>
      <c r="G479" s="22"/>
      <c r="H479" s="22"/>
      <c r="I479" s="22"/>
      <c r="J479" s="22"/>
      <c r="K479" s="22"/>
      <c r="L479" s="22"/>
      <c r="M479" s="22"/>
      <c r="O479" s="20"/>
      <c r="AD479" s="20"/>
    </row>
    <row r="480" ht="15.75" customHeight="1">
      <c r="C480" s="21"/>
      <c r="D480" s="21"/>
      <c r="E480" s="21"/>
      <c r="F480" s="22"/>
      <c r="G480" s="22"/>
      <c r="H480" s="22"/>
      <c r="I480" s="22"/>
      <c r="J480" s="22"/>
      <c r="K480" s="22"/>
      <c r="L480" s="22"/>
      <c r="M480" s="22"/>
      <c r="O480" s="20"/>
      <c r="AD480" s="20"/>
    </row>
    <row r="481" ht="15.75" customHeight="1">
      <c r="C481" s="21"/>
      <c r="D481" s="21"/>
      <c r="E481" s="21"/>
      <c r="F481" s="22"/>
      <c r="G481" s="22"/>
      <c r="H481" s="22"/>
      <c r="I481" s="22"/>
      <c r="J481" s="22"/>
      <c r="K481" s="22"/>
      <c r="L481" s="22"/>
      <c r="M481" s="22"/>
      <c r="O481" s="20"/>
      <c r="AD481" s="20"/>
    </row>
    <row r="482" ht="15.75" customHeight="1">
      <c r="C482" s="21"/>
      <c r="D482" s="21"/>
      <c r="E482" s="21"/>
      <c r="F482" s="22"/>
      <c r="G482" s="22"/>
      <c r="H482" s="22"/>
      <c r="I482" s="22"/>
      <c r="J482" s="22"/>
      <c r="K482" s="22"/>
      <c r="L482" s="22"/>
      <c r="M482" s="22"/>
      <c r="O482" s="20"/>
      <c r="AD482" s="20"/>
    </row>
    <row r="483" ht="15.75" customHeight="1">
      <c r="C483" s="21"/>
      <c r="D483" s="21"/>
      <c r="E483" s="21"/>
      <c r="F483" s="22"/>
      <c r="G483" s="22"/>
      <c r="H483" s="22"/>
      <c r="I483" s="22"/>
      <c r="J483" s="22"/>
      <c r="K483" s="22"/>
      <c r="L483" s="22"/>
      <c r="M483" s="22"/>
      <c r="O483" s="20"/>
      <c r="AD483" s="20"/>
    </row>
    <row r="484" ht="15.75" customHeight="1">
      <c r="C484" s="21"/>
      <c r="D484" s="21"/>
      <c r="E484" s="21"/>
      <c r="F484" s="22"/>
      <c r="G484" s="22"/>
      <c r="H484" s="22"/>
      <c r="I484" s="22"/>
      <c r="J484" s="22"/>
      <c r="K484" s="22"/>
      <c r="L484" s="22"/>
      <c r="M484" s="22"/>
      <c r="O484" s="20"/>
      <c r="AD484" s="20"/>
    </row>
    <row r="485" ht="15.75" customHeight="1">
      <c r="C485" s="21"/>
      <c r="D485" s="21"/>
      <c r="E485" s="21"/>
      <c r="F485" s="22"/>
      <c r="G485" s="22"/>
      <c r="H485" s="22"/>
      <c r="I485" s="22"/>
      <c r="J485" s="22"/>
      <c r="K485" s="22"/>
      <c r="L485" s="22"/>
      <c r="M485" s="22"/>
      <c r="O485" s="20"/>
      <c r="AD485" s="20"/>
    </row>
    <row r="486" ht="15.75" customHeight="1">
      <c r="C486" s="21"/>
      <c r="D486" s="21"/>
      <c r="E486" s="21"/>
      <c r="F486" s="22"/>
      <c r="G486" s="22"/>
      <c r="H486" s="22"/>
      <c r="I486" s="22"/>
      <c r="J486" s="22"/>
      <c r="K486" s="22"/>
      <c r="L486" s="22"/>
      <c r="M486" s="22"/>
      <c r="O486" s="20"/>
      <c r="AD486" s="20"/>
    </row>
    <row r="487" ht="15.75" customHeight="1">
      <c r="C487" s="21"/>
      <c r="D487" s="21"/>
      <c r="E487" s="21"/>
      <c r="F487" s="22"/>
      <c r="G487" s="22"/>
      <c r="H487" s="22"/>
      <c r="I487" s="22"/>
      <c r="J487" s="22"/>
      <c r="K487" s="22"/>
      <c r="L487" s="22"/>
      <c r="M487" s="22"/>
      <c r="O487" s="20"/>
      <c r="AD487" s="20"/>
    </row>
    <row r="488" ht="15.75" customHeight="1">
      <c r="C488" s="21"/>
      <c r="D488" s="21"/>
      <c r="E488" s="21"/>
      <c r="F488" s="22"/>
      <c r="G488" s="22"/>
      <c r="H488" s="22"/>
      <c r="I488" s="22"/>
      <c r="J488" s="22"/>
      <c r="K488" s="22"/>
      <c r="L488" s="22"/>
      <c r="M488" s="22"/>
      <c r="O488" s="20"/>
      <c r="AD488" s="20"/>
    </row>
    <row r="489" ht="15.75" customHeight="1">
      <c r="C489" s="21"/>
      <c r="D489" s="21"/>
      <c r="E489" s="21"/>
      <c r="F489" s="22"/>
      <c r="G489" s="22"/>
      <c r="H489" s="22"/>
      <c r="I489" s="22"/>
      <c r="J489" s="22"/>
      <c r="K489" s="22"/>
      <c r="L489" s="22"/>
      <c r="M489" s="22"/>
      <c r="O489" s="20"/>
      <c r="AD489" s="20"/>
    </row>
    <row r="490" ht="15.75" customHeight="1">
      <c r="C490" s="21"/>
      <c r="D490" s="21"/>
      <c r="E490" s="21"/>
      <c r="F490" s="22"/>
      <c r="G490" s="22"/>
      <c r="H490" s="22"/>
      <c r="I490" s="22"/>
      <c r="J490" s="22"/>
      <c r="K490" s="22"/>
      <c r="L490" s="22"/>
      <c r="M490" s="22"/>
      <c r="O490" s="20"/>
      <c r="AD490" s="20"/>
    </row>
    <row r="491" ht="15.75" customHeight="1">
      <c r="C491" s="21"/>
      <c r="D491" s="21"/>
      <c r="E491" s="21"/>
      <c r="F491" s="22"/>
      <c r="G491" s="22"/>
      <c r="H491" s="22"/>
      <c r="I491" s="22"/>
      <c r="J491" s="22"/>
      <c r="K491" s="22"/>
      <c r="L491" s="22"/>
      <c r="M491" s="22"/>
      <c r="O491" s="20"/>
      <c r="AD491" s="20"/>
    </row>
    <row r="492" ht="15.75" customHeight="1">
      <c r="C492" s="21"/>
      <c r="D492" s="21"/>
      <c r="E492" s="21"/>
      <c r="F492" s="22"/>
      <c r="G492" s="22"/>
      <c r="H492" s="22"/>
      <c r="I492" s="22"/>
      <c r="J492" s="22"/>
      <c r="K492" s="22"/>
      <c r="L492" s="22"/>
      <c r="M492" s="22"/>
      <c r="O492" s="20"/>
      <c r="AD492" s="20"/>
    </row>
    <row r="493" ht="15.75" customHeight="1">
      <c r="C493" s="21"/>
      <c r="D493" s="21"/>
      <c r="E493" s="21"/>
      <c r="F493" s="22"/>
      <c r="G493" s="22"/>
      <c r="H493" s="22"/>
      <c r="I493" s="22"/>
      <c r="J493" s="22"/>
      <c r="K493" s="22"/>
      <c r="L493" s="22"/>
      <c r="M493" s="22"/>
      <c r="O493" s="20"/>
      <c r="AD493" s="20"/>
    </row>
    <row r="494" ht="15.75" customHeight="1">
      <c r="C494" s="21"/>
      <c r="D494" s="21"/>
      <c r="E494" s="21"/>
      <c r="F494" s="22"/>
      <c r="G494" s="22"/>
      <c r="H494" s="22"/>
      <c r="I494" s="22"/>
      <c r="J494" s="22"/>
      <c r="K494" s="22"/>
      <c r="L494" s="22"/>
      <c r="M494" s="22"/>
      <c r="O494" s="20"/>
      <c r="AD494" s="20"/>
    </row>
    <row r="495" ht="15.75" customHeight="1">
      <c r="C495" s="21"/>
      <c r="D495" s="21"/>
      <c r="E495" s="21"/>
      <c r="F495" s="22"/>
      <c r="G495" s="22"/>
      <c r="H495" s="22"/>
      <c r="I495" s="22"/>
      <c r="J495" s="22"/>
      <c r="K495" s="22"/>
      <c r="L495" s="22"/>
      <c r="M495" s="22"/>
      <c r="O495" s="20"/>
      <c r="AD495" s="20"/>
    </row>
    <row r="496" ht="15.75" customHeight="1">
      <c r="C496" s="21"/>
      <c r="D496" s="21"/>
      <c r="E496" s="21"/>
      <c r="F496" s="22"/>
      <c r="G496" s="22"/>
      <c r="H496" s="22"/>
      <c r="I496" s="22"/>
      <c r="J496" s="22"/>
      <c r="K496" s="22"/>
      <c r="L496" s="22"/>
      <c r="M496" s="22"/>
      <c r="O496" s="20"/>
      <c r="AD496" s="20"/>
    </row>
    <row r="497" ht="15.75" customHeight="1">
      <c r="C497" s="21"/>
      <c r="D497" s="21"/>
      <c r="E497" s="21"/>
      <c r="F497" s="22"/>
      <c r="G497" s="22"/>
      <c r="H497" s="22"/>
      <c r="I497" s="22"/>
      <c r="J497" s="22"/>
      <c r="K497" s="22"/>
      <c r="L497" s="22"/>
      <c r="M497" s="22"/>
      <c r="O497" s="20"/>
      <c r="AD497" s="20"/>
    </row>
    <row r="498" ht="15.75" customHeight="1">
      <c r="C498" s="21"/>
      <c r="D498" s="21"/>
      <c r="E498" s="21"/>
      <c r="F498" s="22"/>
      <c r="G498" s="22"/>
      <c r="H498" s="22"/>
      <c r="I498" s="22"/>
      <c r="J498" s="22"/>
      <c r="K498" s="22"/>
      <c r="L498" s="22"/>
      <c r="M498" s="22"/>
      <c r="O498" s="20"/>
      <c r="AD498" s="20"/>
    </row>
    <row r="499" ht="15.75" customHeight="1">
      <c r="C499" s="21"/>
      <c r="D499" s="21"/>
      <c r="E499" s="21"/>
      <c r="F499" s="22"/>
      <c r="G499" s="22"/>
      <c r="H499" s="22"/>
      <c r="I499" s="22"/>
      <c r="J499" s="22"/>
      <c r="K499" s="22"/>
      <c r="L499" s="22"/>
      <c r="M499" s="22"/>
      <c r="O499" s="20"/>
      <c r="AD499" s="20"/>
    </row>
    <row r="500" ht="15.75" customHeight="1">
      <c r="C500" s="21"/>
      <c r="D500" s="21"/>
      <c r="E500" s="21"/>
      <c r="F500" s="22"/>
      <c r="G500" s="22"/>
      <c r="H500" s="22"/>
      <c r="I500" s="22"/>
      <c r="J500" s="22"/>
      <c r="K500" s="22"/>
      <c r="L500" s="22"/>
      <c r="M500" s="22"/>
      <c r="O500" s="20"/>
      <c r="AD500" s="20"/>
    </row>
    <row r="501" ht="15.75" customHeight="1">
      <c r="C501" s="21"/>
      <c r="D501" s="21"/>
      <c r="E501" s="21"/>
      <c r="F501" s="22"/>
      <c r="G501" s="22"/>
      <c r="H501" s="22"/>
      <c r="I501" s="22"/>
      <c r="J501" s="22"/>
      <c r="K501" s="22"/>
      <c r="L501" s="22"/>
      <c r="M501" s="22"/>
      <c r="O501" s="20"/>
      <c r="AD501" s="20"/>
    </row>
    <row r="502" ht="15.75" customHeight="1">
      <c r="C502" s="21"/>
      <c r="D502" s="21"/>
      <c r="E502" s="21"/>
      <c r="F502" s="22"/>
      <c r="G502" s="22"/>
      <c r="H502" s="22"/>
      <c r="I502" s="22"/>
      <c r="J502" s="22"/>
      <c r="K502" s="22"/>
      <c r="L502" s="22"/>
      <c r="M502" s="22"/>
      <c r="O502" s="20"/>
      <c r="AD502" s="20"/>
    </row>
    <row r="503" ht="15.75" customHeight="1">
      <c r="C503" s="21"/>
      <c r="D503" s="21"/>
      <c r="E503" s="21"/>
      <c r="F503" s="22"/>
      <c r="G503" s="22"/>
      <c r="H503" s="22"/>
      <c r="I503" s="22"/>
      <c r="J503" s="22"/>
      <c r="K503" s="22"/>
      <c r="L503" s="22"/>
      <c r="M503" s="22"/>
      <c r="O503" s="20"/>
      <c r="AD503" s="20"/>
    </row>
    <row r="504" ht="15.75" customHeight="1">
      <c r="C504" s="21"/>
      <c r="D504" s="21"/>
      <c r="E504" s="21"/>
      <c r="F504" s="22"/>
      <c r="G504" s="22"/>
      <c r="H504" s="22"/>
      <c r="I504" s="22"/>
      <c r="J504" s="22"/>
      <c r="K504" s="22"/>
      <c r="L504" s="22"/>
      <c r="M504" s="22"/>
      <c r="O504" s="20"/>
      <c r="AD504" s="20"/>
    </row>
    <row r="505" ht="15.75" customHeight="1">
      <c r="C505" s="21"/>
      <c r="D505" s="21"/>
      <c r="E505" s="21"/>
      <c r="F505" s="22"/>
      <c r="G505" s="22"/>
      <c r="H505" s="22"/>
      <c r="I505" s="22"/>
      <c r="J505" s="22"/>
      <c r="K505" s="22"/>
      <c r="L505" s="22"/>
      <c r="M505" s="22"/>
      <c r="O505" s="20"/>
      <c r="AD505" s="20"/>
    </row>
    <row r="506" ht="15.75" customHeight="1">
      <c r="C506" s="21"/>
      <c r="D506" s="21"/>
      <c r="E506" s="21"/>
      <c r="F506" s="22"/>
      <c r="G506" s="22"/>
      <c r="H506" s="22"/>
      <c r="I506" s="22"/>
      <c r="J506" s="22"/>
      <c r="K506" s="22"/>
      <c r="L506" s="22"/>
      <c r="M506" s="22"/>
      <c r="O506" s="20"/>
      <c r="AD506" s="20"/>
    </row>
    <row r="507" ht="15.75" customHeight="1">
      <c r="C507" s="21"/>
      <c r="D507" s="21"/>
      <c r="E507" s="21"/>
      <c r="F507" s="22"/>
      <c r="G507" s="22"/>
      <c r="H507" s="22"/>
      <c r="I507" s="22"/>
      <c r="J507" s="22"/>
      <c r="K507" s="22"/>
      <c r="L507" s="22"/>
      <c r="M507" s="22"/>
      <c r="O507" s="20"/>
      <c r="AD507" s="20"/>
    </row>
    <row r="508" ht="15.75" customHeight="1">
      <c r="C508" s="21"/>
      <c r="D508" s="21"/>
      <c r="E508" s="21"/>
      <c r="F508" s="22"/>
      <c r="G508" s="22"/>
      <c r="H508" s="22"/>
      <c r="I508" s="22"/>
      <c r="J508" s="22"/>
      <c r="K508" s="22"/>
      <c r="L508" s="22"/>
      <c r="M508" s="22"/>
      <c r="O508" s="20"/>
      <c r="AD508" s="20"/>
    </row>
    <row r="509" ht="15.75" customHeight="1">
      <c r="C509" s="21"/>
      <c r="D509" s="21"/>
      <c r="E509" s="21"/>
      <c r="F509" s="22"/>
      <c r="G509" s="22"/>
      <c r="H509" s="22"/>
      <c r="I509" s="22"/>
      <c r="J509" s="22"/>
      <c r="K509" s="22"/>
      <c r="L509" s="22"/>
      <c r="M509" s="22"/>
      <c r="O509" s="20"/>
      <c r="AD509" s="20"/>
    </row>
    <row r="510" ht="15.75" customHeight="1">
      <c r="C510" s="21"/>
      <c r="D510" s="21"/>
      <c r="E510" s="21"/>
      <c r="F510" s="22"/>
      <c r="G510" s="22"/>
      <c r="H510" s="22"/>
      <c r="I510" s="22"/>
      <c r="J510" s="22"/>
      <c r="K510" s="22"/>
      <c r="L510" s="22"/>
      <c r="M510" s="22"/>
      <c r="O510" s="20"/>
      <c r="AD510" s="20"/>
    </row>
    <row r="511" ht="15.75" customHeight="1">
      <c r="C511" s="21"/>
      <c r="D511" s="21"/>
      <c r="E511" s="21"/>
      <c r="F511" s="22"/>
      <c r="G511" s="22"/>
      <c r="H511" s="22"/>
      <c r="I511" s="22"/>
      <c r="J511" s="22"/>
      <c r="K511" s="22"/>
      <c r="L511" s="22"/>
      <c r="M511" s="22"/>
      <c r="O511" s="20"/>
      <c r="AD511" s="20"/>
    </row>
    <row r="512" ht="15.75" customHeight="1">
      <c r="C512" s="21"/>
      <c r="D512" s="21"/>
      <c r="E512" s="21"/>
      <c r="F512" s="22"/>
      <c r="G512" s="22"/>
      <c r="H512" s="22"/>
      <c r="I512" s="22"/>
      <c r="J512" s="22"/>
      <c r="K512" s="22"/>
      <c r="L512" s="22"/>
      <c r="M512" s="22"/>
      <c r="O512" s="20"/>
      <c r="AD512" s="20"/>
    </row>
    <row r="513" ht="15.75" customHeight="1">
      <c r="C513" s="21"/>
      <c r="D513" s="21"/>
      <c r="E513" s="21"/>
      <c r="F513" s="22"/>
      <c r="G513" s="22"/>
      <c r="H513" s="22"/>
      <c r="I513" s="22"/>
      <c r="J513" s="22"/>
      <c r="K513" s="22"/>
      <c r="L513" s="22"/>
      <c r="M513" s="22"/>
      <c r="O513" s="20"/>
      <c r="AD513" s="20"/>
    </row>
    <row r="514" ht="15.75" customHeight="1">
      <c r="C514" s="21"/>
      <c r="D514" s="21"/>
      <c r="E514" s="21"/>
      <c r="F514" s="22"/>
      <c r="G514" s="22"/>
      <c r="H514" s="22"/>
      <c r="I514" s="22"/>
      <c r="J514" s="22"/>
      <c r="K514" s="22"/>
      <c r="L514" s="22"/>
      <c r="M514" s="22"/>
      <c r="O514" s="20"/>
      <c r="AD514" s="20"/>
    </row>
    <row r="515" ht="15.75" customHeight="1">
      <c r="C515" s="21"/>
      <c r="D515" s="21"/>
      <c r="E515" s="21"/>
      <c r="F515" s="22"/>
      <c r="G515" s="22"/>
      <c r="H515" s="22"/>
      <c r="I515" s="22"/>
      <c r="J515" s="22"/>
      <c r="K515" s="22"/>
      <c r="L515" s="22"/>
      <c r="M515" s="22"/>
      <c r="O515" s="20"/>
      <c r="AD515" s="20"/>
    </row>
    <row r="516" ht="15.75" customHeight="1">
      <c r="C516" s="21"/>
      <c r="D516" s="21"/>
      <c r="E516" s="21"/>
      <c r="F516" s="22"/>
      <c r="G516" s="22"/>
      <c r="H516" s="22"/>
      <c r="I516" s="22"/>
      <c r="J516" s="22"/>
      <c r="K516" s="22"/>
      <c r="L516" s="22"/>
      <c r="M516" s="22"/>
      <c r="O516" s="20"/>
      <c r="AD516" s="20"/>
    </row>
    <row r="517" ht="15.75" customHeight="1">
      <c r="C517" s="21"/>
      <c r="D517" s="21"/>
      <c r="E517" s="21"/>
      <c r="F517" s="22"/>
      <c r="G517" s="22"/>
      <c r="H517" s="22"/>
      <c r="I517" s="22"/>
      <c r="J517" s="22"/>
      <c r="K517" s="22"/>
      <c r="L517" s="22"/>
      <c r="M517" s="22"/>
      <c r="O517" s="20"/>
      <c r="AD517" s="20"/>
    </row>
    <row r="518" ht="15.75" customHeight="1">
      <c r="C518" s="21"/>
      <c r="D518" s="21"/>
      <c r="E518" s="21"/>
      <c r="F518" s="22"/>
      <c r="G518" s="22"/>
      <c r="H518" s="22"/>
      <c r="I518" s="22"/>
      <c r="J518" s="22"/>
      <c r="K518" s="22"/>
      <c r="L518" s="22"/>
      <c r="M518" s="22"/>
      <c r="O518" s="20"/>
      <c r="AD518" s="20"/>
    </row>
    <row r="519" ht="15.75" customHeight="1">
      <c r="C519" s="21"/>
      <c r="D519" s="21"/>
      <c r="E519" s="21"/>
      <c r="F519" s="22"/>
      <c r="G519" s="22"/>
      <c r="H519" s="22"/>
      <c r="I519" s="22"/>
      <c r="J519" s="22"/>
      <c r="K519" s="22"/>
      <c r="L519" s="22"/>
      <c r="M519" s="22"/>
      <c r="O519" s="20"/>
      <c r="AD519" s="20"/>
    </row>
    <row r="520" ht="15.75" customHeight="1">
      <c r="C520" s="21"/>
      <c r="D520" s="21"/>
      <c r="E520" s="21"/>
      <c r="F520" s="22"/>
      <c r="G520" s="22"/>
      <c r="H520" s="22"/>
      <c r="I520" s="22"/>
      <c r="J520" s="22"/>
      <c r="K520" s="22"/>
      <c r="L520" s="22"/>
      <c r="M520" s="22"/>
      <c r="O520" s="20"/>
      <c r="AD520" s="20"/>
    </row>
    <row r="521" ht="15.75" customHeight="1">
      <c r="C521" s="21"/>
      <c r="D521" s="21"/>
      <c r="E521" s="21"/>
      <c r="F521" s="22"/>
      <c r="G521" s="22"/>
      <c r="H521" s="22"/>
      <c r="I521" s="22"/>
      <c r="J521" s="22"/>
      <c r="K521" s="22"/>
      <c r="L521" s="22"/>
      <c r="M521" s="22"/>
      <c r="O521" s="20"/>
      <c r="AD521" s="20"/>
    </row>
    <row r="522" ht="15.75" customHeight="1">
      <c r="C522" s="21"/>
      <c r="D522" s="21"/>
      <c r="E522" s="21"/>
      <c r="F522" s="22"/>
      <c r="G522" s="22"/>
      <c r="H522" s="22"/>
      <c r="I522" s="22"/>
      <c r="J522" s="22"/>
      <c r="K522" s="22"/>
      <c r="L522" s="22"/>
      <c r="M522" s="22"/>
      <c r="O522" s="20"/>
      <c r="AD522" s="20"/>
    </row>
    <row r="523" ht="15.75" customHeight="1">
      <c r="C523" s="21"/>
      <c r="D523" s="21"/>
      <c r="E523" s="21"/>
      <c r="F523" s="22"/>
      <c r="G523" s="22"/>
      <c r="H523" s="22"/>
      <c r="I523" s="22"/>
      <c r="J523" s="22"/>
      <c r="K523" s="22"/>
      <c r="L523" s="22"/>
      <c r="M523" s="22"/>
      <c r="O523" s="20"/>
      <c r="AD523" s="20"/>
    </row>
    <row r="524" ht="15.75" customHeight="1">
      <c r="C524" s="21"/>
      <c r="D524" s="21"/>
      <c r="E524" s="21"/>
      <c r="F524" s="22"/>
      <c r="G524" s="22"/>
      <c r="H524" s="22"/>
      <c r="I524" s="22"/>
      <c r="J524" s="22"/>
      <c r="K524" s="22"/>
      <c r="L524" s="22"/>
      <c r="M524" s="22"/>
      <c r="O524" s="20"/>
      <c r="AD524" s="20"/>
    </row>
    <row r="525" ht="15.75" customHeight="1">
      <c r="C525" s="21"/>
      <c r="D525" s="21"/>
      <c r="E525" s="21"/>
      <c r="F525" s="22"/>
      <c r="G525" s="22"/>
      <c r="H525" s="22"/>
      <c r="I525" s="22"/>
      <c r="J525" s="22"/>
      <c r="K525" s="22"/>
      <c r="L525" s="22"/>
      <c r="M525" s="22"/>
      <c r="O525" s="20"/>
      <c r="AD525" s="20"/>
    </row>
    <row r="526" ht="15.75" customHeight="1">
      <c r="C526" s="21"/>
      <c r="D526" s="21"/>
      <c r="E526" s="21"/>
      <c r="F526" s="22"/>
      <c r="G526" s="22"/>
      <c r="H526" s="22"/>
      <c r="I526" s="22"/>
      <c r="J526" s="22"/>
      <c r="K526" s="22"/>
      <c r="L526" s="22"/>
      <c r="M526" s="22"/>
      <c r="O526" s="20"/>
      <c r="AD526" s="20"/>
    </row>
    <row r="527" ht="15.75" customHeight="1">
      <c r="C527" s="21"/>
      <c r="D527" s="21"/>
      <c r="E527" s="21"/>
      <c r="F527" s="22"/>
      <c r="G527" s="22"/>
      <c r="H527" s="22"/>
      <c r="I527" s="22"/>
      <c r="J527" s="22"/>
      <c r="K527" s="22"/>
      <c r="L527" s="22"/>
      <c r="M527" s="22"/>
      <c r="O527" s="20"/>
      <c r="AD527" s="20"/>
    </row>
    <row r="528" ht="15.75" customHeight="1">
      <c r="C528" s="21"/>
      <c r="D528" s="21"/>
      <c r="E528" s="21"/>
      <c r="F528" s="22"/>
      <c r="G528" s="22"/>
      <c r="H528" s="22"/>
      <c r="I528" s="22"/>
      <c r="J528" s="22"/>
      <c r="K528" s="22"/>
      <c r="L528" s="22"/>
      <c r="M528" s="22"/>
      <c r="O528" s="20"/>
      <c r="AD528" s="20"/>
    </row>
    <row r="529" ht="15.75" customHeight="1">
      <c r="C529" s="21"/>
      <c r="D529" s="21"/>
      <c r="E529" s="21"/>
      <c r="F529" s="22"/>
      <c r="G529" s="22"/>
      <c r="H529" s="22"/>
      <c r="I529" s="22"/>
      <c r="J529" s="22"/>
      <c r="K529" s="22"/>
      <c r="L529" s="22"/>
      <c r="M529" s="22"/>
      <c r="O529" s="20"/>
      <c r="AD529" s="20"/>
    </row>
    <row r="530" ht="15.75" customHeight="1">
      <c r="C530" s="21"/>
      <c r="D530" s="21"/>
      <c r="E530" s="21"/>
      <c r="F530" s="22"/>
      <c r="G530" s="22"/>
      <c r="H530" s="22"/>
      <c r="I530" s="22"/>
      <c r="J530" s="22"/>
      <c r="K530" s="22"/>
      <c r="L530" s="22"/>
      <c r="M530" s="22"/>
      <c r="O530" s="20"/>
      <c r="AD530" s="20"/>
    </row>
    <row r="531" ht="15.75" customHeight="1">
      <c r="C531" s="21"/>
      <c r="D531" s="21"/>
      <c r="E531" s="21"/>
      <c r="F531" s="22"/>
      <c r="G531" s="22"/>
      <c r="H531" s="22"/>
      <c r="I531" s="22"/>
      <c r="J531" s="22"/>
      <c r="K531" s="22"/>
      <c r="L531" s="22"/>
      <c r="M531" s="22"/>
      <c r="O531" s="20"/>
      <c r="AD531" s="20"/>
    </row>
    <row r="532" ht="15.75" customHeight="1">
      <c r="C532" s="21"/>
      <c r="D532" s="21"/>
      <c r="E532" s="21"/>
      <c r="F532" s="22"/>
      <c r="G532" s="22"/>
      <c r="H532" s="22"/>
      <c r="I532" s="22"/>
      <c r="J532" s="22"/>
      <c r="K532" s="22"/>
      <c r="L532" s="22"/>
      <c r="M532" s="22"/>
      <c r="O532" s="20"/>
      <c r="AD532" s="20"/>
    </row>
    <row r="533" ht="15.75" customHeight="1">
      <c r="C533" s="21"/>
      <c r="D533" s="21"/>
      <c r="E533" s="21"/>
      <c r="F533" s="22"/>
      <c r="G533" s="22"/>
      <c r="H533" s="22"/>
      <c r="I533" s="22"/>
      <c r="J533" s="22"/>
      <c r="K533" s="22"/>
      <c r="L533" s="22"/>
      <c r="M533" s="22"/>
      <c r="O533" s="20"/>
      <c r="AD533" s="20"/>
    </row>
    <row r="534" ht="15.75" customHeight="1">
      <c r="C534" s="21"/>
      <c r="D534" s="21"/>
      <c r="E534" s="21"/>
      <c r="F534" s="22"/>
      <c r="G534" s="22"/>
      <c r="H534" s="22"/>
      <c r="I534" s="22"/>
      <c r="J534" s="22"/>
      <c r="K534" s="22"/>
      <c r="L534" s="22"/>
      <c r="M534" s="22"/>
      <c r="O534" s="20"/>
      <c r="AD534" s="20"/>
    </row>
    <row r="535" ht="15.75" customHeight="1">
      <c r="C535" s="21"/>
      <c r="D535" s="21"/>
      <c r="E535" s="21"/>
      <c r="F535" s="22"/>
      <c r="G535" s="22"/>
      <c r="H535" s="22"/>
      <c r="I535" s="22"/>
      <c r="J535" s="22"/>
      <c r="K535" s="22"/>
      <c r="L535" s="22"/>
      <c r="M535" s="22"/>
      <c r="O535" s="20"/>
      <c r="AD535" s="20"/>
    </row>
    <row r="536" ht="15.75" customHeight="1">
      <c r="C536" s="21"/>
      <c r="D536" s="21"/>
      <c r="E536" s="21"/>
      <c r="F536" s="22"/>
      <c r="G536" s="22"/>
      <c r="H536" s="22"/>
      <c r="I536" s="22"/>
      <c r="J536" s="22"/>
      <c r="K536" s="22"/>
      <c r="L536" s="22"/>
      <c r="M536" s="22"/>
      <c r="O536" s="20"/>
      <c r="AD536" s="20"/>
    </row>
    <row r="537" ht="15.75" customHeight="1">
      <c r="C537" s="21"/>
      <c r="D537" s="21"/>
      <c r="E537" s="21"/>
      <c r="F537" s="22"/>
      <c r="G537" s="22"/>
      <c r="H537" s="22"/>
      <c r="I537" s="22"/>
      <c r="J537" s="22"/>
      <c r="K537" s="22"/>
      <c r="L537" s="22"/>
      <c r="M537" s="22"/>
      <c r="O537" s="20"/>
      <c r="AD537" s="20"/>
    </row>
    <row r="538" ht="15.75" customHeight="1">
      <c r="C538" s="21"/>
      <c r="D538" s="21"/>
      <c r="E538" s="21"/>
      <c r="F538" s="22"/>
      <c r="G538" s="22"/>
      <c r="H538" s="22"/>
      <c r="I538" s="22"/>
      <c r="J538" s="22"/>
      <c r="K538" s="22"/>
      <c r="L538" s="22"/>
      <c r="M538" s="22"/>
      <c r="O538" s="20"/>
      <c r="AD538" s="20"/>
    </row>
    <row r="539" ht="15.75" customHeight="1">
      <c r="C539" s="21"/>
      <c r="D539" s="21"/>
      <c r="E539" s="21"/>
      <c r="F539" s="22"/>
      <c r="G539" s="22"/>
      <c r="H539" s="22"/>
      <c r="I539" s="22"/>
      <c r="J539" s="22"/>
      <c r="K539" s="22"/>
      <c r="L539" s="22"/>
      <c r="M539" s="22"/>
      <c r="O539" s="20"/>
      <c r="AD539" s="20"/>
    </row>
    <row r="540" ht="15.75" customHeight="1">
      <c r="C540" s="21"/>
      <c r="D540" s="21"/>
      <c r="E540" s="21"/>
      <c r="F540" s="22"/>
      <c r="G540" s="22"/>
      <c r="H540" s="22"/>
      <c r="I540" s="22"/>
      <c r="J540" s="22"/>
      <c r="K540" s="22"/>
      <c r="L540" s="22"/>
      <c r="M540" s="22"/>
      <c r="O540" s="20"/>
      <c r="AD540" s="20"/>
    </row>
    <row r="541" ht="15.75" customHeight="1">
      <c r="C541" s="21"/>
      <c r="D541" s="21"/>
      <c r="E541" s="21"/>
      <c r="F541" s="22"/>
      <c r="G541" s="22"/>
      <c r="H541" s="22"/>
      <c r="I541" s="22"/>
      <c r="J541" s="22"/>
      <c r="K541" s="22"/>
      <c r="L541" s="22"/>
      <c r="M541" s="22"/>
      <c r="O541" s="20"/>
      <c r="AD541" s="20"/>
    </row>
    <row r="542" ht="15.75" customHeight="1">
      <c r="C542" s="21"/>
      <c r="D542" s="21"/>
      <c r="E542" s="21"/>
      <c r="F542" s="22"/>
      <c r="G542" s="22"/>
      <c r="H542" s="22"/>
      <c r="I542" s="22"/>
      <c r="J542" s="22"/>
      <c r="K542" s="22"/>
      <c r="L542" s="22"/>
      <c r="M542" s="22"/>
      <c r="O542" s="20"/>
      <c r="AD542" s="20"/>
    </row>
    <row r="543" ht="15.75" customHeight="1">
      <c r="C543" s="21"/>
      <c r="D543" s="21"/>
      <c r="E543" s="21"/>
      <c r="F543" s="22"/>
      <c r="G543" s="22"/>
      <c r="H543" s="22"/>
      <c r="I543" s="22"/>
      <c r="J543" s="22"/>
      <c r="K543" s="22"/>
      <c r="L543" s="22"/>
      <c r="M543" s="22"/>
      <c r="O543" s="20"/>
      <c r="AD543" s="20"/>
    </row>
    <row r="544" ht="15.75" customHeight="1">
      <c r="C544" s="21"/>
      <c r="D544" s="21"/>
      <c r="E544" s="21"/>
      <c r="F544" s="22"/>
      <c r="G544" s="22"/>
      <c r="H544" s="22"/>
      <c r="I544" s="22"/>
      <c r="J544" s="22"/>
      <c r="K544" s="22"/>
      <c r="L544" s="22"/>
      <c r="M544" s="22"/>
      <c r="O544" s="20"/>
      <c r="AD544" s="20"/>
    </row>
    <row r="545" ht="15.75" customHeight="1">
      <c r="C545" s="21"/>
      <c r="D545" s="21"/>
      <c r="E545" s="21"/>
      <c r="O545" s="20"/>
      <c r="AD545" s="20"/>
    </row>
    <row r="546" ht="15.75" customHeight="1">
      <c r="C546" s="21"/>
      <c r="D546" s="21"/>
      <c r="E546" s="21"/>
      <c r="O546" s="20"/>
      <c r="AD546" s="20"/>
    </row>
    <row r="547" ht="15.75" customHeight="1">
      <c r="C547" s="21"/>
      <c r="D547" s="21"/>
      <c r="E547" s="21"/>
      <c r="O547" s="20"/>
      <c r="AD547" s="20"/>
    </row>
    <row r="548" ht="15.75" customHeight="1">
      <c r="C548" s="21"/>
      <c r="D548" s="21"/>
      <c r="E548" s="21"/>
      <c r="O548" s="20"/>
      <c r="AD548" s="20"/>
    </row>
    <row r="549" ht="15.75" customHeight="1">
      <c r="C549" s="21"/>
      <c r="D549" s="21"/>
      <c r="E549" s="21"/>
      <c r="O549" s="20"/>
      <c r="AD549" s="20"/>
    </row>
    <row r="550" ht="15.75" customHeight="1">
      <c r="C550" s="21"/>
      <c r="D550" s="21"/>
      <c r="E550" s="21"/>
      <c r="O550" s="20"/>
      <c r="AD550" s="20"/>
    </row>
    <row r="551" ht="15.75" customHeight="1">
      <c r="C551" s="21"/>
      <c r="D551" s="21"/>
      <c r="E551" s="21"/>
      <c r="O551" s="20"/>
      <c r="AD551" s="20"/>
    </row>
    <row r="552" ht="15.75" customHeight="1">
      <c r="C552" s="21"/>
      <c r="D552" s="21"/>
      <c r="E552" s="21"/>
      <c r="O552" s="20"/>
      <c r="AD552" s="20"/>
    </row>
    <row r="553" ht="15.75" customHeight="1">
      <c r="C553" s="21"/>
      <c r="D553" s="21"/>
      <c r="E553" s="21"/>
      <c r="O553" s="20"/>
      <c r="AD553" s="20"/>
    </row>
    <row r="554" ht="15.75" customHeight="1">
      <c r="C554" s="21"/>
      <c r="D554" s="21"/>
      <c r="E554" s="21"/>
      <c r="O554" s="20"/>
      <c r="AD554" s="20"/>
    </row>
    <row r="555" ht="15.75" customHeight="1">
      <c r="C555" s="21"/>
      <c r="D555" s="21"/>
      <c r="E555" s="21"/>
      <c r="O555" s="20"/>
      <c r="AD555" s="20"/>
    </row>
    <row r="556" ht="15.75" customHeight="1">
      <c r="C556" s="21"/>
      <c r="D556" s="21"/>
      <c r="E556" s="21"/>
      <c r="O556" s="20"/>
      <c r="AD556" s="20"/>
    </row>
    <row r="557" ht="15.75" customHeight="1">
      <c r="C557" s="21"/>
      <c r="D557" s="21"/>
      <c r="E557" s="21"/>
      <c r="O557" s="20"/>
      <c r="AD557" s="20"/>
    </row>
    <row r="558" ht="15.75" customHeight="1">
      <c r="C558" s="21"/>
      <c r="D558" s="21"/>
      <c r="E558" s="21"/>
      <c r="O558" s="20"/>
      <c r="AD558" s="20"/>
    </row>
    <row r="559" ht="15.75" customHeight="1">
      <c r="C559" s="21"/>
      <c r="D559" s="21"/>
      <c r="E559" s="21"/>
      <c r="O559" s="20"/>
      <c r="AD559" s="20"/>
    </row>
    <row r="560" ht="15.75" customHeight="1">
      <c r="C560" s="21"/>
      <c r="D560" s="21"/>
      <c r="E560" s="21"/>
      <c r="O560" s="20"/>
      <c r="AD560" s="20"/>
    </row>
    <row r="561" ht="15.75" customHeight="1">
      <c r="C561" s="21"/>
      <c r="D561" s="21"/>
      <c r="E561" s="21"/>
      <c r="O561" s="20"/>
      <c r="AD561" s="20"/>
    </row>
    <row r="562" ht="15.75" customHeight="1">
      <c r="C562" s="21"/>
      <c r="D562" s="21"/>
      <c r="E562" s="21"/>
      <c r="O562" s="20"/>
      <c r="AD562" s="20"/>
    </row>
    <row r="563" ht="15.75" customHeight="1">
      <c r="C563" s="21"/>
      <c r="D563" s="21"/>
      <c r="E563" s="21"/>
      <c r="O563" s="20"/>
      <c r="AD563" s="20"/>
    </row>
    <row r="564" ht="15.75" customHeight="1">
      <c r="C564" s="21"/>
      <c r="D564" s="21"/>
      <c r="E564" s="21"/>
      <c r="O564" s="20"/>
      <c r="AD564" s="20"/>
    </row>
    <row r="565" ht="15.75" customHeight="1">
      <c r="C565" s="21"/>
      <c r="D565" s="21"/>
      <c r="E565" s="21"/>
      <c r="O565" s="20"/>
      <c r="AD565" s="20"/>
    </row>
    <row r="566" ht="15.75" customHeight="1">
      <c r="C566" s="21"/>
      <c r="D566" s="21"/>
      <c r="E566" s="21"/>
      <c r="O566" s="20"/>
      <c r="AD566" s="20"/>
    </row>
    <row r="567" ht="15.75" customHeight="1">
      <c r="C567" s="21"/>
      <c r="D567" s="21"/>
      <c r="E567" s="21"/>
      <c r="O567" s="20"/>
      <c r="AD567" s="20"/>
    </row>
    <row r="568" ht="15.75" customHeight="1">
      <c r="C568" s="21"/>
      <c r="D568" s="21"/>
      <c r="E568" s="21"/>
      <c r="O568" s="20"/>
      <c r="AD568" s="20"/>
    </row>
    <row r="569" ht="15.75" customHeight="1">
      <c r="C569" s="21"/>
      <c r="D569" s="21"/>
      <c r="E569" s="21"/>
      <c r="O569" s="20"/>
      <c r="AD569" s="20"/>
    </row>
    <row r="570" ht="15.75" customHeight="1">
      <c r="C570" s="21"/>
      <c r="D570" s="21"/>
      <c r="E570" s="21"/>
      <c r="O570" s="20"/>
      <c r="AD570" s="20"/>
    </row>
    <row r="571" ht="15.75" customHeight="1">
      <c r="C571" s="21"/>
      <c r="D571" s="21"/>
      <c r="E571" s="21"/>
      <c r="O571" s="20"/>
      <c r="AD571" s="20"/>
    </row>
    <row r="572" ht="15.75" customHeight="1">
      <c r="C572" s="21"/>
      <c r="D572" s="21"/>
      <c r="E572" s="21"/>
      <c r="O572" s="20"/>
      <c r="AD572" s="20"/>
    </row>
    <row r="573" ht="15.75" customHeight="1">
      <c r="C573" s="21"/>
      <c r="D573" s="21"/>
      <c r="E573" s="21"/>
      <c r="O573" s="20"/>
      <c r="AD573" s="20"/>
    </row>
    <row r="574" ht="15.75" customHeight="1">
      <c r="C574" s="21"/>
      <c r="D574" s="21"/>
      <c r="E574" s="21"/>
      <c r="O574" s="20"/>
      <c r="AD574" s="20"/>
    </row>
    <row r="575" ht="15.75" customHeight="1">
      <c r="C575" s="21"/>
      <c r="D575" s="21"/>
      <c r="E575" s="21"/>
      <c r="O575" s="20"/>
      <c r="AD575" s="20"/>
    </row>
    <row r="576" ht="15.75" customHeight="1">
      <c r="C576" s="21"/>
      <c r="D576" s="21"/>
      <c r="E576" s="21"/>
      <c r="O576" s="20"/>
      <c r="AD576" s="20"/>
    </row>
    <row r="577" ht="15.75" customHeight="1">
      <c r="C577" s="21"/>
      <c r="D577" s="21"/>
      <c r="E577" s="21"/>
      <c r="O577" s="20"/>
      <c r="AD577" s="20"/>
    </row>
    <row r="578" ht="15.75" customHeight="1">
      <c r="C578" s="21"/>
      <c r="D578" s="21"/>
      <c r="E578" s="21"/>
      <c r="O578" s="20"/>
      <c r="AD578" s="20"/>
    </row>
    <row r="579" ht="15.75" customHeight="1">
      <c r="C579" s="21"/>
      <c r="D579" s="21"/>
      <c r="E579" s="21"/>
      <c r="O579" s="20"/>
      <c r="AD579" s="20"/>
    </row>
    <row r="580" ht="15.75" customHeight="1">
      <c r="C580" s="21"/>
      <c r="D580" s="21"/>
      <c r="E580" s="21"/>
      <c r="O580" s="20"/>
      <c r="AD580" s="20"/>
    </row>
    <row r="581" ht="15.75" customHeight="1">
      <c r="C581" s="21"/>
      <c r="D581" s="21"/>
      <c r="E581" s="21"/>
      <c r="O581" s="20"/>
      <c r="AD581" s="20"/>
    </row>
    <row r="582" ht="15.75" customHeight="1">
      <c r="C582" s="21"/>
      <c r="D582" s="21"/>
      <c r="E582" s="21"/>
      <c r="O582" s="20"/>
      <c r="AD582" s="20"/>
    </row>
    <row r="583" ht="15.75" customHeight="1">
      <c r="C583" s="21"/>
      <c r="D583" s="21"/>
      <c r="E583" s="21"/>
      <c r="O583" s="20"/>
      <c r="AD583" s="20"/>
    </row>
    <row r="584" ht="15.75" customHeight="1">
      <c r="C584" s="21"/>
      <c r="D584" s="21"/>
      <c r="E584" s="21"/>
      <c r="O584" s="20"/>
      <c r="AD584" s="20"/>
    </row>
    <row r="585" ht="15.75" customHeight="1">
      <c r="C585" s="21"/>
      <c r="D585" s="21"/>
      <c r="E585" s="21"/>
      <c r="O585" s="20"/>
      <c r="AD585" s="20"/>
    </row>
    <row r="586" ht="15.75" customHeight="1">
      <c r="C586" s="21"/>
      <c r="D586" s="21"/>
      <c r="E586" s="21"/>
      <c r="O586" s="20"/>
      <c r="AD586" s="20"/>
    </row>
    <row r="587" ht="15.75" customHeight="1">
      <c r="C587" s="21"/>
      <c r="D587" s="21"/>
      <c r="E587" s="21"/>
      <c r="O587" s="20"/>
      <c r="AD587" s="20"/>
    </row>
    <row r="588" ht="15.75" customHeight="1">
      <c r="C588" s="21"/>
      <c r="D588" s="21"/>
      <c r="E588" s="21"/>
      <c r="O588" s="20"/>
      <c r="AD588" s="20"/>
    </row>
    <row r="589" ht="15.75" customHeight="1">
      <c r="C589" s="21"/>
      <c r="D589" s="21"/>
      <c r="E589" s="21"/>
      <c r="O589" s="20"/>
      <c r="AD589" s="20"/>
    </row>
    <row r="590" ht="15.75" customHeight="1">
      <c r="C590" s="21"/>
      <c r="D590" s="21"/>
      <c r="E590" s="21"/>
      <c r="O590" s="20"/>
      <c r="AD590" s="20"/>
    </row>
    <row r="591" ht="15.75" customHeight="1">
      <c r="C591" s="21"/>
      <c r="D591" s="21"/>
      <c r="E591" s="21"/>
      <c r="O591" s="20"/>
      <c r="AD591" s="20"/>
    </row>
    <row r="592" ht="15.75" customHeight="1">
      <c r="C592" s="21"/>
      <c r="D592" s="21"/>
      <c r="E592" s="21"/>
      <c r="O592" s="20"/>
      <c r="AD592" s="20"/>
    </row>
    <row r="593" ht="15.75" customHeight="1">
      <c r="C593" s="21"/>
      <c r="D593" s="21"/>
      <c r="E593" s="21"/>
      <c r="O593" s="20"/>
      <c r="AD593" s="20"/>
    </row>
    <row r="594" ht="15.75" customHeight="1">
      <c r="C594" s="21"/>
      <c r="D594" s="21"/>
      <c r="E594" s="21"/>
      <c r="O594" s="20"/>
      <c r="AD594" s="20"/>
    </row>
    <row r="595" ht="15.75" customHeight="1">
      <c r="C595" s="21"/>
      <c r="D595" s="21"/>
      <c r="E595" s="21"/>
      <c r="O595" s="20"/>
      <c r="AD595" s="20"/>
    </row>
    <row r="596" ht="15.75" customHeight="1">
      <c r="C596" s="21"/>
      <c r="D596" s="21"/>
      <c r="E596" s="21"/>
      <c r="O596" s="20"/>
      <c r="AD596" s="20"/>
    </row>
    <row r="597" ht="15.75" customHeight="1">
      <c r="C597" s="21"/>
      <c r="D597" s="21"/>
      <c r="E597" s="21"/>
      <c r="O597" s="20"/>
      <c r="AD597" s="20"/>
    </row>
    <row r="598" ht="15.75" customHeight="1">
      <c r="C598" s="21"/>
      <c r="D598" s="21"/>
      <c r="E598" s="21"/>
      <c r="O598" s="20"/>
      <c r="AD598" s="20"/>
    </row>
    <row r="599" ht="15.75" customHeight="1">
      <c r="C599" s="21"/>
      <c r="D599" s="21"/>
      <c r="E599" s="21"/>
      <c r="O599" s="20"/>
      <c r="AD599" s="20"/>
    </row>
    <row r="600" ht="15.75" customHeight="1">
      <c r="C600" s="21"/>
      <c r="D600" s="21"/>
      <c r="E600" s="21"/>
      <c r="O600" s="20"/>
      <c r="AD600" s="20"/>
    </row>
    <row r="601" ht="15.75" customHeight="1">
      <c r="C601" s="21"/>
      <c r="D601" s="21"/>
      <c r="E601" s="21"/>
      <c r="O601" s="20"/>
      <c r="AD601" s="20"/>
    </row>
    <row r="602" ht="15.75" customHeight="1">
      <c r="C602" s="21"/>
      <c r="D602" s="21"/>
      <c r="E602" s="21"/>
      <c r="O602" s="20"/>
      <c r="AD602" s="20"/>
    </row>
    <row r="603" ht="15.75" customHeight="1">
      <c r="C603" s="21"/>
      <c r="D603" s="21"/>
      <c r="E603" s="21"/>
      <c r="O603" s="20"/>
      <c r="AD603" s="20"/>
    </row>
    <row r="604" ht="15.75" customHeight="1">
      <c r="C604" s="21"/>
      <c r="D604" s="21"/>
      <c r="E604" s="21"/>
      <c r="O604" s="20"/>
      <c r="AD604" s="20"/>
    </row>
    <row r="605" ht="15.75" customHeight="1">
      <c r="C605" s="21"/>
      <c r="D605" s="21"/>
      <c r="E605" s="21"/>
      <c r="O605" s="20"/>
      <c r="AD605" s="20"/>
    </row>
    <row r="606" ht="15.75" customHeight="1">
      <c r="C606" s="21"/>
      <c r="D606" s="21"/>
      <c r="E606" s="21"/>
      <c r="O606" s="20"/>
      <c r="AD606" s="20"/>
    </row>
    <row r="607" ht="15.75" customHeight="1">
      <c r="C607" s="21"/>
      <c r="D607" s="21"/>
      <c r="E607" s="21"/>
      <c r="O607" s="20"/>
      <c r="AD607" s="20"/>
    </row>
    <row r="608" ht="15.75" customHeight="1">
      <c r="C608" s="21"/>
      <c r="D608" s="21"/>
      <c r="E608" s="21"/>
      <c r="O608" s="20"/>
      <c r="AD608" s="20"/>
    </row>
    <row r="609" ht="15.75" customHeight="1">
      <c r="C609" s="21"/>
      <c r="D609" s="21"/>
      <c r="E609" s="21"/>
      <c r="O609" s="20"/>
      <c r="AD609" s="20"/>
    </row>
    <row r="610" ht="15.75" customHeight="1">
      <c r="C610" s="21"/>
      <c r="D610" s="21"/>
      <c r="E610" s="21"/>
      <c r="O610" s="20"/>
      <c r="AD610" s="20"/>
    </row>
    <row r="611" ht="15.75" customHeight="1">
      <c r="C611" s="21"/>
      <c r="D611" s="21"/>
      <c r="E611" s="21"/>
      <c r="O611" s="20"/>
      <c r="AD611" s="20"/>
    </row>
    <row r="612" ht="15.75" customHeight="1">
      <c r="C612" s="21"/>
      <c r="D612" s="21"/>
      <c r="E612" s="21"/>
      <c r="O612" s="20"/>
      <c r="AD612" s="20"/>
    </row>
    <row r="613" ht="15.75" customHeight="1">
      <c r="C613" s="21"/>
      <c r="D613" s="21"/>
      <c r="E613" s="21"/>
      <c r="O613" s="20"/>
      <c r="AD613" s="20"/>
    </row>
    <row r="614" ht="15.75" customHeight="1">
      <c r="C614" s="21"/>
      <c r="D614" s="21"/>
      <c r="E614" s="21"/>
      <c r="O614" s="20"/>
      <c r="AD614" s="20"/>
    </row>
    <row r="615" ht="15.75" customHeight="1">
      <c r="C615" s="21"/>
      <c r="D615" s="21"/>
      <c r="E615" s="21"/>
      <c r="O615" s="20"/>
      <c r="AD615" s="20"/>
    </row>
    <row r="616" ht="15.75" customHeight="1">
      <c r="C616" s="21"/>
      <c r="D616" s="21"/>
      <c r="E616" s="21"/>
      <c r="O616" s="20"/>
      <c r="AD616" s="20"/>
    </row>
    <row r="617" ht="15.75" customHeight="1">
      <c r="C617" s="21"/>
      <c r="D617" s="21"/>
      <c r="E617" s="21"/>
      <c r="O617" s="20"/>
      <c r="AD617" s="20"/>
    </row>
    <row r="618" ht="15.75" customHeight="1">
      <c r="C618" s="21"/>
      <c r="D618" s="21"/>
      <c r="E618" s="21"/>
      <c r="O618" s="20"/>
      <c r="AD618" s="20"/>
    </row>
    <row r="619" ht="15.75" customHeight="1">
      <c r="C619" s="21"/>
      <c r="D619" s="21"/>
      <c r="E619" s="21"/>
      <c r="O619" s="20"/>
      <c r="AD619" s="20"/>
    </row>
    <row r="620" ht="15.75" customHeight="1">
      <c r="C620" s="21"/>
      <c r="D620" s="21"/>
      <c r="E620" s="21"/>
      <c r="O620" s="20"/>
      <c r="AD620" s="20"/>
    </row>
    <row r="621" ht="15.75" customHeight="1">
      <c r="C621" s="21"/>
      <c r="D621" s="21"/>
      <c r="E621" s="21"/>
      <c r="O621" s="20"/>
      <c r="AD621" s="20"/>
    </row>
    <row r="622" ht="15.75" customHeight="1">
      <c r="C622" s="21"/>
      <c r="D622" s="21"/>
      <c r="E622" s="21"/>
      <c r="O622" s="20"/>
      <c r="AD622" s="20"/>
    </row>
    <row r="623" ht="15.75" customHeight="1">
      <c r="C623" s="21"/>
      <c r="D623" s="21"/>
      <c r="E623" s="21"/>
      <c r="O623" s="20"/>
      <c r="AD623" s="20"/>
    </row>
    <row r="624" ht="15.75" customHeight="1">
      <c r="C624" s="21"/>
      <c r="D624" s="21"/>
      <c r="E624" s="21"/>
      <c r="O624" s="20"/>
      <c r="AD624" s="20"/>
    </row>
    <row r="625" ht="15.75" customHeight="1">
      <c r="C625" s="21"/>
      <c r="D625" s="21"/>
      <c r="E625" s="21"/>
      <c r="O625" s="20"/>
      <c r="AD625" s="20"/>
    </row>
    <row r="626" ht="15.75" customHeight="1">
      <c r="C626" s="21"/>
      <c r="D626" s="21"/>
      <c r="E626" s="21"/>
      <c r="O626" s="20"/>
      <c r="AD626" s="20"/>
    </row>
    <row r="627" ht="15.75" customHeight="1">
      <c r="C627" s="21"/>
      <c r="D627" s="21"/>
      <c r="E627" s="21"/>
      <c r="O627" s="20"/>
      <c r="AD627" s="20"/>
    </row>
    <row r="628" ht="15.75" customHeight="1">
      <c r="C628" s="21"/>
      <c r="D628" s="21"/>
      <c r="E628" s="21"/>
      <c r="O628" s="20"/>
      <c r="AD628" s="20"/>
    </row>
    <row r="629" ht="15.75" customHeight="1">
      <c r="C629" s="21"/>
      <c r="D629" s="21"/>
      <c r="E629" s="21"/>
      <c r="O629" s="20"/>
      <c r="AD629" s="20"/>
    </row>
    <row r="630" ht="15.75" customHeight="1">
      <c r="C630" s="21"/>
      <c r="D630" s="21"/>
      <c r="E630" s="21"/>
      <c r="O630" s="20"/>
      <c r="AD630" s="20"/>
    </row>
    <row r="631" ht="15.75" customHeight="1">
      <c r="C631" s="21"/>
      <c r="D631" s="21"/>
      <c r="E631" s="21"/>
      <c r="O631" s="20"/>
      <c r="AD631" s="20"/>
    </row>
    <row r="632" ht="15.75" customHeight="1">
      <c r="C632" s="21"/>
      <c r="D632" s="21"/>
      <c r="E632" s="21"/>
      <c r="O632" s="20"/>
      <c r="AD632" s="20"/>
    </row>
    <row r="633" ht="15.75" customHeight="1">
      <c r="C633" s="21"/>
      <c r="D633" s="21"/>
      <c r="E633" s="21"/>
      <c r="O633" s="20"/>
      <c r="AD633" s="20"/>
    </row>
    <row r="634" ht="15.75" customHeight="1">
      <c r="C634" s="21"/>
      <c r="D634" s="21"/>
      <c r="E634" s="21"/>
      <c r="O634" s="20"/>
      <c r="AD634" s="20"/>
    </row>
    <row r="635" ht="15.75" customHeight="1">
      <c r="C635" s="21"/>
      <c r="D635" s="21"/>
      <c r="E635" s="21"/>
      <c r="O635" s="20"/>
      <c r="AD635" s="20"/>
    </row>
    <row r="636" ht="15.75" customHeight="1">
      <c r="C636" s="21"/>
      <c r="D636" s="21"/>
      <c r="E636" s="21"/>
      <c r="O636" s="20"/>
      <c r="AD636" s="20"/>
    </row>
    <row r="637" ht="15.75" customHeight="1">
      <c r="C637" s="21"/>
      <c r="D637" s="21"/>
      <c r="E637" s="21"/>
      <c r="O637" s="20"/>
      <c r="AD637" s="20"/>
    </row>
    <row r="638" ht="15.75" customHeight="1">
      <c r="C638" s="21"/>
      <c r="D638" s="21"/>
      <c r="E638" s="21"/>
      <c r="O638" s="20"/>
      <c r="AD638" s="20"/>
    </row>
    <row r="639" ht="15.75" customHeight="1">
      <c r="C639" s="21"/>
      <c r="D639" s="21"/>
      <c r="E639" s="21"/>
      <c r="O639" s="20"/>
      <c r="AD639" s="20"/>
    </row>
    <row r="640" ht="15.75" customHeight="1">
      <c r="C640" s="21"/>
      <c r="D640" s="21"/>
      <c r="E640" s="21"/>
      <c r="O640" s="20"/>
      <c r="AD640" s="20"/>
    </row>
    <row r="641" ht="15.75" customHeight="1">
      <c r="C641" s="21"/>
      <c r="D641" s="21"/>
      <c r="E641" s="21"/>
      <c r="O641" s="20"/>
      <c r="AD641" s="20"/>
    </row>
    <row r="642" ht="15.75" customHeight="1">
      <c r="C642" s="21"/>
      <c r="D642" s="21"/>
      <c r="E642" s="21"/>
      <c r="O642" s="20"/>
      <c r="AD642" s="20"/>
    </row>
    <row r="643" ht="15.75" customHeight="1">
      <c r="C643" s="21"/>
      <c r="D643" s="21"/>
      <c r="E643" s="21"/>
      <c r="O643" s="20"/>
      <c r="AD643" s="20"/>
    </row>
    <row r="644" ht="15.75" customHeight="1">
      <c r="C644" s="21"/>
      <c r="D644" s="21"/>
      <c r="E644" s="21"/>
      <c r="O644" s="20"/>
      <c r="AD644" s="20"/>
    </row>
    <row r="645" ht="15.75" customHeight="1">
      <c r="C645" s="21"/>
      <c r="D645" s="21"/>
      <c r="E645" s="21"/>
      <c r="O645" s="20"/>
      <c r="AD645" s="20"/>
    </row>
    <row r="646" ht="15.75" customHeight="1">
      <c r="C646" s="21"/>
      <c r="D646" s="21"/>
      <c r="E646" s="21"/>
      <c r="O646" s="20"/>
      <c r="AD646" s="20"/>
    </row>
    <row r="647" ht="15.75" customHeight="1">
      <c r="C647" s="21"/>
      <c r="D647" s="21"/>
      <c r="E647" s="21"/>
      <c r="O647" s="20"/>
      <c r="AD647" s="20"/>
    </row>
    <row r="648" ht="15.75" customHeight="1">
      <c r="C648" s="21"/>
      <c r="D648" s="21"/>
      <c r="E648" s="21"/>
      <c r="O648" s="20"/>
      <c r="AD648" s="20"/>
    </row>
    <row r="649" ht="15.75" customHeight="1">
      <c r="C649" s="21"/>
      <c r="D649" s="21"/>
      <c r="E649" s="21"/>
      <c r="O649" s="20"/>
      <c r="AD649" s="20"/>
    </row>
    <row r="650" ht="15.75" customHeight="1">
      <c r="C650" s="21"/>
      <c r="D650" s="21"/>
      <c r="E650" s="21"/>
      <c r="O650" s="20"/>
      <c r="AD650" s="20"/>
    </row>
    <row r="651" ht="15.75" customHeight="1">
      <c r="C651" s="21"/>
      <c r="D651" s="21"/>
      <c r="E651" s="21"/>
      <c r="O651" s="20"/>
      <c r="AD651" s="20"/>
    </row>
    <row r="652" ht="15.75" customHeight="1">
      <c r="C652" s="21"/>
      <c r="D652" s="21"/>
      <c r="E652" s="21"/>
      <c r="O652" s="20"/>
      <c r="AD652" s="20"/>
    </row>
    <row r="653" ht="15.75" customHeight="1">
      <c r="C653" s="21"/>
      <c r="D653" s="21"/>
      <c r="E653" s="21"/>
      <c r="O653" s="20"/>
      <c r="AD653" s="20"/>
    </row>
    <row r="654" ht="15.75" customHeight="1">
      <c r="C654" s="21"/>
      <c r="D654" s="21"/>
      <c r="E654" s="21"/>
      <c r="O654" s="20"/>
      <c r="AD654" s="20"/>
    </row>
    <row r="655" ht="15.75" customHeight="1">
      <c r="C655" s="21"/>
      <c r="D655" s="21"/>
      <c r="E655" s="21"/>
      <c r="O655" s="20"/>
      <c r="AD655" s="20"/>
    </row>
    <row r="656" ht="15.75" customHeight="1">
      <c r="C656" s="21"/>
      <c r="D656" s="21"/>
      <c r="E656" s="21"/>
      <c r="O656" s="20"/>
      <c r="AD656" s="20"/>
    </row>
    <row r="657" ht="15.75" customHeight="1">
      <c r="C657" s="21"/>
      <c r="D657" s="21"/>
      <c r="E657" s="21"/>
      <c r="O657" s="20"/>
      <c r="AD657" s="20"/>
    </row>
    <row r="658" ht="15.75" customHeight="1">
      <c r="C658" s="21"/>
      <c r="D658" s="21"/>
      <c r="E658" s="21"/>
      <c r="O658" s="20"/>
      <c r="AD658" s="20"/>
    </row>
    <row r="659" ht="15.75" customHeight="1">
      <c r="C659" s="21"/>
      <c r="D659" s="21"/>
      <c r="E659" s="21"/>
      <c r="O659" s="20"/>
      <c r="AD659" s="20"/>
    </row>
    <row r="660" ht="15.75" customHeight="1">
      <c r="C660" s="21"/>
      <c r="D660" s="21"/>
      <c r="E660" s="21"/>
      <c r="O660" s="20"/>
      <c r="AD660" s="20"/>
    </row>
    <row r="661" ht="15.75" customHeight="1">
      <c r="C661" s="21"/>
      <c r="D661" s="21"/>
      <c r="E661" s="21"/>
      <c r="O661" s="20"/>
      <c r="AD661" s="20"/>
    </row>
    <row r="662" ht="15.75" customHeight="1">
      <c r="C662" s="21"/>
      <c r="D662" s="21"/>
      <c r="E662" s="21"/>
      <c r="O662" s="20"/>
      <c r="AD662" s="20"/>
    </row>
    <row r="663" ht="15.75" customHeight="1">
      <c r="C663" s="21"/>
      <c r="D663" s="21"/>
      <c r="E663" s="21"/>
      <c r="O663" s="20"/>
      <c r="AD663" s="20"/>
    </row>
    <row r="664" ht="15.75" customHeight="1">
      <c r="C664" s="21"/>
      <c r="D664" s="21"/>
      <c r="E664" s="21"/>
      <c r="O664" s="20"/>
      <c r="AD664" s="20"/>
    </row>
    <row r="665" ht="15.75" customHeight="1">
      <c r="C665" s="21"/>
      <c r="D665" s="21"/>
      <c r="E665" s="21"/>
      <c r="O665" s="20"/>
      <c r="AD665" s="20"/>
    </row>
    <row r="666" ht="15.75" customHeight="1">
      <c r="C666" s="21"/>
      <c r="D666" s="21"/>
      <c r="E666" s="21"/>
      <c r="O666" s="20"/>
      <c r="AD666" s="20"/>
    </row>
    <row r="667" ht="15.75" customHeight="1">
      <c r="C667" s="21"/>
      <c r="D667" s="21"/>
      <c r="E667" s="21"/>
      <c r="O667" s="20"/>
      <c r="AD667" s="20"/>
    </row>
    <row r="668" ht="15.75" customHeight="1">
      <c r="C668" s="21"/>
      <c r="D668" s="21"/>
      <c r="E668" s="21"/>
      <c r="O668" s="20"/>
      <c r="AD668" s="20"/>
    </row>
    <row r="669" ht="15.75" customHeight="1">
      <c r="C669" s="21"/>
      <c r="D669" s="21"/>
      <c r="E669" s="21"/>
      <c r="O669" s="20"/>
      <c r="AD669" s="20"/>
    </row>
    <row r="670" ht="15.75" customHeight="1">
      <c r="C670" s="21"/>
      <c r="D670" s="21"/>
      <c r="E670" s="21"/>
      <c r="O670" s="20"/>
      <c r="AD670" s="20"/>
    </row>
    <row r="671" ht="15.75" customHeight="1">
      <c r="C671" s="21"/>
      <c r="D671" s="21"/>
      <c r="E671" s="21"/>
      <c r="O671" s="20"/>
      <c r="AD671" s="20"/>
    </row>
    <row r="672" ht="15.75" customHeight="1">
      <c r="C672" s="21"/>
      <c r="D672" s="21"/>
      <c r="E672" s="21"/>
      <c r="O672" s="20"/>
      <c r="AD672" s="20"/>
    </row>
    <row r="673" ht="15.75" customHeight="1">
      <c r="C673" s="21"/>
      <c r="D673" s="21"/>
      <c r="E673" s="21"/>
      <c r="O673" s="20"/>
      <c r="AD673" s="20"/>
    </row>
    <row r="674" ht="15.75" customHeight="1">
      <c r="C674" s="21"/>
      <c r="D674" s="21"/>
      <c r="E674" s="21"/>
      <c r="O674" s="20"/>
      <c r="AD674" s="20"/>
    </row>
    <row r="675" ht="15.75" customHeight="1">
      <c r="C675" s="21"/>
      <c r="D675" s="21"/>
      <c r="E675" s="21"/>
      <c r="O675" s="20"/>
      <c r="AD675" s="20"/>
    </row>
    <row r="676" ht="15.75" customHeight="1">
      <c r="C676" s="21"/>
      <c r="D676" s="21"/>
      <c r="E676" s="21"/>
      <c r="O676" s="20"/>
      <c r="AD676" s="20"/>
    </row>
    <row r="677" ht="15.75" customHeight="1">
      <c r="C677" s="21"/>
      <c r="D677" s="21"/>
      <c r="E677" s="21"/>
      <c r="O677" s="20"/>
      <c r="AD677" s="20"/>
    </row>
    <row r="678" ht="15.75" customHeight="1">
      <c r="C678" s="21"/>
      <c r="D678" s="21"/>
      <c r="E678" s="21"/>
      <c r="O678" s="20"/>
      <c r="AD678" s="20"/>
    </row>
    <row r="679" ht="15.75" customHeight="1">
      <c r="C679" s="21"/>
      <c r="D679" s="21"/>
      <c r="E679" s="21"/>
      <c r="O679" s="20"/>
      <c r="AD679" s="20"/>
    </row>
    <row r="680" ht="15.75" customHeight="1">
      <c r="C680" s="21"/>
      <c r="D680" s="21"/>
      <c r="E680" s="21"/>
      <c r="O680" s="20"/>
      <c r="AD680" s="20"/>
    </row>
    <row r="681" ht="15.75" customHeight="1">
      <c r="C681" s="21"/>
      <c r="D681" s="21"/>
      <c r="E681" s="21"/>
      <c r="O681" s="20"/>
      <c r="AD681" s="20"/>
    </row>
    <row r="682" ht="15.75" customHeight="1">
      <c r="C682" s="21"/>
      <c r="D682" s="21"/>
      <c r="E682" s="21"/>
      <c r="O682" s="20"/>
      <c r="AD682" s="20"/>
    </row>
    <row r="683" ht="15.75" customHeight="1">
      <c r="C683" s="21"/>
      <c r="D683" s="21"/>
      <c r="E683" s="21"/>
      <c r="O683" s="20"/>
      <c r="AD683" s="20"/>
    </row>
    <row r="684" ht="15.75" customHeight="1">
      <c r="C684" s="21"/>
      <c r="D684" s="21"/>
      <c r="E684" s="21"/>
      <c r="O684" s="20"/>
      <c r="AD684" s="20"/>
    </row>
    <row r="685" ht="15.75" customHeight="1">
      <c r="C685" s="21"/>
      <c r="D685" s="21"/>
      <c r="E685" s="21"/>
      <c r="O685" s="20"/>
      <c r="AD685" s="20"/>
    </row>
    <row r="686" ht="15.75" customHeight="1">
      <c r="C686" s="21"/>
      <c r="D686" s="21"/>
      <c r="E686" s="21"/>
      <c r="O686" s="20"/>
      <c r="AD686" s="20"/>
    </row>
    <row r="687" ht="15.75" customHeight="1">
      <c r="C687" s="21"/>
      <c r="D687" s="21"/>
      <c r="E687" s="21"/>
      <c r="O687" s="20"/>
      <c r="AD687" s="20"/>
    </row>
    <row r="688" ht="15.75" customHeight="1">
      <c r="C688" s="21"/>
      <c r="D688" s="21"/>
      <c r="E688" s="21"/>
      <c r="O688" s="20"/>
      <c r="AD688" s="20"/>
    </row>
    <row r="689" ht="15.75" customHeight="1">
      <c r="C689" s="21"/>
      <c r="D689" s="21"/>
      <c r="E689" s="21"/>
      <c r="O689" s="20"/>
      <c r="AD689" s="20"/>
    </row>
    <row r="690" ht="15.75" customHeight="1">
      <c r="C690" s="21"/>
      <c r="D690" s="21"/>
      <c r="E690" s="21"/>
      <c r="O690" s="20"/>
      <c r="AD690" s="20"/>
    </row>
    <row r="691" ht="15.75" customHeight="1">
      <c r="C691" s="21"/>
      <c r="D691" s="21"/>
      <c r="E691" s="21"/>
      <c r="O691" s="20"/>
      <c r="AD691" s="20"/>
    </row>
    <row r="692" ht="15.75" customHeight="1">
      <c r="C692" s="21"/>
      <c r="D692" s="21"/>
      <c r="E692" s="21"/>
      <c r="O692" s="20"/>
      <c r="AD692" s="20"/>
    </row>
    <row r="693" ht="15.75" customHeight="1">
      <c r="C693" s="21"/>
      <c r="D693" s="21"/>
      <c r="E693" s="21"/>
      <c r="O693" s="20"/>
      <c r="AD693" s="20"/>
    </row>
    <row r="694" ht="15.75" customHeight="1">
      <c r="C694" s="21"/>
      <c r="D694" s="21"/>
      <c r="E694" s="21"/>
      <c r="O694" s="20"/>
      <c r="AD694" s="20"/>
    </row>
    <row r="695" ht="15.75" customHeight="1">
      <c r="C695" s="21"/>
      <c r="D695" s="21"/>
      <c r="E695" s="21"/>
      <c r="O695" s="20"/>
      <c r="AD695" s="20"/>
    </row>
    <row r="696" ht="15.75" customHeight="1">
      <c r="C696" s="21"/>
      <c r="D696" s="21"/>
      <c r="E696" s="21"/>
      <c r="O696" s="20"/>
      <c r="AD696" s="20"/>
    </row>
    <row r="697" ht="15.75" customHeight="1">
      <c r="C697" s="21"/>
      <c r="D697" s="21"/>
      <c r="E697" s="21"/>
      <c r="O697" s="20"/>
      <c r="AD697" s="20"/>
    </row>
    <row r="698" ht="15.75" customHeight="1">
      <c r="C698" s="21"/>
      <c r="D698" s="21"/>
      <c r="E698" s="21"/>
      <c r="O698" s="20"/>
      <c r="AD698" s="20"/>
    </row>
    <row r="699" ht="15.75" customHeight="1">
      <c r="C699" s="21"/>
      <c r="D699" s="21"/>
      <c r="E699" s="21"/>
      <c r="O699" s="20"/>
      <c r="AD699" s="20"/>
    </row>
    <row r="700" ht="15.75" customHeight="1">
      <c r="C700" s="21"/>
      <c r="D700" s="21"/>
      <c r="E700" s="21"/>
      <c r="O700" s="20"/>
      <c r="AD700" s="20"/>
    </row>
    <row r="701" ht="15.75" customHeight="1">
      <c r="C701" s="21"/>
      <c r="D701" s="21"/>
      <c r="E701" s="21"/>
      <c r="O701" s="20"/>
      <c r="AD701" s="20"/>
    </row>
    <row r="702" ht="15.75" customHeight="1">
      <c r="C702" s="21"/>
      <c r="D702" s="21"/>
      <c r="E702" s="21"/>
      <c r="O702" s="20"/>
      <c r="AD702" s="20"/>
    </row>
    <row r="703" ht="15.75" customHeight="1">
      <c r="C703" s="21"/>
      <c r="D703" s="21"/>
      <c r="E703" s="21"/>
      <c r="O703" s="20"/>
      <c r="AD703" s="20"/>
    </row>
    <row r="704" ht="15.75" customHeight="1">
      <c r="C704" s="21"/>
      <c r="D704" s="21"/>
      <c r="E704" s="21"/>
      <c r="O704" s="20"/>
      <c r="AD704" s="20"/>
    </row>
    <row r="705" ht="15.75" customHeight="1">
      <c r="C705" s="21"/>
      <c r="D705" s="21"/>
      <c r="E705" s="21"/>
      <c r="O705" s="20"/>
      <c r="AD705" s="20"/>
    </row>
    <row r="706" ht="15.75" customHeight="1">
      <c r="C706" s="21"/>
      <c r="D706" s="21"/>
      <c r="E706" s="21"/>
      <c r="O706" s="20"/>
      <c r="AD706" s="20"/>
    </row>
    <row r="707" ht="15.75" customHeight="1">
      <c r="C707" s="21"/>
      <c r="D707" s="21"/>
      <c r="E707" s="21"/>
      <c r="O707" s="20"/>
      <c r="AD707" s="20"/>
    </row>
    <row r="708" ht="15.75" customHeight="1">
      <c r="C708" s="21"/>
      <c r="D708" s="21"/>
      <c r="E708" s="21"/>
      <c r="O708" s="20"/>
      <c r="AD708" s="20"/>
    </row>
    <row r="709" ht="15.75" customHeight="1">
      <c r="C709" s="21"/>
      <c r="D709" s="21"/>
      <c r="E709" s="21"/>
      <c r="O709" s="20"/>
      <c r="AD709" s="20"/>
    </row>
    <row r="710" ht="15.75" customHeight="1">
      <c r="C710" s="21"/>
      <c r="D710" s="21"/>
      <c r="E710" s="21"/>
      <c r="O710" s="20"/>
      <c r="AD710" s="20"/>
    </row>
    <row r="711" ht="15.75" customHeight="1">
      <c r="C711" s="21"/>
      <c r="D711" s="21"/>
      <c r="E711" s="21"/>
      <c r="O711" s="20"/>
      <c r="AD711" s="20"/>
    </row>
    <row r="712" ht="15.75" customHeight="1">
      <c r="C712" s="21"/>
      <c r="D712" s="21"/>
      <c r="E712" s="21"/>
      <c r="O712" s="20"/>
      <c r="AD712" s="20"/>
    </row>
    <row r="713" ht="15.75" customHeight="1">
      <c r="C713" s="21"/>
      <c r="D713" s="21"/>
      <c r="E713" s="21"/>
      <c r="O713" s="20"/>
      <c r="AD713" s="20"/>
    </row>
    <row r="714" ht="15.75" customHeight="1">
      <c r="C714" s="21"/>
      <c r="D714" s="21"/>
      <c r="E714" s="21"/>
      <c r="O714" s="20"/>
      <c r="AD714" s="20"/>
    </row>
    <row r="715" ht="15.75" customHeight="1">
      <c r="C715" s="21"/>
      <c r="D715" s="21"/>
      <c r="E715" s="21"/>
      <c r="O715" s="20"/>
      <c r="AD715" s="20"/>
    </row>
    <row r="716" ht="15.75" customHeight="1">
      <c r="C716" s="21"/>
      <c r="D716" s="21"/>
      <c r="E716" s="21"/>
      <c r="O716" s="20"/>
      <c r="AD716" s="20"/>
    </row>
    <row r="717" ht="15.75" customHeight="1">
      <c r="C717" s="21"/>
      <c r="D717" s="21"/>
      <c r="E717" s="21"/>
      <c r="O717" s="20"/>
      <c r="AD717" s="20"/>
    </row>
    <row r="718" ht="15.75" customHeight="1">
      <c r="C718" s="21"/>
      <c r="D718" s="21"/>
      <c r="E718" s="21"/>
      <c r="O718" s="20"/>
      <c r="AD718" s="20"/>
    </row>
    <row r="719" ht="15.75" customHeight="1">
      <c r="C719" s="21"/>
      <c r="D719" s="21"/>
      <c r="E719" s="21"/>
      <c r="O719" s="20"/>
      <c r="AD719" s="20"/>
    </row>
    <row r="720" ht="15.75" customHeight="1">
      <c r="C720" s="21"/>
      <c r="D720" s="21"/>
      <c r="E720" s="21"/>
      <c r="O720" s="20"/>
      <c r="AD720" s="20"/>
    </row>
    <row r="721" ht="15.75" customHeight="1">
      <c r="C721" s="21"/>
      <c r="D721" s="21"/>
      <c r="E721" s="21"/>
      <c r="O721" s="20"/>
      <c r="AD721" s="20"/>
    </row>
    <row r="722" ht="15.75" customHeight="1">
      <c r="C722" s="21"/>
      <c r="D722" s="21"/>
      <c r="E722" s="21"/>
      <c r="O722" s="20"/>
      <c r="AD722" s="20"/>
    </row>
    <row r="723" ht="15.75" customHeight="1">
      <c r="C723" s="21"/>
      <c r="D723" s="21"/>
      <c r="E723" s="21"/>
      <c r="O723" s="20"/>
      <c r="AD723" s="20"/>
    </row>
    <row r="724" ht="15.75" customHeight="1">
      <c r="C724" s="21"/>
      <c r="D724" s="21"/>
      <c r="E724" s="21"/>
      <c r="O724" s="20"/>
      <c r="AD724" s="20"/>
    </row>
    <row r="725" ht="15.75" customHeight="1">
      <c r="C725" s="21"/>
      <c r="D725" s="21"/>
      <c r="E725" s="21"/>
      <c r="O725" s="20"/>
      <c r="AD725" s="20"/>
    </row>
    <row r="726" ht="15.75" customHeight="1">
      <c r="C726" s="21"/>
      <c r="D726" s="21"/>
      <c r="E726" s="21"/>
      <c r="O726" s="20"/>
      <c r="AD726" s="20"/>
    </row>
    <row r="727" ht="15.75" customHeight="1">
      <c r="C727" s="21"/>
      <c r="D727" s="21"/>
      <c r="E727" s="21"/>
      <c r="O727" s="20"/>
      <c r="AD727" s="20"/>
    </row>
    <row r="728" ht="15.75" customHeight="1">
      <c r="C728" s="21"/>
      <c r="D728" s="21"/>
      <c r="E728" s="21"/>
      <c r="O728" s="20"/>
      <c r="AD728" s="20"/>
    </row>
    <row r="729" ht="15.75" customHeight="1">
      <c r="C729" s="21"/>
      <c r="D729" s="21"/>
      <c r="E729" s="21"/>
      <c r="O729" s="20"/>
      <c r="AD729" s="20"/>
    </row>
    <row r="730" ht="15.75" customHeight="1">
      <c r="C730" s="21"/>
      <c r="D730" s="21"/>
      <c r="E730" s="21"/>
      <c r="O730" s="20"/>
      <c r="AD730" s="20"/>
    </row>
    <row r="731" ht="15.75" customHeight="1">
      <c r="C731" s="21"/>
      <c r="D731" s="21"/>
      <c r="E731" s="21"/>
      <c r="O731" s="20"/>
      <c r="AD731" s="20"/>
    </row>
    <row r="732" ht="15.75" customHeight="1">
      <c r="C732" s="21"/>
      <c r="D732" s="21"/>
      <c r="E732" s="21"/>
      <c r="O732" s="20"/>
      <c r="AD732" s="20"/>
    </row>
    <row r="733" ht="15.75" customHeight="1">
      <c r="C733" s="21"/>
      <c r="D733" s="21"/>
      <c r="E733" s="21"/>
      <c r="O733" s="20"/>
      <c r="AD733" s="20"/>
    </row>
    <row r="734" ht="15.75" customHeight="1">
      <c r="C734" s="21"/>
      <c r="D734" s="21"/>
      <c r="E734" s="21"/>
      <c r="O734" s="20"/>
      <c r="AD734" s="20"/>
    </row>
    <row r="735" ht="15.75" customHeight="1">
      <c r="C735" s="21"/>
      <c r="D735" s="21"/>
      <c r="E735" s="21"/>
      <c r="O735" s="20"/>
      <c r="AD735" s="20"/>
    </row>
    <row r="736" ht="15.75" customHeight="1">
      <c r="C736" s="21"/>
      <c r="D736" s="21"/>
      <c r="E736" s="21"/>
      <c r="O736" s="20"/>
      <c r="AD736" s="20"/>
    </row>
    <row r="737" ht="15.75" customHeight="1">
      <c r="C737" s="21"/>
      <c r="D737" s="21"/>
      <c r="E737" s="21"/>
      <c r="O737" s="20"/>
      <c r="AD737" s="20"/>
    </row>
    <row r="738" ht="15.75" customHeight="1">
      <c r="C738" s="21"/>
      <c r="D738" s="21"/>
      <c r="E738" s="21"/>
      <c r="O738" s="20"/>
      <c r="AD738" s="20"/>
    </row>
    <row r="739" ht="15.75" customHeight="1">
      <c r="C739" s="21"/>
      <c r="D739" s="21"/>
      <c r="E739" s="21"/>
      <c r="O739" s="20"/>
      <c r="AD739" s="20"/>
    </row>
    <row r="740" ht="15.75" customHeight="1">
      <c r="C740" s="21"/>
      <c r="D740" s="21"/>
      <c r="E740" s="21"/>
      <c r="O740" s="20"/>
      <c r="AD740" s="20"/>
    </row>
    <row r="741" ht="15.75" customHeight="1">
      <c r="C741" s="21"/>
      <c r="D741" s="21"/>
      <c r="E741" s="21"/>
      <c r="O741" s="20"/>
      <c r="AD741" s="20"/>
    </row>
    <row r="742" ht="15.75" customHeight="1">
      <c r="C742" s="21"/>
      <c r="D742" s="21"/>
      <c r="E742" s="21"/>
      <c r="O742" s="20"/>
      <c r="AD742" s="20"/>
    </row>
    <row r="743" ht="15.75" customHeight="1">
      <c r="C743" s="21"/>
      <c r="D743" s="21"/>
      <c r="E743" s="21"/>
      <c r="O743" s="20"/>
      <c r="AD743" s="20"/>
    </row>
    <row r="744" ht="15.75" customHeight="1">
      <c r="C744" s="21"/>
      <c r="D744" s="21"/>
      <c r="E744" s="21"/>
      <c r="O744" s="20"/>
      <c r="AD744" s="20"/>
    </row>
    <row r="745" ht="15.75" customHeight="1">
      <c r="C745" s="21"/>
      <c r="D745" s="21"/>
      <c r="E745" s="21"/>
      <c r="O745" s="20"/>
      <c r="AD745" s="20"/>
    </row>
    <row r="746" ht="15.75" customHeight="1">
      <c r="C746" s="21"/>
      <c r="D746" s="21"/>
      <c r="E746" s="21"/>
      <c r="O746" s="20"/>
      <c r="AD746" s="20"/>
    </row>
    <row r="747" ht="15.75" customHeight="1">
      <c r="C747" s="21"/>
      <c r="D747" s="21"/>
      <c r="E747" s="21"/>
      <c r="O747" s="20"/>
      <c r="AD747" s="20"/>
    </row>
    <row r="748" ht="15.75" customHeight="1">
      <c r="C748" s="21"/>
      <c r="D748" s="21"/>
      <c r="E748" s="21"/>
      <c r="O748" s="20"/>
      <c r="AD748" s="20"/>
    </row>
    <row r="749" ht="15.75" customHeight="1">
      <c r="C749" s="21"/>
      <c r="D749" s="21"/>
      <c r="E749" s="21"/>
      <c r="O749" s="20"/>
      <c r="AD749" s="20"/>
    </row>
    <row r="750" ht="15.75" customHeight="1">
      <c r="C750" s="21"/>
      <c r="D750" s="21"/>
      <c r="E750" s="21"/>
      <c r="O750" s="20"/>
      <c r="AD750" s="20"/>
    </row>
    <row r="751" ht="15.75" customHeight="1">
      <c r="C751" s="21"/>
      <c r="D751" s="21"/>
      <c r="E751" s="21"/>
      <c r="O751" s="20"/>
      <c r="AD751" s="20"/>
    </row>
    <row r="752" ht="15.75" customHeight="1">
      <c r="C752" s="21"/>
      <c r="D752" s="21"/>
      <c r="E752" s="21"/>
      <c r="O752" s="20"/>
      <c r="AD752" s="20"/>
    </row>
    <row r="753" ht="15.75" customHeight="1">
      <c r="C753" s="21"/>
      <c r="D753" s="21"/>
      <c r="E753" s="21"/>
      <c r="O753" s="20"/>
      <c r="AD753" s="20"/>
    </row>
    <row r="754" ht="15.75" customHeight="1">
      <c r="C754" s="21"/>
      <c r="D754" s="21"/>
      <c r="E754" s="21"/>
      <c r="O754" s="20"/>
      <c r="AD754" s="20"/>
    </row>
    <row r="755" ht="15.75" customHeight="1">
      <c r="C755" s="21"/>
      <c r="D755" s="21"/>
      <c r="E755" s="21"/>
      <c r="O755" s="20"/>
      <c r="AD755" s="20"/>
    </row>
    <row r="756" ht="15.75" customHeight="1">
      <c r="C756" s="21"/>
      <c r="D756" s="21"/>
      <c r="E756" s="21"/>
      <c r="O756" s="20"/>
      <c r="AD756" s="20"/>
    </row>
    <row r="757" ht="15.75" customHeight="1">
      <c r="C757" s="21"/>
      <c r="D757" s="21"/>
      <c r="E757" s="21"/>
      <c r="O757" s="20"/>
      <c r="AD757" s="20"/>
    </row>
    <row r="758" ht="15.75" customHeight="1">
      <c r="C758" s="21"/>
      <c r="D758" s="21"/>
      <c r="E758" s="21"/>
      <c r="O758" s="20"/>
      <c r="AD758" s="20"/>
    </row>
    <row r="759" ht="15.75" customHeight="1">
      <c r="C759" s="21"/>
      <c r="D759" s="21"/>
      <c r="E759" s="21"/>
      <c r="O759" s="20"/>
      <c r="AD759" s="20"/>
    </row>
    <row r="760" ht="15.75" customHeight="1">
      <c r="C760" s="21"/>
      <c r="D760" s="21"/>
      <c r="E760" s="21"/>
      <c r="O760" s="20"/>
      <c r="AD760" s="20"/>
    </row>
    <row r="761" ht="15.75" customHeight="1">
      <c r="C761" s="21"/>
      <c r="D761" s="21"/>
      <c r="E761" s="21"/>
      <c r="O761" s="20"/>
      <c r="AD761" s="20"/>
    </row>
    <row r="762" ht="15.75" customHeight="1">
      <c r="C762" s="21"/>
      <c r="D762" s="21"/>
      <c r="E762" s="21"/>
      <c r="O762" s="20"/>
      <c r="AD762" s="20"/>
    </row>
    <row r="763" ht="15.75" customHeight="1">
      <c r="C763" s="21"/>
      <c r="D763" s="21"/>
      <c r="E763" s="21"/>
      <c r="O763" s="20"/>
      <c r="AD763" s="20"/>
    </row>
    <row r="764" ht="15.75" customHeight="1">
      <c r="C764" s="21"/>
      <c r="D764" s="21"/>
      <c r="E764" s="21"/>
      <c r="O764" s="20"/>
      <c r="AD764" s="20"/>
    </row>
    <row r="765" ht="15.75" customHeight="1">
      <c r="C765" s="21"/>
      <c r="D765" s="21"/>
      <c r="E765" s="21"/>
      <c r="O765" s="20"/>
      <c r="AD765" s="20"/>
    </row>
    <row r="766" ht="15.75" customHeight="1">
      <c r="C766" s="21"/>
      <c r="D766" s="21"/>
      <c r="E766" s="21"/>
      <c r="O766" s="20"/>
      <c r="AD766" s="20"/>
    </row>
    <row r="767" ht="15.75" customHeight="1">
      <c r="C767" s="21"/>
      <c r="D767" s="21"/>
      <c r="E767" s="21"/>
      <c r="O767" s="20"/>
      <c r="AD767" s="20"/>
    </row>
    <row r="768" ht="15.75" customHeight="1">
      <c r="C768" s="21"/>
      <c r="D768" s="21"/>
      <c r="E768" s="21"/>
      <c r="O768" s="20"/>
      <c r="AD768" s="20"/>
    </row>
    <row r="769" ht="15.75" customHeight="1">
      <c r="C769" s="21"/>
      <c r="D769" s="21"/>
      <c r="E769" s="21"/>
      <c r="O769" s="20"/>
      <c r="AD769" s="20"/>
    </row>
    <row r="770" ht="15.75" customHeight="1">
      <c r="C770" s="21"/>
      <c r="D770" s="21"/>
      <c r="E770" s="21"/>
      <c r="O770" s="20"/>
      <c r="AD770" s="20"/>
    </row>
    <row r="771" ht="15.75" customHeight="1">
      <c r="C771" s="21"/>
      <c r="D771" s="21"/>
      <c r="E771" s="21"/>
      <c r="O771" s="20"/>
      <c r="AD771" s="20"/>
    </row>
    <row r="772" ht="15.75" customHeight="1">
      <c r="C772" s="21"/>
      <c r="D772" s="21"/>
      <c r="E772" s="21"/>
      <c r="O772" s="20"/>
      <c r="AD772" s="20"/>
    </row>
    <row r="773" ht="15.75" customHeight="1">
      <c r="C773" s="21"/>
      <c r="D773" s="21"/>
      <c r="E773" s="21"/>
      <c r="O773" s="20"/>
      <c r="AD773" s="20"/>
    </row>
    <row r="774" ht="15.75" customHeight="1">
      <c r="C774" s="21"/>
      <c r="D774" s="21"/>
      <c r="E774" s="21"/>
      <c r="O774" s="20"/>
      <c r="AD774" s="20"/>
    </row>
    <row r="775" ht="15.75" customHeight="1">
      <c r="C775" s="21"/>
      <c r="D775" s="21"/>
      <c r="E775" s="21"/>
      <c r="O775" s="20"/>
      <c r="AD775" s="20"/>
    </row>
    <row r="776" ht="15.75" customHeight="1">
      <c r="C776" s="21"/>
      <c r="D776" s="21"/>
      <c r="E776" s="21"/>
      <c r="O776" s="20"/>
      <c r="AD776" s="20"/>
    </row>
    <row r="777" ht="15.75" customHeight="1">
      <c r="C777" s="21"/>
      <c r="D777" s="21"/>
      <c r="E777" s="21"/>
      <c r="O777" s="20"/>
      <c r="AD777" s="20"/>
    </row>
    <row r="778" ht="15.75" customHeight="1">
      <c r="C778" s="21"/>
      <c r="D778" s="21"/>
      <c r="E778" s="21"/>
      <c r="O778" s="20"/>
      <c r="AD778" s="20"/>
    </row>
    <row r="779" ht="15.75" customHeight="1">
      <c r="C779" s="21"/>
      <c r="D779" s="21"/>
      <c r="E779" s="21"/>
      <c r="O779" s="20"/>
      <c r="AD779" s="20"/>
    </row>
    <row r="780" ht="15.75" customHeight="1">
      <c r="C780" s="21"/>
      <c r="D780" s="21"/>
      <c r="E780" s="21"/>
      <c r="O780" s="20"/>
      <c r="AD780" s="20"/>
    </row>
    <row r="781" ht="15.75" customHeight="1">
      <c r="C781" s="21"/>
      <c r="D781" s="21"/>
      <c r="E781" s="21"/>
      <c r="O781" s="20"/>
      <c r="AD781" s="20"/>
    </row>
    <row r="782" ht="15.75" customHeight="1">
      <c r="C782" s="21"/>
      <c r="D782" s="21"/>
      <c r="E782" s="21"/>
      <c r="O782" s="20"/>
      <c r="AD782" s="20"/>
    </row>
    <row r="783" ht="15.75" customHeight="1">
      <c r="C783" s="21"/>
      <c r="D783" s="21"/>
      <c r="E783" s="21"/>
      <c r="O783" s="20"/>
      <c r="AD783" s="20"/>
    </row>
    <row r="784" ht="15.75" customHeight="1">
      <c r="C784" s="21"/>
      <c r="D784" s="21"/>
      <c r="E784" s="21"/>
      <c r="O784" s="20"/>
      <c r="AD784" s="20"/>
    </row>
    <row r="785" ht="15.75" customHeight="1">
      <c r="C785" s="21"/>
      <c r="D785" s="21"/>
      <c r="E785" s="21"/>
      <c r="O785" s="20"/>
      <c r="AD785" s="20"/>
    </row>
    <row r="786" ht="15.75" customHeight="1">
      <c r="C786" s="21"/>
      <c r="D786" s="21"/>
      <c r="E786" s="21"/>
      <c r="O786" s="20"/>
      <c r="AD786" s="20"/>
    </row>
    <row r="787" ht="15.75" customHeight="1">
      <c r="C787" s="21"/>
      <c r="D787" s="21"/>
      <c r="E787" s="21"/>
      <c r="O787" s="20"/>
      <c r="AD787" s="20"/>
    </row>
    <row r="788" ht="15.75" customHeight="1">
      <c r="C788" s="21"/>
      <c r="D788" s="21"/>
      <c r="E788" s="21"/>
      <c r="O788" s="20"/>
      <c r="AD788" s="20"/>
    </row>
    <row r="789" ht="15.75" customHeight="1">
      <c r="C789" s="21"/>
      <c r="D789" s="21"/>
      <c r="E789" s="21"/>
      <c r="O789" s="20"/>
      <c r="AD789" s="20"/>
    </row>
    <row r="790" ht="15.75" customHeight="1">
      <c r="C790" s="21"/>
      <c r="D790" s="21"/>
      <c r="E790" s="21"/>
      <c r="O790" s="20"/>
      <c r="AD790" s="20"/>
    </row>
    <row r="791" ht="15.75" customHeight="1">
      <c r="C791" s="21"/>
      <c r="D791" s="21"/>
      <c r="E791" s="21"/>
      <c r="O791" s="20"/>
      <c r="AD791" s="20"/>
    </row>
    <row r="792" ht="15.75" customHeight="1">
      <c r="C792" s="21"/>
      <c r="D792" s="21"/>
      <c r="E792" s="21"/>
      <c r="O792" s="20"/>
      <c r="AD792" s="20"/>
    </row>
    <row r="793" ht="15.75" customHeight="1">
      <c r="C793" s="21"/>
      <c r="D793" s="21"/>
      <c r="E793" s="21"/>
      <c r="O793" s="20"/>
      <c r="AD793" s="20"/>
    </row>
    <row r="794" ht="15.75" customHeight="1">
      <c r="C794" s="21"/>
      <c r="D794" s="21"/>
      <c r="E794" s="21"/>
      <c r="O794" s="20"/>
      <c r="AD794" s="20"/>
    </row>
    <row r="795" ht="15.75" customHeight="1">
      <c r="C795" s="21"/>
      <c r="D795" s="21"/>
      <c r="E795" s="21"/>
      <c r="O795" s="20"/>
      <c r="AD795" s="20"/>
    </row>
    <row r="796" ht="15.75" customHeight="1">
      <c r="C796" s="21"/>
      <c r="D796" s="21"/>
      <c r="E796" s="21"/>
      <c r="O796" s="20"/>
      <c r="AD796" s="20"/>
    </row>
    <row r="797" ht="15.75" customHeight="1">
      <c r="C797" s="21"/>
      <c r="D797" s="21"/>
      <c r="E797" s="21"/>
      <c r="O797" s="20"/>
      <c r="AD797" s="20"/>
    </row>
    <row r="798" ht="15.75" customHeight="1">
      <c r="C798" s="21"/>
      <c r="D798" s="21"/>
      <c r="E798" s="21"/>
      <c r="O798" s="20"/>
      <c r="AD798" s="20"/>
    </row>
    <row r="799" ht="15.75" customHeight="1">
      <c r="C799" s="21"/>
      <c r="D799" s="21"/>
      <c r="E799" s="21"/>
      <c r="O799" s="20"/>
      <c r="AD799" s="20"/>
    </row>
    <row r="800" ht="15.75" customHeight="1">
      <c r="C800" s="21"/>
      <c r="D800" s="21"/>
      <c r="E800" s="21"/>
      <c r="O800" s="20"/>
      <c r="AD800" s="20"/>
    </row>
    <row r="801" ht="15.75" customHeight="1">
      <c r="C801" s="21"/>
      <c r="D801" s="21"/>
      <c r="E801" s="21"/>
      <c r="O801" s="20"/>
      <c r="AD801" s="20"/>
    </row>
    <row r="802" ht="15.75" customHeight="1">
      <c r="C802" s="21"/>
      <c r="D802" s="21"/>
      <c r="E802" s="21"/>
      <c r="O802" s="20"/>
      <c r="AD802" s="20"/>
    </row>
    <row r="803" ht="15.75" customHeight="1">
      <c r="C803" s="21"/>
      <c r="D803" s="21"/>
      <c r="E803" s="21"/>
      <c r="O803" s="20"/>
      <c r="AD803" s="20"/>
    </row>
    <row r="804" ht="15.75" customHeight="1">
      <c r="C804" s="21"/>
      <c r="D804" s="21"/>
      <c r="E804" s="21"/>
      <c r="O804" s="20"/>
      <c r="AD804" s="20"/>
    </row>
    <row r="805" ht="15.75" customHeight="1">
      <c r="C805" s="21"/>
      <c r="D805" s="21"/>
      <c r="E805" s="21"/>
      <c r="O805" s="20"/>
      <c r="AD805" s="20"/>
    </row>
    <row r="806" ht="15.75" customHeight="1">
      <c r="C806" s="21"/>
      <c r="D806" s="21"/>
      <c r="E806" s="21"/>
      <c r="O806" s="20"/>
      <c r="AD806" s="20"/>
    </row>
    <row r="807" ht="15.75" customHeight="1">
      <c r="C807" s="21"/>
      <c r="D807" s="21"/>
      <c r="E807" s="21"/>
      <c r="O807" s="20"/>
      <c r="AD807" s="20"/>
    </row>
    <row r="808" ht="15.75" customHeight="1">
      <c r="C808" s="21"/>
      <c r="D808" s="21"/>
      <c r="E808" s="21"/>
      <c r="O808" s="20"/>
      <c r="AD808" s="20"/>
    </row>
    <row r="809" ht="15.75" customHeight="1">
      <c r="C809" s="21"/>
      <c r="D809" s="21"/>
      <c r="E809" s="21"/>
      <c r="O809" s="20"/>
      <c r="AD809" s="20"/>
    </row>
    <row r="810" ht="15.75" customHeight="1">
      <c r="C810" s="21"/>
      <c r="D810" s="21"/>
      <c r="E810" s="21"/>
      <c r="O810" s="20"/>
      <c r="AD810" s="20"/>
    </row>
    <row r="811" ht="15.75" customHeight="1">
      <c r="C811" s="21"/>
      <c r="D811" s="21"/>
      <c r="E811" s="21"/>
      <c r="O811" s="20"/>
      <c r="AD811" s="20"/>
    </row>
    <row r="812" ht="15.75" customHeight="1">
      <c r="C812" s="21"/>
      <c r="D812" s="21"/>
      <c r="E812" s="21"/>
      <c r="O812" s="20"/>
      <c r="AD812" s="20"/>
    </row>
    <row r="813" ht="15.75" customHeight="1">
      <c r="C813" s="21"/>
      <c r="D813" s="21"/>
      <c r="E813" s="21"/>
      <c r="O813" s="20"/>
      <c r="AD813" s="20"/>
    </row>
    <row r="814" ht="15.75" customHeight="1">
      <c r="C814" s="21"/>
      <c r="D814" s="21"/>
      <c r="E814" s="21"/>
      <c r="O814" s="20"/>
      <c r="AD814" s="20"/>
    </row>
    <row r="815" ht="15.75" customHeight="1">
      <c r="C815" s="21"/>
      <c r="D815" s="21"/>
      <c r="E815" s="21"/>
      <c r="O815" s="20"/>
      <c r="AD815" s="20"/>
    </row>
    <row r="816" ht="15.75" customHeight="1">
      <c r="C816" s="21"/>
      <c r="D816" s="21"/>
      <c r="E816" s="21"/>
      <c r="O816" s="20"/>
      <c r="AD816" s="20"/>
    </row>
    <row r="817" ht="15.75" customHeight="1">
      <c r="C817" s="21"/>
      <c r="D817" s="21"/>
      <c r="E817" s="21"/>
      <c r="O817" s="20"/>
      <c r="AD817" s="20"/>
    </row>
    <row r="818" ht="15.75" customHeight="1">
      <c r="C818" s="21"/>
      <c r="D818" s="21"/>
      <c r="E818" s="21"/>
      <c r="O818" s="20"/>
      <c r="AD818" s="20"/>
    </row>
    <row r="819" ht="15.75" customHeight="1">
      <c r="C819" s="21"/>
      <c r="D819" s="21"/>
      <c r="E819" s="21"/>
      <c r="O819" s="20"/>
      <c r="AD819" s="20"/>
    </row>
    <row r="820" ht="15.75" customHeight="1">
      <c r="C820" s="21"/>
      <c r="D820" s="21"/>
      <c r="E820" s="21"/>
      <c r="O820" s="20"/>
      <c r="AD820" s="20"/>
    </row>
    <row r="821" ht="15.75" customHeight="1">
      <c r="C821" s="21"/>
      <c r="D821" s="21"/>
      <c r="E821" s="21"/>
      <c r="O821" s="20"/>
      <c r="AD821" s="20"/>
    </row>
    <row r="822" ht="15.75" customHeight="1">
      <c r="C822" s="21"/>
      <c r="D822" s="21"/>
      <c r="E822" s="21"/>
      <c r="O822" s="20"/>
      <c r="AD822" s="20"/>
    </row>
    <row r="823" ht="15.75" customHeight="1">
      <c r="C823" s="21"/>
      <c r="D823" s="21"/>
      <c r="E823" s="21"/>
      <c r="O823" s="20"/>
      <c r="AD823" s="20"/>
    </row>
    <row r="824" ht="15.75" customHeight="1">
      <c r="C824" s="21"/>
      <c r="D824" s="21"/>
      <c r="E824" s="21"/>
      <c r="O824" s="20"/>
      <c r="AD824" s="20"/>
    </row>
    <row r="825" ht="15.75" customHeight="1">
      <c r="C825" s="21"/>
      <c r="D825" s="21"/>
      <c r="E825" s="21"/>
      <c r="O825" s="20"/>
      <c r="AD825" s="20"/>
    </row>
    <row r="826" ht="15.75" customHeight="1">
      <c r="C826" s="21"/>
      <c r="D826" s="21"/>
      <c r="E826" s="21"/>
      <c r="O826" s="20"/>
      <c r="AD826" s="20"/>
    </row>
    <row r="827" ht="15.75" customHeight="1">
      <c r="C827" s="21"/>
      <c r="D827" s="21"/>
      <c r="E827" s="21"/>
      <c r="O827" s="20"/>
      <c r="AD827" s="20"/>
    </row>
    <row r="828" ht="15.75" customHeight="1">
      <c r="C828" s="21"/>
      <c r="D828" s="21"/>
      <c r="E828" s="21"/>
      <c r="O828" s="20"/>
      <c r="AD828" s="20"/>
    </row>
    <row r="829" ht="15.75" customHeight="1">
      <c r="C829" s="21"/>
      <c r="D829" s="21"/>
      <c r="E829" s="21"/>
      <c r="O829" s="20"/>
      <c r="AD829" s="20"/>
    </row>
    <row r="830" ht="15.75" customHeight="1">
      <c r="C830" s="21"/>
      <c r="D830" s="21"/>
      <c r="E830" s="21"/>
      <c r="O830" s="20"/>
      <c r="AD830" s="20"/>
    </row>
    <row r="831" ht="15.75" customHeight="1">
      <c r="C831" s="21"/>
      <c r="D831" s="21"/>
      <c r="E831" s="21"/>
      <c r="O831" s="20"/>
      <c r="AD831" s="20"/>
    </row>
    <row r="832" ht="15.75" customHeight="1">
      <c r="C832" s="21"/>
      <c r="D832" s="21"/>
      <c r="E832" s="21"/>
      <c r="O832" s="20"/>
      <c r="AD832" s="20"/>
    </row>
    <row r="833" ht="15.75" customHeight="1">
      <c r="C833" s="21"/>
      <c r="D833" s="21"/>
      <c r="E833" s="21"/>
      <c r="O833" s="20"/>
      <c r="AD833" s="20"/>
    </row>
    <row r="834" ht="15.75" customHeight="1">
      <c r="C834" s="21"/>
      <c r="D834" s="21"/>
      <c r="E834" s="21"/>
      <c r="O834" s="20"/>
      <c r="AD834" s="20"/>
    </row>
    <row r="835" ht="15.75" customHeight="1">
      <c r="C835" s="21"/>
      <c r="D835" s="21"/>
      <c r="E835" s="21"/>
      <c r="O835" s="20"/>
      <c r="AD835" s="20"/>
    </row>
    <row r="836" ht="15.75" customHeight="1">
      <c r="C836" s="21"/>
      <c r="D836" s="21"/>
      <c r="E836" s="21"/>
      <c r="O836" s="20"/>
      <c r="AD836" s="20"/>
    </row>
    <row r="837" ht="15.75" customHeight="1">
      <c r="C837" s="21"/>
      <c r="D837" s="21"/>
      <c r="E837" s="21"/>
      <c r="O837" s="20"/>
      <c r="AD837" s="20"/>
    </row>
    <row r="838" ht="15.75" customHeight="1">
      <c r="C838" s="21"/>
      <c r="D838" s="21"/>
      <c r="E838" s="21"/>
      <c r="O838" s="20"/>
      <c r="AD838" s="20"/>
    </row>
    <row r="839" ht="15.75" customHeight="1">
      <c r="C839" s="21"/>
      <c r="D839" s="21"/>
      <c r="E839" s="21"/>
      <c r="O839" s="20"/>
      <c r="AD839" s="20"/>
    </row>
    <row r="840" ht="15.75" customHeight="1">
      <c r="C840" s="21"/>
      <c r="D840" s="21"/>
      <c r="E840" s="21"/>
      <c r="O840" s="20"/>
      <c r="AD840" s="20"/>
    </row>
    <row r="841" ht="15.75" customHeight="1">
      <c r="C841" s="21"/>
      <c r="D841" s="21"/>
      <c r="E841" s="21"/>
      <c r="O841" s="20"/>
      <c r="AD841" s="20"/>
    </row>
    <row r="842" ht="15.75" customHeight="1">
      <c r="C842" s="21"/>
      <c r="D842" s="21"/>
      <c r="E842" s="21"/>
      <c r="O842" s="20"/>
      <c r="AD842" s="20"/>
    </row>
    <row r="843" ht="15.75" customHeight="1">
      <c r="C843" s="21"/>
      <c r="D843" s="21"/>
      <c r="E843" s="21"/>
      <c r="O843" s="20"/>
      <c r="AD843" s="20"/>
    </row>
    <row r="844" ht="15.75" customHeight="1">
      <c r="C844" s="21"/>
      <c r="D844" s="21"/>
      <c r="E844" s="21"/>
      <c r="O844" s="20"/>
      <c r="AD844" s="20"/>
    </row>
    <row r="845" ht="15.75" customHeight="1">
      <c r="C845" s="21"/>
      <c r="D845" s="21"/>
      <c r="E845" s="21"/>
      <c r="O845" s="20"/>
      <c r="AD845" s="20"/>
    </row>
    <row r="846" ht="15.75" customHeight="1">
      <c r="C846" s="21"/>
      <c r="D846" s="21"/>
      <c r="E846" s="21"/>
      <c r="O846" s="20"/>
      <c r="AD846" s="20"/>
    </row>
    <row r="847" ht="15.75" customHeight="1">
      <c r="C847" s="21"/>
      <c r="D847" s="21"/>
      <c r="E847" s="21"/>
      <c r="O847" s="20"/>
      <c r="AD847" s="20"/>
    </row>
    <row r="848" ht="15.75" customHeight="1">
      <c r="C848" s="21"/>
      <c r="D848" s="21"/>
      <c r="E848" s="21"/>
      <c r="O848" s="20"/>
      <c r="AD848" s="20"/>
    </row>
    <row r="849" ht="15.75" customHeight="1">
      <c r="C849" s="21"/>
      <c r="D849" s="21"/>
      <c r="E849" s="21"/>
      <c r="O849" s="20"/>
      <c r="AD849" s="20"/>
    </row>
    <row r="850" ht="15.75" customHeight="1">
      <c r="C850" s="21"/>
      <c r="D850" s="21"/>
      <c r="E850" s="21"/>
      <c r="O850" s="20"/>
      <c r="AD850" s="20"/>
    </row>
    <row r="851" ht="15.75" customHeight="1">
      <c r="C851" s="21"/>
      <c r="D851" s="21"/>
      <c r="E851" s="21"/>
      <c r="O851" s="20"/>
      <c r="AD851" s="20"/>
    </row>
    <row r="852" ht="15.75" customHeight="1">
      <c r="C852" s="21"/>
      <c r="D852" s="21"/>
      <c r="E852" s="21"/>
      <c r="O852" s="20"/>
      <c r="AD852" s="20"/>
    </row>
    <row r="853" ht="15.75" customHeight="1">
      <c r="C853" s="21"/>
      <c r="D853" s="21"/>
      <c r="E853" s="21"/>
      <c r="O853" s="20"/>
      <c r="AD853" s="20"/>
    </row>
    <row r="854" ht="15.75" customHeight="1">
      <c r="C854" s="21"/>
      <c r="D854" s="21"/>
      <c r="E854" s="21"/>
      <c r="O854" s="20"/>
      <c r="AD854" s="20"/>
    </row>
    <row r="855" ht="15.75" customHeight="1">
      <c r="C855" s="21"/>
      <c r="D855" s="21"/>
      <c r="E855" s="21"/>
      <c r="O855" s="20"/>
      <c r="AD855" s="20"/>
    </row>
    <row r="856" ht="15.75" customHeight="1">
      <c r="C856" s="21"/>
      <c r="D856" s="21"/>
      <c r="E856" s="21"/>
      <c r="O856" s="20"/>
      <c r="AD856" s="20"/>
    </row>
    <row r="857" ht="15.75" customHeight="1">
      <c r="C857" s="21"/>
      <c r="D857" s="21"/>
      <c r="E857" s="21"/>
      <c r="O857" s="20"/>
      <c r="AD857" s="20"/>
    </row>
    <row r="858" ht="15.75" customHeight="1">
      <c r="C858" s="21"/>
      <c r="D858" s="21"/>
      <c r="E858" s="21"/>
      <c r="O858" s="20"/>
      <c r="AD858" s="20"/>
    </row>
    <row r="859" ht="15.75" customHeight="1">
      <c r="C859" s="21"/>
      <c r="D859" s="21"/>
      <c r="E859" s="21"/>
      <c r="O859" s="20"/>
      <c r="AD859" s="20"/>
    </row>
    <row r="860" ht="15.75" customHeight="1">
      <c r="C860" s="21"/>
      <c r="D860" s="21"/>
      <c r="E860" s="21"/>
      <c r="O860" s="20"/>
      <c r="AD860" s="20"/>
    </row>
    <row r="861" ht="15.75" customHeight="1">
      <c r="C861" s="21"/>
      <c r="D861" s="21"/>
      <c r="E861" s="21"/>
      <c r="O861" s="20"/>
      <c r="AD861" s="20"/>
    </row>
    <row r="862" ht="15.75" customHeight="1">
      <c r="C862" s="21"/>
      <c r="D862" s="21"/>
      <c r="E862" s="21"/>
      <c r="O862" s="20"/>
      <c r="AD862" s="20"/>
    </row>
    <row r="863" ht="15.75" customHeight="1">
      <c r="C863" s="21"/>
      <c r="D863" s="21"/>
      <c r="E863" s="21"/>
      <c r="O863" s="20"/>
      <c r="AD863" s="20"/>
    </row>
    <row r="864" ht="15.75" customHeight="1">
      <c r="C864" s="21"/>
      <c r="D864" s="21"/>
      <c r="E864" s="21"/>
      <c r="O864" s="20"/>
      <c r="AD864" s="20"/>
    </row>
    <row r="865" ht="15.75" customHeight="1">
      <c r="C865" s="21"/>
      <c r="D865" s="21"/>
      <c r="E865" s="21"/>
      <c r="O865" s="20"/>
      <c r="AD865" s="20"/>
    </row>
    <row r="866" ht="15.75" customHeight="1">
      <c r="C866" s="21"/>
      <c r="D866" s="21"/>
      <c r="E866" s="21"/>
      <c r="O866" s="20"/>
      <c r="AD866" s="20"/>
    </row>
    <row r="867" ht="15.75" customHeight="1">
      <c r="C867" s="21"/>
      <c r="D867" s="21"/>
      <c r="E867" s="21"/>
      <c r="O867" s="20"/>
      <c r="AD867" s="20"/>
    </row>
    <row r="868" ht="15.75" customHeight="1">
      <c r="C868" s="21"/>
      <c r="D868" s="21"/>
      <c r="E868" s="21"/>
      <c r="O868" s="20"/>
      <c r="AD868" s="20"/>
    </row>
    <row r="869" ht="15.75" customHeight="1">
      <c r="C869" s="21"/>
      <c r="D869" s="21"/>
      <c r="E869" s="21"/>
      <c r="O869" s="20"/>
      <c r="AD869" s="20"/>
    </row>
    <row r="870" ht="15.75" customHeight="1">
      <c r="C870" s="21"/>
      <c r="D870" s="21"/>
      <c r="E870" s="21"/>
      <c r="O870" s="20"/>
      <c r="AD870" s="20"/>
    </row>
    <row r="871" ht="15.75" customHeight="1">
      <c r="C871" s="21"/>
      <c r="D871" s="21"/>
      <c r="E871" s="21"/>
      <c r="O871" s="20"/>
      <c r="AD871" s="20"/>
    </row>
    <row r="872" ht="15.75" customHeight="1">
      <c r="C872" s="21"/>
      <c r="D872" s="21"/>
      <c r="E872" s="21"/>
      <c r="O872" s="20"/>
      <c r="AD872" s="20"/>
    </row>
    <row r="873" ht="15.75" customHeight="1">
      <c r="C873" s="21"/>
      <c r="D873" s="21"/>
      <c r="E873" s="21"/>
      <c r="O873" s="20"/>
      <c r="AD873" s="20"/>
    </row>
    <row r="874" ht="15.75" customHeight="1">
      <c r="C874" s="21"/>
      <c r="D874" s="21"/>
      <c r="E874" s="21"/>
      <c r="O874" s="20"/>
      <c r="AD874" s="20"/>
    </row>
    <row r="875" ht="15.75" customHeight="1">
      <c r="C875" s="21"/>
      <c r="D875" s="21"/>
      <c r="E875" s="21"/>
      <c r="O875" s="20"/>
      <c r="AD875" s="20"/>
    </row>
    <row r="876" ht="15.75" customHeight="1">
      <c r="C876" s="21"/>
      <c r="D876" s="21"/>
      <c r="E876" s="21"/>
      <c r="O876" s="20"/>
      <c r="AD876" s="20"/>
    </row>
    <row r="877" ht="15.75" customHeight="1">
      <c r="C877" s="21"/>
      <c r="D877" s="21"/>
      <c r="E877" s="21"/>
      <c r="O877" s="20"/>
      <c r="AD877" s="20"/>
    </row>
    <row r="878" ht="15.75" customHeight="1">
      <c r="C878" s="21"/>
      <c r="D878" s="21"/>
      <c r="E878" s="21"/>
      <c r="O878" s="20"/>
      <c r="AD878" s="20"/>
    </row>
    <row r="879" ht="15.75" customHeight="1">
      <c r="C879" s="21"/>
      <c r="D879" s="21"/>
      <c r="E879" s="21"/>
      <c r="O879" s="20"/>
      <c r="AD879" s="20"/>
    </row>
    <row r="880" ht="15.75" customHeight="1">
      <c r="C880" s="21"/>
      <c r="D880" s="21"/>
      <c r="E880" s="21"/>
      <c r="O880" s="20"/>
      <c r="AD880" s="20"/>
    </row>
    <row r="881" ht="15.75" customHeight="1">
      <c r="C881" s="21"/>
      <c r="D881" s="21"/>
      <c r="E881" s="21"/>
      <c r="O881" s="20"/>
      <c r="AD881" s="20"/>
    </row>
    <row r="882" ht="15.75" customHeight="1">
      <c r="C882" s="21"/>
      <c r="D882" s="21"/>
      <c r="E882" s="21"/>
      <c r="O882" s="20"/>
      <c r="AD882" s="20"/>
    </row>
    <row r="883" ht="15.75" customHeight="1">
      <c r="C883" s="21"/>
      <c r="D883" s="21"/>
      <c r="E883" s="21"/>
      <c r="O883" s="20"/>
      <c r="AD883" s="20"/>
    </row>
    <row r="884" ht="15.75" customHeight="1">
      <c r="C884" s="21"/>
      <c r="D884" s="21"/>
      <c r="E884" s="21"/>
      <c r="O884" s="20"/>
      <c r="AD884" s="20"/>
    </row>
    <row r="885" ht="15.75" customHeight="1">
      <c r="C885" s="21"/>
      <c r="D885" s="21"/>
      <c r="E885" s="21"/>
      <c r="O885" s="20"/>
      <c r="AD885" s="20"/>
    </row>
    <row r="886" ht="15.75" customHeight="1">
      <c r="C886" s="21"/>
      <c r="D886" s="21"/>
      <c r="E886" s="21"/>
      <c r="O886" s="20"/>
      <c r="AD886" s="20"/>
    </row>
    <row r="887" ht="15.75" customHeight="1">
      <c r="C887" s="21"/>
      <c r="D887" s="21"/>
      <c r="E887" s="21"/>
      <c r="O887" s="20"/>
      <c r="AD887" s="20"/>
    </row>
    <row r="888" ht="15.75" customHeight="1">
      <c r="C888" s="21"/>
      <c r="D888" s="21"/>
      <c r="E888" s="21"/>
      <c r="O888" s="20"/>
      <c r="AD888" s="20"/>
    </row>
    <row r="889" ht="15.75" customHeight="1">
      <c r="C889" s="21"/>
      <c r="D889" s="21"/>
      <c r="E889" s="21"/>
      <c r="O889" s="20"/>
      <c r="AD889" s="20"/>
    </row>
    <row r="890" ht="15.75" customHeight="1">
      <c r="C890" s="21"/>
      <c r="D890" s="21"/>
      <c r="E890" s="21"/>
      <c r="O890" s="20"/>
      <c r="AD890" s="20"/>
    </row>
    <row r="891" ht="15.75" customHeight="1">
      <c r="C891" s="21"/>
      <c r="D891" s="21"/>
      <c r="E891" s="21"/>
      <c r="O891" s="20"/>
      <c r="AD891" s="20"/>
    </row>
    <row r="892" ht="15.75" customHeight="1">
      <c r="C892" s="21"/>
      <c r="D892" s="21"/>
      <c r="E892" s="21"/>
      <c r="O892" s="20"/>
      <c r="AD892" s="20"/>
    </row>
    <row r="893" ht="15.75" customHeight="1">
      <c r="C893" s="21"/>
      <c r="D893" s="21"/>
      <c r="E893" s="21"/>
      <c r="O893" s="20"/>
      <c r="AD893" s="20"/>
    </row>
    <row r="894" ht="15.75" customHeight="1">
      <c r="C894" s="21"/>
      <c r="D894" s="21"/>
      <c r="E894" s="21"/>
      <c r="O894" s="20"/>
      <c r="AD894" s="20"/>
    </row>
    <row r="895" ht="15.75" customHeight="1">
      <c r="C895" s="21"/>
      <c r="D895" s="21"/>
      <c r="E895" s="21"/>
      <c r="O895" s="20"/>
      <c r="AD895" s="20"/>
    </row>
    <row r="896" ht="15.75" customHeight="1">
      <c r="C896" s="21"/>
      <c r="D896" s="21"/>
      <c r="E896" s="21"/>
      <c r="O896" s="20"/>
      <c r="AD896" s="20"/>
    </row>
    <row r="897" ht="15.75" customHeight="1">
      <c r="C897" s="21"/>
      <c r="D897" s="21"/>
      <c r="E897" s="21"/>
      <c r="O897" s="20"/>
      <c r="AD897" s="20"/>
    </row>
    <row r="898" ht="15.75" customHeight="1">
      <c r="C898" s="21"/>
      <c r="D898" s="21"/>
      <c r="E898" s="21"/>
      <c r="O898" s="20"/>
      <c r="AD898" s="20"/>
    </row>
    <row r="899" ht="15.75" customHeight="1">
      <c r="C899" s="21"/>
      <c r="D899" s="21"/>
      <c r="E899" s="21"/>
      <c r="O899" s="20"/>
      <c r="AD899" s="20"/>
    </row>
    <row r="900" ht="15.75" customHeight="1">
      <c r="C900" s="21"/>
      <c r="D900" s="21"/>
      <c r="E900" s="21"/>
      <c r="O900" s="20"/>
      <c r="AD900" s="20"/>
    </row>
    <row r="901" ht="15.75" customHeight="1">
      <c r="C901" s="21"/>
      <c r="D901" s="21"/>
      <c r="E901" s="21"/>
      <c r="O901" s="20"/>
      <c r="AD901" s="20"/>
    </row>
    <row r="902" ht="15.75" customHeight="1">
      <c r="C902" s="21"/>
      <c r="D902" s="21"/>
      <c r="E902" s="21"/>
      <c r="O902" s="20"/>
      <c r="AD902" s="20"/>
    </row>
    <row r="903" ht="15.75" customHeight="1">
      <c r="C903" s="21"/>
      <c r="D903" s="21"/>
      <c r="E903" s="21"/>
      <c r="O903" s="20"/>
      <c r="AD903" s="20"/>
    </row>
    <row r="904" ht="15.75" customHeight="1">
      <c r="C904" s="21"/>
      <c r="D904" s="21"/>
      <c r="E904" s="21"/>
      <c r="O904" s="20"/>
      <c r="AD904" s="20"/>
    </row>
    <row r="905" ht="15.75" customHeight="1">
      <c r="C905" s="21"/>
      <c r="D905" s="21"/>
      <c r="E905" s="21"/>
      <c r="O905" s="20"/>
      <c r="AD905" s="20"/>
    </row>
    <row r="906" ht="15.75" customHeight="1">
      <c r="C906" s="21"/>
      <c r="D906" s="21"/>
      <c r="E906" s="21"/>
      <c r="O906" s="20"/>
      <c r="AD906" s="20"/>
    </row>
    <row r="907" ht="15.75" customHeight="1">
      <c r="C907" s="21"/>
      <c r="D907" s="21"/>
      <c r="E907" s="21"/>
      <c r="O907" s="20"/>
      <c r="AD907" s="20"/>
    </row>
    <row r="908" ht="15.75" customHeight="1">
      <c r="C908" s="21"/>
      <c r="D908" s="21"/>
      <c r="E908" s="21"/>
      <c r="O908" s="20"/>
      <c r="AD908" s="20"/>
    </row>
    <row r="909" ht="15.75" customHeight="1">
      <c r="C909" s="21"/>
      <c r="D909" s="21"/>
      <c r="E909" s="21"/>
      <c r="O909" s="20"/>
      <c r="AD909" s="20"/>
    </row>
    <row r="910" ht="15.75" customHeight="1">
      <c r="C910" s="21"/>
      <c r="D910" s="21"/>
      <c r="E910" s="21"/>
      <c r="O910" s="20"/>
      <c r="AD910" s="20"/>
    </row>
    <row r="911" ht="15.75" customHeight="1">
      <c r="C911" s="21"/>
      <c r="D911" s="21"/>
      <c r="E911" s="21"/>
      <c r="O911" s="20"/>
      <c r="AD911" s="20"/>
    </row>
    <row r="912" ht="15.75" customHeight="1">
      <c r="C912" s="21"/>
      <c r="D912" s="21"/>
      <c r="E912" s="21"/>
      <c r="O912" s="20"/>
      <c r="AD912" s="20"/>
    </row>
    <row r="913" ht="15.75" customHeight="1">
      <c r="C913" s="21"/>
      <c r="D913" s="21"/>
      <c r="E913" s="21"/>
      <c r="O913" s="20"/>
      <c r="AD913" s="20"/>
    </row>
    <row r="914" ht="15.75" customHeight="1">
      <c r="C914" s="21"/>
      <c r="D914" s="21"/>
      <c r="E914" s="21"/>
      <c r="O914" s="20"/>
      <c r="AD914" s="20"/>
    </row>
    <row r="915" ht="15.75" customHeight="1">
      <c r="C915" s="21"/>
      <c r="D915" s="21"/>
      <c r="E915" s="21"/>
      <c r="O915" s="20"/>
      <c r="AD915" s="20"/>
    </row>
    <row r="916" ht="15.75" customHeight="1">
      <c r="C916" s="21"/>
      <c r="D916" s="21"/>
      <c r="E916" s="21"/>
      <c r="O916" s="20"/>
      <c r="AD916" s="20"/>
    </row>
    <row r="917" ht="15.75" customHeight="1">
      <c r="C917" s="21"/>
      <c r="D917" s="21"/>
      <c r="E917" s="21"/>
      <c r="O917" s="20"/>
      <c r="AD917" s="20"/>
    </row>
    <row r="918" ht="15.75" customHeight="1">
      <c r="C918" s="21"/>
      <c r="D918" s="21"/>
      <c r="E918" s="21"/>
      <c r="O918" s="20"/>
      <c r="AD918" s="20"/>
    </row>
    <row r="919" ht="15.75" customHeight="1">
      <c r="C919" s="21"/>
      <c r="D919" s="21"/>
      <c r="E919" s="21"/>
      <c r="O919" s="20"/>
      <c r="AD919" s="20"/>
    </row>
    <row r="920" ht="15.75" customHeight="1">
      <c r="C920" s="21"/>
      <c r="D920" s="21"/>
      <c r="E920" s="21"/>
      <c r="O920" s="20"/>
      <c r="AD920" s="20"/>
    </row>
    <row r="921" ht="15.75" customHeight="1">
      <c r="C921" s="21"/>
      <c r="D921" s="21"/>
      <c r="E921" s="21"/>
      <c r="O921" s="20"/>
      <c r="AD921" s="20"/>
    </row>
    <row r="922" ht="15.75" customHeight="1">
      <c r="C922" s="21"/>
      <c r="D922" s="21"/>
      <c r="E922" s="21"/>
      <c r="O922" s="20"/>
      <c r="AD922" s="20"/>
    </row>
    <row r="923" ht="15.75" customHeight="1">
      <c r="C923" s="21"/>
      <c r="D923" s="21"/>
      <c r="E923" s="21"/>
      <c r="O923" s="20"/>
      <c r="AD923" s="20"/>
    </row>
    <row r="924" ht="15.75" customHeight="1">
      <c r="C924" s="21"/>
      <c r="D924" s="21"/>
      <c r="E924" s="21"/>
      <c r="O924" s="20"/>
      <c r="AD924" s="20"/>
    </row>
    <row r="925" ht="15.75" customHeight="1">
      <c r="C925" s="21"/>
      <c r="D925" s="21"/>
      <c r="E925" s="21"/>
      <c r="O925" s="20"/>
      <c r="AD925" s="20"/>
    </row>
    <row r="926" ht="15.75" customHeight="1">
      <c r="C926" s="21"/>
      <c r="D926" s="21"/>
      <c r="E926" s="21"/>
      <c r="O926" s="20"/>
      <c r="AD926" s="20"/>
    </row>
    <row r="927" ht="15.75" customHeight="1">
      <c r="C927" s="21"/>
      <c r="D927" s="21"/>
      <c r="E927" s="21"/>
      <c r="O927" s="20"/>
      <c r="AD927" s="20"/>
    </row>
    <row r="928" ht="15.75" customHeight="1">
      <c r="C928" s="21"/>
      <c r="D928" s="21"/>
      <c r="E928" s="21"/>
      <c r="O928" s="20"/>
      <c r="AD928" s="20"/>
    </row>
    <row r="929" ht="15.75" customHeight="1">
      <c r="C929" s="21"/>
      <c r="D929" s="21"/>
      <c r="E929" s="21"/>
      <c r="O929" s="20"/>
      <c r="AD929" s="20"/>
    </row>
    <row r="930" ht="15.75" customHeight="1">
      <c r="C930" s="21"/>
      <c r="D930" s="21"/>
      <c r="E930" s="21"/>
      <c r="O930" s="20"/>
      <c r="AD930" s="20"/>
    </row>
    <row r="931" ht="15.75" customHeight="1">
      <c r="C931" s="21"/>
      <c r="D931" s="21"/>
      <c r="E931" s="21"/>
      <c r="O931" s="20"/>
      <c r="AD931" s="20"/>
    </row>
    <row r="932" ht="15.75" customHeight="1">
      <c r="C932" s="21"/>
      <c r="D932" s="21"/>
      <c r="E932" s="21"/>
      <c r="O932" s="20"/>
      <c r="AD932" s="20"/>
    </row>
    <row r="933" ht="15.75" customHeight="1">
      <c r="C933" s="21"/>
      <c r="D933" s="21"/>
      <c r="E933" s="21"/>
      <c r="O933" s="20"/>
      <c r="AD933" s="20"/>
    </row>
    <row r="934" ht="15.75" customHeight="1">
      <c r="C934" s="21"/>
      <c r="D934" s="21"/>
      <c r="E934" s="21"/>
      <c r="O934" s="20"/>
      <c r="AD934" s="20"/>
    </row>
    <row r="935" ht="15.75" customHeight="1">
      <c r="C935" s="21"/>
      <c r="D935" s="21"/>
      <c r="E935" s="21"/>
      <c r="O935" s="20"/>
      <c r="AD935" s="20"/>
    </row>
    <row r="936" ht="15.75" customHeight="1">
      <c r="C936" s="21"/>
      <c r="D936" s="21"/>
      <c r="E936" s="21"/>
      <c r="O936" s="20"/>
      <c r="AD936" s="20"/>
    </row>
    <row r="937" ht="15.75" customHeight="1">
      <c r="C937" s="21"/>
      <c r="D937" s="21"/>
      <c r="E937" s="21"/>
      <c r="O937" s="20"/>
      <c r="AD937" s="20"/>
    </row>
    <row r="938" ht="15.75" customHeight="1">
      <c r="C938" s="21"/>
      <c r="D938" s="21"/>
      <c r="E938" s="21"/>
      <c r="O938" s="20"/>
      <c r="AD938" s="20"/>
    </row>
    <row r="939" ht="15.75" customHeight="1">
      <c r="C939" s="21"/>
      <c r="D939" s="21"/>
      <c r="E939" s="21"/>
      <c r="O939" s="20"/>
      <c r="AD939" s="20"/>
    </row>
    <row r="940" ht="15.75" customHeight="1">
      <c r="C940" s="21"/>
      <c r="D940" s="21"/>
      <c r="E940" s="21"/>
      <c r="O940" s="20"/>
      <c r="AD940" s="20"/>
    </row>
    <row r="941" ht="15.75" customHeight="1">
      <c r="C941" s="21"/>
      <c r="D941" s="21"/>
      <c r="E941" s="21"/>
      <c r="O941" s="20"/>
      <c r="AD941" s="20"/>
    </row>
    <row r="942" ht="15.75" customHeight="1">
      <c r="C942" s="21"/>
      <c r="D942" s="21"/>
      <c r="E942" s="21"/>
      <c r="O942" s="20"/>
      <c r="AD942" s="20"/>
    </row>
    <row r="943" ht="15.75" customHeight="1">
      <c r="C943" s="21"/>
      <c r="D943" s="21"/>
      <c r="E943" s="21"/>
      <c r="O943" s="20"/>
      <c r="AD943" s="20"/>
    </row>
    <row r="944" ht="15.75" customHeight="1">
      <c r="C944" s="21"/>
      <c r="D944" s="21"/>
      <c r="E944" s="21"/>
      <c r="O944" s="20"/>
      <c r="AD944" s="20"/>
    </row>
    <row r="945" ht="15.75" customHeight="1">
      <c r="C945" s="21"/>
      <c r="D945" s="21"/>
      <c r="E945" s="21"/>
      <c r="O945" s="20"/>
      <c r="AD945" s="20"/>
    </row>
    <row r="946" ht="15.75" customHeight="1">
      <c r="C946" s="21"/>
      <c r="D946" s="21"/>
      <c r="E946" s="21"/>
      <c r="O946" s="20"/>
      <c r="AD946" s="20"/>
    </row>
    <row r="947" ht="15.75" customHeight="1">
      <c r="C947" s="21"/>
      <c r="D947" s="21"/>
      <c r="E947" s="21"/>
      <c r="O947" s="20"/>
      <c r="AD947" s="20"/>
    </row>
    <row r="948" ht="15.75" customHeight="1">
      <c r="C948" s="21"/>
      <c r="D948" s="21"/>
      <c r="E948" s="21"/>
      <c r="O948" s="20"/>
      <c r="AD948" s="20"/>
    </row>
    <row r="949" ht="15.75" customHeight="1">
      <c r="C949" s="21"/>
      <c r="D949" s="21"/>
      <c r="E949" s="21"/>
      <c r="O949" s="20"/>
      <c r="AD949" s="20"/>
    </row>
    <row r="950" ht="15.75" customHeight="1">
      <c r="C950" s="21"/>
      <c r="D950" s="21"/>
      <c r="E950" s="21"/>
      <c r="O950" s="20"/>
      <c r="AD950" s="20"/>
    </row>
    <row r="951" ht="15.75" customHeight="1">
      <c r="C951" s="21"/>
      <c r="D951" s="21"/>
      <c r="E951" s="21"/>
      <c r="O951" s="20"/>
      <c r="AD951" s="20"/>
    </row>
    <row r="952" ht="15.75" customHeight="1">
      <c r="C952" s="21"/>
      <c r="D952" s="21"/>
      <c r="E952" s="21"/>
      <c r="O952" s="20"/>
      <c r="AD952" s="20"/>
    </row>
    <row r="953" ht="15.75" customHeight="1">
      <c r="C953" s="21"/>
      <c r="D953" s="21"/>
      <c r="E953" s="21"/>
      <c r="O953" s="20"/>
      <c r="AD953" s="20"/>
    </row>
    <row r="954" ht="15.75" customHeight="1">
      <c r="C954" s="21"/>
      <c r="D954" s="21"/>
      <c r="E954" s="21"/>
      <c r="O954" s="20"/>
      <c r="AD954" s="20"/>
    </row>
    <row r="955" ht="15.75" customHeight="1">
      <c r="C955" s="21"/>
      <c r="D955" s="21"/>
      <c r="E955" s="21"/>
      <c r="O955" s="20"/>
      <c r="AD955" s="20"/>
    </row>
    <row r="956" ht="15.75" customHeight="1">
      <c r="C956" s="21"/>
      <c r="D956" s="21"/>
      <c r="E956" s="21"/>
      <c r="O956" s="20"/>
      <c r="AD956" s="20"/>
    </row>
    <row r="957" ht="15.75" customHeight="1">
      <c r="C957" s="21"/>
      <c r="D957" s="21"/>
      <c r="E957" s="21"/>
      <c r="O957" s="20"/>
      <c r="AD957" s="20"/>
    </row>
    <row r="958" ht="15.75" customHeight="1">
      <c r="C958" s="21"/>
      <c r="D958" s="21"/>
      <c r="E958" s="21"/>
      <c r="O958" s="20"/>
      <c r="AD958" s="20"/>
    </row>
    <row r="959" ht="15.75" customHeight="1">
      <c r="C959" s="21"/>
      <c r="D959" s="21"/>
      <c r="E959" s="21"/>
      <c r="O959" s="20"/>
      <c r="AD959" s="20"/>
    </row>
    <row r="960" ht="15.75" customHeight="1">
      <c r="C960" s="21"/>
      <c r="D960" s="21"/>
      <c r="E960" s="21"/>
      <c r="O960" s="20"/>
      <c r="AD960" s="20"/>
    </row>
    <row r="961" ht="15.75" customHeight="1">
      <c r="C961" s="21"/>
      <c r="D961" s="21"/>
      <c r="E961" s="21"/>
      <c r="O961" s="20"/>
      <c r="AD961" s="20"/>
    </row>
    <row r="962" ht="15.75" customHeight="1">
      <c r="C962" s="21"/>
      <c r="D962" s="21"/>
      <c r="E962" s="21"/>
      <c r="O962" s="20"/>
      <c r="AD962" s="20"/>
    </row>
    <row r="963" ht="15.75" customHeight="1">
      <c r="C963" s="21"/>
      <c r="D963" s="21"/>
      <c r="E963" s="21"/>
      <c r="O963" s="20"/>
      <c r="AD963" s="20"/>
    </row>
    <row r="964" ht="15.75" customHeight="1">
      <c r="C964" s="21"/>
      <c r="D964" s="21"/>
      <c r="E964" s="21"/>
      <c r="O964" s="20"/>
      <c r="AD964" s="20"/>
    </row>
    <row r="965" ht="15.75" customHeight="1">
      <c r="C965" s="21"/>
      <c r="D965" s="21"/>
      <c r="E965" s="21"/>
      <c r="O965" s="20"/>
      <c r="AD965" s="20"/>
    </row>
    <row r="966" ht="15.75" customHeight="1">
      <c r="C966" s="21"/>
      <c r="D966" s="21"/>
      <c r="E966" s="21"/>
      <c r="O966" s="20"/>
      <c r="AD966" s="20"/>
    </row>
    <row r="967" ht="15.75" customHeight="1">
      <c r="C967" s="21"/>
      <c r="D967" s="21"/>
      <c r="E967" s="21"/>
      <c r="O967" s="20"/>
      <c r="AD967" s="20"/>
    </row>
    <row r="968" ht="15.75" customHeight="1">
      <c r="C968" s="21"/>
      <c r="D968" s="21"/>
      <c r="E968" s="21"/>
      <c r="O968" s="20"/>
      <c r="AD968" s="20"/>
    </row>
    <row r="969" ht="15.75" customHeight="1">
      <c r="C969" s="21"/>
      <c r="D969" s="21"/>
      <c r="E969" s="21"/>
      <c r="O969" s="20"/>
      <c r="AD969" s="20"/>
    </row>
    <row r="970" ht="15.75" customHeight="1">
      <c r="C970" s="21"/>
      <c r="D970" s="21"/>
      <c r="E970" s="21"/>
      <c r="O970" s="20"/>
      <c r="AD970" s="20"/>
    </row>
    <row r="971" ht="15.75" customHeight="1">
      <c r="C971" s="21"/>
      <c r="D971" s="21"/>
      <c r="E971" s="21"/>
      <c r="O971" s="20"/>
      <c r="AD971" s="20"/>
    </row>
    <row r="972" ht="15.75" customHeight="1">
      <c r="C972" s="21"/>
      <c r="D972" s="21"/>
      <c r="E972" s="21"/>
      <c r="O972" s="20"/>
      <c r="AD972" s="20"/>
    </row>
    <row r="973" ht="15.75" customHeight="1">
      <c r="C973" s="21"/>
      <c r="D973" s="21"/>
      <c r="E973" s="21"/>
      <c r="O973" s="20"/>
      <c r="AD973" s="20"/>
    </row>
    <row r="974" ht="15.75" customHeight="1">
      <c r="C974" s="21"/>
      <c r="D974" s="21"/>
      <c r="E974" s="21"/>
      <c r="O974" s="20"/>
      <c r="AD974" s="20"/>
    </row>
    <row r="975" ht="15.75" customHeight="1">
      <c r="C975" s="21"/>
      <c r="D975" s="21"/>
      <c r="E975" s="21"/>
      <c r="O975" s="20"/>
      <c r="AD975" s="20"/>
    </row>
    <row r="976" ht="15.75" customHeight="1">
      <c r="C976" s="21"/>
      <c r="D976" s="21"/>
      <c r="E976" s="21"/>
      <c r="O976" s="20"/>
      <c r="AD976" s="20"/>
    </row>
    <row r="977" ht="15.75" customHeight="1">
      <c r="C977" s="21"/>
      <c r="D977" s="21"/>
      <c r="E977" s="21"/>
      <c r="O977" s="20"/>
      <c r="AD977" s="20"/>
    </row>
    <row r="978" ht="15.75" customHeight="1">
      <c r="C978" s="21"/>
      <c r="D978" s="21"/>
      <c r="E978" s="21"/>
      <c r="O978" s="20"/>
      <c r="AD978" s="20"/>
    </row>
    <row r="979" ht="15.75" customHeight="1">
      <c r="C979" s="21"/>
      <c r="D979" s="21"/>
      <c r="E979" s="21"/>
      <c r="O979" s="20"/>
      <c r="AD979" s="20"/>
    </row>
    <row r="980" ht="15.75" customHeight="1">
      <c r="C980" s="21"/>
      <c r="D980" s="21"/>
      <c r="E980" s="21"/>
      <c r="O980" s="20"/>
      <c r="AD980" s="20"/>
    </row>
    <row r="981" ht="15.75" customHeight="1">
      <c r="C981" s="21"/>
      <c r="D981" s="21"/>
      <c r="E981" s="21"/>
      <c r="O981" s="20"/>
      <c r="AD981" s="20"/>
    </row>
    <row r="982" ht="15.75" customHeight="1">
      <c r="C982" s="21"/>
      <c r="D982" s="21"/>
      <c r="E982" s="21"/>
      <c r="O982" s="20"/>
      <c r="AD982" s="20"/>
    </row>
    <row r="983" ht="15.75" customHeight="1">
      <c r="C983" s="21"/>
      <c r="D983" s="21"/>
      <c r="E983" s="21"/>
      <c r="O983" s="20"/>
      <c r="AD983" s="20"/>
    </row>
    <row r="984" ht="15.75" customHeight="1">
      <c r="C984" s="21"/>
      <c r="D984" s="21"/>
      <c r="E984" s="21"/>
      <c r="O984" s="20"/>
      <c r="AD984" s="20"/>
    </row>
    <row r="985" ht="15.75" customHeight="1">
      <c r="C985" s="21"/>
      <c r="D985" s="21"/>
      <c r="E985" s="21"/>
      <c r="O985" s="20"/>
      <c r="AD985" s="20"/>
    </row>
    <row r="986" ht="15.75" customHeight="1">
      <c r="C986" s="21"/>
      <c r="D986" s="21"/>
      <c r="E986" s="21"/>
      <c r="O986" s="20"/>
      <c r="AD986" s="20"/>
    </row>
    <row r="987" ht="15.75" customHeight="1">
      <c r="C987" s="21"/>
      <c r="D987" s="21"/>
      <c r="E987" s="21"/>
      <c r="O987" s="20"/>
      <c r="AD987" s="20"/>
    </row>
    <row r="988" ht="15.75" customHeight="1">
      <c r="C988" s="21"/>
      <c r="D988" s="21"/>
      <c r="E988" s="21"/>
      <c r="O988" s="20"/>
      <c r="AD988" s="20"/>
    </row>
    <row r="989" ht="15.75" customHeight="1">
      <c r="C989" s="21"/>
      <c r="D989" s="21"/>
      <c r="E989" s="21"/>
      <c r="O989" s="20"/>
      <c r="AD989" s="20"/>
    </row>
    <row r="990" ht="15.75" customHeight="1">
      <c r="C990" s="21"/>
      <c r="D990" s="21"/>
      <c r="E990" s="21"/>
      <c r="O990" s="20"/>
      <c r="AD990" s="20"/>
    </row>
    <row r="991" ht="15.75" customHeight="1">
      <c r="C991" s="21"/>
      <c r="D991" s="21"/>
      <c r="E991" s="21"/>
      <c r="O991" s="20"/>
      <c r="AD991" s="20"/>
    </row>
    <row r="992" ht="15.75" customHeight="1">
      <c r="C992" s="21"/>
      <c r="D992" s="21"/>
      <c r="E992" s="21"/>
      <c r="O992" s="20"/>
      <c r="AD992" s="20"/>
    </row>
    <row r="993" ht="15.75" customHeight="1">
      <c r="C993" s="21"/>
      <c r="D993" s="21"/>
      <c r="E993" s="21"/>
      <c r="O993" s="20"/>
      <c r="AD993" s="20"/>
    </row>
    <row r="994" ht="15.75" customHeight="1">
      <c r="C994" s="21"/>
      <c r="D994" s="21"/>
      <c r="E994" s="21"/>
      <c r="O994" s="20"/>
      <c r="AD994" s="20"/>
    </row>
    <row r="995" ht="15.75" customHeight="1">
      <c r="C995" s="21"/>
      <c r="D995" s="21"/>
      <c r="E995" s="21"/>
      <c r="O995" s="20"/>
      <c r="AD995" s="20"/>
    </row>
    <row r="996" ht="15.75" customHeight="1">
      <c r="C996" s="21"/>
      <c r="D996" s="21"/>
      <c r="E996" s="21"/>
      <c r="O996" s="20"/>
      <c r="AD996" s="20"/>
    </row>
    <row r="997" ht="15.75" customHeight="1">
      <c r="C997" s="21"/>
      <c r="D997" s="21"/>
      <c r="E997" s="21"/>
      <c r="O997" s="20"/>
      <c r="AD997" s="20"/>
    </row>
    <row r="998" ht="15.75" customHeight="1">
      <c r="C998" s="21"/>
      <c r="D998" s="21"/>
      <c r="E998" s="21"/>
      <c r="O998" s="20"/>
      <c r="AD998" s="20"/>
    </row>
    <row r="999" ht="15.75" customHeight="1">
      <c r="C999" s="21"/>
      <c r="D999" s="21"/>
      <c r="E999" s="21"/>
      <c r="O999" s="20"/>
      <c r="AD999" s="20"/>
    </row>
    <row r="1000" ht="15.75" customHeight="1">
      <c r="C1000" s="21"/>
      <c r="D1000" s="21"/>
      <c r="E1000" s="21"/>
      <c r="O1000" s="20"/>
      <c r="AD1000" s="20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57.0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4" t="s">
        <v>6</v>
      </c>
      <c r="H1" s="4" t="s">
        <v>7</v>
      </c>
      <c r="I1" s="1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4" t="s">
        <v>13</v>
      </c>
      <c r="O1" s="4" t="s">
        <v>356</v>
      </c>
      <c r="P1" s="5"/>
      <c r="Q1" s="6" t="s">
        <v>15</v>
      </c>
      <c r="R1" s="1" t="s">
        <v>2</v>
      </c>
      <c r="S1" s="1" t="s">
        <v>3</v>
      </c>
      <c r="T1" s="1" t="s">
        <v>4</v>
      </c>
      <c r="U1" s="4" t="s">
        <v>5</v>
      </c>
      <c r="V1" s="4" t="s">
        <v>6</v>
      </c>
      <c r="W1" s="4" t="s">
        <v>7</v>
      </c>
      <c r="X1" s="1" t="s">
        <v>8</v>
      </c>
      <c r="Y1" s="1" t="s">
        <v>9</v>
      </c>
      <c r="Z1" s="1" t="s">
        <v>10</v>
      </c>
      <c r="AA1" s="4" t="s">
        <v>11</v>
      </c>
      <c r="AB1" s="4" t="s">
        <v>12</v>
      </c>
      <c r="AC1" s="4" t="s">
        <v>13</v>
      </c>
      <c r="AD1" s="4" t="s">
        <v>356</v>
      </c>
      <c r="AE1" s="7"/>
      <c r="AF1" s="7"/>
      <c r="AG1" s="7"/>
    </row>
    <row r="2">
      <c r="A2" s="8">
        <v>10101.0</v>
      </c>
      <c r="B2" s="9" t="s">
        <v>16</v>
      </c>
      <c r="C2" s="8">
        <v>7568.0</v>
      </c>
      <c r="D2" s="8">
        <v>2838.222295075655</v>
      </c>
      <c r="E2" s="8">
        <v>111764.0</v>
      </c>
      <c r="F2" s="18">
        <f t="shared" ref="F2:F346" si="1">C2/E2</f>
        <v>0.06771411188</v>
      </c>
      <c r="G2" s="18">
        <f t="shared" ref="G2:G346" si="2">D2/C2</f>
        <v>0.375029373</v>
      </c>
      <c r="H2" s="18">
        <f t="shared" ref="H2:H346" si="3">F2*G2</f>
        <v>0.02539478092</v>
      </c>
      <c r="I2" s="8">
        <v>2976.0</v>
      </c>
      <c r="J2" s="8">
        <v>1084.222249418497</v>
      </c>
      <c r="K2" s="8">
        <v>178051.0</v>
      </c>
      <c r="L2" s="18">
        <f t="shared" ref="L2:L346" si="4">I2/K2</f>
        <v>0.01671431219</v>
      </c>
      <c r="M2" s="18">
        <f t="shared" ref="M2:M346" si="5">J2/I2</f>
        <v>0.3643219924</v>
      </c>
      <c r="N2" s="18">
        <f t="shared" ref="N2:N346" si="6">L2*M2</f>
        <v>0.006089391519</v>
      </c>
      <c r="O2" s="18">
        <f t="shared" ref="O2:O346" si="7">N2/H2</f>
        <v>0.2397890944</v>
      </c>
      <c r="Q2" s="23">
        <v>1.0</v>
      </c>
      <c r="R2" s="8">
        <v>63562.0</v>
      </c>
      <c r="S2" s="8">
        <v>25710.111761957407</v>
      </c>
      <c r="T2" s="8">
        <v>299778.0</v>
      </c>
      <c r="U2" s="18">
        <f t="shared" ref="U2:U12" si="8">R2/T2</f>
        <v>0.2120302357</v>
      </c>
      <c r="V2" s="18">
        <f t="shared" ref="V2:V12" si="9">S2/R2</f>
        <v>0.4044887159</v>
      </c>
      <c r="W2" s="18">
        <f t="shared" ref="W2:W12" si="10">V2*U2</f>
        <v>0.08576383778</v>
      </c>
      <c r="X2" s="8">
        <v>22852.0</v>
      </c>
      <c r="Y2" s="8">
        <v>8881.333553165197</v>
      </c>
      <c r="Z2" s="8">
        <v>292963.0</v>
      </c>
      <c r="AA2" s="18">
        <f t="shared" ref="AA2:AA11" si="11">X2/Z2</f>
        <v>0.07800302427</v>
      </c>
      <c r="AB2" s="18">
        <f t="shared" ref="AB2:AB11" si="12">Y2/X2</f>
        <v>0.3886457883</v>
      </c>
      <c r="AC2" s="18">
        <f t="shared" ref="AC2:AC11" si="13">AA2*AB2</f>
        <v>0.03031554685</v>
      </c>
      <c r="AD2" s="18">
        <f t="shared" ref="AD2:AD11" si="14">AC2/W2</f>
        <v>0.3534770323</v>
      </c>
    </row>
    <row r="3">
      <c r="A3" s="8">
        <v>10102.0</v>
      </c>
      <c r="B3" s="9" t="s">
        <v>17</v>
      </c>
      <c r="C3" s="8">
        <v>535.0</v>
      </c>
      <c r="D3" s="8">
        <v>198.8888940513134</v>
      </c>
      <c r="E3" s="8">
        <v>6797.0</v>
      </c>
      <c r="F3" s="18">
        <f t="shared" si="1"/>
        <v>0.07871119612</v>
      </c>
      <c r="G3" s="18">
        <f t="shared" si="2"/>
        <v>0.3717549422</v>
      </c>
      <c r="H3" s="18">
        <f t="shared" si="3"/>
        <v>0.02926127616</v>
      </c>
      <c r="I3" s="8">
        <v>167.0</v>
      </c>
      <c r="J3" s="8">
        <v>58.88889044523239</v>
      </c>
      <c r="K3" s="8">
        <v>2183.0</v>
      </c>
      <c r="L3" s="18">
        <f t="shared" si="4"/>
        <v>0.07650022904</v>
      </c>
      <c r="M3" s="18">
        <f t="shared" si="5"/>
        <v>0.3526280865</v>
      </c>
      <c r="N3" s="18">
        <f t="shared" si="6"/>
        <v>0.02697612938</v>
      </c>
      <c r="O3" s="18">
        <f t="shared" si="7"/>
        <v>0.9219054302</v>
      </c>
      <c r="Q3" s="23">
        <v>2.0</v>
      </c>
      <c r="R3" s="8">
        <v>188058.0</v>
      </c>
      <c r="S3" s="8">
        <v>70020.6684050858</v>
      </c>
      <c r="T3" s="8">
        <v>1913981.0</v>
      </c>
      <c r="U3" s="18">
        <f t="shared" si="8"/>
        <v>0.09825489386</v>
      </c>
      <c r="V3" s="18">
        <f t="shared" si="9"/>
        <v>0.3723354944</v>
      </c>
      <c r="W3" s="18">
        <f t="shared" si="10"/>
        <v>0.03658378448</v>
      </c>
      <c r="X3" s="8">
        <v>30669.0</v>
      </c>
      <c r="Y3" s="8">
        <v>11274.88917312026</v>
      </c>
      <c r="Z3" s="8">
        <v>1057263.0</v>
      </c>
      <c r="AA3" s="18">
        <f t="shared" si="11"/>
        <v>0.02900791951</v>
      </c>
      <c r="AB3" s="18">
        <f t="shared" si="12"/>
        <v>0.3676314576</v>
      </c>
      <c r="AC3" s="18">
        <f t="shared" si="13"/>
        <v>0.01066422373</v>
      </c>
      <c r="AD3" s="18">
        <f t="shared" si="14"/>
        <v>0.2915013819</v>
      </c>
    </row>
    <row r="4">
      <c r="A4" s="8">
        <v>10103.0</v>
      </c>
      <c r="B4" s="9" t="s">
        <v>18</v>
      </c>
      <c r="C4" s="8">
        <v>6414.0</v>
      </c>
      <c r="D4" s="8">
        <v>2680.6667346954346</v>
      </c>
      <c r="E4" s="8">
        <v>11880.0</v>
      </c>
      <c r="F4" s="18">
        <f t="shared" si="1"/>
        <v>0.5398989899</v>
      </c>
      <c r="G4" s="18">
        <f t="shared" si="2"/>
        <v>0.4179399337</v>
      </c>
      <c r="H4" s="18">
        <f t="shared" si="3"/>
        <v>0.225645348</v>
      </c>
      <c r="I4" s="8">
        <v>890.0</v>
      </c>
      <c r="J4" s="8">
        <v>352.4444527029991</v>
      </c>
      <c r="K4" s="8">
        <v>1727.0</v>
      </c>
      <c r="L4" s="18">
        <f t="shared" si="4"/>
        <v>0.5153445281</v>
      </c>
      <c r="M4" s="18">
        <f t="shared" si="5"/>
        <v>0.396005003</v>
      </c>
      <c r="N4" s="18">
        <f t="shared" si="6"/>
        <v>0.2040790114</v>
      </c>
      <c r="O4" s="18">
        <f t="shared" si="7"/>
        <v>0.9044237481</v>
      </c>
      <c r="Q4" s="23">
        <v>3.0</v>
      </c>
      <c r="R4" s="8">
        <v>157553.0</v>
      </c>
      <c r="S4" s="8">
        <v>59117.223711133</v>
      </c>
      <c r="T4" s="8">
        <v>1082748.0</v>
      </c>
      <c r="U4" s="18">
        <f t="shared" si="8"/>
        <v>0.1455121598</v>
      </c>
      <c r="V4" s="18">
        <f t="shared" si="9"/>
        <v>0.3752211872</v>
      </c>
      <c r="W4" s="18">
        <f t="shared" si="10"/>
        <v>0.05459924536</v>
      </c>
      <c r="X4" s="8">
        <v>45866.0</v>
      </c>
      <c r="Y4" s="8">
        <v>16703.444872826338</v>
      </c>
      <c r="Z4" s="8">
        <v>899279.0</v>
      </c>
      <c r="AA4" s="18">
        <f t="shared" si="11"/>
        <v>0.05100308136</v>
      </c>
      <c r="AB4" s="18">
        <f t="shared" si="12"/>
        <v>0.3641792368</v>
      </c>
      <c r="AC4" s="18">
        <f t="shared" si="13"/>
        <v>0.01857426324</v>
      </c>
      <c r="AD4" s="18">
        <f t="shared" si="14"/>
        <v>0.3401926734</v>
      </c>
    </row>
    <row r="5">
      <c r="A5" s="8">
        <v>10201.0</v>
      </c>
      <c r="B5" s="9" t="s">
        <v>19</v>
      </c>
      <c r="C5" s="8">
        <v>2457.0</v>
      </c>
      <c r="D5" s="8">
        <v>1041.8889136910439</v>
      </c>
      <c r="E5" s="8">
        <v>4388.0</v>
      </c>
      <c r="F5" s="18">
        <f t="shared" si="1"/>
        <v>0.5599361896</v>
      </c>
      <c r="G5" s="18">
        <f t="shared" si="2"/>
        <v>0.4240492119</v>
      </c>
      <c r="H5" s="18">
        <f t="shared" si="3"/>
        <v>0.2374404999</v>
      </c>
      <c r="I5" s="8">
        <v>1033.0</v>
      </c>
      <c r="J5" s="8">
        <v>424.5555655360222</v>
      </c>
      <c r="K5" s="8">
        <v>3451.0</v>
      </c>
      <c r="L5" s="18">
        <f t="shared" si="4"/>
        <v>0.2993335265</v>
      </c>
      <c r="M5" s="18">
        <f t="shared" si="5"/>
        <v>0.410992803</v>
      </c>
      <c r="N5" s="18">
        <f t="shared" si="6"/>
        <v>0.1230239251</v>
      </c>
      <c r="O5" s="18">
        <f t="shared" si="7"/>
        <v>0.5181252783</v>
      </c>
      <c r="Q5" s="23">
        <v>4.0</v>
      </c>
      <c r="R5" s="8">
        <v>49250.0</v>
      </c>
      <c r="S5" s="8">
        <v>18146.000448822975</v>
      </c>
      <c r="T5" s="8">
        <v>339202.0</v>
      </c>
      <c r="U5" s="18">
        <f t="shared" si="8"/>
        <v>0.1451937194</v>
      </c>
      <c r="V5" s="18">
        <f t="shared" si="9"/>
        <v>0.3684467096</v>
      </c>
      <c r="W5" s="18">
        <f t="shared" si="10"/>
        <v>0.05349614816</v>
      </c>
      <c r="X5" s="8">
        <v>7796.0</v>
      </c>
      <c r="Y5" s="8">
        <v>2855.66673758626</v>
      </c>
      <c r="Z5" s="8">
        <v>220561.0</v>
      </c>
      <c r="AA5" s="18">
        <f t="shared" si="11"/>
        <v>0.03534623075</v>
      </c>
      <c r="AB5" s="18">
        <f t="shared" si="12"/>
        <v>0.3662989658</v>
      </c>
      <c r="AC5" s="18">
        <f t="shared" si="13"/>
        <v>0.01294728777</v>
      </c>
      <c r="AD5" s="18">
        <f t="shared" si="14"/>
        <v>0.2420228038</v>
      </c>
    </row>
    <row r="6">
      <c r="A6" s="8">
        <v>10202.0</v>
      </c>
      <c r="B6" s="9" t="s">
        <v>20</v>
      </c>
      <c r="C6" s="8">
        <v>4854.0</v>
      </c>
      <c r="D6" s="8">
        <v>1969.6667174696922</v>
      </c>
      <c r="E6" s="8">
        <v>13917.0</v>
      </c>
      <c r="F6" s="18">
        <f t="shared" si="1"/>
        <v>0.3487820651</v>
      </c>
      <c r="G6" s="18">
        <f t="shared" si="2"/>
        <v>0.4057821832</v>
      </c>
      <c r="H6" s="18">
        <f t="shared" si="3"/>
        <v>0.1415295479</v>
      </c>
      <c r="I6" s="8">
        <v>622.0</v>
      </c>
      <c r="J6" s="8">
        <v>248.0000061392784</v>
      </c>
      <c r="K6" s="8">
        <v>2798.0</v>
      </c>
      <c r="L6" s="18">
        <f t="shared" si="4"/>
        <v>0.222301644</v>
      </c>
      <c r="M6" s="18">
        <f t="shared" si="5"/>
        <v>0.3987138362</v>
      </c>
      <c r="N6" s="18">
        <f t="shared" si="6"/>
        <v>0.08863474129</v>
      </c>
      <c r="O6" s="18">
        <f t="shared" si="7"/>
        <v>0.6262631559</v>
      </c>
      <c r="Q6" s="23">
        <v>5.0</v>
      </c>
      <c r="R6" s="8">
        <v>123510.0</v>
      </c>
      <c r="S6" s="8">
        <v>47799.44564214349</v>
      </c>
      <c r="T6" s="8">
        <v>589426.0</v>
      </c>
      <c r="U6" s="18">
        <f t="shared" si="8"/>
        <v>0.2095428434</v>
      </c>
      <c r="V6" s="18">
        <f t="shared" si="9"/>
        <v>0.3870087089</v>
      </c>
      <c r="W6" s="18">
        <f t="shared" si="10"/>
        <v>0.08109490528</v>
      </c>
      <c r="X6" s="8">
        <v>15852.0</v>
      </c>
      <c r="Y6" s="8">
        <v>6000.222375333309</v>
      </c>
      <c r="Z6" s="8">
        <v>256812.0</v>
      </c>
      <c r="AA6" s="18">
        <f t="shared" si="11"/>
        <v>0.06172608757</v>
      </c>
      <c r="AB6" s="18">
        <f t="shared" si="12"/>
        <v>0.3785151637</v>
      </c>
      <c r="AC6" s="18">
        <f t="shared" si="13"/>
        <v>0.02336426014</v>
      </c>
      <c r="AD6" s="18">
        <f t="shared" si="14"/>
        <v>0.2881100861</v>
      </c>
    </row>
    <row r="7">
      <c r="A7" s="8">
        <v>10301.0</v>
      </c>
      <c r="B7" s="9" t="s">
        <v>21</v>
      </c>
      <c r="C7" s="8">
        <v>2560.0</v>
      </c>
      <c r="D7" s="8">
        <v>985.3333580195904</v>
      </c>
      <c r="E7" s="8">
        <v>11112.0</v>
      </c>
      <c r="F7" s="18">
        <f t="shared" si="1"/>
        <v>0.2303815695</v>
      </c>
      <c r="G7" s="18">
        <f t="shared" si="2"/>
        <v>0.384895843</v>
      </c>
      <c r="H7" s="18">
        <f t="shared" si="3"/>
        <v>0.08867290839</v>
      </c>
      <c r="I7" s="8">
        <v>338.0</v>
      </c>
      <c r="J7" s="8">
        <v>125.55555897951126</v>
      </c>
      <c r="K7" s="8">
        <v>2451.0</v>
      </c>
      <c r="L7" s="18">
        <f t="shared" si="4"/>
        <v>0.1379028968</v>
      </c>
      <c r="M7" s="18">
        <f t="shared" si="5"/>
        <v>0.3714661508</v>
      </c>
      <c r="N7" s="18">
        <f t="shared" si="6"/>
        <v>0.05122625825</v>
      </c>
      <c r="O7" s="18">
        <f t="shared" si="7"/>
        <v>0.5776990874</v>
      </c>
      <c r="Q7" s="23">
        <v>6.0</v>
      </c>
      <c r="R7" s="8">
        <v>7844.0</v>
      </c>
      <c r="S7" s="8">
        <v>3006.2222958505154</v>
      </c>
      <c r="T7" s="8">
        <v>85798.0</v>
      </c>
      <c r="U7" s="18">
        <f t="shared" si="8"/>
        <v>0.09142404252</v>
      </c>
      <c r="V7" s="18">
        <f t="shared" si="9"/>
        <v>0.3832511851</v>
      </c>
      <c r="W7" s="18">
        <f t="shared" si="10"/>
        <v>0.03503837264</v>
      </c>
      <c r="X7" s="8">
        <v>17055.0</v>
      </c>
      <c r="Y7" s="8">
        <v>6288.666827380657</v>
      </c>
      <c r="Z7" s="8">
        <v>437457.0</v>
      </c>
      <c r="AA7" s="18">
        <f t="shared" si="11"/>
        <v>0.03898668898</v>
      </c>
      <c r="AB7" s="18">
        <f t="shared" si="12"/>
        <v>0.3687286325</v>
      </c>
      <c r="AC7" s="18">
        <f t="shared" si="13"/>
        <v>0.01437550851</v>
      </c>
      <c r="AD7" s="18">
        <f t="shared" si="14"/>
        <v>0.4102790007</v>
      </c>
    </row>
    <row r="8">
      <c r="A8" s="8">
        <v>10302.0</v>
      </c>
      <c r="B8" s="9" t="s">
        <v>22</v>
      </c>
      <c r="C8" s="8">
        <v>3442.0</v>
      </c>
      <c r="D8" s="8">
        <v>1404.888924986124</v>
      </c>
      <c r="E8" s="8">
        <v>10133.0</v>
      </c>
      <c r="F8" s="18">
        <f t="shared" si="1"/>
        <v>0.3396822264</v>
      </c>
      <c r="G8" s="18">
        <f t="shared" si="2"/>
        <v>0.4081606406</v>
      </c>
      <c r="H8" s="18">
        <f t="shared" si="3"/>
        <v>0.1386449151</v>
      </c>
      <c r="I8" s="8">
        <v>585.0</v>
      </c>
      <c r="J8" s="8">
        <v>233.66667249798775</v>
      </c>
      <c r="K8" s="8">
        <v>2344.0</v>
      </c>
      <c r="L8" s="18">
        <f t="shared" si="4"/>
        <v>0.2495733788</v>
      </c>
      <c r="M8" s="18">
        <f t="shared" si="5"/>
        <v>0.3994302094</v>
      </c>
      <c r="N8" s="18">
        <f t="shared" si="6"/>
        <v>0.09968714697</v>
      </c>
      <c r="O8" s="18">
        <f t="shared" si="7"/>
        <v>0.71901048</v>
      </c>
      <c r="Q8" s="23">
        <v>7.0</v>
      </c>
      <c r="R8" s="8">
        <v>52197.0</v>
      </c>
      <c r="S8" s="8">
        <v>19191.556042402983</v>
      </c>
      <c r="T8" s="8">
        <v>659737.0</v>
      </c>
      <c r="U8" s="18">
        <f t="shared" si="8"/>
        <v>0.07911789092</v>
      </c>
      <c r="V8" s="18">
        <f t="shared" si="9"/>
        <v>0.3676754611</v>
      </c>
      <c r="W8" s="18">
        <f t="shared" si="10"/>
        <v>0.02908970702</v>
      </c>
      <c r="X8" s="8">
        <v>91419.0</v>
      </c>
      <c r="Y8" s="8">
        <v>33008.33418467641</v>
      </c>
      <c r="Z8" s="8">
        <v>2396340.0</v>
      </c>
      <c r="AA8" s="18">
        <f t="shared" si="11"/>
        <v>0.03814942788</v>
      </c>
      <c r="AB8" s="18">
        <f t="shared" si="12"/>
        <v>0.3610664543</v>
      </c>
      <c r="AC8" s="18">
        <f t="shared" si="13"/>
        <v>0.01377447866</v>
      </c>
      <c r="AD8" s="18">
        <f t="shared" si="14"/>
        <v>0.4735172701</v>
      </c>
    </row>
    <row r="9">
      <c r="A9" s="8">
        <v>10303.0</v>
      </c>
      <c r="B9" s="9" t="s">
        <v>23</v>
      </c>
      <c r="C9" s="8">
        <v>1225.0</v>
      </c>
      <c r="D9" s="8">
        <v>468.2222340106964</v>
      </c>
      <c r="E9" s="8">
        <v>6609.0</v>
      </c>
      <c r="F9" s="18">
        <f t="shared" si="1"/>
        <v>0.1853533061</v>
      </c>
      <c r="G9" s="18">
        <f t="shared" si="2"/>
        <v>0.3822222318</v>
      </c>
      <c r="H9" s="18">
        <f t="shared" si="3"/>
        <v>0.07084615434</v>
      </c>
      <c r="I9" s="8">
        <v>518.0</v>
      </c>
      <c r="J9" s="8">
        <v>197.4444492161274</v>
      </c>
      <c r="K9" s="8">
        <v>2411.0</v>
      </c>
      <c r="L9" s="18">
        <f t="shared" si="4"/>
        <v>0.2148486105</v>
      </c>
      <c r="M9" s="18">
        <f t="shared" si="5"/>
        <v>0.3811668904</v>
      </c>
      <c r="N9" s="18">
        <f t="shared" si="6"/>
        <v>0.08189317678</v>
      </c>
      <c r="O9" s="18">
        <f t="shared" si="7"/>
        <v>1.15592974</v>
      </c>
      <c r="Q9" s="23">
        <v>8.0</v>
      </c>
      <c r="R9" s="8">
        <v>39969.0</v>
      </c>
      <c r="S9" s="8">
        <v>17159.444889068604</v>
      </c>
      <c r="T9" s="8">
        <v>156236.0</v>
      </c>
      <c r="U9" s="18">
        <f t="shared" si="8"/>
        <v>0.2558245219</v>
      </c>
      <c r="V9" s="18">
        <f t="shared" si="9"/>
        <v>0.4293188443</v>
      </c>
      <c r="W9" s="18">
        <f t="shared" si="10"/>
        <v>0.1098302881</v>
      </c>
      <c r="X9" s="8">
        <v>47260.0</v>
      </c>
      <c r="Y9" s="8">
        <v>17402.667107641697</v>
      </c>
      <c r="Z9" s="8">
        <v>318355.0</v>
      </c>
      <c r="AA9" s="18">
        <f t="shared" si="11"/>
        <v>0.148450629</v>
      </c>
      <c r="AB9" s="18">
        <f t="shared" si="12"/>
        <v>0.3682324822</v>
      </c>
      <c r="AC9" s="18">
        <f t="shared" si="13"/>
        <v>0.0546643436</v>
      </c>
      <c r="AD9" s="18">
        <f t="shared" si="14"/>
        <v>0.4977164729</v>
      </c>
    </row>
    <row r="10">
      <c r="A10" s="8">
        <v>10304.0</v>
      </c>
      <c r="B10" s="9" t="s">
        <v>24</v>
      </c>
      <c r="C10" s="8">
        <v>2264.0</v>
      </c>
      <c r="D10" s="8">
        <v>893.4444670379162</v>
      </c>
      <c r="E10" s="8">
        <v>8401.0</v>
      </c>
      <c r="F10" s="18">
        <f t="shared" si="1"/>
        <v>0.2694917272</v>
      </c>
      <c r="G10" s="18">
        <f t="shared" si="2"/>
        <v>0.3946309483</v>
      </c>
      <c r="H10" s="18">
        <f t="shared" si="3"/>
        <v>0.1063497759</v>
      </c>
      <c r="I10" s="8">
        <v>224.0</v>
      </c>
      <c r="J10" s="8">
        <v>87.88889110088348</v>
      </c>
      <c r="K10" s="8">
        <v>725.0</v>
      </c>
      <c r="L10" s="18">
        <f t="shared" si="4"/>
        <v>0.3089655172</v>
      </c>
      <c r="M10" s="18">
        <f t="shared" si="5"/>
        <v>0.392361121</v>
      </c>
      <c r="N10" s="18">
        <f t="shared" si="6"/>
        <v>0.1212260567</v>
      </c>
      <c r="O10" s="18">
        <f t="shared" si="7"/>
        <v>1.139880697</v>
      </c>
      <c r="Q10" s="23">
        <v>9.0</v>
      </c>
      <c r="R10" s="8">
        <v>6604.0</v>
      </c>
      <c r="S10" s="8">
        <v>2493.6667294204235</v>
      </c>
      <c r="T10" s="8">
        <v>42648.0</v>
      </c>
      <c r="U10" s="18">
        <f t="shared" si="8"/>
        <v>0.1548489964</v>
      </c>
      <c r="V10" s="18">
        <f t="shared" si="9"/>
        <v>0.3775994442</v>
      </c>
      <c r="W10" s="18">
        <f t="shared" si="10"/>
        <v>0.05847089499</v>
      </c>
      <c r="X10" s="8">
        <v>10268.0</v>
      </c>
      <c r="Y10" s="8">
        <v>3842.8889847397804</v>
      </c>
      <c r="Z10" s="8">
        <v>85546.0</v>
      </c>
      <c r="AA10" s="18">
        <f t="shared" si="11"/>
        <v>0.1200289903</v>
      </c>
      <c r="AB10" s="18">
        <f t="shared" si="12"/>
        <v>0.3742587636</v>
      </c>
      <c r="AC10" s="18">
        <f t="shared" si="13"/>
        <v>0.04492190149</v>
      </c>
      <c r="AD10" s="18">
        <f t="shared" si="14"/>
        <v>0.7682779868</v>
      </c>
    </row>
    <row r="11">
      <c r="A11" s="8">
        <v>10401.0</v>
      </c>
      <c r="B11" s="9" t="s">
        <v>25</v>
      </c>
      <c r="C11" s="8">
        <v>311.0</v>
      </c>
      <c r="D11" s="8">
        <v>119.33333605527878</v>
      </c>
      <c r="E11" s="8">
        <v>2047.0</v>
      </c>
      <c r="F11" s="18">
        <f t="shared" si="1"/>
        <v>0.1519296532</v>
      </c>
      <c r="G11" s="18">
        <f t="shared" si="2"/>
        <v>0.3837084761</v>
      </c>
      <c r="H11" s="18">
        <f t="shared" si="3"/>
        <v>0.05829669568</v>
      </c>
      <c r="I11" s="8">
        <v>1262.0</v>
      </c>
      <c r="J11" s="8">
        <v>479.8889003396034</v>
      </c>
      <c r="K11" s="8">
        <v>7011.0</v>
      </c>
      <c r="L11" s="18">
        <f t="shared" si="4"/>
        <v>0.1800028527</v>
      </c>
      <c r="M11" s="18">
        <f t="shared" si="5"/>
        <v>0.3802606183</v>
      </c>
      <c r="N11" s="18">
        <f t="shared" si="6"/>
        <v>0.06844799605</v>
      </c>
      <c r="O11" s="18">
        <f t="shared" si="7"/>
        <v>1.17413166</v>
      </c>
      <c r="Q11" s="23">
        <v>10.0</v>
      </c>
      <c r="R11" s="19">
        <v>4112.0</v>
      </c>
      <c r="S11" s="19">
        <v>1589.3333727419376</v>
      </c>
      <c r="T11" s="19">
        <v>36985.0</v>
      </c>
      <c r="U11" s="18">
        <f t="shared" si="8"/>
        <v>0.1111802082</v>
      </c>
      <c r="V11" s="18">
        <f t="shared" si="9"/>
        <v>0.3865110342</v>
      </c>
      <c r="W11" s="18">
        <f t="shared" si="10"/>
        <v>0.04297237725</v>
      </c>
      <c r="X11" s="19">
        <v>3799.0</v>
      </c>
      <c r="Y11" s="19">
        <v>1370.777813911438</v>
      </c>
      <c r="Z11" s="19">
        <v>117931.0</v>
      </c>
      <c r="AA11" s="18">
        <f t="shared" si="11"/>
        <v>0.03221375211</v>
      </c>
      <c r="AB11" s="18">
        <f t="shared" si="12"/>
        <v>0.3608259579</v>
      </c>
      <c r="AC11" s="18">
        <f t="shared" si="13"/>
        <v>0.01162355796</v>
      </c>
      <c r="AD11" s="18">
        <f t="shared" si="14"/>
        <v>0.2704890607</v>
      </c>
    </row>
    <row r="12">
      <c r="A12" s="8">
        <v>10402.0</v>
      </c>
      <c r="B12" s="9" t="s">
        <v>26</v>
      </c>
      <c r="C12" s="8">
        <v>1177.0</v>
      </c>
      <c r="D12" s="8">
        <v>450.1111222207546</v>
      </c>
      <c r="E12" s="8">
        <v>6784.0</v>
      </c>
      <c r="F12" s="18">
        <f t="shared" si="1"/>
        <v>0.1734964623</v>
      </c>
      <c r="G12" s="18">
        <f t="shared" si="2"/>
        <v>0.3824223638</v>
      </c>
      <c r="H12" s="18">
        <f t="shared" si="3"/>
        <v>0.06634892721</v>
      </c>
      <c r="I12" s="8">
        <v>236.0</v>
      </c>
      <c r="J12" s="8">
        <v>92.3333355486393</v>
      </c>
      <c r="K12" s="8">
        <v>1662.0</v>
      </c>
      <c r="L12" s="18">
        <f t="shared" si="4"/>
        <v>0.1419975933</v>
      </c>
      <c r="M12" s="18">
        <f t="shared" si="5"/>
        <v>0.3912429472</v>
      </c>
      <c r="N12" s="18">
        <f t="shared" si="6"/>
        <v>0.05555555689</v>
      </c>
      <c r="O12" s="18">
        <f t="shared" si="7"/>
        <v>0.8373241169</v>
      </c>
      <c r="Q12" s="23">
        <v>11.0</v>
      </c>
      <c r="R12" s="19">
        <v>688547.0</v>
      </c>
      <c r="S12" s="19">
        <v>262644.3399258852</v>
      </c>
      <c r="T12" s="19">
        <v>5169554.0</v>
      </c>
      <c r="U12" s="18">
        <f t="shared" si="8"/>
        <v>0.133192728</v>
      </c>
      <c r="V12" s="18">
        <f t="shared" si="9"/>
        <v>0.3814472214</v>
      </c>
      <c r="W12" s="18">
        <f t="shared" si="10"/>
        <v>0.05080599602</v>
      </c>
      <c r="X12" s="19">
        <v>289037.0</v>
      </c>
      <c r="Y12" s="19">
        <v>106258.11381646991</v>
      </c>
      <c r="Z12" s="19">
        <v>5964576.0</v>
      </c>
      <c r="AA12" s="18">
        <v>0.048458934884893744</v>
      </c>
      <c r="AB12" s="18">
        <v>0.36762806774381795</v>
      </c>
      <c r="AC12" s="18">
        <v>0.01781486459665698</v>
      </c>
      <c r="AD12" s="18">
        <v>0.3506449237059305</v>
      </c>
    </row>
    <row r="13">
      <c r="A13" s="8">
        <v>10403.0</v>
      </c>
      <c r="B13" s="9" t="s">
        <v>27</v>
      </c>
      <c r="C13" s="8">
        <v>2278.0</v>
      </c>
      <c r="D13" s="8">
        <v>920.7778003811836</v>
      </c>
      <c r="E13" s="8">
        <v>5894.0</v>
      </c>
      <c r="F13" s="18">
        <f t="shared" si="1"/>
        <v>0.3864947404</v>
      </c>
      <c r="G13" s="18">
        <f t="shared" si="2"/>
        <v>0.4042044778</v>
      </c>
      <c r="H13" s="18">
        <f t="shared" si="3"/>
        <v>0.1562229047</v>
      </c>
      <c r="I13" s="8">
        <v>232.0</v>
      </c>
      <c r="J13" s="8">
        <v>96.55555811524391</v>
      </c>
      <c r="K13" s="8">
        <v>1007.0</v>
      </c>
      <c r="L13" s="18">
        <f t="shared" si="4"/>
        <v>0.230387289</v>
      </c>
      <c r="M13" s="18">
        <f t="shared" si="5"/>
        <v>0.4161877505</v>
      </c>
      <c r="N13" s="18">
        <f t="shared" si="6"/>
        <v>0.09588436754</v>
      </c>
      <c r="O13" s="18">
        <f t="shared" si="7"/>
        <v>0.6137663854</v>
      </c>
      <c r="U13" s="20"/>
      <c r="V13" s="20"/>
      <c r="W13" s="20"/>
      <c r="AA13" s="20"/>
      <c r="AB13" s="20"/>
      <c r="AC13" s="20"/>
      <c r="AD13" s="20"/>
    </row>
    <row r="14">
      <c r="A14" s="8">
        <v>10404.0</v>
      </c>
      <c r="B14" s="9" t="s">
        <v>28</v>
      </c>
      <c r="C14" s="8">
        <v>188.0</v>
      </c>
      <c r="D14" s="8">
        <v>70.00000190734863</v>
      </c>
      <c r="E14" s="8">
        <v>1474.0</v>
      </c>
      <c r="F14" s="18">
        <f t="shared" si="1"/>
        <v>0.1275440977</v>
      </c>
      <c r="G14" s="18">
        <f t="shared" si="2"/>
        <v>0.3723404357</v>
      </c>
      <c r="H14" s="18">
        <f t="shared" si="3"/>
        <v>0.0474898249</v>
      </c>
      <c r="I14" s="8">
        <v>158.0</v>
      </c>
      <c r="J14" s="8">
        <v>58.666668236255646</v>
      </c>
      <c r="K14" s="8">
        <v>2282.0</v>
      </c>
      <c r="L14" s="18">
        <f t="shared" si="4"/>
        <v>0.06923751096</v>
      </c>
      <c r="M14" s="18">
        <f t="shared" si="5"/>
        <v>0.3713080268</v>
      </c>
      <c r="N14" s="18">
        <f t="shared" si="6"/>
        <v>0.02570844357</v>
      </c>
      <c r="O14" s="18">
        <f t="shared" si="7"/>
        <v>0.5413463542</v>
      </c>
      <c r="U14" s="20"/>
      <c r="V14" s="20"/>
      <c r="W14" s="20"/>
      <c r="AA14" s="20"/>
      <c r="AB14" s="20"/>
      <c r="AC14" s="20"/>
      <c r="AD14" s="20"/>
    </row>
    <row r="15">
      <c r="A15" s="8">
        <v>10405.0</v>
      </c>
      <c r="B15" s="9" t="s">
        <v>29</v>
      </c>
      <c r="C15" s="8">
        <v>678.0</v>
      </c>
      <c r="D15" s="8">
        <v>265.22222831845284</v>
      </c>
      <c r="E15" s="8">
        <v>2839.0</v>
      </c>
      <c r="F15" s="18">
        <f t="shared" si="1"/>
        <v>0.2388164847</v>
      </c>
      <c r="G15" s="18">
        <f t="shared" si="2"/>
        <v>0.3911832276</v>
      </c>
      <c r="H15" s="18">
        <f t="shared" si="3"/>
        <v>0.09342100328</v>
      </c>
      <c r="I15" s="8">
        <v>610.0</v>
      </c>
      <c r="J15" s="8">
        <v>240.4444504380226</v>
      </c>
      <c r="K15" s="8">
        <v>2800.0</v>
      </c>
      <c r="L15" s="18">
        <f t="shared" si="4"/>
        <v>0.2178571429</v>
      </c>
      <c r="M15" s="18">
        <f t="shared" si="5"/>
        <v>0.3941712302</v>
      </c>
      <c r="N15" s="18">
        <f t="shared" si="6"/>
        <v>0.08587301801</v>
      </c>
      <c r="O15" s="18">
        <f t="shared" si="7"/>
        <v>0.919204622</v>
      </c>
      <c r="U15" s="20"/>
      <c r="V15" s="20"/>
      <c r="W15" s="20"/>
      <c r="AA15" s="20"/>
      <c r="AB15" s="20"/>
      <c r="AC15" s="20"/>
      <c r="AD15" s="20"/>
    </row>
    <row r="16">
      <c r="A16" s="8">
        <v>10501.0</v>
      </c>
      <c r="B16" s="9" t="s">
        <v>30</v>
      </c>
      <c r="C16" s="8">
        <v>724.0</v>
      </c>
      <c r="D16" s="8">
        <v>283.000007301569</v>
      </c>
      <c r="E16" s="8">
        <v>5624.0</v>
      </c>
      <c r="F16" s="18">
        <f t="shared" si="1"/>
        <v>0.1287339972</v>
      </c>
      <c r="G16" s="18">
        <f t="shared" si="2"/>
        <v>0.390883988</v>
      </c>
      <c r="H16" s="18">
        <f t="shared" si="3"/>
        <v>0.0503200582</v>
      </c>
      <c r="I16" s="8">
        <v>1968.0</v>
      </c>
      <c r="J16" s="8">
        <v>756.7777967453003</v>
      </c>
      <c r="K16" s="8">
        <v>18544.0</v>
      </c>
      <c r="L16" s="18">
        <f t="shared" si="4"/>
        <v>0.1061259707</v>
      </c>
      <c r="M16" s="18">
        <f t="shared" si="5"/>
        <v>0.3845415634</v>
      </c>
      <c r="N16" s="18">
        <f t="shared" si="6"/>
        <v>0.04080984668</v>
      </c>
      <c r="O16" s="18">
        <f t="shared" si="7"/>
        <v>0.811005554</v>
      </c>
      <c r="U16" s="20"/>
      <c r="V16" s="20"/>
      <c r="W16" s="20"/>
      <c r="AA16" s="20"/>
      <c r="AB16" s="20"/>
      <c r="AC16" s="20"/>
      <c r="AD16" s="20"/>
    </row>
    <row r="17">
      <c r="A17" s="8">
        <v>10502.0</v>
      </c>
      <c r="B17" s="9" t="s">
        <v>31</v>
      </c>
      <c r="C17" s="8">
        <v>1007.0</v>
      </c>
      <c r="D17" s="8">
        <v>384.22223126888275</v>
      </c>
      <c r="E17" s="8">
        <v>4025.0</v>
      </c>
      <c r="F17" s="18">
        <f t="shared" si="1"/>
        <v>0.2501863354</v>
      </c>
      <c r="G17" s="18">
        <f t="shared" si="2"/>
        <v>0.3815513717</v>
      </c>
      <c r="H17" s="18">
        <f t="shared" si="3"/>
        <v>0.09545893945</v>
      </c>
      <c r="I17" s="8">
        <v>319.0</v>
      </c>
      <c r="J17" s="8">
        <v>115.22222512960434</v>
      </c>
      <c r="K17" s="8">
        <v>3038.0</v>
      </c>
      <c r="L17" s="18">
        <f t="shared" si="4"/>
        <v>0.1050032916</v>
      </c>
      <c r="M17" s="18">
        <f t="shared" si="5"/>
        <v>0.3611981979</v>
      </c>
      <c r="N17" s="18">
        <f t="shared" si="6"/>
        <v>0.03792699971</v>
      </c>
      <c r="O17" s="18">
        <f t="shared" si="7"/>
        <v>0.397312184</v>
      </c>
      <c r="U17" s="20"/>
      <c r="V17" s="20"/>
      <c r="W17" s="20"/>
      <c r="AA17" s="20"/>
      <c r="AB17" s="20"/>
      <c r="AC17" s="20"/>
      <c r="AD17" s="20"/>
    </row>
    <row r="18">
      <c r="A18" s="8">
        <v>10601.0</v>
      </c>
      <c r="B18" s="9" t="s">
        <v>32</v>
      </c>
      <c r="C18" s="8">
        <v>2396.0</v>
      </c>
      <c r="D18" s="8">
        <v>921.8889119029045</v>
      </c>
      <c r="E18" s="8">
        <v>9960.0</v>
      </c>
      <c r="F18" s="18">
        <f t="shared" si="1"/>
        <v>0.240562249</v>
      </c>
      <c r="G18" s="18">
        <f t="shared" si="2"/>
        <v>0.3847616494</v>
      </c>
      <c r="H18" s="18">
        <f t="shared" si="3"/>
        <v>0.0925591277</v>
      </c>
      <c r="I18" s="8">
        <v>698.0</v>
      </c>
      <c r="J18" s="8">
        <v>268.5555626451969</v>
      </c>
      <c r="K18" s="8">
        <v>3191.0</v>
      </c>
      <c r="L18" s="18">
        <f t="shared" si="4"/>
        <v>0.2187402068</v>
      </c>
      <c r="M18" s="18">
        <f t="shared" si="5"/>
        <v>0.3847500897</v>
      </c>
      <c r="N18" s="18">
        <f t="shared" si="6"/>
        <v>0.08416031421</v>
      </c>
      <c r="O18" s="18">
        <f t="shared" si="7"/>
        <v>0.909260019</v>
      </c>
      <c r="U18" s="20"/>
      <c r="V18" s="20"/>
      <c r="W18" s="20"/>
      <c r="AA18" s="20"/>
      <c r="AB18" s="20"/>
      <c r="AC18" s="20"/>
      <c r="AD18" s="20"/>
    </row>
    <row r="19">
      <c r="A19" s="8">
        <v>10602.0</v>
      </c>
      <c r="B19" s="9" t="s">
        <v>33</v>
      </c>
      <c r="C19" s="8">
        <v>1292.0</v>
      </c>
      <c r="D19" s="8">
        <v>487.11112293601036</v>
      </c>
      <c r="E19" s="8">
        <v>6242.0</v>
      </c>
      <c r="F19" s="18">
        <f t="shared" si="1"/>
        <v>0.2069849407</v>
      </c>
      <c r="G19" s="18">
        <f t="shared" si="2"/>
        <v>0.377020993</v>
      </c>
      <c r="H19" s="18">
        <f t="shared" si="3"/>
        <v>0.07803766788</v>
      </c>
      <c r="I19" s="8">
        <v>277.0</v>
      </c>
      <c r="J19" s="8">
        <v>104.77778041362762</v>
      </c>
      <c r="K19" s="8">
        <v>2184.0</v>
      </c>
      <c r="L19" s="18">
        <f t="shared" si="4"/>
        <v>0.1268315018</v>
      </c>
      <c r="M19" s="18">
        <f t="shared" si="5"/>
        <v>0.3782591351</v>
      </c>
      <c r="N19" s="18">
        <f t="shared" si="6"/>
        <v>0.04797517418</v>
      </c>
      <c r="O19" s="18">
        <f t="shared" si="7"/>
        <v>0.6147694502</v>
      </c>
      <c r="U19" s="20"/>
      <c r="V19" s="20"/>
      <c r="W19" s="20"/>
      <c r="AA19" s="20"/>
      <c r="AB19" s="20"/>
      <c r="AC19" s="20"/>
      <c r="AD19" s="20"/>
    </row>
    <row r="20">
      <c r="A20" s="8">
        <v>10701.0</v>
      </c>
      <c r="B20" s="9" t="s">
        <v>34</v>
      </c>
      <c r="C20" s="8">
        <v>839.0</v>
      </c>
      <c r="D20" s="8">
        <v>320.55556297302246</v>
      </c>
      <c r="E20" s="8">
        <v>5375.0</v>
      </c>
      <c r="F20" s="18">
        <f t="shared" si="1"/>
        <v>0.1560930233</v>
      </c>
      <c r="G20" s="18">
        <f t="shared" si="2"/>
        <v>0.382068609</v>
      </c>
      <c r="H20" s="18">
        <f t="shared" si="3"/>
        <v>0.05963824427</v>
      </c>
      <c r="I20" s="8">
        <v>866.0</v>
      </c>
      <c r="J20" s="8">
        <v>320.444452047348</v>
      </c>
      <c r="K20" s="8">
        <v>8931.0</v>
      </c>
      <c r="L20" s="18">
        <f t="shared" si="4"/>
        <v>0.09696562535</v>
      </c>
      <c r="M20" s="18">
        <f t="shared" si="5"/>
        <v>0.3700282356</v>
      </c>
      <c r="N20" s="18">
        <f t="shared" si="6"/>
        <v>0.03588001926</v>
      </c>
      <c r="O20" s="18">
        <f t="shared" si="7"/>
        <v>0.6016276921</v>
      </c>
      <c r="U20" s="20"/>
      <c r="V20" s="20"/>
      <c r="W20" s="20"/>
      <c r="AA20" s="20"/>
      <c r="AB20" s="20"/>
      <c r="AC20" s="20"/>
      <c r="AD20" s="20"/>
    </row>
    <row r="21">
      <c r="A21" s="8">
        <v>10702.0</v>
      </c>
      <c r="B21" s="9" t="s">
        <v>35</v>
      </c>
      <c r="C21" s="8">
        <v>7519.0</v>
      </c>
      <c r="D21" s="8">
        <v>3058.000077664852</v>
      </c>
      <c r="E21" s="8">
        <v>23670.0</v>
      </c>
      <c r="F21" s="18">
        <f t="shared" si="1"/>
        <v>0.3176594846</v>
      </c>
      <c r="G21" s="18">
        <f t="shared" si="2"/>
        <v>0.4067030293</v>
      </c>
      <c r="H21" s="18">
        <f t="shared" si="3"/>
        <v>0.1291930747</v>
      </c>
      <c r="I21" s="8">
        <v>742.0</v>
      </c>
      <c r="J21" s="8">
        <v>289.8888964653015</v>
      </c>
      <c r="K21" s="8">
        <v>2932.0</v>
      </c>
      <c r="L21" s="18">
        <f t="shared" si="4"/>
        <v>0.2530695771</v>
      </c>
      <c r="M21" s="18">
        <f t="shared" si="5"/>
        <v>0.3906858443</v>
      </c>
      <c r="N21" s="18">
        <f t="shared" si="6"/>
        <v>0.09887070139</v>
      </c>
      <c r="O21" s="18">
        <f t="shared" si="7"/>
        <v>0.7652941277</v>
      </c>
      <c r="U21" s="20"/>
      <c r="V21" s="20"/>
      <c r="W21" s="20"/>
      <c r="AA21" s="20"/>
      <c r="AB21" s="20"/>
      <c r="AC21" s="20"/>
      <c r="AD21" s="20"/>
    </row>
    <row r="22">
      <c r="A22" s="8">
        <v>10703.0</v>
      </c>
      <c r="B22" s="9" t="s">
        <v>36</v>
      </c>
      <c r="C22" s="8">
        <v>4632.0</v>
      </c>
      <c r="D22" s="8">
        <v>2068.111165314913</v>
      </c>
      <c r="E22" s="8">
        <v>9169.0</v>
      </c>
      <c r="F22" s="18">
        <f t="shared" si="1"/>
        <v>0.5051804995</v>
      </c>
      <c r="G22" s="18">
        <f t="shared" si="2"/>
        <v>0.4464834122</v>
      </c>
      <c r="H22" s="18">
        <f t="shared" si="3"/>
        <v>0.2255547132</v>
      </c>
      <c r="I22" s="8">
        <v>2479.0</v>
      </c>
      <c r="J22" s="8">
        <v>1005.7778017222881</v>
      </c>
      <c r="K22" s="8">
        <v>6926.0</v>
      </c>
      <c r="L22" s="18">
        <f t="shared" si="4"/>
        <v>0.3579266532</v>
      </c>
      <c r="M22" s="18">
        <f t="shared" si="5"/>
        <v>0.4057191616</v>
      </c>
      <c r="N22" s="18">
        <f t="shared" si="6"/>
        <v>0.1452177017</v>
      </c>
      <c r="O22" s="18">
        <f t="shared" si="7"/>
        <v>0.6438247271</v>
      </c>
      <c r="U22" s="20"/>
      <c r="V22" s="20"/>
      <c r="W22" s="20"/>
      <c r="AA22" s="20"/>
      <c r="AB22" s="20"/>
      <c r="AC22" s="20"/>
      <c r="AD22" s="20"/>
    </row>
    <row r="23">
      <c r="A23" s="8">
        <v>10704.0</v>
      </c>
      <c r="B23" s="9" t="s">
        <v>37</v>
      </c>
      <c r="C23" s="8">
        <v>4367.0</v>
      </c>
      <c r="D23" s="8">
        <v>1906.222271233797</v>
      </c>
      <c r="E23" s="8">
        <v>11421.0</v>
      </c>
      <c r="F23" s="18">
        <f t="shared" si="1"/>
        <v>0.3823658174</v>
      </c>
      <c r="G23" s="18">
        <f t="shared" si="2"/>
        <v>0.4365061303</v>
      </c>
      <c r="H23" s="18">
        <f t="shared" si="3"/>
        <v>0.1669050233</v>
      </c>
      <c r="I23" s="8">
        <v>534.0</v>
      </c>
      <c r="J23" s="8">
        <v>241.22222900390625</v>
      </c>
      <c r="K23" s="8">
        <v>2790.0</v>
      </c>
      <c r="L23" s="18">
        <f t="shared" si="4"/>
        <v>0.1913978495</v>
      </c>
      <c r="M23" s="18">
        <f t="shared" si="5"/>
        <v>0.4517270206</v>
      </c>
      <c r="N23" s="18">
        <f t="shared" si="6"/>
        <v>0.08645958029</v>
      </c>
      <c r="O23" s="18">
        <f t="shared" si="7"/>
        <v>0.5180166455</v>
      </c>
      <c r="U23" s="20"/>
      <c r="V23" s="20"/>
      <c r="W23" s="20"/>
      <c r="AA23" s="20"/>
      <c r="AB23" s="20"/>
      <c r="AC23" s="20"/>
      <c r="AD23" s="20"/>
    </row>
    <row r="24">
      <c r="A24" s="8">
        <v>10801.0</v>
      </c>
      <c r="B24" s="9" t="s">
        <v>38</v>
      </c>
      <c r="C24" s="8">
        <v>741.0</v>
      </c>
      <c r="D24" s="8">
        <v>284.77778482437134</v>
      </c>
      <c r="E24" s="8">
        <v>3545.0</v>
      </c>
      <c r="F24" s="18">
        <f t="shared" si="1"/>
        <v>0.2090267983</v>
      </c>
      <c r="G24" s="18">
        <f t="shared" si="2"/>
        <v>0.3843154991</v>
      </c>
      <c r="H24" s="18">
        <f t="shared" si="3"/>
        <v>0.08033223831</v>
      </c>
      <c r="I24" s="8">
        <v>545.0</v>
      </c>
      <c r="J24" s="8">
        <v>214.5555603504181</v>
      </c>
      <c r="K24" s="8">
        <v>5447.0</v>
      </c>
      <c r="L24" s="18">
        <f t="shared" si="4"/>
        <v>0.1000550762</v>
      </c>
      <c r="M24" s="18">
        <f t="shared" si="5"/>
        <v>0.3936799272</v>
      </c>
      <c r="N24" s="18">
        <f t="shared" si="6"/>
        <v>0.03938967511</v>
      </c>
      <c r="O24" s="18">
        <f t="shared" si="7"/>
        <v>0.4903345897</v>
      </c>
      <c r="U24" s="20"/>
      <c r="V24" s="20"/>
      <c r="W24" s="20"/>
      <c r="AA24" s="20"/>
      <c r="AB24" s="20"/>
      <c r="AC24" s="20"/>
      <c r="AD24" s="20"/>
    </row>
    <row r="25">
      <c r="A25" s="8">
        <v>10901.0</v>
      </c>
      <c r="B25" s="9" t="s">
        <v>39</v>
      </c>
      <c r="C25" s="8">
        <v>239.0</v>
      </c>
      <c r="D25" s="8">
        <v>95.22222462296486</v>
      </c>
      <c r="E25" s="8">
        <v>964.0</v>
      </c>
      <c r="F25" s="18">
        <f t="shared" si="1"/>
        <v>0.2479253112</v>
      </c>
      <c r="G25" s="18">
        <f t="shared" si="2"/>
        <v>0.3984193499</v>
      </c>
      <c r="H25" s="18">
        <f t="shared" si="3"/>
        <v>0.09877824131</v>
      </c>
      <c r="I25" s="8">
        <v>477.0</v>
      </c>
      <c r="J25" s="8">
        <v>179.11111542582512</v>
      </c>
      <c r="K25" s="8">
        <v>4330.0</v>
      </c>
      <c r="L25" s="18">
        <f t="shared" si="4"/>
        <v>0.1101616628</v>
      </c>
      <c r="M25" s="18">
        <f t="shared" si="5"/>
        <v>0.3754950009</v>
      </c>
      <c r="N25" s="18">
        <f t="shared" si="6"/>
        <v>0.04136515368</v>
      </c>
      <c r="O25" s="18">
        <f t="shared" si="7"/>
        <v>0.4187678696</v>
      </c>
      <c r="U25" s="20"/>
      <c r="V25" s="20"/>
      <c r="W25" s="20"/>
      <c r="AA25" s="20"/>
      <c r="AB25" s="20"/>
      <c r="AC25" s="20"/>
      <c r="AD25" s="20"/>
    </row>
    <row r="26">
      <c r="A26" s="8">
        <v>10902.0</v>
      </c>
      <c r="B26" s="9" t="s">
        <v>40</v>
      </c>
      <c r="C26" s="8">
        <v>2031.0</v>
      </c>
      <c r="D26" s="8">
        <v>845.2222439944744</v>
      </c>
      <c r="E26" s="8">
        <v>5384.0</v>
      </c>
      <c r="F26" s="18">
        <f t="shared" si="1"/>
        <v>0.3772288262</v>
      </c>
      <c r="G26" s="18">
        <f t="shared" si="2"/>
        <v>0.4161606322</v>
      </c>
      <c r="H26" s="18">
        <f t="shared" si="3"/>
        <v>0.1569877868</v>
      </c>
      <c r="I26" s="8">
        <v>2365.0</v>
      </c>
      <c r="J26" s="8">
        <v>938.4444672167301</v>
      </c>
      <c r="K26" s="8">
        <v>9415.0</v>
      </c>
      <c r="L26" s="18">
        <f t="shared" si="4"/>
        <v>0.2511949018</v>
      </c>
      <c r="M26" s="18">
        <f t="shared" si="5"/>
        <v>0.3968052716</v>
      </c>
      <c r="N26" s="18">
        <f t="shared" si="6"/>
        <v>0.0996754612</v>
      </c>
      <c r="O26" s="18">
        <f t="shared" si="7"/>
        <v>0.6349249407</v>
      </c>
      <c r="U26" s="20"/>
      <c r="V26" s="20"/>
      <c r="W26" s="20"/>
      <c r="AA26" s="20"/>
      <c r="AB26" s="20"/>
      <c r="AC26" s="20"/>
      <c r="AD26" s="20"/>
    </row>
    <row r="27">
      <c r="A27" s="8">
        <v>10903.0</v>
      </c>
      <c r="B27" s="9" t="s">
        <v>41</v>
      </c>
      <c r="C27" s="8">
        <v>77.0</v>
      </c>
      <c r="D27" s="8">
        <v>28.66666728258133</v>
      </c>
      <c r="E27" s="8">
        <v>790.0</v>
      </c>
      <c r="F27" s="18">
        <f t="shared" si="1"/>
        <v>0.09746835443</v>
      </c>
      <c r="G27" s="18">
        <f t="shared" si="2"/>
        <v>0.3722943803</v>
      </c>
      <c r="H27" s="18">
        <f t="shared" si="3"/>
        <v>0.03628692061</v>
      </c>
      <c r="I27" s="8">
        <v>658.0</v>
      </c>
      <c r="J27" s="8">
        <v>260.55556270480156</v>
      </c>
      <c r="K27" s="8">
        <v>4189.0</v>
      </c>
      <c r="L27" s="18">
        <f t="shared" si="4"/>
        <v>0.1570780616</v>
      </c>
      <c r="M27" s="18">
        <f t="shared" si="5"/>
        <v>0.3959810983</v>
      </c>
      <c r="N27" s="18">
        <f t="shared" si="6"/>
        <v>0.06219994335</v>
      </c>
      <c r="O27" s="18">
        <f t="shared" si="7"/>
        <v>1.714114681</v>
      </c>
      <c r="U27" s="20"/>
      <c r="V27" s="20"/>
      <c r="W27" s="20"/>
      <c r="AA27" s="20"/>
      <c r="AB27" s="20"/>
      <c r="AC27" s="20"/>
      <c r="AD27" s="20"/>
    </row>
    <row r="28">
      <c r="A28" s="8">
        <v>11001.0</v>
      </c>
      <c r="B28" s="9" t="s">
        <v>42</v>
      </c>
      <c r="C28" s="8">
        <v>1348.0</v>
      </c>
      <c r="D28" s="8">
        <v>569.6666806936264</v>
      </c>
      <c r="E28" s="8">
        <v>4725.0</v>
      </c>
      <c r="F28" s="18">
        <f t="shared" si="1"/>
        <v>0.2852910053</v>
      </c>
      <c r="G28" s="18">
        <f t="shared" si="2"/>
        <v>0.4226013952</v>
      </c>
      <c r="H28" s="18">
        <f t="shared" si="3"/>
        <v>0.1205643769</v>
      </c>
      <c r="I28" s="8">
        <v>721.0</v>
      </c>
      <c r="J28" s="8">
        <v>277.11111810803413</v>
      </c>
      <c r="K28" s="8">
        <v>5909.0</v>
      </c>
      <c r="L28" s="18">
        <f t="shared" si="4"/>
        <v>0.1220172618</v>
      </c>
      <c r="M28" s="18">
        <f t="shared" si="5"/>
        <v>0.3843427436</v>
      </c>
      <c r="N28" s="18">
        <f t="shared" si="6"/>
        <v>0.04689644916</v>
      </c>
      <c r="O28" s="18">
        <f t="shared" si="7"/>
        <v>0.388974342</v>
      </c>
      <c r="U28" s="20"/>
      <c r="V28" s="20"/>
      <c r="W28" s="20"/>
      <c r="AA28" s="20"/>
      <c r="AB28" s="20"/>
      <c r="AC28" s="20"/>
      <c r="AD28" s="20"/>
    </row>
    <row r="29">
      <c r="A29" s="8">
        <v>11002.0</v>
      </c>
      <c r="B29" s="9" t="s">
        <v>43</v>
      </c>
      <c r="C29" s="8">
        <v>136.0</v>
      </c>
      <c r="D29" s="8">
        <v>50.22222355008125</v>
      </c>
      <c r="E29" s="8">
        <v>1999.0</v>
      </c>
      <c r="F29" s="18">
        <f t="shared" si="1"/>
        <v>0.06803401701</v>
      </c>
      <c r="G29" s="18">
        <f t="shared" si="2"/>
        <v>0.3692810555</v>
      </c>
      <c r="H29" s="18">
        <f t="shared" si="3"/>
        <v>0.02512367361</v>
      </c>
      <c r="I29" s="8">
        <v>64.0</v>
      </c>
      <c r="J29" s="8">
        <v>24.3333340883255</v>
      </c>
      <c r="K29" s="8">
        <v>539.0</v>
      </c>
      <c r="L29" s="18">
        <f t="shared" si="4"/>
        <v>0.1187384045</v>
      </c>
      <c r="M29" s="18">
        <f t="shared" si="5"/>
        <v>0.3802083451</v>
      </c>
      <c r="N29" s="18">
        <f t="shared" si="6"/>
        <v>0.04514533226</v>
      </c>
      <c r="O29" s="18">
        <f t="shared" si="7"/>
        <v>1.796924007</v>
      </c>
      <c r="U29" s="20"/>
      <c r="V29" s="20"/>
      <c r="W29" s="20"/>
      <c r="AA29" s="20"/>
      <c r="AB29" s="20"/>
      <c r="AC29" s="20"/>
      <c r="AD29" s="20"/>
    </row>
    <row r="30">
      <c r="A30" s="8">
        <v>11003.0</v>
      </c>
      <c r="B30" s="9" t="s">
        <v>44</v>
      </c>
      <c r="C30" s="8">
        <v>263.0</v>
      </c>
      <c r="D30" s="8">
        <v>100.55555847287178</v>
      </c>
      <c r="E30" s="8">
        <v>2846.0</v>
      </c>
      <c r="F30" s="18">
        <f t="shared" si="1"/>
        <v>0.09241040056</v>
      </c>
      <c r="G30" s="18">
        <f t="shared" si="2"/>
        <v>0.3823405265</v>
      </c>
      <c r="H30" s="18">
        <f t="shared" si="3"/>
        <v>0.03533224121</v>
      </c>
      <c r="I30" s="8">
        <v>288.0</v>
      </c>
      <c r="J30" s="8">
        <v>104.00000238418579</v>
      </c>
      <c r="K30" s="8">
        <v>3695.0</v>
      </c>
      <c r="L30" s="18">
        <f t="shared" si="4"/>
        <v>0.07794316644</v>
      </c>
      <c r="M30" s="18">
        <f t="shared" si="5"/>
        <v>0.3611111194</v>
      </c>
      <c r="N30" s="18">
        <f t="shared" si="6"/>
        <v>0.02814614408</v>
      </c>
      <c r="O30" s="18">
        <f t="shared" si="7"/>
        <v>0.7966136062</v>
      </c>
      <c r="U30" s="20"/>
      <c r="V30" s="20"/>
      <c r="W30" s="20"/>
      <c r="AA30" s="20"/>
      <c r="AB30" s="20"/>
      <c r="AC30" s="20"/>
      <c r="AD30" s="20"/>
    </row>
    <row r="31">
      <c r="A31" s="8">
        <v>20101.0</v>
      </c>
      <c r="B31" s="9" t="s">
        <v>45</v>
      </c>
      <c r="C31" s="8">
        <v>3751.0</v>
      </c>
      <c r="D31" s="8">
        <v>1367.7778124809265</v>
      </c>
      <c r="E31" s="8">
        <v>222581.0</v>
      </c>
      <c r="F31" s="18">
        <f t="shared" si="1"/>
        <v>0.01685229197</v>
      </c>
      <c r="G31" s="18">
        <f t="shared" si="2"/>
        <v>0.3646435117</v>
      </c>
      <c r="H31" s="18">
        <f t="shared" si="3"/>
        <v>0.006145078926</v>
      </c>
      <c r="I31" s="8">
        <v>1567.0</v>
      </c>
      <c r="J31" s="8">
        <v>549.6666815578938</v>
      </c>
      <c r="K31" s="8">
        <v>507545.0</v>
      </c>
      <c r="L31" s="18">
        <f t="shared" si="4"/>
        <v>0.003087410968</v>
      </c>
      <c r="M31" s="18">
        <f t="shared" si="5"/>
        <v>0.35077644</v>
      </c>
      <c r="N31" s="18">
        <f t="shared" si="6"/>
        <v>0.001082991028</v>
      </c>
      <c r="O31" s="18">
        <f t="shared" si="7"/>
        <v>0.1762371227</v>
      </c>
      <c r="U31" s="20"/>
      <c r="V31" s="20"/>
      <c r="W31" s="20"/>
      <c r="AA31" s="20"/>
      <c r="AB31" s="20"/>
      <c r="AC31" s="20"/>
      <c r="AD31" s="20"/>
    </row>
    <row r="32">
      <c r="A32" s="8">
        <v>20102.0</v>
      </c>
      <c r="B32" s="9" t="s">
        <v>46</v>
      </c>
      <c r="C32" s="8">
        <v>2879.0</v>
      </c>
      <c r="D32" s="8">
        <v>1071.777804851532</v>
      </c>
      <c r="E32" s="8">
        <v>19550.0</v>
      </c>
      <c r="F32" s="18">
        <f t="shared" si="1"/>
        <v>0.1472634271</v>
      </c>
      <c r="G32" s="18">
        <f t="shared" si="2"/>
        <v>0.3722743331</v>
      </c>
      <c r="H32" s="18">
        <f t="shared" si="3"/>
        <v>0.05482239411</v>
      </c>
      <c r="I32" s="8">
        <v>375.0</v>
      </c>
      <c r="J32" s="8">
        <v>136.22222569584846</v>
      </c>
      <c r="K32" s="8">
        <v>2105.0</v>
      </c>
      <c r="L32" s="18">
        <f t="shared" si="4"/>
        <v>0.1781472684</v>
      </c>
      <c r="M32" s="18">
        <f t="shared" si="5"/>
        <v>0.3632592685</v>
      </c>
      <c r="N32" s="18">
        <f t="shared" si="6"/>
        <v>0.06471364641</v>
      </c>
      <c r="O32" s="18">
        <f t="shared" si="7"/>
        <v>1.180423574</v>
      </c>
      <c r="U32" s="20"/>
      <c r="V32" s="20"/>
      <c r="W32" s="20"/>
      <c r="AA32" s="20"/>
      <c r="AB32" s="20"/>
      <c r="AC32" s="20"/>
      <c r="AD32" s="20"/>
    </row>
    <row r="33">
      <c r="A33" s="8">
        <v>20103.0</v>
      </c>
      <c r="B33" s="9" t="s">
        <v>47</v>
      </c>
      <c r="C33" s="8">
        <v>1549.0</v>
      </c>
      <c r="D33" s="8">
        <v>568.4444585442543</v>
      </c>
      <c r="E33" s="8">
        <v>15050.0</v>
      </c>
      <c r="F33" s="18">
        <f t="shared" si="1"/>
        <v>0.102923588</v>
      </c>
      <c r="G33" s="18">
        <f t="shared" si="2"/>
        <v>0.3669751185</v>
      </c>
      <c r="H33" s="18">
        <f t="shared" si="3"/>
        <v>0.03777039592</v>
      </c>
      <c r="I33" s="8">
        <v>135.0</v>
      </c>
      <c r="J33" s="8">
        <v>48.222223579883575</v>
      </c>
      <c r="K33" s="8">
        <v>5306.0</v>
      </c>
      <c r="L33" s="18">
        <f t="shared" si="4"/>
        <v>0.02544289484</v>
      </c>
      <c r="M33" s="18">
        <f t="shared" si="5"/>
        <v>0.3572016561</v>
      </c>
      <c r="N33" s="18">
        <f t="shared" si="6"/>
        <v>0.009088244173</v>
      </c>
      <c r="O33" s="18">
        <f t="shared" si="7"/>
        <v>0.2406181866</v>
      </c>
      <c r="U33" s="20"/>
      <c r="V33" s="20"/>
      <c r="W33" s="20"/>
      <c r="AA33" s="20"/>
      <c r="AB33" s="20"/>
      <c r="AC33" s="20"/>
      <c r="AD33" s="20"/>
    </row>
    <row r="34">
      <c r="A34" s="8">
        <v>20104.0</v>
      </c>
      <c r="B34" s="9" t="s">
        <v>48</v>
      </c>
      <c r="C34" s="8">
        <v>4165.0</v>
      </c>
      <c r="D34" s="8">
        <v>1502.3333714008331</v>
      </c>
      <c r="E34" s="8">
        <v>32846.0</v>
      </c>
      <c r="F34" s="18">
        <f t="shared" si="1"/>
        <v>0.1268038726</v>
      </c>
      <c r="G34" s="18">
        <f t="shared" si="2"/>
        <v>0.3607042909</v>
      </c>
      <c r="H34" s="18">
        <f t="shared" si="3"/>
        <v>0.04573870095</v>
      </c>
      <c r="I34" s="8">
        <v>1187.0</v>
      </c>
      <c r="J34" s="8">
        <v>420.33334481716156</v>
      </c>
      <c r="K34" s="8">
        <v>11855.0</v>
      </c>
      <c r="L34" s="18">
        <f t="shared" si="4"/>
        <v>0.1001265289</v>
      </c>
      <c r="M34" s="18">
        <f t="shared" si="5"/>
        <v>0.3541140226</v>
      </c>
      <c r="N34" s="18">
        <f t="shared" si="6"/>
        <v>0.03545620791</v>
      </c>
      <c r="O34" s="18">
        <f t="shared" si="7"/>
        <v>0.7751905318</v>
      </c>
      <c r="U34" s="20"/>
      <c r="V34" s="20"/>
      <c r="W34" s="20"/>
      <c r="AA34" s="20"/>
      <c r="AB34" s="20"/>
      <c r="AC34" s="20"/>
      <c r="AD34" s="20"/>
    </row>
    <row r="35">
      <c r="A35" s="8">
        <v>20105.0</v>
      </c>
      <c r="B35" s="9" t="s">
        <v>49</v>
      </c>
      <c r="C35" s="8">
        <v>10577.0</v>
      </c>
      <c r="D35" s="8">
        <v>3780.444541811943</v>
      </c>
      <c r="E35" s="8">
        <v>560337.0</v>
      </c>
      <c r="F35" s="18">
        <f t="shared" si="1"/>
        <v>0.01887614061</v>
      </c>
      <c r="G35" s="18">
        <f t="shared" si="2"/>
        <v>0.3574212482</v>
      </c>
      <c r="H35" s="18">
        <f t="shared" si="3"/>
        <v>0.006746733737</v>
      </c>
      <c r="I35" s="8">
        <v>3166.0</v>
      </c>
      <c r="J35" s="8">
        <v>1124.000029206276</v>
      </c>
      <c r="K35" s="8">
        <v>317200.0</v>
      </c>
      <c r="L35" s="18">
        <f t="shared" si="4"/>
        <v>0.009981084489</v>
      </c>
      <c r="M35" s="18">
        <f t="shared" si="5"/>
        <v>0.3550221191</v>
      </c>
      <c r="N35" s="18">
        <f t="shared" si="6"/>
        <v>0.003543505767</v>
      </c>
      <c r="O35" s="18">
        <f t="shared" si="7"/>
        <v>0.5252179655</v>
      </c>
      <c r="U35" s="20"/>
      <c r="V35" s="20"/>
      <c r="W35" s="20"/>
      <c r="AA35" s="20"/>
      <c r="AB35" s="20"/>
      <c r="AC35" s="20"/>
      <c r="AD35" s="20"/>
    </row>
    <row r="36">
      <c r="A36" s="8">
        <v>20201.0</v>
      </c>
      <c r="B36" s="9" t="s">
        <v>50</v>
      </c>
      <c r="C36" s="8">
        <v>4190.0</v>
      </c>
      <c r="D36" s="8">
        <v>1543.777816861868</v>
      </c>
      <c r="E36" s="8">
        <v>43509.0</v>
      </c>
      <c r="F36" s="18">
        <f t="shared" si="1"/>
        <v>0.09630191455</v>
      </c>
      <c r="G36" s="18">
        <f t="shared" si="2"/>
        <v>0.368443393</v>
      </c>
      <c r="H36" s="18">
        <f t="shared" si="3"/>
        <v>0.03548180415</v>
      </c>
      <c r="I36" s="8">
        <v>223.0</v>
      </c>
      <c r="J36" s="8">
        <v>79.55555775761604</v>
      </c>
      <c r="K36" s="8">
        <v>3228.0</v>
      </c>
      <c r="L36" s="18">
        <f t="shared" si="4"/>
        <v>0.06908302354</v>
      </c>
      <c r="M36" s="18">
        <f t="shared" si="5"/>
        <v>0.3567513801</v>
      </c>
      <c r="N36" s="18">
        <f t="shared" si="6"/>
        <v>0.02464546399</v>
      </c>
      <c r="O36" s="18">
        <f t="shared" si="7"/>
        <v>0.6945944429</v>
      </c>
      <c r="U36" s="20"/>
      <c r="V36" s="20"/>
      <c r="W36" s="20"/>
      <c r="AA36" s="20"/>
      <c r="AB36" s="20"/>
      <c r="AC36" s="20"/>
      <c r="AD36" s="20"/>
    </row>
    <row r="37">
      <c r="A37" s="8">
        <v>20202.0</v>
      </c>
      <c r="B37" s="9" t="s">
        <v>51</v>
      </c>
      <c r="C37" s="8">
        <v>2797.0</v>
      </c>
      <c r="D37" s="8">
        <v>1031.000026166439</v>
      </c>
      <c r="E37" s="8">
        <v>15956.0</v>
      </c>
      <c r="F37" s="18">
        <f t="shared" si="1"/>
        <v>0.17529456</v>
      </c>
      <c r="G37" s="18">
        <f t="shared" si="2"/>
        <v>0.3686092335</v>
      </c>
      <c r="H37" s="18">
        <f t="shared" si="3"/>
        <v>0.06461519342</v>
      </c>
      <c r="I37" s="8">
        <v>154.0</v>
      </c>
      <c r="J37" s="8">
        <v>55.55555686354637</v>
      </c>
      <c r="K37" s="8">
        <v>913.0</v>
      </c>
      <c r="L37" s="18">
        <f t="shared" si="4"/>
        <v>0.1686746988</v>
      </c>
      <c r="M37" s="18">
        <f t="shared" si="5"/>
        <v>0.3607503692</v>
      </c>
      <c r="N37" s="18">
        <f t="shared" si="6"/>
        <v>0.06084945987</v>
      </c>
      <c r="O37" s="18">
        <f t="shared" si="7"/>
        <v>0.9417206179</v>
      </c>
      <c r="U37" s="20"/>
      <c r="V37" s="20"/>
      <c r="W37" s="20"/>
      <c r="AA37" s="20"/>
      <c r="AB37" s="20"/>
      <c r="AC37" s="20"/>
      <c r="AD37" s="20"/>
    </row>
    <row r="38">
      <c r="A38" s="8">
        <v>20203.0</v>
      </c>
      <c r="B38" s="9" t="s">
        <v>52</v>
      </c>
      <c r="C38" s="8">
        <v>591.0</v>
      </c>
      <c r="D38" s="8">
        <v>214.7777831852436</v>
      </c>
      <c r="E38" s="8">
        <v>6224.0</v>
      </c>
      <c r="F38" s="18">
        <f t="shared" si="1"/>
        <v>0.09495501285</v>
      </c>
      <c r="G38" s="18">
        <f t="shared" si="2"/>
        <v>0.3634141847</v>
      </c>
      <c r="H38" s="18">
        <f t="shared" si="3"/>
        <v>0.03450799858</v>
      </c>
      <c r="I38" s="8">
        <v>82.0</v>
      </c>
      <c r="J38" s="8">
        <v>31.444445192813873</v>
      </c>
      <c r="K38" s="8">
        <v>665.0</v>
      </c>
      <c r="L38" s="18">
        <f t="shared" si="4"/>
        <v>0.1233082707</v>
      </c>
      <c r="M38" s="18">
        <f t="shared" si="5"/>
        <v>0.3834688438</v>
      </c>
      <c r="N38" s="18">
        <f t="shared" si="6"/>
        <v>0.04728487999</v>
      </c>
      <c r="O38" s="18">
        <f t="shared" si="7"/>
        <v>1.370258547</v>
      </c>
      <c r="U38" s="20"/>
      <c r="V38" s="20"/>
      <c r="W38" s="20"/>
      <c r="AA38" s="20"/>
      <c r="AB38" s="20"/>
      <c r="AC38" s="20"/>
      <c r="AD38" s="20"/>
    </row>
    <row r="39">
      <c r="A39" s="8">
        <v>20204.0</v>
      </c>
      <c r="B39" s="9" t="s">
        <v>53</v>
      </c>
      <c r="C39" s="8">
        <v>801.0</v>
      </c>
      <c r="D39" s="8">
        <v>289.5555628836155</v>
      </c>
      <c r="E39" s="8">
        <v>7889.0</v>
      </c>
      <c r="F39" s="18">
        <f t="shared" si="1"/>
        <v>0.1015337812</v>
      </c>
      <c r="G39" s="18">
        <f t="shared" si="2"/>
        <v>0.3614925879</v>
      </c>
      <c r="H39" s="18">
        <f t="shared" si="3"/>
        <v>0.03670370933</v>
      </c>
      <c r="I39" s="8">
        <v>66.0</v>
      </c>
      <c r="J39" s="8">
        <v>23.777778327465057</v>
      </c>
      <c r="K39" s="8">
        <v>700.0</v>
      </c>
      <c r="L39" s="18">
        <f t="shared" si="4"/>
        <v>0.09428571429</v>
      </c>
      <c r="M39" s="18">
        <f t="shared" si="5"/>
        <v>0.3602693686</v>
      </c>
      <c r="N39" s="18">
        <f t="shared" si="6"/>
        <v>0.03396825475</v>
      </c>
      <c r="O39" s="18">
        <f t="shared" si="7"/>
        <v>0.9254719857</v>
      </c>
      <c r="U39" s="20"/>
      <c r="V39" s="20"/>
      <c r="W39" s="20"/>
      <c r="AA39" s="20"/>
      <c r="AB39" s="20"/>
      <c r="AC39" s="20"/>
      <c r="AD39" s="20"/>
    </row>
    <row r="40">
      <c r="A40" s="8">
        <v>20205.0</v>
      </c>
      <c r="B40" s="9" t="s">
        <v>54</v>
      </c>
      <c r="C40" s="8">
        <v>717.0</v>
      </c>
      <c r="D40" s="8">
        <v>262.66667327284813</v>
      </c>
      <c r="E40" s="8">
        <v>8777.0</v>
      </c>
      <c r="F40" s="18">
        <f t="shared" si="1"/>
        <v>0.08169078273</v>
      </c>
      <c r="G40" s="18">
        <f t="shared" si="2"/>
        <v>0.3663412458</v>
      </c>
      <c r="H40" s="18">
        <f t="shared" si="3"/>
        <v>0.02992670312</v>
      </c>
      <c r="I40" s="8">
        <v>71.0</v>
      </c>
      <c r="J40" s="8">
        <v>28.888889580965042</v>
      </c>
      <c r="K40" s="8">
        <v>456.0</v>
      </c>
      <c r="L40" s="18">
        <f t="shared" si="4"/>
        <v>0.1557017544</v>
      </c>
      <c r="M40" s="18">
        <f t="shared" si="5"/>
        <v>0.4068857687</v>
      </c>
      <c r="N40" s="18">
        <f t="shared" si="6"/>
        <v>0.06335282803</v>
      </c>
      <c r="O40" s="18">
        <f t="shared" si="7"/>
        <v>2.116933087</v>
      </c>
      <c r="U40" s="20"/>
      <c r="V40" s="20"/>
      <c r="W40" s="20"/>
      <c r="AA40" s="20"/>
      <c r="AB40" s="20"/>
      <c r="AC40" s="20"/>
      <c r="AD40" s="20"/>
    </row>
    <row r="41">
      <c r="A41" s="8">
        <v>20206.0</v>
      </c>
      <c r="B41" s="9" t="s">
        <v>55</v>
      </c>
      <c r="C41" s="8">
        <v>269.0</v>
      </c>
      <c r="D41" s="8">
        <v>97.88889136910439</v>
      </c>
      <c r="E41" s="8">
        <v>4522.0</v>
      </c>
      <c r="F41" s="18">
        <f t="shared" si="1"/>
        <v>0.05948695268</v>
      </c>
      <c r="G41" s="18">
        <f t="shared" si="2"/>
        <v>0.3638992244</v>
      </c>
      <c r="H41" s="18">
        <f t="shared" si="3"/>
        <v>0.02164725594</v>
      </c>
      <c r="I41" s="8">
        <v>20.0</v>
      </c>
      <c r="J41" s="8">
        <v>7.000000178813934</v>
      </c>
      <c r="K41" s="8">
        <v>512.0</v>
      </c>
      <c r="L41" s="18">
        <f t="shared" si="4"/>
        <v>0.0390625</v>
      </c>
      <c r="M41" s="18">
        <f t="shared" si="5"/>
        <v>0.3500000089</v>
      </c>
      <c r="N41" s="18">
        <f t="shared" si="6"/>
        <v>0.01367187535</v>
      </c>
      <c r="O41" s="18">
        <f t="shared" si="7"/>
        <v>0.6315754471</v>
      </c>
      <c r="U41" s="20"/>
      <c r="V41" s="20"/>
      <c r="W41" s="20"/>
      <c r="AA41" s="20"/>
      <c r="AB41" s="20"/>
      <c r="AC41" s="20"/>
      <c r="AD41" s="20"/>
    </row>
    <row r="42">
      <c r="A42" s="8">
        <v>20301.0</v>
      </c>
      <c r="B42" s="9" t="s">
        <v>56</v>
      </c>
      <c r="C42" s="8">
        <v>2900.0</v>
      </c>
      <c r="D42" s="8">
        <v>1088.6666936576366</v>
      </c>
      <c r="E42" s="8">
        <v>11708.0</v>
      </c>
      <c r="F42" s="18">
        <f t="shared" si="1"/>
        <v>0.2476938845</v>
      </c>
      <c r="G42" s="18">
        <f t="shared" si="2"/>
        <v>0.3754023082</v>
      </c>
      <c r="H42" s="18">
        <f t="shared" si="3"/>
        <v>0.09298485597</v>
      </c>
      <c r="I42" s="8">
        <v>238.0</v>
      </c>
      <c r="J42" s="8">
        <v>88.11111319065094</v>
      </c>
      <c r="K42" s="8">
        <v>1516.0</v>
      </c>
      <c r="L42" s="18">
        <f t="shared" si="4"/>
        <v>0.1569920844</v>
      </c>
      <c r="M42" s="18">
        <f t="shared" si="5"/>
        <v>0.3702147613</v>
      </c>
      <c r="N42" s="18">
        <f t="shared" si="6"/>
        <v>0.05812078707</v>
      </c>
      <c r="O42" s="18">
        <f t="shared" si="7"/>
        <v>0.6250564832</v>
      </c>
      <c r="U42" s="20"/>
      <c r="V42" s="20"/>
      <c r="W42" s="20"/>
      <c r="AA42" s="20"/>
      <c r="AB42" s="20"/>
      <c r="AC42" s="20"/>
      <c r="AD42" s="20"/>
    </row>
    <row r="43">
      <c r="A43" s="8">
        <v>20302.0</v>
      </c>
      <c r="B43" s="9" t="s">
        <v>57</v>
      </c>
      <c r="C43" s="8">
        <v>2192.0</v>
      </c>
      <c r="D43" s="8">
        <v>804.1111305952072</v>
      </c>
      <c r="E43" s="8">
        <v>14680.0</v>
      </c>
      <c r="F43" s="18">
        <f t="shared" si="1"/>
        <v>0.1493188011</v>
      </c>
      <c r="G43" s="18">
        <f t="shared" si="2"/>
        <v>0.3668390194</v>
      </c>
      <c r="H43" s="18">
        <f t="shared" si="3"/>
        <v>0.05477596257</v>
      </c>
      <c r="I43" s="8">
        <v>95.0</v>
      </c>
      <c r="J43" s="8">
        <v>33.555556416511536</v>
      </c>
      <c r="K43" s="8">
        <v>758.0</v>
      </c>
      <c r="L43" s="18">
        <f t="shared" si="4"/>
        <v>0.1253298153</v>
      </c>
      <c r="M43" s="18">
        <f t="shared" si="5"/>
        <v>0.3532163833</v>
      </c>
      <c r="N43" s="18">
        <f t="shared" si="6"/>
        <v>0.04426854409</v>
      </c>
      <c r="O43" s="18">
        <f t="shared" si="7"/>
        <v>0.8081746446</v>
      </c>
      <c r="U43" s="20"/>
      <c r="V43" s="20"/>
      <c r="W43" s="20"/>
      <c r="AA43" s="20"/>
      <c r="AB43" s="20"/>
      <c r="AC43" s="20"/>
      <c r="AD43" s="20"/>
    </row>
    <row r="44">
      <c r="A44" s="8">
        <v>20303.0</v>
      </c>
      <c r="B44" s="9" t="s">
        <v>58</v>
      </c>
      <c r="C44" s="8">
        <v>3058.0</v>
      </c>
      <c r="D44" s="8">
        <v>1140.1111382246017</v>
      </c>
      <c r="E44" s="8">
        <v>11547.0</v>
      </c>
      <c r="F44" s="18">
        <f t="shared" si="1"/>
        <v>0.264830692</v>
      </c>
      <c r="G44" s="18">
        <f t="shared" si="2"/>
        <v>0.3728290184</v>
      </c>
      <c r="H44" s="18">
        <f t="shared" si="3"/>
        <v>0.09873656692</v>
      </c>
      <c r="I44" s="8">
        <v>121.0</v>
      </c>
      <c r="J44" s="8">
        <v>44.22222328186035</v>
      </c>
      <c r="K44" s="8">
        <v>640.0</v>
      </c>
      <c r="L44" s="18">
        <f t="shared" si="4"/>
        <v>0.1890625</v>
      </c>
      <c r="M44" s="18">
        <f t="shared" si="5"/>
        <v>0.3654729197</v>
      </c>
      <c r="N44" s="18">
        <f t="shared" si="6"/>
        <v>0.06909722388</v>
      </c>
      <c r="O44" s="18">
        <f t="shared" si="7"/>
        <v>0.6998139193</v>
      </c>
      <c r="U44" s="20"/>
      <c r="V44" s="20"/>
      <c r="W44" s="20"/>
      <c r="AA44" s="20"/>
      <c r="AB44" s="20"/>
      <c r="AC44" s="20"/>
      <c r="AD44" s="20"/>
    </row>
    <row r="45">
      <c r="A45" s="8">
        <v>20304.0</v>
      </c>
      <c r="B45" s="9" t="s">
        <v>59</v>
      </c>
      <c r="C45" s="8">
        <v>528.0</v>
      </c>
      <c r="D45" s="8">
        <v>189.44444930553436</v>
      </c>
      <c r="E45" s="8">
        <v>4933.0</v>
      </c>
      <c r="F45" s="18">
        <f t="shared" si="1"/>
        <v>0.1070342591</v>
      </c>
      <c r="G45" s="18">
        <f t="shared" si="2"/>
        <v>0.3587963055</v>
      </c>
      <c r="H45" s="18">
        <f t="shared" si="3"/>
        <v>0.03840349672</v>
      </c>
      <c r="I45" s="8">
        <v>21.0</v>
      </c>
      <c r="J45" s="8">
        <v>7.444444686174393</v>
      </c>
      <c r="K45" s="8">
        <v>291.0</v>
      </c>
      <c r="L45" s="18">
        <f t="shared" si="4"/>
        <v>0.07216494845</v>
      </c>
      <c r="M45" s="18">
        <f t="shared" si="5"/>
        <v>0.354497366</v>
      </c>
      <c r="N45" s="18">
        <f t="shared" si="6"/>
        <v>0.02558228414</v>
      </c>
      <c r="O45" s="18">
        <f t="shared" si="7"/>
        <v>0.6661446569</v>
      </c>
      <c r="U45" s="20"/>
      <c r="V45" s="20"/>
      <c r="W45" s="20"/>
      <c r="AA45" s="20"/>
      <c r="AB45" s="20"/>
      <c r="AC45" s="20"/>
      <c r="AD45" s="20"/>
    </row>
    <row r="46">
      <c r="A46" s="8">
        <v>20305.0</v>
      </c>
      <c r="B46" s="9" t="s">
        <v>60</v>
      </c>
      <c r="C46" s="8">
        <v>1301.0</v>
      </c>
      <c r="D46" s="8">
        <v>486.8889008462429</v>
      </c>
      <c r="E46" s="8">
        <v>3774.0</v>
      </c>
      <c r="F46" s="18">
        <f t="shared" si="1"/>
        <v>0.34472708</v>
      </c>
      <c r="G46" s="18">
        <f t="shared" si="2"/>
        <v>0.3742420452</v>
      </c>
      <c r="H46" s="18">
        <f t="shared" si="3"/>
        <v>0.1290113675</v>
      </c>
      <c r="I46" s="8">
        <v>93.0</v>
      </c>
      <c r="J46" s="8">
        <v>36.55555632710457</v>
      </c>
      <c r="K46" s="8">
        <v>349.0</v>
      </c>
      <c r="L46" s="18">
        <f t="shared" si="4"/>
        <v>0.2664756447</v>
      </c>
      <c r="M46" s="18">
        <f t="shared" si="5"/>
        <v>0.3930704981</v>
      </c>
      <c r="N46" s="18">
        <f t="shared" si="6"/>
        <v>0.1047437144</v>
      </c>
      <c r="O46" s="18">
        <f t="shared" si="7"/>
        <v>0.8118952342</v>
      </c>
      <c r="U46" s="20"/>
      <c r="V46" s="20"/>
      <c r="W46" s="20"/>
      <c r="AA46" s="20"/>
      <c r="AB46" s="20"/>
      <c r="AC46" s="20"/>
      <c r="AD46" s="20"/>
    </row>
    <row r="47">
      <c r="A47" s="8">
        <v>20306.0</v>
      </c>
      <c r="B47" s="9" t="s">
        <v>61</v>
      </c>
      <c r="C47" s="8">
        <v>1056.0</v>
      </c>
      <c r="D47" s="8">
        <v>394.33334344625473</v>
      </c>
      <c r="E47" s="8">
        <v>5556.0</v>
      </c>
      <c r="F47" s="18">
        <f t="shared" si="1"/>
        <v>0.1900647948</v>
      </c>
      <c r="G47" s="18">
        <f t="shared" si="2"/>
        <v>0.3734217267</v>
      </c>
      <c r="H47" s="18">
        <f t="shared" si="3"/>
        <v>0.07097432387</v>
      </c>
      <c r="I47" s="8">
        <v>103.0</v>
      </c>
      <c r="J47" s="8">
        <v>35.5555565059185</v>
      </c>
      <c r="K47" s="8">
        <v>516.0</v>
      </c>
      <c r="L47" s="18">
        <f t="shared" si="4"/>
        <v>0.1996124031</v>
      </c>
      <c r="M47" s="18">
        <f t="shared" si="5"/>
        <v>0.3451995777</v>
      </c>
      <c r="N47" s="18">
        <f t="shared" si="6"/>
        <v>0.06890611726</v>
      </c>
      <c r="O47" s="18">
        <f t="shared" si="7"/>
        <v>0.9708597912</v>
      </c>
      <c r="U47" s="20"/>
      <c r="V47" s="20"/>
      <c r="W47" s="20"/>
      <c r="AA47" s="20"/>
      <c r="AB47" s="20"/>
      <c r="AC47" s="20"/>
      <c r="AD47" s="20"/>
    </row>
    <row r="48">
      <c r="A48" s="8">
        <v>20307.0</v>
      </c>
      <c r="B48" s="9" t="s">
        <v>62</v>
      </c>
      <c r="C48" s="8">
        <v>733.0</v>
      </c>
      <c r="D48" s="8">
        <v>267.22222849726677</v>
      </c>
      <c r="E48" s="8">
        <v>3580.0</v>
      </c>
      <c r="F48" s="18">
        <f t="shared" si="1"/>
        <v>0.2047486034</v>
      </c>
      <c r="G48" s="18">
        <f t="shared" si="2"/>
        <v>0.3645596569</v>
      </c>
      <c r="H48" s="18">
        <f t="shared" si="3"/>
        <v>0.07464308059</v>
      </c>
      <c r="I48" s="8">
        <v>60.0</v>
      </c>
      <c r="J48" s="8">
        <v>22.11111170053482</v>
      </c>
      <c r="K48" s="8">
        <v>437.0</v>
      </c>
      <c r="L48" s="18">
        <f t="shared" si="4"/>
        <v>0.1372997712</v>
      </c>
      <c r="M48" s="18">
        <f t="shared" si="5"/>
        <v>0.3685185283</v>
      </c>
      <c r="N48" s="18">
        <f t="shared" si="6"/>
        <v>0.05059750961</v>
      </c>
      <c r="O48" s="18">
        <f t="shared" si="7"/>
        <v>0.6778593436</v>
      </c>
      <c r="U48" s="20"/>
      <c r="V48" s="20"/>
      <c r="W48" s="20"/>
      <c r="AA48" s="20"/>
      <c r="AB48" s="20"/>
      <c r="AC48" s="20"/>
      <c r="AD48" s="20"/>
    </row>
    <row r="49">
      <c r="A49" s="8">
        <v>20308.0</v>
      </c>
      <c r="B49" s="9" t="s">
        <v>63</v>
      </c>
      <c r="C49" s="8">
        <v>2739.0</v>
      </c>
      <c r="D49" s="8">
        <v>1017.8889131844044</v>
      </c>
      <c r="E49" s="8">
        <v>7471.0</v>
      </c>
      <c r="F49" s="18">
        <f t="shared" si="1"/>
        <v>0.366617588</v>
      </c>
      <c r="G49" s="18">
        <f t="shared" si="2"/>
        <v>0.3716279347</v>
      </c>
      <c r="H49" s="18">
        <f t="shared" si="3"/>
        <v>0.1362453371</v>
      </c>
      <c r="I49" s="8">
        <v>144.0</v>
      </c>
      <c r="J49" s="8">
        <v>51.66666802763939</v>
      </c>
      <c r="K49" s="8">
        <v>542.0</v>
      </c>
      <c r="L49" s="18">
        <f t="shared" si="4"/>
        <v>0.2656826568</v>
      </c>
      <c r="M49" s="18">
        <f t="shared" si="5"/>
        <v>0.3587963057</v>
      </c>
      <c r="N49" s="18">
        <f t="shared" si="6"/>
        <v>0.09532595577</v>
      </c>
      <c r="O49" s="18">
        <f t="shared" si="7"/>
        <v>0.6996639872</v>
      </c>
      <c r="U49" s="20"/>
      <c r="V49" s="20"/>
      <c r="W49" s="20"/>
      <c r="AA49" s="20"/>
      <c r="AB49" s="20"/>
      <c r="AC49" s="20"/>
      <c r="AD49" s="20"/>
    </row>
    <row r="50">
      <c r="A50" s="8">
        <v>20401.0</v>
      </c>
      <c r="B50" s="9" t="s">
        <v>64</v>
      </c>
      <c r="C50" s="8">
        <v>3366.0</v>
      </c>
      <c r="D50" s="8">
        <v>1250.666697025299</v>
      </c>
      <c r="E50" s="8">
        <v>13192.0</v>
      </c>
      <c r="F50" s="18">
        <f t="shared" si="1"/>
        <v>0.2551546392</v>
      </c>
      <c r="G50" s="18">
        <f t="shared" si="2"/>
        <v>0.3715587335</v>
      </c>
      <c r="H50" s="18">
        <f t="shared" si="3"/>
        <v>0.09480493458</v>
      </c>
      <c r="I50" s="8">
        <v>117.0</v>
      </c>
      <c r="J50" s="8">
        <v>42.33333432674408</v>
      </c>
      <c r="K50" s="8">
        <v>776.0</v>
      </c>
      <c r="L50" s="18">
        <f t="shared" si="4"/>
        <v>0.1507731959</v>
      </c>
      <c r="M50" s="18">
        <f t="shared" si="5"/>
        <v>0.3618233703</v>
      </c>
      <c r="N50" s="18">
        <f t="shared" si="6"/>
        <v>0.05455326588</v>
      </c>
      <c r="O50" s="18">
        <f t="shared" si="7"/>
        <v>0.5754264388</v>
      </c>
      <c r="U50" s="20"/>
      <c r="V50" s="20"/>
      <c r="W50" s="20"/>
      <c r="AA50" s="20"/>
      <c r="AB50" s="20"/>
      <c r="AC50" s="20"/>
      <c r="AD50" s="20"/>
    </row>
    <row r="51">
      <c r="A51" s="8">
        <v>20402.0</v>
      </c>
      <c r="B51" s="9" t="s">
        <v>65</v>
      </c>
      <c r="C51" s="8">
        <v>3001.0</v>
      </c>
      <c r="D51" s="8">
        <v>1115.333361506462</v>
      </c>
      <c r="E51" s="8">
        <v>16660.0</v>
      </c>
      <c r="F51" s="18">
        <f t="shared" si="1"/>
        <v>0.1801320528</v>
      </c>
      <c r="G51" s="18">
        <f t="shared" si="2"/>
        <v>0.3716539025</v>
      </c>
      <c r="H51" s="18">
        <f t="shared" si="3"/>
        <v>0.0669467804</v>
      </c>
      <c r="I51" s="8">
        <v>163.0</v>
      </c>
      <c r="J51" s="8">
        <v>61.11111265420914</v>
      </c>
      <c r="K51" s="8">
        <v>1070.0</v>
      </c>
      <c r="L51" s="18">
        <f t="shared" si="4"/>
        <v>0.1523364486</v>
      </c>
      <c r="M51" s="18">
        <f t="shared" si="5"/>
        <v>0.3749148016</v>
      </c>
      <c r="N51" s="18">
        <f t="shared" si="6"/>
        <v>0.0571131894</v>
      </c>
      <c r="O51" s="18">
        <f t="shared" si="7"/>
        <v>0.8531133096</v>
      </c>
      <c r="U51" s="20"/>
      <c r="V51" s="20"/>
      <c r="W51" s="20"/>
      <c r="AA51" s="20"/>
      <c r="AB51" s="20"/>
      <c r="AC51" s="20"/>
      <c r="AD51" s="20"/>
    </row>
    <row r="52">
      <c r="A52" s="8">
        <v>20403.0</v>
      </c>
      <c r="B52" s="9" t="s">
        <v>66</v>
      </c>
      <c r="C52" s="8">
        <v>2863.0</v>
      </c>
      <c r="D52" s="8">
        <v>1045.8889154791832</v>
      </c>
      <c r="E52" s="8">
        <v>15769.0</v>
      </c>
      <c r="F52" s="18">
        <f t="shared" si="1"/>
        <v>0.1815587545</v>
      </c>
      <c r="G52" s="18">
        <f t="shared" si="2"/>
        <v>0.3653122303</v>
      </c>
      <c r="H52" s="18">
        <f t="shared" si="3"/>
        <v>0.06632563355</v>
      </c>
      <c r="I52" s="8">
        <v>194.0</v>
      </c>
      <c r="J52" s="8">
        <v>70.11111289262772</v>
      </c>
      <c r="K52" s="8">
        <v>1265.0</v>
      </c>
      <c r="L52" s="18">
        <f t="shared" si="4"/>
        <v>0.1533596838</v>
      </c>
      <c r="M52" s="18">
        <f t="shared" si="5"/>
        <v>0.3613974891</v>
      </c>
      <c r="N52" s="18">
        <f t="shared" si="6"/>
        <v>0.05542380466</v>
      </c>
      <c r="O52" s="18">
        <f t="shared" si="7"/>
        <v>0.8356317413</v>
      </c>
      <c r="U52" s="20"/>
      <c r="V52" s="20"/>
      <c r="W52" s="20"/>
      <c r="AA52" s="20"/>
      <c r="AB52" s="20"/>
      <c r="AC52" s="20"/>
      <c r="AD52" s="20"/>
    </row>
    <row r="53">
      <c r="A53" s="8">
        <v>20404.0</v>
      </c>
      <c r="B53" s="9" t="s">
        <v>67</v>
      </c>
      <c r="C53" s="8">
        <v>1488.0</v>
      </c>
      <c r="D53" s="8">
        <v>572.000014424324</v>
      </c>
      <c r="E53" s="8">
        <v>5512.0</v>
      </c>
      <c r="F53" s="18">
        <f t="shared" si="1"/>
        <v>0.2699564586</v>
      </c>
      <c r="G53" s="18">
        <f t="shared" si="2"/>
        <v>0.3844086118</v>
      </c>
      <c r="H53" s="18">
        <f t="shared" si="3"/>
        <v>0.1037735875</v>
      </c>
      <c r="I53" s="8">
        <v>41.0</v>
      </c>
      <c r="J53" s="8">
        <v>15.222222566604614</v>
      </c>
      <c r="K53" s="8">
        <v>139.0</v>
      </c>
      <c r="L53" s="18">
        <f t="shared" si="4"/>
        <v>0.2949640288</v>
      </c>
      <c r="M53" s="18">
        <f t="shared" si="5"/>
        <v>0.3712737211</v>
      </c>
      <c r="N53" s="18">
        <f t="shared" si="6"/>
        <v>0.1095123926</v>
      </c>
      <c r="O53" s="18">
        <f t="shared" si="7"/>
        <v>1.055301211</v>
      </c>
      <c r="U53" s="20"/>
      <c r="V53" s="20"/>
      <c r="W53" s="20"/>
      <c r="AA53" s="20"/>
      <c r="AB53" s="20"/>
      <c r="AC53" s="20"/>
      <c r="AD53" s="20"/>
    </row>
    <row r="54">
      <c r="A54" s="8">
        <v>20405.0</v>
      </c>
      <c r="B54" s="9" t="s">
        <v>68</v>
      </c>
      <c r="C54" s="8">
        <v>1874.0</v>
      </c>
      <c r="D54" s="8">
        <v>704.1111283302307</v>
      </c>
      <c r="E54" s="8">
        <v>8297.0</v>
      </c>
      <c r="F54" s="18">
        <f t="shared" si="1"/>
        <v>0.2258647704</v>
      </c>
      <c r="G54" s="18">
        <f t="shared" si="2"/>
        <v>0.3757263225</v>
      </c>
      <c r="H54" s="18">
        <f t="shared" si="3"/>
        <v>0.08486333956</v>
      </c>
      <c r="I54" s="8">
        <v>100.0</v>
      </c>
      <c r="J54" s="8">
        <v>37.55555638670921</v>
      </c>
      <c r="K54" s="8">
        <v>515.0</v>
      </c>
      <c r="L54" s="18">
        <f t="shared" si="4"/>
        <v>0.1941747573</v>
      </c>
      <c r="M54" s="18">
        <f t="shared" si="5"/>
        <v>0.3755555639</v>
      </c>
      <c r="N54" s="18">
        <f t="shared" si="6"/>
        <v>0.07292341046</v>
      </c>
      <c r="O54" s="18">
        <f t="shared" si="7"/>
        <v>0.8593040391</v>
      </c>
      <c r="U54" s="20"/>
      <c r="V54" s="20"/>
      <c r="W54" s="20"/>
      <c r="AA54" s="20"/>
      <c r="AB54" s="20"/>
      <c r="AC54" s="20"/>
      <c r="AD54" s="20"/>
    </row>
    <row r="55">
      <c r="A55" s="8">
        <v>20501.0</v>
      </c>
      <c r="B55" s="9" t="s">
        <v>69</v>
      </c>
      <c r="C55" s="8">
        <v>2406.0</v>
      </c>
      <c r="D55" s="8">
        <v>902.6666893362999</v>
      </c>
      <c r="E55" s="8">
        <v>15768.0</v>
      </c>
      <c r="F55" s="18">
        <f t="shared" si="1"/>
        <v>0.152587519</v>
      </c>
      <c r="G55" s="18">
        <f t="shared" si="2"/>
        <v>0.3751731876</v>
      </c>
      <c r="H55" s="18">
        <f t="shared" si="3"/>
        <v>0.0572467459</v>
      </c>
      <c r="I55" s="8">
        <v>192.0</v>
      </c>
      <c r="J55" s="8">
        <v>71.77777948975563</v>
      </c>
      <c r="K55" s="8">
        <v>2019.0</v>
      </c>
      <c r="L55" s="18">
        <f t="shared" si="4"/>
        <v>0.09509658247</v>
      </c>
      <c r="M55" s="18">
        <f t="shared" si="5"/>
        <v>0.3738426015</v>
      </c>
      <c r="N55" s="18">
        <f t="shared" si="6"/>
        <v>0.03555115378</v>
      </c>
      <c r="O55" s="18">
        <f t="shared" si="7"/>
        <v>0.6210161508</v>
      </c>
      <c r="U55" s="20"/>
      <c r="V55" s="20"/>
      <c r="W55" s="20"/>
      <c r="AA55" s="20"/>
      <c r="AB55" s="20"/>
      <c r="AC55" s="20"/>
      <c r="AD55" s="20"/>
    </row>
    <row r="56">
      <c r="A56" s="8">
        <v>20502.0</v>
      </c>
      <c r="B56" s="9" t="s">
        <v>70</v>
      </c>
      <c r="C56" s="8">
        <v>1751.0</v>
      </c>
      <c r="D56" s="8">
        <v>666.2222390472889</v>
      </c>
      <c r="E56" s="8">
        <v>7979.0</v>
      </c>
      <c r="F56" s="18">
        <f t="shared" si="1"/>
        <v>0.219451059</v>
      </c>
      <c r="G56" s="18">
        <f t="shared" si="2"/>
        <v>0.3804810046</v>
      </c>
      <c r="H56" s="18">
        <f t="shared" si="3"/>
        <v>0.0834969594</v>
      </c>
      <c r="I56" s="8">
        <v>191.0</v>
      </c>
      <c r="J56" s="8">
        <v>73.55555754899979</v>
      </c>
      <c r="K56" s="8">
        <v>1031.0</v>
      </c>
      <c r="L56" s="18">
        <f t="shared" si="4"/>
        <v>0.185257032</v>
      </c>
      <c r="M56" s="18">
        <f t="shared" si="5"/>
        <v>0.3851076311</v>
      </c>
      <c r="N56" s="18">
        <f t="shared" si="6"/>
        <v>0.07134389675</v>
      </c>
      <c r="O56" s="18">
        <f t="shared" si="7"/>
        <v>0.8544490394</v>
      </c>
      <c r="U56" s="20"/>
      <c r="V56" s="20"/>
      <c r="W56" s="20"/>
      <c r="AA56" s="20"/>
      <c r="AB56" s="20"/>
      <c r="AC56" s="20"/>
      <c r="AD56" s="20"/>
    </row>
    <row r="57">
      <c r="A57" s="8">
        <v>20503.0</v>
      </c>
      <c r="B57" s="9" t="s">
        <v>71</v>
      </c>
      <c r="C57" s="8">
        <v>1131.0</v>
      </c>
      <c r="D57" s="8">
        <v>428.33334428071976</v>
      </c>
      <c r="E57" s="8">
        <v>5635.0</v>
      </c>
      <c r="F57" s="18">
        <f t="shared" si="1"/>
        <v>0.2007098492</v>
      </c>
      <c r="G57" s="18">
        <f t="shared" si="2"/>
        <v>0.3787209056</v>
      </c>
      <c r="H57" s="18">
        <f t="shared" si="3"/>
        <v>0.07601301584</v>
      </c>
      <c r="I57" s="8">
        <v>145.0</v>
      </c>
      <c r="J57" s="8">
        <v>56.22222378849983</v>
      </c>
      <c r="K57" s="8">
        <v>817.0</v>
      </c>
      <c r="L57" s="18">
        <f t="shared" si="4"/>
        <v>0.1774785802</v>
      </c>
      <c r="M57" s="18">
        <f t="shared" si="5"/>
        <v>0.3877394744</v>
      </c>
      <c r="N57" s="18">
        <f t="shared" si="6"/>
        <v>0.06881545139</v>
      </c>
      <c r="O57" s="18">
        <f t="shared" si="7"/>
        <v>0.9053114211</v>
      </c>
      <c r="U57" s="20"/>
      <c r="V57" s="20"/>
      <c r="W57" s="20"/>
      <c r="AA57" s="20"/>
      <c r="AB57" s="20"/>
      <c r="AC57" s="20"/>
      <c r="AD57" s="20"/>
    </row>
    <row r="58">
      <c r="A58" s="8">
        <v>20601.0</v>
      </c>
      <c r="B58" s="9" t="s">
        <v>72</v>
      </c>
      <c r="C58" s="8">
        <v>3735.0</v>
      </c>
      <c r="D58" s="8">
        <v>1373.0000350177288</v>
      </c>
      <c r="E58" s="8">
        <v>25118.0</v>
      </c>
      <c r="F58" s="18">
        <f t="shared" si="1"/>
        <v>0.1486981448</v>
      </c>
      <c r="G58" s="18">
        <f t="shared" si="2"/>
        <v>0.3676037577</v>
      </c>
      <c r="H58" s="18">
        <f t="shared" si="3"/>
        <v>0.05466199678</v>
      </c>
      <c r="I58" s="8">
        <v>656.0</v>
      </c>
      <c r="J58" s="8">
        <v>238.3333392739296</v>
      </c>
      <c r="K58" s="8">
        <v>4683.0</v>
      </c>
      <c r="L58" s="18">
        <f t="shared" si="4"/>
        <v>0.1400811446</v>
      </c>
      <c r="M58" s="18">
        <f t="shared" si="5"/>
        <v>0.3633130172</v>
      </c>
      <c r="N58" s="18">
        <f t="shared" si="6"/>
        <v>0.05089330328</v>
      </c>
      <c r="O58" s="18">
        <f t="shared" si="7"/>
        <v>0.9310545952</v>
      </c>
      <c r="U58" s="20"/>
      <c r="V58" s="20"/>
      <c r="W58" s="20"/>
      <c r="AA58" s="20"/>
      <c r="AB58" s="20"/>
      <c r="AC58" s="20"/>
      <c r="AD58" s="20"/>
    </row>
    <row r="59">
      <c r="A59" s="8">
        <v>20602.0</v>
      </c>
      <c r="B59" s="9" t="s">
        <v>73</v>
      </c>
      <c r="C59" s="8">
        <v>1591.0</v>
      </c>
      <c r="D59" s="8">
        <v>601.8889032006264</v>
      </c>
      <c r="E59" s="8">
        <v>11991.0</v>
      </c>
      <c r="F59" s="18">
        <f t="shared" si="1"/>
        <v>0.1326828455</v>
      </c>
      <c r="G59" s="18">
        <f t="shared" si="2"/>
        <v>0.3783085501</v>
      </c>
      <c r="H59" s="18">
        <f t="shared" si="3"/>
        <v>0.05019505489</v>
      </c>
      <c r="I59" s="8">
        <v>397.0</v>
      </c>
      <c r="J59" s="8">
        <v>144.22222584486008</v>
      </c>
      <c r="K59" s="8">
        <v>4052.0</v>
      </c>
      <c r="L59" s="18">
        <f t="shared" si="4"/>
        <v>0.097976308</v>
      </c>
      <c r="M59" s="18">
        <f t="shared" si="5"/>
        <v>0.3632801659</v>
      </c>
      <c r="N59" s="18">
        <f t="shared" si="6"/>
        <v>0.03559284942</v>
      </c>
      <c r="O59" s="18">
        <f t="shared" si="7"/>
        <v>0.709090756</v>
      </c>
      <c r="U59" s="20"/>
      <c r="V59" s="20"/>
      <c r="W59" s="20"/>
      <c r="AA59" s="20"/>
      <c r="AB59" s="20"/>
      <c r="AC59" s="20"/>
      <c r="AD59" s="20"/>
    </row>
    <row r="60">
      <c r="A60" s="8">
        <v>20603.0</v>
      </c>
      <c r="B60" s="9" t="s">
        <v>74</v>
      </c>
      <c r="C60" s="8">
        <v>1413.0</v>
      </c>
      <c r="D60" s="8">
        <v>535.3333466053009</v>
      </c>
      <c r="E60" s="8">
        <v>7757.0</v>
      </c>
      <c r="F60" s="18">
        <f t="shared" si="1"/>
        <v>0.1821580508</v>
      </c>
      <c r="G60" s="18">
        <f t="shared" si="2"/>
        <v>0.3788629488</v>
      </c>
      <c r="H60" s="18">
        <f t="shared" si="3"/>
        <v>0.06901293626</v>
      </c>
      <c r="I60" s="8">
        <v>401.0</v>
      </c>
      <c r="J60" s="8">
        <v>146.66667068004608</v>
      </c>
      <c r="K60" s="8">
        <v>1758.0</v>
      </c>
      <c r="L60" s="18">
        <f t="shared" si="4"/>
        <v>0.2281001138</v>
      </c>
      <c r="M60" s="18">
        <f t="shared" si="5"/>
        <v>0.365752296</v>
      </c>
      <c r="N60" s="18">
        <f t="shared" si="6"/>
        <v>0.08342814032</v>
      </c>
      <c r="O60" s="18">
        <f t="shared" si="7"/>
        <v>1.20887684</v>
      </c>
      <c r="U60" s="20"/>
      <c r="V60" s="20"/>
      <c r="W60" s="20"/>
      <c r="AA60" s="20"/>
      <c r="AB60" s="20"/>
      <c r="AC60" s="20"/>
      <c r="AD60" s="20"/>
    </row>
    <row r="61">
      <c r="A61" s="8">
        <v>20604.0</v>
      </c>
      <c r="B61" s="9" t="s">
        <v>75</v>
      </c>
      <c r="C61" s="8">
        <v>913.0</v>
      </c>
      <c r="D61" s="8">
        <v>344.5555639266968</v>
      </c>
      <c r="E61" s="8">
        <v>3648.0</v>
      </c>
      <c r="F61" s="18">
        <f t="shared" si="1"/>
        <v>0.2502741228</v>
      </c>
      <c r="G61" s="18">
        <f t="shared" si="2"/>
        <v>0.3773883504</v>
      </c>
      <c r="H61" s="18">
        <f t="shared" si="3"/>
        <v>0.09445053836</v>
      </c>
      <c r="I61" s="8">
        <v>69.0</v>
      </c>
      <c r="J61" s="8">
        <v>27.333334177732468</v>
      </c>
      <c r="K61" s="8">
        <v>489.0</v>
      </c>
      <c r="L61" s="18">
        <f t="shared" si="4"/>
        <v>0.1411042945</v>
      </c>
      <c r="M61" s="18">
        <f t="shared" si="5"/>
        <v>0.3961352779</v>
      </c>
      <c r="N61" s="18">
        <f t="shared" si="6"/>
        <v>0.05589638891</v>
      </c>
      <c r="O61" s="18">
        <f t="shared" si="7"/>
        <v>0.5918059323</v>
      </c>
      <c r="U61" s="20"/>
      <c r="V61" s="20"/>
      <c r="W61" s="20"/>
      <c r="AA61" s="20"/>
      <c r="AB61" s="20"/>
      <c r="AC61" s="20"/>
      <c r="AD61" s="20"/>
    </row>
    <row r="62">
      <c r="A62" s="8">
        <v>20605.0</v>
      </c>
      <c r="B62" s="9" t="s">
        <v>76</v>
      </c>
      <c r="C62" s="8">
        <v>573.0</v>
      </c>
      <c r="D62" s="8">
        <v>216.222226947546</v>
      </c>
      <c r="E62" s="8">
        <v>3202.0</v>
      </c>
      <c r="F62" s="18">
        <f t="shared" si="1"/>
        <v>0.1789506558</v>
      </c>
      <c r="G62" s="18">
        <f t="shared" si="2"/>
        <v>0.3773511814</v>
      </c>
      <c r="H62" s="18">
        <f t="shared" si="3"/>
        <v>0.0675272414</v>
      </c>
      <c r="I62" s="8">
        <v>34.0</v>
      </c>
      <c r="J62" s="8">
        <v>12.555555820465088</v>
      </c>
      <c r="K62" s="8">
        <v>315.0</v>
      </c>
      <c r="L62" s="18">
        <f t="shared" si="4"/>
        <v>0.1079365079</v>
      </c>
      <c r="M62" s="18">
        <f t="shared" si="5"/>
        <v>0.3692810535</v>
      </c>
      <c r="N62" s="18">
        <f t="shared" si="6"/>
        <v>0.03985890737</v>
      </c>
      <c r="O62" s="18">
        <f t="shared" si="7"/>
        <v>0.5902641148</v>
      </c>
      <c r="U62" s="20"/>
      <c r="V62" s="20"/>
      <c r="W62" s="20"/>
      <c r="AA62" s="20"/>
      <c r="AB62" s="20"/>
      <c r="AC62" s="20"/>
      <c r="AD62" s="20"/>
    </row>
    <row r="63">
      <c r="A63" s="8">
        <v>20606.0</v>
      </c>
      <c r="B63" s="9" t="s">
        <v>77</v>
      </c>
      <c r="C63" s="8">
        <v>291.0</v>
      </c>
      <c r="D63" s="8">
        <v>105.33333584666252</v>
      </c>
      <c r="E63" s="8">
        <v>3201.0</v>
      </c>
      <c r="F63" s="18">
        <f t="shared" si="1"/>
        <v>0.09090909091</v>
      </c>
      <c r="G63" s="18">
        <f t="shared" si="2"/>
        <v>0.3619702263</v>
      </c>
      <c r="H63" s="18">
        <f t="shared" si="3"/>
        <v>0.03290638421</v>
      </c>
      <c r="I63" s="8">
        <v>312.0</v>
      </c>
      <c r="J63" s="8">
        <v>109.33333614468575</v>
      </c>
      <c r="K63" s="8">
        <v>4371.0</v>
      </c>
      <c r="L63" s="18">
        <f t="shared" si="4"/>
        <v>0.07137954701</v>
      </c>
      <c r="M63" s="18">
        <f t="shared" si="5"/>
        <v>0.3504273594</v>
      </c>
      <c r="N63" s="18">
        <f t="shared" si="6"/>
        <v>0.02501334618</v>
      </c>
      <c r="O63" s="18">
        <f t="shared" si="7"/>
        <v>0.7601365747</v>
      </c>
      <c r="U63" s="20"/>
      <c r="V63" s="20"/>
      <c r="W63" s="20"/>
      <c r="AA63" s="20"/>
      <c r="AB63" s="20"/>
      <c r="AC63" s="20"/>
      <c r="AD63" s="20"/>
    </row>
    <row r="64">
      <c r="A64" s="8">
        <v>20607.0</v>
      </c>
      <c r="B64" s="9" t="s">
        <v>78</v>
      </c>
      <c r="C64" s="8">
        <v>666.0</v>
      </c>
      <c r="D64" s="8">
        <v>250.33333948254585</v>
      </c>
      <c r="E64" s="8">
        <v>11245.0</v>
      </c>
      <c r="F64" s="18">
        <f t="shared" si="1"/>
        <v>0.05922632281</v>
      </c>
      <c r="G64" s="18">
        <f t="shared" si="2"/>
        <v>0.3758758851</v>
      </c>
      <c r="H64" s="18">
        <f t="shared" si="3"/>
        <v>0.02226174651</v>
      </c>
      <c r="I64" s="8">
        <v>524.0</v>
      </c>
      <c r="J64" s="8">
        <v>192.2222270667553</v>
      </c>
      <c r="K64" s="8">
        <v>8854.0</v>
      </c>
      <c r="L64" s="18">
        <f t="shared" si="4"/>
        <v>0.05918229049</v>
      </c>
      <c r="M64" s="18">
        <f t="shared" si="5"/>
        <v>0.3668363112</v>
      </c>
      <c r="N64" s="18">
        <f t="shared" si="6"/>
        <v>0.02171021313</v>
      </c>
      <c r="O64" s="18">
        <f t="shared" si="7"/>
        <v>0.9752250626</v>
      </c>
      <c r="U64" s="20"/>
      <c r="V64" s="20"/>
      <c r="W64" s="20"/>
      <c r="AA64" s="20"/>
      <c r="AB64" s="20"/>
      <c r="AC64" s="20"/>
      <c r="AD64" s="20"/>
    </row>
    <row r="65">
      <c r="A65" s="8">
        <v>20608.0</v>
      </c>
      <c r="B65" s="9" t="s">
        <v>79</v>
      </c>
      <c r="C65" s="8">
        <v>1988.0</v>
      </c>
      <c r="D65" s="8">
        <v>748.2222405076027</v>
      </c>
      <c r="E65" s="8">
        <v>8644.0</v>
      </c>
      <c r="F65" s="18">
        <f t="shared" si="1"/>
        <v>0.2299861175</v>
      </c>
      <c r="G65" s="18">
        <f t="shared" si="2"/>
        <v>0.3763693363</v>
      </c>
      <c r="H65" s="18">
        <f t="shared" si="3"/>
        <v>0.08655972241</v>
      </c>
      <c r="I65" s="8">
        <v>861.0</v>
      </c>
      <c r="J65" s="8">
        <v>323.0000080168247</v>
      </c>
      <c r="K65" s="8">
        <v>4303.0</v>
      </c>
      <c r="L65" s="18">
        <f t="shared" si="4"/>
        <v>0.2000929584</v>
      </c>
      <c r="M65" s="18">
        <f t="shared" si="5"/>
        <v>0.3751451893</v>
      </c>
      <c r="N65" s="18">
        <f t="shared" si="6"/>
        <v>0.07506391076</v>
      </c>
      <c r="O65" s="18">
        <f t="shared" si="7"/>
        <v>0.8671921383</v>
      </c>
      <c r="U65" s="20"/>
      <c r="V65" s="20"/>
      <c r="W65" s="20"/>
      <c r="AA65" s="20"/>
      <c r="AB65" s="20"/>
      <c r="AC65" s="20"/>
      <c r="AD65" s="20"/>
    </row>
    <row r="66">
      <c r="A66" s="8">
        <v>20701.0</v>
      </c>
      <c r="B66" s="9" t="s">
        <v>80</v>
      </c>
      <c r="C66" s="8">
        <v>3404.0</v>
      </c>
      <c r="D66" s="8">
        <v>1380.5555907785892</v>
      </c>
      <c r="E66" s="8">
        <v>14350.0</v>
      </c>
      <c r="F66" s="18">
        <f t="shared" si="1"/>
        <v>0.2372125436</v>
      </c>
      <c r="G66" s="18">
        <f t="shared" si="2"/>
        <v>0.4055686224</v>
      </c>
      <c r="H66" s="18">
        <f t="shared" si="3"/>
        <v>0.09620596451</v>
      </c>
      <c r="I66" s="8">
        <v>538.0</v>
      </c>
      <c r="J66" s="8">
        <v>204.44444996118546</v>
      </c>
      <c r="K66" s="8">
        <v>4122.0</v>
      </c>
      <c r="L66" s="18">
        <f t="shared" si="4"/>
        <v>0.1305191655</v>
      </c>
      <c r="M66" s="18">
        <f t="shared" si="5"/>
        <v>0.3800082713</v>
      </c>
      <c r="N66" s="18">
        <f t="shared" si="6"/>
        <v>0.04959836244</v>
      </c>
      <c r="O66" s="18">
        <f t="shared" si="7"/>
        <v>0.5155435288</v>
      </c>
      <c r="U66" s="20"/>
      <c r="V66" s="20"/>
      <c r="W66" s="20"/>
      <c r="AA66" s="20"/>
      <c r="AB66" s="20"/>
      <c r="AC66" s="20"/>
      <c r="AD66" s="20"/>
    </row>
    <row r="67">
      <c r="A67" s="8">
        <v>20702.0</v>
      </c>
      <c r="B67" s="9" t="s">
        <v>81</v>
      </c>
      <c r="C67" s="8">
        <v>993.0</v>
      </c>
      <c r="D67" s="8">
        <v>362.55556485056877</v>
      </c>
      <c r="E67" s="8">
        <v>7200.0</v>
      </c>
      <c r="F67" s="18">
        <f t="shared" si="1"/>
        <v>0.1379166667</v>
      </c>
      <c r="G67" s="18">
        <f t="shared" si="2"/>
        <v>0.3651113443</v>
      </c>
      <c r="H67" s="18">
        <f t="shared" si="3"/>
        <v>0.05035493956</v>
      </c>
      <c r="I67" s="8">
        <v>217.0</v>
      </c>
      <c r="J67" s="8">
        <v>80.44444617629051</v>
      </c>
      <c r="K67" s="8">
        <v>1289.0</v>
      </c>
      <c r="L67" s="18">
        <f t="shared" si="4"/>
        <v>0.1683475562</v>
      </c>
      <c r="M67" s="18">
        <f t="shared" si="5"/>
        <v>0.3707117335</v>
      </c>
      <c r="N67" s="18">
        <f t="shared" si="6"/>
        <v>0.06240841441</v>
      </c>
      <c r="O67" s="18">
        <f t="shared" si="7"/>
        <v>1.239370257</v>
      </c>
      <c r="U67" s="20"/>
      <c r="V67" s="20"/>
      <c r="W67" s="20"/>
      <c r="AA67" s="20"/>
      <c r="AB67" s="20"/>
      <c r="AC67" s="20"/>
      <c r="AD67" s="20"/>
    </row>
    <row r="68">
      <c r="A68" s="8">
        <v>20801.0</v>
      </c>
      <c r="B68" s="9" t="s">
        <v>82</v>
      </c>
      <c r="C68" s="8">
        <v>5264.0</v>
      </c>
      <c r="D68" s="8">
        <v>1906.8889370560646</v>
      </c>
      <c r="E68" s="8">
        <v>82090.0</v>
      </c>
      <c r="F68" s="18">
        <f t="shared" si="1"/>
        <v>0.06412474114</v>
      </c>
      <c r="G68" s="18">
        <f t="shared" si="2"/>
        <v>0.3622509379</v>
      </c>
      <c r="H68" s="18">
        <f t="shared" si="3"/>
        <v>0.02322924762</v>
      </c>
      <c r="I68" s="8">
        <v>1385.0</v>
      </c>
      <c r="J68" s="8">
        <v>499.00001272559166</v>
      </c>
      <c r="K68" s="8">
        <v>28911.0</v>
      </c>
      <c r="L68" s="18">
        <f t="shared" si="4"/>
        <v>0.04790564145</v>
      </c>
      <c r="M68" s="18">
        <f t="shared" si="5"/>
        <v>0.3602888179</v>
      </c>
      <c r="N68" s="18">
        <f t="shared" si="6"/>
        <v>0.01725986693</v>
      </c>
      <c r="O68" s="18">
        <f t="shared" si="7"/>
        <v>0.743023072</v>
      </c>
      <c r="U68" s="20"/>
      <c r="V68" s="20"/>
      <c r="W68" s="20"/>
      <c r="AA68" s="20"/>
      <c r="AB68" s="20"/>
      <c r="AC68" s="20"/>
      <c r="AD68" s="20"/>
    </row>
    <row r="69">
      <c r="A69" s="8">
        <v>20802.0</v>
      </c>
      <c r="B69" s="9" t="s">
        <v>83</v>
      </c>
      <c r="C69" s="8">
        <v>582.0</v>
      </c>
      <c r="D69" s="8">
        <v>210.55556082725525</v>
      </c>
      <c r="E69" s="8">
        <v>7248.0</v>
      </c>
      <c r="F69" s="18">
        <f t="shared" si="1"/>
        <v>0.08029801325</v>
      </c>
      <c r="G69" s="18">
        <f t="shared" si="2"/>
        <v>0.3617793141</v>
      </c>
      <c r="H69" s="18">
        <f t="shared" si="3"/>
        <v>0.02905016016</v>
      </c>
      <c r="I69" s="8">
        <v>54.0</v>
      </c>
      <c r="J69" s="8">
        <v>20.555556178092957</v>
      </c>
      <c r="K69" s="8">
        <v>912.0</v>
      </c>
      <c r="L69" s="18">
        <f t="shared" si="4"/>
        <v>0.05921052632</v>
      </c>
      <c r="M69" s="18">
        <f t="shared" si="5"/>
        <v>0.3806584477</v>
      </c>
      <c r="N69" s="18">
        <f t="shared" si="6"/>
        <v>0.02253898704</v>
      </c>
      <c r="O69" s="18">
        <f t="shared" si="7"/>
        <v>0.7758644673</v>
      </c>
      <c r="U69" s="20"/>
      <c r="V69" s="20"/>
      <c r="W69" s="20"/>
      <c r="AA69" s="20"/>
      <c r="AB69" s="20"/>
      <c r="AC69" s="20"/>
      <c r="AD69" s="20"/>
    </row>
    <row r="70">
      <c r="A70" s="8">
        <v>20803.0</v>
      </c>
      <c r="B70" s="9" t="s">
        <v>84</v>
      </c>
      <c r="C70" s="8">
        <v>2536.0</v>
      </c>
      <c r="D70" s="8">
        <v>987.5555792748928</v>
      </c>
      <c r="E70" s="8">
        <v>12417.0</v>
      </c>
      <c r="F70" s="18">
        <f t="shared" si="1"/>
        <v>0.2042361279</v>
      </c>
      <c r="G70" s="18">
        <f t="shared" si="2"/>
        <v>0.3894146606</v>
      </c>
      <c r="H70" s="18">
        <f t="shared" si="3"/>
        <v>0.07953254242</v>
      </c>
      <c r="I70" s="8">
        <v>131.0</v>
      </c>
      <c r="J70" s="8">
        <v>48.222223460674286</v>
      </c>
      <c r="K70" s="8">
        <v>1204.0</v>
      </c>
      <c r="L70" s="18">
        <f t="shared" si="4"/>
        <v>0.1088039867</v>
      </c>
      <c r="M70" s="18">
        <f t="shared" si="5"/>
        <v>0.368108576</v>
      </c>
      <c r="N70" s="18">
        <f t="shared" si="6"/>
        <v>0.04005168062</v>
      </c>
      <c r="O70" s="18">
        <f t="shared" si="7"/>
        <v>0.5035885864</v>
      </c>
      <c r="U70" s="20"/>
      <c r="V70" s="20"/>
      <c r="W70" s="20"/>
      <c r="AA70" s="20"/>
      <c r="AB70" s="20"/>
      <c r="AC70" s="20"/>
      <c r="AD70" s="20"/>
    </row>
    <row r="71">
      <c r="A71" s="8">
        <v>20804.0</v>
      </c>
      <c r="B71" s="9" t="s">
        <v>85</v>
      </c>
      <c r="C71" s="8">
        <v>266.0</v>
      </c>
      <c r="D71" s="8">
        <v>95.55555802583694</v>
      </c>
      <c r="E71" s="8">
        <v>6641.0</v>
      </c>
      <c r="F71" s="18">
        <f t="shared" si="1"/>
        <v>0.0400542087</v>
      </c>
      <c r="G71" s="18">
        <f t="shared" si="2"/>
        <v>0.3592314211</v>
      </c>
      <c r="H71" s="18">
        <f t="shared" si="3"/>
        <v>0.01438873032</v>
      </c>
      <c r="I71" s="8">
        <v>28.0</v>
      </c>
      <c r="J71" s="8">
        <v>10.333333551883698</v>
      </c>
      <c r="K71" s="8">
        <v>1122.0</v>
      </c>
      <c r="L71" s="18">
        <f t="shared" si="4"/>
        <v>0.02495543672</v>
      </c>
      <c r="M71" s="18">
        <f t="shared" si="5"/>
        <v>0.3690476269</v>
      </c>
      <c r="N71" s="18">
        <f t="shared" si="6"/>
        <v>0.009209744699</v>
      </c>
      <c r="O71" s="18">
        <f t="shared" si="7"/>
        <v>0.640066531</v>
      </c>
      <c r="U71" s="20"/>
      <c r="V71" s="20"/>
      <c r="W71" s="20"/>
      <c r="AA71" s="20"/>
      <c r="AB71" s="20"/>
      <c r="AC71" s="20"/>
      <c r="AD71" s="20"/>
    </row>
    <row r="72">
      <c r="A72" s="8">
        <v>20805.0</v>
      </c>
      <c r="B72" s="9" t="s">
        <v>86</v>
      </c>
      <c r="C72" s="8">
        <v>1144.0</v>
      </c>
      <c r="D72" s="8">
        <v>421.5555659532547</v>
      </c>
      <c r="E72" s="8">
        <v>7418.0</v>
      </c>
      <c r="F72" s="18">
        <f t="shared" si="1"/>
        <v>0.1542194662</v>
      </c>
      <c r="G72" s="18">
        <f t="shared" si="2"/>
        <v>0.3684926276</v>
      </c>
      <c r="H72" s="18">
        <f t="shared" si="3"/>
        <v>0.05682873631</v>
      </c>
      <c r="I72" s="8">
        <v>77.0</v>
      </c>
      <c r="J72" s="8">
        <v>28.44444504380226</v>
      </c>
      <c r="K72" s="8">
        <v>456.0</v>
      </c>
      <c r="L72" s="18">
        <f t="shared" si="4"/>
        <v>0.1688596491</v>
      </c>
      <c r="M72" s="18">
        <f t="shared" si="5"/>
        <v>0.3694083772</v>
      </c>
      <c r="N72" s="18">
        <f t="shared" si="6"/>
        <v>0.06237816896</v>
      </c>
      <c r="O72" s="18">
        <f t="shared" si="7"/>
        <v>1.097651875</v>
      </c>
      <c r="U72" s="20"/>
      <c r="V72" s="20"/>
      <c r="W72" s="20"/>
      <c r="AA72" s="20"/>
      <c r="AB72" s="20"/>
      <c r="AC72" s="20"/>
      <c r="AD72" s="20"/>
    </row>
    <row r="73">
      <c r="A73" s="8">
        <v>20806.0</v>
      </c>
      <c r="B73" s="9" t="s">
        <v>87</v>
      </c>
      <c r="C73" s="8">
        <v>1991.0</v>
      </c>
      <c r="D73" s="8">
        <v>732.8889074027538</v>
      </c>
      <c r="E73" s="8">
        <v>15900.0</v>
      </c>
      <c r="F73" s="18">
        <f t="shared" si="1"/>
        <v>0.1252201258</v>
      </c>
      <c r="G73" s="18">
        <f t="shared" si="2"/>
        <v>0.3681009078</v>
      </c>
      <c r="H73" s="18">
        <f t="shared" si="3"/>
        <v>0.04609364198</v>
      </c>
      <c r="I73" s="8">
        <v>100.0</v>
      </c>
      <c r="J73" s="8">
        <v>35.11111205816269</v>
      </c>
      <c r="K73" s="8">
        <v>1038.0</v>
      </c>
      <c r="L73" s="18">
        <f t="shared" si="4"/>
        <v>0.09633911368</v>
      </c>
      <c r="M73" s="18">
        <f t="shared" si="5"/>
        <v>0.3511111206</v>
      </c>
      <c r="N73" s="18">
        <f t="shared" si="6"/>
        <v>0.03382573416</v>
      </c>
      <c r="O73" s="18">
        <f t="shared" si="7"/>
        <v>0.7338481559</v>
      </c>
      <c r="U73" s="20"/>
      <c r="V73" s="20"/>
      <c r="W73" s="20"/>
      <c r="AA73" s="20"/>
      <c r="AB73" s="20"/>
      <c r="AC73" s="20"/>
      <c r="AD73" s="20"/>
    </row>
    <row r="74">
      <c r="A74" s="8">
        <v>20807.0</v>
      </c>
      <c r="B74" s="9" t="s">
        <v>88</v>
      </c>
      <c r="C74" s="8">
        <v>797.0</v>
      </c>
      <c r="D74" s="8">
        <v>290.88889595866203</v>
      </c>
      <c r="E74" s="8">
        <v>7004.0</v>
      </c>
      <c r="F74" s="18">
        <f t="shared" si="1"/>
        <v>0.1137921188</v>
      </c>
      <c r="G74" s="18">
        <f t="shared" si="2"/>
        <v>0.3649797942</v>
      </c>
      <c r="H74" s="18">
        <f t="shared" si="3"/>
        <v>0.04153182409</v>
      </c>
      <c r="I74" s="8">
        <v>51.0</v>
      </c>
      <c r="J74" s="8">
        <v>17.666667133569717</v>
      </c>
      <c r="K74" s="8">
        <v>446.0</v>
      </c>
      <c r="L74" s="18">
        <f t="shared" si="4"/>
        <v>0.1143497758</v>
      </c>
      <c r="M74" s="18">
        <f t="shared" si="5"/>
        <v>0.3464052379</v>
      </c>
      <c r="N74" s="18">
        <f t="shared" si="6"/>
        <v>0.03961136129</v>
      </c>
      <c r="O74" s="18">
        <f t="shared" si="7"/>
        <v>0.9537592473</v>
      </c>
      <c r="U74" s="20"/>
      <c r="V74" s="20"/>
      <c r="W74" s="20"/>
      <c r="AA74" s="20"/>
      <c r="AB74" s="20"/>
      <c r="AC74" s="20"/>
      <c r="AD74" s="20"/>
    </row>
    <row r="75">
      <c r="A75" s="8">
        <v>20901.0</v>
      </c>
      <c r="B75" s="9" t="s">
        <v>89</v>
      </c>
      <c r="C75" s="8">
        <v>1104.0</v>
      </c>
      <c r="D75" s="8">
        <v>405.11112132668495</v>
      </c>
      <c r="E75" s="8">
        <v>9771.0</v>
      </c>
      <c r="F75" s="18">
        <f t="shared" si="1"/>
        <v>0.1129874117</v>
      </c>
      <c r="G75" s="18">
        <f t="shared" si="2"/>
        <v>0.3669484795</v>
      </c>
      <c r="H75" s="18">
        <f t="shared" si="3"/>
        <v>0.04146055893</v>
      </c>
      <c r="I75" s="8">
        <v>95.0</v>
      </c>
      <c r="J75" s="8">
        <v>33.77777859568596</v>
      </c>
      <c r="K75" s="8">
        <v>881.0</v>
      </c>
      <c r="L75" s="18">
        <f t="shared" si="4"/>
        <v>0.1078320091</v>
      </c>
      <c r="M75" s="18">
        <f t="shared" si="5"/>
        <v>0.3555555642</v>
      </c>
      <c r="N75" s="18">
        <f t="shared" si="6"/>
        <v>0.03834027082</v>
      </c>
      <c r="O75" s="18">
        <f t="shared" si="7"/>
        <v>0.9247408094</v>
      </c>
      <c r="U75" s="20"/>
      <c r="V75" s="20"/>
      <c r="W75" s="20"/>
      <c r="AA75" s="20"/>
      <c r="AB75" s="20"/>
      <c r="AC75" s="20"/>
      <c r="AD75" s="20"/>
    </row>
    <row r="76">
      <c r="A76" s="8">
        <v>20902.0</v>
      </c>
      <c r="B76" s="9" t="s">
        <v>90</v>
      </c>
      <c r="C76" s="8">
        <v>2226.0</v>
      </c>
      <c r="D76" s="8">
        <v>822.7777985036373</v>
      </c>
      <c r="E76" s="8">
        <v>15146.0</v>
      </c>
      <c r="F76" s="18">
        <f t="shared" si="1"/>
        <v>0.1469694969</v>
      </c>
      <c r="G76" s="18">
        <f t="shared" si="2"/>
        <v>0.3696216525</v>
      </c>
      <c r="H76" s="18">
        <f t="shared" si="3"/>
        <v>0.05432310831</v>
      </c>
      <c r="I76" s="8">
        <v>110.0</v>
      </c>
      <c r="J76" s="8">
        <v>39.222223341464996</v>
      </c>
      <c r="K76" s="8">
        <v>1329.0</v>
      </c>
      <c r="L76" s="18">
        <f t="shared" si="4"/>
        <v>0.08276899925</v>
      </c>
      <c r="M76" s="18">
        <f t="shared" si="5"/>
        <v>0.3565656667</v>
      </c>
      <c r="N76" s="18">
        <f t="shared" si="6"/>
        <v>0.0295125834</v>
      </c>
      <c r="O76" s="18">
        <f t="shared" si="7"/>
        <v>0.5432786215</v>
      </c>
      <c r="U76" s="20"/>
      <c r="V76" s="20"/>
      <c r="W76" s="20"/>
      <c r="AA76" s="20"/>
      <c r="AB76" s="20"/>
      <c r="AC76" s="20"/>
      <c r="AD76" s="20"/>
    </row>
    <row r="77">
      <c r="A77" s="8">
        <v>20903.0</v>
      </c>
      <c r="B77" s="9" t="s">
        <v>91</v>
      </c>
      <c r="C77" s="8">
        <v>2659.0</v>
      </c>
      <c r="D77" s="8">
        <v>1006.6666915118694</v>
      </c>
      <c r="E77" s="8">
        <v>10972.0</v>
      </c>
      <c r="F77" s="18">
        <f t="shared" si="1"/>
        <v>0.2423441487</v>
      </c>
      <c r="G77" s="18">
        <f t="shared" si="2"/>
        <v>0.3785884511</v>
      </c>
      <c r="H77" s="18">
        <f t="shared" si="3"/>
        <v>0.09174869591</v>
      </c>
      <c r="I77" s="8">
        <v>308.0</v>
      </c>
      <c r="J77" s="8">
        <v>123.33333641290665</v>
      </c>
      <c r="K77" s="8">
        <v>1246.0</v>
      </c>
      <c r="L77" s="18">
        <f t="shared" si="4"/>
        <v>0.2471910112</v>
      </c>
      <c r="M77" s="18">
        <f t="shared" si="5"/>
        <v>0.4004329104</v>
      </c>
      <c r="N77" s="18">
        <f t="shared" si="6"/>
        <v>0.09898341606</v>
      </c>
      <c r="O77" s="18">
        <f t="shared" si="7"/>
        <v>1.078853657</v>
      </c>
      <c r="U77" s="20"/>
      <c r="V77" s="20"/>
      <c r="W77" s="20"/>
      <c r="AA77" s="20"/>
      <c r="AB77" s="20"/>
      <c r="AC77" s="20"/>
      <c r="AD77" s="20"/>
    </row>
    <row r="78">
      <c r="A78" s="8">
        <v>20904.0</v>
      </c>
      <c r="B78" s="9" t="s">
        <v>92</v>
      </c>
      <c r="C78" s="8">
        <v>1059.0</v>
      </c>
      <c r="D78" s="8">
        <v>403.0000101327896</v>
      </c>
      <c r="E78" s="8">
        <v>4850.0</v>
      </c>
      <c r="F78" s="18">
        <f t="shared" si="1"/>
        <v>0.2183505155</v>
      </c>
      <c r="G78" s="18">
        <f t="shared" si="2"/>
        <v>0.3805476961</v>
      </c>
      <c r="H78" s="18">
        <f t="shared" si="3"/>
        <v>0.08309278559</v>
      </c>
      <c r="I78" s="8">
        <v>110.0</v>
      </c>
      <c r="J78" s="8">
        <v>39.88889014720917</v>
      </c>
      <c r="K78" s="8">
        <v>384.0</v>
      </c>
      <c r="L78" s="18">
        <f t="shared" si="4"/>
        <v>0.2864583333</v>
      </c>
      <c r="M78" s="18">
        <f t="shared" si="5"/>
        <v>0.3626262741</v>
      </c>
      <c r="N78" s="18">
        <f t="shared" si="6"/>
        <v>0.1038773181</v>
      </c>
      <c r="O78" s="18">
        <f t="shared" si="7"/>
        <v>1.250136427</v>
      </c>
      <c r="U78" s="20"/>
      <c r="V78" s="20"/>
      <c r="W78" s="20"/>
      <c r="AA78" s="20"/>
      <c r="AB78" s="20"/>
      <c r="AC78" s="20"/>
      <c r="AD78" s="20"/>
    </row>
    <row r="79">
      <c r="A79" s="8">
        <v>20905.0</v>
      </c>
      <c r="B79" s="9" t="s">
        <v>93</v>
      </c>
      <c r="C79" s="8">
        <v>1925.0</v>
      </c>
      <c r="D79" s="8">
        <v>714.8889064788818</v>
      </c>
      <c r="E79" s="8">
        <v>11816.0</v>
      </c>
      <c r="F79" s="18">
        <f t="shared" si="1"/>
        <v>0.1629146919</v>
      </c>
      <c r="G79" s="18">
        <f t="shared" si="2"/>
        <v>0.3713708605</v>
      </c>
      <c r="H79" s="18">
        <f t="shared" si="3"/>
        <v>0.06050176934</v>
      </c>
      <c r="I79" s="8">
        <v>316.0</v>
      </c>
      <c r="J79" s="8">
        <v>118.11111381649971</v>
      </c>
      <c r="K79" s="8">
        <v>1749.0</v>
      </c>
      <c r="L79" s="18">
        <f t="shared" si="4"/>
        <v>0.1806746712</v>
      </c>
      <c r="M79" s="18">
        <f t="shared" si="5"/>
        <v>0.3737693475</v>
      </c>
      <c r="N79" s="18">
        <f t="shared" si="6"/>
        <v>0.06753065398</v>
      </c>
      <c r="O79" s="18">
        <f t="shared" si="7"/>
        <v>1.116176514</v>
      </c>
      <c r="U79" s="20"/>
      <c r="V79" s="20"/>
      <c r="W79" s="20"/>
      <c r="AA79" s="20"/>
      <c r="AB79" s="20"/>
      <c r="AC79" s="20"/>
      <c r="AD79" s="20"/>
    </row>
    <row r="80">
      <c r="A80" s="8">
        <v>21001.0</v>
      </c>
      <c r="B80" s="9" t="s">
        <v>94</v>
      </c>
      <c r="C80" s="8">
        <v>4596.0</v>
      </c>
      <c r="D80" s="8">
        <v>1730.8889307677746</v>
      </c>
      <c r="E80" s="8">
        <v>16544.0</v>
      </c>
      <c r="F80" s="18">
        <f t="shared" si="1"/>
        <v>0.2778046422</v>
      </c>
      <c r="G80" s="18">
        <f t="shared" si="2"/>
        <v>0.3766076873</v>
      </c>
      <c r="H80" s="18">
        <f t="shared" si="3"/>
        <v>0.1046233638</v>
      </c>
      <c r="I80" s="8">
        <v>427.0</v>
      </c>
      <c r="J80" s="8">
        <v>161.33333712816238</v>
      </c>
      <c r="K80" s="8">
        <v>2104.0</v>
      </c>
      <c r="L80" s="18">
        <f t="shared" si="4"/>
        <v>0.2029467681</v>
      </c>
      <c r="M80" s="18">
        <f t="shared" si="5"/>
        <v>0.3778298293</v>
      </c>
      <c r="N80" s="18">
        <f t="shared" si="6"/>
        <v>0.07667934274</v>
      </c>
      <c r="O80" s="18">
        <f t="shared" si="7"/>
        <v>0.7329084055</v>
      </c>
      <c r="U80" s="20"/>
      <c r="V80" s="20"/>
      <c r="W80" s="20"/>
      <c r="AA80" s="20"/>
      <c r="AB80" s="20"/>
      <c r="AC80" s="20"/>
      <c r="AD80" s="20"/>
    </row>
    <row r="81">
      <c r="A81" s="8">
        <v>21002.0</v>
      </c>
      <c r="B81" s="9" t="s">
        <v>95</v>
      </c>
      <c r="C81" s="8">
        <v>1262.0</v>
      </c>
      <c r="D81" s="8">
        <v>475.11112251877785</v>
      </c>
      <c r="E81" s="8">
        <v>7777.0</v>
      </c>
      <c r="F81" s="18">
        <f t="shared" si="1"/>
        <v>0.1622733702</v>
      </c>
      <c r="G81" s="18">
        <f t="shared" si="2"/>
        <v>0.3764747405</v>
      </c>
      <c r="H81" s="18">
        <f t="shared" si="3"/>
        <v>0.06109182493</v>
      </c>
      <c r="I81" s="8">
        <v>172.0</v>
      </c>
      <c r="J81" s="8">
        <v>64.88889029622078</v>
      </c>
      <c r="K81" s="8">
        <v>2341.0</v>
      </c>
      <c r="L81" s="18">
        <f t="shared" si="4"/>
        <v>0.07347287484</v>
      </c>
      <c r="M81" s="18">
        <f t="shared" si="5"/>
        <v>0.3772609901</v>
      </c>
      <c r="N81" s="18">
        <f t="shared" si="6"/>
        <v>0.02771844951</v>
      </c>
      <c r="O81" s="18">
        <f t="shared" si="7"/>
        <v>0.453717818</v>
      </c>
      <c r="U81" s="20"/>
      <c r="V81" s="20"/>
      <c r="W81" s="20"/>
      <c r="AA81" s="20"/>
      <c r="AB81" s="20"/>
      <c r="AC81" s="20"/>
      <c r="AD81" s="20"/>
    </row>
    <row r="82">
      <c r="A82" s="8">
        <v>21003.0</v>
      </c>
      <c r="B82" s="9" t="s">
        <v>96</v>
      </c>
      <c r="C82" s="8">
        <v>1090.0</v>
      </c>
      <c r="D82" s="8">
        <v>407.88889867067337</v>
      </c>
      <c r="E82" s="8">
        <v>9436.0</v>
      </c>
      <c r="F82" s="18">
        <f t="shared" si="1"/>
        <v>0.1155150487</v>
      </c>
      <c r="G82" s="18">
        <f t="shared" si="2"/>
        <v>0.3742099988</v>
      </c>
      <c r="H82" s="18">
        <f t="shared" si="3"/>
        <v>0.04322688625</v>
      </c>
      <c r="I82" s="8">
        <v>413.0</v>
      </c>
      <c r="J82" s="8">
        <v>149.77778154611588</v>
      </c>
      <c r="K82" s="8">
        <v>5988.0</v>
      </c>
      <c r="L82" s="18">
        <f t="shared" si="4"/>
        <v>0.06897127589</v>
      </c>
      <c r="M82" s="18">
        <f t="shared" si="5"/>
        <v>0.3626580667</v>
      </c>
      <c r="N82" s="18">
        <f t="shared" si="6"/>
        <v>0.02501298957</v>
      </c>
      <c r="O82" s="18">
        <f t="shared" si="7"/>
        <v>0.5786442591</v>
      </c>
      <c r="U82" s="20"/>
      <c r="V82" s="20"/>
      <c r="W82" s="20"/>
      <c r="AA82" s="20"/>
      <c r="AB82" s="20"/>
      <c r="AC82" s="20"/>
      <c r="AD82" s="20"/>
    </row>
    <row r="83">
      <c r="A83" s="8">
        <v>21004.0</v>
      </c>
      <c r="B83" s="9" t="s">
        <v>97</v>
      </c>
      <c r="C83" s="8">
        <v>3420.0</v>
      </c>
      <c r="D83" s="8">
        <v>1258.4444761276245</v>
      </c>
      <c r="E83" s="8">
        <v>19134.0</v>
      </c>
      <c r="F83" s="18">
        <f t="shared" si="1"/>
        <v>0.1787394167</v>
      </c>
      <c r="G83" s="18">
        <f t="shared" si="2"/>
        <v>0.3679662211</v>
      </c>
      <c r="H83" s="18">
        <f t="shared" si="3"/>
        <v>0.06577006774</v>
      </c>
      <c r="I83" s="8">
        <v>385.0</v>
      </c>
      <c r="J83" s="8">
        <v>145.0000037252903</v>
      </c>
      <c r="K83" s="8">
        <v>3928.0</v>
      </c>
      <c r="L83" s="18">
        <f t="shared" si="4"/>
        <v>0.09801425662</v>
      </c>
      <c r="M83" s="18">
        <f t="shared" si="5"/>
        <v>0.3766233863</v>
      </c>
      <c r="N83" s="18">
        <f t="shared" si="6"/>
        <v>0.03691446123</v>
      </c>
      <c r="O83" s="18">
        <f t="shared" si="7"/>
        <v>0.5612653674</v>
      </c>
      <c r="U83" s="20"/>
      <c r="V83" s="20"/>
      <c r="W83" s="20"/>
      <c r="AA83" s="20"/>
      <c r="AB83" s="20"/>
      <c r="AC83" s="20"/>
      <c r="AD83" s="20"/>
    </row>
    <row r="84">
      <c r="A84" s="8">
        <v>21005.0</v>
      </c>
      <c r="B84" s="9" t="s">
        <v>98</v>
      </c>
      <c r="C84" s="8">
        <v>3411.0</v>
      </c>
      <c r="D84" s="8">
        <v>1287.3333640396595</v>
      </c>
      <c r="E84" s="8">
        <v>8847.0</v>
      </c>
      <c r="F84" s="18">
        <f t="shared" si="1"/>
        <v>0.3855544252</v>
      </c>
      <c r="G84" s="18">
        <f t="shared" si="2"/>
        <v>0.3774064392</v>
      </c>
      <c r="H84" s="18">
        <f t="shared" si="3"/>
        <v>0.1455107227</v>
      </c>
      <c r="I84" s="8">
        <v>213.0</v>
      </c>
      <c r="J84" s="8">
        <v>83.66666889190674</v>
      </c>
      <c r="K84" s="8">
        <v>677.0</v>
      </c>
      <c r="L84" s="18">
        <f t="shared" si="4"/>
        <v>0.3146233383</v>
      </c>
      <c r="M84" s="18">
        <f t="shared" si="5"/>
        <v>0.3928012624</v>
      </c>
      <c r="N84" s="18">
        <f t="shared" si="6"/>
        <v>0.1235844444</v>
      </c>
      <c r="O84" s="18">
        <f t="shared" si="7"/>
        <v>0.8493150341</v>
      </c>
      <c r="U84" s="20"/>
      <c r="V84" s="20"/>
      <c r="W84" s="20"/>
      <c r="AA84" s="20"/>
      <c r="AB84" s="20"/>
      <c r="AC84" s="20"/>
      <c r="AD84" s="20"/>
    </row>
    <row r="85">
      <c r="A85" s="8">
        <v>21006.0</v>
      </c>
      <c r="B85" s="9" t="s">
        <v>99</v>
      </c>
      <c r="C85" s="8">
        <v>834.0</v>
      </c>
      <c r="D85" s="8">
        <v>317.77778485417366</v>
      </c>
      <c r="E85" s="8">
        <v>4837.0</v>
      </c>
      <c r="F85" s="18">
        <f t="shared" si="1"/>
        <v>0.1724209221</v>
      </c>
      <c r="G85" s="18">
        <f t="shared" si="2"/>
        <v>0.381028519</v>
      </c>
      <c r="H85" s="18">
        <f t="shared" si="3"/>
        <v>0.06569728858</v>
      </c>
      <c r="I85" s="8">
        <v>335.0</v>
      </c>
      <c r="J85" s="8">
        <v>128.22222486138344</v>
      </c>
      <c r="K85" s="8">
        <v>2998.0</v>
      </c>
      <c r="L85" s="18">
        <f t="shared" si="4"/>
        <v>0.1117411608</v>
      </c>
      <c r="M85" s="18">
        <f t="shared" si="5"/>
        <v>0.38275291</v>
      </c>
      <c r="N85" s="18">
        <f t="shared" si="6"/>
        <v>0.04276925446</v>
      </c>
      <c r="O85" s="18">
        <f t="shared" si="7"/>
        <v>0.6510048646</v>
      </c>
      <c r="U85" s="20"/>
      <c r="V85" s="20"/>
      <c r="W85" s="20"/>
      <c r="AA85" s="20"/>
      <c r="AB85" s="20"/>
      <c r="AC85" s="20"/>
      <c r="AD85" s="20"/>
    </row>
    <row r="86">
      <c r="A86" s="8">
        <v>21101.0</v>
      </c>
      <c r="B86" s="9" t="s">
        <v>100</v>
      </c>
      <c r="C86" s="8">
        <v>662.0</v>
      </c>
      <c r="D86" s="8">
        <v>240.6666732430458</v>
      </c>
      <c r="E86" s="8">
        <v>12558.0</v>
      </c>
      <c r="F86" s="18">
        <f t="shared" si="1"/>
        <v>0.05271540054</v>
      </c>
      <c r="G86" s="18">
        <f t="shared" si="2"/>
        <v>0.3635448236</v>
      </c>
      <c r="H86" s="18">
        <f t="shared" si="3"/>
        <v>0.01916441099</v>
      </c>
      <c r="I86" s="8">
        <v>311.0</v>
      </c>
      <c r="J86" s="8">
        <v>112.55555856227875</v>
      </c>
      <c r="K86" s="8">
        <v>5563.0</v>
      </c>
      <c r="L86" s="18">
        <f t="shared" si="4"/>
        <v>0.05590508718</v>
      </c>
      <c r="M86" s="18">
        <f t="shared" si="5"/>
        <v>0.3619149793</v>
      </c>
      <c r="N86" s="18">
        <f t="shared" si="6"/>
        <v>0.02023288847</v>
      </c>
      <c r="O86" s="18">
        <f t="shared" si="7"/>
        <v>1.055753212</v>
      </c>
      <c r="U86" s="20"/>
      <c r="V86" s="20"/>
      <c r="W86" s="20"/>
      <c r="AA86" s="20"/>
      <c r="AB86" s="20"/>
      <c r="AC86" s="20"/>
      <c r="AD86" s="20"/>
    </row>
    <row r="87">
      <c r="A87" s="8">
        <v>21102.0</v>
      </c>
      <c r="B87" s="9" t="s">
        <v>101</v>
      </c>
      <c r="C87" s="8">
        <v>2080.0</v>
      </c>
      <c r="D87" s="8">
        <v>759.6666851639748</v>
      </c>
      <c r="E87" s="8">
        <v>16540.0</v>
      </c>
      <c r="F87" s="18">
        <f t="shared" si="1"/>
        <v>0.1257557437</v>
      </c>
      <c r="G87" s="18">
        <f t="shared" si="2"/>
        <v>0.3652243679</v>
      </c>
      <c r="H87" s="18">
        <f t="shared" si="3"/>
        <v>0.04592906198</v>
      </c>
      <c r="I87" s="8">
        <v>598.0</v>
      </c>
      <c r="J87" s="8">
        <v>218.44444981217384</v>
      </c>
      <c r="K87" s="8">
        <v>5511.0</v>
      </c>
      <c r="L87" s="18">
        <f t="shared" si="4"/>
        <v>0.1085102522</v>
      </c>
      <c r="M87" s="18">
        <f t="shared" si="5"/>
        <v>0.3652917221</v>
      </c>
      <c r="N87" s="18">
        <f t="shared" si="6"/>
        <v>0.0396378969</v>
      </c>
      <c r="O87" s="18">
        <f t="shared" si="7"/>
        <v>0.8630243073</v>
      </c>
      <c r="U87" s="20"/>
      <c r="V87" s="20"/>
      <c r="W87" s="20"/>
      <c r="AA87" s="20"/>
      <c r="AB87" s="20"/>
      <c r="AC87" s="20"/>
      <c r="AD87" s="20"/>
    </row>
    <row r="88">
      <c r="A88" s="8">
        <v>21103.0</v>
      </c>
      <c r="B88" s="9" t="s">
        <v>102</v>
      </c>
      <c r="C88" s="8">
        <v>331.0</v>
      </c>
      <c r="D88" s="8">
        <v>118.22222545742989</v>
      </c>
      <c r="E88" s="8">
        <v>4918.0</v>
      </c>
      <c r="F88" s="18">
        <f t="shared" si="1"/>
        <v>0.06730378203</v>
      </c>
      <c r="G88" s="18">
        <f t="shared" si="2"/>
        <v>0.3571668443</v>
      </c>
      <c r="H88" s="18">
        <f t="shared" si="3"/>
        <v>0.02403867943</v>
      </c>
      <c r="I88" s="8">
        <v>91.0</v>
      </c>
      <c r="J88" s="8">
        <v>31.88888970017433</v>
      </c>
      <c r="K88" s="8">
        <v>2494.0</v>
      </c>
      <c r="L88" s="18">
        <f t="shared" si="4"/>
        <v>0.03648757017</v>
      </c>
      <c r="M88" s="18">
        <f t="shared" si="5"/>
        <v>0.3504273593</v>
      </c>
      <c r="N88" s="18">
        <f t="shared" si="6"/>
        <v>0.01278624286</v>
      </c>
      <c r="O88" s="18">
        <f t="shared" si="7"/>
        <v>0.5319028817</v>
      </c>
      <c r="U88" s="20"/>
      <c r="V88" s="20"/>
      <c r="W88" s="20"/>
      <c r="AA88" s="20"/>
      <c r="AB88" s="20"/>
      <c r="AC88" s="20"/>
      <c r="AD88" s="20"/>
    </row>
    <row r="89">
      <c r="A89" s="8">
        <v>21104.0</v>
      </c>
      <c r="B89" s="9" t="s">
        <v>103</v>
      </c>
      <c r="C89" s="8">
        <v>4778.0</v>
      </c>
      <c r="D89" s="8">
        <v>1815.2222666740417</v>
      </c>
      <c r="E89" s="8">
        <v>20653.0</v>
      </c>
      <c r="F89" s="18">
        <f t="shared" si="1"/>
        <v>0.2313465356</v>
      </c>
      <c r="G89" s="18">
        <f t="shared" si="2"/>
        <v>0.3799125715</v>
      </c>
      <c r="H89" s="18">
        <f t="shared" si="3"/>
        <v>0.08789145725</v>
      </c>
      <c r="I89" s="8">
        <v>998.0</v>
      </c>
      <c r="J89" s="8">
        <v>364.666676312685</v>
      </c>
      <c r="K89" s="8">
        <v>6349.0</v>
      </c>
      <c r="L89" s="18">
        <f t="shared" si="4"/>
        <v>0.1571901087</v>
      </c>
      <c r="M89" s="18">
        <f t="shared" si="5"/>
        <v>0.3653974713</v>
      </c>
      <c r="N89" s="18">
        <f t="shared" si="6"/>
        <v>0.05743686822</v>
      </c>
      <c r="O89" s="18">
        <f t="shared" si="7"/>
        <v>0.6534977347</v>
      </c>
      <c r="U89" s="20"/>
      <c r="V89" s="20"/>
      <c r="W89" s="20"/>
      <c r="AA89" s="20"/>
      <c r="AB89" s="20"/>
      <c r="AC89" s="20"/>
      <c r="AD89" s="20"/>
    </row>
    <row r="90">
      <c r="A90" s="8">
        <v>21105.0</v>
      </c>
      <c r="B90" s="9" t="s">
        <v>104</v>
      </c>
      <c r="C90" s="8">
        <v>6859.0</v>
      </c>
      <c r="D90" s="8">
        <v>2587.6667283177376</v>
      </c>
      <c r="E90" s="8">
        <v>33731.0</v>
      </c>
      <c r="F90" s="18">
        <f t="shared" si="1"/>
        <v>0.2033441048</v>
      </c>
      <c r="G90" s="18">
        <f t="shared" si="2"/>
        <v>0.3772658884</v>
      </c>
      <c r="H90" s="18">
        <f t="shared" si="3"/>
        <v>0.07671479435</v>
      </c>
      <c r="I90" s="8">
        <v>2133.0</v>
      </c>
      <c r="J90" s="8">
        <v>808.6666859984398</v>
      </c>
      <c r="K90" s="8">
        <v>11531.0</v>
      </c>
      <c r="L90" s="18">
        <f t="shared" si="4"/>
        <v>0.1849796202</v>
      </c>
      <c r="M90" s="18">
        <f t="shared" si="5"/>
        <v>0.3791217468</v>
      </c>
      <c r="N90" s="18">
        <f t="shared" si="6"/>
        <v>0.07012979672</v>
      </c>
      <c r="O90" s="18">
        <f t="shared" si="7"/>
        <v>0.9141626112</v>
      </c>
      <c r="U90" s="20"/>
      <c r="V90" s="20"/>
      <c r="W90" s="20"/>
      <c r="AA90" s="20"/>
      <c r="AB90" s="20"/>
      <c r="AC90" s="20"/>
      <c r="AD90" s="20"/>
    </row>
    <row r="91">
      <c r="A91" s="8">
        <v>21201.0</v>
      </c>
      <c r="B91" s="9" t="s">
        <v>105</v>
      </c>
      <c r="C91" s="8">
        <v>6723.0</v>
      </c>
      <c r="D91" s="8">
        <v>2476.666727602482</v>
      </c>
      <c r="E91" s="8">
        <v>43786.0</v>
      </c>
      <c r="F91" s="18">
        <f t="shared" si="1"/>
        <v>0.1535422281</v>
      </c>
      <c r="G91" s="18">
        <f t="shared" si="2"/>
        <v>0.3683871378</v>
      </c>
      <c r="H91" s="18">
        <f t="shared" si="3"/>
        <v>0.05656298195</v>
      </c>
      <c r="I91" s="8">
        <v>910.0</v>
      </c>
      <c r="J91" s="8">
        <v>339.88889718055725</v>
      </c>
      <c r="K91" s="8">
        <v>5829.0</v>
      </c>
      <c r="L91" s="18">
        <f t="shared" si="4"/>
        <v>0.1561159719</v>
      </c>
      <c r="M91" s="18">
        <f t="shared" si="5"/>
        <v>0.3735042826</v>
      </c>
      <c r="N91" s="18">
        <f t="shared" si="6"/>
        <v>0.05830998408</v>
      </c>
      <c r="O91" s="18">
        <f t="shared" si="7"/>
        <v>1.030885962</v>
      </c>
      <c r="U91" s="20"/>
      <c r="V91" s="20"/>
      <c r="W91" s="20"/>
      <c r="AA91" s="20"/>
      <c r="AB91" s="20"/>
      <c r="AC91" s="20"/>
      <c r="AD91" s="20"/>
    </row>
    <row r="92">
      <c r="A92" s="8">
        <v>21202.0</v>
      </c>
      <c r="B92" s="9" t="s">
        <v>106</v>
      </c>
      <c r="C92" s="8">
        <v>4385.0</v>
      </c>
      <c r="D92" s="8">
        <v>1609.8889297544956</v>
      </c>
      <c r="E92" s="8">
        <v>32971.0</v>
      </c>
      <c r="F92" s="18">
        <f t="shared" si="1"/>
        <v>0.1329956629</v>
      </c>
      <c r="G92" s="18">
        <f t="shared" si="2"/>
        <v>0.3671354458</v>
      </c>
      <c r="H92" s="18">
        <f t="shared" si="3"/>
        <v>0.04882742197</v>
      </c>
      <c r="I92" s="8">
        <v>607.0</v>
      </c>
      <c r="J92" s="8">
        <v>219.66667214035988</v>
      </c>
      <c r="K92" s="8">
        <v>5549.0</v>
      </c>
      <c r="L92" s="18">
        <f t="shared" si="4"/>
        <v>0.1093890791</v>
      </c>
      <c r="M92" s="18">
        <f t="shared" si="5"/>
        <v>0.361889081</v>
      </c>
      <c r="N92" s="18">
        <f t="shared" si="6"/>
        <v>0.03958671331</v>
      </c>
      <c r="O92" s="18">
        <f t="shared" si="7"/>
        <v>0.8107475617</v>
      </c>
      <c r="U92" s="20"/>
      <c r="V92" s="20"/>
      <c r="W92" s="20"/>
      <c r="AA92" s="20"/>
      <c r="AB92" s="20"/>
      <c r="AC92" s="20"/>
      <c r="AD92" s="20"/>
    </row>
    <row r="93">
      <c r="A93" s="8">
        <v>21203.0</v>
      </c>
      <c r="B93" s="9" t="s">
        <v>107</v>
      </c>
      <c r="C93" s="8">
        <v>2411.0</v>
      </c>
      <c r="D93" s="8">
        <v>884.3333549499512</v>
      </c>
      <c r="E93" s="8">
        <v>18676.0</v>
      </c>
      <c r="F93" s="18">
        <f t="shared" si="1"/>
        <v>0.1290961662</v>
      </c>
      <c r="G93" s="18">
        <f t="shared" si="2"/>
        <v>0.3667911053</v>
      </c>
      <c r="H93" s="18">
        <f t="shared" si="3"/>
        <v>0.0473513255</v>
      </c>
      <c r="I93" s="8">
        <v>249.0</v>
      </c>
      <c r="J93" s="8">
        <v>92.33333539962769</v>
      </c>
      <c r="K93" s="8">
        <v>1857.0</v>
      </c>
      <c r="L93" s="18">
        <f t="shared" si="4"/>
        <v>0.1340872375</v>
      </c>
      <c r="M93" s="18">
        <f t="shared" si="5"/>
        <v>0.370816608</v>
      </c>
      <c r="N93" s="18">
        <f t="shared" si="6"/>
        <v>0.04972177458</v>
      </c>
      <c r="O93" s="18">
        <f t="shared" si="7"/>
        <v>1.050060881</v>
      </c>
      <c r="U93" s="20"/>
      <c r="V93" s="20"/>
      <c r="W93" s="20"/>
      <c r="AA93" s="20"/>
      <c r="AB93" s="20"/>
      <c r="AC93" s="20"/>
      <c r="AD93" s="20"/>
    </row>
    <row r="94">
      <c r="A94" s="8">
        <v>21204.0</v>
      </c>
      <c r="B94" s="9" t="s">
        <v>108</v>
      </c>
      <c r="C94" s="8">
        <v>1131.0</v>
      </c>
      <c r="D94" s="8">
        <v>412.44445464015007</v>
      </c>
      <c r="E94" s="8">
        <v>7516.0</v>
      </c>
      <c r="F94" s="18">
        <f t="shared" si="1"/>
        <v>0.1504789782</v>
      </c>
      <c r="G94" s="18">
        <f t="shared" si="2"/>
        <v>0.3646723737</v>
      </c>
      <c r="H94" s="18">
        <f t="shared" si="3"/>
        <v>0.05487552616</v>
      </c>
      <c r="I94" s="8">
        <v>24.0</v>
      </c>
      <c r="J94" s="8">
        <v>9.000000238418579</v>
      </c>
      <c r="K94" s="8">
        <v>305.0</v>
      </c>
      <c r="L94" s="18">
        <f t="shared" si="4"/>
        <v>0.07868852459</v>
      </c>
      <c r="M94" s="18">
        <f t="shared" si="5"/>
        <v>0.3750000099</v>
      </c>
      <c r="N94" s="18">
        <f t="shared" si="6"/>
        <v>0.0295081975</v>
      </c>
      <c r="O94" s="18">
        <f t="shared" si="7"/>
        <v>0.5377296505</v>
      </c>
      <c r="U94" s="20"/>
      <c r="V94" s="20"/>
      <c r="W94" s="20"/>
      <c r="AA94" s="20"/>
      <c r="AB94" s="20"/>
      <c r="AC94" s="20"/>
      <c r="AD94" s="20"/>
    </row>
    <row r="95">
      <c r="A95" s="8">
        <v>21301.0</v>
      </c>
      <c r="B95" s="9" t="s">
        <v>109</v>
      </c>
      <c r="C95" s="8">
        <v>5601.0</v>
      </c>
      <c r="D95" s="8">
        <v>2125.3333847522736</v>
      </c>
      <c r="E95" s="8">
        <v>30703.0</v>
      </c>
      <c r="F95" s="18">
        <f t="shared" si="1"/>
        <v>0.1824251702</v>
      </c>
      <c r="G95" s="18">
        <f t="shared" si="2"/>
        <v>0.3794560587</v>
      </c>
      <c r="H95" s="18">
        <f t="shared" si="3"/>
        <v>0.06922233608</v>
      </c>
      <c r="I95" s="8">
        <v>421.0</v>
      </c>
      <c r="J95" s="8">
        <v>155.8888929784298</v>
      </c>
      <c r="K95" s="8">
        <v>3081.0</v>
      </c>
      <c r="L95" s="18">
        <f t="shared" si="4"/>
        <v>0.1366439468</v>
      </c>
      <c r="M95" s="18">
        <f t="shared" si="5"/>
        <v>0.3702824061</v>
      </c>
      <c r="N95" s="18">
        <f t="shared" si="6"/>
        <v>0.05059684939</v>
      </c>
      <c r="O95" s="18">
        <f t="shared" si="7"/>
        <v>0.7309324166</v>
      </c>
      <c r="U95" s="20"/>
      <c r="V95" s="20"/>
      <c r="W95" s="20"/>
      <c r="AA95" s="20"/>
      <c r="AB95" s="20"/>
      <c r="AC95" s="20"/>
      <c r="AD95" s="20"/>
    </row>
    <row r="96">
      <c r="A96" s="8">
        <v>21302.0</v>
      </c>
      <c r="B96" s="9" t="s">
        <v>110</v>
      </c>
      <c r="C96" s="8">
        <v>1332.0</v>
      </c>
      <c r="D96" s="8">
        <v>488.55556684732437</v>
      </c>
      <c r="E96" s="8">
        <v>8236.0</v>
      </c>
      <c r="F96" s="18">
        <f t="shared" si="1"/>
        <v>0.1617289947</v>
      </c>
      <c r="G96" s="18">
        <f t="shared" si="2"/>
        <v>0.3667834586</v>
      </c>
      <c r="H96" s="18">
        <f t="shared" si="3"/>
        <v>0.05931952002</v>
      </c>
      <c r="I96" s="8">
        <v>79.0</v>
      </c>
      <c r="J96" s="8">
        <v>28.11111181974411</v>
      </c>
      <c r="K96" s="8">
        <v>840.0</v>
      </c>
      <c r="L96" s="18">
        <f t="shared" si="4"/>
        <v>0.09404761905</v>
      </c>
      <c r="M96" s="18">
        <f t="shared" si="5"/>
        <v>0.3558368585</v>
      </c>
      <c r="N96" s="18">
        <f t="shared" si="6"/>
        <v>0.03346560931</v>
      </c>
      <c r="O96" s="18">
        <f t="shared" si="7"/>
        <v>0.5641584642</v>
      </c>
      <c r="U96" s="20"/>
      <c r="V96" s="20"/>
      <c r="W96" s="20"/>
      <c r="AA96" s="20"/>
      <c r="AB96" s="20"/>
      <c r="AC96" s="20"/>
      <c r="AD96" s="20"/>
    </row>
    <row r="97">
      <c r="A97" s="8">
        <v>21303.0</v>
      </c>
      <c r="B97" s="9" t="s">
        <v>111</v>
      </c>
      <c r="C97" s="8">
        <v>2500.0</v>
      </c>
      <c r="D97" s="8">
        <v>920.6666893661022</v>
      </c>
      <c r="E97" s="8">
        <v>10091.0</v>
      </c>
      <c r="F97" s="18">
        <f t="shared" si="1"/>
        <v>0.2477455158</v>
      </c>
      <c r="G97" s="18">
        <f t="shared" si="2"/>
        <v>0.3682666757</v>
      </c>
      <c r="H97" s="18">
        <f t="shared" si="3"/>
        <v>0.09123641754</v>
      </c>
      <c r="I97" s="8">
        <v>302.0</v>
      </c>
      <c r="J97" s="8">
        <v>111.8888917863369</v>
      </c>
      <c r="K97" s="8">
        <v>1151.0</v>
      </c>
      <c r="L97" s="18">
        <f t="shared" si="4"/>
        <v>0.2623805387</v>
      </c>
      <c r="M97" s="18">
        <f t="shared" si="5"/>
        <v>0.3704930192</v>
      </c>
      <c r="N97" s="18">
        <f t="shared" si="6"/>
        <v>0.09721015794</v>
      </c>
      <c r="O97" s="18">
        <f t="shared" si="7"/>
        <v>1.065475394</v>
      </c>
      <c r="U97" s="20"/>
      <c r="V97" s="20"/>
      <c r="W97" s="20"/>
      <c r="AA97" s="20"/>
      <c r="AB97" s="20"/>
      <c r="AC97" s="20"/>
      <c r="AD97" s="20"/>
    </row>
    <row r="98">
      <c r="A98" s="8">
        <v>21304.0</v>
      </c>
      <c r="B98" s="9" t="s">
        <v>112</v>
      </c>
      <c r="C98" s="8">
        <v>1661.0</v>
      </c>
      <c r="D98" s="8">
        <v>607.3333493769169</v>
      </c>
      <c r="E98" s="8">
        <v>13765.0</v>
      </c>
      <c r="F98" s="18">
        <f t="shared" si="1"/>
        <v>0.1206683618</v>
      </c>
      <c r="G98" s="18">
        <f t="shared" si="2"/>
        <v>0.3656431965</v>
      </c>
      <c r="H98" s="18">
        <f t="shared" si="3"/>
        <v>0.04412156552</v>
      </c>
      <c r="I98" s="8">
        <v>166.0</v>
      </c>
      <c r="J98" s="8">
        <v>62.222223699092865</v>
      </c>
      <c r="K98" s="8">
        <v>1484.0</v>
      </c>
      <c r="L98" s="18">
        <f t="shared" si="4"/>
        <v>0.1118598383</v>
      </c>
      <c r="M98" s="18">
        <f t="shared" si="5"/>
        <v>0.3748326729</v>
      </c>
      <c r="N98" s="18">
        <f t="shared" si="6"/>
        <v>0.04192872217</v>
      </c>
      <c r="O98" s="18">
        <f t="shared" si="7"/>
        <v>0.950299965</v>
      </c>
      <c r="U98" s="20"/>
      <c r="V98" s="20"/>
      <c r="W98" s="20"/>
      <c r="AA98" s="20"/>
      <c r="AB98" s="20"/>
      <c r="AC98" s="20"/>
      <c r="AD98" s="20"/>
    </row>
    <row r="99">
      <c r="A99" s="8">
        <v>21305.0</v>
      </c>
      <c r="B99" s="9" t="s">
        <v>113</v>
      </c>
      <c r="C99" s="8">
        <v>2278.0</v>
      </c>
      <c r="D99" s="8">
        <v>825.2222429513931</v>
      </c>
      <c r="E99" s="8">
        <v>21056.0</v>
      </c>
      <c r="F99" s="18">
        <f t="shared" si="1"/>
        <v>0.10818769</v>
      </c>
      <c r="G99" s="18">
        <f t="shared" si="2"/>
        <v>0.3622573498</v>
      </c>
      <c r="H99" s="18">
        <f t="shared" si="3"/>
        <v>0.03919178585</v>
      </c>
      <c r="I99" s="8">
        <v>303.0</v>
      </c>
      <c r="J99" s="8">
        <v>113.00000289082527</v>
      </c>
      <c r="K99" s="8">
        <v>3406.0</v>
      </c>
      <c r="L99" s="18">
        <f t="shared" si="4"/>
        <v>0.08896065766</v>
      </c>
      <c r="M99" s="18">
        <f t="shared" si="5"/>
        <v>0.3729373033</v>
      </c>
      <c r="N99" s="18">
        <f t="shared" si="6"/>
        <v>0.03317674777</v>
      </c>
      <c r="O99" s="18">
        <f t="shared" si="7"/>
        <v>0.8465229905</v>
      </c>
      <c r="U99" s="20"/>
      <c r="V99" s="20"/>
      <c r="W99" s="20"/>
      <c r="AA99" s="20"/>
      <c r="AB99" s="20"/>
      <c r="AC99" s="20"/>
      <c r="AD99" s="20"/>
    </row>
    <row r="100">
      <c r="A100" s="8">
        <v>21306.0</v>
      </c>
      <c r="B100" s="9" t="s">
        <v>114</v>
      </c>
      <c r="C100" s="8">
        <v>1483.0</v>
      </c>
      <c r="D100" s="8">
        <v>543.7777907848358</v>
      </c>
      <c r="E100" s="8">
        <v>11680.0</v>
      </c>
      <c r="F100" s="18">
        <f t="shared" si="1"/>
        <v>0.1269691781</v>
      </c>
      <c r="G100" s="18">
        <f t="shared" si="2"/>
        <v>0.3666741678</v>
      </c>
      <c r="H100" s="18">
        <f t="shared" si="3"/>
        <v>0.0465563177</v>
      </c>
      <c r="I100" s="8">
        <v>120.0</v>
      </c>
      <c r="J100" s="8">
        <v>46.333334505558014</v>
      </c>
      <c r="K100" s="8">
        <v>788.0</v>
      </c>
      <c r="L100" s="18">
        <f t="shared" si="4"/>
        <v>0.152284264</v>
      </c>
      <c r="M100" s="18">
        <f t="shared" si="5"/>
        <v>0.3861111209</v>
      </c>
      <c r="N100" s="18">
        <f t="shared" si="6"/>
        <v>0.05879864785</v>
      </c>
      <c r="O100" s="18">
        <f t="shared" si="7"/>
        <v>1.262957441</v>
      </c>
      <c r="U100" s="20"/>
      <c r="V100" s="20"/>
      <c r="W100" s="20"/>
      <c r="AA100" s="20"/>
      <c r="AB100" s="20"/>
      <c r="AC100" s="20"/>
      <c r="AD100" s="20"/>
    </row>
    <row r="101">
      <c r="A101" s="8">
        <v>21307.0</v>
      </c>
      <c r="B101" s="9" t="s">
        <v>115</v>
      </c>
      <c r="C101" s="8">
        <v>447.0</v>
      </c>
      <c r="D101" s="8">
        <v>165.11111542582512</v>
      </c>
      <c r="E101" s="8">
        <v>4443.0</v>
      </c>
      <c r="F101" s="18">
        <f t="shared" si="1"/>
        <v>0.1006076975</v>
      </c>
      <c r="G101" s="18">
        <f t="shared" si="2"/>
        <v>0.3693760971</v>
      </c>
      <c r="H101" s="18">
        <f t="shared" si="3"/>
        <v>0.03716207865</v>
      </c>
      <c r="I101" s="8">
        <v>126.0</v>
      </c>
      <c r="J101" s="8">
        <v>51.55555674433708</v>
      </c>
      <c r="K101" s="8">
        <v>1064.0</v>
      </c>
      <c r="L101" s="18">
        <f t="shared" si="4"/>
        <v>0.1184210526</v>
      </c>
      <c r="M101" s="18">
        <f t="shared" si="5"/>
        <v>0.4091710853</v>
      </c>
      <c r="N101" s="18">
        <f t="shared" si="6"/>
        <v>0.04845447062</v>
      </c>
      <c r="O101" s="18">
        <f t="shared" si="7"/>
        <v>1.303868685</v>
      </c>
      <c r="U101" s="20"/>
      <c r="V101" s="20"/>
      <c r="W101" s="20"/>
      <c r="AA101" s="20"/>
      <c r="AB101" s="20"/>
      <c r="AC101" s="20"/>
      <c r="AD101" s="20"/>
    </row>
    <row r="102">
      <c r="A102" s="8">
        <v>21401.0</v>
      </c>
      <c r="B102" s="9" t="s">
        <v>116</v>
      </c>
      <c r="C102" s="8">
        <v>2353.0</v>
      </c>
      <c r="D102" s="8">
        <v>853.3333542346954</v>
      </c>
      <c r="E102" s="8">
        <v>20163.0</v>
      </c>
      <c r="F102" s="18">
        <f t="shared" si="1"/>
        <v>0.1166989039</v>
      </c>
      <c r="G102" s="18">
        <f t="shared" si="2"/>
        <v>0.3626576091</v>
      </c>
      <c r="H102" s="18">
        <f t="shared" si="3"/>
        <v>0.04232174549</v>
      </c>
      <c r="I102" s="8">
        <v>609.0</v>
      </c>
      <c r="J102" s="8">
        <v>217.4444500207901</v>
      </c>
      <c r="K102" s="8">
        <v>6443.0</v>
      </c>
      <c r="L102" s="18">
        <f t="shared" si="4"/>
        <v>0.09452118578</v>
      </c>
      <c r="M102" s="18">
        <f t="shared" si="5"/>
        <v>0.3570516421</v>
      </c>
      <c r="N102" s="18">
        <f t="shared" si="6"/>
        <v>0.03374894459</v>
      </c>
      <c r="O102" s="18">
        <f t="shared" si="7"/>
        <v>0.7974374451</v>
      </c>
      <c r="U102" s="20"/>
      <c r="V102" s="20"/>
      <c r="W102" s="20"/>
      <c r="AA102" s="20"/>
      <c r="AB102" s="20"/>
      <c r="AC102" s="20"/>
      <c r="AD102" s="20"/>
    </row>
    <row r="103">
      <c r="A103" s="8">
        <v>21402.0</v>
      </c>
      <c r="B103" s="9" t="s">
        <v>117</v>
      </c>
      <c r="C103" s="8">
        <v>1042.0</v>
      </c>
      <c r="D103" s="8">
        <v>378.3333434164524</v>
      </c>
      <c r="E103" s="8">
        <v>18465.0</v>
      </c>
      <c r="F103" s="18">
        <f t="shared" si="1"/>
        <v>0.05643108584</v>
      </c>
      <c r="G103" s="18">
        <f t="shared" si="2"/>
        <v>0.3630838229</v>
      </c>
      <c r="H103" s="18">
        <f t="shared" si="3"/>
        <v>0.02048921437</v>
      </c>
      <c r="I103" s="8">
        <v>229.0</v>
      </c>
      <c r="J103" s="8">
        <v>83.88889092206955</v>
      </c>
      <c r="K103" s="8">
        <v>4459.0</v>
      </c>
      <c r="L103" s="18">
        <f t="shared" si="4"/>
        <v>0.05135680646</v>
      </c>
      <c r="M103" s="18">
        <f t="shared" si="5"/>
        <v>0.3663270346</v>
      </c>
      <c r="N103" s="18">
        <f t="shared" si="6"/>
        <v>0.01881338662</v>
      </c>
      <c r="O103" s="18">
        <f t="shared" si="7"/>
        <v>0.9182092721</v>
      </c>
      <c r="U103" s="20"/>
      <c r="V103" s="20"/>
      <c r="W103" s="20"/>
      <c r="AA103" s="20"/>
      <c r="AB103" s="20"/>
      <c r="AC103" s="20"/>
      <c r="AD103" s="20"/>
    </row>
    <row r="104">
      <c r="A104" s="8">
        <v>21501.0</v>
      </c>
      <c r="B104" s="9" t="s">
        <v>118</v>
      </c>
      <c r="C104" s="8">
        <v>1854.0</v>
      </c>
      <c r="D104" s="8">
        <v>757.5555739998817</v>
      </c>
      <c r="E104" s="8">
        <v>6952.0</v>
      </c>
      <c r="F104" s="18">
        <f t="shared" si="1"/>
        <v>0.2666858458</v>
      </c>
      <c r="G104" s="18">
        <f t="shared" si="2"/>
        <v>0.408606027</v>
      </c>
      <c r="H104" s="18">
        <f t="shared" si="3"/>
        <v>0.1089694439</v>
      </c>
      <c r="I104" s="8">
        <v>819.0</v>
      </c>
      <c r="J104" s="8">
        <v>315.1111184358597</v>
      </c>
      <c r="K104" s="8">
        <v>4378.0</v>
      </c>
      <c r="L104" s="18">
        <f t="shared" si="4"/>
        <v>0.1870717222</v>
      </c>
      <c r="M104" s="18">
        <f t="shared" si="5"/>
        <v>0.3847510604</v>
      </c>
      <c r="N104" s="18">
        <f t="shared" si="6"/>
        <v>0.0719760435</v>
      </c>
      <c r="O104" s="18">
        <f t="shared" si="7"/>
        <v>0.6605158375</v>
      </c>
      <c r="U104" s="20"/>
      <c r="V104" s="20"/>
      <c r="W104" s="20"/>
      <c r="AA104" s="20"/>
      <c r="AB104" s="20"/>
      <c r="AC104" s="20"/>
      <c r="AD104" s="20"/>
    </row>
    <row r="105">
      <c r="A105" s="8">
        <v>21502.0</v>
      </c>
      <c r="B105" s="9" t="s">
        <v>119</v>
      </c>
      <c r="C105" s="8">
        <v>651.0</v>
      </c>
      <c r="D105" s="8">
        <v>273.66667261719704</v>
      </c>
      <c r="E105" s="8">
        <v>6639.0</v>
      </c>
      <c r="F105" s="18">
        <f t="shared" si="1"/>
        <v>0.09805693629</v>
      </c>
      <c r="G105" s="18">
        <f t="shared" si="2"/>
        <v>0.4203789134</v>
      </c>
      <c r="H105" s="18">
        <f t="shared" si="3"/>
        <v>0.04122106833</v>
      </c>
      <c r="I105" s="8">
        <v>283.0</v>
      </c>
      <c r="J105" s="8">
        <v>102.11111357808113</v>
      </c>
      <c r="K105" s="8">
        <v>3005.0</v>
      </c>
      <c r="L105" s="18">
        <f t="shared" si="4"/>
        <v>0.09417637271</v>
      </c>
      <c r="M105" s="18">
        <f t="shared" si="5"/>
        <v>0.3608166558</v>
      </c>
      <c r="N105" s="18">
        <f t="shared" si="6"/>
        <v>0.03398040385</v>
      </c>
      <c r="O105" s="18">
        <f t="shared" si="7"/>
        <v>0.8243455406</v>
      </c>
      <c r="U105" s="20"/>
      <c r="V105" s="20"/>
      <c r="W105" s="20"/>
      <c r="AA105" s="20"/>
      <c r="AB105" s="20"/>
      <c r="AC105" s="20"/>
      <c r="AD105" s="20"/>
    </row>
    <row r="106">
      <c r="A106" s="8">
        <v>21601.0</v>
      </c>
      <c r="B106" s="9" t="s">
        <v>120</v>
      </c>
      <c r="C106" s="8">
        <v>3135.0</v>
      </c>
      <c r="D106" s="8">
        <v>1224.111142218113</v>
      </c>
      <c r="E106" s="8">
        <v>14672.0</v>
      </c>
      <c r="F106" s="18">
        <f t="shared" si="1"/>
        <v>0.213672301</v>
      </c>
      <c r="G106" s="18">
        <f t="shared" si="2"/>
        <v>0.3904660741</v>
      </c>
      <c r="H106" s="18">
        <f t="shared" si="3"/>
        <v>0.0834317845</v>
      </c>
      <c r="I106" s="8">
        <v>180.0</v>
      </c>
      <c r="J106" s="8">
        <v>72.33333525061607</v>
      </c>
      <c r="K106" s="8">
        <v>977.0</v>
      </c>
      <c r="L106" s="18">
        <f t="shared" si="4"/>
        <v>0.1842374616</v>
      </c>
      <c r="M106" s="18">
        <f t="shared" si="5"/>
        <v>0.4018518625</v>
      </c>
      <c r="N106" s="18">
        <f t="shared" si="6"/>
        <v>0.07403616709</v>
      </c>
      <c r="O106" s="18">
        <f t="shared" si="7"/>
        <v>0.8873856353</v>
      </c>
      <c r="U106" s="20"/>
      <c r="V106" s="20"/>
      <c r="W106" s="20"/>
      <c r="AA106" s="20"/>
      <c r="AB106" s="20"/>
      <c r="AC106" s="20"/>
      <c r="AD106" s="20"/>
    </row>
    <row r="107">
      <c r="A107" s="8">
        <v>21602.0</v>
      </c>
      <c r="B107" s="9" t="s">
        <v>121</v>
      </c>
      <c r="C107" s="8">
        <v>1751.0</v>
      </c>
      <c r="D107" s="8">
        <v>737.1111288964748</v>
      </c>
      <c r="E107" s="8">
        <v>5920.0</v>
      </c>
      <c r="F107" s="18">
        <f t="shared" si="1"/>
        <v>0.295777027</v>
      </c>
      <c r="G107" s="18">
        <f t="shared" si="2"/>
        <v>0.4209658075</v>
      </c>
      <c r="H107" s="18">
        <f t="shared" si="3"/>
        <v>0.124512015</v>
      </c>
      <c r="I107" s="8">
        <v>167.0</v>
      </c>
      <c r="J107" s="8">
        <v>68.88889062404633</v>
      </c>
      <c r="K107" s="8">
        <v>654.0</v>
      </c>
      <c r="L107" s="18">
        <f t="shared" si="4"/>
        <v>0.255351682</v>
      </c>
      <c r="M107" s="18">
        <f t="shared" si="5"/>
        <v>0.4125083271</v>
      </c>
      <c r="N107" s="18">
        <f t="shared" si="6"/>
        <v>0.1053346951</v>
      </c>
      <c r="O107" s="18">
        <f t="shared" si="7"/>
        <v>0.8459801661</v>
      </c>
      <c r="U107" s="20"/>
      <c r="V107" s="20"/>
      <c r="W107" s="20"/>
      <c r="AA107" s="20"/>
      <c r="AB107" s="20"/>
      <c r="AC107" s="20"/>
      <c r="AD107" s="20"/>
    </row>
    <row r="108">
      <c r="A108" s="8">
        <v>21701.0</v>
      </c>
      <c r="B108" s="9" t="s">
        <v>122</v>
      </c>
      <c r="C108" s="8">
        <v>1900.0</v>
      </c>
      <c r="D108" s="8">
        <v>701.4444623291492</v>
      </c>
      <c r="E108" s="8">
        <v>14884.0</v>
      </c>
      <c r="F108" s="18">
        <f t="shared" si="1"/>
        <v>0.1276538565</v>
      </c>
      <c r="G108" s="18">
        <f t="shared" si="2"/>
        <v>0.369181296</v>
      </c>
      <c r="H108" s="18">
        <f t="shared" si="3"/>
        <v>0.04712741617</v>
      </c>
      <c r="I108" s="8">
        <v>171.0</v>
      </c>
      <c r="J108" s="8">
        <v>60.44444605708122</v>
      </c>
      <c r="K108" s="8">
        <v>2331.0</v>
      </c>
      <c r="L108" s="18">
        <f t="shared" si="4"/>
        <v>0.07335907336</v>
      </c>
      <c r="M108" s="18">
        <f t="shared" si="5"/>
        <v>0.3534762927</v>
      </c>
      <c r="N108" s="18">
        <f t="shared" si="6"/>
        <v>0.02593069329</v>
      </c>
      <c r="O108" s="18">
        <f t="shared" si="7"/>
        <v>0.5502252276</v>
      </c>
      <c r="U108" s="20"/>
      <c r="V108" s="20"/>
      <c r="W108" s="20"/>
      <c r="AA108" s="20"/>
      <c r="AB108" s="20"/>
      <c r="AC108" s="20"/>
      <c r="AD108" s="20"/>
    </row>
    <row r="109">
      <c r="A109" s="8">
        <v>21702.0</v>
      </c>
      <c r="B109" s="9" t="s">
        <v>123</v>
      </c>
      <c r="C109" s="8">
        <v>861.0</v>
      </c>
      <c r="D109" s="8">
        <v>310.44445234537125</v>
      </c>
      <c r="E109" s="8">
        <v>8148.0</v>
      </c>
      <c r="F109" s="18">
        <f t="shared" si="1"/>
        <v>0.1056701031</v>
      </c>
      <c r="G109" s="18">
        <f t="shared" si="2"/>
        <v>0.3605626624</v>
      </c>
      <c r="H109" s="18">
        <f t="shared" si="3"/>
        <v>0.03810069371</v>
      </c>
      <c r="I109" s="8">
        <v>60.0</v>
      </c>
      <c r="J109" s="8">
        <v>20.777778327465057</v>
      </c>
      <c r="K109" s="8">
        <v>659.0</v>
      </c>
      <c r="L109" s="18">
        <f t="shared" si="4"/>
        <v>0.09104704097</v>
      </c>
      <c r="M109" s="18">
        <f t="shared" si="5"/>
        <v>0.3462963055</v>
      </c>
      <c r="N109" s="18">
        <f t="shared" si="6"/>
        <v>0.03152925391</v>
      </c>
      <c r="O109" s="18">
        <f t="shared" si="7"/>
        <v>0.8275244055</v>
      </c>
      <c r="U109" s="20"/>
      <c r="V109" s="20"/>
      <c r="W109" s="20"/>
      <c r="AA109" s="20"/>
      <c r="AB109" s="20"/>
      <c r="AC109" s="20"/>
      <c r="AD109" s="20"/>
    </row>
    <row r="110">
      <c r="A110" s="8">
        <v>21703.0</v>
      </c>
      <c r="B110" s="9" t="s">
        <v>124</v>
      </c>
      <c r="C110" s="8">
        <v>1599.0</v>
      </c>
      <c r="D110" s="8">
        <v>606.3333486914635</v>
      </c>
      <c r="E110" s="8">
        <v>6489.0</v>
      </c>
      <c r="F110" s="18">
        <f t="shared" si="1"/>
        <v>0.2464170134</v>
      </c>
      <c r="G110" s="18">
        <f t="shared" si="2"/>
        <v>0.37919534</v>
      </c>
      <c r="H110" s="18">
        <f t="shared" si="3"/>
        <v>0.09344018319</v>
      </c>
      <c r="I110" s="8">
        <v>150.0</v>
      </c>
      <c r="J110" s="8">
        <v>54.22222363948822</v>
      </c>
      <c r="K110" s="8">
        <v>838.0</v>
      </c>
      <c r="L110" s="18">
        <f t="shared" si="4"/>
        <v>0.1789976134</v>
      </c>
      <c r="M110" s="18">
        <f t="shared" si="5"/>
        <v>0.3614814909</v>
      </c>
      <c r="N110" s="18">
        <f t="shared" si="6"/>
        <v>0.06470432415</v>
      </c>
      <c r="O110" s="18">
        <f t="shared" si="7"/>
        <v>0.692467865</v>
      </c>
      <c r="U110" s="20"/>
      <c r="V110" s="20"/>
      <c r="W110" s="20"/>
      <c r="AA110" s="20"/>
      <c r="AB110" s="20"/>
      <c r="AC110" s="20"/>
      <c r="AD110" s="20"/>
    </row>
    <row r="111">
      <c r="A111" s="8">
        <v>21801.0</v>
      </c>
      <c r="B111" s="9" t="s">
        <v>125</v>
      </c>
      <c r="C111" s="8">
        <v>1745.0</v>
      </c>
      <c r="D111" s="8">
        <v>641.7777933776379</v>
      </c>
      <c r="E111" s="8">
        <v>8622.0</v>
      </c>
      <c r="F111" s="18">
        <f t="shared" si="1"/>
        <v>0.2023892368</v>
      </c>
      <c r="G111" s="18">
        <f t="shared" si="2"/>
        <v>0.3677809704</v>
      </c>
      <c r="H111" s="18">
        <f t="shared" si="3"/>
        <v>0.07443490993</v>
      </c>
      <c r="I111" s="8">
        <v>119.0</v>
      </c>
      <c r="J111" s="8">
        <v>44.111112147569656</v>
      </c>
      <c r="K111" s="8">
        <v>581.0</v>
      </c>
      <c r="L111" s="18">
        <f t="shared" si="4"/>
        <v>0.2048192771</v>
      </c>
      <c r="M111" s="18">
        <f t="shared" si="5"/>
        <v>0.3706816147</v>
      </c>
      <c r="N111" s="18">
        <f t="shared" si="6"/>
        <v>0.07592274036</v>
      </c>
      <c r="O111" s="18">
        <f t="shared" si="7"/>
        <v>1.019988342</v>
      </c>
      <c r="U111" s="20"/>
      <c r="V111" s="20"/>
      <c r="W111" s="20"/>
      <c r="AA111" s="20"/>
      <c r="AB111" s="20"/>
      <c r="AC111" s="20"/>
      <c r="AD111" s="20"/>
    </row>
    <row r="112">
      <c r="A112" s="8">
        <v>21802.0</v>
      </c>
      <c r="B112" s="9" t="s">
        <v>126</v>
      </c>
      <c r="C112" s="8">
        <v>791.0</v>
      </c>
      <c r="D112" s="8">
        <v>283.66667369008064</v>
      </c>
      <c r="E112" s="8">
        <v>6102.0</v>
      </c>
      <c r="F112" s="18">
        <f t="shared" si="1"/>
        <v>0.1296296296</v>
      </c>
      <c r="G112" s="18">
        <f t="shared" si="2"/>
        <v>0.3586177923</v>
      </c>
      <c r="H112" s="18">
        <f t="shared" si="3"/>
        <v>0.04648749159</v>
      </c>
      <c r="I112" s="8">
        <v>78.0</v>
      </c>
      <c r="J112" s="8">
        <v>26.888889610767365</v>
      </c>
      <c r="K112" s="8">
        <v>539.0</v>
      </c>
      <c r="L112" s="18">
        <f t="shared" si="4"/>
        <v>0.1447124304</v>
      </c>
      <c r="M112" s="18">
        <f t="shared" si="5"/>
        <v>0.344729354</v>
      </c>
      <c r="N112" s="18">
        <f t="shared" si="6"/>
        <v>0.04988662265</v>
      </c>
      <c r="O112" s="18">
        <f t="shared" si="7"/>
        <v>1.073119262</v>
      </c>
      <c r="U112" s="20"/>
      <c r="V112" s="20"/>
      <c r="W112" s="20"/>
      <c r="AA112" s="20"/>
      <c r="AB112" s="20"/>
      <c r="AC112" s="20"/>
      <c r="AD112" s="20"/>
    </row>
    <row r="113">
      <c r="A113" s="8">
        <v>21803.0</v>
      </c>
      <c r="B113" s="9" t="s">
        <v>127</v>
      </c>
      <c r="C113" s="8">
        <v>470.0</v>
      </c>
      <c r="D113" s="8">
        <v>168.88889345526695</v>
      </c>
      <c r="E113" s="8">
        <v>1895.0</v>
      </c>
      <c r="F113" s="18">
        <f t="shared" si="1"/>
        <v>0.2480211082</v>
      </c>
      <c r="G113" s="18">
        <f t="shared" si="2"/>
        <v>0.3593380712</v>
      </c>
      <c r="H113" s="18">
        <f t="shared" si="3"/>
        <v>0.08912342663</v>
      </c>
      <c r="I113" s="8">
        <v>39.0</v>
      </c>
      <c r="J113" s="8">
        <v>13.666667014360428</v>
      </c>
      <c r="K113" s="8">
        <v>153.0</v>
      </c>
      <c r="L113" s="18">
        <f t="shared" si="4"/>
        <v>0.2549019608</v>
      </c>
      <c r="M113" s="18">
        <f t="shared" si="5"/>
        <v>0.3504273593</v>
      </c>
      <c r="N113" s="18">
        <f t="shared" si="6"/>
        <v>0.08932462101</v>
      </c>
      <c r="O113" s="18">
        <f t="shared" si="7"/>
        <v>1.00225748</v>
      </c>
      <c r="U113" s="20"/>
      <c r="V113" s="20"/>
      <c r="W113" s="20"/>
      <c r="AA113" s="20"/>
      <c r="AB113" s="20"/>
      <c r="AC113" s="20"/>
      <c r="AD113" s="20"/>
    </row>
    <row r="114">
      <c r="A114" s="8">
        <v>21901.0</v>
      </c>
      <c r="B114" s="9" t="s">
        <v>128</v>
      </c>
      <c r="C114" s="8">
        <v>1039.0</v>
      </c>
      <c r="D114" s="8">
        <v>380.222231566906</v>
      </c>
      <c r="E114" s="8">
        <v>6344.0</v>
      </c>
      <c r="F114" s="18">
        <f t="shared" si="1"/>
        <v>0.163776797</v>
      </c>
      <c r="G114" s="18">
        <f t="shared" si="2"/>
        <v>0.3659501748</v>
      </c>
      <c r="H114" s="18">
        <f t="shared" si="3"/>
        <v>0.05993414747</v>
      </c>
      <c r="I114" s="8">
        <v>41.0</v>
      </c>
      <c r="J114" s="8">
        <v>16.3333338201046</v>
      </c>
      <c r="K114" s="8">
        <v>430.0</v>
      </c>
      <c r="L114" s="18">
        <f t="shared" si="4"/>
        <v>0.09534883721</v>
      </c>
      <c r="M114" s="18">
        <f t="shared" si="5"/>
        <v>0.3983739956</v>
      </c>
      <c r="N114" s="18">
        <f t="shared" si="6"/>
        <v>0.03798449726</v>
      </c>
      <c r="O114" s="18">
        <f t="shared" si="7"/>
        <v>0.6337705441</v>
      </c>
      <c r="U114" s="20"/>
      <c r="V114" s="20"/>
      <c r="W114" s="20"/>
      <c r="AA114" s="20"/>
      <c r="AB114" s="20"/>
      <c r="AC114" s="20"/>
      <c r="AD114" s="20"/>
    </row>
    <row r="115">
      <c r="A115" s="8">
        <v>21902.0</v>
      </c>
      <c r="B115" s="9" t="s">
        <v>129</v>
      </c>
      <c r="C115" s="8">
        <v>812.0</v>
      </c>
      <c r="D115" s="8">
        <v>301.66667380928993</v>
      </c>
      <c r="E115" s="8">
        <v>4621.0</v>
      </c>
      <c r="F115" s="18">
        <f t="shared" si="1"/>
        <v>0.1757195412</v>
      </c>
      <c r="G115" s="18">
        <f t="shared" si="2"/>
        <v>0.371510682</v>
      </c>
      <c r="H115" s="18">
        <f t="shared" si="3"/>
        <v>0.06528168661</v>
      </c>
      <c r="I115" s="8">
        <v>99.0</v>
      </c>
      <c r="J115" s="8">
        <v>39.88888970017433</v>
      </c>
      <c r="K115" s="8">
        <v>714.0</v>
      </c>
      <c r="L115" s="18">
        <f t="shared" si="4"/>
        <v>0.1386554622</v>
      </c>
      <c r="M115" s="18">
        <f t="shared" si="5"/>
        <v>0.4029180778</v>
      </c>
      <c r="N115" s="18">
        <f t="shared" si="6"/>
        <v>0.0558667923</v>
      </c>
      <c r="O115" s="18">
        <f t="shared" si="7"/>
        <v>0.8557804677</v>
      </c>
      <c r="U115" s="20"/>
      <c r="V115" s="20"/>
      <c r="W115" s="20"/>
      <c r="AA115" s="20"/>
      <c r="AB115" s="20"/>
      <c r="AC115" s="20"/>
      <c r="AD115" s="20"/>
    </row>
    <row r="116">
      <c r="A116" s="8">
        <v>22001.0</v>
      </c>
      <c r="B116" s="9" t="s">
        <v>130</v>
      </c>
      <c r="C116" s="8">
        <v>5139.0</v>
      </c>
      <c r="D116" s="8">
        <v>1927.6667153537273</v>
      </c>
      <c r="E116" s="8">
        <v>41529.0</v>
      </c>
      <c r="F116" s="18">
        <f t="shared" si="1"/>
        <v>0.123744853</v>
      </c>
      <c r="G116" s="18">
        <f t="shared" si="2"/>
        <v>0.3751054126</v>
      </c>
      <c r="H116" s="18">
        <f t="shared" si="3"/>
        <v>0.04641736414</v>
      </c>
      <c r="I116" s="8">
        <v>1766.0</v>
      </c>
      <c r="J116" s="8">
        <v>657.0000158250332</v>
      </c>
      <c r="K116" s="8">
        <v>16456.0</v>
      </c>
      <c r="L116" s="18">
        <f t="shared" si="4"/>
        <v>0.1073164803</v>
      </c>
      <c r="M116" s="18">
        <f t="shared" si="5"/>
        <v>0.372027189</v>
      </c>
      <c r="N116" s="18">
        <f t="shared" si="6"/>
        <v>0.03992464851</v>
      </c>
      <c r="O116" s="18">
        <f t="shared" si="7"/>
        <v>0.8601231295</v>
      </c>
      <c r="U116" s="20"/>
      <c r="V116" s="20"/>
      <c r="W116" s="20"/>
      <c r="AA116" s="20"/>
      <c r="AB116" s="20"/>
      <c r="AC116" s="20"/>
      <c r="AD116" s="20"/>
    </row>
    <row r="117">
      <c r="A117" s="8">
        <v>22002.0</v>
      </c>
      <c r="B117" s="9" t="s">
        <v>131</v>
      </c>
      <c r="C117" s="8">
        <v>1848.0</v>
      </c>
      <c r="D117" s="8">
        <v>695.5555731654167</v>
      </c>
      <c r="E117" s="8">
        <v>7707.0</v>
      </c>
      <c r="F117" s="18">
        <f t="shared" si="1"/>
        <v>0.2397820163</v>
      </c>
      <c r="G117" s="18">
        <f t="shared" si="2"/>
        <v>0.3763828859</v>
      </c>
      <c r="H117" s="18">
        <f t="shared" si="3"/>
        <v>0.0902498473</v>
      </c>
      <c r="I117" s="8">
        <v>638.0</v>
      </c>
      <c r="J117" s="8">
        <v>238.77778375148773</v>
      </c>
      <c r="K117" s="8">
        <v>2728.0</v>
      </c>
      <c r="L117" s="18">
        <f t="shared" si="4"/>
        <v>0.2338709677</v>
      </c>
      <c r="M117" s="18">
        <f t="shared" si="5"/>
        <v>0.3742598491</v>
      </c>
      <c r="N117" s="18">
        <f t="shared" si="6"/>
        <v>0.08752851311</v>
      </c>
      <c r="O117" s="18">
        <f t="shared" si="7"/>
        <v>0.9698466615</v>
      </c>
      <c r="U117" s="20"/>
      <c r="V117" s="20"/>
      <c r="W117" s="20"/>
      <c r="AA117" s="20"/>
      <c r="AB117" s="20"/>
      <c r="AC117" s="20"/>
      <c r="AD117" s="20"/>
    </row>
    <row r="118">
      <c r="A118" s="8">
        <v>30101.0</v>
      </c>
      <c r="B118" s="9" t="s">
        <v>132</v>
      </c>
      <c r="C118" s="8">
        <v>24656.0</v>
      </c>
      <c r="D118" s="8">
        <v>8816.555782943964</v>
      </c>
      <c r="E118" s="8">
        <v>230116.0</v>
      </c>
      <c r="F118" s="18">
        <f t="shared" si="1"/>
        <v>0.1071459612</v>
      </c>
      <c r="G118" s="18">
        <f t="shared" si="2"/>
        <v>0.3575825674</v>
      </c>
      <c r="H118" s="18">
        <f t="shared" si="3"/>
        <v>0.03831352789</v>
      </c>
      <c r="I118" s="8">
        <v>14493.0</v>
      </c>
      <c r="J118" s="8">
        <v>5123.666802257299</v>
      </c>
      <c r="K118" s="8">
        <v>422039.0</v>
      </c>
      <c r="L118" s="18">
        <f t="shared" si="4"/>
        <v>0.03434042825</v>
      </c>
      <c r="M118" s="18">
        <f t="shared" si="5"/>
        <v>0.3535269994</v>
      </c>
      <c r="N118" s="18">
        <f t="shared" si="6"/>
        <v>0.01214026856</v>
      </c>
      <c r="O118" s="18">
        <f t="shared" si="7"/>
        <v>0.3168663715</v>
      </c>
      <c r="U118" s="20"/>
      <c r="V118" s="20"/>
      <c r="W118" s="20"/>
      <c r="AA118" s="20"/>
      <c r="AB118" s="20"/>
      <c r="AC118" s="20"/>
      <c r="AD118" s="20"/>
    </row>
    <row r="119">
      <c r="A119" s="8">
        <v>30201.0</v>
      </c>
      <c r="B119" s="9" t="s">
        <v>133</v>
      </c>
      <c r="C119" s="8">
        <v>3783.0</v>
      </c>
      <c r="D119" s="8">
        <v>1484.111148327589</v>
      </c>
      <c r="E119" s="8">
        <v>17913.0</v>
      </c>
      <c r="F119" s="18">
        <f t="shared" si="1"/>
        <v>0.2111874058</v>
      </c>
      <c r="G119" s="18">
        <f t="shared" si="2"/>
        <v>0.3923106393</v>
      </c>
      <c r="H119" s="18">
        <f t="shared" si="3"/>
        <v>0.08285106617</v>
      </c>
      <c r="I119" s="8">
        <v>705.0</v>
      </c>
      <c r="J119" s="8">
        <v>272.444451212883</v>
      </c>
      <c r="K119" s="8">
        <v>4989.0</v>
      </c>
      <c r="L119" s="18">
        <f t="shared" si="4"/>
        <v>0.1413108839</v>
      </c>
      <c r="M119" s="18">
        <f t="shared" si="5"/>
        <v>0.3864460301</v>
      </c>
      <c r="N119" s="18">
        <f t="shared" si="6"/>
        <v>0.05460903011</v>
      </c>
      <c r="O119" s="18">
        <f t="shared" si="7"/>
        <v>0.6591228409</v>
      </c>
      <c r="U119" s="20"/>
      <c r="V119" s="20"/>
      <c r="W119" s="20"/>
      <c r="AA119" s="20"/>
      <c r="AB119" s="20"/>
      <c r="AC119" s="20"/>
      <c r="AD119" s="20"/>
    </row>
    <row r="120">
      <c r="A120" s="8">
        <v>30202.0</v>
      </c>
      <c r="B120" s="9" t="s">
        <v>134</v>
      </c>
      <c r="C120" s="8">
        <v>299.0</v>
      </c>
      <c r="D120" s="8">
        <v>112.888891518116</v>
      </c>
      <c r="E120" s="8">
        <v>1284.0</v>
      </c>
      <c r="F120" s="18">
        <f t="shared" si="1"/>
        <v>0.2328660436</v>
      </c>
      <c r="G120" s="18">
        <f t="shared" si="2"/>
        <v>0.3775548211</v>
      </c>
      <c r="H120" s="18">
        <f t="shared" si="3"/>
        <v>0.08791969744</v>
      </c>
      <c r="I120" s="8">
        <v>670.0</v>
      </c>
      <c r="J120" s="8">
        <v>250.88889515399933</v>
      </c>
      <c r="K120" s="8">
        <v>5130.0</v>
      </c>
      <c r="L120" s="18">
        <f t="shared" si="4"/>
        <v>0.1306042885</v>
      </c>
      <c r="M120" s="18">
        <f t="shared" si="5"/>
        <v>0.3744610375</v>
      </c>
      <c r="N120" s="18">
        <f t="shared" si="6"/>
        <v>0.04890621738</v>
      </c>
      <c r="O120" s="18">
        <f t="shared" si="7"/>
        <v>0.5562600737</v>
      </c>
      <c r="U120" s="20"/>
      <c r="V120" s="20"/>
      <c r="W120" s="20"/>
      <c r="AA120" s="20"/>
      <c r="AB120" s="20"/>
      <c r="AC120" s="20"/>
      <c r="AD120" s="20"/>
    </row>
    <row r="121">
      <c r="A121" s="8">
        <v>30203.0</v>
      </c>
      <c r="B121" s="9" t="s">
        <v>135</v>
      </c>
      <c r="C121" s="8">
        <v>452.0</v>
      </c>
      <c r="D121" s="8">
        <v>173.555559694767</v>
      </c>
      <c r="E121" s="8">
        <v>4447.0</v>
      </c>
      <c r="F121" s="18">
        <f t="shared" si="1"/>
        <v>0.1016415561</v>
      </c>
      <c r="G121" s="18">
        <f t="shared" si="2"/>
        <v>0.3839724772</v>
      </c>
      <c r="H121" s="18">
        <f t="shared" si="3"/>
        <v>0.03902756008</v>
      </c>
      <c r="I121" s="8">
        <v>186.0</v>
      </c>
      <c r="J121" s="8">
        <v>67.77777940034866</v>
      </c>
      <c r="K121" s="8">
        <v>2231.0</v>
      </c>
      <c r="L121" s="18">
        <f t="shared" si="4"/>
        <v>0.08337068579</v>
      </c>
      <c r="M121" s="18">
        <f t="shared" si="5"/>
        <v>0.3643966634</v>
      </c>
      <c r="N121" s="18">
        <f t="shared" si="6"/>
        <v>0.03037999973</v>
      </c>
      <c r="O121" s="18">
        <f t="shared" si="7"/>
        <v>0.7784242639</v>
      </c>
      <c r="U121" s="20"/>
      <c r="V121" s="20"/>
      <c r="W121" s="20"/>
      <c r="AA121" s="20"/>
      <c r="AB121" s="20"/>
      <c r="AC121" s="20"/>
      <c r="AD121" s="20"/>
    </row>
    <row r="122">
      <c r="A122" s="8">
        <v>30301.0</v>
      </c>
      <c r="B122" s="9" t="s">
        <v>136</v>
      </c>
      <c r="C122" s="8">
        <v>5488.0</v>
      </c>
      <c r="D122" s="8">
        <v>2143.111166924238</v>
      </c>
      <c r="E122" s="8">
        <v>19870.0</v>
      </c>
      <c r="F122" s="18">
        <f t="shared" si="1"/>
        <v>0.2761952693</v>
      </c>
      <c r="G122" s="18">
        <f t="shared" si="2"/>
        <v>0.3905085946</v>
      </c>
      <c r="H122" s="18">
        <f t="shared" si="3"/>
        <v>0.1078566264</v>
      </c>
      <c r="I122" s="8">
        <v>272.0</v>
      </c>
      <c r="J122" s="8">
        <v>108.88889172673225</v>
      </c>
      <c r="K122" s="8">
        <v>1821.0</v>
      </c>
      <c r="L122" s="18">
        <f t="shared" si="4"/>
        <v>0.1493684789</v>
      </c>
      <c r="M122" s="18">
        <f t="shared" si="5"/>
        <v>0.4003268078</v>
      </c>
      <c r="N122" s="18">
        <f t="shared" si="6"/>
        <v>0.05979620633</v>
      </c>
      <c r="O122" s="18">
        <f t="shared" si="7"/>
        <v>0.5544045676</v>
      </c>
      <c r="U122" s="20"/>
      <c r="V122" s="20"/>
      <c r="W122" s="20"/>
      <c r="AA122" s="20"/>
      <c r="AB122" s="20"/>
      <c r="AC122" s="20"/>
      <c r="AD122" s="20"/>
    </row>
    <row r="123">
      <c r="A123" s="8">
        <v>30302.0</v>
      </c>
      <c r="B123" s="9" t="s">
        <v>137</v>
      </c>
      <c r="C123" s="8">
        <v>3534.0</v>
      </c>
      <c r="D123" s="8">
        <v>1346.1111448705196</v>
      </c>
      <c r="E123" s="8">
        <v>13330.0</v>
      </c>
      <c r="F123" s="18">
        <f t="shared" si="1"/>
        <v>0.2651162791</v>
      </c>
      <c r="G123" s="18">
        <f t="shared" si="2"/>
        <v>0.3809029838</v>
      </c>
      <c r="H123" s="18">
        <f t="shared" si="3"/>
        <v>0.1009835818</v>
      </c>
      <c r="I123" s="8">
        <v>443.0</v>
      </c>
      <c r="J123" s="8">
        <v>169.33333775401115</v>
      </c>
      <c r="K123" s="8">
        <v>1337.0</v>
      </c>
      <c r="L123" s="18">
        <f t="shared" si="4"/>
        <v>0.3313388182</v>
      </c>
      <c r="M123" s="18">
        <f t="shared" si="5"/>
        <v>0.3822422974</v>
      </c>
      <c r="N123" s="18">
        <f t="shared" si="6"/>
        <v>0.1266517111</v>
      </c>
      <c r="O123" s="18">
        <f t="shared" si="7"/>
        <v>1.254181213</v>
      </c>
      <c r="U123" s="20"/>
      <c r="V123" s="20"/>
      <c r="W123" s="20"/>
      <c r="AA123" s="20"/>
      <c r="AB123" s="20"/>
      <c r="AC123" s="20"/>
      <c r="AD123" s="20"/>
    </row>
    <row r="124">
      <c r="A124" s="8">
        <v>30303.0</v>
      </c>
      <c r="B124" s="9" t="s">
        <v>138</v>
      </c>
      <c r="C124" s="8">
        <v>6287.0</v>
      </c>
      <c r="D124" s="8">
        <v>2446.666723012924</v>
      </c>
      <c r="E124" s="8">
        <v>17447.0</v>
      </c>
      <c r="F124" s="18">
        <f t="shared" si="1"/>
        <v>0.360348484</v>
      </c>
      <c r="G124" s="18">
        <f t="shared" si="2"/>
        <v>0.3891628317</v>
      </c>
      <c r="H124" s="18">
        <f t="shared" si="3"/>
        <v>0.1402342364</v>
      </c>
      <c r="I124" s="8">
        <v>832.0</v>
      </c>
      <c r="J124" s="8">
        <v>329.5555630624294</v>
      </c>
      <c r="K124" s="8">
        <v>2085.0</v>
      </c>
      <c r="L124" s="18">
        <f t="shared" si="4"/>
        <v>0.3990407674</v>
      </c>
      <c r="M124" s="18">
        <f t="shared" si="5"/>
        <v>0.3961004364</v>
      </c>
      <c r="N124" s="18">
        <f t="shared" si="6"/>
        <v>0.1580602221</v>
      </c>
      <c r="O124" s="18">
        <f t="shared" si="7"/>
        <v>1.127115789</v>
      </c>
      <c r="U124" s="20"/>
      <c r="V124" s="20"/>
      <c r="W124" s="20"/>
      <c r="AA124" s="20"/>
      <c r="AB124" s="20"/>
      <c r="AC124" s="20"/>
      <c r="AD124" s="20"/>
    </row>
    <row r="125">
      <c r="A125" s="8">
        <v>30401.0</v>
      </c>
      <c r="B125" s="9" t="s">
        <v>139</v>
      </c>
      <c r="C125" s="8">
        <v>1473.0</v>
      </c>
      <c r="D125" s="8">
        <v>565.8889030516148</v>
      </c>
      <c r="E125" s="8">
        <v>7869.0</v>
      </c>
      <c r="F125" s="18">
        <f t="shared" si="1"/>
        <v>0.1871902402</v>
      </c>
      <c r="G125" s="18">
        <f t="shared" si="2"/>
        <v>0.384174408</v>
      </c>
      <c r="H125" s="18">
        <f t="shared" si="3"/>
        <v>0.07191369971</v>
      </c>
      <c r="I125" s="8">
        <v>312.0</v>
      </c>
      <c r="J125" s="8">
        <v>122.3333366215229</v>
      </c>
      <c r="K125" s="8">
        <v>2881.0</v>
      </c>
      <c r="L125" s="18">
        <f t="shared" si="4"/>
        <v>0.1082957306</v>
      </c>
      <c r="M125" s="18">
        <f t="shared" si="5"/>
        <v>0.3920940276</v>
      </c>
      <c r="N125" s="18">
        <f t="shared" si="6"/>
        <v>0.04246210921</v>
      </c>
      <c r="O125" s="18">
        <f t="shared" si="7"/>
        <v>0.5904592501</v>
      </c>
      <c r="U125" s="20"/>
      <c r="V125" s="20"/>
      <c r="W125" s="20"/>
      <c r="AA125" s="20"/>
      <c r="AB125" s="20"/>
      <c r="AC125" s="20"/>
      <c r="AD125" s="20"/>
    </row>
    <row r="126">
      <c r="A126" s="8">
        <v>30402.0</v>
      </c>
      <c r="B126" s="9" t="s">
        <v>140</v>
      </c>
      <c r="C126" s="8">
        <v>1818.0</v>
      </c>
      <c r="D126" s="8">
        <v>687.0000170171261</v>
      </c>
      <c r="E126" s="8">
        <v>6631.0</v>
      </c>
      <c r="F126" s="18">
        <f t="shared" si="1"/>
        <v>0.2741667923</v>
      </c>
      <c r="G126" s="18">
        <f t="shared" si="2"/>
        <v>0.3778877981</v>
      </c>
      <c r="H126" s="18">
        <f t="shared" si="3"/>
        <v>0.1036042855</v>
      </c>
      <c r="I126" s="8">
        <v>159.0</v>
      </c>
      <c r="J126" s="8">
        <v>56.88889041543007</v>
      </c>
      <c r="K126" s="8">
        <v>671.0</v>
      </c>
      <c r="L126" s="18">
        <f t="shared" si="4"/>
        <v>0.2369597615</v>
      </c>
      <c r="M126" s="18">
        <f t="shared" si="5"/>
        <v>0.3577917636</v>
      </c>
      <c r="N126" s="18">
        <f t="shared" si="6"/>
        <v>0.08478225099</v>
      </c>
      <c r="O126" s="18">
        <f t="shared" si="7"/>
        <v>0.8183276454</v>
      </c>
      <c r="U126" s="20"/>
      <c r="V126" s="20"/>
      <c r="W126" s="20"/>
      <c r="AA126" s="20"/>
      <c r="AB126" s="20"/>
      <c r="AC126" s="20"/>
      <c r="AD126" s="20"/>
    </row>
    <row r="127">
      <c r="A127" s="8">
        <v>30403.0</v>
      </c>
      <c r="B127" s="9" t="s">
        <v>141</v>
      </c>
      <c r="C127" s="8">
        <v>6292.0</v>
      </c>
      <c r="D127" s="8">
        <v>2305.000059247017</v>
      </c>
      <c r="E127" s="8">
        <v>19238.0</v>
      </c>
      <c r="F127" s="18">
        <f t="shared" si="1"/>
        <v>0.3270610251</v>
      </c>
      <c r="G127" s="18">
        <f t="shared" si="2"/>
        <v>0.3663382167</v>
      </c>
      <c r="H127" s="18">
        <f t="shared" si="3"/>
        <v>0.1198149527</v>
      </c>
      <c r="I127" s="8">
        <v>3087.0</v>
      </c>
      <c r="J127" s="8">
        <v>1126.4444733858109</v>
      </c>
      <c r="K127" s="8">
        <v>9985.0</v>
      </c>
      <c r="L127" s="18">
        <f t="shared" si="4"/>
        <v>0.3091637456</v>
      </c>
      <c r="M127" s="18">
        <f t="shared" si="5"/>
        <v>0.3648994083</v>
      </c>
      <c r="N127" s="18">
        <f t="shared" si="6"/>
        <v>0.1128136678</v>
      </c>
      <c r="O127" s="18">
        <f t="shared" si="7"/>
        <v>0.9415658508</v>
      </c>
      <c r="U127" s="20"/>
      <c r="V127" s="20"/>
      <c r="W127" s="20"/>
      <c r="AA127" s="20"/>
      <c r="AB127" s="20"/>
      <c r="AC127" s="20"/>
      <c r="AD127" s="20"/>
    </row>
    <row r="128">
      <c r="A128" s="8">
        <v>30404.0</v>
      </c>
      <c r="B128" s="9" t="s">
        <v>142</v>
      </c>
      <c r="C128" s="8">
        <v>1472.0</v>
      </c>
      <c r="D128" s="8">
        <v>566.2222364246845</v>
      </c>
      <c r="E128" s="8">
        <v>4514.0</v>
      </c>
      <c r="F128" s="18">
        <f t="shared" si="1"/>
        <v>0.3260965884</v>
      </c>
      <c r="G128" s="18">
        <f t="shared" si="2"/>
        <v>0.3846618454</v>
      </c>
      <c r="H128" s="18">
        <f t="shared" si="3"/>
        <v>0.1254369155</v>
      </c>
      <c r="I128" s="8">
        <v>173.0</v>
      </c>
      <c r="J128" s="8">
        <v>65.55555707216263</v>
      </c>
      <c r="K128" s="8">
        <v>465.0</v>
      </c>
      <c r="L128" s="18">
        <f t="shared" si="4"/>
        <v>0.3720430108</v>
      </c>
      <c r="M128" s="18">
        <f t="shared" si="5"/>
        <v>0.3789338559</v>
      </c>
      <c r="N128" s="18">
        <f t="shared" si="6"/>
        <v>0.1409796926</v>
      </c>
      <c r="O128" s="18">
        <f t="shared" si="7"/>
        <v>1.123909115</v>
      </c>
      <c r="U128" s="20"/>
      <c r="V128" s="20"/>
      <c r="W128" s="20"/>
      <c r="AA128" s="20"/>
      <c r="AB128" s="20"/>
      <c r="AC128" s="20"/>
      <c r="AD128" s="20"/>
    </row>
    <row r="129">
      <c r="A129" s="8">
        <v>30501.0</v>
      </c>
      <c r="B129" s="9" t="s">
        <v>143</v>
      </c>
      <c r="C129" s="8">
        <v>693.0</v>
      </c>
      <c r="D129" s="8">
        <v>263.00000685453415</v>
      </c>
      <c r="E129" s="8">
        <v>8850.0</v>
      </c>
      <c r="F129" s="18">
        <f t="shared" si="1"/>
        <v>0.07830508475</v>
      </c>
      <c r="G129" s="18">
        <f t="shared" si="2"/>
        <v>0.3795093894</v>
      </c>
      <c r="H129" s="18">
        <f t="shared" si="3"/>
        <v>0.0297175149</v>
      </c>
      <c r="I129" s="8">
        <v>75.0</v>
      </c>
      <c r="J129" s="8">
        <v>26.777778416872025</v>
      </c>
      <c r="K129" s="8">
        <v>2202.0</v>
      </c>
      <c r="L129" s="18">
        <f t="shared" si="4"/>
        <v>0.0340599455</v>
      </c>
      <c r="M129" s="18">
        <f t="shared" si="5"/>
        <v>0.3570370456</v>
      </c>
      <c r="N129" s="18">
        <f t="shared" si="6"/>
        <v>0.01216066231</v>
      </c>
      <c r="O129" s="18">
        <f t="shared" si="7"/>
        <v>0.4092085881</v>
      </c>
      <c r="U129" s="20"/>
      <c r="V129" s="20"/>
      <c r="W129" s="20"/>
      <c r="AA129" s="20"/>
      <c r="AB129" s="20"/>
      <c r="AC129" s="20"/>
      <c r="AD129" s="20"/>
    </row>
    <row r="130">
      <c r="A130" s="8">
        <v>30502.0</v>
      </c>
      <c r="B130" s="9" t="s">
        <v>144</v>
      </c>
      <c r="C130" s="8">
        <v>1364.0</v>
      </c>
      <c r="D130" s="8">
        <v>511.3333452343941</v>
      </c>
      <c r="E130" s="8">
        <v>7752.0</v>
      </c>
      <c r="F130" s="18">
        <f t="shared" si="1"/>
        <v>0.1759545924</v>
      </c>
      <c r="G130" s="18">
        <f t="shared" si="2"/>
        <v>0.3748778191</v>
      </c>
      <c r="H130" s="18">
        <f t="shared" si="3"/>
        <v>0.06596147384</v>
      </c>
      <c r="I130" s="8">
        <v>89.0</v>
      </c>
      <c r="J130" s="8">
        <v>33.44444516301155</v>
      </c>
      <c r="K130" s="8">
        <v>480.0</v>
      </c>
      <c r="L130" s="18">
        <f t="shared" si="4"/>
        <v>0.1854166667</v>
      </c>
      <c r="M130" s="18">
        <f t="shared" si="5"/>
        <v>0.3757802827</v>
      </c>
      <c r="N130" s="18">
        <f t="shared" si="6"/>
        <v>0.06967592742</v>
      </c>
      <c r="O130" s="18">
        <f t="shared" si="7"/>
        <v>1.056312471</v>
      </c>
      <c r="U130" s="20"/>
      <c r="V130" s="20"/>
      <c r="W130" s="20"/>
      <c r="AA130" s="20"/>
      <c r="AB130" s="20"/>
      <c r="AC130" s="20"/>
      <c r="AD130" s="20"/>
    </row>
    <row r="131">
      <c r="A131" s="8">
        <v>30601.0</v>
      </c>
      <c r="B131" s="9" t="s">
        <v>145</v>
      </c>
      <c r="C131" s="8">
        <v>3827.0</v>
      </c>
      <c r="D131" s="8">
        <v>1519.111149430275</v>
      </c>
      <c r="E131" s="8">
        <v>9407.0</v>
      </c>
      <c r="F131" s="18">
        <f t="shared" si="1"/>
        <v>0.406824705</v>
      </c>
      <c r="G131" s="18">
        <f t="shared" si="2"/>
        <v>0.3969456884</v>
      </c>
      <c r="H131" s="18">
        <f t="shared" si="3"/>
        <v>0.1614873126</v>
      </c>
      <c r="I131" s="8">
        <v>335.0</v>
      </c>
      <c r="J131" s="8">
        <v>127.55555894970894</v>
      </c>
      <c r="K131" s="8">
        <v>1186.0</v>
      </c>
      <c r="L131" s="18">
        <f t="shared" si="4"/>
        <v>0.2824620573</v>
      </c>
      <c r="M131" s="18">
        <f t="shared" si="5"/>
        <v>0.3807628625</v>
      </c>
      <c r="N131" s="18">
        <f t="shared" si="6"/>
        <v>0.1075510615</v>
      </c>
      <c r="O131" s="18">
        <f t="shared" si="7"/>
        <v>0.6660031664</v>
      </c>
      <c r="U131" s="20"/>
      <c r="V131" s="20"/>
      <c r="W131" s="20"/>
      <c r="AA131" s="20"/>
      <c r="AB131" s="20"/>
      <c r="AC131" s="20"/>
      <c r="AD131" s="20"/>
    </row>
    <row r="132">
      <c r="A132" s="8">
        <v>30602.0</v>
      </c>
      <c r="B132" s="9" t="s">
        <v>146</v>
      </c>
      <c r="C132" s="8">
        <v>2137.0</v>
      </c>
      <c r="D132" s="8">
        <v>800.6666868627071</v>
      </c>
      <c r="E132" s="8">
        <v>9360.0</v>
      </c>
      <c r="F132" s="18">
        <f t="shared" si="1"/>
        <v>0.2283119658</v>
      </c>
      <c r="G132" s="18">
        <f t="shared" si="2"/>
        <v>0.3746685479</v>
      </c>
      <c r="H132" s="18">
        <f t="shared" si="3"/>
        <v>0.0855413127</v>
      </c>
      <c r="I132" s="8">
        <v>259.0</v>
      </c>
      <c r="J132" s="8">
        <v>92.11111351847649</v>
      </c>
      <c r="K132" s="8">
        <v>1335.0</v>
      </c>
      <c r="L132" s="18">
        <f t="shared" si="4"/>
        <v>0.1940074906</v>
      </c>
      <c r="M132" s="18">
        <f t="shared" si="5"/>
        <v>0.3556413649</v>
      </c>
      <c r="N132" s="18">
        <f t="shared" si="6"/>
        <v>0.06899708878</v>
      </c>
      <c r="O132" s="18">
        <f t="shared" si="7"/>
        <v>0.8065937569</v>
      </c>
      <c r="U132" s="20"/>
      <c r="V132" s="20"/>
      <c r="W132" s="20"/>
      <c r="AA132" s="20"/>
      <c r="AB132" s="20"/>
      <c r="AC132" s="20"/>
      <c r="AD132" s="20"/>
    </row>
    <row r="133">
      <c r="A133" s="8">
        <v>30701.0</v>
      </c>
      <c r="B133" s="9" t="s">
        <v>147</v>
      </c>
      <c r="C133" s="8">
        <v>1961.0</v>
      </c>
      <c r="D133" s="8">
        <v>741.666685283184</v>
      </c>
      <c r="E133" s="8">
        <v>13922.0</v>
      </c>
      <c r="F133" s="18">
        <f t="shared" si="1"/>
        <v>0.1408561988</v>
      </c>
      <c r="G133" s="18">
        <f t="shared" si="2"/>
        <v>0.3782084066</v>
      </c>
      <c r="H133" s="18">
        <f t="shared" si="3"/>
        <v>0.05327299851</v>
      </c>
      <c r="I133" s="8">
        <v>438.0</v>
      </c>
      <c r="J133" s="8">
        <v>164.66667076945305</v>
      </c>
      <c r="K133" s="8">
        <v>5357.0</v>
      </c>
      <c r="L133" s="18">
        <f t="shared" si="4"/>
        <v>0.08176218032</v>
      </c>
      <c r="M133" s="18">
        <f t="shared" si="5"/>
        <v>0.3759513031</v>
      </c>
      <c r="N133" s="18">
        <f t="shared" si="6"/>
        <v>0.03073859824</v>
      </c>
      <c r="O133" s="18">
        <f t="shared" si="7"/>
        <v>0.577001466</v>
      </c>
      <c r="U133" s="20"/>
      <c r="V133" s="20"/>
      <c r="W133" s="20"/>
      <c r="AA133" s="20"/>
      <c r="AB133" s="20"/>
      <c r="AC133" s="20"/>
      <c r="AD133" s="20"/>
    </row>
    <row r="134">
      <c r="A134" s="8">
        <v>30702.0</v>
      </c>
      <c r="B134" s="9" t="s">
        <v>148</v>
      </c>
      <c r="C134" s="8">
        <v>344.0</v>
      </c>
      <c r="D134" s="8">
        <v>125.00000309944153</v>
      </c>
      <c r="E134" s="8">
        <v>4857.0</v>
      </c>
      <c r="F134" s="18">
        <f t="shared" si="1"/>
        <v>0.07082561252</v>
      </c>
      <c r="G134" s="18">
        <f t="shared" si="2"/>
        <v>0.363372102</v>
      </c>
      <c r="H134" s="18">
        <f t="shared" si="3"/>
        <v>0.0257360517</v>
      </c>
      <c r="I134" s="8">
        <v>223.0</v>
      </c>
      <c r="J134" s="8">
        <v>82.22222402691841</v>
      </c>
      <c r="K134" s="8">
        <v>2875.0</v>
      </c>
      <c r="L134" s="18">
        <f t="shared" si="4"/>
        <v>0.07756521739</v>
      </c>
      <c r="M134" s="18">
        <f t="shared" si="5"/>
        <v>0.3687095248</v>
      </c>
      <c r="N134" s="18">
        <f t="shared" si="6"/>
        <v>0.02859903444</v>
      </c>
      <c r="O134" s="18">
        <f t="shared" si="7"/>
        <v>1.111244055</v>
      </c>
      <c r="U134" s="20"/>
      <c r="V134" s="20"/>
      <c r="W134" s="20"/>
      <c r="AA134" s="20"/>
      <c r="AB134" s="20"/>
      <c r="AC134" s="20"/>
      <c r="AD134" s="20"/>
    </row>
    <row r="135">
      <c r="A135" s="8">
        <v>30703.0</v>
      </c>
      <c r="B135" s="9" t="s">
        <v>149</v>
      </c>
      <c r="C135" s="8">
        <v>413.0</v>
      </c>
      <c r="D135" s="8">
        <v>152.88889253139496</v>
      </c>
      <c r="E135" s="8">
        <v>3159.0</v>
      </c>
      <c r="F135" s="18">
        <f t="shared" si="1"/>
        <v>0.1307375752</v>
      </c>
      <c r="G135" s="18">
        <f t="shared" si="2"/>
        <v>0.3701910231</v>
      </c>
      <c r="H135" s="18">
        <f t="shared" si="3"/>
        <v>0.04839787671</v>
      </c>
      <c r="I135" s="8">
        <v>147.0</v>
      </c>
      <c r="J135" s="8">
        <v>56.444445729255676</v>
      </c>
      <c r="K135" s="8">
        <v>775.0</v>
      </c>
      <c r="L135" s="18">
        <f t="shared" si="4"/>
        <v>0.1896774194</v>
      </c>
      <c r="M135" s="18">
        <f t="shared" si="5"/>
        <v>0.3839758213</v>
      </c>
      <c r="N135" s="18">
        <f t="shared" si="6"/>
        <v>0.07283154288</v>
      </c>
      <c r="O135" s="18">
        <f t="shared" si="7"/>
        <v>1.504849961</v>
      </c>
      <c r="U135" s="20"/>
      <c r="V135" s="20"/>
      <c r="W135" s="20"/>
      <c r="AA135" s="20"/>
      <c r="AB135" s="20"/>
      <c r="AC135" s="20"/>
      <c r="AD135" s="20"/>
    </row>
    <row r="136">
      <c r="A136" s="8">
        <v>30801.0</v>
      </c>
      <c r="B136" s="9" t="s">
        <v>150</v>
      </c>
      <c r="C136" s="8">
        <v>304.0</v>
      </c>
      <c r="D136" s="8">
        <v>106.77778053283691</v>
      </c>
      <c r="E136" s="8">
        <v>14912.0</v>
      </c>
      <c r="F136" s="18">
        <f t="shared" si="1"/>
        <v>0.02038626609</v>
      </c>
      <c r="G136" s="18">
        <f t="shared" si="2"/>
        <v>0.3512426991</v>
      </c>
      <c r="H136" s="18">
        <f t="shared" si="3"/>
        <v>0.007160527128</v>
      </c>
      <c r="I136" s="8">
        <v>139.0</v>
      </c>
      <c r="J136" s="8">
        <v>49.33333456516266</v>
      </c>
      <c r="K136" s="8">
        <v>6170.0</v>
      </c>
      <c r="L136" s="18">
        <f t="shared" si="4"/>
        <v>0.02252836305</v>
      </c>
      <c r="M136" s="18">
        <f t="shared" si="5"/>
        <v>0.354916076</v>
      </c>
      <c r="N136" s="18">
        <f t="shared" si="6"/>
        <v>0.007995678212</v>
      </c>
      <c r="O136" s="18">
        <f t="shared" si="7"/>
        <v>1.116632626</v>
      </c>
      <c r="U136" s="20"/>
      <c r="V136" s="20"/>
      <c r="W136" s="20"/>
      <c r="AA136" s="20"/>
      <c r="AB136" s="20"/>
      <c r="AC136" s="20"/>
      <c r="AD136" s="20"/>
    </row>
    <row r="137">
      <c r="A137" s="8">
        <v>30802.0</v>
      </c>
      <c r="B137" s="9" t="s">
        <v>151</v>
      </c>
      <c r="C137" s="8">
        <v>519.0</v>
      </c>
      <c r="D137" s="8">
        <v>191.88889402151108</v>
      </c>
      <c r="E137" s="8">
        <v>5841.0</v>
      </c>
      <c r="F137" s="18">
        <f t="shared" si="1"/>
        <v>0.08885464818</v>
      </c>
      <c r="G137" s="18">
        <f t="shared" si="2"/>
        <v>0.3697281195</v>
      </c>
      <c r="H137" s="18">
        <f t="shared" si="3"/>
        <v>0.03285206198</v>
      </c>
      <c r="I137" s="8">
        <v>117.0</v>
      </c>
      <c r="J137" s="8">
        <v>43.33333432674408</v>
      </c>
      <c r="K137" s="8">
        <v>1528.0</v>
      </c>
      <c r="L137" s="18">
        <f t="shared" si="4"/>
        <v>0.07657068063</v>
      </c>
      <c r="M137" s="18">
        <f t="shared" si="5"/>
        <v>0.3703703789</v>
      </c>
      <c r="N137" s="18">
        <f t="shared" si="6"/>
        <v>0.02835951199</v>
      </c>
      <c r="O137" s="18">
        <f t="shared" si="7"/>
        <v>0.8632490713</v>
      </c>
      <c r="U137" s="20"/>
      <c r="V137" s="20"/>
      <c r="W137" s="20"/>
      <c r="AA137" s="20"/>
      <c r="AB137" s="20"/>
      <c r="AC137" s="20"/>
      <c r="AD137" s="20"/>
    </row>
    <row r="138">
      <c r="A138" s="8">
        <v>30803.0</v>
      </c>
      <c r="B138" s="9" t="s">
        <v>152</v>
      </c>
      <c r="C138" s="8">
        <v>908.0</v>
      </c>
      <c r="D138" s="8">
        <v>328.6666751205921</v>
      </c>
      <c r="E138" s="8">
        <v>4849.0</v>
      </c>
      <c r="F138" s="18">
        <f t="shared" si="1"/>
        <v>0.1872551041</v>
      </c>
      <c r="G138" s="18">
        <f t="shared" si="2"/>
        <v>0.3619677039</v>
      </c>
      <c r="H138" s="18">
        <f t="shared" si="3"/>
        <v>0.06778030009</v>
      </c>
      <c r="I138" s="8">
        <v>416.0</v>
      </c>
      <c r="J138" s="8">
        <v>147.44444823265076</v>
      </c>
      <c r="K138" s="8">
        <v>2730.0</v>
      </c>
      <c r="L138" s="18">
        <f t="shared" si="4"/>
        <v>0.1523809524</v>
      </c>
      <c r="M138" s="18">
        <f t="shared" si="5"/>
        <v>0.3544337698</v>
      </c>
      <c r="N138" s="18">
        <f t="shared" si="6"/>
        <v>0.0540089554</v>
      </c>
      <c r="O138" s="18">
        <f t="shared" si="7"/>
        <v>0.796823787</v>
      </c>
      <c r="U138" s="20"/>
      <c r="V138" s="20"/>
      <c r="W138" s="20"/>
      <c r="AA138" s="20"/>
      <c r="AB138" s="20"/>
      <c r="AC138" s="20"/>
      <c r="AD138" s="20"/>
    </row>
    <row r="139">
      <c r="A139" s="8">
        <v>30901.0</v>
      </c>
      <c r="B139" s="9" t="s">
        <v>153</v>
      </c>
      <c r="C139" s="8">
        <v>4435.0</v>
      </c>
      <c r="D139" s="8">
        <v>1582.3333751261234</v>
      </c>
      <c r="E139" s="8">
        <v>76465.0</v>
      </c>
      <c r="F139" s="18">
        <f t="shared" si="1"/>
        <v>0.05800039234</v>
      </c>
      <c r="G139" s="18">
        <f t="shared" si="2"/>
        <v>0.3567831736</v>
      </c>
      <c r="H139" s="18">
        <f t="shared" si="3"/>
        <v>0.02069356405</v>
      </c>
      <c r="I139" s="8">
        <v>2156.0</v>
      </c>
      <c r="J139" s="8">
        <v>765.444464713335</v>
      </c>
      <c r="K139" s="8">
        <v>87930.0</v>
      </c>
      <c r="L139" s="18">
        <f t="shared" si="4"/>
        <v>0.02451950415</v>
      </c>
      <c r="M139" s="18">
        <f t="shared" si="5"/>
        <v>0.3550299001</v>
      </c>
      <c r="N139" s="18">
        <f t="shared" si="6"/>
        <v>0.00870515711</v>
      </c>
      <c r="O139" s="18">
        <f t="shared" si="7"/>
        <v>0.4206697836</v>
      </c>
      <c r="U139" s="20"/>
      <c r="V139" s="20"/>
      <c r="W139" s="20"/>
      <c r="AA139" s="20"/>
      <c r="AB139" s="20"/>
      <c r="AC139" s="20"/>
      <c r="AD139" s="20"/>
    </row>
    <row r="140">
      <c r="A140" s="8">
        <v>30902.0</v>
      </c>
      <c r="B140" s="9" t="s">
        <v>154</v>
      </c>
      <c r="C140" s="8">
        <v>3448.0</v>
      </c>
      <c r="D140" s="8">
        <v>1268.333365559578</v>
      </c>
      <c r="E140" s="8">
        <v>36960.0</v>
      </c>
      <c r="F140" s="18">
        <f t="shared" si="1"/>
        <v>0.09329004329</v>
      </c>
      <c r="G140" s="18">
        <f t="shared" si="2"/>
        <v>0.3678461037</v>
      </c>
      <c r="H140" s="18">
        <f t="shared" si="3"/>
        <v>0.03431637894</v>
      </c>
      <c r="I140" s="8">
        <v>1093.0</v>
      </c>
      <c r="J140" s="8">
        <v>393.88889929652214</v>
      </c>
      <c r="K140" s="8">
        <v>18665.0</v>
      </c>
      <c r="L140" s="18">
        <f t="shared" si="4"/>
        <v>0.05855879989</v>
      </c>
      <c r="M140" s="18">
        <f t="shared" si="5"/>
        <v>0.3603741073</v>
      </c>
      <c r="N140" s="18">
        <f t="shared" si="6"/>
        <v>0.02110307524</v>
      </c>
      <c r="O140" s="18">
        <f t="shared" si="7"/>
        <v>0.6149563529</v>
      </c>
      <c r="U140" s="20"/>
      <c r="V140" s="20"/>
      <c r="W140" s="20"/>
      <c r="AA140" s="20"/>
      <c r="AB140" s="20"/>
      <c r="AC140" s="20"/>
      <c r="AD140" s="20"/>
    </row>
    <row r="141">
      <c r="A141" s="8">
        <v>30903.0</v>
      </c>
      <c r="B141" s="9" t="s">
        <v>155</v>
      </c>
      <c r="C141" s="8">
        <v>1598.0</v>
      </c>
      <c r="D141" s="8">
        <v>582.2222365736961</v>
      </c>
      <c r="E141" s="8">
        <v>23329.0</v>
      </c>
      <c r="F141" s="18">
        <f t="shared" si="1"/>
        <v>0.06849843542</v>
      </c>
      <c r="G141" s="18">
        <f t="shared" si="2"/>
        <v>0.3643443283</v>
      </c>
      <c r="H141" s="18">
        <f t="shared" si="3"/>
        <v>0.02495701644</v>
      </c>
      <c r="I141" s="8">
        <v>932.0</v>
      </c>
      <c r="J141" s="8">
        <v>327.55556413531303</v>
      </c>
      <c r="K141" s="8">
        <v>37673.0</v>
      </c>
      <c r="L141" s="18">
        <f t="shared" si="4"/>
        <v>0.02473920314</v>
      </c>
      <c r="M141" s="18">
        <f t="shared" si="5"/>
        <v>0.351454468</v>
      </c>
      <c r="N141" s="18">
        <f t="shared" si="6"/>
        <v>0.008694703478</v>
      </c>
      <c r="O141" s="18">
        <f t="shared" si="7"/>
        <v>0.3483871359</v>
      </c>
      <c r="U141" s="20"/>
      <c r="V141" s="20"/>
      <c r="W141" s="20"/>
      <c r="AA141" s="20"/>
      <c r="AB141" s="20"/>
      <c r="AC141" s="20"/>
      <c r="AD141" s="20"/>
    </row>
    <row r="142">
      <c r="A142" s="8">
        <v>30904.0</v>
      </c>
      <c r="B142" s="9" t="s">
        <v>156</v>
      </c>
      <c r="C142" s="8">
        <v>2488.0</v>
      </c>
      <c r="D142" s="8">
        <v>895.3333566188812</v>
      </c>
      <c r="E142" s="8">
        <v>33934.0</v>
      </c>
      <c r="F142" s="18">
        <f t="shared" si="1"/>
        <v>0.07331879531</v>
      </c>
      <c r="G142" s="18">
        <f t="shared" si="2"/>
        <v>0.3598606739</v>
      </c>
      <c r="H142" s="18">
        <f t="shared" si="3"/>
        <v>0.02638455109</v>
      </c>
      <c r="I142" s="8">
        <v>780.0</v>
      </c>
      <c r="J142" s="8">
        <v>276.8888963162899</v>
      </c>
      <c r="K142" s="8">
        <v>21285.0</v>
      </c>
      <c r="L142" s="18">
        <f t="shared" si="4"/>
        <v>0.03664552502</v>
      </c>
      <c r="M142" s="18">
        <f t="shared" si="5"/>
        <v>0.3549857645</v>
      </c>
      <c r="N142" s="18">
        <f t="shared" si="6"/>
        <v>0.01300863971</v>
      </c>
      <c r="O142" s="18">
        <f t="shared" si="7"/>
        <v>0.4930400245</v>
      </c>
      <c r="U142" s="20"/>
      <c r="V142" s="20"/>
      <c r="W142" s="20"/>
      <c r="AA142" s="20"/>
      <c r="AB142" s="20"/>
      <c r="AC142" s="20"/>
      <c r="AD142" s="20"/>
    </row>
    <row r="143">
      <c r="A143" s="8">
        <v>30905.0</v>
      </c>
      <c r="B143" s="9" t="s">
        <v>157</v>
      </c>
      <c r="C143" s="8">
        <v>528.0</v>
      </c>
      <c r="D143" s="8">
        <v>186.22222688794136</v>
      </c>
      <c r="E143" s="8">
        <v>21461.0</v>
      </c>
      <c r="F143" s="18">
        <f t="shared" si="1"/>
        <v>0.02460276781</v>
      </c>
      <c r="G143" s="18">
        <f t="shared" si="2"/>
        <v>0.3526936115</v>
      </c>
      <c r="H143" s="18">
        <f t="shared" si="3"/>
        <v>0.008677239033</v>
      </c>
      <c r="I143" s="8">
        <v>486.0</v>
      </c>
      <c r="J143" s="8">
        <v>170.11111557483673</v>
      </c>
      <c r="K143" s="8">
        <v>44383.0</v>
      </c>
      <c r="L143" s="18">
        <f t="shared" si="4"/>
        <v>0.01095013857</v>
      </c>
      <c r="M143" s="18">
        <f t="shared" si="5"/>
        <v>0.3500228716</v>
      </c>
      <c r="N143" s="18">
        <f t="shared" si="6"/>
        <v>0.003832798945</v>
      </c>
      <c r="O143" s="18">
        <f t="shared" si="7"/>
        <v>0.4417071986</v>
      </c>
      <c r="U143" s="20"/>
      <c r="V143" s="20"/>
      <c r="W143" s="20"/>
      <c r="AA143" s="20"/>
      <c r="AB143" s="20"/>
      <c r="AC143" s="20"/>
      <c r="AD143" s="20"/>
    </row>
    <row r="144">
      <c r="A144" s="8">
        <v>31001.0</v>
      </c>
      <c r="B144" s="9" t="s">
        <v>158</v>
      </c>
      <c r="C144" s="8">
        <v>7907.0</v>
      </c>
      <c r="D144" s="8">
        <v>2843.555628567934</v>
      </c>
      <c r="E144" s="8">
        <v>100936.0</v>
      </c>
      <c r="F144" s="18">
        <f t="shared" si="1"/>
        <v>0.07833676785</v>
      </c>
      <c r="G144" s="18">
        <f t="shared" si="2"/>
        <v>0.3596250953</v>
      </c>
      <c r="H144" s="18">
        <f t="shared" si="3"/>
        <v>0.0281718676</v>
      </c>
      <c r="I144" s="8">
        <v>3873.0</v>
      </c>
      <c r="J144" s="8">
        <v>1391.7778137028217</v>
      </c>
      <c r="K144" s="8">
        <v>114407.0</v>
      </c>
      <c r="L144" s="18">
        <f t="shared" si="4"/>
        <v>0.03385282369</v>
      </c>
      <c r="M144" s="18">
        <f t="shared" si="5"/>
        <v>0.3593539411</v>
      </c>
      <c r="N144" s="18">
        <f t="shared" si="6"/>
        <v>0.01216514561</v>
      </c>
      <c r="O144" s="18">
        <f t="shared" si="7"/>
        <v>0.4318189259</v>
      </c>
      <c r="U144" s="20"/>
      <c r="V144" s="20"/>
      <c r="W144" s="20"/>
      <c r="AA144" s="20"/>
      <c r="AB144" s="20"/>
      <c r="AC144" s="20"/>
      <c r="AD144" s="20"/>
    </row>
    <row r="145">
      <c r="A145" s="8">
        <v>31002.0</v>
      </c>
      <c r="B145" s="9" t="s">
        <v>159</v>
      </c>
      <c r="C145" s="8">
        <v>2413.0</v>
      </c>
      <c r="D145" s="8">
        <v>889.7777997553349</v>
      </c>
      <c r="E145" s="8">
        <v>17668.0</v>
      </c>
      <c r="F145" s="18">
        <f t="shared" si="1"/>
        <v>0.1365745981</v>
      </c>
      <c r="G145" s="18">
        <f t="shared" si="2"/>
        <v>0.3687433899</v>
      </c>
      <c r="H145" s="18">
        <f t="shared" si="3"/>
        <v>0.05036098029</v>
      </c>
      <c r="I145" s="8">
        <v>440.0</v>
      </c>
      <c r="J145" s="8">
        <v>159.55555945634842</v>
      </c>
      <c r="K145" s="8">
        <v>3797.0</v>
      </c>
      <c r="L145" s="18">
        <f t="shared" si="4"/>
        <v>0.1158809587</v>
      </c>
      <c r="M145" s="18">
        <f t="shared" si="5"/>
        <v>0.3626262715</v>
      </c>
      <c r="N145" s="18">
        <f t="shared" si="6"/>
        <v>0.04202147997</v>
      </c>
      <c r="O145" s="18">
        <f t="shared" si="7"/>
        <v>0.8344055205</v>
      </c>
      <c r="U145" s="20"/>
      <c r="V145" s="20"/>
      <c r="W145" s="20"/>
      <c r="AA145" s="20"/>
      <c r="AB145" s="20"/>
      <c r="AC145" s="20"/>
      <c r="AD145" s="20"/>
    </row>
    <row r="146">
      <c r="A146" s="8">
        <v>31003.0</v>
      </c>
      <c r="B146" s="9" t="s">
        <v>160</v>
      </c>
      <c r="C146" s="8">
        <v>14291.0</v>
      </c>
      <c r="D146" s="8">
        <v>5299.222352802753</v>
      </c>
      <c r="E146" s="8">
        <v>73067.0</v>
      </c>
      <c r="F146" s="18">
        <f t="shared" si="1"/>
        <v>0.1955876114</v>
      </c>
      <c r="G146" s="18">
        <f t="shared" si="2"/>
        <v>0.3708083656</v>
      </c>
      <c r="H146" s="18">
        <f t="shared" si="3"/>
        <v>0.0725255225</v>
      </c>
      <c r="I146" s="8">
        <v>2689.0</v>
      </c>
      <c r="J146" s="8">
        <v>1004.4444687366486</v>
      </c>
      <c r="K146" s="8">
        <v>19015.0</v>
      </c>
      <c r="L146" s="18">
        <f t="shared" si="4"/>
        <v>0.1414146726</v>
      </c>
      <c r="M146" s="18">
        <f t="shared" si="5"/>
        <v>0.3735382926</v>
      </c>
      <c r="N146" s="18">
        <f t="shared" si="6"/>
        <v>0.05282379536</v>
      </c>
      <c r="O146" s="18">
        <f t="shared" si="7"/>
        <v>0.7283476704</v>
      </c>
      <c r="U146" s="20"/>
      <c r="V146" s="20"/>
      <c r="W146" s="20"/>
      <c r="AA146" s="20"/>
      <c r="AB146" s="20"/>
      <c r="AC146" s="20"/>
      <c r="AD146" s="20"/>
    </row>
    <row r="147">
      <c r="A147" s="8">
        <v>31101.0</v>
      </c>
      <c r="B147" s="9" t="s">
        <v>161</v>
      </c>
      <c r="C147" s="8">
        <v>8532.0</v>
      </c>
      <c r="D147" s="8">
        <v>3331.5556388795376</v>
      </c>
      <c r="E147" s="8">
        <v>22495.0</v>
      </c>
      <c r="F147" s="18">
        <f t="shared" si="1"/>
        <v>0.3792842854</v>
      </c>
      <c r="G147" s="18">
        <f t="shared" si="2"/>
        <v>0.3904776886</v>
      </c>
      <c r="H147" s="18">
        <f t="shared" si="3"/>
        <v>0.1481020511</v>
      </c>
      <c r="I147" s="8">
        <v>797.0</v>
      </c>
      <c r="J147" s="8">
        <v>314.55556336045265</v>
      </c>
      <c r="K147" s="8">
        <v>2099.0</v>
      </c>
      <c r="L147" s="18">
        <f t="shared" si="4"/>
        <v>0.3797046212</v>
      </c>
      <c r="M147" s="18">
        <f t="shared" si="5"/>
        <v>0.3946744835</v>
      </c>
      <c r="N147" s="18">
        <f t="shared" si="6"/>
        <v>0.1498597253</v>
      </c>
      <c r="O147" s="18">
        <f t="shared" si="7"/>
        <v>1.011867994</v>
      </c>
      <c r="U147" s="20"/>
      <c r="V147" s="20"/>
      <c r="W147" s="20"/>
      <c r="AA147" s="20"/>
      <c r="AB147" s="20"/>
      <c r="AC147" s="20"/>
      <c r="AD147" s="20"/>
    </row>
    <row r="148">
      <c r="A148" s="8">
        <v>31201.0</v>
      </c>
      <c r="B148" s="9" t="s">
        <v>162</v>
      </c>
      <c r="C148" s="8">
        <v>3451.0</v>
      </c>
      <c r="D148" s="8">
        <v>1312.8889210820198</v>
      </c>
      <c r="E148" s="8">
        <v>12640.0</v>
      </c>
      <c r="F148" s="18">
        <f t="shared" si="1"/>
        <v>0.2730221519</v>
      </c>
      <c r="G148" s="18">
        <f t="shared" si="2"/>
        <v>0.3804372417</v>
      </c>
      <c r="H148" s="18">
        <f t="shared" si="3"/>
        <v>0.1038677944</v>
      </c>
      <c r="I148" s="8">
        <v>517.0</v>
      </c>
      <c r="J148" s="8">
        <v>195.33333852887154</v>
      </c>
      <c r="K148" s="8">
        <v>1858.0</v>
      </c>
      <c r="L148" s="18">
        <f t="shared" si="4"/>
        <v>0.2782561895</v>
      </c>
      <c r="M148" s="18">
        <f t="shared" si="5"/>
        <v>0.3778207708</v>
      </c>
      <c r="N148" s="18">
        <f t="shared" si="6"/>
        <v>0.105130968</v>
      </c>
      <c r="O148" s="18">
        <f t="shared" si="7"/>
        <v>1.01216136</v>
      </c>
      <c r="U148" s="20"/>
      <c r="V148" s="20"/>
      <c r="W148" s="20"/>
      <c r="AA148" s="20"/>
      <c r="AB148" s="20"/>
      <c r="AC148" s="20"/>
      <c r="AD148" s="20"/>
    </row>
    <row r="149">
      <c r="A149" s="8">
        <v>31202.0</v>
      </c>
      <c r="B149" s="9" t="s">
        <v>163</v>
      </c>
      <c r="C149" s="8">
        <v>2931.0</v>
      </c>
      <c r="D149" s="8">
        <v>1127.111138522625</v>
      </c>
      <c r="E149" s="8">
        <v>9887.0</v>
      </c>
      <c r="F149" s="18">
        <f t="shared" si="1"/>
        <v>0.2964498837</v>
      </c>
      <c r="G149" s="18">
        <f t="shared" si="2"/>
        <v>0.3845483243</v>
      </c>
      <c r="H149" s="18">
        <f t="shared" si="3"/>
        <v>0.113999306</v>
      </c>
      <c r="I149" s="8">
        <v>520.0</v>
      </c>
      <c r="J149" s="8">
        <v>206.66667154431343</v>
      </c>
      <c r="K149" s="8">
        <v>1758.0</v>
      </c>
      <c r="L149" s="18">
        <f t="shared" si="4"/>
        <v>0.2957906712</v>
      </c>
      <c r="M149" s="18">
        <f t="shared" si="5"/>
        <v>0.3974359068</v>
      </c>
      <c r="N149" s="18">
        <f t="shared" si="6"/>
        <v>0.1175578336</v>
      </c>
      <c r="O149" s="18">
        <f t="shared" si="7"/>
        <v>1.031215345</v>
      </c>
      <c r="U149" s="20"/>
      <c r="V149" s="20"/>
      <c r="W149" s="20"/>
      <c r="AA149" s="20"/>
      <c r="AB149" s="20"/>
      <c r="AC149" s="20"/>
      <c r="AD149" s="20"/>
    </row>
    <row r="150">
      <c r="A150" s="8">
        <v>31203.0</v>
      </c>
      <c r="B150" s="9" t="s">
        <v>164</v>
      </c>
      <c r="C150" s="8">
        <v>1528.0</v>
      </c>
      <c r="D150" s="8">
        <v>579.8889033794403</v>
      </c>
      <c r="E150" s="8">
        <v>10562.0</v>
      </c>
      <c r="F150" s="18">
        <f t="shared" si="1"/>
        <v>0.1446695702</v>
      </c>
      <c r="G150" s="18">
        <f t="shared" si="2"/>
        <v>0.3795084446</v>
      </c>
      <c r="H150" s="18">
        <f t="shared" si="3"/>
        <v>0.05490332355</v>
      </c>
      <c r="I150" s="8">
        <v>232.0</v>
      </c>
      <c r="J150" s="8">
        <v>84.33333557844162</v>
      </c>
      <c r="K150" s="8">
        <v>1517.0</v>
      </c>
      <c r="L150" s="18">
        <f t="shared" si="4"/>
        <v>0.1529334212</v>
      </c>
      <c r="M150" s="18">
        <f t="shared" si="5"/>
        <v>0.3635057568</v>
      </c>
      <c r="N150" s="18">
        <f t="shared" si="6"/>
        <v>0.05559217902</v>
      </c>
      <c r="O150" s="18">
        <f t="shared" si="7"/>
        <v>1.012546699</v>
      </c>
      <c r="U150" s="20"/>
      <c r="V150" s="20"/>
      <c r="W150" s="20"/>
      <c r="AA150" s="20"/>
      <c r="AB150" s="20"/>
      <c r="AC150" s="20"/>
      <c r="AD150" s="20"/>
    </row>
    <row r="151">
      <c r="A151" s="8">
        <v>31204.0</v>
      </c>
      <c r="B151" s="9" t="s">
        <v>165</v>
      </c>
      <c r="C151" s="8">
        <v>3166.0</v>
      </c>
      <c r="D151" s="8">
        <v>1171.2222518324852</v>
      </c>
      <c r="E151" s="8">
        <v>20152.0</v>
      </c>
      <c r="F151" s="18">
        <f t="shared" si="1"/>
        <v>0.1571059944</v>
      </c>
      <c r="G151" s="18">
        <f t="shared" si="2"/>
        <v>0.3699375401</v>
      </c>
      <c r="H151" s="18">
        <f t="shared" si="3"/>
        <v>0.05811940511</v>
      </c>
      <c r="I151" s="8">
        <v>747.0</v>
      </c>
      <c r="J151" s="8">
        <v>271.2222290337086</v>
      </c>
      <c r="K151" s="8">
        <v>6076.0</v>
      </c>
      <c r="L151" s="18">
        <f t="shared" si="4"/>
        <v>0.1229427255</v>
      </c>
      <c r="M151" s="18">
        <f t="shared" si="5"/>
        <v>0.3630819666</v>
      </c>
      <c r="N151" s="18">
        <f t="shared" si="6"/>
        <v>0.04463828654</v>
      </c>
      <c r="O151" s="18">
        <f t="shared" si="7"/>
        <v>0.7680444501</v>
      </c>
      <c r="U151" s="20"/>
      <c r="V151" s="20"/>
      <c r="W151" s="20"/>
      <c r="AA151" s="20"/>
      <c r="AB151" s="20"/>
      <c r="AC151" s="20"/>
      <c r="AD151" s="20"/>
    </row>
    <row r="152">
      <c r="A152" s="8">
        <v>31205.0</v>
      </c>
      <c r="B152" s="9" t="s">
        <v>166</v>
      </c>
      <c r="C152" s="8">
        <v>7366.0</v>
      </c>
      <c r="D152" s="8">
        <v>2707.5556227862835</v>
      </c>
      <c r="E152" s="8">
        <v>48390.0</v>
      </c>
      <c r="F152" s="18">
        <f t="shared" si="1"/>
        <v>0.1522215334</v>
      </c>
      <c r="G152" s="18">
        <f t="shared" si="2"/>
        <v>0.3675747519</v>
      </c>
      <c r="H152" s="18">
        <f t="shared" si="3"/>
        <v>0.05595279237</v>
      </c>
      <c r="I152" s="8">
        <v>1854.0</v>
      </c>
      <c r="J152" s="8">
        <v>677.4444609582424</v>
      </c>
      <c r="K152" s="8">
        <v>14963.0</v>
      </c>
      <c r="L152" s="18">
        <f t="shared" si="4"/>
        <v>0.1239056339</v>
      </c>
      <c r="M152" s="18">
        <f t="shared" si="5"/>
        <v>0.3653961494</v>
      </c>
      <c r="N152" s="18">
        <f t="shared" si="6"/>
        <v>0.04527464151</v>
      </c>
      <c r="O152" s="18">
        <f t="shared" si="7"/>
        <v>0.809157856</v>
      </c>
      <c r="U152" s="20"/>
      <c r="V152" s="20"/>
      <c r="W152" s="20"/>
      <c r="AA152" s="20"/>
      <c r="AB152" s="20"/>
      <c r="AC152" s="20"/>
      <c r="AD152" s="20"/>
    </row>
    <row r="153">
      <c r="A153" s="8">
        <v>31206.0</v>
      </c>
      <c r="B153" s="9" t="s">
        <v>167</v>
      </c>
      <c r="C153" s="8">
        <v>5033.0</v>
      </c>
      <c r="D153" s="8">
        <v>1861.000046491623</v>
      </c>
      <c r="E153" s="8">
        <v>31688.0</v>
      </c>
      <c r="F153" s="18">
        <f t="shared" si="1"/>
        <v>0.1588298409</v>
      </c>
      <c r="G153" s="18">
        <f t="shared" si="2"/>
        <v>0.369759596</v>
      </c>
      <c r="H153" s="18">
        <f t="shared" si="3"/>
        <v>0.05872885782</v>
      </c>
      <c r="I153" s="8">
        <v>1747.0</v>
      </c>
      <c r="J153" s="8">
        <v>632.666682779789</v>
      </c>
      <c r="K153" s="8">
        <v>12420.0</v>
      </c>
      <c r="L153" s="18">
        <f t="shared" si="4"/>
        <v>0.1406602254</v>
      </c>
      <c r="M153" s="18">
        <f t="shared" si="5"/>
        <v>0.3621446381</v>
      </c>
      <c r="N153" s="18">
        <f t="shared" si="6"/>
        <v>0.05093934644</v>
      </c>
      <c r="O153" s="18">
        <f t="shared" si="7"/>
        <v>0.8673648413</v>
      </c>
      <c r="U153" s="20"/>
      <c r="V153" s="20"/>
      <c r="W153" s="20"/>
      <c r="AA153" s="20"/>
      <c r="AB153" s="20"/>
      <c r="AC153" s="20"/>
      <c r="AD153" s="20"/>
    </row>
    <row r="154">
      <c r="A154" s="8">
        <v>31301.0</v>
      </c>
      <c r="B154" s="9" t="s">
        <v>168</v>
      </c>
      <c r="C154" s="8">
        <v>2823.0</v>
      </c>
      <c r="D154" s="8">
        <v>1065.5555813014507</v>
      </c>
      <c r="E154" s="8">
        <v>15091.0</v>
      </c>
      <c r="F154" s="18">
        <f t="shared" si="1"/>
        <v>0.1870651382</v>
      </c>
      <c r="G154" s="18">
        <f t="shared" si="2"/>
        <v>0.3774550412</v>
      </c>
      <c r="H154" s="18">
        <f t="shared" si="3"/>
        <v>0.07060867943</v>
      </c>
      <c r="I154" s="8">
        <v>696.0</v>
      </c>
      <c r="J154" s="8">
        <v>267.5555622577667</v>
      </c>
      <c r="K154" s="8">
        <v>4488.0</v>
      </c>
      <c r="L154" s="18">
        <f t="shared" si="4"/>
        <v>0.1550802139</v>
      </c>
      <c r="M154" s="18">
        <f t="shared" si="5"/>
        <v>0.3844189113</v>
      </c>
      <c r="N154" s="18">
        <f t="shared" si="6"/>
        <v>0.05961576699</v>
      </c>
      <c r="O154" s="18">
        <f t="shared" si="7"/>
        <v>0.8443121649</v>
      </c>
      <c r="U154" s="20"/>
      <c r="V154" s="20"/>
      <c r="W154" s="20"/>
      <c r="AA154" s="20"/>
      <c r="AB154" s="20"/>
      <c r="AC154" s="20"/>
      <c r="AD154" s="20"/>
    </row>
    <row r="155">
      <c r="A155" s="8">
        <v>31302.0</v>
      </c>
      <c r="B155" s="9" t="s">
        <v>169</v>
      </c>
      <c r="C155" s="8">
        <v>1992.0</v>
      </c>
      <c r="D155" s="8">
        <v>821.1111328303814</v>
      </c>
      <c r="E155" s="8">
        <v>4202.0</v>
      </c>
      <c r="F155" s="18">
        <f t="shared" si="1"/>
        <v>0.4740599714</v>
      </c>
      <c r="G155" s="18">
        <f t="shared" si="2"/>
        <v>0.412204384</v>
      </c>
      <c r="H155" s="18">
        <f t="shared" si="3"/>
        <v>0.1954095985</v>
      </c>
      <c r="I155" s="8">
        <v>542.0</v>
      </c>
      <c r="J155" s="8">
        <v>219.88889467716217</v>
      </c>
      <c r="K155" s="8">
        <v>1011.0</v>
      </c>
      <c r="L155" s="18">
        <f t="shared" si="4"/>
        <v>0.5361028684</v>
      </c>
      <c r="M155" s="18">
        <f t="shared" si="5"/>
        <v>0.4056990677</v>
      </c>
      <c r="N155" s="18">
        <f t="shared" si="6"/>
        <v>0.2174964339</v>
      </c>
      <c r="O155" s="18">
        <f t="shared" si="7"/>
        <v>1.113028406</v>
      </c>
      <c r="U155" s="20"/>
      <c r="V155" s="20"/>
      <c r="W155" s="20"/>
      <c r="AA155" s="20"/>
      <c r="AB155" s="20"/>
      <c r="AC155" s="20"/>
      <c r="AD155" s="20"/>
    </row>
    <row r="156">
      <c r="A156" s="8">
        <v>31303.0</v>
      </c>
      <c r="B156" s="9" t="s">
        <v>170</v>
      </c>
      <c r="C156" s="8">
        <v>1198.0</v>
      </c>
      <c r="D156" s="8">
        <v>468.11112263798714</v>
      </c>
      <c r="E156" s="8">
        <v>3123.0</v>
      </c>
      <c r="F156" s="18">
        <f t="shared" si="1"/>
        <v>0.3836055075</v>
      </c>
      <c r="G156" s="18">
        <f t="shared" si="2"/>
        <v>0.3907438419</v>
      </c>
      <c r="H156" s="18">
        <f t="shared" si="3"/>
        <v>0.1498914898</v>
      </c>
      <c r="I156" s="8">
        <v>163.0</v>
      </c>
      <c r="J156" s="8">
        <v>62.00000140070915</v>
      </c>
      <c r="K156" s="8">
        <v>365.0</v>
      </c>
      <c r="L156" s="18">
        <f t="shared" si="4"/>
        <v>0.4465753425</v>
      </c>
      <c r="M156" s="18">
        <f t="shared" si="5"/>
        <v>0.3803681068</v>
      </c>
      <c r="N156" s="18">
        <f t="shared" si="6"/>
        <v>0.1698630175</v>
      </c>
      <c r="O156" s="18">
        <f t="shared" si="7"/>
        <v>1.133239904</v>
      </c>
      <c r="U156" s="20"/>
      <c r="V156" s="20"/>
      <c r="W156" s="20"/>
      <c r="AA156" s="20"/>
      <c r="AB156" s="20"/>
      <c r="AC156" s="20"/>
      <c r="AD156" s="20"/>
    </row>
    <row r="157">
      <c r="A157" s="8">
        <v>31304.0</v>
      </c>
      <c r="B157" s="9" t="s">
        <v>171</v>
      </c>
      <c r="C157" s="8">
        <v>5043.0</v>
      </c>
      <c r="D157" s="8">
        <v>2253.8889494240284</v>
      </c>
      <c r="E157" s="8">
        <v>7575.0</v>
      </c>
      <c r="F157" s="18">
        <f t="shared" si="1"/>
        <v>0.6657425743</v>
      </c>
      <c r="G157" s="18">
        <f t="shared" si="2"/>
        <v>0.4469341561</v>
      </c>
      <c r="H157" s="18">
        <f t="shared" si="3"/>
        <v>0.2975430956</v>
      </c>
      <c r="I157" s="8">
        <v>269.0</v>
      </c>
      <c r="J157" s="8">
        <v>122.66666951775551</v>
      </c>
      <c r="K157" s="8">
        <v>456.0</v>
      </c>
      <c r="L157" s="18">
        <f t="shared" si="4"/>
        <v>0.5899122807</v>
      </c>
      <c r="M157" s="18">
        <f t="shared" si="5"/>
        <v>0.4560099239</v>
      </c>
      <c r="N157" s="18">
        <f t="shared" si="6"/>
        <v>0.2690058542</v>
      </c>
      <c r="O157" s="18">
        <f t="shared" si="7"/>
        <v>0.9040903928</v>
      </c>
      <c r="U157" s="20"/>
      <c r="V157" s="20"/>
      <c r="W157" s="20"/>
      <c r="AA157" s="20"/>
      <c r="AB157" s="20"/>
      <c r="AC157" s="20"/>
      <c r="AD157" s="20"/>
    </row>
    <row r="158">
      <c r="A158" s="8">
        <v>31401.0</v>
      </c>
      <c r="B158" s="9" t="s">
        <v>172</v>
      </c>
      <c r="C158" s="8">
        <v>1314.0</v>
      </c>
      <c r="D158" s="8">
        <v>473.6666792035103</v>
      </c>
      <c r="E158" s="8">
        <v>22559.0</v>
      </c>
      <c r="F158" s="18">
        <f t="shared" si="1"/>
        <v>0.05824726273</v>
      </c>
      <c r="G158" s="18">
        <f t="shared" si="2"/>
        <v>0.3604769248</v>
      </c>
      <c r="H158" s="18">
        <f t="shared" si="3"/>
        <v>0.02099679415</v>
      </c>
      <c r="I158" s="8">
        <v>506.0</v>
      </c>
      <c r="J158" s="8">
        <v>180.66667115688324</v>
      </c>
      <c r="K158" s="8">
        <v>11996.0</v>
      </c>
      <c r="L158" s="18">
        <f t="shared" si="4"/>
        <v>0.04218072691</v>
      </c>
      <c r="M158" s="18">
        <f t="shared" si="5"/>
        <v>0.3570487572</v>
      </c>
      <c r="N158" s="18">
        <f t="shared" si="6"/>
        <v>0.01506057612</v>
      </c>
      <c r="O158" s="18">
        <f t="shared" si="7"/>
        <v>0.7172797911</v>
      </c>
      <c r="U158" s="20"/>
      <c r="V158" s="20"/>
      <c r="W158" s="20"/>
      <c r="AA158" s="20"/>
      <c r="AB158" s="20"/>
      <c r="AC158" s="20"/>
      <c r="AD158" s="20"/>
    </row>
    <row r="159">
      <c r="A159" s="8">
        <v>31402.0</v>
      </c>
      <c r="B159" s="9" t="s">
        <v>173</v>
      </c>
      <c r="C159" s="8">
        <v>531.0</v>
      </c>
      <c r="D159" s="8">
        <v>190.55556046962738</v>
      </c>
      <c r="E159" s="8">
        <v>7016.0</v>
      </c>
      <c r="F159" s="18">
        <f t="shared" si="1"/>
        <v>0.07568415051</v>
      </c>
      <c r="G159" s="18">
        <f t="shared" si="2"/>
        <v>0.3588616958</v>
      </c>
      <c r="H159" s="18">
        <f t="shared" si="3"/>
        <v>0.0271601426</v>
      </c>
      <c r="I159" s="8">
        <v>117.0</v>
      </c>
      <c r="J159" s="8">
        <v>43.11111241579056</v>
      </c>
      <c r="K159" s="8">
        <v>1563.0</v>
      </c>
      <c r="L159" s="18">
        <f t="shared" si="4"/>
        <v>0.07485604607</v>
      </c>
      <c r="M159" s="18">
        <f t="shared" si="5"/>
        <v>0.3684710463</v>
      </c>
      <c r="N159" s="18">
        <f t="shared" si="6"/>
        <v>0.02758228561</v>
      </c>
      <c r="O159" s="18">
        <f t="shared" si="7"/>
        <v>1.015542739</v>
      </c>
      <c r="U159" s="20"/>
      <c r="V159" s="20"/>
      <c r="W159" s="20"/>
      <c r="AA159" s="20"/>
      <c r="AB159" s="20"/>
      <c r="AC159" s="20"/>
      <c r="AD159" s="20"/>
    </row>
    <row r="160">
      <c r="A160" s="8">
        <v>31403.0</v>
      </c>
      <c r="B160" s="9" t="s">
        <v>174</v>
      </c>
      <c r="C160" s="8">
        <v>518.0</v>
      </c>
      <c r="D160" s="8">
        <v>188.11111584305763</v>
      </c>
      <c r="E160" s="8">
        <v>9785.0</v>
      </c>
      <c r="F160" s="18">
        <f t="shared" si="1"/>
        <v>0.05293817067</v>
      </c>
      <c r="G160" s="18">
        <f t="shared" si="2"/>
        <v>0.3631488723</v>
      </c>
      <c r="H160" s="18">
        <f t="shared" si="3"/>
        <v>0.01922443698</v>
      </c>
      <c r="I160" s="8">
        <v>119.0</v>
      </c>
      <c r="J160" s="8">
        <v>41.66666778922081</v>
      </c>
      <c r="K160" s="8">
        <v>3247.0</v>
      </c>
      <c r="L160" s="18">
        <f t="shared" si="4"/>
        <v>0.03664921466</v>
      </c>
      <c r="M160" s="18">
        <f t="shared" si="5"/>
        <v>0.3501400655</v>
      </c>
      <c r="N160" s="18">
        <f t="shared" si="6"/>
        <v>0.01283235842</v>
      </c>
      <c r="O160" s="18">
        <f t="shared" si="7"/>
        <v>0.6675024311</v>
      </c>
      <c r="U160" s="20"/>
      <c r="V160" s="20"/>
      <c r="W160" s="20"/>
      <c r="AA160" s="20"/>
      <c r="AB160" s="20"/>
      <c r="AC160" s="20"/>
      <c r="AD160" s="20"/>
    </row>
    <row r="161">
      <c r="A161" s="8">
        <v>31404.0</v>
      </c>
      <c r="B161" s="9" t="s">
        <v>175</v>
      </c>
      <c r="C161" s="8">
        <v>62.0</v>
      </c>
      <c r="D161" s="8">
        <v>23.888889372348785</v>
      </c>
      <c r="E161" s="8">
        <v>1056.0</v>
      </c>
      <c r="F161" s="18">
        <f t="shared" si="1"/>
        <v>0.05871212121</v>
      </c>
      <c r="G161" s="18">
        <f t="shared" si="2"/>
        <v>0.3853046673</v>
      </c>
      <c r="H161" s="18">
        <f t="shared" si="3"/>
        <v>0.02262205433</v>
      </c>
      <c r="I161" s="8">
        <v>9.0</v>
      </c>
      <c r="J161" s="8">
        <v>3.000000089406967</v>
      </c>
      <c r="K161" s="8">
        <v>226.0</v>
      </c>
      <c r="L161" s="18">
        <f t="shared" si="4"/>
        <v>0.03982300885</v>
      </c>
      <c r="M161" s="18">
        <f t="shared" si="5"/>
        <v>0.3333333433</v>
      </c>
      <c r="N161" s="18">
        <f t="shared" si="6"/>
        <v>0.01327433668</v>
      </c>
      <c r="O161" s="18">
        <f t="shared" si="7"/>
        <v>0.5867874104</v>
      </c>
      <c r="U161" s="20"/>
      <c r="V161" s="20"/>
      <c r="W161" s="20"/>
      <c r="AA161" s="20"/>
      <c r="AB161" s="20"/>
      <c r="AC161" s="20"/>
      <c r="AD161" s="20"/>
    </row>
    <row r="162">
      <c r="A162" s="8">
        <v>31405.0</v>
      </c>
      <c r="B162" s="9" t="s">
        <v>176</v>
      </c>
      <c r="C162" s="8">
        <v>490.0</v>
      </c>
      <c r="D162" s="8">
        <v>191.77778229117393</v>
      </c>
      <c r="E162" s="8">
        <v>2735.0</v>
      </c>
      <c r="F162" s="18">
        <f t="shared" si="1"/>
        <v>0.1791590494</v>
      </c>
      <c r="G162" s="18">
        <f t="shared" si="2"/>
        <v>0.3913832292</v>
      </c>
      <c r="H162" s="18">
        <f t="shared" si="3"/>
        <v>0.07011984727</v>
      </c>
      <c r="I162" s="8">
        <v>119.0</v>
      </c>
      <c r="J162" s="8">
        <v>47.555556654930115</v>
      </c>
      <c r="K162" s="8">
        <v>1078.0</v>
      </c>
      <c r="L162" s="18">
        <f t="shared" si="4"/>
        <v>0.1103896104</v>
      </c>
      <c r="M162" s="18">
        <f t="shared" si="5"/>
        <v>0.3996265265</v>
      </c>
      <c r="N162" s="18">
        <f t="shared" si="6"/>
        <v>0.04411461656</v>
      </c>
      <c r="O162" s="18">
        <f t="shared" si="7"/>
        <v>0.6291316693</v>
      </c>
      <c r="U162" s="20"/>
      <c r="V162" s="20"/>
      <c r="W162" s="20"/>
      <c r="AA162" s="20"/>
      <c r="AB162" s="20"/>
      <c r="AC162" s="20"/>
      <c r="AD162" s="20"/>
    </row>
    <row r="163">
      <c r="A163" s="8">
        <v>31501.0</v>
      </c>
      <c r="B163" s="9" t="s">
        <v>177</v>
      </c>
      <c r="C163" s="8">
        <v>2108.0</v>
      </c>
      <c r="D163" s="8">
        <v>790.3333527743816</v>
      </c>
      <c r="E163" s="8">
        <v>7392.0</v>
      </c>
      <c r="F163" s="18">
        <f t="shared" si="1"/>
        <v>0.2851731602</v>
      </c>
      <c r="G163" s="18">
        <f t="shared" si="2"/>
        <v>0.3749209453</v>
      </c>
      <c r="H163" s="18">
        <f t="shared" si="3"/>
        <v>0.1069173908</v>
      </c>
      <c r="I163" s="8">
        <v>214.0</v>
      </c>
      <c r="J163" s="8">
        <v>79.33333513140678</v>
      </c>
      <c r="K163" s="8">
        <v>879.0</v>
      </c>
      <c r="L163" s="18">
        <f t="shared" si="4"/>
        <v>0.2434584755</v>
      </c>
      <c r="M163" s="18">
        <f t="shared" si="5"/>
        <v>0.3707165193</v>
      </c>
      <c r="N163" s="18">
        <f t="shared" si="6"/>
        <v>0.09025407865</v>
      </c>
      <c r="O163" s="18">
        <f t="shared" si="7"/>
        <v>0.8441477853</v>
      </c>
      <c r="U163" s="20"/>
      <c r="V163" s="20"/>
      <c r="W163" s="20"/>
      <c r="AA163" s="20"/>
      <c r="AB163" s="20"/>
      <c r="AC163" s="20"/>
      <c r="AD163" s="20"/>
    </row>
    <row r="164">
      <c r="A164" s="8">
        <v>31601.0</v>
      </c>
      <c r="B164" s="9" t="s">
        <v>178</v>
      </c>
      <c r="C164" s="8">
        <v>2003.0</v>
      </c>
      <c r="D164" s="8">
        <v>763.0000183880329</v>
      </c>
      <c r="E164" s="8">
        <v>16640.0</v>
      </c>
      <c r="F164" s="18">
        <f t="shared" si="1"/>
        <v>0.1203725962</v>
      </c>
      <c r="G164" s="18">
        <f t="shared" si="2"/>
        <v>0.3809286163</v>
      </c>
      <c r="H164" s="18">
        <f t="shared" si="3"/>
        <v>0.04585336649</v>
      </c>
      <c r="I164" s="8">
        <v>201.0</v>
      </c>
      <c r="J164" s="8">
        <v>74.22222411632538</v>
      </c>
      <c r="K164" s="8">
        <v>1786.0</v>
      </c>
      <c r="L164" s="18">
        <f t="shared" si="4"/>
        <v>0.1125419933</v>
      </c>
      <c r="M164" s="18">
        <f t="shared" si="5"/>
        <v>0.3692647966</v>
      </c>
      <c r="N164" s="18">
        <f t="shared" si="6"/>
        <v>0.04155779626</v>
      </c>
      <c r="O164" s="18">
        <f t="shared" si="7"/>
        <v>0.9063194142</v>
      </c>
      <c r="U164" s="20"/>
      <c r="V164" s="20"/>
      <c r="W164" s="20"/>
      <c r="AA164" s="20"/>
      <c r="AB164" s="20"/>
      <c r="AC164" s="20"/>
      <c r="AD164" s="20"/>
    </row>
    <row r="165">
      <c r="A165" s="8">
        <v>31602.0</v>
      </c>
      <c r="B165" s="9" t="s">
        <v>179</v>
      </c>
      <c r="C165" s="8">
        <v>2332.0</v>
      </c>
      <c r="D165" s="8">
        <v>860.888909727335</v>
      </c>
      <c r="E165" s="8">
        <v>20372.0</v>
      </c>
      <c r="F165" s="18">
        <f t="shared" si="1"/>
        <v>0.1144708423</v>
      </c>
      <c r="G165" s="18">
        <f t="shared" si="2"/>
        <v>0.3691633404</v>
      </c>
      <c r="H165" s="18">
        <f t="shared" si="3"/>
        <v>0.04225843853</v>
      </c>
      <c r="I165" s="8">
        <v>478.0</v>
      </c>
      <c r="J165" s="8">
        <v>172.77778214216232</v>
      </c>
      <c r="K165" s="8">
        <v>6066.0</v>
      </c>
      <c r="L165" s="18">
        <f t="shared" si="4"/>
        <v>0.07879986812</v>
      </c>
      <c r="M165" s="18">
        <f t="shared" si="5"/>
        <v>0.3614597953</v>
      </c>
      <c r="N165" s="18">
        <f t="shared" si="6"/>
        <v>0.0284829842</v>
      </c>
      <c r="O165" s="18">
        <f t="shared" si="7"/>
        <v>0.6740188513</v>
      </c>
      <c r="U165" s="20"/>
      <c r="V165" s="20"/>
      <c r="W165" s="20"/>
      <c r="AA165" s="20"/>
      <c r="AB165" s="20"/>
      <c r="AC165" s="20"/>
      <c r="AD165" s="20"/>
    </row>
    <row r="166">
      <c r="A166" s="8">
        <v>40101.0</v>
      </c>
      <c r="B166" s="9" t="s">
        <v>180</v>
      </c>
      <c r="C166" s="8">
        <v>4020.0</v>
      </c>
      <c r="D166" s="8">
        <v>1457.666703850031</v>
      </c>
      <c r="E166" s="8">
        <v>119277.0</v>
      </c>
      <c r="F166" s="18">
        <f t="shared" si="1"/>
        <v>0.03370306094</v>
      </c>
      <c r="G166" s="18">
        <f t="shared" si="2"/>
        <v>0.3626036577</v>
      </c>
      <c r="H166" s="18">
        <f t="shared" si="3"/>
        <v>0.01222085317</v>
      </c>
      <c r="I166" s="8">
        <v>1938.0</v>
      </c>
      <c r="J166" s="8">
        <v>702.7777958512306</v>
      </c>
      <c r="K166" s="8">
        <v>171853.0</v>
      </c>
      <c r="L166" s="18">
        <f t="shared" si="4"/>
        <v>0.01127707983</v>
      </c>
      <c r="M166" s="18">
        <f t="shared" si="5"/>
        <v>0.3626304416</v>
      </c>
      <c r="N166" s="18">
        <f t="shared" si="6"/>
        <v>0.004089412439</v>
      </c>
      <c r="O166" s="18">
        <f t="shared" si="7"/>
        <v>0.3346257729</v>
      </c>
      <c r="U166" s="20"/>
      <c r="V166" s="20"/>
      <c r="W166" s="20"/>
      <c r="AA166" s="20"/>
      <c r="AB166" s="20"/>
      <c r="AC166" s="20"/>
      <c r="AD166" s="20"/>
    </row>
    <row r="167">
      <c r="A167" s="8">
        <v>40102.0</v>
      </c>
      <c r="B167" s="9" t="s">
        <v>181</v>
      </c>
      <c r="C167" s="8">
        <v>2647.0</v>
      </c>
      <c r="D167" s="8">
        <v>956.2222456932068</v>
      </c>
      <c r="E167" s="8">
        <v>18434.0</v>
      </c>
      <c r="F167" s="18">
        <f t="shared" si="1"/>
        <v>0.1435933601</v>
      </c>
      <c r="G167" s="18">
        <f t="shared" si="2"/>
        <v>0.3612475428</v>
      </c>
      <c r="H167" s="18">
        <f t="shared" si="3"/>
        <v>0.05187274849</v>
      </c>
      <c r="I167" s="8">
        <v>428.0</v>
      </c>
      <c r="J167" s="8">
        <v>153.00000420212746</v>
      </c>
      <c r="K167" s="8">
        <v>3867.0</v>
      </c>
      <c r="L167" s="18">
        <f t="shared" si="4"/>
        <v>0.1106801138</v>
      </c>
      <c r="M167" s="18">
        <f t="shared" si="5"/>
        <v>0.3574766453</v>
      </c>
      <c r="N167" s="18">
        <f t="shared" si="6"/>
        <v>0.03956555578</v>
      </c>
      <c r="O167" s="18">
        <f t="shared" si="7"/>
        <v>0.762742614</v>
      </c>
      <c r="U167" s="20"/>
      <c r="V167" s="20"/>
      <c r="W167" s="20"/>
      <c r="AA167" s="20"/>
      <c r="AB167" s="20"/>
      <c r="AC167" s="20"/>
      <c r="AD167" s="20"/>
    </row>
    <row r="168">
      <c r="A168" s="8">
        <v>40103.0</v>
      </c>
      <c r="B168" s="9" t="s">
        <v>182</v>
      </c>
      <c r="C168" s="8">
        <v>4584.0</v>
      </c>
      <c r="D168" s="8">
        <v>1701.1111523211002</v>
      </c>
      <c r="E168" s="8">
        <v>8415.0</v>
      </c>
      <c r="F168" s="18">
        <f t="shared" si="1"/>
        <v>0.544741533</v>
      </c>
      <c r="G168" s="18">
        <f t="shared" si="2"/>
        <v>0.3710975463</v>
      </c>
      <c r="H168" s="18">
        <f t="shared" si="3"/>
        <v>0.2021522463</v>
      </c>
      <c r="I168" s="8">
        <v>848.0</v>
      </c>
      <c r="J168" s="8">
        <v>321.88889676332474</v>
      </c>
      <c r="K168" s="8">
        <v>1551.0</v>
      </c>
      <c r="L168" s="18">
        <f t="shared" si="4"/>
        <v>0.5467440361</v>
      </c>
      <c r="M168" s="18">
        <f t="shared" si="5"/>
        <v>0.3795859632</v>
      </c>
      <c r="N168" s="18">
        <f t="shared" si="6"/>
        <v>0.2075363615</v>
      </c>
      <c r="O168" s="18">
        <f t="shared" si="7"/>
        <v>1.026633962</v>
      </c>
      <c r="U168" s="20"/>
      <c r="V168" s="20"/>
      <c r="W168" s="20"/>
      <c r="AA168" s="20"/>
      <c r="AB168" s="20"/>
      <c r="AC168" s="20"/>
      <c r="AD168" s="20"/>
    </row>
    <row r="169">
      <c r="A169" s="8">
        <v>40104.0</v>
      </c>
      <c r="B169" s="9" t="s">
        <v>183</v>
      </c>
      <c r="C169" s="8">
        <v>1626.0</v>
      </c>
      <c r="D169" s="8">
        <v>602.5555703938007</v>
      </c>
      <c r="E169" s="8">
        <v>13712.0</v>
      </c>
      <c r="F169" s="18">
        <f t="shared" si="1"/>
        <v>0.1185822637</v>
      </c>
      <c r="G169" s="18">
        <f t="shared" si="2"/>
        <v>0.3705753815</v>
      </c>
      <c r="H169" s="18">
        <f t="shared" si="3"/>
        <v>0.04394366762</v>
      </c>
      <c r="I169" s="8">
        <v>263.0</v>
      </c>
      <c r="J169" s="8">
        <v>93.88889116048813</v>
      </c>
      <c r="K169" s="8">
        <v>1975.0</v>
      </c>
      <c r="L169" s="18">
        <f t="shared" si="4"/>
        <v>0.133164557</v>
      </c>
      <c r="M169" s="18">
        <f t="shared" si="5"/>
        <v>0.3569919816</v>
      </c>
      <c r="N169" s="18">
        <f t="shared" si="6"/>
        <v>0.04753867907</v>
      </c>
      <c r="O169" s="18">
        <f t="shared" si="7"/>
        <v>1.081809545</v>
      </c>
      <c r="U169" s="20"/>
      <c r="V169" s="20"/>
      <c r="W169" s="20"/>
      <c r="AA169" s="20"/>
      <c r="AB169" s="20"/>
      <c r="AC169" s="20"/>
      <c r="AD169" s="20"/>
    </row>
    <row r="170">
      <c r="A170" s="8">
        <v>40201.0</v>
      </c>
      <c r="B170" s="9" t="s">
        <v>184</v>
      </c>
      <c r="C170" s="8">
        <v>5561.0</v>
      </c>
      <c r="D170" s="8">
        <v>2056.777829170227</v>
      </c>
      <c r="E170" s="8">
        <v>28951.0</v>
      </c>
      <c r="F170" s="18">
        <f t="shared" si="1"/>
        <v>0.192083175</v>
      </c>
      <c r="G170" s="18">
        <f t="shared" si="2"/>
        <v>0.3698575489</v>
      </c>
      <c r="H170" s="18">
        <f t="shared" si="3"/>
        <v>0.07104341229</v>
      </c>
      <c r="I170" s="8">
        <v>655.0</v>
      </c>
      <c r="J170" s="8">
        <v>241.6666725575924</v>
      </c>
      <c r="K170" s="8">
        <v>5960.0</v>
      </c>
      <c r="L170" s="18">
        <f t="shared" si="4"/>
        <v>0.1098993289</v>
      </c>
      <c r="M170" s="18">
        <f t="shared" si="5"/>
        <v>0.368956752</v>
      </c>
      <c r="N170" s="18">
        <f t="shared" si="6"/>
        <v>0.04054809942</v>
      </c>
      <c r="O170" s="18">
        <f t="shared" si="7"/>
        <v>0.5707510115</v>
      </c>
      <c r="U170" s="20"/>
      <c r="V170" s="20"/>
      <c r="W170" s="20"/>
      <c r="AA170" s="20"/>
      <c r="AB170" s="20"/>
      <c r="AC170" s="20"/>
      <c r="AD170" s="20"/>
    </row>
    <row r="171">
      <c r="A171" s="8">
        <v>40202.0</v>
      </c>
      <c r="B171" s="9" t="s">
        <v>185</v>
      </c>
      <c r="C171" s="8">
        <v>1064.0</v>
      </c>
      <c r="D171" s="8">
        <v>380.00000938773155</v>
      </c>
      <c r="E171" s="8">
        <v>4609.0</v>
      </c>
      <c r="F171" s="18">
        <f t="shared" si="1"/>
        <v>0.2308526795</v>
      </c>
      <c r="G171" s="18">
        <f t="shared" si="2"/>
        <v>0.357142866</v>
      </c>
      <c r="H171" s="18">
        <f t="shared" si="3"/>
        <v>0.08244738759</v>
      </c>
      <c r="I171" s="8">
        <v>65.0</v>
      </c>
      <c r="J171" s="8">
        <v>22.777778446674347</v>
      </c>
      <c r="K171" s="8">
        <v>532.0</v>
      </c>
      <c r="L171" s="18">
        <f t="shared" si="4"/>
        <v>0.1221804511</v>
      </c>
      <c r="M171" s="18">
        <f t="shared" si="5"/>
        <v>0.3504273607</v>
      </c>
      <c r="N171" s="18">
        <f t="shared" si="6"/>
        <v>0.04281537302</v>
      </c>
      <c r="O171" s="18">
        <f t="shared" si="7"/>
        <v>0.5193053931</v>
      </c>
      <c r="U171" s="20"/>
      <c r="V171" s="20"/>
      <c r="W171" s="20"/>
      <c r="AA171" s="20"/>
      <c r="AB171" s="20"/>
      <c r="AC171" s="20"/>
      <c r="AD171" s="20"/>
    </row>
    <row r="172">
      <c r="A172" s="8">
        <v>40301.0</v>
      </c>
      <c r="B172" s="9" t="s">
        <v>186</v>
      </c>
      <c r="C172" s="8">
        <v>4927.0</v>
      </c>
      <c r="D172" s="8">
        <v>1840.1111563444138</v>
      </c>
      <c r="E172" s="8">
        <v>14697.0</v>
      </c>
      <c r="F172" s="18">
        <f t="shared" si="1"/>
        <v>0.335238484</v>
      </c>
      <c r="G172" s="18">
        <f t="shared" si="2"/>
        <v>0.3734749658</v>
      </c>
      <c r="H172" s="18">
        <f t="shared" si="3"/>
        <v>0.1252031814</v>
      </c>
      <c r="I172" s="8">
        <v>395.0</v>
      </c>
      <c r="J172" s="8">
        <v>149.33333659172058</v>
      </c>
      <c r="K172" s="8">
        <v>1197.0</v>
      </c>
      <c r="L172" s="18">
        <f t="shared" si="4"/>
        <v>0.3299916458</v>
      </c>
      <c r="M172" s="18">
        <f t="shared" si="5"/>
        <v>0.37805908</v>
      </c>
      <c r="N172" s="18">
        <f t="shared" si="6"/>
        <v>0.124756338</v>
      </c>
      <c r="O172" s="18">
        <f t="shared" si="7"/>
        <v>0.9964310544</v>
      </c>
      <c r="U172" s="20"/>
      <c r="V172" s="20"/>
      <c r="W172" s="20"/>
      <c r="AA172" s="20"/>
      <c r="AB172" s="20"/>
      <c r="AC172" s="20"/>
      <c r="AD172" s="20"/>
    </row>
    <row r="173">
      <c r="A173" s="8">
        <v>40302.0</v>
      </c>
      <c r="B173" s="9" t="s">
        <v>187</v>
      </c>
      <c r="C173" s="8">
        <v>658.0</v>
      </c>
      <c r="D173" s="8">
        <v>236.66667273640633</v>
      </c>
      <c r="E173" s="8">
        <v>2379.0</v>
      </c>
      <c r="F173" s="18">
        <f t="shared" si="1"/>
        <v>0.2765868012</v>
      </c>
      <c r="G173" s="18">
        <f t="shared" si="2"/>
        <v>0.3596757944</v>
      </c>
      <c r="H173" s="18">
        <f t="shared" si="3"/>
        <v>0.09948157744</v>
      </c>
      <c r="I173" s="8">
        <v>15.0</v>
      </c>
      <c r="J173" s="8">
        <v>5.000000149011612</v>
      </c>
      <c r="K173" s="8">
        <v>120.0</v>
      </c>
      <c r="L173" s="18">
        <f t="shared" si="4"/>
        <v>0.125</v>
      </c>
      <c r="M173" s="18">
        <f t="shared" si="5"/>
        <v>0.3333333433</v>
      </c>
      <c r="N173" s="18">
        <f t="shared" si="6"/>
        <v>0.04166666791</v>
      </c>
      <c r="O173" s="18">
        <f t="shared" si="7"/>
        <v>0.4188380299</v>
      </c>
      <c r="U173" s="20"/>
      <c r="V173" s="20"/>
      <c r="W173" s="20"/>
      <c r="AA173" s="20"/>
      <c r="AB173" s="20"/>
      <c r="AC173" s="20"/>
      <c r="AD173" s="20"/>
    </row>
    <row r="174">
      <c r="A174" s="8">
        <v>40401.0</v>
      </c>
      <c r="B174" s="9" t="s">
        <v>188</v>
      </c>
      <c r="C174" s="8">
        <v>1188.0</v>
      </c>
      <c r="D174" s="8">
        <v>441.8888992667198</v>
      </c>
      <c r="E174" s="8">
        <v>6052.0</v>
      </c>
      <c r="F174" s="18">
        <f t="shared" si="1"/>
        <v>0.1962987442</v>
      </c>
      <c r="G174" s="18">
        <f t="shared" si="2"/>
        <v>0.3719603529</v>
      </c>
      <c r="H174" s="18">
        <f t="shared" si="3"/>
        <v>0.07301535018</v>
      </c>
      <c r="I174" s="8">
        <v>30.0</v>
      </c>
      <c r="J174" s="8">
        <v>11.777777969837189</v>
      </c>
      <c r="K174" s="8">
        <v>315.0</v>
      </c>
      <c r="L174" s="18">
        <f t="shared" si="4"/>
        <v>0.09523809524</v>
      </c>
      <c r="M174" s="18">
        <f t="shared" si="5"/>
        <v>0.392592599</v>
      </c>
      <c r="N174" s="18">
        <f t="shared" si="6"/>
        <v>0.03738977133</v>
      </c>
      <c r="O174" s="18">
        <f t="shared" si="7"/>
        <v>0.5120809699</v>
      </c>
      <c r="U174" s="20"/>
      <c r="V174" s="20"/>
      <c r="W174" s="20"/>
      <c r="AA174" s="20"/>
      <c r="AB174" s="20"/>
      <c r="AC174" s="20"/>
      <c r="AD174" s="20"/>
    </row>
    <row r="175">
      <c r="A175" s="8">
        <v>40402.0</v>
      </c>
      <c r="B175" s="9" t="s">
        <v>189</v>
      </c>
      <c r="C175" s="8">
        <v>1764.0</v>
      </c>
      <c r="D175" s="8">
        <v>660.8889046311378</v>
      </c>
      <c r="E175" s="8">
        <v>5246.0</v>
      </c>
      <c r="F175" s="18">
        <f t="shared" si="1"/>
        <v>0.3362561952</v>
      </c>
      <c r="G175" s="18">
        <f t="shared" si="2"/>
        <v>0.3746535741</v>
      </c>
      <c r="H175" s="18">
        <f t="shared" si="3"/>
        <v>0.1259795853</v>
      </c>
      <c r="I175" s="8">
        <v>67.0</v>
      </c>
      <c r="J175" s="8">
        <v>25.33333396911621</v>
      </c>
      <c r="K175" s="8">
        <v>329.0</v>
      </c>
      <c r="L175" s="18">
        <f t="shared" si="4"/>
        <v>0.2036474164</v>
      </c>
      <c r="M175" s="18">
        <f t="shared" si="5"/>
        <v>0.3781094622</v>
      </c>
      <c r="N175" s="18">
        <f t="shared" si="6"/>
        <v>0.0770010151</v>
      </c>
      <c r="O175" s="18">
        <f t="shared" si="7"/>
        <v>0.6112181978</v>
      </c>
      <c r="U175" s="20"/>
      <c r="V175" s="20"/>
      <c r="W175" s="20"/>
      <c r="AA175" s="20"/>
      <c r="AB175" s="20"/>
      <c r="AC175" s="20"/>
      <c r="AD175" s="20"/>
    </row>
    <row r="176">
      <c r="A176" s="8">
        <v>40501.0</v>
      </c>
      <c r="B176" s="9" t="s">
        <v>190</v>
      </c>
      <c r="C176" s="8">
        <v>63.0</v>
      </c>
      <c r="D176" s="8">
        <v>21.888889461755753</v>
      </c>
      <c r="E176" s="8">
        <v>3003.0</v>
      </c>
      <c r="F176" s="18">
        <f t="shared" si="1"/>
        <v>0.02097902098</v>
      </c>
      <c r="G176" s="18">
        <f t="shared" si="2"/>
        <v>0.3474426899</v>
      </c>
      <c r="H176" s="18">
        <f t="shared" si="3"/>
        <v>0.00728900748</v>
      </c>
      <c r="I176" s="8">
        <v>29.0</v>
      </c>
      <c r="J176" s="8">
        <v>10.000000268220901</v>
      </c>
      <c r="K176" s="8">
        <v>784.0</v>
      </c>
      <c r="L176" s="18">
        <f t="shared" si="4"/>
        <v>0.03698979592</v>
      </c>
      <c r="M176" s="18">
        <f t="shared" si="5"/>
        <v>0.3448275955</v>
      </c>
      <c r="N176" s="18">
        <f t="shared" si="6"/>
        <v>0.01275510238</v>
      </c>
      <c r="O176" s="18">
        <f t="shared" si="7"/>
        <v>1.749909356</v>
      </c>
      <c r="U176" s="20"/>
      <c r="V176" s="20"/>
      <c r="W176" s="20"/>
      <c r="AA176" s="20"/>
      <c r="AB176" s="20"/>
      <c r="AC176" s="20"/>
      <c r="AD176" s="20"/>
    </row>
    <row r="177">
      <c r="A177" s="8">
        <v>40502.0</v>
      </c>
      <c r="B177" s="9" t="s">
        <v>191</v>
      </c>
      <c r="C177" s="8">
        <v>561.0</v>
      </c>
      <c r="D177" s="8">
        <v>209.11111623048782</v>
      </c>
      <c r="E177" s="8">
        <v>2692.0</v>
      </c>
      <c r="F177" s="18">
        <f t="shared" si="1"/>
        <v>0.2083952452</v>
      </c>
      <c r="G177" s="18">
        <f t="shared" si="2"/>
        <v>0.3727470878</v>
      </c>
      <c r="H177" s="18">
        <f t="shared" si="3"/>
        <v>0.07767872074</v>
      </c>
      <c r="I177" s="8">
        <v>193.0</v>
      </c>
      <c r="J177" s="8">
        <v>69.11111280322075</v>
      </c>
      <c r="K177" s="8">
        <v>1461.0</v>
      </c>
      <c r="L177" s="18">
        <f t="shared" si="4"/>
        <v>0.1321013005</v>
      </c>
      <c r="M177" s="18">
        <f t="shared" si="5"/>
        <v>0.3580886674</v>
      </c>
      <c r="N177" s="18">
        <f t="shared" si="6"/>
        <v>0.04730397865</v>
      </c>
      <c r="O177" s="18">
        <f t="shared" si="7"/>
        <v>0.6089695891</v>
      </c>
      <c r="U177" s="20"/>
      <c r="V177" s="20"/>
      <c r="W177" s="20"/>
      <c r="AA177" s="20"/>
      <c r="AB177" s="20"/>
      <c r="AC177" s="20"/>
      <c r="AD177" s="20"/>
    </row>
    <row r="178">
      <c r="A178" s="8">
        <v>40503.0</v>
      </c>
      <c r="B178" s="9" t="s">
        <v>192</v>
      </c>
      <c r="C178" s="8">
        <v>115.0</v>
      </c>
      <c r="D178" s="8">
        <v>43.77777877449989</v>
      </c>
      <c r="E178" s="8">
        <v>1322.0</v>
      </c>
      <c r="F178" s="18">
        <f t="shared" si="1"/>
        <v>0.08698940998</v>
      </c>
      <c r="G178" s="18">
        <f t="shared" si="2"/>
        <v>0.3806763372</v>
      </c>
      <c r="H178" s="18">
        <f t="shared" si="3"/>
        <v>0.03311480997</v>
      </c>
      <c r="I178" s="8">
        <v>17.0</v>
      </c>
      <c r="J178" s="8">
        <v>7.444444686174393</v>
      </c>
      <c r="K178" s="8">
        <v>171.0</v>
      </c>
      <c r="L178" s="18">
        <f t="shared" si="4"/>
        <v>0.09941520468</v>
      </c>
      <c r="M178" s="18">
        <f t="shared" si="5"/>
        <v>0.437908511</v>
      </c>
      <c r="N178" s="18">
        <f t="shared" si="6"/>
        <v>0.04353476425</v>
      </c>
      <c r="O178" s="18">
        <f t="shared" si="7"/>
        <v>1.314661455</v>
      </c>
      <c r="U178" s="20"/>
      <c r="V178" s="20"/>
      <c r="W178" s="20"/>
      <c r="AA178" s="20"/>
      <c r="AB178" s="20"/>
      <c r="AC178" s="20"/>
      <c r="AD178" s="20"/>
    </row>
    <row r="179">
      <c r="A179" s="8">
        <v>40504.0</v>
      </c>
      <c r="B179" s="9" t="s">
        <v>193</v>
      </c>
      <c r="C179" s="8">
        <v>10.0</v>
      </c>
      <c r="D179" s="8">
        <v>3.333333432674408</v>
      </c>
      <c r="E179" s="8">
        <v>706.0</v>
      </c>
      <c r="F179" s="18">
        <f t="shared" si="1"/>
        <v>0.01416430595</v>
      </c>
      <c r="G179" s="18">
        <f t="shared" si="2"/>
        <v>0.3333333433</v>
      </c>
      <c r="H179" s="18">
        <f t="shared" si="3"/>
        <v>0.004721435457</v>
      </c>
      <c r="I179" s="8">
        <v>18.0</v>
      </c>
      <c r="J179" s="8">
        <v>6.000000178813934</v>
      </c>
      <c r="K179" s="8">
        <v>169.0</v>
      </c>
      <c r="L179" s="18">
        <f t="shared" si="4"/>
        <v>0.1065088757</v>
      </c>
      <c r="M179" s="18">
        <f t="shared" si="5"/>
        <v>0.3333333433</v>
      </c>
      <c r="N179" s="18">
        <f t="shared" si="6"/>
        <v>0.03550295964</v>
      </c>
      <c r="O179" s="18">
        <f t="shared" si="7"/>
        <v>7.519526627</v>
      </c>
      <c r="U179" s="20"/>
      <c r="V179" s="20"/>
      <c r="W179" s="20"/>
      <c r="AA179" s="20"/>
      <c r="AB179" s="20"/>
      <c r="AC179" s="20"/>
      <c r="AD179" s="20"/>
    </row>
    <row r="180">
      <c r="A180" s="8">
        <v>40505.0</v>
      </c>
      <c r="B180" s="9" t="s">
        <v>194</v>
      </c>
      <c r="C180" s="8">
        <v>205.0</v>
      </c>
      <c r="D180" s="8">
        <v>74.7777798473835</v>
      </c>
      <c r="E180" s="8">
        <v>2960.0</v>
      </c>
      <c r="F180" s="18">
        <f t="shared" si="1"/>
        <v>0.06925675676</v>
      </c>
      <c r="G180" s="18">
        <f t="shared" si="2"/>
        <v>0.3647696578</v>
      </c>
      <c r="H180" s="18">
        <f t="shared" si="3"/>
        <v>0.02526276346</v>
      </c>
      <c r="I180" s="8">
        <v>144.0</v>
      </c>
      <c r="J180" s="8">
        <v>54.88889020681381</v>
      </c>
      <c r="K180" s="8">
        <v>896.0</v>
      </c>
      <c r="L180" s="18">
        <f t="shared" si="4"/>
        <v>0.1607142857</v>
      </c>
      <c r="M180" s="18">
        <f t="shared" si="5"/>
        <v>0.3811728487</v>
      </c>
      <c r="N180" s="18">
        <f t="shared" si="6"/>
        <v>0.06125992211</v>
      </c>
      <c r="O180" s="18">
        <f t="shared" si="7"/>
        <v>2.424909777</v>
      </c>
      <c r="U180" s="20"/>
      <c r="V180" s="20"/>
      <c r="W180" s="20"/>
      <c r="AA180" s="20"/>
      <c r="AB180" s="20"/>
      <c r="AC180" s="20"/>
      <c r="AD180" s="20"/>
    </row>
    <row r="181">
      <c r="A181" s="8">
        <v>40601.0</v>
      </c>
      <c r="B181" s="9" t="s">
        <v>195</v>
      </c>
      <c r="C181" s="8">
        <v>822.0</v>
      </c>
      <c r="D181" s="8">
        <v>297.11111864447594</v>
      </c>
      <c r="E181" s="8">
        <v>6566.0</v>
      </c>
      <c r="F181" s="18">
        <f t="shared" si="1"/>
        <v>0.1251903747</v>
      </c>
      <c r="G181" s="18">
        <f t="shared" si="2"/>
        <v>0.3614490494</v>
      </c>
      <c r="H181" s="18">
        <f t="shared" si="3"/>
        <v>0.04524994192</v>
      </c>
      <c r="I181" s="8">
        <v>197.0</v>
      </c>
      <c r="J181" s="8">
        <v>71.44444650411606</v>
      </c>
      <c r="K181" s="8">
        <v>2554.0</v>
      </c>
      <c r="L181" s="18">
        <f t="shared" si="4"/>
        <v>0.0771339076</v>
      </c>
      <c r="M181" s="18">
        <f t="shared" si="5"/>
        <v>0.362662165</v>
      </c>
      <c r="N181" s="18">
        <f t="shared" si="6"/>
        <v>0.02797354992</v>
      </c>
      <c r="O181" s="18">
        <f t="shared" si="7"/>
        <v>0.6182007918</v>
      </c>
      <c r="U181" s="20"/>
      <c r="V181" s="20"/>
      <c r="W181" s="20"/>
      <c r="AA181" s="20"/>
      <c r="AB181" s="20"/>
      <c r="AC181" s="20"/>
      <c r="AD181" s="20"/>
    </row>
    <row r="182">
      <c r="A182" s="8">
        <v>40602.0</v>
      </c>
      <c r="B182" s="9" t="s">
        <v>196</v>
      </c>
      <c r="C182" s="8">
        <v>354.0</v>
      </c>
      <c r="D182" s="8">
        <v>132.2222254574299</v>
      </c>
      <c r="E182" s="8">
        <v>2643.0</v>
      </c>
      <c r="F182" s="18">
        <f t="shared" si="1"/>
        <v>0.133938706</v>
      </c>
      <c r="G182" s="18">
        <f t="shared" si="2"/>
        <v>0.3735091115</v>
      </c>
      <c r="H182" s="18">
        <f t="shared" si="3"/>
        <v>0.05002732707</v>
      </c>
      <c r="I182" s="8">
        <v>179.0</v>
      </c>
      <c r="J182" s="8">
        <v>64.88889047503471</v>
      </c>
      <c r="K182" s="8">
        <v>1532.0</v>
      </c>
      <c r="L182" s="18">
        <f t="shared" si="4"/>
        <v>0.1168407311</v>
      </c>
      <c r="M182" s="18">
        <f t="shared" si="5"/>
        <v>0.362507768</v>
      </c>
      <c r="N182" s="18">
        <f t="shared" si="6"/>
        <v>0.04235567263</v>
      </c>
      <c r="O182" s="18">
        <f t="shared" si="7"/>
        <v>0.8466507229</v>
      </c>
      <c r="U182" s="20"/>
      <c r="V182" s="20"/>
      <c r="W182" s="20"/>
      <c r="AA182" s="20"/>
      <c r="AB182" s="20"/>
      <c r="AC182" s="20"/>
      <c r="AD182" s="20"/>
    </row>
    <row r="183">
      <c r="A183" s="8">
        <v>40603.0</v>
      </c>
      <c r="B183" s="9" t="s">
        <v>197</v>
      </c>
      <c r="C183" s="8">
        <v>220.0</v>
      </c>
      <c r="D183" s="8">
        <v>78.00000190734863</v>
      </c>
      <c r="E183" s="8">
        <v>2460.0</v>
      </c>
      <c r="F183" s="18">
        <f t="shared" si="1"/>
        <v>0.08943089431</v>
      </c>
      <c r="G183" s="18">
        <f t="shared" si="2"/>
        <v>0.3545454632</v>
      </c>
      <c r="H183" s="18">
        <f t="shared" si="3"/>
        <v>0.03170731785</v>
      </c>
      <c r="I183" s="8">
        <v>52.0</v>
      </c>
      <c r="J183" s="8">
        <v>18.000000476837158</v>
      </c>
      <c r="K183" s="8">
        <v>1103.0</v>
      </c>
      <c r="L183" s="18">
        <f t="shared" si="4"/>
        <v>0.04714415231</v>
      </c>
      <c r="M183" s="18">
        <f t="shared" si="5"/>
        <v>0.3461538553</v>
      </c>
      <c r="N183" s="18">
        <f t="shared" si="6"/>
        <v>0.01631913008</v>
      </c>
      <c r="O183" s="18">
        <f t="shared" si="7"/>
        <v>0.5146802437</v>
      </c>
      <c r="U183" s="20"/>
      <c r="V183" s="20"/>
      <c r="W183" s="20"/>
      <c r="AA183" s="20"/>
      <c r="AB183" s="20"/>
      <c r="AC183" s="20"/>
      <c r="AD183" s="20"/>
    </row>
    <row r="184">
      <c r="A184" s="8">
        <v>40701.0</v>
      </c>
      <c r="B184" s="9" t="s">
        <v>198</v>
      </c>
      <c r="C184" s="8">
        <v>540.0</v>
      </c>
      <c r="D184" s="8">
        <v>194.3333379328251</v>
      </c>
      <c r="E184" s="8">
        <v>11050.0</v>
      </c>
      <c r="F184" s="18">
        <f t="shared" si="1"/>
        <v>0.04886877828</v>
      </c>
      <c r="G184" s="18">
        <f t="shared" si="2"/>
        <v>0.3598765517</v>
      </c>
      <c r="H184" s="18">
        <f t="shared" si="3"/>
        <v>0.01758672741</v>
      </c>
      <c r="I184" s="8">
        <v>93.0</v>
      </c>
      <c r="J184" s="8">
        <v>32.44444531202316</v>
      </c>
      <c r="K184" s="8">
        <v>8367.0</v>
      </c>
      <c r="L184" s="18">
        <f t="shared" si="4"/>
        <v>0.01111509502</v>
      </c>
      <c r="M184" s="18">
        <f t="shared" si="5"/>
        <v>0.3488650034</v>
      </c>
      <c r="N184" s="18">
        <f t="shared" si="6"/>
        <v>0.00387766766</v>
      </c>
      <c r="O184" s="18">
        <f t="shared" si="7"/>
        <v>0.2204883017</v>
      </c>
      <c r="U184" s="20"/>
      <c r="V184" s="20"/>
      <c r="W184" s="20"/>
      <c r="AA184" s="20"/>
      <c r="AB184" s="20"/>
      <c r="AC184" s="20"/>
      <c r="AD184" s="20"/>
    </row>
    <row r="185">
      <c r="A185" s="8">
        <v>40702.0</v>
      </c>
      <c r="B185" s="9" t="s">
        <v>199</v>
      </c>
      <c r="C185" s="8">
        <v>288.0</v>
      </c>
      <c r="D185" s="8">
        <v>102.22222477197647</v>
      </c>
      <c r="E185" s="8">
        <v>4516.0</v>
      </c>
      <c r="F185" s="18">
        <f t="shared" si="1"/>
        <v>0.06377325066</v>
      </c>
      <c r="G185" s="18">
        <f t="shared" si="2"/>
        <v>0.3549382805</v>
      </c>
      <c r="H185" s="18">
        <f t="shared" si="3"/>
        <v>0.02263556793</v>
      </c>
      <c r="I185" s="8">
        <v>52.0</v>
      </c>
      <c r="J185" s="8">
        <v>21.11111158132553</v>
      </c>
      <c r="K185" s="8">
        <v>1561.0</v>
      </c>
      <c r="L185" s="18">
        <f t="shared" si="4"/>
        <v>0.0333119795</v>
      </c>
      <c r="M185" s="18">
        <f t="shared" si="5"/>
        <v>0.405982915</v>
      </c>
      <c r="N185" s="18">
        <f t="shared" si="6"/>
        <v>0.01352409454</v>
      </c>
      <c r="O185" s="18">
        <f t="shared" si="7"/>
        <v>0.5974709618</v>
      </c>
      <c r="U185" s="20"/>
      <c r="V185" s="20"/>
      <c r="W185" s="20"/>
      <c r="AA185" s="20"/>
      <c r="AB185" s="20"/>
      <c r="AC185" s="20"/>
      <c r="AD185" s="20"/>
    </row>
    <row r="186">
      <c r="A186" s="8">
        <v>40801.0</v>
      </c>
      <c r="B186" s="9" t="s">
        <v>200</v>
      </c>
      <c r="C186" s="8">
        <v>2125.0</v>
      </c>
      <c r="D186" s="8">
        <v>776.3333528339863</v>
      </c>
      <c r="E186" s="8">
        <v>14080.0</v>
      </c>
      <c r="F186" s="18">
        <f t="shared" si="1"/>
        <v>0.1509232955</v>
      </c>
      <c r="G186" s="18">
        <f t="shared" si="2"/>
        <v>0.3653333425</v>
      </c>
      <c r="H186" s="18">
        <f t="shared" si="3"/>
        <v>0.05513731199</v>
      </c>
      <c r="I186" s="8">
        <v>238.0</v>
      </c>
      <c r="J186" s="8">
        <v>83.55555766820908</v>
      </c>
      <c r="K186" s="8">
        <v>1775.0</v>
      </c>
      <c r="L186" s="18">
        <f t="shared" si="4"/>
        <v>0.134084507</v>
      </c>
      <c r="M186" s="18">
        <f t="shared" si="5"/>
        <v>0.3510737717</v>
      </c>
      <c r="N186" s="18">
        <f t="shared" si="6"/>
        <v>0.04707355362</v>
      </c>
      <c r="O186" s="18">
        <f t="shared" si="7"/>
        <v>0.8537513331</v>
      </c>
      <c r="U186" s="20"/>
      <c r="V186" s="20"/>
      <c r="W186" s="20"/>
      <c r="AA186" s="20"/>
      <c r="AB186" s="20"/>
      <c r="AC186" s="20"/>
      <c r="AD186" s="20"/>
    </row>
    <row r="187">
      <c r="A187" s="8">
        <v>40802.0</v>
      </c>
      <c r="B187" s="9" t="s">
        <v>201</v>
      </c>
      <c r="C187" s="8">
        <v>543.0</v>
      </c>
      <c r="D187" s="8">
        <v>198.0000049173832</v>
      </c>
      <c r="E187" s="8">
        <v>2885.0</v>
      </c>
      <c r="F187" s="18">
        <f t="shared" si="1"/>
        <v>0.1882149047</v>
      </c>
      <c r="G187" s="18">
        <f t="shared" si="2"/>
        <v>0.364640893</v>
      </c>
      <c r="H187" s="18">
        <f t="shared" si="3"/>
        <v>0.06863085092</v>
      </c>
      <c r="I187" s="8">
        <v>82.0</v>
      </c>
      <c r="J187" s="8">
        <v>28.555556297302246</v>
      </c>
      <c r="K187" s="8">
        <v>307.0</v>
      </c>
      <c r="L187" s="18">
        <f t="shared" si="4"/>
        <v>0.2671009772</v>
      </c>
      <c r="M187" s="18">
        <f t="shared" si="5"/>
        <v>0.3482384914</v>
      </c>
      <c r="N187" s="18">
        <f t="shared" si="6"/>
        <v>0.09301484136</v>
      </c>
      <c r="O187" s="18">
        <f t="shared" si="7"/>
        <v>1.355291973</v>
      </c>
      <c r="U187" s="20"/>
      <c r="V187" s="20"/>
      <c r="W187" s="20"/>
      <c r="AA187" s="20"/>
      <c r="AB187" s="20"/>
      <c r="AC187" s="20"/>
      <c r="AD187" s="20"/>
    </row>
    <row r="188">
      <c r="A188" s="8">
        <v>40901.0</v>
      </c>
      <c r="B188" s="9" t="s">
        <v>202</v>
      </c>
      <c r="C188" s="8">
        <v>1132.0</v>
      </c>
      <c r="D188" s="8">
        <v>414.5555659532547</v>
      </c>
      <c r="E188" s="8">
        <v>10848.0</v>
      </c>
      <c r="F188" s="18">
        <f t="shared" si="1"/>
        <v>0.1043510324</v>
      </c>
      <c r="G188" s="18">
        <f t="shared" si="2"/>
        <v>0.3662151643</v>
      </c>
      <c r="H188" s="18">
        <f t="shared" si="3"/>
        <v>0.03821493049</v>
      </c>
      <c r="I188" s="8">
        <v>249.0</v>
      </c>
      <c r="J188" s="8">
        <v>92.22222426533699</v>
      </c>
      <c r="K188" s="8">
        <v>3832.0</v>
      </c>
      <c r="L188" s="18">
        <f t="shared" si="4"/>
        <v>0.06497912317</v>
      </c>
      <c r="M188" s="18">
        <f t="shared" si="5"/>
        <v>0.3703703786</v>
      </c>
      <c r="N188" s="18">
        <f t="shared" si="6"/>
        <v>0.02406634245</v>
      </c>
      <c r="O188" s="18">
        <f t="shared" si="7"/>
        <v>0.6297628215</v>
      </c>
      <c r="U188" s="20"/>
      <c r="V188" s="20"/>
      <c r="W188" s="20"/>
      <c r="AA188" s="20"/>
      <c r="AB188" s="20"/>
      <c r="AC188" s="20"/>
      <c r="AD188" s="20"/>
    </row>
    <row r="189">
      <c r="A189" s="8">
        <v>40902.0</v>
      </c>
      <c r="B189" s="9" t="s">
        <v>203</v>
      </c>
      <c r="C189" s="8">
        <v>129.0</v>
      </c>
      <c r="D189" s="8">
        <v>50.666667491197586</v>
      </c>
      <c r="E189" s="8">
        <v>1148.0</v>
      </c>
      <c r="F189" s="18">
        <f t="shared" si="1"/>
        <v>0.112369338</v>
      </c>
      <c r="G189" s="18">
        <f t="shared" si="2"/>
        <v>0.3927648643</v>
      </c>
      <c r="H189" s="18">
        <f t="shared" si="3"/>
        <v>0.04413472778</v>
      </c>
      <c r="I189" s="8">
        <v>22.0</v>
      </c>
      <c r="J189" s="8">
        <v>8.111111283302307</v>
      </c>
      <c r="K189" s="8">
        <v>231.0</v>
      </c>
      <c r="L189" s="18">
        <f t="shared" si="4"/>
        <v>0.09523809524</v>
      </c>
      <c r="M189" s="18">
        <f t="shared" si="5"/>
        <v>0.3686868765</v>
      </c>
      <c r="N189" s="18">
        <f t="shared" si="6"/>
        <v>0.03511303586</v>
      </c>
      <c r="O189" s="18">
        <f t="shared" si="7"/>
        <v>0.7955874574</v>
      </c>
      <c r="U189" s="20"/>
      <c r="V189" s="20"/>
      <c r="W189" s="20"/>
      <c r="AA189" s="20"/>
      <c r="AB189" s="20"/>
      <c r="AC189" s="20"/>
      <c r="AD189" s="20"/>
    </row>
    <row r="190">
      <c r="A190" s="8">
        <v>40903.0</v>
      </c>
      <c r="B190" s="9" t="s">
        <v>204</v>
      </c>
      <c r="C190" s="8">
        <v>843.0</v>
      </c>
      <c r="D190" s="8">
        <v>322.3333411216736</v>
      </c>
      <c r="E190" s="8">
        <v>2225.0</v>
      </c>
      <c r="F190" s="18">
        <f t="shared" si="1"/>
        <v>0.3788764045</v>
      </c>
      <c r="G190" s="18">
        <f t="shared" si="2"/>
        <v>0.3823645802</v>
      </c>
      <c r="H190" s="18">
        <f t="shared" si="3"/>
        <v>0.1448689174</v>
      </c>
      <c r="I190" s="8">
        <v>38.0</v>
      </c>
      <c r="J190" s="8">
        <v>14.333333671092987</v>
      </c>
      <c r="K190" s="8">
        <v>115.0</v>
      </c>
      <c r="L190" s="18">
        <f t="shared" si="4"/>
        <v>0.3304347826</v>
      </c>
      <c r="M190" s="18">
        <f t="shared" si="5"/>
        <v>0.3771929913</v>
      </c>
      <c r="N190" s="18">
        <f t="shared" si="6"/>
        <v>0.1246376841</v>
      </c>
      <c r="O190" s="18">
        <f t="shared" si="7"/>
        <v>0.8603480054</v>
      </c>
      <c r="U190" s="20"/>
      <c r="V190" s="20"/>
      <c r="W190" s="20"/>
      <c r="AA190" s="20"/>
      <c r="AB190" s="20"/>
      <c r="AC190" s="20"/>
      <c r="AD190" s="20"/>
    </row>
    <row r="191">
      <c r="A191" s="8">
        <v>41001.0</v>
      </c>
      <c r="B191" s="9" t="s">
        <v>205</v>
      </c>
      <c r="C191" s="8">
        <v>3417.0</v>
      </c>
      <c r="D191" s="8">
        <v>1234.5555860102177</v>
      </c>
      <c r="E191" s="8">
        <v>10120.0</v>
      </c>
      <c r="F191" s="18">
        <f t="shared" si="1"/>
        <v>0.3376482213</v>
      </c>
      <c r="G191" s="18">
        <f t="shared" si="2"/>
        <v>0.3612980937</v>
      </c>
      <c r="H191" s="18">
        <f t="shared" si="3"/>
        <v>0.1219916587</v>
      </c>
      <c r="I191" s="8">
        <v>468.0</v>
      </c>
      <c r="J191" s="8">
        <v>169.55555999279022</v>
      </c>
      <c r="K191" s="8">
        <v>2014.0</v>
      </c>
      <c r="L191" s="18">
        <f t="shared" si="4"/>
        <v>0.2323733863</v>
      </c>
      <c r="M191" s="18">
        <f t="shared" si="5"/>
        <v>0.3622982051</v>
      </c>
      <c r="N191" s="18">
        <f t="shared" si="6"/>
        <v>0.08418846077</v>
      </c>
      <c r="O191" s="18">
        <f t="shared" si="7"/>
        <v>0.6901165348</v>
      </c>
      <c r="U191" s="20"/>
      <c r="V191" s="20"/>
      <c r="W191" s="20"/>
      <c r="AA191" s="20"/>
      <c r="AB191" s="20"/>
      <c r="AC191" s="20"/>
      <c r="AD191" s="20"/>
    </row>
    <row r="192">
      <c r="A192" s="8">
        <v>41101.0</v>
      </c>
      <c r="B192" s="9" t="s">
        <v>206</v>
      </c>
      <c r="C192" s="8">
        <v>587.0</v>
      </c>
      <c r="D192" s="8">
        <v>213.44445008039474</v>
      </c>
      <c r="E192" s="8">
        <v>4589.0</v>
      </c>
      <c r="F192" s="18">
        <f t="shared" si="1"/>
        <v>0.1279145783</v>
      </c>
      <c r="G192" s="18">
        <f t="shared" si="2"/>
        <v>0.3636191654</v>
      </c>
      <c r="H192" s="18">
        <f t="shared" si="3"/>
        <v>0.04651219222</v>
      </c>
      <c r="I192" s="8">
        <v>50.0</v>
      </c>
      <c r="J192" s="8">
        <v>17.666667103767395</v>
      </c>
      <c r="K192" s="8">
        <v>736.0</v>
      </c>
      <c r="L192" s="18">
        <f t="shared" si="4"/>
        <v>0.06793478261</v>
      </c>
      <c r="M192" s="18">
        <f t="shared" si="5"/>
        <v>0.3533333421</v>
      </c>
      <c r="N192" s="18">
        <f t="shared" si="6"/>
        <v>0.02400362378</v>
      </c>
      <c r="O192" s="18">
        <f t="shared" si="7"/>
        <v>0.51607165</v>
      </c>
      <c r="U192" s="20"/>
      <c r="V192" s="20"/>
      <c r="W192" s="20"/>
      <c r="AA192" s="20"/>
      <c r="AB192" s="20"/>
      <c r="AC192" s="20"/>
      <c r="AD192" s="20"/>
    </row>
    <row r="193">
      <c r="A193" s="8">
        <v>41201.0</v>
      </c>
      <c r="B193" s="9" t="s">
        <v>207</v>
      </c>
      <c r="C193" s="8">
        <v>1771.0</v>
      </c>
      <c r="D193" s="8">
        <v>658.666682690382</v>
      </c>
      <c r="E193" s="8">
        <v>5772.0</v>
      </c>
      <c r="F193" s="18">
        <f t="shared" si="1"/>
        <v>0.3068260568</v>
      </c>
      <c r="G193" s="18">
        <f t="shared" si="2"/>
        <v>0.3719179462</v>
      </c>
      <c r="H193" s="18">
        <f t="shared" si="3"/>
        <v>0.1141141169</v>
      </c>
      <c r="I193" s="8">
        <v>177.0</v>
      </c>
      <c r="J193" s="8">
        <v>67.22222372889519</v>
      </c>
      <c r="K193" s="8">
        <v>525.0</v>
      </c>
      <c r="L193" s="18">
        <f t="shared" si="4"/>
        <v>0.3371428571</v>
      </c>
      <c r="M193" s="18">
        <f t="shared" si="5"/>
        <v>0.3797865747</v>
      </c>
      <c r="N193" s="18">
        <f t="shared" si="6"/>
        <v>0.1280423309</v>
      </c>
      <c r="O193" s="18">
        <f t="shared" si="7"/>
        <v>1.122055136</v>
      </c>
      <c r="U193" s="20"/>
      <c r="V193" s="20"/>
      <c r="W193" s="20"/>
      <c r="AA193" s="20"/>
      <c r="AB193" s="20"/>
      <c r="AC193" s="20"/>
      <c r="AD193" s="20"/>
    </row>
    <row r="194">
      <c r="A194" s="8">
        <v>41202.0</v>
      </c>
      <c r="B194" s="9" t="s">
        <v>208</v>
      </c>
      <c r="C194" s="8">
        <v>632.0</v>
      </c>
      <c r="D194" s="8">
        <v>228.2222280204296</v>
      </c>
      <c r="E194" s="8">
        <v>2854.0</v>
      </c>
      <c r="F194" s="18">
        <f t="shared" si="1"/>
        <v>0.2214435879</v>
      </c>
      <c r="G194" s="18">
        <f t="shared" si="2"/>
        <v>0.3611111203</v>
      </c>
      <c r="H194" s="18">
        <f t="shared" si="3"/>
        <v>0.07996574212</v>
      </c>
      <c r="I194" s="8">
        <v>36.0</v>
      </c>
      <c r="J194" s="8">
        <v>12.333333671092987</v>
      </c>
      <c r="K194" s="8">
        <v>196.0</v>
      </c>
      <c r="L194" s="18">
        <f t="shared" si="4"/>
        <v>0.1836734694</v>
      </c>
      <c r="M194" s="18">
        <f t="shared" si="5"/>
        <v>0.342592602</v>
      </c>
      <c r="N194" s="18">
        <f t="shared" si="6"/>
        <v>0.06292517179</v>
      </c>
      <c r="O194" s="18">
        <f t="shared" si="7"/>
        <v>0.7869016171</v>
      </c>
      <c r="U194" s="20"/>
      <c r="V194" s="20"/>
      <c r="W194" s="20"/>
      <c r="AA194" s="20"/>
      <c r="AB194" s="20"/>
      <c r="AC194" s="20"/>
      <c r="AD194" s="20"/>
    </row>
    <row r="195">
      <c r="A195" s="8">
        <v>41301.0</v>
      </c>
      <c r="B195" s="9" t="s">
        <v>209</v>
      </c>
      <c r="C195" s="8">
        <v>2382.0</v>
      </c>
      <c r="D195" s="8">
        <v>885.7778000831604</v>
      </c>
      <c r="E195" s="8">
        <v>6378.0</v>
      </c>
      <c r="F195" s="18">
        <f t="shared" si="1"/>
        <v>0.3734713076</v>
      </c>
      <c r="G195" s="18">
        <f t="shared" si="2"/>
        <v>0.3718630563</v>
      </c>
      <c r="H195" s="18">
        <f t="shared" si="3"/>
        <v>0.1388801819</v>
      </c>
      <c r="I195" s="8">
        <v>65.0</v>
      </c>
      <c r="J195" s="8">
        <v>24.111111670732498</v>
      </c>
      <c r="K195" s="8">
        <v>246.0</v>
      </c>
      <c r="L195" s="18">
        <f t="shared" si="4"/>
        <v>0.2642276423</v>
      </c>
      <c r="M195" s="18">
        <f t="shared" si="5"/>
        <v>0.3709401795</v>
      </c>
      <c r="N195" s="18">
        <f t="shared" si="6"/>
        <v>0.09801264907</v>
      </c>
      <c r="O195" s="18">
        <f t="shared" si="7"/>
        <v>0.7057353161</v>
      </c>
      <c r="U195" s="20"/>
      <c r="V195" s="20"/>
      <c r="W195" s="20"/>
      <c r="AA195" s="20"/>
      <c r="AB195" s="20"/>
      <c r="AC195" s="20"/>
      <c r="AD195" s="20"/>
    </row>
    <row r="196">
      <c r="A196" s="8">
        <v>41401.0</v>
      </c>
      <c r="B196" s="9" t="s">
        <v>210</v>
      </c>
      <c r="C196" s="8">
        <v>2159.0</v>
      </c>
      <c r="D196" s="8">
        <v>816.4444646239281</v>
      </c>
      <c r="E196" s="8">
        <v>10567.0</v>
      </c>
      <c r="F196" s="18">
        <f t="shared" si="1"/>
        <v>0.2043153213</v>
      </c>
      <c r="G196" s="18">
        <f t="shared" si="2"/>
        <v>0.3781586219</v>
      </c>
      <c r="H196" s="18">
        <f t="shared" si="3"/>
        <v>0.07726360032</v>
      </c>
      <c r="I196" s="8">
        <v>372.0</v>
      </c>
      <c r="J196" s="8">
        <v>136.7777807712555</v>
      </c>
      <c r="K196" s="8">
        <v>2896.0</v>
      </c>
      <c r="L196" s="18">
        <f t="shared" si="4"/>
        <v>0.1284530387</v>
      </c>
      <c r="M196" s="18">
        <f t="shared" si="5"/>
        <v>0.3676822064</v>
      </c>
      <c r="N196" s="18">
        <f t="shared" si="6"/>
        <v>0.04722989668</v>
      </c>
      <c r="O196" s="18">
        <f t="shared" si="7"/>
        <v>0.6112826283</v>
      </c>
      <c r="U196" s="20"/>
      <c r="V196" s="20"/>
      <c r="W196" s="20"/>
      <c r="AA196" s="20"/>
      <c r="AB196" s="20"/>
      <c r="AC196" s="20"/>
      <c r="AD196" s="20"/>
    </row>
    <row r="197">
      <c r="A197" s="8">
        <v>41501.0</v>
      </c>
      <c r="B197" s="9" t="s">
        <v>211</v>
      </c>
      <c r="C197" s="8">
        <v>363.0</v>
      </c>
      <c r="D197" s="8">
        <v>144.22222596406937</v>
      </c>
      <c r="E197" s="8">
        <v>1083.0</v>
      </c>
      <c r="F197" s="18">
        <f t="shared" si="1"/>
        <v>0.3351800554</v>
      </c>
      <c r="G197" s="18">
        <f t="shared" si="2"/>
        <v>0.3973064076</v>
      </c>
      <c r="H197" s="18">
        <f t="shared" si="3"/>
        <v>0.1331691837</v>
      </c>
      <c r="I197" s="8">
        <v>34.0</v>
      </c>
      <c r="J197" s="8">
        <v>13.888889282941818</v>
      </c>
      <c r="K197" s="8">
        <v>176.0</v>
      </c>
      <c r="L197" s="18">
        <f t="shared" si="4"/>
        <v>0.1931818182</v>
      </c>
      <c r="M197" s="18">
        <f t="shared" si="5"/>
        <v>0.4084967436</v>
      </c>
      <c r="N197" s="18">
        <f t="shared" si="6"/>
        <v>0.07891414365</v>
      </c>
      <c r="O197" s="18">
        <f t="shared" si="7"/>
        <v>0.5925856227</v>
      </c>
      <c r="U197" s="20"/>
      <c r="V197" s="20"/>
      <c r="W197" s="20"/>
      <c r="AA197" s="20"/>
      <c r="AB197" s="20"/>
      <c r="AC197" s="20"/>
      <c r="AD197" s="20"/>
    </row>
    <row r="198">
      <c r="A198" s="8">
        <v>41502.0</v>
      </c>
      <c r="B198" s="9" t="s">
        <v>212</v>
      </c>
      <c r="C198" s="8">
        <v>88.0</v>
      </c>
      <c r="D198" s="8">
        <v>31.555556297302246</v>
      </c>
      <c r="E198" s="8">
        <v>777.0</v>
      </c>
      <c r="F198" s="18">
        <f t="shared" si="1"/>
        <v>0.1132561133</v>
      </c>
      <c r="G198" s="18">
        <f t="shared" si="2"/>
        <v>0.358585867</v>
      </c>
      <c r="H198" s="18">
        <f t="shared" si="3"/>
        <v>0.04061204157</v>
      </c>
      <c r="I198" s="8">
        <v>57.0</v>
      </c>
      <c r="J198" s="8">
        <v>21.5555559694767</v>
      </c>
      <c r="K198" s="8">
        <v>300.0</v>
      </c>
      <c r="L198" s="18">
        <f t="shared" si="4"/>
        <v>0.19</v>
      </c>
      <c r="M198" s="18">
        <f t="shared" si="5"/>
        <v>0.3781676486</v>
      </c>
      <c r="N198" s="18">
        <f t="shared" si="6"/>
        <v>0.07185185323</v>
      </c>
      <c r="O198" s="18">
        <f t="shared" si="7"/>
        <v>1.769225344</v>
      </c>
      <c r="U198" s="20"/>
      <c r="V198" s="20"/>
      <c r="W198" s="20"/>
      <c r="AA198" s="20"/>
      <c r="AB198" s="20"/>
      <c r="AC198" s="20"/>
      <c r="AD198" s="20"/>
    </row>
    <row r="199">
      <c r="A199" s="8">
        <v>41503.0</v>
      </c>
      <c r="B199" s="9" t="s">
        <v>213</v>
      </c>
      <c r="C199" s="8">
        <v>99.0</v>
      </c>
      <c r="D199" s="8">
        <v>35.88888970017433</v>
      </c>
      <c r="E199" s="8">
        <v>588.0</v>
      </c>
      <c r="F199" s="18">
        <f t="shared" si="1"/>
        <v>0.1683673469</v>
      </c>
      <c r="G199" s="18">
        <f t="shared" si="2"/>
        <v>0.3625140374</v>
      </c>
      <c r="H199" s="18">
        <f t="shared" si="3"/>
        <v>0.0610355267</v>
      </c>
      <c r="I199" s="8">
        <v>110.0</v>
      </c>
      <c r="J199" s="8">
        <v>41.00000098347664</v>
      </c>
      <c r="K199" s="8">
        <v>531.0</v>
      </c>
      <c r="L199" s="18">
        <f t="shared" si="4"/>
        <v>0.2071563089</v>
      </c>
      <c r="M199" s="18">
        <f t="shared" si="5"/>
        <v>0.3727272817</v>
      </c>
      <c r="N199" s="18">
        <f t="shared" si="6"/>
        <v>0.07721280788</v>
      </c>
      <c r="O199" s="18">
        <f t="shared" si="7"/>
        <v>1.265046966</v>
      </c>
      <c r="U199" s="20"/>
      <c r="V199" s="20"/>
      <c r="W199" s="20"/>
      <c r="AA199" s="20"/>
      <c r="AB199" s="20"/>
      <c r="AC199" s="20"/>
      <c r="AD199" s="20"/>
    </row>
    <row r="200">
      <c r="A200" s="8">
        <v>41601.0</v>
      </c>
      <c r="B200" s="9" t="s">
        <v>214</v>
      </c>
      <c r="C200" s="8">
        <v>1763.0</v>
      </c>
      <c r="D200" s="8">
        <v>644.666682779789</v>
      </c>
      <c r="E200" s="8">
        <v>5598.0</v>
      </c>
      <c r="F200" s="18">
        <f t="shared" si="1"/>
        <v>0.314933905</v>
      </c>
      <c r="G200" s="18">
        <f t="shared" si="2"/>
        <v>0.365664596</v>
      </c>
      <c r="H200" s="18">
        <f t="shared" si="3"/>
        <v>0.1151601791</v>
      </c>
      <c r="I200" s="8">
        <v>120.0</v>
      </c>
      <c r="J200" s="8">
        <v>42.000001072883606</v>
      </c>
      <c r="K200" s="8">
        <v>384.0</v>
      </c>
      <c r="L200" s="18">
        <f t="shared" si="4"/>
        <v>0.3125</v>
      </c>
      <c r="M200" s="18">
        <f t="shared" si="5"/>
        <v>0.3500000089</v>
      </c>
      <c r="N200" s="18">
        <f t="shared" si="6"/>
        <v>0.1093750028</v>
      </c>
      <c r="O200" s="18">
        <f t="shared" si="7"/>
        <v>0.9497640905</v>
      </c>
      <c r="U200" s="20"/>
      <c r="V200" s="20"/>
      <c r="W200" s="20"/>
      <c r="AA200" s="20"/>
      <c r="AB200" s="20"/>
      <c r="AC200" s="20"/>
      <c r="AD200" s="20"/>
    </row>
    <row r="201">
      <c r="A201" s="8">
        <v>50101.0</v>
      </c>
      <c r="B201" s="9" t="s">
        <v>215</v>
      </c>
      <c r="C201" s="8">
        <v>5523.0</v>
      </c>
      <c r="D201" s="8">
        <v>2016.7778292000294</v>
      </c>
      <c r="E201" s="8">
        <v>92140.0</v>
      </c>
      <c r="F201" s="18">
        <f t="shared" si="1"/>
        <v>0.05994139353</v>
      </c>
      <c r="G201" s="18">
        <f t="shared" si="2"/>
        <v>0.365159846</v>
      </c>
      <c r="H201" s="18">
        <f t="shared" si="3"/>
        <v>0.02188819003</v>
      </c>
      <c r="I201" s="8">
        <v>1803.0</v>
      </c>
      <c r="J201" s="8">
        <v>657.2222392559052</v>
      </c>
      <c r="K201" s="8">
        <v>121871.0</v>
      </c>
      <c r="L201" s="18">
        <f t="shared" si="4"/>
        <v>0.01479433171</v>
      </c>
      <c r="M201" s="18">
        <f t="shared" si="5"/>
        <v>0.3645159397</v>
      </c>
      <c r="N201" s="18">
        <f t="shared" si="6"/>
        <v>0.005392769726</v>
      </c>
      <c r="O201" s="18">
        <f t="shared" si="7"/>
        <v>0.2463780568</v>
      </c>
      <c r="U201" s="20"/>
      <c r="V201" s="20"/>
      <c r="W201" s="20"/>
      <c r="AA201" s="20"/>
      <c r="AB201" s="20"/>
      <c r="AC201" s="20"/>
      <c r="AD201" s="20"/>
    </row>
    <row r="202">
      <c r="A202" s="8">
        <v>50102.0</v>
      </c>
      <c r="B202" s="9" t="s">
        <v>216</v>
      </c>
      <c r="C202" s="8">
        <v>9591.0</v>
      </c>
      <c r="D202" s="8">
        <v>3724.7778708338737</v>
      </c>
      <c r="E202" s="8">
        <v>27424.0</v>
      </c>
      <c r="F202" s="18">
        <f t="shared" si="1"/>
        <v>0.3497301634</v>
      </c>
      <c r="G202" s="18">
        <f t="shared" si="2"/>
        <v>0.3883617841</v>
      </c>
      <c r="H202" s="18">
        <f t="shared" si="3"/>
        <v>0.1358218302</v>
      </c>
      <c r="I202" s="8">
        <v>408.0</v>
      </c>
      <c r="J202" s="8">
        <v>153.66667050123215</v>
      </c>
      <c r="K202" s="8">
        <v>1460.0</v>
      </c>
      <c r="L202" s="18">
        <f t="shared" si="4"/>
        <v>0.2794520548</v>
      </c>
      <c r="M202" s="18">
        <f t="shared" si="5"/>
        <v>0.3766339963</v>
      </c>
      <c r="N202" s="18">
        <f t="shared" si="6"/>
        <v>0.1052511442</v>
      </c>
      <c r="O202" s="18">
        <f t="shared" si="7"/>
        <v>0.7749206739</v>
      </c>
      <c r="U202" s="20"/>
      <c r="V202" s="20"/>
      <c r="W202" s="20"/>
      <c r="AA202" s="20"/>
      <c r="AB202" s="20"/>
      <c r="AC202" s="20"/>
      <c r="AD202" s="20"/>
    </row>
    <row r="203">
      <c r="A203" s="8">
        <v>50103.0</v>
      </c>
      <c r="B203" s="9" t="s">
        <v>217</v>
      </c>
      <c r="C203" s="8">
        <v>959.0</v>
      </c>
      <c r="D203" s="8">
        <v>344.66667529940605</v>
      </c>
      <c r="E203" s="8">
        <v>10331.0</v>
      </c>
      <c r="F203" s="18">
        <f t="shared" si="1"/>
        <v>0.09282741264</v>
      </c>
      <c r="G203" s="18">
        <f t="shared" si="2"/>
        <v>0.359402164</v>
      </c>
      <c r="H203" s="18">
        <f t="shared" si="3"/>
        <v>0.03336237298</v>
      </c>
      <c r="I203" s="8">
        <v>90.0</v>
      </c>
      <c r="J203" s="8">
        <v>31.55555635690689</v>
      </c>
      <c r="K203" s="8">
        <v>1821.0</v>
      </c>
      <c r="L203" s="18">
        <f t="shared" si="4"/>
        <v>0.04942339374</v>
      </c>
      <c r="M203" s="18">
        <f t="shared" si="5"/>
        <v>0.3506172929</v>
      </c>
      <c r="N203" s="18">
        <f t="shared" si="6"/>
        <v>0.01732869652</v>
      </c>
      <c r="O203" s="18">
        <f t="shared" si="7"/>
        <v>0.5194083924</v>
      </c>
      <c r="U203" s="20"/>
      <c r="V203" s="20"/>
      <c r="W203" s="20"/>
      <c r="AA203" s="20"/>
      <c r="AB203" s="20"/>
      <c r="AC203" s="20"/>
      <c r="AD203" s="20"/>
    </row>
    <row r="204">
      <c r="A204" s="8">
        <v>50104.0</v>
      </c>
      <c r="B204" s="9" t="s">
        <v>218</v>
      </c>
      <c r="C204" s="8">
        <v>1108.0</v>
      </c>
      <c r="D204" s="8">
        <v>417.44445449113846</v>
      </c>
      <c r="E204" s="8">
        <v>2955.0</v>
      </c>
      <c r="F204" s="18">
        <f t="shared" si="1"/>
        <v>0.3749576988</v>
      </c>
      <c r="G204" s="18">
        <f t="shared" si="2"/>
        <v>0.3767549228</v>
      </c>
      <c r="H204" s="18">
        <f t="shared" si="3"/>
        <v>0.1412671589</v>
      </c>
      <c r="I204" s="8">
        <v>32.0</v>
      </c>
      <c r="J204" s="8">
        <v>11.22222250699997</v>
      </c>
      <c r="K204" s="8">
        <v>162.0</v>
      </c>
      <c r="L204" s="18">
        <f t="shared" si="4"/>
        <v>0.1975308642</v>
      </c>
      <c r="M204" s="18">
        <f t="shared" si="5"/>
        <v>0.3506944533</v>
      </c>
      <c r="N204" s="18">
        <f t="shared" si="6"/>
        <v>0.06927297844</v>
      </c>
      <c r="O204" s="18">
        <f t="shared" si="7"/>
        <v>0.4903685965</v>
      </c>
      <c r="U204" s="20"/>
      <c r="V204" s="20"/>
      <c r="W204" s="20"/>
      <c r="AA204" s="20"/>
      <c r="AB204" s="20"/>
      <c r="AC204" s="20"/>
      <c r="AD204" s="20"/>
    </row>
    <row r="205">
      <c r="A205" s="8">
        <v>50201.0</v>
      </c>
      <c r="B205" s="9" t="s">
        <v>219</v>
      </c>
      <c r="C205" s="8">
        <v>3380.0</v>
      </c>
      <c r="D205" s="8">
        <v>1255.222253024578</v>
      </c>
      <c r="E205" s="8">
        <v>18026.0</v>
      </c>
      <c r="F205" s="18">
        <f t="shared" si="1"/>
        <v>0.1875069344</v>
      </c>
      <c r="G205" s="18">
        <f t="shared" si="2"/>
        <v>0.3713675305</v>
      </c>
      <c r="H205" s="18">
        <f t="shared" si="3"/>
        <v>0.06963398719</v>
      </c>
      <c r="I205" s="8">
        <v>236.0</v>
      </c>
      <c r="J205" s="8">
        <v>85.44444662332535</v>
      </c>
      <c r="K205" s="8">
        <v>4103.0</v>
      </c>
      <c r="L205" s="18">
        <f t="shared" si="4"/>
        <v>0.05751888862</v>
      </c>
      <c r="M205" s="18">
        <f t="shared" si="5"/>
        <v>0.3620527399</v>
      </c>
      <c r="N205" s="18">
        <f t="shared" si="6"/>
        <v>0.02082487122</v>
      </c>
      <c r="O205" s="18">
        <f t="shared" si="7"/>
        <v>0.2990618815</v>
      </c>
      <c r="U205" s="20"/>
      <c r="V205" s="20"/>
      <c r="W205" s="20"/>
      <c r="AA205" s="20"/>
      <c r="AB205" s="20"/>
      <c r="AC205" s="20"/>
      <c r="AD205" s="20"/>
    </row>
    <row r="206">
      <c r="A206" s="8">
        <v>50202.0</v>
      </c>
      <c r="B206" s="9" t="s">
        <v>220</v>
      </c>
      <c r="C206" s="8">
        <v>1954.0</v>
      </c>
      <c r="D206" s="8">
        <v>723.4444626271725</v>
      </c>
      <c r="E206" s="8">
        <v>13753.0</v>
      </c>
      <c r="F206" s="18">
        <f t="shared" si="1"/>
        <v>0.1420780921</v>
      </c>
      <c r="G206" s="18">
        <f t="shared" si="2"/>
        <v>0.3702376984</v>
      </c>
      <c r="H206" s="18">
        <f t="shared" si="3"/>
        <v>0.05260266579</v>
      </c>
      <c r="I206" s="8">
        <v>235.0</v>
      </c>
      <c r="J206" s="8">
        <v>90.00000229477882</v>
      </c>
      <c r="K206" s="8">
        <v>1887.0</v>
      </c>
      <c r="L206" s="18">
        <f t="shared" si="4"/>
        <v>0.124536301</v>
      </c>
      <c r="M206" s="18">
        <f t="shared" si="5"/>
        <v>0.3829787332</v>
      </c>
      <c r="N206" s="18">
        <f t="shared" si="6"/>
        <v>0.04769475479</v>
      </c>
      <c r="O206" s="18">
        <f t="shared" si="7"/>
        <v>0.9066984358</v>
      </c>
      <c r="U206" s="20"/>
      <c r="V206" s="20"/>
      <c r="W206" s="20"/>
      <c r="AA206" s="20"/>
      <c r="AB206" s="20"/>
      <c r="AC206" s="20"/>
      <c r="AD206" s="20"/>
    </row>
    <row r="207">
      <c r="A207" s="8">
        <v>50203.0</v>
      </c>
      <c r="B207" s="9" t="s">
        <v>221</v>
      </c>
      <c r="C207" s="8">
        <v>2454.0</v>
      </c>
      <c r="D207" s="8">
        <v>915.0000231862068</v>
      </c>
      <c r="E207" s="8">
        <v>27442.0</v>
      </c>
      <c r="F207" s="18">
        <f t="shared" si="1"/>
        <v>0.08942496903</v>
      </c>
      <c r="G207" s="18">
        <f t="shared" si="2"/>
        <v>0.3728606451</v>
      </c>
      <c r="H207" s="18">
        <f t="shared" si="3"/>
        <v>0.03334305164</v>
      </c>
      <c r="I207" s="8">
        <v>390.0</v>
      </c>
      <c r="J207" s="8">
        <v>143.2222257554531</v>
      </c>
      <c r="K207" s="8">
        <v>13612.0</v>
      </c>
      <c r="L207" s="18">
        <f t="shared" si="4"/>
        <v>0.02865119013</v>
      </c>
      <c r="M207" s="18">
        <f t="shared" si="5"/>
        <v>0.3672364763</v>
      </c>
      <c r="N207" s="18">
        <f t="shared" si="6"/>
        <v>0.0105217621</v>
      </c>
      <c r="O207" s="18">
        <f t="shared" si="7"/>
        <v>0.3155608616</v>
      </c>
      <c r="U207" s="20"/>
      <c r="V207" s="20"/>
      <c r="W207" s="20"/>
      <c r="AA207" s="20"/>
      <c r="AB207" s="20"/>
      <c r="AC207" s="20"/>
      <c r="AD207" s="20"/>
    </row>
    <row r="208">
      <c r="A208" s="8">
        <v>50204.0</v>
      </c>
      <c r="B208" s="9" t="s">
        <v>222</v>
      </c>
      <c r="C208" s="8">
        <v>1989.0</v>
      </c>
      <c r="D208" s="8">
        <v>761.0000197291374</v>
      </c>
      <c r="E208" s="8">
        <v>7336.0</v>
      </c>
      <c r="F208" s="18">
        <f t="shared" si="1"/>
        <v>0.2711286805</v>
      </c>
      <c r="G208" s="18">
        <f t="shared" si="2"/>
        <v>0.3826043337</v>
      </c>
      <c r="H208" s="18">
        <f t="shared" si="3"/>
        <v>0.1037350081</v>
      </c>
      <c r="I208" s="8">
        <v>122.0</v>
      </c>
      <c r="J208" s="8">
        <v>42.777778923511505</v>
      </c>
      <c r="K208" s="8">
        <v>867.0</v>
      </c>
      <c r="L208" s="18">
        <f t="shared" si="4"/>
        <v>0.1407151096</v>
      </c>
      <c r="M208" s="18">
        <f t="shared" si="5"/>
        <v>0.3506375322</v>
      </c>
      <c r="N208" s="18">
        <f t="shared" si="6"/>
        <v>0.04933999876</v>
      </c>
      <c r="O208" s="18">
        <f t="shared" si="7"/>
        <v>0.4756349823</v>
      </c>
      <c r="U208" s="20"/>
      <c r="V208" s="20"/>
      <c r="W208" s="20"/>
      <c r="AA208" s="20"/>
      <c r="AB208" s="20"/>
      <c r="AC208" s="20"/>
      <c r="AD208" s="20"/>
    </row>
    <row r="209">
      <c r="A209" s="8">
        <v>50301.0</v>
      </c>
      <c r="B209" s="9" t="s">
        <v>223</v>
      </c>
      <c r="C209" s="8">
        <v>5533.0</v>
      </c>
      <c r="D209" s="8">
        <v>2104.444497346878</v>
      </c>
      <c r="E209" s="8">
        <v>25951.0</v>
      </c>
      <c r="F209" s="18">
        <f t="shared" si="1"/>
        <v>0.2132095102</v>
      </c>
      <c r="G209" s="18">
        <f t="shared" si="2"/>
        <v>0.380344207</v>
      </c>
      <c r="H209" s="18">
        <f t="shared" si="3"/>
        <v>0.08109300209</v>
      </c>
      <c r="I209" s="8">
        <v>1076.0</v>
      </c>
      <c r="J209" s="8">
        <v>402.22223219275475</v>
      </c>
      <c r="K209" s="8">
        <v>5806.0</v>
      </c>
      <c r="L209" s="18">
        <f t="shared" si="4"/>
        <v>0.1853255253</v>
      </c>
      <c r="M209" s="18">
        <f t="shared" si="5"/>
        <v>0.3738124835</v>
      </c>
      <c r="N209" s="18">
        <f t="shared" si="6"/>
        <v>0.06927699487</v>
      </c>
      <c r="O209" s="18">
        <f t="shared" si="7"/>
        <v>0.8542906672</v>
      </c>
      <c r="U209" s="20"/>
      <c r="V209" s="20"/>
      <c r="W209" s="20"/>
      <c r="AA209" s="20"/>
      <c r="AB209" s="20"/>
      <c r="AC209" s="20"/>
      <c r="AD209" s="20"/>
    </row>
    <row r="210">
      <c r="A210" s="8">
        <v>50302.0</v>
      </c>
      <c r="B210" s="9" t="s">
        <v>224</v>
      </c>
      <c r="C210" s="8">
        <v>1599.0</v>
      </c>
      <c r="D210" s="8">
        <v>605.0000143647194</v>
      </c>
      <c r="E210" s="8">
        <v>7891.0</v>
      </c>
      <c r="F210" s="18">
        <f t="shared" si="1"/>
        <v>0.2026359143</v>
      </c>
      <c r="G210" s="18">
        <f t="shared" si="2"/>
        <v>0.3783614849</v>
      </c>
      <c r="H210" s="18">
        <f t="shared" si="3"/>
        <v>0.07666962544</v>
      </c>
      <c r="I210" s="8">
        <v>195.0</v>
      </c>
      <c r="J210" s="8">
        <v>72.33333495259285</v>
      </c>
      <c r="K210" s="8">
        <v>1303.0</v>
      </c>
      <c r="L210" s="18">
        <f t="shared" si="4"/>
        <v>0.1496546431</v>
      </c>
      <c r="M210" s="18">
        <f t="shared" si="5"/>
        <v>0.3709401792</v>
      </c>
      <c r="N210" s="18">
        <f t="shared" si="6"/>
        <v>0.05551292015</v>
      </c>
      <c r="O210" s="18">
        <f t="shared" si="7"/>
        <v>0.7240536239</v>
      </c>
      <c r="U210" s="20"/>
      <c r="V210" s="20"/>
      <c r="W210" s="20"/>
      <c r="AA210" s="20"/>
      <c r="AB210" s="20"/>
      <c r="AC210" s="20"/>
      <c r="AD210" s="20"/>
    </row>
    <row r="211">
      <c r="A211" s="8">
        <v>50303.0</v>
      </c>
      <c r="B211" s="9" t="s">
        <v>225</v>
      </c>
      <c r="C211" s="8">
        <v>5851.0</v>
      </c>
      <c r="D211" s="8">
        <v>2285.000057965517</v>
      </c>
      <c r="E211" s="8">
        <v>13128.0</v>
      </c>
      <c r="F211" s="18">
        <f t="shared" si="1"/>
        <v>0.4456886045</v>
      </c>
      <c r="G211" s="18">
        <f t="shared" si="2"/>
        <v>0.390531543</v>
      </c>
      <c r="H211" s="18">
        <f t="shared" si="3"/>
        <v>0.1740554584</v>
      </c>
      <c r="I211" s="8">
        <v>440.0</v>
      </c>
      <c r="J211" s="8">
        <v>166.77778205275536</v>
      </c>
      <c r="K211" s="8">
        <v>1189.0</v>
      </c>
      <c r="L211" s="18">
        <f t="shared" si="4"/>
        <v>0.370058873</v>
      </c>
      <c r="M211" s="18">
        <f t="shared" si="5"/>
        <v>0.3790404138</v>
      </c>
      <c r="N211" s="18">
        <f t="shared" si="6"/>
        <v>0.1402672683</v>
      </c>
      <c r="O211" s="18">
        <f t="shared" si="7"/>
        <v>0.8058768718</v>
      </c>
      <c r="U211" s="20"/>
      <c r="V211" s="20"/>
      <c r="W211" s="20"/>
      <c r="AA211" s="20"/>
      <c r="AB211" s="20"/>
      <c r="AC211" s="20"/>
      <c r="AD211" s="20"/>
    </row>
    <row r="212">
      <c r="A212" s="8">
        <v>50401.0</v>
      </c>
      <c r="B212" s="9" t="s">
        <v>226</v>
      </c>
      <c r="C212" s="8">
        <v>4961.0</v>
      </c>
      <c r="D212" s="8">
        <v>1995.1111606359482</v>
      </c>
      <c r="E212" s="8">
        <v>13302.0</v>
      </c>
      <c r="F212" s="18">
        <f t="shared" si="1"/>
        <v>0.3729514359</v>
      </c>
      <c r="G212" s="18">
        <f t="shared" si="2"/>
        <v>0.4021590729</v>
      </c>
      <c r="H212" s="18">
        <f t="shared" si="3"/>
        <v>0.1499858037</v>
      </c>
      <c r="I212" s="8">
        <v>452.0</v>
      </c>
      <c r="J212" s="8">
        <v>174.77778214216232</v>
      </c>
      <c r="K212" s="8">
        <v>2693.0</v>
      </c>
      <c r="L212" s="18">
        <f t="shared" si="4"/>
        <v>0.1678425548</v>
      </c>
      <c r="M212" s="18">
        <f t="shared" si="5"/>
        <v>0.3866765092</v>
      </c>
      <c r="N212" s="18">
        <f t="shared" si="6"/>
        <v>0.06490077317</v>
      </c>
      <c r="O212" s="18">
        <f t="shared" si="7"/>
        <v>0.432712774</v>
      </c>
      <c r="U212" s="20"/>
      <c r="V212" s="20"/>
      <c r="W212" s="20"/>
      <c r="AA212" s="20"/>
      <c r="AB212" s="20"/>
      <c r="AC212" s="20"/>
      <c r="AD212" s="20"/>
    </row>
    <row r="213">
      <c r="A213" s="8">
        <v>50402.0</v>
      </c>
      <c r="B213" s="9" t="s">
        <v>227</v>
      </c>
      <c r="C213" s="8">
        <v>5417.0</v>
      </c>
      <c r="D213" s="8">
        <v>2167.111166000366</v>
      </c>
      <c r="E213" s="8">
        <v>14746.0</v>
      </c>
      <c r="F213" s="18">
        <f t="shared" si="1"/>
        <v>0.3673538587</v>
      </c>
      <c r="G213" s="18">
        <f t="shared" si="2"/>
        <v>0.4000574425</v>
      </c>
      <c r="H213" s="18">
        <f t="shared" si="3"/>
        <v>0.1469626452</v>
      </c>
      <c r="I213" s="8">
        <v>636.0</v>
      </c>
      <c r="J213" s="8">
        <v>259.7777846455574</v>
      </c>
      <c r="K213" s="8">
        <v>2077.0</v>
      </c>
      <c r="L213" s="18">
        <f t="shared" si="4"/>
        <v>0.3062108811</v>
      </c>
      <c r="M213" s="18">
        <f t="shared" si="5"/>
        <v>0.4084556362</v>
      </c>
      <c r="N213" s="18">
        <f t="shared" si="6"/>
        <v>0.1250735603</v>
      </c>
      <c r="O213" s="18">
        <f t="shared" si="7"/>
        <v>0.8510568117</v>
      </c>
      <c r="U213" s="20"/>
      <c r="V213" s="20"/>
      <c r="W213" s="20"/>
      <c r="AA213" s="20"/>
      <c r="AB213" s="20"/>
      <c r="AC213" s="20"/>
      <c r="AD213" s="20"/>
    </row>
    <row r="214">
      <c r="A214" s="8">
        <v>50403.0</v>
      </c>
      <c r="B214" s="9" t="s">
        <v>228</v>
      </c>
      <c r="C214" s="8">
        <v>8621.0</v>
      </c>
      <c r="D214" s="8">
        <v>3289.0000836253166</v>
      </c>
      <c r="E214" s="8">
        <v>29448.0</v>
      </c>
      <c r="F214" s="18">
        <f t="shared" si="1"/>
        <v>0.2927533279</v>
      </c>
      <c r="G214" s="18">
        <f t="shared" si="2"/>
        <v>0.3815102753</v>
      </c>
      <c r="H214" s="18">
        <f t="shared" si="3"/>
        <v>0.1116884027</v>
      </c>
      <c r="I214" s="8">
        <v>804.0</v>
      </c>
      <c r="J214" s="8">
        <v>305.22222977876663</v>
      </c>
      <c r="K214" s="8">
        <v>3102.0</v>
      </c>
      <c r="L214" s="18">
        <f t="shared" si="4"/>
        <v>0.2591876209</v>
      </c>
      <c r="M214" s="18">
        <f t="shared" si="5"/>
        <v>0.379629639</v>
      </c>
      <c r="N214" s="18">
        <f t="shared" si="6"/>
        <v>0.09839530296</v>
      </c>
      <c r="O214" s="18">
        <f t="shared" si="7"/>
        <v>0.8809804828</v>
      </c>
      <c r="U214" s="20"/>
      <c r="V214" s="20"/>
      <c r="W214" s="20"/>
      <c r="AA214" s="20"/>
      <c r="AB214" s="20"/>
      <c r="AC214" s="20"/>
      <c r="AD214" s="20"/>
    </row>
    <row r="215">
      <c r="A215" s="8">
        <v>50404.0</v>
      </c>
      <c r="B215" s="9" t="s">
        <v>229</v>
      </c>
      <c r="C215" s="8">
        <v>4981.0</v>
      </c>
      <c r="D215" s="8">
        <v>1927.3333816230297</v>
      </c>
      <c r="E215" s="8">
        <v>12529.0</v>
      </c>
      <c r="F215" s="18">
        <f t="shared" si="1"/>
        <v>0.3975576662</v>
      </c>
      <c r="G215" s="18">
        <f t="shared" si="2"/>
        <v>0.3869370371</v>
      </c>
      <c r="H215" s="18">
        <f t="shared" si="3"/>
        <v>0.1538297854</v>
      </c>
      <c r="I215" s="8">
        <v>655.0</v>
      </c>
      <c r="J215" s="8">
        <v>258.5555626451969</v>
      </c>
      <c r="K215" s="8">
        <v>1931.0</v>
      </c>
      <c r="L215" s="18">
        <f t="shared" si="4"/>
        <v>0.3392024858</v>
      </c>
      <c r="M215" s="18">
        <f t="shared" si="5"/>
        <v>0.394741317</v>
      </c>
      <c r="N215" s="18">
        <f t="shared" si="6"/>
        <v>0.133897236</v>
      </c>
      <c r="O215" s="18">
        <f t="shared" si="7"/>
        <v>0.8704246423</v>
      </c>
      <c r="U215" s="20"/>
      <c r="V215" s="20"/>
      <c r="W215" s="20"/>
      <c r="AA215" s="20"/>
      <c r="AB215" s="20"/>
      <c r="AC215" s="20"/>
      <c r="AD215" s="20"/>
    </row>
    <row r="216">
      <c r="A216" s="8">
        <v>50405.0</v>
      </c>
      <c r="B216" s="9" t="s">
        <v>230</v>
      </c>
      <c r="C216" s="8">
        <v>6130.0</v>
      </c>
      <c r="D216" s="8">
        <v>2346.2222797870636</v>
      </c>
      <c r="E216" s="8">
        <v>19019.0</v>
      </c>
      <c r="F216" s="18">
        <f t="shared" si="1"/>
        <v>0.3223092697</v>
      </c>
      <c r="G216" s="18">
        <f t="shared" si="2"/>
        <v>0.3827442545</v>
      </c>
      <c r="H216" s="18">
        <f t="shared" si="3"/>
        <v>0.1233620211</v>
      </c>
      <c r="I216" s="8">
        <v>602.0</v>
      </c>
      <c r="J216" s="8">
        <v>236.0000061392784</v>
      </c>
      <c r="K216" s="8">
        <v>1966.0</v>
      </c>
      <c r="L216" s="18">
        <f t="shared" si="4"/>
        <v>0.3062054934</v>
      </c>
      <c r="M216" s="18">
        <f t="shared" si="5"/>
        <v>0.3920265883</v>
      </c>
      <c r="N216" s="18">
        <f t="shared" si="6"/>
        <v>0.1200406949</v>
      </c>
      <c r="O216" s="18">
        <f t="shared" si="7"/>
        <v>0.9730765902</v>
      </c>
      <c r="U216" s="20"/>
      <c r="V216" s="20"/>
      <c r="W216" s="20"/>
      <c r="AA216" s="20"/>
      <c r="AB216" s="20"/>
      <c r="AC216" s="20"/>
      <c r="AD216" s="20"/>
    </row>
    <row r="217">
      <c r="A217" s="8">
        <v>50501.0</v>
      </c>
      <c r="B217" s="9" t="s">
        <v>231</v>
      </c>
      <c r="C217" s="8">
        <v>13615.0</v>
      </c>
      <c r="D217" s="8">
        <v>5704.33347967267</v>
      </c>
      <c r="E217" s="8">
        <v>26383.0</v>
      </c>
      <c r="F217" s="18">
        <f t="shared" si="1"/>
        <v>0.5160520032</v>
      </c>
      <c r="G217" s="18">
        <f t="shared" si="2"/>
        <v>0.4189741814</v>
      </c>
      <c r="H217" s="18">
        <f t="shared" si="3"/>
        <v>0.2162124656</v>
      </c>
      <c r="I217" s="8">
        <v>786.0</v>
      </c>
      <c r="J217" s="8">
        <v>326.33334174752235</v>
      </c>
      <c r="K217" s="8">
        <v>1964.0</v>
      </c>
      <c r="L217" s="18">
        <f t="shared" si="4"/>
        <v>0.400203666</v>
      </c>
      <c r="M217" s="18">
        <f t="shared" si="5"/>
        <v>0.4151823686</v>
      </c>
      <c r="N217" s="18">
        <f t="shared" si="6"/>
        <v>0.166157506</v>
      </c>
      <c r="O217" s="18">
        <f t="shared" si="7"/>
        <v>0.7684917959</v>
      </c>
      <c r="U217" s="20"/>
      <c r="V217" s="20"/>
      <c r="W217" s="20"/>
      <c r="AA217" s="20"/>
      <c r="AB217" s="20"/>
      <c r="AC217" s="20"/>
      <c r="AD217" s="20"/>
    </row>
    <row r="218">
      <c r="A218" s="8">
        <v>50502.0</v>
      </c>
      <c r="B218" s="9" t="s">
        <v>232</v>
      </c>
      <c r="C218" s="8">
        <v>3807.0</v>
      </c>
      <c r="D218" s="8">
        <v>1549.3333713412285</v>
      </c>
      <c r="E218" s="8">
        <v>9130.0</v>
      </c>
      <c r="F218" s="18">
        <f t="shared" si="1"/>
        <v>0.4169769989</v>
      </c>
      <c r="G218" s="18">
        <f t="shared" si="2"/>
        <v>0.4069696274</v>
      </c>
      <c r="H218" s="18">
        <f t="shared" si="3"/>
        <v>0.1696969739</v>
      </c>
      <c r="I218" s="8">
        <v>580.0</v>
      </c>
      <c r="J218" s="8">
        <v>231.6666725575924</v>
      </c>
      <c r="K218" s="8">
        <v>1491.0</v>
      </c>
      <c r="L218" s="18">
        <f t="shared" si="4"/>
        <v>0.3890006707</v>
      </c>
      <c r="M218" s="18">
        <f t="shared" si="5"/>
        <v>0.3994252975</v>
      </c>
      <c r="N218" s="18">
        <f t="shared" si="6"/>
        <v>0.1553767086</v>
      </c>
      <c r="O218" s="18">
        <f t="shared" si="7"/>
        <v>0.9156127248</v>
      </c>
      <c r="U218" s="20"/>
      <c r="V218" s="20"/>
      <c r="W218" s="20"/>
      <c r="AA218" s="20"/>
      <c r="AB218" s="20"/>
      <c r="AC218" s="20"/>
      <c r="AD218" s="20"/>
    </row>
    <row r="219">
      <c r="A219" s="8">
        <v>50601.0</v>
      </c>
      <c r="B219" s="9" t="s">
        <v>233</v>
      </c>
      <c r="C219" s="8">
        <v>5158.0</v>
      </c>
      <c r="D219" s="8">
        <v>1972.2222724854946</v>
      </c>
      <c r="E219" s="8">
        <v>24386.0</v>
      </c>
      <c r="F219" s="18">
        <f t="shared" si="1"/>
        <v>0.2115148036</v>
      </c>
      <c r="G219" s="18">
        <f t="shared" si="2"/>
        <v>0.382361821</v>
      </c>
      <c r="H219" s="18">
        <f t="shared" si="3"/>
        <v>0.08087518545</v>
      </c>
      <c r="I219" s="8">
        <v>476.0</v>
      </c>
      <c r="J219" s="8">
        <v>175.00000435113907</v>
      </c>
      <c r="K219" s="8">
        <v>4728.0</v>
      </c>
      <c r="L219" s="18">
        <f t="shared" si="4"/>
        <v>0.100676819</v>
      </c>
      <c r="M219" s="18">
        <f t="shared" si="5"/>
        <v>0.367647068</v>
      </c>
      <c r="N219" s="18">
        <f t="shared" si="6"/>
        <v>0.0370135373</v>
      </c>
      <c r="O219" s="18">
        <f t="shared" si="7"/>
        <v>0.457662472</v>
      </c>
      <c r="U219" s="20"/>
      <c r="V219" s="20"/>
      <c r="W219" s="20"/>
      <c r="AA219" s="20"/>
      <c r="AB219" s="20"/>
      <c r="AC219" s="20"/>
      <c r="AD219" s="20"/>
    </row>
    <row r="220">
      <c r="A220" s="8">
        <v>50602.0</v>
      </c>
      <c r="B220" s="9" t="s">
        <v>234</v>
      </c>
      <c r="C220" s="8">
        <v>1416.0</v>
      </c>
      <c r="D220" s="8">
        <v>528.777790427208</v>
      </c>
      <c r="E220" s="8">
        <v>9093.0</v>
      </c>
      <c r="F220" s="18">
        <f t="shared" si="1"/>
        <v>0.1557241834</v>
      </c>
      <c r="G220" s="18">
        <f t="shared" si="2"/>
        <v>0.373430643</v>
      </c>
      <c r="H220" s="18">
        <f t="shared" si="3"/>
        <v>0.05815218195</v>
      </c>
      <c r="I220" s="8">
        <v>159.0</v>
      </c>
      <c r="J220" s="8">
        <v>57.66666802763939</v>
      </c>
      <c r="K220" s="8">
        <v>990.0</v>
      </c>
      <c r="L220" s="18">
        <f t="shared" si="4"/>
        <v>0.1606060606</v>
      </c>
      <c r="M220" s="18">
        <f t="shared" si="5"/>
        <v>0.3626834467</v>
      </c>
      <c r="N220" s="18">
        <f t="shared" si="6"/>
        <v>0.05824915962</v>
      </c>
      <c r="O220" s="18">
        <f t="shared" si="7"/>
        <v>1.001667653</v>
      </c>
      <c r="U220" s="20"/>
      <c r="V220" s="20"/>
      <c r="W220" s="20"/>
      <c r="AA220" s="20"/>
      <c r="AB220" s="20"/>
      <c r="AC220" s="20"/>
      <c r="AD220" s="20"/>
    </row>
    <row r="221">
      <c r="A221" s="8">
        <v>50701.0</v>
      </c>
      <c r="B221" s="9" t="s">
        <v>235</v>
      </c>
      <c r="C221" s="8">
        <v>3857.0</v>
      </c>
      <c r="D221" s="8">
        <v>1453.5555932223797</v>
      </c>
      <c r="E221" s="8">
        <v>14556.0</v>
      </c>
      <c r="F221" s="18">
        <f t="shared" si="1"/>
        <v>0.2649766419</v>
      </c>
      <c r="G221" s="18">
        <f t="shared" si="2"/>
        <v>0.3768617042</v>
      </c>
      <c r="H221" s="18">
        <f t="shared" si="3"/>
        <v>0.09985954886</v>
      </c>
      <c r="I221" s="8">
        <v>550.0</v>
      </c>
      <c r="J221" s="8">
        <v>204.88889423012733</v>
      </c>
      <c r="K221" s="8">
        <v>2616.0</v>
      </c>
      <c r="L221" s="18">
        <f t="shared" si="4"/>
        <v>0.2102446483</v>
      </c>
      <c r="M221" s="18">
        <f t="shared" si="5"/>
        <v>0.3725252622</v>
      </c>
      <c r="N221" s="18">
        <f t="shared" si="6"/>
        <v>0.07832144275</v>
      </c>
      <c r="O221" s="18">
        <f t="shared" si="7"/>
        <v>0.7843160083</v>
      </c>
      <c r="U221" s="20"/>
      <c r="V221" s="20"/>
      <c r="W221" s="20"/>
      <c r="AA221" s="20"/>
      <c r="AB221" s="20"/>
      <c r="AC221" s="20"/>
      <c r="AD221" s="20"/>
    </row>
    <row r="222">
      <c r="A222" s="8">
        <v>50702.0</v>
      </c>
      <c r="B222" s="9" t="s">
        <v>236</v>
      </c>
      <c r="C222" s="8">
        <v>1881.0</v>
      </c>
      <c r="D222" s="8">
        <v>696.5555728375912</v>
      </c>
      <c r="E222" s="8">
        <v>7755.0</v>
      </c>
      <c r="F222" s="18">
        <f t="shared" si="1"/>
        <v>0.2425531915</v>
      </c>
      <c r="G222" s="18">
        <f t="shared" si="2"/>
        <v>0.3703113093</v>
      </c>
      <c r="H222" s="18">
        <f t="shared" si="3"/>
        <v>0.08982018992</v>
      </c>
      <c r="I222" s="8">
        <v>150.0</v>
      </c>
      <c r="J222" s="8">
        <v>55.22222363948822</v>
      </c>
      <c r="K222" s="8">
        <v>684.0</v>
      </c>
      <c r="L222" s="18">
        <f t="shared" si="4"/>
        <v>0.2192982456</v>
      </c>
      <c r="M222" s="18">
        <f t="shared" si="5"/>
        <v>0.3681481576</v>
      </c>
      <c r="N222" s="18">
        <f t="shared" si="6"/>
        <v>0.08073424509</v>
      </c>
      <c r="O222" s="18">
        <f t="shared" si="7"/>
        <v>0.8988429568</v>
      </c>
      <c r="U222" s="20"/>
      <c r="V222" s="20"/>
      <c r="W222" s="20"/>
      <c r="AA222" s="20"/>
      <c r="AB222" s="20"/>
      <c r="AC222" s="20"/>
      <c r="AD222" s="20"/>
    </row>
    <row r="223">
      <c r="A223" s="8">
        <v>50801.0</v>
      </c>
      <c r="B223" s="9" t="s">
        <v>237</v>
      </c>
      <c r="C223" s="8">
        <v>2029.0</v>
      </c>
      <c r="D223" s="8">
        <v>751.1111298501492</v>
      </c>
      <c r="E223" s="8">
        <v>27510.0</v>
      </c>
      <c r="F223" s="18">
        <f t="shared" si="1"/>
        <v>0.07375499818</v>
      </c>
      <c r="G223" s="18">
        <f t="shared" si="2"/>
        <v>0.3701878412</v>
      </c>
      <c r="H223" s="18">
        <f t="shared" si="3"/>
        <v>0.02730320356</v>
      </c>
      <c r="I223" s="8">
        <v>767.0</v>
      </c>
      <c r="J223" s="8">
        <v>285.00000712275505</v>
      </c>
      <c r="K223" s="8">
        <v>16938.0</v>
      </c>
      <c r="L223" s="18">
        <f t="shared" si="4"/>
        <v>0.04528279608</v>
      </c>
      <c r="M223" s="18">
        <f t="shared" si="5"/>
        <v>0.3715775843</v>
      </c>
      <c r="N223" s="18">
        <f t="shared" si="6"/>
        <v>0.01682607198</v>
      </c>
      <c r="O223" s="18">
        <f t="shared" si="7"/>
        <v>0.6162673161</v>
      </c>
      <c r="U223" s="20"/>
      <c r="V223" s="20"/>
      <c r="W223" s="20"/>
      <c r="AA223" s="20"/>
      <c r="AB223" s="20"/>
      <c r="AC223" s="20"/>
      <c r="AD223" s="20"/>
    </row>
    <row r="224">
      <c r="A224" s="8">
        <v>50802.0</v>
      </c>
      <c r="B224" s="9" t="s">
        <v>238</v>
      </c>
      <c r="C224" s="8">
        <v>345.0</v>
      </c>
      <c r="D224" s="8">
        <v>131.00000336766243</v>
      </c>
      <c r="E224" s="8">
        <v>5618.0</v>
      </c>
      <c r="F224" s="18">
        <f t="shared" si="1"/>
        <v>0.06140975436</v>
      </c>
      <c r="G224" s="18">
        <f t="shared" si="2"/>
        <v>0.3797101547</v>
      </c>
      <c r="H224" s="18">
        <f t="shared" si="3"/>
        <v>0.02331790733</v>
      </c>
      <c r="I224" s="8">
        <v>106.0</v>
      </c>
      <c r="J224" s="8">
        <v>38.66666767001152</v>
      </c>
      <c r="K224" s="8">
        <v>3861.0</v>
      </c>
      <c r="L224" s="18">
        <f t="shared" si="4"/>
        <v>0.02745402745</v>
      </c>
      <c r="M224" s="18">
        <f t="shared" si="5"/>
        <v>0.3647798837</v>
      </c>
      <c r="N224" s="18">
        <f t="shared" si="6"/>
        <v>0.01001467694</v>
      </c>
      <c r="O224" s="18">
        <f t="shared" si="7"/>
        <v>0.4294843787</v>
      </c>
      <c r="U224" s="20"/>
      <c r="V224" s="20"/>
      <c r="W224" s="20"/>
      <c r="AA224" s="20"/>
      <c r="AB224" s="20"/>
      <c r="AC224" s="20"/>
      <c r="AD224" s="20"/>
    </row>
    <row r="225">
      <c r="A225" s="8">
        <v>50901.0</v>
      </c>
      <c r="B225" s="9" t="s">
        <v>239</v>
      </c>
      <c r="C225" s="8">
        <v>664.0</v>
      </c>
      <c r="D225" s="8">
        <v>250.11111706495285</v>
      </c>
      <c r="E225" s="8">
        <v>8467.0</v>
      </c>
      <c r="F225" s="18">
        <f t="shared" si="1"/>
        <v>0.07842210937</v>
      </c>
      <c r="G225" s="18">
        <f t="shared" si="2"/>
        <v>0.3766733691</v>
      </c>
      <c r="H225" s="18">
        <f t="shared" si="3"/>
        <v>0.02953952014</v>
      </c>
      <c r="I225" s="8">
        <v>100.0</v>
      </c>
      <c r="J225" s="8">
        <v>34.8888897895813</v>
      </c>
      <c r="K225" s="8">
        <v>2497.0</v>
      </c>
      <c r="L225" s="18">
        <f t="shared" si="4"/>
        <v>0.04004805767</v>
      </c>
      <c r="M225" s="18">
        <f t="shared" si="5"/>
        <v>0.3488888979</v>
      </c>
      <c r="N225" s="18">
        <f t="shared" si="6"/>
        <v>0.0139723227</v>
      </c>
      <c r="O225" s="18">
        <f t="shared" si="7"/>
        <v>0.4730043899</v>
      </c>
      <c r="U225" s="20"/>
      <c r="V225" s="20"/>
      <c r="W225" s="20"/>
      <c r="AA225" s="20"/>
      <c r="AB225" s="20"/>
      <c r="AC225" s="20"/>
      <c r="AD225" s="20"/>
    </row>
    <row r="226">
      <c r="A226" s="8">
        <v>50902.0</v>
      </c>
      <c r="B226" s="9" t="s">
        <v>240</v>
      </c>
      <c r="C226" s="8">
        <v>110.0</v>
      </c>
      <c r="D226" s="8">
        <v>39.777778685092926</v>
      </c>
      <c r="E226" s="8">
        <v>1126.0</v>
      </c>
      <c r="F226" s="18">
        <f t="shared" si="1"/>
        <v>0.09769094139</v>
      </c>
      <c r="G226" s="18">
        <f t="shared" si="2"/>
        <v>0.3616161699</v>
      </c>
      <c r="H226" s="18">
        <f t="shared" si="3"/>
        <v>0.03532662405</v>
      </c>
      <c r="I226" s="8">
        <v>27.0</v>
      </c>
      <c r="J226" s="8">
        <v>10.666666835546494</v>
      </c>
      <c r="K226" s="8">
        <v>387.0</v>
      </c>
      <c r="L226" s="18">
        <f t="shared" si="4"/>
        <v>0.06976744186</v>
      </c>
      <c r="M226" s="18">
        <f t="shared" si="5"/>
        <v>0.3950617346</v>
      </c>
      <c r="N226" s="18">
        <f t="shared" si="6"/>
        <v>0.0275624466</v>
      </c>
      <c r="O226" s="18">
        <f t="shared" si="7"/>
        <v>0.7802173953</v>
      </c>
      <c r="U226" s="20"/>
      <c r="V226" s="20"/>
      <c r="W226" s="20"/>
      <c r="AA226" s="20"/>
      <c r="AB226" s="20"/>
      <c r="AC226" s="20"/>
      <c r="AD226" s="20"/>
    </row>
    <row r="227">
      <c r="A227" s="8">
        <v>51001.0</v>
      </c>
      <c r="B227" s="9" t="s">
        <v>241</v>
      </c>
      <c r="C227" s="8">
        <v>507.0</v>
      </c>
      <c r="D227" s="8">
        <v>194.88889381289482</v>
      </c>
      <c r="E227" s="8">
        <v>2520.0</v>
      </c>
      <c r="F227" s="18">
        <f t="shared" si="1"/>
        <v>0.2011904762</v>
      </c>
      <c r="G227" s="18">
        <f t="shared" si="2"/>
        <v>0.3843962403</v>
      </c>
      <c r="H227" s="18">
        <f t="shared" si="3"/>
        <v>0.07733686262</v>
      </c>
      <c r="I227" s="8">
        <v>68.0</v>
      </c>
      <c r="J227" s="8">
        <v>24.222222834825516</v>
      </c>
      <c r="K227" s="8">
        <v>372.0</v>
      </c>
      <c r="L227" s="18">
        <f t="shared" si="4"/>
        <v>0.1827956989</v>
      </c>
      <c r="M227" s="18">
        <f t="shared" si="5"/>
        <v>0.3562091593</v>
      </c>
      <c r="N227" s="18">
        <f t="shared" si="6"/>
        <v>0.06511350224</v>
      </c>
      <c r="O227" s="18">
        <f t="shared" si="7"/>
        <v>0.8419465186</v>
      </c>
      <c r="U227" s="20"/>
      <c r="V227" s="20"/>
      <c r="W227" s="20"/>
      <c r="AA227" s="20"/>
      <c r="AB227" s="20"/>
      <c r="AC227" s="20"/>
      <c r="AD227" s="20"/>
    </row>
    <row r="228">
      <c r="A228" s="8">
        <v>51002.0</v>
      </c>
      <c r="B228" s="9" t="s">
        <v>242</v>
      </c>
      <c r="C228" s="8">
        <v>322.0</v>
      </c>
      <c r="D228" s="8">
        <v>125.22222548723221</v>
      </c>
      <c r="E228" s="8">
        <v>894.0</v>
      </c>
      <c r="F228" s="18">
        <f t="shared" si="1"/>
        <v>0.3601789709</v>
      </c>
      <c r="G228" s="18">
        <f t="shared" si="2"/>
        <v>0.388888899</v>
      </c>
      <c r="H228" s="18">
        <f t="shared" si="3"/>
        <v>0.1400696035</v>
      </c>
      <c r="I228" s="8">
        <v>25.0</v>
      </c>
      <c r="J228" s="8">
        <v>10.555555820465088</v>
      </c>
      <c r="K228" s="8">
        <v>71.0</v>
      </c>
      <c r="L228" s="18">
        <f t="shared" si="4"/>
        <v>0.3521126761</v>
      </c>
      <c r="M228" s="18">
        <f t="shared" si="5"/>
        <v>0.4222222328</v>
      </c>
      <c r="N228" s="18">
        <f t="shared" si="6"/>
        <v>0.1486698003</v>
      </c>
      <c r="O228" s="18">
        <f t="shared" si="7"/>
        <v>1.061399452</v>
      </c>
      <c r="U228" s="20"/>
      <c r="V228" s="20"/>
      <c r="W228" s="20"/>
      <c r="AA228" s="20"/>
      <c r="AB228" s="20"/>
      <c r="AC228" s="20"/>
      <c r="AD228" s="20"/>
    </row>
    <row r="229">
      <c r="A229" s="8">
        <v>51003.0</v>
      </c>
      <c r="B229" s="9" t="s">
        <v>243</v>
      </c>
      <c r="C229" s="8">
        <v>477.0</v>
      </c>
      <c r="D229" s="8">
        <v>187.22222670912743</v>
      </c>
      <c r="E229" s="8">
        <v>1628.0</v>
      </c>
      <c r="F229" s="18">
        <f t="shared" si="1"/>
        <v>0.292997543</v>
      </c>
      <c r="G229" s="18">
        <f t="shared" si="2"/>
        <v>0.3924994271</v>
      </c>
      <c r="H229" s="18">
        <f t="shared" si="3"/>
        <v>0.1150013678</v>
      </c>
      <c r="I229" s="8">
        <v>55.0</v>
      </c>
      <c r="J229" s="8">
        <v>19.555556029081345</v>
      </c>
      <c r="K229" s="8">
        <v>248.0</v>
      </c>
      <c r="L229" s="18">
        <f t="shared" si="4"/>
        <v>0.2217741935</v>
      </c>
      <c r="M229" s="18">
        <f t="shared" si="5"/>
        <v>0.3555555642</v>
      </c>
      <c r="N229" s="18">
        <f t="shared" si="6"/>
        <v>0.0788530485</v>
      </c>
      <c r="O229" s="18">
        <f t="shared" si="7"/>
        <v>0.6856705276</v>
      </c>
      <c r="U229" s="20"/>
      <c r="V229" s="20"/>
      <c r="W229" s="20"/>
      <c r="AA229" s="20"/>
      <c r="AB229" s="20"/>
      <c r="AC229" s="20"/>
      <c r="AD229" s="20"/>
    </row>
    <row r="230">
      <c r="A230" s="8">
        <v>51101.0</v>
      </c>
      <c r="B230" s="9" t="s">
        <v>244</v>
      </c>
      <c r="C230" s="8">
        <v>2040.0</v>
      </c>
      <c r="D230" s="8">
        <v>756.1111293137074</v>
      </c>
      <c r="E230" s="8">
        <v>13854.0</v>
      </c>
      <c r="F230" s="18">
        <f t="shared" si="1"/>
        <v>0.1472498917</v>
      </c>
      <c r="G230" s="18">
        <f t="shared" si="2"/>
        <v>0.3706427104</v>
      </c>
      <c r="H230" s="18">
        <f t="shared" si="3"/>
        <v>0.05457709898</v>
      </c>
      <c r="I230" s="8">
        <v>355.0</v>
      </c>
      <c r="J230" s="8">
        <v>129.44444766640663</v>
      </c>
      <c r="K230" s="8">
        <v>2396.0</v>
      </c>
      <c r="L230" s="18">
        <f t="shared" si="4"/>
        <v>0.148163606</v>
      </c>
      <c r="M230" s="18">
        <f t="shared" si="5"/>
        <v>0.3646322469</v>
      </c>
      <c r="N230" s="18">
        <f t="shared" si="6"/>
        <v>0.05402522858</v>
      </c>
      <c r="O230" s="18">
        <f t="shared" si="7"/>
        <v>0.9898882422</v>
      </c>
      <c r="U230" s="20"/>
      <c r="V230" s="20"/>
      <c r="W230" s="20"/>
      <c r="AA230" s="20"/>
      <c r="AB230" s="20"/>
      <c r="AC230" s="20"/>
      <c r="AD230" s="20"/>
    </row>
    <row r="231">
      <c r="A231" s="8">
        <v>51102.0</v>
      </c>
      <c r="B231" s="9" t="s">
        <v>245</v>
      </c>
      <c r="C231" s="8">
        <v>1759.0</v>
      </c>
      <c r="D231" s="8">
        <v>657.8889051675797</v>
      </c>
      <c r="E231" s="8">
        <v>10919.0</v>
      </c>
      <c r="F231" s="18">
        <f t="shared" si="1"/>
        <v>0.1610953384</v>
      </c>
      <c r="G231" s="18">
        <f t="shared" si="2"/>
        <v>0.3740130217</v>
      </c>
      <c r="H231" s="18">
        <f t="shared" si="3"/>
        <v>0.0602517543</v>
      </c>
      <c r="I231" s="8">
        <v>253.0</v>
      </c>
      <c r="J231" s="8">
        <v>94.88889148831367</v>
      </c>
      <c r="K231" s="8">
        <v>1767.0</v>
      </c>
      <c r="L231" s="18">
        <f t="shared" si="4"/>
        <v>0.143180532</v>
      </c>
      <c r="M231" s="18">
        <f t="shared" si="5"/>
        <v>0.3750549071</v>
      </c>
      <c r="N231" s="18">
        <f t="shared" si="6"/>
        <v>0.05370056111</v>
      </c>
      <c r="O231" s="18">
        <f t="shared" si="7"/>
        <v>0.8912696691</v>
      </c>
      <c r="U231" s="20"/>
      <c r="V231" s="20"/>
      <c r="W231" s="20"/>
      <c r="AA231" s="20"/>
      <c r="AB231" s="20"/>
      <c r="AC231" s="20"/>
      <c r="AD231" s="20"/>
    </row>
    <row r="232">
      <c r="A232" s="8">
        <v>51103.0</v>
      </c>
      <c r="B232" s="9" t="s">
        <v>246</v>
      </c>
      <c r="C232" s="8">
        <v>5996.0</v>
      </c>
      <c r="D232" s="8">
        <v>2420.4445039331913</v>
      </c>
      <c r="E232" s="8">
        <v>13126.0</v>
      </c>
      <c r="F232" s="18">
        <f t="shared" si="1"/>
        <v>0.4568032912</v>
      </c>
      <c r="G232" s="18">
        <f t="shared" si="2"/>
        <v>0.403676535</v>
      </c>
      <c r="H232" s="18">
        <f t="shared" si="3"/>
        <v>0.1844007698</v>
      </c>
      <c r="I232" s="8">
        <v>488.0</v>
      </c>
      <c r="J232" s="8">
        <v>193.44444966316223</v>
      </c>
      <c r="K232" s="8">
        <v>1198.0</v>
      </c>
      <c r="L232" s="18">
        <f t="shared" si="4"/>
        <v>0.407345576</v>
      </c>
      <c r="M232" s="18">
        <f t="shared" si="5"/>
        <v>0.3964025608</v>
      </c>
      <c r="N232" s="18">
        <f t="shared" si="6"/>
        <v>0.1614728294</v>
      </c>
      <c r="O232" s="18">
        <f t="shared" si="7"/>
        <v>0.8756624478</v>
      </c>
      <c r="U232" s="20"/>
      <c r="V232" s="20"/>
      <c r="W232" s="20"/>
      <c r="AA232" s="20"/>
      <c r="AB232" s="20"/>
      <c r="AC232" s="20"/>
      <c r="AD232" s="20"/>
    </row>
    <row r="233">
      <c r="A233" s="8">
        <v>51201.0</v>
      </c>
      <c r="B233" s="9" t="s">
        <v>247</v>
      </c>
      <c r="C233" s="8">
        <v>2242.0</v>
      </c>
      <c r="D233" s="8">
        <v>807.666687220335</v>
      </c>
      <c r="E233" s="8">
        <v>20343.0</v>
      </c>
      <c r="F233" s="18">
        <f t="shared" si="1"/>
        <v>0.1102099002</v>
      </c>
      <c r="G233" s="18">
        <f t="shared" si="2"/>
        <v>0.3602438391</v>
      </c>
      <c r="H233" s="18">
        <f t="shared" si="3"/>
        <v>0.03970243756</v>
      </c>
      <c r="I233" s="8">
        <v>561.0</v>
      </c>
      <c r="J233" s="8">
        <v>197.2222274839878</v>
      </c>
      <c r="K233" s="8">
        <v>13495.0</v>
      </c>
      <c r="L233" s="18">
        <f t="shared" si="4"/>
        <v>0.0415709522</v>
      </c>
      <c r="M233" s="18">
        <f t="shared" si="5"/>
        <v>0.3515547727</v>
      </c>
      <c r="N233" s="18">
        <f t="shared" si="6"/>
        <v>0.01461446665</v>
      </c>
      <c r="O233" s="18">
        <f t="shared" si="7"/>
        <v>0.3680999846</v>
      </c>
      <c r="U233" s="20"/>
      <c r="V233" s="20"/>
      <c r="W233" s="20"/>
      <c r="AA233" s="20"/>
      <c r="AB233" s="20"/>
      <c r="AC233" s="20"/>
      <c r="AD233" s="20"/>
    </row>
    <row r="234">
      <c r="A234" s="8">
        <v>51202.0</v>
      </c>
      <c r="B234" s="9" t="s">
        <v>248</v>
      </c>
      <c r="C234" s="8">
        <v>1388.0</v>
      </c>
      <c r="D234" s="8">
        <v>504.88890117406845</v>
      </c>
      <c r="E234" s="8">
        <v>6442.0</v>
      </c>
      <c r="F234" s="18">
        <f t="shared" si="1"/>
        <v>0.2154610369</v>
      </c>
      <c r="G234" s="18">
        <f t="shared" si="2"/>
        <v>0.3637528106</v>
      </c>
      <c r="H234" s="18">
        <f t="shared" si="3"/>
        <v>0.07837455777</v>
      </c>
      <c r="I234" s="8">
        <v>296.0</v>
      </c>
      <c r="J234" s="8">
        <v>108.77778053283691</v>
      </c>
      <c r="K234" s="8">
        <v>1347.0</v>
      </c>
      <c r="L234" s="18">
        <f t="shared" si="4"/>
        <v>0.2197475872</v>
      </c>
      <c r="M234" s="18">
        <f t="shared" si="5"/>
        <v>0.3674925018</v>
      </c>
      <c r="N234" s="18">
        <f t="shared" si="6"/>
        <v>0.0807555906</v>
      </c>
      <c r="O234" s="18">
        <f t="shared" si="7"/>
        <v>1.030380176</v>
      </c>
      <c r="U234" s="20"/>
      <c r="V234" s="20"/>
      <c r="W234" s="20"/>
      <c r="AA234" s="20"/>
      <c r="AB234" s="20"/>
      <c r="AC234" s="20"/>
      <c r="AD234" s="20"/>
    </row>
    <row r="235">
      <c r="A235" s="8">
        <v>51203.0</v>
      </c>
      <c r="B235" s="9" t="s">
        <v>249</v>
      </c>
      <c r="C235" s="8">
        <v>706.0</v>
      </c>
      <c r="D235" s="8">
        <v>258.1111172735691</v>
      </c>
      <c r="E235" s="8">
        <v>10147.0</v>
      </c>
      <c r="F235" s="18">
        <f t="shared" si="1"/>
        <v>0.06957721494</v>
      </c>
      <c r="G235" s="18">
        <f t="shared" si="2"/>
        <v>0.3655964834</v>
      </c>
      <c r="H235" s="18">
        <f t="shared" si="3"/>
        <v>0.02543718511</v>
      </c>
      <c r="I235" s="8">
        <v>249.0</v>
      </c>
      <c r="J235" s="8">
        <v>94.88889127969742</v>
      </c>
      <c r="K235" s="8">
        <v>4316.0</v>
      </c>
      <c r="L235" s="18">
        <f t="shared" si="4"/>
        <v>0.05769230769</v>
      </c>
      <c r="M235" s="18">
        <f t="shared" si="5"/>
        <v>0.3810798847</v>
      </c>
      <c r="N235" s="18">
        <f t="shared" si="6"/>
        <v>0.02198537796</v>
      </c>
      <c r="O235" s="18">
        <f t="shared" si="7"/>
        <v>0.864300742</v>
      </c>
      <c r="U235" s="20"/>
      <c r="V235" s="20"/>
      <c r="W235" s="20"/>
      <c r="AA235" s="20"/>
      <c r="AB235" s="20"/>
      <c r="AC235" s="20"/>
      <c r="AD235" s="20"/>
    </row>
    <row r="236">
      <c r="A236" s="8">
        <v>51204.0</v>
      </c>
      <c r="B236" s="9" t="s">
        <v>250</v>
      </c>
      <c r="C236" s="8">
        <v>1298.0</v>
      </c>
      <c r="D236" s="8">
        <v>484.2222338914871</v>
      </c>
      <c r="E236" s="8">
        <v>5359.0</v>
      </c>
      <c r="F236" s="18">
        <f t="shared" si="1"/>
        <v>0.2422093674</v>
      </c>
      <c r="G236" s="18">
        <f t="shared" si="2"/>
        <v>0.3730525685</v>
      </c>
      <c r="H236" s="18">
        <f t="shared" si="3"/>
        <v>0.09035682663</v>
      </c>
      <c r="I236" s="8">
        <v>91.0</v>
      </c>
      <c r="J236" s="8">
        <v>35.222223073244095</v>
      </c>
      <c r="K236" s="8">
        <v>448.0</v>
      </c>
      <c r="L236" s="18">
        <f t="shared" si="4"/>
        <v>0.203125</v>
      </c>
      <c r="M236" s="18">
        <f t="shared" si="5"/>
        <v>0.3870573964</v>
      </c>
      <c r="N236" s="18">
        <f t="shared" si="6"/>
        <v>0.07862103365</v>
      </c>
      <c r="O236" s="18">
        <f t="shared" si="7"/>
        <v>0.8701172516</v>
      </c>
      <c r="U236" s="20"/>
      <c r="V236" s="20"/>
      <c r="W236" s="20"/>
      <c r="AA236" s="20"/>
      <c r="AB236" s="20"/>
      <c r="AC236" s="20"/>
      <c r="AD236" s="20"/>
    </row>
    <row r="237">
      <c r="A237" s="8">
        <v>51301.0</v>
      </c>
      <c r="B237" s="9" t="s">
        <v>251</v>
      </c>
      <c r="C237" s="8">
        <v>873.0</v>
      </c>
      <c r="D237" s="8">
        <v>329.11111906170845</v>
      </c>
      <c r="E237" s="8">
        <v>3231.0</v>
      </c>
      <c r="F237" s="18">
        <f t="shared" si="1"/>
        <v>0.2701949861</v>
      </c>
      <c r="G237" s="18">
        <f t="shared" si="2"/>
        <v>0.3769886816</v>
      </c>
      <c r="H237" s="18">
        <f t="shared" si="3"/>
        <v>0.1018604516</v>
      </c>
      <c r="I237" s="8">
        <v>122.0</v>
      </c>
      <c r="J237" s="8">
        <v>49.333334773778915</v>
      </c>
      <c r="K237" s="8">
        <v>432.0</v>
      </c>
      <c r="L237" s="18">
        <f t="shared" si="4"/>
        <v>0.2824074074</v>
      </c>
      <c r="M237" s="18">
        <f t="shared" si="5"/>
        <v>0.4043715965</v>
      </c>
      <c r="N237" s="18">
        <f t="shared" si="6"/>
        <v>0.1141975342</v>
      </c>
      <c r="O237" s="18">
        <f t="shared" si="7"/>
        <v>1.121117494</v>
      </c>
      <c r="U237" s="20"/>
      <c r="V237" s="20"/>
      <c r="W237" s="20"/>
      <c r="AA237" s="20"/>
      <c r="AB237" s="20"/>
      <c r="AC237" s="20"/>
      <c r="AD237" s="20"/>
    </row>
    <row r="238">
      <c r="A238" s="8">
        <v>51302.0</v>
      </c>
      <c r="B238" s="9" t="s">
        <v>252</v>
      </c>
      <c r="C238" s="8">
        <v>1005.0</v>
      </c>
      <c r="D238" s="8">
        <v>387.3333425819874</v>
      </c>
      <c r="E238" s="8">
        <v>3785.0</v>
      </c>
      <c r="F238" s="18">
        <f t="shared" si="1"/>
        <v>0.2655217966</v>
      </c>
      <c r="G238" s="18">
        <f t="shared" si="2"/>
        <v>0.385406311</v>
      </c>
      <c r="H238" s="18">
        <f t="shared" si="3"/>
        <v>0.1023337761</v>
      </c>
      <c r="I238" s="8">
        <v>99.0</v>
      </c>
      <c r="J238" s="8">
        <v>36.33333423733711</v>
      </c>
      <c r="K238" s="8">
        <v>639.0</v>
      </c>
      <c r="L238" s="18">
        <f t="shared" si="4"/>
        <v>0.1549295775</v>
      </c>
      <c r="M238" s="18">
        <f t="shared" si="5"/>
        <v>0.3670033761</v>
      </c>
      <c r="N238" s="18">
        <f t="shared" si="6"/>
        <v>0.05685967799</v>
      </c>
      <c r="O238" s="18">
        <f t="shared" si="7"/>
        <v>0.5556296284</v>
      </c>
      <c r="U238" s="20"/>
      <c r="V238" s="20"/>
      <c r="W238" s="20"/>
      <c r="AA238" s="20"/>
      <c r="AB238" s="20"/>
      <c r="AC238" s="20"/>
      <c r="AD238" s="20"/>
    </row>
    <row r="239">
      <c r="A239" s="8">
        <v>51401.0</v>
      </c>
      <c r="B239" s="9" t="s">
        <v>253</v>
      </c>
      <c r="C239" s="8">
        <v>189.0</v>
      </c>
      <c r="D239" s="8">
        <v>66.22222396731377</v>
      </c>
      <c r="E239" s="8">
        <v>3634.0</v>
      </c>
      <c r="F239" s="18">
        <f t="shared" si="1"/>
        <v>0.05200880572</v>
      </c>
      <c r="G239" s="18">
        <f t="shared" si="2"/>
        <v>0.3503821374</v>
      </c>
      <c r="H239" s="18">
        <f t="shared" si="3"/>
        <v>0.01822295651</v>
      </c>
      <c r="I239" s="8">
        <v>3.0</v>
      </c>
      <c r="J239" s="8">
        <v>1.0000000298023224</v>
      </c>
      <c r="K239" s="8">
        <v>415.0</v>
      </c>
      <c r="L239" s="18">
        <f t="shared" si="4"/>
        <v>0.007228915663</v>
      </c>
      <c r="M239" s="18">
        <f t="shared" si="5"/>
        <v>0.3333333433</v>
      </c>
      <c r="N239" s="18">
        <f t="shared" si="6"/>
        <v>0.002409638626</v>
      </c>
      <c r="O239" s="18">
        <f t="shared" si="7"/>
        <v>0.1322309376</v>
      </c>
      <c r="U239" s="20"/>
      <c r="V239" s="20"/>
      <c r="W239" s="20"/>
      <c r="AA239" s="20"/>
      <c r="AB239" s="20"/>
      <c r="AC239" s="20"/>
      <c r="AD239" s="20"/>
    </row>
    <row r="240">
      <c r="A240" s="8">
        <v>51402.0</v>
      </c>
      <c r="B240" s="9" t="s">
        <v>254</v>
      </c>
      <c r="C240" s="8">
        <v>195.0</v>
      </c>
      <c r="D240" s="8">
        <v>71.44444599747658</v>
      </c>
      <c r="E240" s="8">
        <v>1361.0</v>
      </c>
      <c r="F240" s="18">
        <f t="shared" si="1"/>
        <v>0.1432770022</v>
      </c>
      <c r="G240" s="18">
        <f t="shared" si="2"/>
        <v>0.3663817743</v>
      </c>
      <c r="H240" s="18">
        <f t="shared" si="3"/>
        <v>0.05249408229</v>
      </c>
      <c r="I240" s="8">
        <v>55.0</v>
      </c>
      <c r="J240" s="8">
        <v>22.444444835186005</v>
      </c>
      <c r="K240" s="8">
        <v>180.0</v>
      </c>
      <c r="L240" s="18">
        <f t="shared" si="4"/>
        <v>0.3055555556</v>
      </c>
      <c r="M240" s="18">
        <f t="shared" si="5"/>
        <v>0.4080808152</v>
      </c>
      <c r="N240" s="18">
        <f t="shared" si="6"/>
        <v>0.1246913602</v>
      </c>
      <c r="O240" s="18">
        <f t="shared" si="7"/>
        <v>2.375341272</v>
      </c>
      <c r="U240" s="20"/>
      <c r="V240" s="20"/>
      <c r="W240" s="20"/>
      <c r="AA240" s="20"/>
      <c r="AB240" s="20"/>
      <c r="AC240" s="20"/>
      <c r="AD240" s="20"/>
    </row>
    <row r="241">
      <c r="A241" s="8">
        <v>51501.0</v>
      </c>
      <c r="B241" s="9" t="s">
        <v>255</v>
      </c>
      <c r="C241" s="8">
        <v>1451.0</v>
      </c>
      <c r="D241" s="8">
        <v>548.2222355008125</v>
      </c>
      <c r="E241" s="8">
        <v>20895.0</v>
      </c>
      <c r="F241" s="18">
        <f t="shared" si="1"/>
        <v>0.06944245035</v>
      </c>
      <c r="G241" s="18">
        <f t="shared" si="2"/>
        <v>0.3778237323</v>
      </c>
      <c r="H241" s="18">
        <f t="shared" si="3"/>
        <v>0.02623700577</v>
      </c>
      <c r="I241" s="8">
        <v>1245.0</v>
      </c>
      <c r="J241" s="8">
        <v>468.2222338914871</v>
      </c>
      <c r="K241" s="8">
        <v>27276.0</v>
      </c>
      <c r="L241" s="18">
        <f t="shared" si="4"/>
        <v>0.04564452266</v>
      </c>
      <c r="M241" s="18">
        <f t="shared" si="5"/>
        <v>0.3760821156</v>
      </c>
      <c r="N241" s="18">
        <f t="shared" si="6"/>
        <v>0.01716608865</v>
      </c>
      <c r="O241" s="18">
        <f t="shared" si="7"/>
        <v>0.6542701099</v>
      </c>
      <c r="U241" s="20"/>
      <c r="V241" s="20"/>
      <c r="W241" s="20"/>
      <c r="AA241" s="20"/>
      <c r="AB241" s="20"/>
      <c r="AC241" s="20"/>
      <c r="AD241" s="20"/>
    </row>
    <row r="242">
      <c r="A242" s="8">
        <v>51601.0</v>
      </c>
      <c r="B242" s="9" t="s">
        <v>256</v>
      </c>
      <c r="C242" s="8">
        <v>129.0</v>
      </c>
      <c r="D242" s="8">
        <v>46.11111235618591</v>
      </c>
      <c r="E242" s="8">
        <v>1843.0</v>
      </c>
      <c r="F242" s="18">
        <f t="shared" si="1"/>
        <v>0.06999457406</v>
      </c>
      <c r="G242" s="18">
        <f t="shared" si="2"/>
        <v>0.3574504834</v>
      </c>
      <c r="H242" s="18">
        <f t="shared" si="3"/>
        <v>0.02501959433</v>
      </c>
      <c r="I242" s="8">
        <v>10.0</v>
      </c>
      <c r="J242" s="8">
        <v>3.888888955116272</v>
      </c>
      <c r="K242" s="8">
        <v>206.0</v>
      </c>
      <c r="L242" s="18">
        <f t="shared" si="4"/>
        <v>0.04854368932</v>
      </c>
      <c r="M242" s="18">
        <f t="shared" si="5"/>
        <v>0.3888888955</v>
      </c>
      <c r="N242" s="18">
        <f t="shared" si="6"/>
        <v>0.01887810172</v>
      </c>
      <c r="O242" s="18">
        <f t="shared" si="7"/>
        <v>0.7545326864</v>
      </c>
      <c r="U242" s="20"/>
      <c r="V242" s="20"/>
      <c r="W242" s="20"/>
      <c r="AA242" s="20"/>
      <c r="AB242" s="20"/>
      <c r="AC242" s="20"/>
      <c r="AD242" s="20"/>
    </row>
    <row r="243">
      <c r="A243" s="8">
        <v>60101.0</v>
      </c>
      <c r="B243" s="9" t="s">
        <v>257</v>
      </c>
      <c r="C243" s="8">
        <v>1312.0</v>
      </c>
      <c r="D243" s="8">
        <v>486.6666785776615</v>
      </c>
      <c r="E243" s="8">
        <v>28162.0</v>
      </c>
      <c r="F243" s="18">
        <f t="shared" si="1"/>
        <v>0.04658760031</v>
      </c>
      <c r="G243" s="18">
        <f t="shared" si="2"/>
        <v>0.3709349684</v>
      </c>
      <c r="H243" s="18">
        <f t="shared" si="3"/>
        <v>0.01728097005</v>
      </c>
      <c r="I243" s="8">
        <v>5248.0</v>
      </c>
      <c r="J243" s="8">
        <v>1899.0000486075878</v>
      </c>
      <c r="K243" s="8">
        <v>205602.0</v>
      </c>
      <c r="L243" s="18">
        <f t="shared" si="4"/>
        <v>0.02552504353</v>
      </c>
      <c r="M243" s="18">
        <f t="shared" si="5"/>
        <v>0.3618521434</v>
      </c>
      <c r="N243" s="18">
        <f t="shared" si="6"/>
        <v>0.009236291712</v>
      </c>
      <c r="O243" s="18">
        <f t="shared" si="7"/>
        <v>0.5344776181</v>
      </c>
      <c r="U243" s="20"/>
      <c r="V243" s="20"/>
      <c r="W243" s="20"/>
      <c r="AA243" s="20"/>
      <c r="AB243" s="20"/>
      <c r="AC243" s="20"/>
      <c r="AD243" s="20"/>
    </row>
    <row r="244">
      <c r="A244" s="8">
        <v>60201.0</v>
      </c>
      <c r="B244" s="9" t="s">
        <v>258</v>
      </c>
      <c r="C244" s="8">
        <v>118.0</v>
      </c>
      <c r="D244" s="8">
        <v>44.22222328186035</v>
      </c>
      <c r="E244" s="8">
        <v>1182.0</v>
      </c>
      <c r="F244" s="18">
        <f t="shared" si="1"/>
        <v>0.09983079526</v>
      </c>
      <c r="G244" s="18">
        <f t="shared" si="2"/>
        <v>0.3747646041</v>
      </c>
      <c r="H244" s="18">
        <f t="shared" si="3"/>
        <v>0.03741304846</v>
      </c>
      <c r="I244" s="8">
        <v>1698.0</v>
      </c>
      <c r="J244" s="8">
        <v>646.2222385704517</v>
      </c>
      <c r="K244" s="8">
        <v>16417.0</v>
      </c>
      <c r="L244" s="18">
        <f t="shared" si="4"/>
        <v>0.103429372</v>
      </c>
      <c r="M244" s="18">
        <f t="shared" si="5"/>
        <v>0.3805784679</v>
      </c>
      <c r="N244" s="18">
        <f t="shared" si="6"/>
        <v>0.03936299193</v>
      </c>
      <c r="O244" s="18">
        <f t="shared" si="7"/>
        <v>1.052119342</v>
      </c>
      <c r="U244" s="20"/>
      <c r="V244" s="20"/>
      <c r="W244" s="20"/>
      <c r="AA244" s="20"/>
      <c r="AB244" s="20"/>
      <c r="AC244" s="20"/>
      <c r="AD244" s="20"/>
    </row>
    <row r="245">
      <c r="A245" s="8">
        <v>60202.0</v>
      </c>
      <c r="B245" s="9" t="s">
        <v>259</v>
      </c>
      <c r="C245" s="8">
        <v>235.0</v>
      </c>
      <c r="D245" s="8">
        <v>85.55555790662766</v>
      </c>
      <c r="E245" s="8">
        <v>5123.0</v>
      </c>
      <c r="F245" s="18">
        <f t="shared" si="1"/>
        <v>0.04587155963</v>
      </c>
      <c r="G245" s="18">
        <f t="shared" si="2"/>
        <v>0.3640662039</v>
      </c>
      <c r="H245" s="18">
        <f t="shared" si="3"/>
        <v>0.01670028458</v>
      </c>
      <c r="I245" s="8">
        <v>842.0</v>
      </c>
      <c r="J245" s="8">
        <v>306.5555634200573</v>
      </c>
      <c r="K245" s="8">
        <v>31099.0</v>
      </c>
      <c r="L245" s="18">
        <f t="shared" si="4"/>
        <v>0.02707482556</v>
      </c>
      <c r="M245" s="18">
        <f t="shared" si="5"/>
        <v>0.3640802416</v>
      </c>
      <c r="N245" s="18">
        <f t="shared" si="6"/>
        <v>0.00985740903</v>
      </c>
      <c r="O245" s="18">
        <f t="shared" si="7"/>
        <v>0.5902539554</v>
      </c>
      <c r="U245" s="20"/>
      <c r="V245" s="20"/>
      <c r="W245" s="20"/>
      <c r="AA245" s="20"/>
      <c r="AB245" s="20"/>
      <c r="AC245" s="20"/>
      <c r="AD245" s="20"/>
    </row>
    <row r="246">
      <c r="A246" s="8">
        <v>60301.0</v>
      </c>
      <c r="B246" s="9" t="s">
        <v>260</v>
      </c>
      <c r="C246" s="8">
        <v>2342.0</v>
      </c>
      <c r="D246" s="8">
        <v>916.8889109492302</v>
      </c>
      <c r="E246" s="8">
        <v>22671.0</v>
      </c>
      <c r="F246" s="18">
        <f t="shared" si="1"/>
        <v>0.1033037802</v>
      </c>
      <c r="G246" s="18">
        <f t="shared" si="2"/>
        <v>0.391498254</v>
      </c>
      <c r="H246" s="18">
        <f t="shared" si="3"/>
        <v>0.04044324957</v>
      </c>
      <c r="I246" s="8">
        <v>2142.0</v>
      </c>
      <c r="J246" s="8">
        <v>764.3333535790443</v>
      </c>
      <c r="K246" s="8">
        <v>72380.0</v>
      </c>
      <c r="L246" s="18">
        <f t="shared" si="4"/>
        <v>0.02959381044</v>
      </c>
      <c r="M246" s="18">
        <f t="shared" si="5"/>
        <v>0.356831631</v>
      </c>
      <c r="N246" s="18">
        <f t="shared" si="6"/>
        <v>0.01056000765</v>
      </c>
      <c r="O246" s="18">
        <f t="shared" si="7"/>
        <v>0.2611068043</v>
      </c>
      <c r="U246" s="20"/>
      <c r="V246" s="20"/>
      <c r="W246" s="20"/>
      <c r="AA246" s="20"/>
      <c r="AB246" s="20"/>
      <c r="AC246" s="20"/>
      <c r="AD246" s="20"/>
    </row>
    <row r="247">
      <c r="A247" s="8">
        <v>60302.0</v>
      </c>
      <c r="B247" s="9" t="s">
        <v>261</v>
      </c>
      <c r="C247" s="8">
        <v>301.0</v>
      </c>
      <c r="D247" s="8">
        <v>110.22222527861595</v>
      </c>
      <c r="E247" s="8">
        <v>3321.0</v>
      </c>
      <c r="F247" s="18">
        <f t="shared" si="1"/>
        <v>0.0906353508</v>
      </c>
      <c r="G247" s="18">
        <f t="shared" si="2"/>
        <v>0.3661867949</v>
      </c>
      <c r="H247" s="18">
        <f t="shared" si="3"/>
        <v>0.03318946862</v>
      </c>
      <c r="I247" s="8">
        <v>450.0</v>
      </c>
      <c r="J247" s="8">
        <v>165.88889330625534</v>
      </c>
      <c r="K247" s="8">
        <v>11930.0</v>
      </c>
      <c r="L247" s="18">
        <f t="shared" si="4"/>
        <v>0.03772003353</v>
      </c>
      <c r="M247" s="18">
        <f t="shared" si="5"/>
        <v>0.3686419851</v>
      </c>
      <c r="N247" s="18">
        <f t="shared" si="6"/>
        <v>0.01390518804</v>
      </c>
      <c r="O247" s="18">
        <f t="shared" si="7"/>
        <v>0.4189638647</v>
      </c>
      <c r="U247" s="20"/>
      <c r="V247" s="20"/>
      <c r="W247" s="20"/>
      <c r="AA247" s="20"/>
      <c r="AB247" s="20"/>
      <c r="AC247" s="20"/>
      <c r="AD247" s="20"/>
    </row>
    <row r="248">
      <c r="A248" s="8">
        <v>60303.0</v>
      </c>
      <c r="B248" s="9" t="s">
        <v>262</v>
      </c>
      <c r="C248" s="8">
        <v>1469.0</v>
      </c>
      <c r="D248" s="8">
        <v>562.2222365140915</v>
      </c>
      <c r="E248" s="8">
        <v>10993.0</v>
      </c>
      <c r="F248" s="18">
        <f t="shared" si="1"/>
        <v>0.1336304921</v>
      </c>
      <c r="G248" s="18">
        <f t="shared" si="2"/>
        <v>0.3827244632</v>
      </c>
      <c r="H248" s="18">
        <f t="shared" si="3"/>
        <v>0.05114365837</v>
      </c>
      <c r="I248" s="8">
        <v>1207.0</v>
      </c>
      <c r="J248" s="8">
        <v>440.5555670261383</v>
      </c>
      <c r="K248" s="8">
        <v>33621.0</v>
      </c>
      <c r="L248" s="18">
        <f t="shared" si="4"/>
        <v>0.03590018143</v>
      </c>
      <c r="M248" s="18">
        <f t="shared" si="5"/>
        <v>0.3650004698</v>
      </c>
      <c r="N248" s="18">
        <f t="shared" si="6"/>
        <v>0.01310358309</v>
      </c>
      <c r="O248" s="18">
        <f t="shared" si="7"/>
        <v>0.2562112978</v>
      </c>
      <c r="U248" s="20"/>
      <c r="V248" s="20"/>
      <c r="W248" s="20"/>
      <c r="AA248" s="20"/>
      <c r="AB248" s="20"/>
      <c r="AC248" s="20"/>
      <c r="AD248" s="20"/>
    </row>
    <row r="249">
      <c r="A249" s="8">
        <v>60401.0</v>
      </c>
      <c r="B249" s="9" t="s">
        <v>263</v>
      </c>
      <c r="C249" s="8">
        <v>108.0</v>
      </c>
      <c r="D249" s="8">
        <v>42.333334028720856</v>
      </c>
      <c r="E249" s="8">
        <v>1119.0</v>
      </c>
      <c r="F249" s="18">
        <f t="shared" si="1"/>
        <v>0.09651474531</v>
      </c>
      <c r="G249" s="18">
        <f t="shared" si="2"/>
        <v>0.3919753151</v>
      </c>
      <c r="H249" s="18">
        <f t="shared" si="3"/>
        <v>0.0378313977</v>
      </c>
      <c r="I249" s="8">
        <v>1114.0</v>
      </c>
      <c r="J249" s="8">
        <v>408.88889932632446</v>
      </c>
      <c r="K249" s="8">
        <v>14739.0</v>
      </c>
      <c r="L249" s="18">
        <f t="shared" si="4"/>
        <v>0.07558178981</v>
      </c>
      <c r="M249" s="18">
        <f t="shared" si="5"/>
        <v>0.3670456906</v>
      </c>
      <c r="N249" s="18">
        <f t="shared" si="6"/>
        <v>0.02774197024</v>
      </c>
      <c r="O249" s="18">
        <f t="shared" si="7"/>
        <v>0.7333054532</v>
      </c>
      <c r="U249" s="20"/>
      <c r="V249" s="20"/>
      <c r="W249" s="20"/>
      <c r="AA249" s="20"/>
      <c r="AB249" s="20"/>
      <c r="AC249" s="20"/>
      <c r="AD249" s="20"/>
    </row>
    <row r="250">
      <c r="A250" s="8">
        <v>60402.0</v>
      </c>
      <c r="B250" s="9" t="s">
        <v>264</v>
      </c>
      <c r="C250" s="8">
        <v>48.0</v>
      </c>
      <c r="D250" s="8">
        <v>17.333333730697632</v>
      </c>
      <c r="E250" s="8">
        <v>467.0</v>
      </c>
      <c r="F250" s="18">
        <f t="shared" si="1"/>
        <v>0.1027837259</v>
      </c>
      <c r="G250" s="18">
        <f t="shared" si="2"/>
        <v>0.3611111194</v>
      </c>
      <c r="H250" s="18">
        <f t="shared" si="3"/>
        <v>0.03711634632</v>
      </c>
      <c r="I250" s="8">
        <v>485.0</v>
      </c>
      <c r="J250" s="8">
        <v>185.0000041127205</v>
      </c>
      <c r="K250" s="8">
        <v>4259.0</v>
      </c>
      <c r="L250" s="18">
        <f t="shared" si="4"/>
        <v>0.1138764968</v>
      </c>
      <c r="M250" s="18">
        <f t="shared" si="5"/>
        <v>0.3814433074</v>
      </c>
      <c r="N250" s="18">
        <f t="shared" si="6"/>
        <v>0.04343742759</v>
      </c>
      <c r="O250" s="18">
        <f t="shared" si="7"/>
        <v>1.170304513</v>
      </c>
      <c r="U250" s="20"/>
      <c r="V250" s="20"/>
      <c r="W250" s="20"/>
      <c r="AA250" s="20"/>
      <c r="AB250" s="20"/>
      <c r="AC250" s="20"/>
      <c r="AD250" s="20"/>
    </row>
    <row r="251">
      <c r="A251" s="8">
        <v>60501.0</v>
      </c>
      <c r="B251" s="9" t="s">
        <v>265</v>
      </c>
      <c r="C251" s="8">
        <v>513.0</v>
      </c>
      <c r="D251" s="8">
        <v>200.22222724556923</v>
      </c>
      <c r="E251" s="8">
        <v>3892.0</v>
      </c>
      <c r="F251" s="18">
        <f t="shared" si="1"/>
        <v>0.1318088386</v>
      </c>
      <c r="G251" s="18">
        <f t="shared" si="2"/>
        <v>0.3902967393</v>
      </c>
      <c r="H251" s="18">
        <f t="shared" si="3"/>
        <v>0.05144455993</v>
      </c>
      <c r="I251" s="8">
        <v>2302.0</v>
      </c>
      <c r="J251" s="8">
        <v>877.6666886806488</v>
      </c>
      <c r="K251" s="8">
        <v>26343.0</v>
      </c>
      <c r="L251" s="18">
        <f t="shared" si="4"/>
        <v>0.08738564324</v>
      </c>
      <c r="M251" s="18">
        <f t="shared" si="5"/>
        <v>0.3812626797</v>
      </c>
      <c r="N251" s="18">
        <f t="shared" si="6"/>
        <v>0.03331688451</v>
      </c>
      <c r="O251" s="18">
        <f t="shared" si="7"/>
        <v>0.6476269708</v>
      </c>
      <c r="U251" s="20"/>
      <c r="V251" s="20"/>
      <c r="W251" s="20"/>
      <c r="AA251" s="20"/>
      <c r="AB251" s="20"/>
      <c r="AC251" s="20"/>
      <c r="AD251" s="20"/>
    </row>
    <row r="252">
      <c r="A252" s="8">
        <v>60502.0</v>
      </c>
      <c r="B252" s="9" t="s">
        <v>266</v>
      </c>
      <c r="C252" s="8">
        <v>25.0</v>
      </c>
      <c r="D252" s="8">
        <v>9.222222417593002</v>
      </c>
      <c r="E252" s="8">
        <v>848.0</v>
      </c>
      <c r="F252" s="18">
        <f t="shared" si="1"/>
        <v>0.02948113208</v>
      </c>
      <c r="G252" s="18">
        <f t="shared" si="2"/>
        <v>0.3688888967</v>
      </c>
      <c r="H252" s="18">
        <f t="shared" si="3"/>
        <v>0.01087526228</v>
      </c>
      <c r="I252" s="8">
        <v>560.0</v>
      </c>
      <c r="J252" s="8">
        <v>211.4444498717785</v>
      </c>
      <c r="K252" s="8">
        <v>8597.0</v>
      </c>
      <c r="L252" s="18">
        <f t="shared" si="4"/>
        <v>0.06513900198</v>
      </c>
      <c r="M252" s="18">
        <f t="shared" si="5"/>
        <v>0.3775793748</v>
      </c>
      <c r="N252" s="18">
        <f t="shared" si="6"/>
        <v>0.02459514364</v>
      </c>
      <c r="O252" s="18">
        <f t="shared" si="7"/>
        <v>2.261567859</v>
      </c>
      <c r="U252" s="20"/>
      <c r="V252" s="20"/>
      <c r="W252" s="20"/>
      <c r="AA252" s="20"/>
      <c r="AB252" s="20"/>
      <c r="AC252" s="20"/>
      <c r="AD252" s="20"/>
    </row>
    <row r="253">
      <c r="A253" s="8">
        <v>60601.0</v>
      </c>
      <c r="B253" s="9" t="s">
        <v>167</v>
      </c>
      <c r="C253" s="8">
        <v>1373.0</v>
      </c>
      <c r="D253" s="8">
        <v>531.3333459198475</v>
      </c>
      <c r="E253" s="8">
        <v>8020.0</v>
      </c>
      <c r="F253" s="18">
        <f t="shared" si="1"/>
        <v>0.1711970075</v>
      </c>
      <c r="G253" s="18">
        <f t="shared" si="2"/>
        <v>0.386987142</v>
      </c>
      <c r="H253" s="18">
        <f t="shared" si="3"/>
        <v>0.06625104064</v>
      </c>
      <c r="I253" s="8">
        <v>1007.0</v>
      </c>
      <c r="J253" s="8">
        <v>383.1111208796501</v>
      </c>
      <c r="K253" s="8">
        <v>12470.0</v>
      </c>
      <c r="L253" s="18">
        <f t="shared" si="4"/>
        <v>0.08075380914</v>
      </c>
      <c r="M253" s="18">
        <f t="shared" si="5"/>
        <v>0.380447985</v>
      </c>
      <c r="N253" s="18">
        <f t="shared" si="6"/>
        <v>0.03072262397</v>
      </c>
      <c r="O253" s="18">
        <f t="shared" si="7"/>
        <v>0.4637304361</v>
      </c>
      <c r="U253" s="20"/>
      <c r="V253" s="20"/>
      <c r="W253" s="20"/>
      <c r="AA253" s="20"/>
      <c r="AB253" s="20"/>
      <c r="AC253" s="20"/>
      <c r="AD253" s="20"/>
    </row>
    <row r="254">
      <c r="A254" s="8">
        <v>70101.0</v>
      </c>
      <c r="B254" s="9" t="s">
        <v>267</v>
      </c>
      <c r="C254" s="8">
        <v>5161.0</v>
      </c>
      <c r="D254" s="8">
        <v>1840.88893699646</v>
      </c>
      <c r="E254" s="8">
        <v>204530.0</v>
      </c>
      <c r="F254" s="18">
        <f t="shared" si="1"/>
        <v>0.02523346208</v>
      </c>
      <c r="G254" s="18">
        <f t="shared" si="2"/>
        <v>0.3566922955</v>
      </c>
      <c r="H254" s="18">
        <f t="shared" si="3"/>
        <v>0.009000581514</v>
      </c>
      <c r="I254" s="8">
        <v>21298.0</v>
      </c>
      <c r="J254" s="8">
        <v>7539.777977257967</v>
      </c>
      <c r="K254" s="8">
        <v>1375187.0</v>
      </c>
      <c r="L254" s="18">
        <f t="shared" si="4"/>
        <v>0.01548734827</v>
      </c>
      <c r="M254" s="18">
        <f t="shared" si="5"/>
        <v>0.3540134274</v>
      </c>
      <c r="N254" s="18">
        <f t="shared" si="6"/>
        <v>0.005482729241</v>
      </c>
      <c r="O254" s="18">
        <f t="shared" si="7"/>
        <v>0.609152779</v>
      </c>
      <c r="U254" s="20"/>
      <c r="V254" s="20"/>
      <c r="W254" s="20"/>
      <c r="AA254" s="20"/>
      <c r="AB254" s="20"/>
      <c r="AC254" s="20"/>
      <c r="AD254" s="20"/>
    </row>
    <row r="255">
      <c r="A255" s="8">
        <v>70102.0</v>
      </c>
      <c r="B255" s="9" t="s">
        <v>268</v>
      </c>
      <c r="C255" s="8">
        <v>1611.0</v>
      </c>
      <c r="D255" s="8">
        <v>575.5555709600449</v>
      </c>
      <c r="E255" s="8">
        <v>20923.0</v>
      </c>
      <c r="F255" s="18">
        <f t="shared" si="1"/>
        <v>0.07699660661</v>
      </c>
      <c r="G255" s="18">
        <f t="shared" si="2"/>
        <v>0.3572660279</v>
      </c>
      <c r="H255" s="18">
        <f t="shared" si="3"/>
        <v>0.0275082718</v>
      </c>
      <c r="I255" s="8">
        <v>4775.0</v>
      </c>
      <c r="J255" s="8">
        <v>1716.777822703123</v>
      </c>
      <c r="K255" s="8">
        <v>84746.0</v>
      </c>
      <c r="L255" s="18">
        <f t="shared" si="4"/>
        <v>0.05634484223</v>
      </c>
      <c r="M255" s="18">
        <f t="shared" si="5"/>
        <v>0.3595346226</v>
      </c>
      <c r="N255" s="18">
        <f t="shared" si="6"/>
        <v>0.02025792159</v>
      </c>
      <c r="O255" s="18">
        <f t="shared" si="7"/>
        <v>0.7364301811</v>
      </c>
      <c r="U255" s="20"/>
      <c r="V255" s="20"/>
      <c r="W255" s="20"/>
      <c r="AA255" s="20"/>
      <c r="AB255" s="20"/>
      <c r="AC255" s="20"/>
      <c r="AD255" s="20"/>
    </row>
    <row r="256">
      <c r="A256" s="8">
        <v>70103.0</v>
      </c>
      <c r="B256" s="9" t="s">
        <v>269</v>
      </c>
      <c r="C256" s="8">
        <v>151.0</v>
      </c>
      <c r="D256" s="8">
        <v>54.0000014603138</v>
      </c>
      <c r="E256" s="8">
        <v>1987.0</v>
      </c>
      <c r="F256" s="18">
        <f t="shared" si="1"/>
        <v>0.07599396074</v>
      </c>
      <c r="G256" s="18">
        <f t="shared" si="2"/>
        <v>0.3576159037</v>
      </c>
      <c r="H256" s="18">
        <f t="shared" si="3"/>
        <v>0.02717664895</v>
      </c>
      <c r="I256" s="8">
        <v>680.0</v>
      </c>
      <c r="J256" s="8">
        <v>253.88889557123184</v>
      </c>
      <c r="K256" s="8">
        <v>20906.0</v>
      </c>
      <c r="L256" s="18">
        <f t="shared" si="4"/>
        <v>0.0325265474</v>
      </c>
      <c r="M256" s="18">
        <f t="shared" si="5"/>
        <v>0.3733660229</v>
      </c>
      <c r="N256" s="18">
        <f t="shared" si="6"/>
        <v>0.01214430764</v>
      </c>
      <c r="O256" s="18">
        <f t="shared" si="7"/>
        <v>0.4468655302</v>
      </c>
      <c r="U256" s="20"/>
      <c r="V256" s="20"/>
      <c r="W256" s="20"/>
      <c r="AA256" s="20"/>
      <c r="AB256" s="20"/>
      <c r="AC256" s="20"/>
      <c r="AD256" s="20"/>
    </row>
    <row r="257">
      <c r="A257" s="8">
        <v>70104.0</v>
      </c>
      <c r="B257" s="9" t="s">
        <v>270</v>
      </c>
      <c r="C257" s="8">
        <v>1360.0</v>
      </c>
      <c r="D257" s="8">
        <v>478.44445675611496</v>
      </c>
      <c r="E257" s="8">
        <v>30254.0</v>
      </c>
      <c r="F257" s="18">
        <f t="shared" si="1"/>
        <v>0.04495273352</v>
      </c>
      <c r="G257" s="18">
        <f t="shared" si="2"/>
        <v>0.3517973947</v>
      </c>
      <c r="H257" s="18">
        <f t="shared" si="3"/>
        <v>0.01581425454</v>
      </c>
      <c r="I257" s="8">
        <v>3414.0</v>
      </c>
      <c r="J257" s="8">
        <v>1196.0000327825546</v>
      </c>
      <c r="K257" s="8">
        <v>116467.0</v>
      </c>
      <c r="L257" s="18">
        <f t="shared" si="4"/>
        <v>0.02931302429</v>
      </c>
      <c r="M257" s="18">
        <f t="shared" si="5"/>
        <v>0.3503222123</v>
      </c>
      <c r="N257" s="18">
        <f t="shared" si="6"/>
        <v>0.01026900352</v>
      </c>
      <c r="O257" s="18">
        <f t="shared" si="7"/>
        <v>0.6493510962</v>
      </c>
      <c r="U257" s="20"/>
      <c r="V257" s="20"/>
      <c r="W257" s="20"/>
      <c r="AA257" s="20"/>
      <c r="AB257" s="20"/>
      <c r="AC257" s="20"/>
      <c r="AD257" s="20"/>
    </row>
    <row r="258">
      <c r="A258" s="8">
        <v>70105.0</v>
      </c>
      <c r="B258" s="9" t="s">
        <v>271</v>
      </c>
      <c r="C258" s="8">
        <v>819.0</v>
      </c>
      <c r="D258" s="8">
        <v>292.6666744053364</v>
      </c>
      <c r="E258" s="8">
        <v>11391.0</v>
      </c>
      <c r="F258" s="18">
        <f t="shared" si="1"/>
        <v>0.07189886753</v>
      </c>
      <c r="G258" s="18">
        <f t="shared" si="2"/>
        <v>0.3573463668</v>
      </c>
      <c r="H258" s="18">
        <f t="shared" si="3"/>
        <v>0.02569279909</v>
      </c>
      <c r="I258" s="8">
        <v>1968.0</v>
      </c>
      <c r="J258" s="8">
        <v>699.000018298626</v>
      </c>
      <c r="K258" s="8">
        <v>43498.0</v>
      </c>
      <c r="L258" s="18">
        <f t="shared" si="4"/>
        <v>0.04524345947</v>
      </c>
      <c r="M258" s="18">
        <f t="shared" si="5"/>
        <v>0.3551829361</v>
      </c>
      <c r="N258" s="18">
        <f t="shared" si="6"/>
        <v>0.01606970477</v>
      </c>
      <c r="O258" s="18">
        <f t="shared" si="7"/>
        <v>0.6254555886</v>
      </c>
      <c r="U258" s="20"/>
      <c r="V258" s="20"/>
      <c r="W258" s="20"/>
      <c r="AA258" s="20"/>
      <c r="AB258" s="20"/>
      <c r="AC258" s="20"/>
      <c r="AD258" s="20"/>
    </row>
    <row r="259">
      <c r="A259" s="8">
        <v>70201.0</v>
      </c>
      <c r="B259" s="9" t="s">
        <v>272</v>
      </c>
      <c r="C259" s="8">
        <v>1858.0</v>
      </c>
      <c r="D259" s="8">
        <v>663.8889055848122</v>
      </c>
      <c r="E259" s="8">
        <v>35174.0</v>
      </c>
      <c r="F259" s="18">
        <f t="shared" si="1"/>
        <v>0.05282310798</v>
      </c>
      <c r="G259" s="18">
        <f t="shared" si="2"/>
        <v>0.3573137274</v>
      </c>
      <c r="H259" s="18">
        <f t="shared" si="3"/>
        <v>0.01887442161</v>
      </c>
      <c r="I259" s="8">
        <v>5139.0</v>
      </c>
      <c r="J259" s="8">
        <v>1835.4444910287857</v>
      </c>
      <c r="K259" s="8">
        <v>113955.0</v>
      </c>
      <c r="L259" s="18">
        <f t="shared" si="4"/>
        <v>0.04509674872</v>
      </c>
      <c r="M259" s="18">
        <f t="shared" si="5"/>
        <v>0.3571598543</v>
      </c>
      <c r="N259" s="18">
        <f t="shared" si="6"/>
        <v>0.0161067482</v>
      </c>
      <c r="O259" s="18">
        <f t="shared" si="7"/>
        <v>0.8533638029</v>
      </c>
      <c r="U259" s="20"/>
      <c r="V259" s="20"/>
      <c r="W259" s="20"/>
      <c r="AA259" s="20"/>
      <c r="AB259" s="20"/>
      <c r="AC259" s="20"/>
      <c r="AD259" s="20"/>
    </row>
    <row r="260">
      <c r="A260" s="8">
        <v>70202.0</v>
      </c>
      <c r="B260" s="9" t="s">
        <v>273</v>
      </c>
      <c r="C260" s="8">
        <v>86.0</v>
      </c>
      <c r="D260" s="8">
        <v>30.222222983837128</v>
      </c>
      <c r="E260" s="8">
        <v>1668.0</v>
      </c>
      <c r="F260" s="18">
        <f t="shared" si="1"/>
        <v>0.051558753</v>
      </c>
      <c r="G260" s="18">
        <f t="shared" si="2"/>
        <v>0.3514211975</v>
      </c>
      <c r="H260" s="18">
        <f t="shared" si="3"/>
        <v>0.01811883872</v>
      </c>
      <c r="I260" s="8">
        <v>294.0</v>
      </c>
      <c r="J260" s="8">
        <v>102.888891518116</v>
      </c>
      <c r="K260" s="8">
        <v>8722.0</v>
      </c>
      <c r="L260" s="18">
        <f t="shared" si="4"/>
        <v>0.03370786517</v>
      </c>
      <c r="M260" s="18">
        <f t="shared" si="5"/>
        <v>0.349962216</v>
      </c>
      <c r="N260" s="18">
        <f t="shared" si="6"/>
        <v>0.01179647919</v>
      </c>
      <c r="O260" s="18">
        <f t="shared" si="7"/>
        <v>0.6510615484</v>
      </c>
      <c r="U260" s="20"/>
      <c r="V260" s="20"/>
      <c r="W260" s="20"/>
      <c r="AA260" s="20"/>
      <c r="AB260" s="20"/>
      <c r="AC260" s="20"/>
      <c r="AD260" s="20"/>
    </row>
    <row r="261">
      <c r="A261" s="8">
        <v>70301.0</v>
      </c>
      <c r="B261" s="9" t="s">
        <v>274</v>
      </c>
      <c r="C261" s="8">
        <v>4462.0</v>
      </c>
      <c r="D261" s="8">
        <v>1646.6667084097862</v>
      </c>
      <c r="E261" s="8">
        <v>39329.0</v>
      </c>
      <c r="F261" s="18">
        <f t="shared" si="1"/>
        <v>0.113453177</v>
      </c>
      <c r="G261" s="18">
        <f t="shared" si="2"/>
        <v>0.3690422923</v>
      </c>
      <c r="H261" s="18">
        <f t="shared" si="3"/>
        <v>0.04186902053</v>
      </c>
      <c r="I261" s="8">
        <v>4180.0</v>
      </c>
      <c r="J261" s="8">
        <v>1601.2222615480423</v>
      </c>
      <c r="K261" s="8">
        <v>26113.0</v>
      </c>
      <c r="L261" s="18">
        <f t="shared" si="4"/>
        <v>0.1600735266</v>
      </c>
      <c r="M261" s="18">
        <f t="shared" si="5"/>
        <v>0.3830675267</v>
      </c>
      <c r="N261" s="18">
        <f t="shared" si="6"/>
        <v>0.06131896992</v>
      </c>
      <c r="O261" s="18">
        <f t="shared" si="7"/>
        <v>1.464542737</v>
      </c>
      <c r="U261" s="20"/>
      <c r="V261" s="20"/>
      <c r="W261" s="20"/>
      <c r="AA261" s="20"/>
      <c r="AB261" s="20"/>
      <c r="AC261" s="20"/>
      <c r="AD261" s="20"/>
    </row>
    <row r="262">
      <c r="A262" s="8">
        <v>70302.0</v>
      </c>
      <c r="B262" s="9" t="s">
        <v>275</v>
      </c>
      <c r="C262" s="8">
        <v>1484.0</v>
      </c>
      <c r="D262" s="8">
        <v>564.8889030218124</v>
      </c>
      <c r="E262" s="8">
        <v>9591.0</v>
      </c>
      <c r="F262" s="18">
        <f t="shared" si="1"/>
        <v>0.1547283912</v>
      </c>
      <c r="G262" s="18">
        <f t="shared" si="2"/>
        <v>0.3806528996</v>
      </c>
      <c r="H262" s="18">
        <f t="shared" si="3"/>
        <v>0.05889781076</v>
      </c>
      <c r="I262" s="8">
        <v>940.0</v>
      </c>
      <c r="J262" s="8">
        <v>347.5555644929409</v>
      </c>
      <c r="K262" s="8">
        <v>5552.0</v>
      </c>
      <c r="L262" s="18">
        <f t="shared" si="4"/>
        <v>0.1693083573</v>
      </c>
      <c r="M262" s="18">
        <f t="shared" si="5"/>
        <v>0.3697399622</v>
      </c>
      <c r="N262" s="18">
        <f t="shared" si="6"/>
        <v>0.06260006565</v>
      </c>
      <c r="O262" s="18">
        <f t="shared" si="7"/>
        <v>1.062858956</v>
      </c>
      <c r="U262" s="20"/>
      <c r="V262" s="20"/>
      <c r="W262" s="20"/>
      <c r="AA262" s="20"/>
      <c r="AB262" s="20"/>
      <c r="AC262" s="20"/>
      <c r="AD262" s="20"/>
    </row>
    <row r="263">
      <c r="A263" s="8">
        <v>70303.0</v>
      </c>
      <c r="B263" s="9" t="s">
        <v>276</v>
      </c>
      <c r="C263" s="8">
        <v>659.0</v>
      </c>
      <c r="D263" s="8">
        <v>235.6666730940342</v>
      </c>
      <c r="E263" s="8">
        <v>4073.0</v>
      </c>
      <c r="F263" s="18">
        <f t="shared" si="1"/>
        <v>0.1617972011</v>
      </c>
      <c r="G263" s="18">
        <f t="shared" si="2"/>
        <v>0.357612554</v>
      </c>
      <c r="H263" s="18">
        <f t="shared" si="3"/>
        <v>0.05786071031</v>
      </c>
      <c r="I263" s="8">
        <v>866.0</v>
      </c>
      <c r="J263" s="8">
        <v>313.4444527029991</v>
      </c>
      <c r="K263" s="8">
        <v>4561.0</v>
      </c>
      <c r="L263" s="18">
        <f t="shared" si="4"/>
        <v>0.1898706424</v>
      </c>
      <c r="M263" s="18">
        <f t="shared" si="5"/>
        <v>0.3619450955</v>
      </c>
      <c r="N263" s="18">
        <f t="shared" si="6"/>
        <v>0.0687227478</v>
      </c>
      <c r="O263" s="18">
        <f t="shared" si="7"/>
        <v>1.187727344</v>
      </c>
      <c r="U263" s="20"/>
      <c r="V263" s="20"/>
      <c r="W263" s="20"/>
      <c r="AA263" s="20"/>
      <c r="AB263" s="20"/>
      <c r="AC263" s="20"/>
      <c r="AD263" s="20"/>
    </row>
    <row r="264">
      <c r="A264" s="8">
        <v>70401.0</v>
      </c>
      <c r="B264" s="9" t="s">
        <v>277</v>
      </c>
      <c r="C264" s="8">
        <v>320.0</v>
      </c>
      <c r="D264" s="8">
        <v>120.77778068184853</v>
      </c>
      <c r="E264" s="8">
        <v>3510.0</v>
      </c>
      <c r="F264" s="18">
        <f t="shared" si="1"/>
        <v>0.09116809117</v>
      </c>
      <c r="G264" s="18">
        <f t="shared" si="2"/>
        <v>0.3774305646</v>
      </c>
      <c r="H264" s="18">
        <f t="shared" si="3"/>
        <v>0.03440962413</v>
      </c>
      <c r="I264" s="8">
        <v>418.0</v>
      </c>
      <c r="J264" s="8">
        <v>150.88889291882515</v>
      </c>
      <c r="K264" s="8">
        <v>9478.0</v>
      </c>
      <c r="L264" s="18">
        <f t="shared" si="4"/>
        <v>0.04410213125</v>
      </c>
      <c r="M264" s="18">
        <f t="shared" si="5"/>
        <v>0.3609782127</v>
      </c>
      <c r="N264" s="18">
        <f t="shared" si="6"/>
        <v>0.01591990852</v>
      </c>
      <c r="O264" s="18">
        <f t="shared" si="7"/>
        <v>0.4626585998</v>
      </c>
      <c r="U264" s="20"/>
      <c r="V264" s="20"/>
      <c r="W264" s="20"/>
      <c r="AA264" s="20"/>
      <c r="AB264" s="20"/>
      <c r="AC264" s="20"/>
      <c r="AD264" s="20"/>
    </row>
    <row r="265">
      <c r="A265" s="8">
        <v>70402.0</v>
      </c>
      <c r="B265" s="9" t="s">
        <v>278</v>
      </c>
      <c r="C265" s="8">
        <v>485.0</v>
      </c>
      <c r="D265" s="8">
        <v>178.5555598437786</v>
      </c>
      <c r="E265" s="8">
        <v>4781.0</v>
      </c>
      <c r="F265" s="18">
        <f t="shared" si="1"/>
        <v>0.1014432127</v>
      </c>
      <c r="G265" s="18">
        <f t="shared" si="2"/>
        <v>0.3681557935</v>
      </c>
      <c r="H265" s="18">
        <f t="shared" si="3"/>
        <v>0.03734690647</v>
      </c>
      <c r="I265" s="8">
        <v>888.0</v>
      </c>
      <c r="J265" s="8">
        <v>330.11111921072006</v>
      </c>
      <c r="K265" s="8">
        <v>13912.0</v>
      </c>
      <c r="L265" s="18">
        <f t="shared" si="4"/>
        <v>0.06382978723</v>
      </c>
      <c r="M265" s="18">
        <f t="shared" si="5"/>
        <v>0.3717467559</v>
      </c>
      <c r="N265" s="18">
        <f t="shared" si="6"/>
        <v>0.02372851633</v>
      </c>
      <c r="O265" s="18">
        <f t="shared" si="7"/>
        <v>0.6353542655</v>
      </c>
      <c r="U265" s="20"/>
      <c r="V265" s="20"/>
      <c r="W265" s="20"/>
      <c r="AA265" s="20"/>
      <c r="AB265" s="20"/>
      <c r="AC265" s="20"/>
      <c r="AD265" s="20"/>
    </row>
    <row r="266">
      <c r="A266" s="8">
        <v>70403.0</v>
      </c>
      <c r="B266" s="9" t="s">
        <v>279</v>
      </c>
      <c r="C266" s="8">
        <v>4639.0</v>
      </c>
      <c r="D266" s="8">
        <v>1732.8889307379723</v>
      </c>
      <c r="E266" s="8">
        <v>23803.0</v>
      </c>
      <c r="F266" s="18">
        <f t="shared" si="1"/>
        <v>0.1948914002</v>
      </c>
      <c r="G266" s="18">
        <f t="shared" si="2"/>
        <v>0.373547948</v>
      </c>
      <c r="H266" s="18">
        <f t="shared" si="3"/>
        <v>0.07280128264</v>
      </c>
      <c r="I266" s="8">
        <v>3174.0</v>
      </c>
      <c r="J266" s="8">
        <v>1174.7778056263924</v>
      </c>
      <c r="K266" s="8">
        <v>32845.0</v>
      </c>
      <c r="L266" s="18">
        <f t="shared" si="4"/>
        <v>0.0966357132</v>
      </c>
      <c r="M266" s="18">
        <f t="shared" si="5"/>
        <v>0.3701253326</v>
      </c>
      <c r="N266" s="18">
        <f t="shared" si="6"/>
        <v>0.03576732549</v>
      </c>
      <c r="O266" s="18">
        <f t="shared" si="7"/>
        <v>0.4913007599</v>
      </c>
      <c r="U266" s="20"/>
      <c r="V266" s="20"/>
      <c r="W266" s="20"/>
      <c r="AA266" s="20"/>
      <c r="AB266" s="20"/>
      <c r="AC266" s="20"/>
      <c r="AD266" s="20"/>
    </row>
    <row r="267">
      <c r="A267" s="8">
        <v>70404.0</v>
      </c>
      <c r="B267" s="9" t="s">
        <v>280</v>
      </c>
      <c r="C267" s="8">
        <v>252.0</v>
      </c>
      <c r="D267" s="8">
        <v>94.55555790662766</v>
      </c>
      <c r="E267" s="8">
        <v>2035.0</v>
      </c>
      <c r="F267" s="18">
        <f t="shared" si="1"/>
        <v>0.1238329238</v>
      </c>
      <c r="G267" s="18">
        <f t="shared" si="2"/>
        <v>0.3752204679</v>
      </c>
      <c r="H267" s="18">
        <f t="shared" si="3"/>
        <v>0.04646464762</v>
      </c>
      <c r="I267" s="8">
        <v>521.0</v>
      </c>
      <c r="J267" s="8">
        <v>191.66667169332504</v>
      </c>
      <c r="K267" s="8">
        <v>8100.0</v>
      </c>
      <c r="L267" s="18">
        <f t="shared" si="4"/>
        <v>0.06432098765</v>
      </c>
      <c r="M267" s="18">
        <f t="shared" si="5"/>
        <v>0.3678822873</v>
      </c>
      <c r="N267" s="18">
        <f t="shared" si="6"/>
        <v>0.02366255206</v>
      </c>
      <c r="O267" s="18">
        <f t="shared" si="7"/>
        <v>0.50925926</v>
      </c>
      <c r="U267" s="20"/>
      <c r="V267" s="20"/>
      <c r="W267" s="20"/>
      <c r="AA267" s="20"/>
      <c r="AB267" s="20"/>
      <c r="AC267" s="20"/>
      <c r="AD267" s="20"/>
    </row>
    <row r="268">
      <c r="A268" s="8">
        <v>70501.0</v>
      </c>
      <c r="B268" s="9" t="s">
        <v>281</v>
      </c>
      <c r="C268" s="8">
        <v>1540.0</v>
      </c>
      <c r="D268" s="8">
        <v>549.4444581866264</v>
      </c>
      <c r="E268" s="8">
        <v>11749.0</v>
      </c>
      <c r="F268" s="18">
        <f t="shared" si="1"/>
        <v>0.1310749851</v>
      </c>
      <c r="G268" s="18">
        <f t="shared" si="2"/>
        <v>0.3567821157</v>
      </c>
      <c r="H268" s="18">
        <f t="shared" si="3"/>
        <v>0.0467652105</v>
      </c>
      <c r="I268" s="8">
        <v>5412.0</v>
      </c>
      <c r="J268" s="8">
        <v>1952.1111608743668</v>
      </c>
      <c r="K268" s="8">
        <v>28591.0</v>
      </c>
      <c r="L268" s="18">
        <f t="shared" si="4"/>
        <v>0.1892903361</v>
      </c>
      <c r="M268" s="18">
        <f t="shared" si="5"/>
        <v>0.3607005101</v>
      </c>
      <c r="N268" s="18">
        <f t="shared" si="6"/>
        <v>0.0682771208</v>
      </c>
      <c r="O268" s="18">
        <f t="shared" si="7"/>
        <v>1.45999815</v>
      </c>
      <c r="U268" s="20"/>
      <c r="V268" s="20"/>
      <c r="W268" s="20"/>
      <c r="AA268" s="20"/>
      <c r="AB268" s="20"/>
      <c r="AC268" s="20"/>
      <c r="AD268" s="20"/>
    </row>
    <row r="269">
      <c r="A269" s="8">
        <v>70502.0</v>
      </c>
      <c r="B269" s="9" t="s">
        <v>282</v>
      </c>
      <c r="C269" s="8">
        <v>1320.0</v>
      </c>
      <c r="D269" s="8">
        <v>480.00001260638237</v>
      </c>
      <c r="E269" s="8">
        <v>10836.0</v>
      </c>
      <c r="F269" s="18">
        <f t="shared" si="1"/>
        <v>0.1218161683</v>
      </c>
      <c r="G269" s="18">
        <f t="shared" si="2"/>
        <v>0.3636363732</v>
      </c>
      <c r="H269" s="18">
        <f t="shared" si="3"/>
        <v>0.04429678965</v>
      </c>
      <c r="I269" s="8">
        <v>4488.0</v>
      </c>
      <c r="J269" s="8">
        <v>1574.888930439949</v>
      </c>
      <c r="K269" s="8">
        <v>41868.0</v>
      </c>
      <c r="L269" s="18">
        <f t="shared" si="4"/>
        <v>0.1071940384</v>
      </c>
      <c r="M269" s="18">
        <f t="shared" si="5"/>
        <v>0.3509110808</v>
      </c>
      <c r="N269" s="18">
        <f t="shared" si="6"/>
        <v>0.03761557587</v>
      </c>
      <c r="O269" s="18">
        <f t="shared" si="7"/>
        <v>0.8491716029</v>
      </c>
      <c r="U269" s="20"/>
      <c r="V269" s="20"/>
      <c r="W269" s="20"/>
      <c r="AA269" s="20"/>
      <c r="AB269" s="20"/>
      <c r="AC269" s="20"/>
      <c r="AD269" s="20"/>
    </row>
    <row r="270">
      <c r="A270" s="8">
        <v>70503.0</v>
      </c>
      <c r="B270" s="9" t="s">
        <v>283</v>
      </c>
      <c r="C270" s="8">
        <v>359.0</v>
      </c>
      <c r="D270" s="8">
        <v>135.0000034570694</v>
      </c>
      <c r="E270" s="8">
        <v>5219.0</v>
      </c>
      <c r="F270" s="18">
        <f t="shared" si="1"/>
        <v>0.06878712397</v>
      </c>
      <c r="G270" s="18">
        <f t="shared" si="2"/>
        <v>0.3760445779</v>
      </c>
      <c r="H270" s="18">
        <f t="shared" si="3"/>
        <v>0.025867025</v>
      </c>
      <c r="I270" s="8">
        <v>666.0</v>
      </c>
      <c r="J270" s="8">
        <v>241.88889503479004</v>
      </c>
      <c r="K270" s="8">
        <v>12460.0</v>
      </c>
      <c r="L270" s="18">
        <f t="shared" si="4"/>
        <v>0.05345104334</v>
      </c>
      <c r="M270" s="18">
        <f t="shared" si="5"/>
        <v>0.3631965391</v>
      </c>
      <c r="N270" s="18">
        <f t="shared" si="6"/>
        <v>0.01941323395</v>
      </c>
      <c r="O270" s="18">
        <f t="shared" si="7"/>
        <v>0.7505012252</v>
      </c>
      <c r="U270" s="20"/>
      <c r="V270" s="20"/>
      <c r="W270" s="20"/>
      <c r="AA270" s="20"/>
      <c r="AB270" s="20"/>
      <c r="AC270" s="20"/>
      <c r="AD270" s="20"/>
    </row>
    <row r="271">
      <c r="A271" s="8">
        <v>70601.0</v>
      </c>
      <c r="B271" s="9" t="s">
        <v>284</v>
      </c>
      <c r="C271" s="8">
        <v>80.0</v>
      </c>
      <c r="D271" s="8">
        <v>30.111112028360367</v>
      </c>
      <c r="E271" s="8">
        <v>1427.0</v>
      </c>
      <c r="F271" s="18">
        <f t="shared" si="1"/>
        <v>0.05606166783</v>
      </c>
      <c r="G271" s="18">
        <f t="shared" si="2"/>
        <v>0.3763889004</v>
      </c>
      <c r="H271" s="18">
        <f t="shared" si="3"/>
        <v>0.02110098951</v>
      </c>
      <c r="I271" s="8">
        <v>639.0</v>
      </c>
      <c r="J271" s="8">
        <v>234.2222285568714</v>
      </c>
      <c r="K271" s="8">
        <v>19045.0</v>
      </c>
      <c r="L271" s="18">
        <f t="shared" si="4"/>
        <v>0.03355211342</v>
      </c>
      <c r="M271" s="18">
        <f t="shared" si="5"/>
        <v>0.3665449586</v>
      </c>
      <c r="N271" s="18">
        <f t="shared" si="6"/>
        <v>0.01229835802</v>
      </c>
      <c r="O271" s="18">
        <f t="shared" si="7"/>
        <v>0.5828332372</v>
      </c>
      <c r="U271" s="20"/>
      <c r="V271" s="20"/>
      <c r="W271" s="20"/>
      <c r="AA271" s="20"/>
      <c r="AB271" s="20"/>
      <c r="AC271" s="20"/>
      <c r="AD271" s="20"/>
    </row>
    <row r="272">
      <c r="A272" s="8">
        <v>70602.0</v>
      </c>
      <c r="B272" s="9" t="s">
        <v>285</v>
      </c>
      <c r="C272" s="8">
        <v>656.0</v>
      </c>
      <c r="D272" s="8">
        <v>236.0000058710575</v>
      </c>
      <c r="E272" s="8">
        <v>5583.0</v>
      </c>
      <c r="F272" s="18">
        <f t="shared" si="1"/>
        <v>0.1174995522</v>
      </c>
      <c r="G272" s="18">
        <f t="shared" si="2"/>
        <v>0.3597561065</v>
      </c>
      <c r="H272" s="18">
        <f t="shared" si="3"/>
        <v>0.04227118142</v>
      </c>
      <c r="I272" s="8">
        <v>754.0</v>
      </c>
      <c r="J272" s="8">
        <v>272.22222942113876</v>
      </c>
      <c r="K272" s="8">
        <v>12131.0</v>
      </c>
      <c r="L272" s="18">
        <f t="shared" si="4"/>
        <v>0.06215480999</v>
      </c>
      <c r="M272" s="18">
        <f t="shared" si="5"/>
        <v>0.3610374396</v>
      </c>
      <c r="N272" s="18">
        <f t="shared" si="6"/>
        <v>0.02244021345</v>
      </c>
      <c r="O272" s="18">
        <f t="shared" si="7"/>
        <v>0.530863172</v>
      </c>
      <c r="U272" s="20"/>
      <c r="V272" s="20"/>
      <c r="W272" s="20"/>
      <c r="AA272" s="20"/>
      <c r="AB272" s="20"/>
      <c r="AC272" s="20"/>
      <c r="AD272" s="20"/>
    </row>
    <row r="273">
      <c r="A273" s="8">
        <v>70603.0</v>
      </c>
      <c r="B273" s="9" t="s">
        <v>286</v>
      </c>
      <c r="C273" s="8">
        <v>65.0</v>
      </c>
      <c r="D273" s="8">
        <v>22.555556148290634</v>
      </c>
      <c r="E273" s="8">
        <v>750.0</v>
      </c>
      <c r="F273" s="18">
        <f t="shared" si="1"/>
        <v>0.08666666667</v>
      </c>
      <c r="G273" s="18">
        <f t="shared" si="2"/>
        <v>0.3470085561</v>
      </c>
      <c r="H273" s="18">
        <f t="shared" si="3"/>
        <v>0.03007407486</v>
      </c>
      <c r="I273" s="8">
        <v>277.0</v>
      </c>
      <c r="J273" s="8">
        <v>97.44444715976715</v>
      </c>
      <c r="K273" s="8">
        <v>5211.0</v>
      </c>
      <c r="L273" s="18">
        <f t="shared" si="4"/>
        <v>0.05315678373</v>
      </c>
      <c r="M273" s="18">
        <f t="shared" si="5"/>
        <v>0.3517850078</v>
      </c>
      <c r="N273" s="18">
        <f t="shared" si="6"/>
        <v>0.01869975958</v>
      </c>
      <c r="O273" s="18">
        <f t="shared" si="7"/>
        <v>0.6217900189</v>
      </c>
      <c r="U273" s="20"/>
      <c r="V273" s="20"/>
      <c r="W273" s="20"/>
      <c r="AA273" s="20"/>
      <c r="AB273" s="20"/>
      <c r="AC273" s="20"/>
      <c r="AD273" s="20"/>
    </row>
    <row r="274">
      <c r="A274" s="8">
        <v>70701.0</v>
      </c>
      <c r="B274" s="9" t="s">
        <v>287</v>
      </c>
      <c r="C274" s="8">
        <v>282.0</v>
      </c>
      <c r="D274" s="8">
        <v>110.44444763660431</v>
      </c>
      <c r="E274" s="8">
        <v>3823.0</v>
      </c>
      <c r="F274" s="18">
        <f t="shared" si="1"/>
        <v>0.07376405964</v>
      </c>
      <c r="G274" s="18">
        <f t="shared" si="2"/>
        <v>0.3916469774</v>
      </c>
      <c r="H274" s="18">
        <f t="shared" si="3"/>
        <v>0.028889471</v>
      </c>
      <c r="I274" s="8">
        <v>70.0</v>
      </c>
      <c r="J274" s="8">
        <v>25.333333909511566</v>
      </c>
      <c r="K274" s="8">
        <v>1933.0</v>
      </c>
      <c r="L274" s="18">
        <f t="shared" si="4"/>
        <v>0.0362131402</v>
      </c>
      <c r="M274" s="18">
        <f t="shared" si="5"/>
        <v>0.3619047701</v>
      </c>
      <c r="N274" s="18">
        <f t="shared" si="6"/>
        <v>0.01310570818</v>
      </c>
      <c r="O274" s="18">
        <f t="shared" si="7"/>
        <v>0.4536499882</v>
      </c>
      <c r="U274" s="20"/>
      <c r="V274" s="20"/>
      <c r="W274" s="20"/>
      <c r="AA274" s="20"/>
      <c r="AB274" s="20"/>
      <c r="AC274" s="20"/>
      <c r="AD274" s="20"/>
    </row>
    <row r="275">
      <c r="A275" s="8">
        <v>70702.0</v>
      </c>
      <c r="B275" s="9" t="s">
        <v>288</v>
      </c>
      <c r="C275" s="8">
        <v>2457.0</v>
      </c>
      <c r="D275" s="8">
        <v>899.4444677233696</v>
      </c>
      <c r="E275" s="8">
        <v>23984.0</v>
      </c>
      <c r="F275" s="18">
        <f t="shared" si="1"/>
        <v>0.1024432955</v>
      </c>
      <c r="G275" s="18">
        <f t="shared" si="2"/>
        <v>0.3660742644</v>
      </c>
      <c r="H275" s="18">
        <f t="shared" si="3"/>
        <v>0.03750185406</v>
      </c>
      <c r="I275" s="8">
        <v>3260.0</v>
      </c>
      <c r="J275" s="8">
        <v>1202.6666958928108</v>
      </c>
      <c r="K275" s="8">
        <v>13910.0</v>
      </c>
      <c r="L275" s="18">
        <f t="shared" si="4"/>
        <v>0.2343637671</v>
      </c>
      <c r="M275" s="18">
        <f t="shared" si="5"/>
        <v>0.3689161644</v>
      </c>
      <c r="N275" s="18">
        <f t="shared" si="6"/>
        <v>0.08646058202</v>
      </c>
      <c r="O275" s="18">
        <f t="shared" si="7"/>
        <v>2.305501533</v>
      </c>
      <c r="U275" s="20"/>
      <c r="V275" s="20"/>
      <c r="W275" s="20"/>
      <c r="AA275" s="20"/>
      <c r="AB275" s="20"/>
      <c r="AC275" s="20"/>
      <c r="AD275" s="20"/>
    </row>
    <row r="276">
      <c r="A276" s="8">
        <v>70703.0</v>
      </c>
      <c r="B276" s="9" t="s">
        <v>289</v>
      </c>
      <c r="C276" s="8">
        <v>800.0</v>
      </c>
      <c r="D276" s="8">
        <v>290.55556333065033</v>
      </c>
      <c r="E276" s="8">
        <v>8788.0</v>
      </c>
      <c r="F276" s="18">
        <f t="shared" si="1"/>
        <v>0.09103322713</v>
      </c>
      <c r="G276" s="18">
        <f t="shared" si="2"/>
        <v>0.3631944542</v>
      </c>
      <c r="H276" s="18">
        <f t="shared" si="3"/>
        <v>0.03306276324</v>
      </c>
      <c r="I276" s="8">
        <v>2929.0</v>
      </c>
      <c r="J276" s="8">
        <v>1060.555582255125</v>
      </c>
      <c r="K276" s="8">
        <v>22869.0</v>
      </c>
      <c r="L276" s="18">
        <f t="shared" si="4"/>
        <v>0.1280773099</v>
      </c>
      <c r="M276" s="18">
        <f t="shared" si="5"/>
        <v>0.362087942</v>
      </c>
      <c r="N276" s="18">
        <f t="shared" si="6"/>
        <v>0.04637524956</v>
      </c>
      <c r="O276" s="18">
        <f t="shared" si="7"/>
        <v>1.402642883</v>
      </c>
      <c r="U276" s="20"/>
      <c r="V276" s="20"/>
      <c r="W276" s="20"/>
      <c r="AA276" s="20"/>
      <c r="AB276" s="20"/>
      <c r="AC276" s="20"/>
      <c r="AD276" s="20"/>
    </row>
    <row r="277">
      <c r="A277" s="8">
        <v>70704.0</v>
      </c>
      <c r="B277" s="9" t="s">
        <v>290</v>
      </c>
      <c r="C277" s="8">
        <v>190.0</v>
      </c>
      <c r="D277" s="8">
        <v>71.3333352804184</v>
      </c>
      <c r="E277" s="8">
        <v>2279.0</v>
      </c>
      <c r="F277" s="18">
        <f t="shared" si="1"/>
        <v>0.08336989908</v>
      </c>
      <c r="G277" s="18">
        <f t="shared" si="2"/>
        <v>0.3754386067</v>
      </c>
      <c r="H277" s="18">
        <f t="shared" si="3"/>
        <v>0.03130027875</v>
      </c>
      <c r="I277" s="8">
        <v>119.0</v>
      </c>
      <c r="J277" s="8">
        <v>42.555556654930115</v>
      </c>
      <c r="K277" s="8">
        <v>2740.0</v>
      </c>
      <c r="L277" s="18">
        <f t="shared" si="4"/>
        <v>0.04343065693</v>
      </c>
      <c r="M277" s="18">
        <f t="shared" si="5"/>
        <v>0.3576097198</v>
      </c>
      <c r="N277" s="18">
        <f t="shared" si="6"/>
        <v>0.01553122506</v>
      </c>
      <c r="O277" s="18">
        <f t="shared" si="7"/>
        <v>0.4962008543</v>
      </c>
      <c r="U277" s="20"/>
      <c r="V277" s="20"/>
      <c r="W277" s="20"/>
      <c r="AA277" s="20"/>
      <c r="AB277" s="20"/>
      <c r="AC277" s="20"/>
      <c r="AD277" s="20"/>
    </row>
    <row r="278">
      <c r="A278" s="8">
        <v>70705.0</v>
      </c>
      <c r="B278" s="9" t="s">
        <v>291</v>
      </c>
      <c r="C278" s="8">
        <v>1378.0</v>
      </c>
      <c r="D278" s="8">
        <v>525.6666792035103</v>
      </c>
      <c r="E278" s="8">
        <v>12367.0</v>
      </c>
      <c r="F278" s="18">
        <f t="shared" si="1"/>
        <v>0.111425568</v>
      </c>
      <c r="G278" s="18">
        <f t="shared" si="2"/>
        <v>0.3814707396</v>
      </c>
      <c r="H278" s="18">
        <f t="shared" si="3"/>
        <v>0.04250559385</v>
      </c>
      <c r="I278" s="8">
        <v>88.0</v>
      </c>
      <c r="J278" s="8">
        <v>34.00000077486038</v>
      </c>
      <c r="K278" s="8">
        <v>1884.0</v>
      </c>
      <c r="L278" s="18">
        <f t="shared" si="4"/>
        <v>0.04670912951</v>
      </c>
      <c r="M278" s="18">
        <f t="shared" si="5"/>
        <v>0.3863636452</v>
      </c>
      <c r="N278" s="18">
        <f t="shared" si="6"/>
        <v>0.01804670954</v>
      </c>
      <c r="O278" s="18">
        <f t="shared" si="7"/>
        <v>0.4245725775</v>
      </c>
      <c r="U278" s="20"/>
      <c r="V278" s="20"/>
      <c r="W278" s="20"/>
      <c r="AA278" s="20"/>
      <c r="AB278" s="20"/>
      <c r="AC278" s="20"/>
      <c r="AD278" s="20"/>
    </row>
    <row r="279">
      <c r="A279" s="8">
        <v>70706.0</v>
      </c>
      <c r="B279" s="9" t="s">
        <v>292</v>
      </c>
      <c r="C279" s="8">
        <v>711.0</v>
      </c>
      <c r="D279" s="8">
        <v>260.8888959288597</v>
      </c>
      <c r="E279" s="8">
        <v>9306.0</v>
      </c>
      <c r="F279" s="18">
        <f t="shared" si="1"/>
        <v>0.07640232108</v>
      </c>
      <c r="G279" s="18">
        <f t="shared" si="2"/>
        <v>0.3669323431</v>
      </c>
      <c r="H279" s="18">
        <f t="shared" si="3"/>
        <v>0.02803448269</v>
      </c>
      <c r="I279" s="8">
        <v>381.0</v>
      </c>
      <c r="J279" s="8">
        <v>137.6666703224182</v>
      </c>
      <c r="K279" s="8">
        <v>22212.0</v>
      </c>
      <c r="L279" s="18">
        <f t="shared" si="4"/>
        <v>0.01715289033</v>
      </c>
      <c r="M279" s="18">
        <f t="shared" si="5"/>
        <v>0.3613298434</v>
      </c>
      <c r="N279" s="18">
        <f t="shared" si="6"/>
        <v>0.006197851176</v>
      </c>
      <c r="O279" s="18">
        <f t="shared" si="7"/>
        <v>0.2210795628</v>
      </c>
      <c r="U279" s="20"/>
      <c r="V279" s="20"/>
      <c r="W279" s="20"/>
      <c r="AA279" s="20"/>
      <c r="AB279" s="20"/>
      <c r="AC279" s="20"/>
      <c r="AD279" s="20"/>
    </row>
    <row r="280">
      <c r="A280" s="8">
        <v>70707.0</v>
      </c>
      <c r="B280" s="9" t="s">
        <v>293</v>
      </c>
      <c r="C280" s="8">
        <v>112.0</v>
      </c>
      <c r="D280" s="8">
        <v>40.222223341464996</v>
      </c>
      <c r="E280" s="8">
        <v>2118.0</v>
      </c>
      <c r="F280" s="18">
        <f t="shared" si="1"/>
        <v>0.05288007554</v>
      </c>
      <c r="G280" s="18">
        <f t="shared" si="2"/>
        <v>0.3591269941</v>
      </c>
      <c r="H280" s="18">
        <f t="shared" si="3"/>
        <v>0.01899066258</v>
      </c>
      <c r="I280" s="8">
        <v>426.0</v>
      </c>
      <c r="J280" s="8">
        <v>158.44444832205772</v>
      </c>
      <c r="K280" s="8">
        <v>3156.0</v>
      </c>
      <c r="L280" s="18">
        <f t="shared" si="4"/>
        <v>0.1349809886</v>
      </c>
      <c r="M280" s="18">
        <f t="shared" si="5"/>
        <v>0.3719353247</v>
      </c>
      <c r="N280" s="18">
        <f t="shared" si="6"/>
        <v>0.05020419782</v>
      </c>
      <c r="O280" s="18">
        <f t="shared" si="7"/>
        <v>2.643625393</v>
      </c>
      <c r="U280" s="20"/>
      <c r="V280" s="20"/>
      <c r="W280" s="20"/>
      <c r="AA280" s="20"/>
      <c r="AB280" s="20"/>
      <c r="AC280" s="20"/>
      <c r="AD280" s="20"/>
    </row>
    <row r="281">
      <c r="A281" s="8">
        <v>70801.0</v>
      </c>
      <c r="B281" s="9" t="s">
        <v>294</v>
      </c>
      <c r="C281" s="8">
        <v>41.0</v>
      </c>
      <c r="D281" s="8">
        <v>15.55555585026741</v>
      </c>
      <c r="E281" s="8">
        <v>997.0</v>
      </c>
      <c r="F281" s="18">
        <f t="shared" si="1"/>
        <v>0.04112337011</v>
      </c>
      <c r="G281" s="18">
        <f t="shared" si="2"/>
        <v>0.3794038012</v>
      </c>
      <c r="H281" s="18">
        <f t="shared" si="3"/>
        <v>0.01560236294</v>
      </c>
      <c r="I281" s="8">
        <v>657.0</v>
      </c>
      <c r="J281" s="8">
        <v>240.8888949751854</v>
      </c>
      <c r="K281" s="8">
        <v>15845.0</v>
      </c>
      <c r="L281" s="18">
        <f t="shared" si="4"/>
        <v>0.04146418429</v>
      </c>
      <c r="M281" s="18">
        <f t="shared" si="5"/>
        <v>0.366649764</v>
      </c>
      <c r="N281" s="18">
        <f t="shared" si="6"/>
        <v>0.01520283338</v>
      </c>
      <c r="O281" s="18">
        <f t="shared" si="7"/>
        <v>0.9743930098</v>
      </c>
      <c r="U281" s="20"/>
      <c r="V281" s="20"/>
      <c r="W281" s="20"/>
      <c r="AA281" s="20"/>
      <c r="AB281" s="20"/>
      <c r="AC281" s="20"/>
      <c r="AD281" s="20"/>
    </row>
    <row r="282">
      <c r="A282" s="8">
        <v>70802.0</v>
      </c>
      <c r="B282" s="9" t="s">
        <v>295</v>
      </c>
      <c r="C282" s="8">
        <v>6.0</v>
      </c>
      <c r="D282" s="8">
        <v>2.444444477558136</v>
      </c>
      <c r="E282" s="8">
        <v>115.0</v>
      </c>
      <c r="F282" s="18">
        <f t="shared" si="1"/>
        <v>0.05217391304</v>
      </c>
      <c r="G282" s="18">
        <f t="shared" si="2"/>
        <v>0.4074074129</v>
      </c>
      <c r="H282" s="18">
        <f t="shared" si="3"/>
        <v>0.02125603894</v>
      </c>
      <c r="I282" s="8">
        <v>32.0</v>
      </c>
      <c r="J282" s="8">
        <v>10.888889193534851</v>
      </c>
      <c r="K282" s="8">
        <v>2241.0</v>
      </c>
      <c r="L282" s="18">
        <f t="shared" si="4"/>
        <v>0.01427933958</v>
      </c>
      <c r="M282" s="18">
        <f t="shared" si="5"/>
        <v>0.3402777873</v>
      </c>
      <c r="N282" s="18">
        <f t="shared" si="6"/>
        <v>0.004858942077</v>
      </c>
      <c r="O282" s="18">
        <f t="shared" si="7"/>
        <v>0.2285911355</v>
      </c>
      <c r="U282" s="20"/>
      <c r="V282" s="20"/>
      <c r="W282" s="20"/>
      <c r="AA282" s="20"/>
      <c r="AB282" s="20"/>
      <c r="AC282" s="20"/>
      <c r="AD282" s="20"/>
    </row>
    <row r="283">
      <c r="A283" s="8">
        <v>70803.0</v>
      </c>
      <c r="B283" s="9" t="s">
        <v>296</v>
      </c>
      <c r="C283" s="8">
        <v>16.0</v>
      </c>
      <c r="D283" s="8">
        <v>5.888889014720917</v>
      </c>
      <c r="E283" s="8">
        <v>160.0</v>
      </c>
      <c r="F283" s="18">
        <f t="shared" si="1"/>
        <v>0.1</v>
      </c>
      <c r="G283" s="18">
        <f t="shared" si="2"/>
        <v>0.3680555634</v>
      </c>
      <c r="H283" s="18">
        <f t="shared" si="3"/>
        <v>0.03680555634</v>
      </c>
      <c r="I283" s="8">
        <v>198.0</v>
      </c>
      <c r="J283" s="8">
        <v>70.3333351612091</v>
      </c>
      <c r="K283" s="8">
        <v>2597.0</v>
      </c>
      <c r="L283" s="18">
        <f t="shared" si="4"/>
        <v>0.07624181748</v>
      </c>
      <c r="M283" s="18">
        <f t="shared" si="5"/>
        <v>0.3552188645</v>
      </c>
      <c r="N283" s="18">
        <f t="shared" si="6"/>
        <v>0.02708253183</v>
      </c>
      <c r="O283" s="18">
        <f t="shared" si="7"/>
        <v>0.7358272642</v>
      </c>
      <c r="U283" s="20"/>
      <c r="V283" s="20"/>
      <c r="W283" s="20"/>
      <c r="AA283" s="20"/>
      <c r="AB283" s="20"/>
      <c r="AC283" s="20"/>
      <c r="AD283" s="20"/>
    </row>
    <row r="284">
      <c r="A284" s="8">
        <v>70804.0</v>
      </c>
      <c r="B284" s="9" t="s">
        <v>297</v>
      </c>
      <c r="C284" s="8">
        <v>11.0</v>
      </c>
      <c r="D284" s="8">
        <v>5.444444626569748</v>
      </c>
      <c r="E284" s="8">
        <v>81.0</v>
      </c>
      <c r="F284" s="18">
        <f t="shared" si="1"/>
        <v>0.1358024691</v>
      </c>
      <c r="G284" s="18">
        <f t="shared" si="2"/>
        <v>0.4949495115</v>
      </c>
      <c r="H284" s="18">
        <f t="shared" si="3"/>
        <v>0.06721536576</v>
      </c>
      <c r="I284" s="8">
        <v>288.0</v>
      </c>
      <c r="J284" s="8">
        <v>106.11111354827881</v>
      </c>
      <c r="K284" s="8">
        <v>1684.0</v>
      </c>
      <c r="L284" s="18">
        <f t="shared" si="4"/>
        <v>0.1710213777</v>
      </c>
      <c r="M284" s="18">
        <f t="shared" si="5"/>
        <v>0.3684413665</v>
      </c>
      <c r="N284" s="18">
        <f t="shared" si="6"/>
        <v>0.06301135009</v>
      </c>
      <c r="O284" s="18">
        <f t="shared" si="7"/>
        <v>0.9374545444</v>
      </c>
      <c r="U284" s="20"/>
      <c r="V284" s="20"/>
      <c r="W284" s="20"/>
      <c r="AA284" s="20"/>
      <c r="AB284" s="20"/>
      <c r="AC284" s="20"/>
      <c r="AD284" s="20"/>
    </row>
    <row r="285">
      <c r="A285" s="8">
        <v>70805.0</v>
      </c>
      <c r="B285" s="9" t="s">
        <v>298</v>
      </c>
      <c r="C285" s="8">
        <v>1.0</v>
      </c>
      <c r="D285" s="8">
        <v>0.3333333432674408</v>
      </c>
      <c r="E285" s="8">
        <v>76.0</v>
      </c>
      <c r="F285" s="18">
        <f t="shared" si="1"/>
        <v>0.01315789474</v>
      </c>
      <c r="G285" s="18">
        <f t="shared" si="2"/>
        <v>0.3333333433</v>
      </c>
      <c r="H285" s="18">
        <f t="shared" si="3"/>
        <v>0.004385965043</v>
      </c>
      <c r="I285" s="8">
        <v>156.0</v>
      </c>
      <c r="J285" s="8">
        <v>54.88889029622078</v>
      </c>
      <c r="K285" s="8">
        <v>1933.0</v>
      </c>
      <c r="L285" s="18">
        <f t="shared" si="4"/>
        <v>0.08070356958</v>
      </c>
      <c r="M285" s="18">
        <f t="shared" si="5"/>
        <v>0.3518518609</v>
      </c>
      <c r="N285" s="18">
        <f t="shared" si="6"/>
        <v>0.02839570114</v>
      </c>
      <c r="O285" s="18">
        <f t="shared" si="7"/>
        <v>6.474219666</v>
      </c>
      <c r="U285" s="20"/>
      <c r="V285" s="20"/>
      <c r="W285" s="20"/>
      <c r="AA285" s="20"/>
      <c r="AB285" s="20"/>
      <c r="AC285" s="20"/>
      <c r="AD285" s="20"/>
    </row>
    <row r="286">
      <c r="A286" s="8">
        <v>70901.0</v>
      </c>
      <c r="B286" s="9" t="s">
        <v>299</v>
      </c>
      <c r="C286" s="8">
        <v>285.0</v>
      </c>
      <c r="D286" s="8">
        <v>112.22222474217415</v>
      </c>
      <c r="E286" s="8">
        <v>2402.0</v>
      </c>
      <c r="F286" s="18">
        <f t="shared" si="1"/>
        <v>0.1186511241</v>
      </c>
      <c r="G286" s="18">
        <f t="shared" si="2"/>
        <v>0.3937621921</v>
      </c>
      <c r="H286" s="18">
        <f t="shared" si="3"/>
        <v>0.0467203267</v>
      </c>
      <c r="I286" s="8">
        <v>571.0</v>
      </c>
      <c r="J286" s="8">
        <v>204.77778288722038</v>
      </c>
      <c r="K286" s="8">
        <v>9092.0</v>
      </c>
      <c r="L286" s="18">
        <f t="shared" si="4"/>
        <v>0.0628024637</v>
      </c>
      <c r="M286" s="18">
        <f t="shared" si="5"/>
        <v>0.3586300926</v>
      </c>
      <c r="N286" s="18">
        <f t="shared" si="6"/>
        <v>0.02252285338</v>
      </c>
      <c r="O286" s="18">
        <f t="shared" si="7"/>
        <v>0.4820782508</v>
      </c>
      <c r="U286" s="20"/>
      <c r="V286" s="20"/>
      <c r="W286" s="20"/>
      <c r="AA286" s="20"/>
      <c r="AB286" s="20"/>
      <c r="AC286" s="20"/>
      <c r="AD286" s="20"/>
    </row>
    <row r="287">
      <c r="A287" s="8">
        <v>70902.0</v>
      </c>
      <c r="B287" s="9" t="s">
        <v>300</v>
      </c>
      <c r="C287" s="8">
        <v>307.0</v>
      </c>
      <c r="D287" s="8">
        <v>115.7777809202671</v>
      </c>
      <c r="E287" s="8">
        <v>2966.0</v>
      </c>
      <c r="F287" s="18">
        <f t="shared" si="1"/>
        <v>0.1035064059</v>
      </c>
      <c r="G287" s="18">
        <f t="shared" si="2"/>
        <v>0.3771263222</v>
      </c>
      <c r="H287" s="18">
        <f t="shared" si="3"/>
        <v>0.0390349902</v>
      </c>
      <c r="I287" s="8">
        <v>388.0</v>
      </c>
      <c r="J287" s="8">
        <v>140.88889265060425</v>
      </c>
      <c r="K287" s="8">
        <v>6640.0</v>
      </c>
      <c r="L287" s="18">
        <f t="shared" si="4"/>
        <v>0.05843373494</v>
      </c>
      <c r="M287" s="18">
        <f t="shared" si="5"/>
        <v>0.3631157027</v>
      </c>
      <c r="N287" s="18">
        <f t="shared" si="6"/>
        <v>0.02121820672</v>
      </c>
      <c r="O287" s="18">
        <f t="shared" si="7"/>
        <v>0.5435689011</v>
      </c>
      <c r="U287" s="20"/>
      <c r="V287" s="20"/>
      <c r="W287" s="20"/>
      <c r="AA287" s="20"/>
      <c r="AB287" s="20"/>
      <c r="AC287" s="20"/>
      <c r="AD287" s="20"/>
    </row>
    <row r="288">
      <c r="A288" s="8">
        <v>70903.0</v>
      </c>
      <c r="B288" s="9" t="s">
        <v>301</v>
      </c>
      <c r="C288" s="8">
        <v>660.0</v>
      </c>
      <c r="D288" s="8">
        <v>251.22222849726677</v>
      </c>
      <c r="E288" s="8">
        <v>3792.0</v>
      </c>
      <c r="F288" s="18">
        <f t="shared" si="1"/>
        <v>0.1740506329</v>
      </c>
      <c r="G288" s="18">
        <f t="shared" si="2"/>
        <v>0.3806397401</v>
      </c>
      <c r="H288" s="18">
        <f t="shared" si="3"/>
        <v>0.06625058768</v>
      </c>
      <c r="I288" s="8">
        <v>725.0</v>
      </c>
      <c r="J288" s="8">
        <v>272.4444510936737</v>
      </c>
      <c r="K288" s="8">
        <v>8871.0</v>
      </c>
      <c r="L288" s="18">
        <f t="shared" si="4"/>
        <v>0.08172697554</v>
      </c>
      <c r="M288" s="18">
        <f t="shared" si="5"/>
        <v>0.3757854498</v>
      </c>
      <c r="N288" s="18">
        <f t="shared" si="6"/>
        <v>0.03071180826</v>
      </c>
      <c r="O288" s="18">
        <f t="shared" si="7"/>
        <v>0.4635703521</v>
      </c>
      <c r="U288" s="20"/>
      <c r="V288" s="20"/>
      <c r="W288" s="20"/>
      <c r="AA288" s="20"/>
      <c r="AB288" s="20"/>
      <c r="AC288" s="20"/>
      <c r="AD288" s="20"/>
    </row>
    <row r="289">
      <c r="A289" s="8">
        <v>70904.0</v>
      </c>
      <c r="B289" s="9" t="s">
        <v>302</v>
      </c>
      <c r="C289" s="8">
        <v>16.0</v>
      </c>
      <c r="D289" s="8">
        <v>6.222222328186035</v>
      </c>
      <c r="E289" s="8">
        <v>206.0</v>
      </c>
      <c r="F289" s="18">
        <f t="shared" si="1"/>
        <v>0.07766990291</v>
      </c>
      <c r="G289" s="18">
        <f t="shared" si="2"/>
        <v>0.3888888955</v>
      </c>
      <c r="H289" s="18">
        <f t="shared" si="3"/>
        <v>0.03020496276</v>
      </c>
      <c r="I289" s="8">
        <v>213.0</v>
      </c>
      <c r="J289" s="8">
        <v>78.22222435474396</v>
      </c>
      <c r="K289" s="8">
        <v>2854.0</v>
      </c>
      <c r="L289" s="18">
        <f t="shared" si="4"/>
        <v>0.0746320953</v>
      </c>
      <c r="M289" s="18">
        <f t="shared" si="5"/>
        <v>0.3672404899</v>
      </c>
      <c r="N289" s="18">
        <f t="shared" si="6"/>
        <v>0.02740792724</v>
      </c>
      <c r="O289" s="18">
        <f t="shared" si="7"/>
        <v>0.9073981472</v>
      </c>
      <c r="U289" s="20"/>
      <c r="V289" s="20"/>
      <c r="W289" s="20"/>
      <c r="AA289" s="20"/>
      <c r="AB289" s="20"/>
      <c r="AC289" s="20"/>
      <c r="AD289" s="20"/>
    </row>
    <row r="290">
      <c r="A290" s="8">
        <v>71001.0</v>
      </c>
      <c r="B290" s="9" t="s">
        <v>303</v>
      </c>
      <c r="C290" s="8">
        <v>1359.0</v>
      </c>
      <c r="D290" s="8">
        <v>483.2222346663475</v>
      </c>
      <c r="E290" s="8">
        <v>22162.0</v>
      </c>
      <c r="F290" s="18">
        <f t="shared" si="1"/>
        <v>0.0613211804</v>
      </c>
      <c r="G290" s="18">
        <f t="shared" si="2"/>
        <v>0.3555719166</v>
      </c>
      <c r="H290" s="18">
        <f t="shared" si="3"/>
        <v>0.02180408964</v>
      </c>
      <c r="I290" s="8">
        <v>3893.0</v>
      </c>
      <c r="J290" s="8">
        <v>1387.6667024493217</v>
      </c>
      <c r="K290" s="8">
        <v>100463.0</v>
      </c>
      <c r="L290" s="18">
        <f t="shared" si="4"/>
        <v>0.03875058479</v>
      </c>
      <c r="M290" s="18">
        <f t="shared" si="5"/>
        <v>0.3564517602</v>
      </c>
      <c r="N290" s="18">
        <f t="shared" si="6"/>
        <v>0.01381271416</v>
      </c>
      <c r="O290" s="18">
        <f t="shared" si="7"/>
        <v>0.6334918992</v>
      </c>
      <c r="U290" s="20"/>
      <c r="V290" s="20"/>
      <c r="W290" s="20"/>
      <c r="AA290" s="20"/>
      <c r="AB290" s="20"/>
      <c r="AC290" s="20"/>
      <c r="AD290" s="20"/>
    </row>
    <row r="291">
      <c r="A291" s="8">
        <v>71002.0</v>
      </c>
      <c r="B291" s="9" t="s">
        <v>304</v>
      </c>
      <c r="C291" s="8">
        <v>423.0</v>
      </c>
      <c r="D291" s="8">
        <v>149.66667059063911</v>
      </c>
      <c r="E291" s="8">
        <v>4606.0</v>
      </c>
      <c r="F291" s="18">
        <f t="shared" si="1"/>
        <v>0.09183673469</v>
      </c>
      <c r="G291" s="18">
        <f t="shared" si="2"/>
        <v>0.3538219163</v>
      </c>
      <c r="H291" s="18">
        <f t="shared" si="3"/>
        <v>0.03249384946</v>
      </c>
      <c r="I291" s="8">
        <v>824.0</v>
      </c>
      <c r="J291" s="8">
        <v>297.5555627644062</v>
      </c>
      <c r="K291" s="8">
        <v>11870.0</v>
      </c>
      <c r="L291" s="18">
        <f t="shared" si="4"/>
        <v>0.06941870261</v>
      </c>
      <c r="M291" s="18">
        <f t="shared" si="5"/>
        <v>0.3611111199</v>
      </c>
      <c r="N291" s="18">
        <f t="shared" si="6"/>
        <v>0.02506786544</v>
      </c>
      <c r="O291" s="18">
        <f t="shared" si="7"/>
        <v>0.7714649344</v>
      </c>
      <c r="U291" s="20"/>
      <c r="V291" s="20"/>
      <c r="W291" s="20"/>
      <c r="AA291" s="20"/>
      <c r="AB291" s="20"/>
      <c r="AC291" s="20"/>
      <c r="AD291" s="20"/>
    </row>
    <row r="292">
      <c r="A292" s="8">
        <v>71003.0</v>
      </c>
      <c r="B292" s="9" t="s">
        <v>305</v>
      </c>
      <c r="C292" s="8">
        <v>323.0</v>
      </c>
      <c r="D292" s="8">
        <v>116.11111426353455</v>
      </c>
      <c r="E292" s="8">
        <v>4347.0</v>
      </c>
      <c r="F292" s="18">
        <f t="shared" si="1"/>
        <v>0.07430411778</v>
      </c>
      <c r="G292" s="18">
        <f t="shared" si="2"/>
        <v>0.3594771339</v>
      </c>
      <c r="H292" s="18">
        <f t="shared" si="3"/>
        <v>0.0267106313</v>
      </c>
      <c r="I292" s="8">
        <v>938.0</v>
      </c>
      <c r="J292" s="8">
        <v>337.77778697013855</v>
      </c>
      <c r="K292" s="8">
        <v>18589.0</v>
      </c>
      <c r="L292" s="18">
        <f t="shared" si="4"/>
        <v>0.05045994943</v>
      </c>
      <c r="M292" s="18">
        <f t="shared" si="5"/>
        <v>0.3601042505</v>
      </c>
      <c r="N292" s="18">
        <f t="shared" si="6"/>
        <v>0.01817084227</v>
      </c>
      <c r="O292" s="18">
        <f t="shared" si="7"/>
        <v>0.6802850171</v>
      </c>
      <c r="U292" s="20"/>
      <c r="V292" s="20"/>
      <c r="W292" s="20"/>
      <c r="AA292" s="20"/>
      <c r="AB292" s="20"/>
      <c r="AC292" s="20"/>
      <c r="AD292" s="20"/>
    </row>
    <row r="293">
      <c r="A293" s="8">
        <v>71004.0</v>
      </c>
      <c r="B293" s="9" t="s">
        <v>306</v>
      </c>
      <c r="C293" s="8">
        <v>605.0</v>
      </c>
      <c r="D293" s="8">
        <v>226.88889494538307</v>
      </c>
      <c r="E293" s="8">
        <v>5578.0</v>
      </c>
      <c r="F293" s="18">
        <f t="shared" si="1"/>
        <v>0.1084618143</v>
      </c>
      <c r="G293" s="18">
        <f t="shared" si="2"/>
        <v>0.3750229669</v>
      </c>
      <c r="H293" s="18">
        <f t="shared" si="3"/>
        <v>0.04067567138</v>
      </c>
      <c r="I293" s="8">
        <v>406.0</v>
      </c>
      <c r="J293" s="8">
        <v>149.22222632169724</v>
      </c>
      <c r="K293" s="8">
        <v>7112.0</v>
      </c>
      <c r="L293" s="18">
        <f t="shared" si="4"/>
        <v>0.05708661417</v>
      </c>
      <c r="M293" s="18">
        <f t="shared" si="5"/>
        <v>0.3675424294</v>
      </c>
      <c r="N293" s="18">
        <f t="shared" si="6"/>
        <v>0.02098175286</v>
      </c>
      <c r="O293" s="18">
        <f t="shared" si="7"/>
        <v>0.5158305234</v>
      </c>
      <c r="U293" s="20"/>
      <c r="V293" s="20"/>
      <c r="W293" s="20"/>
      <c r="AA293" s="20"/>
      <c r="AB293" s="20"/>
      <c r="AC293" s="20"/>
      <c r="AD293" s="20"/>
    </row>
    <row r="294">
      <c r="A294" s="8">
        <v>71005.0</v>
      </c>
      <c r="B294" s="9" t="s">
        <v>307</v>
      </c>
      <c r="C294" s="8">
        <v>285.0</v>
      </c>
      <c r="D294" s="8">
        <v>101.22222471237183</v>
      </c>
      <c r="E294" s="8">
        <v>4337.0</v>
      </c>
      <c r="F294" s="18">
        <f t="shared" si="1"/>
        <v>0.06571362693</v>
      </c>
      <c r="G294" s="18">
        <f t="shared" si="2"/>
        <v>0.3551657007</v>
      </c>
      <c r="H294" s="18">
        <f t="shared" si="3"/>
        <v>0.02333922636</v>
      </c>
      <c r="I294" s="8">
        <v>527.0</v>
      </c>
      <c r="J294" s="8">
        <v>189.88889354467392</v>
      </c>
      <c r="K294" s="8">
        <v>9010.0</v>
      </c>
      <c r="L294" s="18">
        <f t="shared" si="4"/>
        <v>0.05849056604</v>
      </c>
      <c r="M294" s="18">
        <f t="shared" si="5"/>
        <v>0.3603204811</v>
      </c>
      <c r="N294" s="18">
        <f t="shared" si="6"/>
        <v>0.0210753489</v>
      </c>
      <c r="O294" s="18">
        <f t="shared" si="7"/>
        <v>0.903001178</v>
      </c>
      <c r="U294" s="20"/>
      <c r="V294" s="20"/>
      <c r="W294" s="20"/>
      <c r="AA294" s="20"/>
      <c r="AB294" s="20"/>
      <c r="AC294" s="20"/>
      <c r="AD294" s="20"/>
    </row>
    <row r="295">
      <c r="A295" s="8">
        <v>71101.0</v>
      </c>
      <c r="B295" s="9" t="s">
        <v>308</v>
      </c>
      <c r="C295" s="8">
        <v>3054.0</v>
      </c>
      <c r="D295" s="8">
        <v>1133.5555838346481</v>
      </c>
      <c r="E295" s="8">
        <v>18251.0</v>
      </c>
      <c r="F295" s="18">
        <f t="shared" si="1"/>
        <v>0.1673332968</v>
      </c>
      <c r="G295" s="18">
        <f t="shared" si="2"/>
        <v>0.3711707871</v>
      </c>
      <c r="H295" s="18">
        <f t="shared" si="3"/>
        <v>0.06210923149</v>
      </c>
      <c r="I295" s="8">
        <v>1644.0</v>
      </c>
      <c r="J295" s="8">
        <v>612.7777933478355</v>
      </c>
      <c r="K295" s="8">
        <v>11270.0</v>
      </c>
      <c r="L295" s="18">
        <f t="shared" si="4"/>
        <v>0.1458740018</v>
      </c>
      <c r="M295" s="18">
        <f t="shared" si="5"/>
        <v>0.372735884</v>
      </c>
      <c r="N295" s="18">
        <f t="shared" si="6"/>
        <v>0.05437247501</v>
      </c>
      <c r="O295" s="18">
        <f t="shared" si="7"/>
        <v>0.875433067</v>
      </c>
      <c r="U295" s="20"/>
      <c r="V295" s="20"/>
      <c r="W295" s="20"/>
      <c r="AA295" s="20"/>
      <c r="AB295" s="20"/>
      <c r="AC295" s="20"/>
      <c r="AD295" s="20"/>
    </row>
    <row r="296">
      <c r="A296" s="8">
        <v>71102.0</v>
      </c>
      <c r="B296" s="9" t="s">
        <v>309</v>
      </c>
      <c r="C296" s="8">
        <v>694.0</v>
      </c>
      <c r="D296" s="8">
        <v>257.77778401970863</v>
      </c>
      <c r="E296" s="8">
        <v>7180.0</v>
      </c>
      <c r="F296" s="18">
        <f t="shared" si="1"/>
        <v>0.09665738162</v>
      </c>
      <c r="G296" s="18">
        <f t="shared" si="2"/>
        <v>0.3714377291</v>
      </c>
      <c r="H296" s="18">
        <f t="shared" si="3"/>
        <v>0.03590219833</v>
      </c>
      <c r="I296" s="8">
        <v>781.0</v>
      </c>
      <c r="J296" s="8">
        <v>298.0000077188015</v>
      </c>
      <c r="K296" s="8">
        <v>7100.0</v>
      </c>
      <c r="L296" s="18">
        <f t="shared" si="4"/>
        <v>0.11</v>
      </c>
      <c r="M296" s="18">
        <f t="shared" si="5"/>
        <v>0.3815621098</v>
      </c>
      <c r="N296" s="18">
        <f t="shared" si="6"/>
        <v>0.04197183207</v>
      </c>
      <c r="O296" s="18">
        <f t="shared" si="7"/>
        <v>1.169060225</v>
      </c>
      <c r="U296" s="20"/>
      <c r="V296" s="20"/>
      <c r="W296" s="20"/>
      <c r="AA296" s="20"/>
      <c r="AB296" s="20"/>
      <c r="AC296" s="20"/>
      <c r="AD296" s="20"/>
    </row>
    <row r="297">
      <c r="A297" s="8">
        <v>71103.0</v>
      </c>
      <c r="B297" s="9" t="s">
        <v>310</v>
      </c>
      <c r="C297" s="8">
        <v>219.0</v>
      </c>
      <c r="D297" s="8">
        <v>82.66666901111603</v>
      </c>
      <c r="E297" s="8">
        <v>2055.0</v>
      </c>
      <c r="F297" s="18">
        <f t="shared" si="1"/>
        <v>0.1065693431</v>
      </c>
      <c r="G297" s="18">
        <f t="shared" si="2"/>
        <v>0.3774733745</v>
      </c>
      <c r="H297" s="18">
        <f t="shared" si="3"/>
        <v>0.04022708954</v>
      </c>
      <c r="I297" s="8">
        <v>636.0</v>
      </c>
      <c r="J297" s="8">
        <v>226.1111171245575</v>
      </c>
      <c r="K297" s="8">
        <v>6340.0</v>
      </c>
      <c r="L297" s="18">
        <f t="shared" si="4"/>
        <v>0.1003154574</v>
      </c>
      <c r="M297" s="18">
        <f t="shared" si="5"/>
        <v>0.3555206244</v>
      </c>
      <c r="N297" s="18">
        <f t="shared" si="6"/>
        <v>0.03566421406</v>
      </c>
      <c r="O297" s="18">
        <f t="shared" si="7"/>
        <v>0.8865720703</v>
      </c>
      <c r="U297" s="20"/>
      <c r="V297" s="20"/>
      <c r="W297" s="20"/>
      <c r="AA297" s="20"/>
      <c r="AB297" s="20"/>
      <c r="AC297" s="20"/>
      <c r="AD297" s="20"/>
    </row>
    <row r="298">
      <c r="A298" s="8">
        <v>71104.0</v>
      </c>
      <c r="B298" s="9" t="s">
        <v>311</v>
      </c>
      <c r="C298" s="8">
        <v>1247.0</v>
      </c>
      <c r="D298" s="8">
        <v>448.6666781306267</v>
      </c>
      <c r="E298" s="8">
        <v>21048.0</v>
      </c>
      <c r="F298" s="18">
        <f t="shared" si="1"/>
        <v>0.05924553402</v>
      </c>
      <c r="G298" s="18">
        <f t="shared" si="2"/>
        <v>0.359796855</v>
      </c>
      <c r="H298" s="18">
        <f t="shared" si="3"/>
        <v>0.02131635681</v>
      </c>
      <c r="I298" s="8">
        <v>1266.0</v>
      </c>
      <c r="J298" s="8">
        <v>452.0000115931034</v>
      </c>
      <c r="K298" s="8">
        <v>21744.0</v>
      </c>
      <c r="L298" s="18">
        <f t="shared" si="4"/>
        <v>0.05822295806</v>
      </c>
      <c r="M298" s="18">
        <f t="shared" si="5"/>
        <v>0.357030025</v>
      </c>
      <c r="N298" s="18">
        <f t="shared" si="6"/>
        <v>0.02078734417</v>
      </c>
      <c r="O298" s="18">
        <f t="shared" si="7"/>
        <v>0.9751827835</v>
      </c>
      <c r="U298" s="20"/>
      <c r="V298" s="20"/>
      <c r="W298" s="20"/>
      <c r="AA298" s="20"/>
      <c r="AB298" s="20"/>
      <c r="AC298" s="20"/>
      <c r="AD298" s="20"/>
    </row>
    <row r="299">
      <c r="A299" s="8">
        <v>71105.0</v>
      </c>
      <c r="B299" s="9" t="s">
        <v>312</v>
      </c>
      <c r="C299" s="8">
        <v>386.0</v>
      </c>
      <c r="D299" s="8">
        <v>136.55555900931358</v>
      </c>
      <c r="E299" s="8">
        <v>5887.0</v>
      </c>
      <c r="F299" s="18">
        <f t="shared" si="1"/>
        <v>0.06556820112</v>
      </c>
      <c r="G299" s="18">
        <f t="shared" si="2"/>
        <v>0.3537708783</v>
      </c>
      <c r="H299" s="18">
        <f t="shared" si="3"/>
        <v>0.0231961201</v>
      </c>
      <c r="I299" s="8">
        <v>57.0</v>
      </c>
      <c r="J299" s="8">
        <v>19.000000566244125</v>
      </c>
      <c r="K299" s="8">
        <v>400.0</v>
      </c>
      <c r="L299" s="18">
        <f t="shared" si="4"/>
        <v>0.1425</v>
      </c>
      <c r="M299" s="18">
        <f t="shared" si="5"/>
        <v>0.3333333433</v>
      </c>
      <c r="N299" s="18">
        <f t="shared" si="6"/>
        <v>0.04750000142</v>
      </c>
      <c r="O299" s="18">
        <f t="shared" si="7"/>
        <v>2.047756315</v>
      </c>
      <c r="U299" s="20"/>
      <c r="V299" s="20"/>
      <c r="W299" s="20"/>
      <c r="AA299" s="20"/>
      <c r="AB299" s="20"/>
      <c r="AC299" s="20"/>
      <c r="AD299" s="20"/>
    </row>
    <row r="300">
      <c r="A300" s="8">
        <v>71106.0</v>
      </c>
      <c r="B300" s="9" t="s">
        <v>313</v>
      </c>
      <c r="C300" s="8">
        <v>285.0</v>
      </c>
      <c r="D300" s="8">
        <v>102.11111378669739</v>
      </c>
      <c r="E300" s="8">
        <v>7360.0</v>
      </c>
      <c r="F300" s="18">
        <f t="shared" si="1"/>
        <v>0.03872282609</v>
      </c>
      <c r="G300" s="18">
        <f t="shared" si="2"/>
        <v>0.3582846098</v>
      </c>
      <c r="H300" s="18">
        <f t="shared" si="3"/>
        <v>0.01387379263</v>
      </c>
      <c r="I300" s="8">
        <v>1038.0</v>
      </c>
      <c r="J300" s="8">
        <v>377.4444542527199</v>
      </c>
      <c r="K300" s="8">
        <v>16722.0</v>
      </c>
      <c r="L300" s="18">
        <f t="shared" si="4"/>
        <v>0.0620739146</v>
      </c>
      <c r="M300" s="18">
        <f t="shared" si="5"/>
        <v>0.3636266419</v>
      </c>
      <c r="N300" s="18">
        <f t="shared" si="6"/>
        <v>0.02257172911</v>
      </c>
      <c r="O300" s="18">
        <f t="shared" si="7"/>
        <v>1.626932859</v>
      </c>
      <c r="U300" s="20"/>
      <c r="V300" s="20"/>
      <c r="W300" s="20"/>
      <c r="AA300" s="20"/>
      <c r="AB300" s="20"/>
      <c r="AC300" s="20"/>
      <c r="AD300" s="20"/>
    </row>
    <row r="301">
      <c r="A301" s="8">
        <v>71201.0</v>
      </c>
      <c r="B301" s="9" t="s">
        <v>314</v>
      </c>
      <c r="C301" s="8">
        <v>880.0</v>
      </c>
      <c r="D301" s="8">
        <v>323.5555634498596</v>
      </c>
      <c r="E301" s="8">
        <v>6872.0</v>
      </c>
      <c r="F301" s="18">
        <f t="shared" si="1"/>
        <v>0.1280558789</v>
      </c>
      <c r="G301" s="18">
        <f t="shared" si="2"/>
        <v>0.3676767766</v>
      </c>
      <c r="H301" s="18">
        <f t="shared" si="3"/>
        <v>0.0470831728</v>
      </c>
      <c r="I301" s="8">
        <v>1123.0</v>
      </c>
      <c r="J301" s="8">
        <v>419.0000114440918</v>
      </c>
      <c r="K301" s="8">
        <v>8010.0</v>
      </c>
      <c r="L301" s="18">
        <f t="shared" si="4"/>
        <v>0.1401997503</v>
      </c>
      <c r="M301" s="18">
        <f t="shared" si="5"/>
        <v>0.3731077573</v>
      </c>
      <c r="N301" s="18">
        <f t="shared" si="6"/>
        <v>0.05230961441</v>
      </c>
      <c r="O301" s="18">
        <f t="shared" si="7"/>
        <v>1.111004448</v>
      </c>
      <c r="U301" s="20"/>
      <c r="V301" s="20"/>
      <c r="W301" s="20"/>
      <c r="AA301" s="20"/>
      <c r="AB301" s="20"/>
      <c r="AC301" s="20"/>
      <c r="AD301" s="20"/>
    </row>
    <row r="302">
      <c r="A302" s="8">
        <v>71301.0</v>
      </c>
      <c r="B302" s="9" t="s">
        <v>315</v>
      </c>
      <c r="C302" s="8">
        <v>792.0</v>
      </c>
      <c r="D302" s="8">
        <v>295.5555631816387</v>
      </c>
      <c r="E302" s="8">
        <v>5656.0</v>
      </c>
      <c r="F302" s="18">
        <f t="shared" si="1"/>
        <v>0.1400282885</v>
      </c>
      <c r="G302" s="18">
        <f t="shared" si="2"/>
        <v>0.3731762161</v>
      </c>
      <c r="H302" s="18">
        <f t="shared" si="3"/>
        <v>0.05225522687</v>
      </c>
      <c r="I302" s="8">
        <v>900.0</v>
      </c>
      <c r="J302" s="8">
        <v>328.44445276260376</v>
      </c>
      <c r="K302" s="8">
        <v>11363.0</v>
      </c>
      <c r="L302" s="18">
        <f t="shared" si="4"/>
        <v>0.07920443545</v>
      </c>
      <c r="M302" s="18">
        <f t="shared" si="5"/>
        <v>0.3649382808</v>
      </c>
      <c r="N302" s="18">
        <f t="shared" si="6"/>
        <v>0.02890473051</v>
      </c>
      <c r="O302" s="18">
        <f t="shared" si="7"/>
        <v>0.5531452496</v>
      </c>
      <c r="U302" s="20"/>
      <c r="V302" s="20"/>
      <c r="W302" s="20"/>
      <c r="AA302" s="20"/>
      <c r="AB302" s="20"/>
      <c r="AC302" s="20"/>
      <c r="AD302" s="20"/>
    </row>
    <row r="303">
      <c r="A303" s="8">
        <v>71302.0</v>
      </c>
      <c r="B303" s="9" t="s">
        <v>316</v>
      </c>
      <c r="C303" s="8">
        <v>147.0</v>
      </c>
      <c r="D303" s="8">
        <v>53.88889014720917</v>
      </c>
      <c r="E303" s="8">
        <v>1664.0</v>
      </c>
      <c r="F303" s="18">
        <f t="shared" si="1"/>
        <v>0.08834134615</v>
      </c>
      <c r="G303" s="18">
        <f t="shared" si="2"/>
        <v>0.3665910894</v>
      </c>
      <c r="H303" s="18">
        <f t="shared" si="3"/>
        <v>0.03238515033</v>
      </c>
      <c r="I303" s="8">
        <v>267.0</v>
      </c>
      <c r="J303" s="8">
        <v>97.66666892170906</v>
      </c>
      <c r="K303" s="8">
        <v>4294.0</v>
      </c>
      <c r="L303" s="18">
        <f t="shared" si="4"/>
        <v>0.06217978575</v>
      </c>
      <c r="M303" s="18">
        <f t="shared" si="5"/>
        <v>0.3657927675</v>
      </c>
      <c r="N303" s="18">
        <f t="shared" si="6"/>
        <v>0.02274491591</v>
      </c>
      <c r="O303" s="18">
        <f t="shared" si="7"/>
        <v>0.7023254695</v>
      </c>
      <c r="U303" s="20"/>
      <c r="V303" s="20"/>
      <c r="W303" s="20"/>
      <c r="AA303" s="20"/>
      <c r="AB303" s="20"/>
      <c r="AC303" s="20"/>
      <c r="AD303" s="20"/>
    </row>
    <row r="304">
      <c r="A304" s="8">
        <v>71401.0</v>
      </c>
      <c r="B304" s="9" t="s">
        <v>317</v>
      </c>
      <c r="C304" s="8">
        <v>299.0</v>
      </c>
      <c r="D304" s="8">
        <v>109.22222492098808</v>
      </c>
      <c r="E304" s="8">
        <v>3201.0</v>
      </c>
      <c r="F304" s="18">
        <f t="shared" si="1"/>
        <v>0.0934083099</v>
      </c>
      <c r="G304" s="18">
        <f t="shared" si="2"/>
        <v>0.3652917221</v>
      </c>
      <c r="H304" s="18">
        <f t="shared" si="3"/>
        <v>0.03412128239</v>
      </c>
      <c r="I304" s="8">
        <v>470.0</v>
      </c>
      <c r="J304" s="8">
        <v>165.33333748579025</v>
      </c>
      <c r="K304" s="8">
        <v>13043.0</v>
      </c>
      <c r="L304" s="18">
        <f t="shared" si="4"/>
        <v>0.0360346546</v>
      </c>
      <c r="M304" s="18">
        <f t="shared" si="5"/>
        <v>0.3517730585</v>
      </c>
      <c r="N304" s="18">
        <f t="shared" si="6"/>
        <v>0.01267602066</v>
      </c>
      <c r="O304" s="18">
        <f t="shared" si="7"/>
        <v>0.3714989524</v>
      </c>
      <c r="U304" s="20"/>
      <c r="V304" s="20"/>
      <c r="W304" s="20"/>
      <c r="AA304" s="20"/>
      <c r="AB304" s="20"/>
      <c r="AC304" s="20"/>
      <c r="AD304" s="20"/>
    </row>
    <row r="305">
      <c r="A305" s="8">
        <v>71402.0</v>
      </c>
      <c r="B305" s="9" t="s">
        <v>318</v>
      </c>
      <c r="C305" s="8">
        <v>171.0</v>
      </c>
      <c r="D305" s="8">
        <v>62.4444460272789</v>
      </c>
      <c r="E305" s="8">
        <v>3068.0</v>
      </c>
      <c r="F305" s="18">
        <f t="shared" si="1"/>
        <v>0.05573663625</v>
      </c>
      <c r="G305" s="18">
        <f t="shared" si="2"/>
        <v>0.365172199</v>
      </c>
      <c r="H305" s="18">
        <f t="shared" si="3"/>
        <v>0.02035347002</v>
      </c>
      <c r="I305" s="8">
        <v>768.0</v>
      </c>
      <c r="J305" s="8">
        <v>272.66667354106903</v>
      </c>
      <c r="K305" s="8">
        <v>14110.0</v>
      </c>
      <c r="L305" s="18">
        <f t="shared" si="4"/>
        <v>0.05442948264</v>
      </c>
      <c r="M305" s="18">
        <f t="shared" si="5"/>
        <v>0.3550347312</v>
      </c>
      <c r="N305" s="18">
        <f t="shared" si="6"/>
        <v>0.01932435674</v>
      </c>
      <c r="O305" s="18">
        <f t="shared" si="7"/>
        <v>0.9494379442</v>
      </c>
      <c r="U305" s="20"/>
      <c r="V305" s="20"/>
      <c r="W305" s="20"/>
      <c r="AA305" s="20"/>
      <c r="AB305" s="20"/>
      <c r="AC305" s="20"/>
      <c r="AD305" s="20"/>
    </row>
    <row r="306">
      <c r="A306" s="8">
        <v>71403.0</v>
      </c>
      <c r="B306" s="9" t="s">
        <v>319</v>
      </c>
      <c r="C306" s="8">
        <v>532.0</v>
      </c>
      <c r="D306" s="8">
        <v>206.77778336405754</v>
      </c>
      <c r="E306" s="8">
        <v>3010.0</v>
      </c>
      <c r="F306" s="18">
        <f t="shared" si="1"/>
        <v>0.176744186</v>
      </c>
      <c r="G306" s="18">
        <f t="shared" si="2"/>
        <v>0.3886800439</v>
      </c>
      <c r="H306" s="18">
        <f t="shared" si="3"/>
        <v>0.06869693799</v>
      </c>
      <c r="I306" s="8">
        <v>381.0</v>
      </c>
      <c r="J306" s="8">
        <v>134.3333368897438</v>
      </c>
      <c r="K306" s="8">
        <v>5502.0</v>
      </c>
      <c r="L306" s="18">
        <f t="shared" si="4"/>
        <v>0.06924754635</v>
      </c>
      <c r="M306" s="18">
        <f t="shared" si="5"/>
        <v>0.3525809367</v>
      </c>
      <c r="N306" s="18">
        <f t="shared" si="6"/>
        <v>0.02441536476</v>
      </c>
      <c r="O306" s="18">
        <f t="shared" si="7"/>
        <v>0.3554068852</v>
      </c>
      <c r="U306" s="20"/>
      <c r="V306" s="20"/>
      <c r="W306" s="20"/>
      <c r="AA306" s="20"/>
      <c r="AB306" s="20"/>
      <c r="AC306" s="20"/>
      <c r="AD306" s="20"/>
    </row>
    <row r="307">
      <c r="A307" s="8">
        <v>71501.0</v>
      </c>
      <c r="B307" s="9" t="s">
        <v>320</v>
      </c>
      <c r="C307" s="8">
        <v>3898.0</v>
      </c>
      <c r="D307" s="8">
        <v>1492.1111482083797</v>
      </c>
      <c r="E307" s="8">
        <v>17805.0</v>
      </c>
      <c r="F307" s="18">
        <f t="shared" si="1"/>
        <v>0.2189272676</v>
      </c>
      <c r="G307" s="18">
        <f t="shared" si="2"/>
        <v>0.3827889041</v>
      </c>
      <c r="H307" s="18">
        <f t="shared" si="3"/>
        <v>0.08380292885</v>
      </c>
      <c r="I307" s="8">
        <v>2866.0</v>
      </c>
      <c r="J307" s="8">
        <v>1086.000027835369</v>
      </c>
      <c r="K307" s="8">
        <v>15909.0</v>
      </c>
      <c r="L307" s="18">
        <f t="shared" si="4"/>
        <v>0.1801496009</v>
      </c>
      <c r="M307" s="18">
        <f t="shared" si="5"/>
        <v>0.3789253412</v>
      </c>
      <c r="N307" s="18">
        <f t="shared" si="6"/>
        <v>0.06826324897</v>
      </c>
      <c r="O307" s="18">
        <f t="shared" si="7"/>
        <v>0.8145687735</v>
      </c>
      <c r="U307" s="20"/>
      <c r="V307" s="20"/>
      <c r="W307" s="20"/>
      <c r="AA307" s="20"/>
      <c r="AB307" s="20"/>
      <c r="AC307" s="20"/>
      <c r="AD307" s="20"/>
    </row>
    <row r="308">
      <c r="A308" s="8">
        <v>71502.0</v>
      </c>
      <c r="B308" s="9" t="s">
        <v>321</v>
      </c>
      <c r="C308" s="8">
        <v>820.0</v>
      </c>
      <c r="D308" s="8">
        <v>305.111118465662</v>
      </c>
      <c r="E308" s="8">
        <v>5904.0</v>
      </c>
      <c r="F308" s="18">
        <f t="shared" si="1"/>
        <v>0.1388888889</v>
      </c>
      <c r="G308" s="18">
        <f t="shared" si="2"/>
        <v>0.3720867298</v>
      </c>
      <c r="H308" s="18">
        <f t="shared" si="3"/>
        <v>0.05167871248</v>
      </c>
      <c r="I308" s="8">
        <v>67.0</v>
      </c>
      <c r="J308" s="8">
        <v>23.777778387069702</v>
      </c>
      <c r="K308" s="8">
        <v>483.0</v>
      </c>
      <c r="L308" s="18">
        <f t="shared" si="4"/>
        <v>0.1387163561</v>
      </c>
      <c r="M308" s="18">
        <f t="shared" si="5"/>
        <v>0.3548922147</v>
      </c>
      <c r="N308" s="18">
        <f t="shared" si="6"/>
        <v>0.04922935484</v>
      </c>
      <c r="O308" s="18">
        <f t="shared" si="7"/>
        <v>0.9526041281</v>
      </c>
      <c r="U308" s="20"/>
      <c r="V308" s="20"/>
      <c r="W308" s="20"/>
      <c r="AA308" s="20"/>
      <c r="AB308" s="20"/>
      <c r="AC308" s="20"/>
      <c r="AD308" s="20"/>
    </row>
    <row r="309">
      <c r="A309" s="8">
        <v>71503.0</v>
      </c>
      <c r="B309" s="9" t="s">
        <v>266</v>
      </c>
      <c r="C309" s="8">
        <v>1138.0</v>
      </c>
      <c r="D309" s="8">
        <v>428.0000102818012</v>
      </c>
      <c r="E309" s="8">
        <v>7673.0</v>
      </c>
      <c r="F309" s="18">
        <f t="shared" si="1"/>
        <v>0.1483122638</v>
      </c>
      <c r="G309" s="18">
        <f t="shared" si="2"/>
        <v>0.3760984273</v>
      </c>
      <c r="H309" s="18">
        <f t="shared" si="3"/>
        <v>0.05578000916</v>
      </c>
      <c r="I309" s="8">
        <v>1275.0</v>
      </c>
      <c r="J309" s="8">
        <v>466.77778962254524</v>
      </c>
      <c r="K309" s="8">
        <v>9197.0</v>
      </c>
      <c r="L309" s="18">
        <f t="shared" si="4"/>
        <v>0.1386321627</v>
      </c>
      <c r="M309" s="18">
        <f t="shared" si="5"/>
        <v>0.3661002272</v>
      </c>
      <c r="N309" s="18">
        <f t="shared" si="6"/>
        <v>0.05075326624</v>
      </c>
      <c r="O309" s="18">
        <f t="shared" si="7"/>
        <v>0.9098827162</v>
      </c>
      <c r="U309" s="20"/>
      <c r="V309" s="20"/>
      <c r="W309" s="20"/>
      <c r="AA309" s="20"/>
      <c r="AB309" s="20"/>
      <c r="AC309" s="20"/>
      <c r="AD309" s="20"/>
    </row>
    <row r="310">
      <c r="A310" s="8">
        <v>80101.0</v>
      </c>
      <c r="B310" s="9" t="s">
        <v>322</v>
      </c>
      <c r="C310" s="8">
        <v>2723.0</v>
      </c>
      <c r="D310" s="8">
        <v>987.4444701969624</v>
      </c>
      <c r="E310" s="8">
        <v>25708.0</v>
      </c>
      <c r="F310" s="18">
        <f t="shared" si="1"/>
        <v>0.1059203361</v>
      </c>
      <c r="G310" s="18">
        <f t="shared" si="2"/>
        <v>0.3626310945</v>
      </c>
      <c r="H310" s="18">
        <f t="shared" si="3"/>
        <v>0.0384100074</v>
      </c>
      <c r="I310" s="8">
        <v>9200.0</v>
      </c>
      <c r="J310" s="8">
        <v>3318.3334177434444</v>
      </c>
      <c r="K310" s="8">
        <v>98087.0</v>
      </c>
      <c r="L310" s="18">
        <f t="shared" si="4"/>
        <v>0.09379428467</v>
      </c>
      <c r="M310" s="18">
        <f t="shared" si="5"/>
        <v>0.360688415</v>
      </c>
      <c r="N310" s="18">
        <f t="shared" si="6"/>
        <v>0.03383051187</v>
      </c>
      <c r="O310" s="18">
        <f t="shared" si="7"/>
        <v>0.8807733755</v>
      </c>
      <c r="U310" s="20"/>
      <c r="V310" s="20"/>
      <c r="W310" s="20"/>
      <c r="AA310" s="20"/>
      <c r="AB310" s="20"/>
      <c r="AC310" s="20"/>
      <c r="AD310" s="20"/>
    </row>
    <row r="311">
      <c r="A311" s="8">
        <v>80102.0</v>
      </c>
      <c r="B311" s="9" t="s">
        <v>309</v>
      </c>
      <c r="C311" s="8">
        <v>1018.0</v>
      </c>
      <c r="D311" s="8">
        <v>375.22223073244095</v>
      </c>
      <c r="E311" s="8">
        <v>4805.0</v>
      </c>
      <c r="F311" s="18">
        <f t="shared" si="1"/>
        <v>0.2118626431</v>
      </c>
      <c r="G311" s="18">
        <f t="shared" si="2"/>
        <v>0.368587653</v>
      </c>
      <c r="H311" s="18">
        <f t="shared" si="3"/>
        <v>0.07808995437</v>
      </c>
      <c r="I311" s="8">
        <v>551.0</v>
      </c>
      <c r="J311" s="8">
        <v>204.33333843946457</v>
      </c>
      <c r="K311" s="8">
        <v>2947.0</v>
      </c>
      <c r="L311" s="18">
        <f t="shared" si="4"/>
        <v>0.1869697998</v>
      </c>
      <c r="M311" s="18">
        <f t="shared" si="5"/>
        <v>0.3708409046</v>
      </c>
      <c r="N311" s="18">
        <f t="shared" si="6"/>
        <v>0.06933604969</v>
      </c>
      <c r="O311" s="18">
        <f t="shared" si="7"/>
        <v>0.8878997338</v>
      </c>
      <c r="U311" s="20"/>
      <c r="V311" s="20"/>
      <c r="W311" s="20"/>
      <c r="AA311" s="20"/>
      <c r="AB311" s="20"/>
      <c r="AC311" s="20"/>
      <c r="AD311" s="20"/>
    </row>
    <row r="312">
      <c r="A312" s="8">
        <v>80201.0</v>
      </c>
      <c r="B312" s="9" t="s">
        <v>323</v>
      </c>
      <c r="C312" s="8">
        <v>4115.0</v>
      </c>
      <c r="D312" s="8">
        <v>1545.222260594368</v>
      </c>
      <c r="E312" s="8">
        <v>16690.0</v>
      </c>
      <c r="F312" s="18">
        <f t="shared" si="1"/>
        <v>0.2465548232</v>
      </c>
      <c r="G312" s="18">
        <f t="shared" si="2"/>
        <v>0.3755096624</v>
      </c>
      <c r="H312" s="18">
        <f t="shared" si="3"/>
        <v>0.09258371843</v>
      </c>
      <c r="I312" s="8">
        <v>22719.0</v>
      </c>
      <c r="J312" s="8">
        <v>8402.222434729338</v>
      </c>
      <c r="K312" s="8">
        <v>91126.0</v>
      </c>
      <c r="L312" s="18">
        <f t="shared" si="4"/>
        <v>0.2493141365</v>
      </c>
      <c r="M312" s="18">
        <f t="shared" si="5"/>
        <v>0.3698324061</v>
      </c>
      <c r="N312" s="18">
        <f t="shared" si="6"/>
        <v>0.09220444697</v>
      </c>
      <c r="O312" s="18">
        <f t="shared" si="7"/>
        <v>0.9959034756</v>
      </c>
      <c r="U312" s="20"/>
      <c r="V312" s="20"/>
      <c r="W312" s="20"/>
      <c r="AA312" s="20"/>
      <c r="AB312" s="20"/>
      <c r="AC312" s="20"/>
      <c r="AD312" s="20"/>
    </row>
    <row r="313">
      <c r="A313" s="8">
        <v>80202.0</v>
      </c>
      <c r="B313" s="9" t="s">
        <v>324</v>
      </c>
      <c r="C313" s="8">
        <v>872.0</v>
      </c>
      <c r="D313" s="8">
        <v>314.11111882328987</v>
      </c>
      <c r="E313" s="8">
        <v>5416.0</v>
      </c>
      <c r="F313" s="18">
        <f t="shared" si="1"/>
        <v>0.1610044313</v>
      </c>
      <c r="G313" s="18">
        <f t="shared" si="2"/>
        <v>0.360219173</v>
      </c>
      <c r="H313" s="18">
        <f t="shared" si="3"/>
        <v>0.05799688309</v>
      </c>
      <c r="I313" s="8">
        <v>3317.0</v>
      </c>
      <c r="J313" s="8">
        <v>1203.5555864870548</v>
      </c>
      <c r="K313" s="8">
        <v>34714.0</v>
      </c>
      <c r="L313" s="18">
        <f t="shared" si="4"/>
        <v>0.09555222677</v>
      </c>
      <c r="M313" s="18">
        <f t="shared" si="5"/>
        <v>0.3628446146</v>
      </c>
      <c r="N313" s="18">
        <f t="shared" si="6"/>
        <v>0.03467061089</v>
      </c>
      <c r="O313" s="18">
        <f t="shared" si="7"/>
        <v>0.597801279</v>
      </c>
      <c r="U313" s="20"/>
      <c r="V313" s="20"/>
      <c r="W313" s="20"/>
      <c r="AA313" s="20"/>
      <c r="AB313" s="20"/>
      <c r="AC313" s="20"/>
      <c r="AD313" s="20"/>
    </row>
    <row r="314">
      <c r="A314" s="8">
        <v>80301.0</v>
      </c>
      <c r="B314" s="9" t="s">
        <v>325</v>
      </c>
      <c r="C314" s="8">
        <v>1288.0</v>
      </c>
      <c r="D314" s="8">
        <v>482.11112385988235</v>
      </c>
      <c r="E314" s="8">
        <v>5913.0</v>
      </c>
      <c r="F314" s="18">
        <f t="shared" si="1"/>
        <v>0.2178251311</v>
      </c>
      <c r="G314" s="18">
        <f t="shared" si="2"/>
        <v>0.3743098788</v>
      </c>
      <c r="H314" s="18">
        <f t="shared" si="3"/>
        <v>0.0815340984</v>
      </c>
      <c r="I314" s="8">
        <v>1187.0</v>
      </c>
      <c r="J314" s="8">
        <v>434.88889968395233</v>
      </c>
      <c r="K314" s="8">
        <v>5371.0</v>
      </c>
      <c r="L314" s="18">
        <f t="shared" si="4"/>
        <v>0.2210016757</v>
      </c>
      <c r="M314" s="18">
        <f t="shared" si="5"/>
        <v>0.3663764951</v>
      </c>
      <c r="N314" s="18">
        <f t="shared" si="6"/>
        <v>0.08096981934</v>
      </c>
      <c r="O314" s="18">
        <f t="shared" si="7"/>
        <v>0.9930792261</v>
      </c>
      <c r="U314" s="20"/>
      <c r="V314" s="20"/>
      <c r="W314" s="20"/>
      <c r="AA314" s="20"/>
      <c r="AB314" s="20"/>
      <c r="AC314" s="20"/>
      <c r="AD314" s="20"/>
    </row>
    <row r="315">
      <c r="A315" s="8">
        <v>80302.0</v>
      </c>
      <c r="B315" s="9" t="s">
        <v>326</v>
      </c>
      <c r="C315" s="8">
        <v>13842.0</v>
      </c>
      <c r="D315" s="8">
        <v>6540.444616645575</v>
      </c>
      <c r="E315" s="8">
        <v>27328.0</v>
      </c>
      <c r="F315" s="18">
        <f t="shared" si="1"/>
        <v>0.506513466</v>
      </c>
      <c r="G315" s="18">
        <f t="shared" si="2"/>
        <v>0.4725071967</v>
      </c>
      <c r="H315" s="18">
        <f t="shared" si="3"/>
        <v>0.2393312579</v>
      </c>
      <c r="I315" s="8">
        <v>2123.0</v>
      </c>
      <c r="J315" s="8">
        <v>786.666687130928</v>
      </c>
      <c r="K315" s="8">
        <v>18050.0</v>
      </c>
      <c r="L315" s="18">
        <f t="shared" si="4"/>
        <v>0.1176177285</v>
      </c>
      <c r="M315" s="18">
        <f t="shared" si="5"/>
        <v>0.3705448361</v>
      </c>
      <c r="N315" s="18">
        <f t="shared" si="6"/>
        <v>0.04358264195</v>
      </c>
      <c r="O315" s="18">
        <f t="shared" si="7"/>
        <v>0.1821017544</v>
      </c>
      <c r="U315" s="20"/>
      <c r="V315" s="20"/>
      <c r="W315" s="20"/>
      <c r="AA315" s="20"/>
      <c r="AB315" s="20"/>
      <c r="AC315" s="20"/>
      <c r="AD315" s="20"/>
    </row>
    <row r="316">
      <c r="A316" s="8">
        <v>80303.0</v>
      </c>
      <c r="B316" s="9" t="s">
        <v>327</v>
      </c>
      <c r="C316" s="8">
        <v>389.0</v>
      </c>
      <c r="D316" s="8">
        <v>152.66667038202286</v>
      </c>
      <c r="E316" s="8">
        <v>1701.0</v>
      </c>
      <c r="F316" s="18">
        <f t="shared" si="1"/>
        <v>0.2286890065</v>
      </c>
      <c r="G316" s="18">
        <f t="shared" si="2"/>
        <v>0.3924593069</v>
      </c>
      <c r="H316" s="18">
        <f t="shared" si="3"/>
        <v>0.08975112897</v>
      </c>
      <c r="I316" s="8">
        <v>847.0</v>
      </c>
      <c r="J316" s="8">
        <v>313.33334147930145</v>
      </c>
      <c r="K316" s="8">
        <v>9252.0</v>
      </c>
      <c r="L316" s="18">
        <f t="shared" si="4"/>
        <v>0.09154777345</v>
      </c>
      <c r="M316" s="18">
        <f t="shared" si="5"/>
        <v>0.3699331068</v>
      </c>
      <c r="N316" s="18">
        <f t="shared" si="6"/>
        <v>0.03386655226</v>
      </c>
      <c r="O316" s="18">
        <f t="shared" si="7"/>
        <v>0.3773384541</v>
      </c>
      <c r="U316" s="20"/>
      <c r="V316" s="20"/>
      <c r="W316" s="20"/>
      <c r="AA316" s="20"/>
      <c r="AB316" s="20"/>
      <c r="AC316" s="20"/>
      <c r="AD316" s="20"/>
    </row>
    <row r="317">
      <c r="A317" s="8">
        <v>80304.0</v>
      </c>
      <c r="B317" s="9" t="s">
        <v>328</v>
      </c>
      <c r="C317" s="8">
        <v>2220.0</v>
      </c>
      <c r="D317" s="8">
        <v>911.2222450077534</v>
      </c>
      <c r="E317" s="8">
        <v>9363.0</v>
      </c>
      <c r="F317" s="18">
        <f t="shared" si="1"/>
        <v>0.2371034925</v>
      </c>
      <c r="G317" s="18">
        <f t="shared" si="2"/>
        <v>0.4104604707</v>
      </c>
      <c r="H317" s="18">
        <f t="shared" si="3"/>
        <v>0.09732161113</v>
      </c>
      <c r="I317" s="8">
        <v>784.0</v>
      </c>
      <c r="J317" s="8">
        <v>289.7777854502201</v>
      </c>
      <c r="K317" s="8">
        <v>11093.0</v>
      </c>
      <c r="L317" s="18">
        <f t="shared" si="4"/>
        <v>0.07067520058</v>
      </c>
      <c r="M317" s="18">
        <f t="shared" si="5"/>
        <v>0.3696145223</v>
      </c>
      <c r="N317" s="18">
        <f t="shared" si="6"/>
        <v>0.0261225805</v>
      </c>
      <c r="O317" s="18">
        <f t="shared" si="7"/>
        <v>0.2684150025</v>
      </c>
      <c r="U317" s="20"/>
      <c r="V317" s="20"/>
      <c r="W317" s="20"/>
      <c r="AA317" s="20"/>
      <c r="AB317" s="20"/>
      <c r="AC317" s="20"/>
      <c r="AD317" s="20"/>
    </row>
    <row r="318">
      <c r="A318" s="8">
        <v>80401.0</v>
      </c>
      <c r="B318" s="9" t="s">
        <v>329</v>
      </c>
      <c r="C318" s="8">
        <v>2776.0</v>
      </c>
      <c r="D318" s="8">
        <v>1387.222256630659</v>
      </c>
      <c r="E318" s="8">
        <v>9879.0</v>
      </c>
      <c r="F318" s="18">
        <f t="shared" si="1"/>
        <v>0.2810001012</v>
      </c>
      <c r="G318" s="18">
        <f t="shared" si="2"/>
        <v>0.4997198331</v>
      </c>
      <c r="H318" s="18">
        <f t="shared" si="3"/>
        <v>0.1404213237</v>
      </c>
      <c r="I318" s="8">
        <v>944.0</v>
      </c>
      <c r="J318" s="8">
        <v>368.8888975381851</v>
      </c>
      <c r="K318" s="8">
        <v>8018.0</v>
      </c>
      <c r="L318" s="18">
        <f t="shared" si="4"/>
        <v>0.117735096</v>
      </c>
      <c r="M318" s="18">
        <f t="shared" si="5"/>
        <v>0.3907721372</v>
      </c>
      <c r="N318" s="18">
        <f t="shared" si="6"/>
        <v>0.0460075951</v>
      </c>
      <c r="O318" s="18">
        <f t="shared" si="7"/>
        <v>0.3276396625</v>
      </c>
      <c r="U318" s="20"/>
      <c r="V318" s="20"/>
      <c r="W318" s="20"/>
      <c r="AA318" s="20"/>
      <c r="AB318" s="20"/>
      <c r="AC318" s="20"/>
      <c r="AD318" s="20"/>
    </row>
    <row r="319">
      <c r="A319" s="8">
        <v>80402.0</v>
      </c>
      <c r="B319" s="9" t="s">
        <v>330</v>
      </c>
      <c r="C319" s="8">
        <v>1120.0</v>
      </c>
      <c r="D319" s="8">
        <v>443.2222335934639</v>
      </c>
      <c r="E319" s="8">
        <v>3619.0</v>
      </c>
      <c r="F319" s="18">
        <f t="shared" si="1"/>
        <v>0.3094777563</v>
      </c>
      <c r="G319" s="18">
        <f t="shared" si="2"/>
        <v>0.3957341371</v>
      </c>
      <c r="H319" s="18">
        <f t="shared" si="3"/>
        <v>0.1224709128</v>
      </c>
      <c r="I319" s="8">
        <v>774.0</v>
      </c>
      <c r="J319" s="8">
        <v>284.00000700354576</v>
      </c>
      <c r="K319" s="8">
        <v>4191.0</v>
      </c>
      <c r="L319" s="18">
        <f t="shared" si="4"/>
        <v>0.1846814603</v>
      </c>
      <c r="M319" s="18">
        <f t="shared" si="5"/>
        <v>0.3669250736</v>
      </c>
      <c r="N319" s="18">
        <f t="shared" si="6"/>
        <v>0.06776425841</v>
      </c>
      <c r="O319" s="18">
        <f t="shared" si="7"/>
        <v>0.5533090008</v>
      </c>
      <c r="U319" s="20"/>
      <c r="V319" s="20"/>
      <c r="W319" s="20"/>
      <c r="AA319" s="20"/>
      <c r="AB319" s="20"/>
      <c r="AC319" s="20"/>
      <c r="AD319" s="20"/>
    </row>
    <row r="320">
      <c r="A320" s="8">
        <v>80501.0</v>
      </c>
      <c r="B320" s="9" t="s">
        <v>331</v>
      </c>
      <c r="C320" s="8">
        <v>3613.0</v>
      </c>
      <c r="D320" s="8">
        <v>1582.7778215408325</v>
      </c>
      <c r="E320" s="8">
        <v>16511.0</v>
      </c>
      <c r="F320" s="18">
        <f t="shared" si="1"/>
        <v>0.2188238144</v>
      </c>
      <c r="G320" s="18">
        <f t="shared" si="2"/>
        <v>0.4380785556</v>
      </c>
      <c r="H320" s="18">
        <f t="shared" si="3"/>
        <v>0.09586202056</v>
      </c>
      <c r="I320" s="8">
        <v>464.0</v>
      </c>
      <c r="J320" s="8">
        <v>178.222226947546</v>
      </c>
      <c r="K320" s="8">
        <v>4561.0</v>
      </c>
      <c r="L320" s="18">
        <f t="shared" si="4"/>
        <v>0.1017320763</v>
      </c>
      <c r="M320" s="18">
        <f t="shared" si="5"/>
        <v>0.384099627</v>
      </c>
      <c r="N320" s="18">
        <f t="shared" si="6"/>
        <v>0.03907525256</v>
      </c>
      <c r="O320" s="18">
        <f t="shared" si="7"/>
        <v>0.407619747</v>
      </c>
      <c r="U320" s="20"/>
      <c r="V320" s="20"/>
      <c r="W320" s="20"/>
      <c r="AA320" s="20"/>
      <c r="AB320" s="20"/>
      <c r="AC320" s="20"/>
      <c r="AD320" s="20"/>
    </row>
    <row r="321">
      <c r="A321" s="8">
        <v>80601.0</v>
      </c>
      <c r="B321" s="9" t="s">
        <v>332</v>
      </c>
      <c r="C321" s="8">
        <v>770.0</v>
      </c>
      <c r="D321" s="8">
        <v>319.22223022580147</v>
      </c>
      <c r="E321" s="8">
        <v>2142.0</v>
      </c>
      <c r="F321" s="18">
        <f t="shared" si="1"/>
        <v>0.3594771242</v>
      </c>
      <c r="G321" s="18">
        <f t="shared" si="2"/>
        <v>0.414574325</v>
      </c>
      <c r="H321" s="18">
        <f t="shared" si="3"/>
        <v>0.1490299861</v>
      </c>
      <c r="I321" s="8">
        <v>322.0</v>
      </c>
      <c r="J321" s="8">
        <v>137.88889229297638</v>
      </c>
      <c r="K321" s="8">
        <v>2099.0</v>
      </c>
      <c r="L321" s="18">
        <f t="shared" si="4"/>
        <v>0.153406384</v>
      </c>
      <c r="M321" s="18">
        <f t="shared" si="5"/>
        <v>0.4282263736</v>
      </c>
      <c r="N321" s="18">
        <f t="shared" si="6"/>
        <v>0.0656926595</v>
      </c>
      <c r="O321" s="18">
        <f t="shared" si="7"/>
        <v>0.4408016213</v>
      </c>
      <c r="U321" s="20"/>
      <c r="V321" s="20"/>
      <c r="W321" s="20"/>
      <c r="AA321" s="20"/>
      <c r="AB321" s="20"/>
      <c r="AC321" s="20"/>
      <c r="AD321" s="20"/>
    </row>
    <row r="322">
      <c r="A322" s="8">
        <v>80602.0</v>
      </c>
      <c r="B322" s="9" t="s">
        <v>333</v>
      </c>
      <c r="C322" s="8">
        <v>1428.0</v>
      </c>
      <c r="D322" s="8">
        <v>533.7777916491032</v>
      </c>
      <c r="E322" s="8">
        <v>8097.0</v>
      </c>
      <c r="F322" s="18">
        <f t="shared" si="1"/>
        <v>0.1763616154</v>
      </c>
      <c r="G322" s="18">
        <f t="shared" si="2"/>
        <v>0.3737939717</v>
      </c>
      <c r="H322" s="18">
        <f t="shared" si="3"/>
        <v>0.06592290869</v>
      </c>
      <c r="I322" s="8">
        <v>921.0</v>
      </c>
      <c r="J322" s="8">
        <v>332.2222304046154</v>
      </c>
      <c r="K322" s="8">
        <v>6890.0</v>
      </c>
      <c r="L322" s="18">
        <f t="shared" si="4"/>
        <v>0.1336719884</v>
      </c>
      <c r="M322" s="18">
        <f t="shared" si="5"/>
        <v>0.3607190341</v>
      </c>
      <c r="N322" s="18">
        <f t="shared" si="6"/>
        <v>0.04821803054</v>
      </c>
      <c r="O322" s="18">
        <f t="shared" si="7"/>
        <v>0.7314305679</v>
      </c>
      <c r="U322" s="20"/>
      <c r="V322" s="20"/>
      <c r="W322" s="20"/>
      <c r="AA322" s="20"/>
      <c r="AB322" s="20"/>
      <c r="AC322" s="20"/>
      <c r="AD322" s="20"/>
    </row>
    <row r="323">
      <c r="A323" s="8">
        <v>80701.0</v>
      </c>
      <c r="B323" s="9" t="s">
        <v>334</v>
      </c>
      <c r="C323" s="8">
        <v>424.0</v>
      </c>
      <c r="D323" s="8">
        <v>159.66667079925537</v>
      </c>
      <c r="E323" s="8">
        <v>2933.0</v>
      </c>
      <c r="F323" s="18">
        <f t="shared" si="1"/>
        <v>0.144561882</v>
      </c>
      <c r="G323" s="18">
        <f t="shared" si="2"/>
        <v>0.3765723368</v>
      </c>
      <c r="H323" s="18">
        <f t="shared" si="3"/>
        <v>0.05443800573</v>
      </c>
      <c r="I323" s="8">
        <v>450.0</v>
      </c>
      <c r="J323" s="8">
        <v>163.88889268040657</v>
      </c>
      <c r="K323" s="8">
        <v>3389.0</v>
      </c>
      <c r="L323" s="18">
        <f t="shared" si="4"/>
        <v>0.1327825317</v>
      </c>
      <c r="M323" s="18">
        <f t="shared" si="5"/>
        <v>0.3641975393</v>
      </c>
      <c r="N323" s="18">
        <f t="shared" si="6"/>
        <v>0.04835907131</v>
      </c>
      <c r="O323" s="18">
        <f t="shared" si="7"/>
        <v>0.8883328966</v>
      </c>
      <c r="U323" s="20"/>
      <c r="V323" s="20"/>
      <c r="W323" s="20"/>
      <c r="AA323" s="20"/>
      <c r="AB323" s="20"/>
      <c r="AC323" s="20"/>
      <c r="AD323" s="20"/>
    </row>
    <row r="324">
      <c r="A324" s="8">
        <v>80702.0</v>
      </c>
      <c r="B324" s="9" t="s">
        <v>310</v>
      </c>
      <c r="C324" s="8">
        <v>354.0</v>
      </c>
      <c r="D324" s="8">
        <v>131.00000330805779</v>
      </c>
      <c r="E324" s="8">
        <v>1879.0</v>
      </c>
      <c r="F324" s="18">
        <f t="shared" si="1"/>
        <v>0.1883980841</v>
      </c>
      <c r="G324" s="18">
        <f t="shared" si="2"/>
        <v>0.3700565065</v>
      </c>
      <c r="H324" s="18">
        <f t="shared" si="3"/>
        <v>0.06971793683</v>
      </c>
      <c r="I324" s="8">
        <v>380.0</v>
      </c>
      <c r="J324" s="8">
        <v>146.22222551703453</v>
      </c>
      <c r="K324" s="8">
        <v>3475.0</v>
      </c>
      <c r="L324" s="18">
        <f t="shared" si="4"/>
        <v>0.109352518</v>
      </c>
      <c r="M324" s="18">
        <f t="shared" si="5"/>
        <v>0.3847953303</v>
      </c>
      <c r="N324" s="18">
        <f t="shared" si="6"/>
        <v>0.04207833828</v>
      </c>
      <c r="O324" s="18">
        <f t="shared" si="7"/>
        <v>0.6035511117</v>
      </c>
      <c r="U324" s="20"/>
      <c r="V324" s="20"/>
      <c r="W324" s="20"/>
      <c r="AA324" s="20"/>
      <c r="AB324" s="20"/>
      <c r="AC324" s="20"/>
      <c r="AD324" s="20"/>
    </row>
    <row r="325">
      <c r="A325" s="8">
        <v>80703.0</v>
      </c>
      <c r="B325" s="9" t="s">
        <v>335</v>
      </c>
      <c r="C325" s="8">
        <v>53.0</v>
      </c>
      <c r="D325" s="8">
        <v>19.444444864988327</v>
      </c>
      <c r="E325" s="8">
        <v>409.0</v>
      </c>
      <c r="F325" s="18">
        <f t="shared" si="1"/>
        <v>0.1295843521</v>
      </c>
      <c r="G325" s="18">
        <f t="shared" si="2"/>
        <v>0.3668763182</v>
      </c>
      <c r="H325" s="18">
        <f t="shared" si="3"/>
        <v>0.04754142999</v>
      </c>
      <c r="I325" s="8">
        <v>50.0</v>
      </c>
      <c r="J325" s="8">
        <v>21.111111789941788</v>
      </c>
      <c r="K325" s="8">
        <v>670.0</v>
      </c>
      <c r="L325" s="18">
        <f t="shared" si="4"/>
        <v>0.07462686567</v>
      </c>
      <c r="M325" s="18">
        <f t="shared" si="5"/>
        <v>0.4222222358</v>
      </c>
      <c r="N325" s="18">
        <f t="shared" si="6"/>
        <v>0.03150912207</v>
      </c>
      <c r="O325" s="18">
        <f t="shared" si="7"/>
        <v>0.662771862</v>
      </c>
      <c r="U325" s="20"/>
      <c r="V325" s="20"/>
      <c r="W325" s="20"/>
      <c r="AA325" s="20"/>
      <c r="AB325" s="20"/>
      <c r="AC325" s="20"/>
      <c r="AD325" s="20"/>
    </row>
    <row r="326">
      <c r="A326" s="8">
        <v>80801.0</v>
      </c>
      <c r="B326" s="9" t="s">
        <v>336</v>
      </c>
      <c r="C326" s="8">
        <v>802.0</v>
      </c>
      <c r="D326" s="8">
        <v>294.22222954034805</v>
      </c>
      <c r="E326" s="8">
        <v>4863.0</v>
      </c>
      <c r="F326" s="18">
        <f t="shared" si="1"/>
        <v>0.1649187744</v>
      </c>
      <c r="G326" s="18">
        <f t="shared" si="2"/>
        <v>0.3668606353</v>
      </c>
      <c r="H326" s="18">
        <f t="shared" si="3"/>
        <v>0.06050220636</v>
      </c>
      <c r="I326" s="8">
        <v>1281.0</v>
      </c>
      <c r="J326" s="8">
        <v>466.55556774139404</v>
      </c>
      <c r="K326" s="8">
        <v>7704.0</v>
      </c>
      <c r="L326" s="18">
        <f t="shared" si="4"/>
        <v>0.1662772586</v>
      </c>
      <c r="M326" s="18">
        <f t="shared" si="5"/>
        <v>0.3642119967</v>
      </c>
      <c r="N326" s="18">
        <f t="shared" si="6"/>
        <v>0.06056017234</v>
      </c>
      <c r="O326" s="18">
        <f t="shared" si="7"/>
        <v>1.00095808</v>
      </c>
      <c r="U326" s="20"/>
      <c r="V326" s="20"/>
      <c r="W326" s="20"/>
      <c r="AA326" s="20"/>
      <c r="AB326" s="20"/>
      <c r="AC326" s="20"/>
      <c r="AD326" s="20"/>
    </row>
    <row r="327">
      <c r="A327" s="8">
        <v>80802.0</v>
      </c>
      <c r="B327" s="9" t="s">
        <v>337</v>
      </c>
      <c r="C327" s="8">
        <v>810.0</v>
      </c>
      <c r="D327" s="8">
        <v>301.33334106206894</v>
      </c>
      <c r="E327" s="8">
        <v>4220.0</v>
      </c>
      <c r="F327" s="18">
        <f t="shared" si="1"/>
        <v>0.191943128</v>
      </c>
      <c r="G327" s="18">
        <f t="shared" si="2"/>
        <v>0.3720164704</v>
      </c>
      <c r="H327" s="18">
        <f t="shared" si="3"/>
        <v>0.07140600499</v>
      </c>
      <c r="I327" s="8">
        <v>407.0</v>
      </c>
      <c r="J327" s="8">
        <v>144.77778151631355</v>
      </c>
      <c r="K327" s="8">
        <v>2942.0</v>
      </c>
      <c r="L327" s="18">
        <f t="shared" si="4"/>
        <v>0.1383412644</v>
      </c>
      <c r="M327" s="18">
        <f t="shared" si="5"/>
        <v>0.3557193649</v>
      </c>
      <c r="N327" s="18">
        <f t="shared" si="6"/>
        <v>0.04921066673</v>
      </c>
      <c r="O327" s="18">
        <f t="shared" si="7"/>
        <v>0.6891670628</v>
      </c>
      <c r="U327" s="20"/>
      <c r="V327" s="20"/>
      <c r="W327" s="20"/>
      <c r="AA327" s="20"/>
      <c r="AB327" s="20"/>
      <c r="AC327" s="20"/>
      <c r="AD327" s="20"/>
    </row>
    <row r="328">
      <c r="A328" s="8">
        <v>80803.0</v>
      </c>
      <c r="B328" s="9" t="s">
        <v>338</v>
      </c>
      <c r="C328" s="8">
        <v>112.0</v>
      </c>
      <c r="D328" s="8">
        <v>42.22222337126732</v>
      </c>
      <c r="E328" s="8">
        <v>1056.0</v>
      </c>
      <c r="F328" s="18">
        <f t="shared" si="1"/>
        <v>0.1060606061</v>
      </c>
      <c r="G328" s="18">
        <f t="shared" si="2"/>
        <v>0.3769841372</v>
      </c>
      <c r="H328" s="18">
        <f t="shared" si="3"/>
        <v>0.03998316607</v>
      </c>
      <c r="I328" s="8">
        <v>481.0</v>
      </c>
      <c r="J328" s="8">
        <v>180.22222682833672</v>
      </c>
      <c r="K328" s="8">
        <v>3537.0</v>
      </c>
      <c r="L328" s="18">
        <f t="shared" si="4"/>
        <v>0.1359909528</v>
      </c>
      <c r="M328" s="18">
        <f t="shared" si="5"/>
        <v>0.3746823843</v>
      </c>
      <c r="N328" s="18">
        <f t="shared" si="6"/>
        <v>0.05095341443</v>
      </c>
      <c r="O328" s="18">
        <f t="shared" si="7"/>
        <v>1.274371678</v>
      </c>
      <c r="U328" s="20"/>
      <c r="V328" s="20"/>
      <c r="W328" s="20"/>
      <c r="AA328" s="20"/>
      <c r="AB328" s="20"/>
      <c r="AC328" s="20"/>
      <c r="AD328" s="20"/>
    </row>
    <row r="329">
      <c r="A329" s="8">
        <v>80901.0</v>
      </c>
      <c r="B329" s="9" t="s">
        <v>339</v>
      </c>
      <c r="C329" s="8">
        <v>1240.0</v>
      </c>
      <c r="D329" s="8">
        <v>636.8889062404633</v>
      </c>
      <c r="E329" s="8">
        <v>3704.0</v>
      </c>
      <c r="F329" s="18">
        <f t="shared" si="1"/>
        <v>0.3347732181</v>
      </c>
      <c r="G329" s="18">
        <f t="shared" si="2"/>
        <v>0.5136200857</v>
      </c>
      <c r="H329" s="18">
        <f t="shared" si="3"/>
        <v>0.171946249</v>
      </c>
      <c r="I329" s="8">
        <v>58.0</v>
      </c>
      <c r="J329" s="8">
        <v>25.5555562376976</v>
      </c>
      <c r="K329" s="8">
        <v>239.0</v>
      </c>
      <c r="L329" s="18">
        <f t="shared" si="4"/>
        <v>0.2426778243</v>
      </c>
      <c r="M329" s="18">
        <f t="shared" si="5"/>
        <v>0.4406130386</v>
      </c>
      <c r="N329" s="18">
        <f t="shared" si="6"/>
        <v>0.1069270135</v>
      </c>
      <c r="O329" s="18">
        <f t="shared" si="7"/>
        <v>0.6218630193</v>
      </c>
      <c r="U329" s="20"/>
      <c r="V329" s="20"/>
      <c r="W329" s="20"/>
      <c r="AA329" s="20"/>
      <c r="AB329" s="20"/>
      <c r="AC329" s="20"/>
      <c r="AD329" s="20"/>
    </row>
    <row r="330">
      <c r="A330" s="8">
        <v>90101.0</v>
      </c>
      <c r="B330" s="9" t="s">
        <v>340</v>
      </c>
      <c r="C330" s="8">
        <v>440.0</v>
      </c>
      <c r="D330" s="8">
        <v>158.66667062044144</v>
      </c>
      <c r="E330" s="8">
        <v>9777.0</v>
      </c>
      <c r="F330" s="18">
        <f t="shared" si="1"/>
        <v>0.04500357983</v>
      </c>
      <c r="G330" s="18">
        <f t="shared" si="2"/>
        <v>0.3606060696</v>
      </c>
      <c r="H330" s="18">
        <f t="shared" si="3"/>
        <v>0.01622856404</v>
      </c>
      <c r="I330" s="8">
        <v>2323.0</v>
      </c>
      <c r="J330" s="8">
        <v>838.8889103233814</v>
      </c>
      <c r="K330" s="8">
        <v>42131.0</v>
      </c>
      <c r="L330" s="18">
        <f t="shared" si="4"/>
        <v>0.05513754717</v>
      </c>
      <c r="M330" s="18">
        <f t="shared" si="5"/>
        <v>0.3611230781</v>
      </c>
      <c r="N330" s="18">
        <f t="shared" si="6"/>
        <v>0.01991144075</v>
      </c>
      <c r="O330" s="18">
        <f t="shared" si="7"/>
        <v>1.226937929</v>
      </c>
      <c r="U330" s="20"/>
      <c r="V330" s="20"/>
      <c r="W330" s="20"/>
      <c r="AA330" s="20"/>
      <c r="AB330" s="20"/>
      <c r="AC330" s="20"/>
      <c r="AD330" s="20"/>
    </row>
    <row r="331">
      <c r="A331" s="8">
        <v>90102.0</v>
      </c>
      <c r="B331" s="9" t="s">
        <v>341</v>
      </c>
      <c r="C331" s="8">
        <v>117.0</v>
      </c>
      <c r="D331" s="8">
        <v>44.11111223697662</v>
      </c>
      <c r="E331" s="8">
        <v>1442.0</v>
      </c>
      <c r="F331" s="18">
        <f t="shared" si="1"/>
        <v>0.08113730929</v>
      </c>
      <c r="G331" s="18">
        <f t="shared" si="2"/>
        <v>0.3770180533</v>
      </c>
      <c r="H331" s="18">
        <f t="shared" si="3"/>
        <v>0.0305902304</v>
      </c>
      <c r="I331" s="8">
        <v>759.0</v>
      </c>
      <c r="J331" s="8">
        <v>279.3333400785923</v>
      </c>
      <c r="K331" s="8">
        <v>7654.0</v>
      </c>
      <c r="L331" s="18">
        <f t="shared" si="4"/>
        <v>0.0991638359</v>
      </c>
      <c r="M331" s="18">
        <f t="shared" si="5"/>
        <v>0.368028116</v>
      </c>
      <c r="N331" s="18">
        <f t="shared" si="6"/>
        <v>0.03649507971</v>
      </c>
      <c r="O331" s="18">
        <f t="shared" si="7"/>
        <v>1.19303056</v>
      </c>
      <c r="U331" s="20"/>
      <c r="V331" s="20"/>
      <c r="W331" s="20"/>
      <c r="AA331" s="20"/>
      <c r="AB331" s="20"/>
      <c r="AC331" s="20"/>
      <c r="AD331" s="20"/>
    </row>
    <row r="332">
      <c r="A332" s="8">
        <v>90103.0</v>
      </c>
      <c r="B332" s="9" t="s">
        <v>342</v>
      </c>
      <c r="C332" s="8">
        <v>141.0</v>
      </c>
      <c r="D332" s="8">
        <v>51.22222352027893</v>
      </c>
      <c r="E332" s="8">
        <v>824.0</v>
      </c>
      <c r="F332" s="18">
        <f t="shared" si="1"/>
        <v>0.1711165049</v>
      </c>
      <c r="G332" s="18">
        <f t="shared" si="2"/>
        <v>0.363278181</v>
      </c>
      <c r="H332" s="18">
        <f t="shared" si="3"/>
        <v>0.06216289262</v>
      </c>
      <c r="I332" s="8">
        <v>181.0</v>
      </c>
      <c r="J332" s="8">
        <v>66.55555737018585</v>
      </c>
      <c r="K332" s="8">
        <v>1514.0</v>
      </c>
      <c r="L332" s="18">
        <f t="shared" si="4"/>
        <v>0.1195508587</v>
      </c>
      <c r="M332" s="18">
        <f t="shared" si="5"/>
        <v>0.3677102617</v>
      </c>
      <c r="N332" s="18">
        <f t="shared" si="6"/>
        <v>0.04396007752</v>
      </c>
      <c r="O332" s="18">
        <f t="shared" si="7"/>
        <v>0.7071755459</v>
      </c>
      <c r="U332" s="20"/>
      <c r="V332" s="20"/>
      <c r="W332" s="20"/>
      <c r="AA332" s="20"/>
      <c r="AB332" s="20"/>
      <c r="AC332" s="20"/>
      <c r="AD332" s="20"/>
    </row>
    <row r="333">
      <c r="A333" s="8">
        <v>90104.0</v>
      </c>
      <c r="B333" s="9" t="s">
        <v>343</v>
      </c>
      <c r="C333" s="8">
        <v>161.0</v>
      </c>
      <c r="D333" s="8">
        <v>62.22222349047661</v>
      </c>
      <c r="E333" s="8">
        <v>1202.0</v>
      </c>
      <c r="F333" s="18">
        <f t="shared" si="1"/>
        <v>0.1339434276</v>
      </c>
      <c r="G333" s="18">
        <f t="shared" si="2"/>
        <v>0.3864734378</v>
      </c>
      <c r="H333" s="18">
        <f t="shared" si="3"/>
        <v>0.05176557695</v>
      </c>
      <c r="I333" s="8">
        <v>310.0</v>
      </c>
      <c r="J333" s="8">
        <v>120.4444477558136</v>
      </c>
      <c r="K333" s="8">
        <v>2219.0</v>
      </c>
      <c r="L333" s="18">
        <f t="shared" si="4"/>
        <v>0.1397025687</v>
      </c>
      <c r="M333" s="18">
        <f t="shared" si="5"/>
        <v>0.3885304766</v>
      </c>
      <c r="N333" s="18">
        <f t="shared" si="6"/>
        <v>0.05427870561</v>
      </c>
      <c r="O333" s="18">
        <f t="shared" si="7"/>
        <v>1.04854826</v>
      </c>
      <c r="U333" s="20"/>
      <c r="V333" s="20"/>
      <c r="W333" s="20"/>
      <c r="AA333" s="20"/>
      <c r="AB333" s="20"/>
      <c r="AC333" s="20"/>
      <c r="AD333" s="20"/>
    </row>
    <row r="334">
      <c r="A334" s="8">
        <v>90201.0</v>
      </c>
      <c r="B334" s="9" t="s">
        <v>344</v>
      </c>
      <c r="C334" s="8">
        <v>247.0</v>
      </c>
      <c r="D334" s="8">
        <v>94.666669100523</v>
      </c>
      <c r="E334" s="8">
        <v>2031.0</v>
      </c>
      <c r="F334" s="18">
        <f t="shared" si="1"/>
        <v>0.121614968</v>
      </c>
      <c r="G334" s="18">
        <f t="shared" si="2"/>
        <v>0.3832658668</v>
      </c>
      <c r="H334" s="18">
        <f t="shared" si="3"/>
        <v>0.04661086613</v>
      </c>
      <c r="I334" s="8">
        <v>731.0</v>
      </c>
      <c r="J334" s="8">
        <v>272.00000670552254</v>
      </c>
      <c r="K334" s="8">
        <v>4839.0</v>
      </c>
      <c r="L334" s="18">
        <f t="shared" si="4"/>
        <v>0.1510642695</v>
      </c>
      <c r="M334" s="18">
        <f t="shared" si="5"/>
        <v>0.3720930324</v>
      </c>
      <c r="N334" s="18">
        <f t="shared" si="6"/>
        <v>0.05620996212</v>
      </c>
      <c r="O334" s="18">
        <f t="shared" si="7"/>
        <v>1.205941163</v>
      </c>
      <c r="U334" s="20"/>
      <c r="V334" s="20"/>
      <c r="W334" s="20"/>
      <c r="AA334" s="20"/>
      <c r="AB334" s="20"/>
      <c r="AC334" s="20"/>
      <c r="AD334" s="20"/>
    </row>
    <row r="335">
      <c r="A335" s="8">
        <v>90202.0</v>
      </c>
      <c r="B335" s="9" t="s">
        <v>307</v>
      </c>
      <c r="C335" s="8">
        <v>368.0</v>
      </c>
      <c r="D335" s="8">
        <v>139.7777810394764</v>
      </c>
      <c r="E335" s="8">
        <v>1014.0</v>
      </c>
      <c r="F335" s="18">
        <f t="shared" si="1"/>
        <v>0.3629191321</v>
      </c>
      <c r="G335" s="18">
        <f t="shared" si="2"/>
        <v>0.3798309267</v>
      </c>
      <c r="H335" s="18">
        <f t="shared" si="3"/>
        <v>0.1378479103</v>
      </c>
      <c r="I335" s="8">
        <v>1118.0</v>
      </c>
      <c r="J335" s="8">
        <v>434.666677325964</v>
      </c>
      <c r="K335" s="8">
        <v>2234.0</v>
      </c>
      <c r="L335" s="18">
        <f t="shared" si="4"/>
        <v>0.5004476276</v>
      </c>
      <c r="M335" s="18">
        <f t="shared" si="5"/>
        <v>0.3887895146</v>
      </c>
      <c r="N335" s="18">
        <f t="shared" si="6"/>
        <v>0.1945687902</v>
      </c>
      <c r="O335" s="18">
        <f t="shared" si="7"/>
        <v>1.411474355</v>
      </c>
      <c r="U335" s="20"/>
      <c r="V335" s="20"/>
      <c r="W335" s="20"/>
      <c r="AA335" s="20"/>
      <c r="AB335" s="20"/>
      <c r="AC335" s="20"/>
      <c r="AD335" s="20"/>
    </row>
    <row r="336">
      <c r="A336" s="8">
        <v>90203.0</v>
      </c>
      <c r="B336" s="9" t="s">
        <v>345</v>
      </c>
      <c r="C336" s="8">
        <v>343.0</v>
      </c>
      <c r="D336" s="8">
        <v>128.00000327825546</v>
      </c>
      <c r="E336" s="8">
        <v>2250.0</v>
      </c>
      <c r="F336" s="18">
        <f t="shared" si="1"/>
        <v>0.1524444444</v>
      </c>
      <c r="G336" s="18">
        <f t="shared" si="2"/>
        <v>0.3731778521</v>
      </c>
      <c r="H336" s="18">
        <f t="shared" si="3"/>
        <v>0.05688889035</v>
      </c>
      <c r="I336" s="8">
        <v>663.0</v>
      </c>
      <c r="J336" s="8">
        <v>252.22222879529</v>
      </c>
      <c r="K336" s="8">
        <v>5743.0</v>
      </c>
      <c r="L336" s="18">
        <f t="shared" si="4"/>
        <v>0.1154448894</v>
      </c>
      <c r="M336" s="18">
        <f t="shared" si="5"/>
        <v>0.3804256845</v>
      </c>
      <c r="N336" s="18">
        <f t="shared" si="6"/>
        <v>0.04391820108</v>
      </c>
      <c r="O336" s="18">
        <f t="shared" si="7"/>
        <v>0.7719996086</v>
      </c>
      <c r="U336" s="20"/>
      <c r="V336" s="20"/>
      <c r="W336" s="20"/>
      <c r="AA336" s="20"/>
      <c r="AB336" s="20"/>
      <c r="AC336" s="20"/>
      <c r="AD336" s="20"/>
    </row>
    <row r="337">
      <c r="A337" s="8">
        <v>90301.0</v>
      </c>
      <c r="B337" s="9" t="s">
        <v>346</v>
      </c>
      <c r="C337" s="8">
        <v>1618.0</v>
      </c>
      <c r="D337" s="8">
        <v>613.0000157654285</v>
      </c>
      <c r="E337" s="8">
        <v>7820.0</v>
      </c>
      <c r="F337" s="18">
        <f t="shared" si="1"/>
        <v>0.2069053708</v>
      </c>
      <c r="G337" s="18">
        <f t="shared" si="2"/>
        <v>0.3788628033</v>
      </c>
      <c r="H337" s="18">
        <f t="shared" si="3"/>
        <v>0.07838874882</v>
      </c>
      <c r="I337" s="8">
        <v>816.0</v>
      </c>
      <c r="J337" s="8">
        <v>305.7777849137783</v>
      </c>
      <c r="K337" s="8">
        <v>3940.0</v>
      </c>
      <c r="L337" s="18">
        <f t="shared" si="4"/>
        <v>0.207106599</v>
      </c>
      <c r="M337" s="18">
        <f t="shared" si="5"/>
        <v>0.3747276776</v>
      </c>
      <c r="N337" s="18">
        <f t="shared" si="6"/>
        <v>0.07760857485</v>
      </c>
      <c r="O337" s="18">
        <f t="shared" si="7"/>
        <v>0.9900473731</v>
      </c>
      <c r="U337" s="20"/>
      <c r="V337" s="20"/>
      <c r="W337" s="20"/>
      <c r="AA337" s="20"/>
      <c r="AB337" s="20"/>
      <c r="AC337" s="20"/>
      <c r="AD337" s="20"/>
    </row>
    <row r="338">
      <c r="A338" s="8">
        <v>90302.0</v>
      </c>
      <c r="B338" s="9" t="s">
        <v>347</v>
      </c>
      <c r="C338" s="8">
        <v>1214.0</v>
      </c>
      <c r="D338" s="8">
        <v>459.7777891457081</v>
      </c>
      <c r="E338" s="8">
        <v>7782.0</v>
      </c>
      <c r="F338" s="18">
        <f t="shared" si="1"/>
        <v>0.156001028</v>
      </c>
      <c r="G338" s="18">
        <f t="shared" si="2"/>
        <v>0.3787296451</v>
      </c>
      <c r="H338" s="18">
        <f t="shared" si="3"/>
        <v>0.05908221397</v>
      </c>
      <c r="I338" s="8">
        <v>339.0</v>
      </c>
      <c r="J338" s="8">
        <v>131.22222518920898</v>
      </c>
      <c r="K338" s="8">
        <v>1820.0</v>
      </c>
      <c r="L338" s="18">
        <f t="shared" si="4"/>
        <v>0.1862637363</v>
      </c>
      <c r="M338" s="18">
        <f t="shared" si="5"/>
        <v>0.38708621</v>
      </c>
      <c r="N338" s="18">
        <f t="shared" si="6"/>
        <v>0.07210012373</v>
      </c>
      <c r="O338" s="18">
        <f t="shared" si="7"/>
        <v>1.22033551</v>
      </c>
      <c r="U338" s="20"/>
      <c r="V338" s="20"/>
      <c r="W338" s="20"/>
      <c r="AA338" s="20"/>
      <c r="AB338" s="20"/>
      <c r="AC338" s="20"/>
      <c r="AD338" s="20"/>
    </row>
    <row r="339">
      <c r="A339" s="8">
        <v>90303.0</v>
      </c>
      <c r="B339" s="9" t="s">
        <v>348</v>
      </c>
      <c r="C339" s="8">
        <v>1251.0</v>
      </c>
      <c r="D339" s="8">
        <v>478.11112385988235</v>
      </c>
      <c r="E339" s="8">
        <v>4435.0</v>
      </c>
      <c r="F339" s="18">
        <f t="shared" si="1"/>
        <v>0.2820744081</v>
      </c>
      <c r="G339" s="18">
        <f t="shared" si="2"/>
        <v>0.3821831526</v>
      </c>
      <c r="H339" s="18">
        <f t="shared" si="3"/>
        <v>0.1078040866</v>
      </c>
      <c r="I339" s="8">
        <v>1585.0</v>
      </c>
      <c r="J339" s="8">
        <v>601.44445925951</v>
      </c>
      <c r="K339" s="8">
        <v>5812.0</v>
      </c>
      <c r="L339" s="18">
        <f t="shared" si="4"/>
        <v>0.2727116311</v>
      </c>
      <c r="M339" s="18">
        <f t="shared" si="5"/>
        <v>0.3794602267</v>
      </c>
      <c r="N339" s="18">
        <f t="shared" si="6"/>
        <v>0.1034832174</v>
      </c>
      <c r="O339" s="18">
        <f t="shared" si="7"/>
        <v>0.9599192448</v>
      </c>
      <c r="U339" s="20"/>
      <c r="V339" s="20"/>
      <c r="W339" s="20"/>
      <c r="AA339" s="20"/>
      <c r="AB339" s="20"/>
      <c r="AC339" s="20"/>
      <c r="AD339" s="20"/>
    </row>
    <row r="340">
      <c r="A340" s="8">
        <v>90401.0</v>
      </c>
      <c r="B340" s="9" t="s">
        <v>349</v>
      </c>
      <c r="C340" s="8">
        <v>105.0</v>
      </c>
      <c r="D340" s="8">
        <v>40.22222313284874</v>
      </c>
      <c r="E340" s="8">
        <v>1030.0</v>
      </c>
      <c r="F340" s="18">
        <f t="shared" si="1"/>
        <v>0.1019417476</v>
      </c>
      <c r="G340" s="18">
        <f t="shared" si="2"/>
        <v>0.3830687917</v>
      </c>
      <c r="H340" s="18">
        <f t="shared" si="3"/>
        <v>0.03905070207</v>
      </c>
      <c r="I340" s="8">
        <v>199.0</v>
      </c>
      <c r="J340" s="8">
        <v>76.44444659352303</v>
      </c>
      <c r="K340" s="8">
        <v>1797.0</v>
      </c>
      <c r="L340" s="18">
        <f t="shared" si="4"/>
        <v>0.1107401224</v>
      </c>
      <c r="M340" s="18">
        <f t="shared" si="5"/>
        <v>0.3841429477</v>
      </c>
      <c r="N340" s="18">
        <f t="shared" si="6"/>
        <v>0.04254003706</v>
      </c>
      <c r="O340" s="18">
        <f t="shared" si="7"/>
        <v>1.089353963</v>
      </c>
      <c r="U340" s="20"/>
      <c r="V340" s="20"/>
      <c r="W340" s="20"/>
      <c r="AA340" s="20"/>
      <c r="AB340" s="20"/>
      <c r="AC340" s="20"/>
      <c r="AD340" s="20"/>
    </row>
    <row r="341">
      <c r="A341" s="8">
        <v>90402.0</v>
      </c>
      <c r="B341" s="9" t="s">
        <v>350</v>
      </c>
      <c r="C341" s="8">
        <v>196.0</v>
      </c>
      <c r="D341" s="8">
        <v>71.22222384810448</v>
      </c>
      <c r="E341" s="8">
        <v>698.0</v>
      </c>
      <c r="F341" s="18">
        <f t="shared" si="1"/>
        <v>0.2808022923</v>
      </c>
      <c r="G341" s="18">
        <f t="shared" si="2"/>
        <v>0.3633786931</v>
      </c>
      <c r="H341" s="18">
        <f t="shared" si="3"/>
        <v>0.10203757</v>
      </c>
      <c r="I341" s="8">
        <v>523.0</v>
      </c>
      <c r="J341" s="8">
        <v>195.77778211236</v>
      </c>
      <c r="K341" s="8">
        <v>1847.0</v>
      </c>
      <c r="L341" s="18">
        <f t="shared" si="4"/>
        <v>0.2831618841</v>
      </c>
      <c r="M341" s="18">
        <f t="shared" si="5"/>
        <v>0.3743361035</v>
      </c>
      <c r="N341" s="18">
        <f t="shared" si="6"/>
        <v>0.1059977164</v>
      </c>
      <c r="O341" s="18">
        <f t="shared" si="7"/>
        <v>1.038810669</v>
      </c>
      <c r="U341" s="20"/>
      <c r="V341" s="20"/>
      <c r="W341" s="20"/>
      <c r="AA341" s="20"/>
      <c r="AB341" s="20"/>
      <c r="AC341" s="20"/>
      <c r="AD341" s="20"/>
    </row>
    <row r="342">
      <c r="A342" s="8">
        <v>90501.0</v>
      </c>
      <c r="B342" s="9" t="s">
        <v>351</v>
      </c>
      <c r="C342" s="8">
        <v>143.0</v>
      </c>
      <c r="D342" s="8">
        <v>53.555557042360306</v>
      </c>
      <c r="E342" s="8">
        <v>817.0</v>
      </c>
      <c r="F342" s="18">
        <f t="shared" si="1"/>
        <v>0.1750305998</v>
      </c>
      <c r="G342" s="18">
        <f t="shared" si="2"/>
        <v>0.3745143849</v>
      </c>
      <c r="H342" s="18">
        <f t="shared" si="3"/>
        <v>0.06555147741</v>
      </c>
      <c r="I342" s="8">
        <v>129.0</v>
      </c>
      <c r="J342" s="8">
        <v>47.44444555044174</v>
      </c>
      <c r="K342" s="8">
        <v>755.0</v>
      </c>
      <c r="L342" s="18">
        <f t="shared" si="4"/>
        <v>0.1708609272</v>
      </c>
      <c r="M342" s="18">
        <f t="shared" si="5"/>
        <v>0.3677863996</v>
      </c>
      <c r="N342" s="18">
        <f t="shared" si="6"/>
        <v>0.06284032523</v>
      </c>
      <c r="O342" s="18">
        <f t="shared" si="7"/>
        <v>0.9586408685</v>
      </c>
      <c r="U342" s="20"/>
      <c r="V342" s="20"/>
      <c r="W342" s="20"/>
      <c r="AA342" s="20"/>
      <c r="AB342" s="20"/>
      <c r="AC342" s="20"/>
      <c r="AD342" s="20"/>
    </row>
    <row r="343">
      <c r="A343" s="8">
        <v>90502.0</v>
      </c>
      <c r="B343" s="9" t="s">
        <v>352</v>
      </c>
      <c r="C343" s="8">
        <v>147.0</v>
      </c>
      <c r="D343" s="8">
        <v>55.888889998197556</v>
      </c>
      <c r="E343" s="8">
        <v>847.0</v>
      </c>
      <c r="F343" s="18">
        <f t="shared" si="1"/>
        <v>0.173553719</v>
      </c>
      <c r="G343" s="18">
        <f t="shared" si="2"/>
        <v>0.3801965306</v>
      </c>
      <c r="H343" s="18">
        <f t="shared" si="3"/>
        <v>0.06598452184</v>
      </c>
      <c r="I343" s="8">
        <v>240.0</v>
      </c>
      <c r="J343" s="8">
        <v>84.00000238418579</v>
      </c>
      <c r="K343" s="8">
        <v>1638.0</v>
      </c>
      <c r="L343" s="18">
        <f t="shared" si="4"/>
        <v>0.1465201465</v>
      </c>
      <c r="M343" s="18">
        <f t="shared" si="5"/>
        <v>0.3500000099</v>
      </c>
      <c r="N343" s="18">
        <f t="shared" si="6"/>
        <v>0.05128205274</v>
      </c>
      <c r="O343" s="18">
        <f t="shared" si="7"/>
        <v>0.7771830621</v>
      </c>
      <c r="U343" s="20"/>
      <c r="V343" s="20"/>
      <c r="W343" s="20"/>
      <c r="AA343" s="20"/>
      <c r="AB343" s="20"/>
      <c r="AC343" s="20"/>
      <c r="AD343" s="20"/>
    </row>
    <row r="344">
      <c r="A344" s="8">
        <v>90503.0</v>
      </c>
      <c r="B344" s="9" t="s">
        <v>353</v>
      </c>
      <c r="C344" s="8">
        <v>113.0</v>
      </c>
      <c r="D344" s="8">
        <v>43.222223341464996</v>
      </c>
      <c r="E344" s="8">
        <v>679.0</v>
      </c>
      <c r="F344" s="18">
        <f t="shared" si="1"/>
        <v>0.1664212077</v>
      </c>
      <c r="G344" s="18">
        <f t="shared" si="2"/>
        <v>0.3824975517</v>
      </c>
      <c r="H344" s="18">
        <f t="shared" si="3"/>
        <v>0.06365570448</v>
      </c>
      <c r="I344" s="8">
        <v>352.0</v>
      </c>
      <c r="J344" s="8">
        <v>136.66667038202286</v>
      </c>
      <c r="K344" s="8">
        <v>1603.0</v>
      </c>
      <c r="L344" s="18">
        <f t="shared" si="4"/>
        <v>0.219588272</v>
      </c>
      <c r="M344" s="18">
        <f t="shared" si="5"/>
        <v>0.3882575863</v>
      </c>
      <c r="N344" s="18">
        <f t="shared" si="6"/>
        <v>0.08525681247</v>
      </c>
      <c r="O344" s="18">
        <f t="shared" si="7"/>
        <v>1.339342847</v>
      </c>
      <c r="U344" s="20"/>
      <c r="V344" s="20"/>
      <c r="W344" s="20"/>
      <c r="AA344" s="20"/>
      <c r="AB344" s="20"/>
      <c r="AC344" s="20"/>
      <c r="AD344" s="20"/>
    </row>
    <row r="345">
      <c r="A345" s="9">
        <v>10.0</v>
      </c>
      <c r="B345" s="9" t="s">
        <v>354</v>
      </c>
      <c r="C345" s="8">
        <f t="shared" ref="C345:E345" si="15">SUM(C246:C248)</f>
        <v>4112</v>
      </c>
      <c r="D345" s="8">
        <f t="shared" si="15"/>
        <v>1589.333373</v>
      </c>
      <c r="E345" s="8">
        <f t="shared" si="15"/>
        <v>36985</v>
      </c>
      <c r="F345" s="18">
        <f t="shared" si="1"/>
        <v>0.1111802082</v>
      </c>
      <c r="G345" s="18">
        <f t="shared" si="2"/>
        <v>0.3865110342</v>
      </c>
      <c r="H345" s="18">
        <f t="shared" si="3"/>
        <v>0.04297237725</v>
      </c>
      <c r="I345" s="8">
        <f t="shared" ref="I345:K345" si="16">SUM(I246:I248)</f>
        <v>3799</v>
      </c>
      <c r="J345" s="8">
        <f t="shared" si="16"/>
        <v>1370.777814</v>
      </c>
      <c r="K345" s="8">
        <f t="shared" si="16"/>
        <v>117931</v>
      </c>
      <c r="L345" s="18">
        <f t="shared" si="4"/>
        <v>0.03221375211</v>
      </c>
      <c r="M345" s="18">
        <f t="shared" si="5"/>
        <v>0.3608259579</v>
      </c>
      <c r="N345" s="18">
        <f t="shared" si="6"/>
        <v>0.01162355796</v>
      </c>
      <c r="O345" s="18">
        <f t="shared" si="7"/>
        <v>0.2704890607</v>
      </c>
      <c r="U345" s="20"/>
      <c r="V345" s="20"/>
      <c r="W345" s="20"/>
      <c r="AA345" s="20"/>
      <c r="AB345" s="20"/>
      <c r="AC345" s="20"/>
      <c r="AD345" s="20"/>
    </row>
    <row r="346">
      <c r="A346" s="9">
        <v>11.0</v>
      </c>
      <c r="B346" s="9" t="s">
        <v>355</v>
      </c>
      <c r="C346" s="8">
        <f t="shared" ref="C346:E346" si="17">SUM(C2:C344)</f>
        <v>688547</v>
      </c>
      <c r="D346" s="8">
        <f t="shared" si="17"/>
        <v>262644.3399</v>
      </c>
      <c r="E346" s="8">
        <f t="shared" si="17"/>
        <v>5169554</v>
      </c>
      <c r="F346" s="18">
        <f t="shared" si="1"/>
        <v>0.133192728</v>
      </c>
      <c r="G346" s="18">
        <f t="shared" si="2"/>
        <v>0.3814472214</v>
      </c>
      <c r="H346" s="18">
        <f t="shared" si="3"/>
        <v>0.05080599602</v>
      </c>
      <c r="I346" s="8">
        <f t="shared" ref="I346:K346" si="18">SUM(I2:I344)</f>
        <v>289037</v>
      </c>
      <c r="J346" s="8">
        <f t="shared" si="18"/>
        <v>106258.1138</v>
      </c>
      <c r="K346" s="8">
        <f t="shared" si="18"/>
        <v>5964576</v>
      </c>
      <c r="L346" s="18">
        <f t="shared" si="4"/>
        <v>0.04845893488</v>
      </c>
      <c r="M346" s="18">
        <f t="shared" si="5"/>
        <v>0.3676280677</v>
      </c>
      <c r="N346" s="18">
        <f t="shared" si="6"/>
        <v>0.0178148646</v>
      </c>
      <c r="O346" s="18">
        <f t="shared" si="7"/>
        <v>0.3506449237</v>
      </c>
      <c r="U346" s="20"/>
      <c r="V346" s="20"/>
      <c r="W346" s="20"/>
      <c r="AA346" s="20"/>
      <c r="AB346" s="20"/>
      <c r="AC346" s="20"/>
      <c r="AD346" s="20"/>
    </row>
    <row r="347">
      <c r="C347" s="15"/>
      <c r="D347" s="15"/>
      <c r="E347" s="15"/>
      <c r="F347" s="20"/>
      <c r="G347" s="20"/>
      <c r="H347" s="20"/>
      <c r="L347" s="20"/>
      <c r="M347" s="20"/>
      <c r="N347" s="20"/>
      <c r="O347" s="20"/>
      <c r="U347" s="20"/>
      <c r="V347" s="20"/>
      <c r="W347" s="20"/>
      <c r="AA347" s="20"/>
      <c r="AB347" s="20"/>
      <c r="AC347" s="20"/>
      <c r="AD347" s="20"/>
    </row>
    <row r="348">
      <c r="C348" s="15"/>
      <c r="D348" s="15"/>
      <c r="E348" s="15"/>
      <c r="F348" s="20"/>
      <c r="G348" s="20"/>
      <c r="H348" s="20"/>
      <c r="L348" s="20"/>
      <c r="M348" s="20"/>
      <c r="N348" s="20"/>
      <c r="O348" s="20"/>
      <c r="U348" s="20"/>
      <c r="V348" s="20"/>
      <c r="W348" s="20"/>
      <c r="AA348" s="20"/>
      <c r="AB348" s="20"/>
      <c r="AC348" s="20"/>
      <c r="AD348" s="20"/>
    </row>
    <row r="349">
      <c r="C349" s="15"/>
      <c r="D349" s="15"/>
      <c r="E349" s="15"/>
      <c r="F349" s="20"/>
      <c r="G349" s="20"/>
      <c r="H349" s="20"/>
      <c r="L349" s="20"/>
      <c r="M349" s="20"/>
      <c r="N349" s="20"/>
      <c r="O349" s="20"/>
      <c r="U349" s="20"/>
      <c r="V349" s="20"/>
      <c r="W349" s="20"/>
      <c r="AA349" s="20"/>
      <c r="AB349" s="20"/>
      <c r="AC349" s="20"/>
      <c r="AD349" s="20"/>
    </row>
    <row r="350">
      <c r="C350" s="15"/>
      <c r="D350" s="15"/>
      <c r="E350" s="15"/>
      <c r="F350" s="20"/>
      <c r="G350" s="20"/>
      <c r="H350" s="20"/>
      <c r="L350" s="20"/>
      <c r="M350" s="20"/>
      <c r="N350" s="20"/>
      <c r="O350" s="20"/>
      <c r="U350" s="20"/>
      <c r="V350" s="20"/>
      <c r="W350" s="20"/>
      <c r="AA350" s="20"/>
      <c r="AB350" s="20"/>
      <c r="AC350" s="20"/>
      <c r="AD350" s="20"/>
    </row>
    <row r="351">
      <c r="C351" s="15"/>
      <c r="D351" s="15"/>
      <c r="E351" s="15"/>
      <c r="F351" s="20"/>
      <c r="G351" s="20"/>
      <c r="H351" s="20"/>
      <c r="L351" s="20"/>
      <c r="M351" s="20"/>
      <c r="N351" s="20"/>
      <c r="O351" s="20"/>
      <c r="U351" s="20"/>
      <c r="V351" s="20"/>
      <c r="W351" s="20"/>
      <c r="AA351" s="20"/>
      <c r="AB351" s="20"/>
      <c r="AC351" s="20"/>
      <c r="AD351" s="20"/>
    </row>
    <row r="352">
      <c r="C352" s="15"/>
      <c r="D352" s="15"/>
      <c r="E352" s="15"/>
      <c r="F352" s="20"/>
      <c r="G352" s="20"/>
      <c r="H352" s="20"/>
      <c r="L352" s="20"/>
      <c r="M352" s="20"/>
      <c r="N352" s="20"/>
      <c r="O352" s="20"/>
      <c r="U352" s="20"/>
      <c r="V352" s="20"/>
      <c r="W352" s="20"/>
      <c r="AA352" s="20"/>
      <c r="AB352" s="20"/>
      <c r="AC352" s="20"/>
      <c r="AD352" s="20"/>
    </row>
    <row r="353">
      <c r="C353" s="15"/>
      <c r="D353" s="15"/>
      <c r="E353" s="15"/>
      <c r="F353" s="20"/>
      <c r="G353" s="20"/>
      <c r="H353" s="20"/>
      <c r="L353" s="20"/>
      <c r="M353" s="20"/>
      <c r="N353" s="20"/>
      <c r="O353" s="20"/>
      <c r="U353" s="20"/>
      <c r="V353" s="20"/>
      <c r="W353" s="20"/>
      <c r="AA353" s="20"/>
      <c r="AB353" s="20"/>
      <c r="AC353" s="20"/>
      <c r="AD353" s="20"/>
    </row>
    <row r="354">
      <c r="C354" s="15"/>
      <c r="D354" s="15"/>
      <c r="E354" s="15"/>
      <c r="F354" s="20"/>
      <c r="G354" s="20"/>
      <c r="H354" s="20"/>
      <c r="L354" s="20"/>
      <c r="M354" s="20"/>
      <c r="N354" s="20"/>
      <c r="O354" s="20"/>
      <c r="U354" s="20"/>
      <c r="V354" s="20"/>
      <c r="W354" s="20"/>
      <c r="AA354" s="20"/>
      <c r="AB354" s="20"/>
      <c r="AC354" s="20"/>
      <c r="AD354" s="20"/>
    </row>
    <row r="355">
      <c r="C355" s="15"/>
      <c r="D355" s="15"/>
      <c r="E355" s="15"/>
      <c r="F355" s="20"/>
      <c r="G355" s="20"/>
      <c r="H355" s="20"/>
      <c r="L355" s="20"/>
      <c r="M355" s="20"/>
      <c r="N355" s="20"/>
      <c r="O355" s="20"/>
      <c r="U355" s="20"/>
      <c r="V355" s="20"/>
      <c r="W355" s="20"/>
      <c r="AA355" s="20"/>
      <c r="AB355" s="20"/>
      <c r="AC355" s="20"/>
      <c r="AD355" s="20"/>
    </row>
    <row r="356">
      <c r="C356" s="15"/>
      <c r="D356" s="15"/>
      <c r="E356" s="15"/>
      <c r="F356" s="20"/>
      <c r="G356" s="20"/>
      <c r="H356" s="20"/>
      <c r="L356" s="20"/>
      <c r="M356" s="20"/>
      <c r="N356" s="20"/>
      <c r="O356" s="20"/>
      <c r="U356" s="20"/>
      <c r="V356" s="20"/>
      <c r="W356" s="20"/>
      <c r="AA356" s="20"/>
      <c r="AB356" s="20"/>
      <c r="AC356" s="20"/>
      <c r="AD356" s="20"/>
    </row>
    <row r="357">
      <c r="C357" s="15"/>
      <c r="D357" s="15"/>
      <c r="E357" s="15"/>
      <c r="F357" s="20"/>
      <c r="G357" s="20"/>
      <c r="H357" s="20"/>
      <c r="L357" s="20"/>
      <c r="M357" s="20"/>
      <c r="N357" s="20"/>
      <c r="O357" s="20"/>
      <c r="U357" s="20"/>
      <c r="V357" s="20"/>
      <c r="W357" s="20"/>
      <c r="AA357" s="20"/>
      <c r="AB357" s="20"/>
      <c r="AC357" s="20"/>
      <c r="AD357" s="20"/>
    </row>
    <row r="358">
      <c r="C358" s="15"/>
      <c r="D358" s="15"/>
      <c r="E358" s="15"/>
      <c r="F358" s="20"/>
      <c r="G358" s="20"/>
      <c r="H358" s="20"/>
      <c r="L358" s="20"/>
      <c r="M358" s="20"/>
      <c r="N358" s="20"/>
      <c r="O358" s="20"/>
      <c r="U358" s="20"/>
      <c r="V358" s="20"/>
      <c r="W358" s="20"/>
      <c r="AA358" s="20"/>
      <c r="AB358" s="20"/>
      <c r="AC358" s="20"/>
      <c r="AD358" s="20"/>
    </row>
    <row r="359">
      <c r="C359" s="15"/>
      <c r="D359" s="15"/>
      <c r="E359" s="15"/>
      <c r="F359" s="20"/>
      <c r="G359" s="20"/>
      <c r="H359" s="20"/>
      <c r="L359" s="20"/>
      <c r="M359" s="20"/>
      <c r="N359" s="20"/>
      <c r="O359" s="20"/>
      <c r="U359" s="20"/>
      <c r="V359" s="20"/>
      <c r="W359" s="20"/>
      <c r="AA359" s="20"/>
      <c r="AB359" s="20"/>
      <c r="AC359" s="20"/>
      <c r="AD359" s="20"/>
    </row>
    <row r="360">
      <c r="C360" s="15"/>
      <c r="D360" s="15"/>
      <c r="E360" s="15"/>
      <c r="F360" s="20"/>
      <c r="G360" s="20"/>
      <c r="H360" s="20"/>
      <c r="L360" s="20"/>
      <c r="M360" s="20"/>
      <c r="N360" s="20"/>
      <c r="O360" s="20"/>
      <c r="U360" s="20"/>
      <c r="V360" s="20"/>
      <c r="W360" s="20"/>
      <c r="AA360" s="20"/>
      <c r="AB360" s="20"/>
      <c r="AC360" s="20"/>
      <c r="AD360" s="20"/>
    </row>
    <row r="361">
      <c r="C361" s="15"/>
      <c r="D361" s="15"/>
      <c r="E361" s="15"/>
      <c r="F361" s="20"/>
      <c r="G361" s="20"/>
      <c r="H361" s="20"/>
      <c r="L361" s="20"/>
      <c r="M361" s="20"/>
      <c r="N361" s="20"/>
      <c r="O361" s="20"/>
      <c r="U361" s="20"/>
      <c r="V361" s="20"/>
      <c r="W361" s="20"/>
      <c r="AA361" s="20"/>
      <c r="AB361" s="20"/>
      <c r="AC361" s="20"/>
      <c r="AD361" s="20"/>
    </row>
    <row r="362">
      <c r="C362" s="15"/>
      <c r="D362" s="15"/>
      <c r="E362" s="15"/>
      <c r="F362" s="20"/>
      <c r="G362" s="20"/>
      <c r="H362" s="20"/>
      <c r="L362" s="20"/>
      <c r="M362" s="20"/>
      <c r="N362" s="20"/>
      <c r="O362" s="20"/>
      <c r="U362" s="20"/>
      <c r="V362" s="20"/>
      <c r="W362" s="20"/>
      <c r="AA362" s="20"/>
      <c r="AB362" s="20"/>
      <c r="AC362" s="20"/>
      <c r="AD362" s="20"/>
    </row>
    <row r="363">
      <c r="C363" s="15"/>
      <c r="D363" s="15"/>
      <c r="E363" s="15"/>
      <c r="F363" s="20"/>
      <c r="G363" s="20"/>
      <c r="H363" s="20"/>
      <c r="L363" s="20"/>
      <c r="M363" s="20"/>
      <c r="N363" s="20"/>
      <c r="O363" s="20"/>
      <c r="U363" s="20"/>
      <c r="V363" s="20"/>
      <c r="W363" s="20"/>
      <c r="AA363" s="20"/>
      <c r="AB363" s="20"/>
      <c r="AC363" s="20"/>
      <c r="AD363" s="20"/>
    </row>
    <row r="364">
      <c r="C364" s="15"/>
      <c r="D364" s="15"/>
      <c r="E364" s="15"/>
      <c r="F364" s="20"/>
      <c r="G364" s="20"/>
      <c r="H364" s="20"/>
      <c r="L364" s="20"/>
      <c r="M364" s="20"/>
      <c r="N364" s="20"/>
      <c r="O364" s="20"/>
      <c r="U364" s="20"/>
      <c r="V364" s="20"/>
      <c r="W364" s="20"/>
      <c r="AA364" s="20"/>
      <c r="AB364" s="20"/>
      <c r="AC364" s="20"/>
      <c r="AD364" s="20"/>
    </row>
    <row r="365">
      <c r="C365" s="15"/>
      <c r="D365" s="15"/>
      <c r="E365" s="15"/>
      <c r="F365" s="20"/>
      <c r="G365" s="20"/>
      <c r="H365" s="20"/>
      <c r="L365" s="20"/>
      <c r="M365" s="20"/>
      <c r="N365" s="20"/>
      <c r="O365" s="20"/>
      <c r="U365" s="20"/>
      <c r="V365" s="20"/>
      <c r="W365" s="20"/>
      <c r="AA365" s="20"/>
      <c r="AB365" s="20"/>
      <c r="AC365" s="20"/>
      <c r="AD365" s="20"/>
    </row>
    <row r="366">
      <c r="C366" s="15"/>
      <c r="D366" s="15"/>
      <c r="E366" s="15"/>
      <c r="F366" s="20"/>
      <c r="G366" s="20"/>
      <c r="H366" s="20"/>
      <c r="L366" s="20"/>
      <c r="M366" s="20"/>
      <c r="N366" s="20"/>
      <c r="O366" s="20"/>
      <c r="U366" s="20"/>
      <c r="V366" s="20"/>
      <c r="W366" s="20"/>
      <c r="AA366" s="20"/>
      <c r="AB366" s="20"/>
      <c r="AC366" s="20"/>
      <c r="AD366" s="20"/>
    </row>
    <row r="367">
      <c r="C367" s="15"/>
      <c r="D367" s="15"/>
      <c r="E367" s="15"/>
      <c r="F367" s="20"/>
      <c r="G367" s="20"/>
      <c r="H367" s="20"/>
      <c r="L367" s="20"/>
      <c r="M367" s="20"/>
      <c r="N367" s="20"/>
      <c r="O367" s="20"/>
      <c r="U367" s="20"/>
      <c r="V367" s="20"/>
      <c r="W367" s="20"/>
      <c r="AA367" s="20"/>
      <c r="AB367" s="20"/>
      <c r="AC367" s="20"/>
      <c r="AD367" s="20"/>
    </row>
    <row r="368">
      <c r="C368" s="15"/>
      <c r="D368" s="15"/>
      <c r="E368" s="15"/>
      <c r="F368" s="20"/>
      <c r="G368" s="20"/>
      <c r="H368" s="20"/>
      <c r="L368" s="20"/>
      <c r="M368" s="20"/>
      <c r="N368" s="20"/>
      <c r="O368" s="20"/>
      <c r="U368" s="20"/>
      <c r="V368" s="20"/>
      <c r="W368" s="20"/>
      <c r="AA368" s="20"/>
      <c r="AB368" s="20"/>
      <c r="AC368" s="20"/>
      <c r="AD368" s="20"/>
    </row>
    <row r="369">
      <c r="C369" s="15"/>
      <c r="D369" s="15"/>
      <c r="E369" s="15"/>
      <c r="F369" s="20"/>
      <c r="G369" s="20"/>
      <c r="H369" s="20"/>
      <c r="L369" s="20"/>
      <c r="M369" s="20"/>
      <c r="N369" s="20"/>
      <c r="O369" s="20"/>
      <c r="U369" s="20"/>
      <c r="V369" s="20"/>
      <c r="W369" s="20"/>
      <c r="AA369" s="20"/>
      <c r="AB369" s="20"/>
      <c r="AC369" s="20"/>
      <c r="AD369" s="20"/>
    </row>
    <row r="370">
      <c r="C370" s="15"/>
      <c r="D370" s="15"/>
      <c r="E370" s="15"/>
      <c r="F370" s="20"/>
      <c r="G370" s="20"/>
      <c r="H370" s="20"/>
      <c r="L370" s="20"/>
      <c r="M370" s="20"/>
      <c r="N370" s="20"/>
      <c r="O370" s="20"/>
      <c r="U370" s="20"/>
      <c r="V370" s="20"/>
      <c r="W370" s="20"/>
      <c r="AA370" s="20"/>
      <c r="AB370" s="20"/>
      <c r="AC370" s="20"/>
      <c r="AD370" s="20"/>
    </row>
    <row r="371">
      <c r="C371" s="15"/>
      <c r="D371" s="15"/>
      <c r="E371" s="15"/>
      <c r="F371" s="20"/>
      <c r="G371" s="20"/>
      <c r="H371" s="20"/>
      <c r="L371" s="20"/>
      <c r="M371" s="20"/>
      <c r="N371" s="20"/>
      <c r="O371" s="20"/>
      <c r="U371" s="20"/>
      <c r="V371" s="20"/>
      <c r="W371" s="20"/>
      <c r="AA371" s="20"/>
      <c r="AB371" s="20"/>
      <c r="AC371" s="20"/>
      <c r="AD371" s="20"/>
    </row>
    <row r="372">
      <c r="C372" s="15"/>
      <c r="D372" s="15"/>
      <c r="E372" s="15"/>
      <c r="F372" s="20"/>
      <c r="G372" s="20"/>
      <c r="H372" s="20"/>
      <c r="L372" s="20"/>
      <c r="M372" s="20"/>
      <c r="N372" s="20"/>
      <c r="O372" s="20"/>
      <c r="U372" s="20"/>
      <c r="V372" s="20"/>
      <c r="W372" s="20"/>
      <c r="AA372" s="20"/>
      <c r="AB372" s="20"/>
      <c r="AC372" s="20"/>
      <c r="AD372" s="20"/>
    </row>
    <row r="373">
      <c r="C373" s="15"/>
      <c r="D373" s="15"/>
      <c r="E373" s="15"/>
      <c r="F373" s="20"/>
      <c r="G373" s="20"/>
      <c r="H373" s="20"/>
      <c r="L373" s="20"/>
      <c r="M373" s="20"/>
      <c r="N373" s="20"/>
      <c r="O373" s="20"/>
      <c r="U373" s="20"/>
      <c r="V373" s="20"/>
      <c r="W373" s="20"/>
      <c r="AA373" s="20"/>
      <c r="AB373" s="20"/>
      <c r="AC373" s="20"/>
      <c r="AD373" s="20"/>
    </row>
    <row r="374">
      <c r="C374" s="15"/>
      <c r="D374" s="15"/>
      <c r="E374" s="15"/>
      <c r="F374" s="20"/>
      <c r="G374" s="20"/>
      <c r="H374" s="20"/>
      <c r="L374" s="20"/>
      <c r="M374" s="20"/>
      <c r="N374" s="20"/>
      <c r="O374" s="20"/>
      <c r="U374" s="20"/>
      <c r="V374" s="20"/>
      <c r="W374" s="20"/>
      <c r="AA374" s="20"/>
      <c r="AB374" s="20"/>
      <c r="AC374" s="20"/>
      <c r="AD374" s="20"/>
    </row>
    <row r="375">
      <c r="C375" s="15"/>
      <c r="D375" s="15"/>
      <c r="E375" s="15"/>
      <c r="F375" s="20"/>
      <c r="G375" s="20"/>
      <c r="H375" s="20"/>
      <c r="L375" s="20"/>
      <c r="M375" s="20"/>
      <c r="N375" s="20"/>
      <c r="O375" s="20"/>
      <c r="U375" s="20"/>
      <c r="V375" s="20"/>
      <c r="W375" s="20"/>
      <c r="AA375" s="20"/>
      <c r="AB375" s="20"/>
      <c r="AC375" s="20"/>
      <c r="AD375" s="20"/>
    </row>
    <row r="376">
      <c r="C376" s="15"/>
      <c r="D376" s="15"/>
      <c r="E376" s="15"/>
      <c r="F376" s="20"/>
      <c r="G376" s="20"/>
      <c r="H376" s="20"/>
      <c r="L376" s="20"/>
      <c r="M376" s="20"/>
      <c r="N376" s="20"/>
      <c r="O376" s="20"/>
      <c r="U376" s="20"/>
      <c r="V376" s="20"/>
      <c r="W376" s="20"/>
      <c r="AA376" s="20"/>
      <c r="AB376" s="20"/>
      <c r="AC376" s="20"/>
      <c r="AD376" s="20"/>
    </row>
    <row r="377">
      <c r="C377" s="15"/>
      <c r="D377" s="15"/>
      <c r="E377" s="15"/>
      <c r="F377" s="20"/>
      <c r="G377" s="20"/>
      <c r="H377" s="20"/>
      <c r="L377" s="20"/>
      <c r="M377" s="20"/>
      <c r="N377" s="20"/>
      <c r="O377" s="20"/>
      <c r="U377" s="20"/>
      <c r="V377" s="20"/>
      <c r="W377" s="20"/>
      <c r="AA377" s="20"/>
      <c r="AB377" s="20"/>
      <c r="AC377" s="20"/>
      <c r="AD377" s="20"/>
    </row>
    <row r="378">
      <c r="C378" s="15"/>
      <c r="D378" s="15"/>
      <c r="E378" s="15"/>
      <c r="F378" s="20"/>
      <c r="G378" s="20"/>
      <c r="H378" s="20"/>
      <c r="L378" s="20"/>
      <c r="M378" s="20"/>
      <c r="N378" s="20"/>
      <c r="O378" s="20"/>
      <c r="U378" s="20"/>
      <c r="V378" s="20"/>
      <c r="W378" s="20"/>
      <c r="AA378" s="20"/>
      <c r="AB378" s="20"/>
      <c r="AC378" s="20"/>
      <c r="AD378" s="20"/>
    </row>
    <row r="379">
      <c r="C379" s="15"/>
      <c r="D379" s="15"/>
      <c r="E379" s="15"/>
      <c r="F379" s="20"/>
      <c r="G379" s="20"/>
      <c r="H379" s="20"/>
      <c r="L379" s="20"/>
      <c r="M379" s="20"/>
      <c r="N379" s="20"/>
      <c r="O379" s="20"/>
      <c r="U379" s="20"/>
      <c r="V379" s="20"/>
      <c r="W379" s="20"/>
      <c r="AA379" s="20"/>
      <c r="AB379" s="20"/>
      <c r="AC379" s="20"/>
      <c r="AD379" s="20"/>
    </row>
    <row r="380">
      <c r="C380" s="15"/>
      <c r="D380" s="15"/>
      <c r="E380" s="15"/>
      <c r="F380" s="20"/>
      <c r="G380" s="20"/>
      <c r="H380" s="20"/>
      <c r="L380" s="20"/>
      <c r="M380" s="20"/>
      <c r="N380" s="20"/>
      <c r="O380" s="20"/>
      <c r="U380" s="20"/>
      <c r="V380" s="20"/>
      <c r="W380" s="20"/>
      <c r="AA380" s="20"/>
      <c r="AB380" s="20"/>
      <c r="AC380" s="20"/>
      <c r="AD380" s="20"/>
    </row>
    <row r="381">
      <c r="C381" s="15"/>
      <c r="D381" s="15"/>
      <c r="E381" s="15"/>
      <c r="F381" s="20"/>
      <c r="G381" s="20"/>
      <c r="H381" s="20"/>
      <c r="L381" s="20"/>
      <c r="M381" s="20"/>
      <c r="N381" s="20"/>
      <c r="O381" s="20"/>
      <c r="U381" s="20"/>
      <c r="V381" s="20"/>
      <c r="W381" s="20"/>
      <c r="AA381" s="20"/>
      <c r="AB381" s="20"/>
      <c r="AC381" s="20"/>
      <c r="AD381" s="20"/>
    </row>
    <row r="382">
      <c r="C382" s="15"/>
      <c r="D382" s="15"/>
      <c r="E382" s="15"/>
      <c r="F382" s="20"/>
      <c r="G382" s="20"/>
      <c r="H382" s="20"/>
      <c r="L382" s="20"/>
      <c r="M382" s="20"/>
      <c r="N382" s="20"/>
      <c r="O382" s="20"/>
      <c r="U382" s="20"/>
      <c r="V382" s="20"/>
      <c r="W382" s="20"/>
      <c r="AA382" s="20"/>
      <c r="AB382" s="20"/>
      <c r="AC382" s="20"/>
      <c r="AD382" s="20"/>
    </row>
    <row r="383">
      <c r="C383" s="15"/>
      <c r="D383" s="15"/>
      <c r="E383" s="15"/>
      <c r="F383" s="20"/>
      <c r="G383" s="20"/>
      <c r="H383" s="20"/>
      <c r="L383" s="20"/>
      <c r="M383" s="20"/>
      <c r="N383" s="20"/>
      <c r="O383" s="20"/>
      <c r="U383" s="20"/>
      <c r="V383" s="20"/>
      <c r="W383" s="20"/>
      <c r="AA383" s="20"/>
      <c r="AB383" s="20"/>
      <c r="AC383" s="20"/>
      <c r="AD383" s="20"/>
    </row>
    <row r="384">
      <c r="C384" s="15"/>
      <c r="D384" s="15"/>
      <c r="E384" s="15"/>
      <c r="F384" s="20"/>
      <c r="G384" s="20"/>
      <c r="H384" s="20"/>
      <c r="L384" s="20"/>
      <c r="M384" s="20"/>
      <c r="N384" s="20"/>
      <c r="O384" s="20"/>
      <c r="U384" s="20"/>
      <c r="V384" s="20"/>
      <c r="W384" s="20"/>
      <c r="AA384" s="20"/>
      <c r="AB384" s="20"/>
      <c r="AC384" s="20"/>
      <c r="AD384" s="20"/>
    </row>
    <row r="385">
      <c r="C385" s="15"/>
      <c r="D385" s="15"/>
      <c r="E385" s="15"/>
      <c r="F385" s="20"/>
      <c r="G385" s="20"/>
      <c r="H385" s="20"/>
      <c r="L385" s="20"/>
      <c r="M385" s="20"/>
      <c r="N385" s="20"/>
      <c r="O385" s="20"/>
      <c r="U385" s="20"/>
      <c r="V385" s="20"/>
      <c r="W385" s="20"/>
      <c r="AA385" s="20"/>
      <c r="AB385" s="20"/>
      <c r="AC385" s="20"/>
      <c r="AD385" s="20"/>
    </row>
    <row r="386">
      <c r="C386" s="15"/>
      <c r="D386" s="15"/>
      <c r="E386" s="15"/>
      <c r="F386" s="20"/>
      <c r="G386" s="20"/>
      <c r="H386" s="20"/>
      <c r="L386" s="20"/>
      <c r="M386" s="20"/>
      <c r="N386" s="20"/>
      <c r="O386" s="20"/>
      <c r="U386" s="20"/>
      <c r="V386" s="20"/>
      <c r="W386" s="20"/>
      <c r="AA386" s="20"/>
      <c r="AB386" s="20"/>
      <c r="AC386" s="20"/>
      <c r="AD386" s="20"/>
    </row>
    <row r="387">
      <c r="C387" s="15"/>
      <c r="D387" s="15"/>
      <c r="E387" s="15"/>
      <c r="F387" s="20"/>
      <c r="G387" s="20"/>
      <c r="H387" s="20"/>
      <c r="L387" s="20"/>
      <c r="M387" s="20"/>
      <c r="N387" s="20"/>
      <c r="O387" s="20"/>
      <c r="U387" s="20"/>
      <c r="V387" s="20"/>
      <c r="W387" s="20"/>
      <c r="AA387" s="20"/>
      <c r="AB387" s="20"/>
      <c r="AC387" s="20"/>
      <c r="AD387" s="20"/>
    </row>
    <row r="388">
      <c r="C388" s="15"/>
      <c r="D388" s="15"/>
      <c r="E388" s="15"/>
      <c r="F388" s="20"/>
      <c r="G388" s="20"/>
      <c r="H388" s="20"/>
      <c r="L388" s="20"/>
      <c r="M388" s="20"/>
      <c r="N388" s="20"/>
      <c r="O388" s="20"/>
      <c r="U388" s="20"/>
      <c r="V388" s="20"/>
      <c r="W388" s="20"/>
      <c r="AA388" s="20"/>
      <c r="AB388" s="20"/>
      <c r="AC388" s="20"/>
      <c r="AD388" s="20"/>
    </row>
    <row r="389">
      <c r="C389" s="15"/>
      <c r="D389" s="15"/>
      <c r="E389" s="15"/>
      <c r="F389" s="20"/>
      <c r="G389" s="20"/>
      <c r="H389" s="20"/>
      <c r="L389" s="20"/>
      <c r="M389" s="20"/>
      <c r="N389" s="20"/>
      <c r="O389" s="20"/>
      <c r="U389" s="20"/>
      <c r="V389" s="20"/>
      <c r="W389" s="20"/>
      <c r="AA389" s="20"/>
      <c r="AB389" s="20"/>
      <c r="AC389" s="20"/>
      <c r="AD389" s="20"/>
    </row>
    <row r="390">
      <c r="C390" s="15"/>
      <c r="D390" s="15"/>
      <c r="E390" s="15"/>
      <c r="F390" s="20"/>
      <c r="G390" s="20"/>
      <c r="H390" s="20"/>
      <c r="L390" s="20"/>
      <c r="M390" s="20"/>
      <c r="N390" s="20"/>
      <c r="O390" s="20"/>
      <c r="U390" s="20"/>
      <c r="V390" s="20"/>
      <c r="W390" s="20"/>
      <c r="AA390" s="20"/>
      <c r="AB390" s="20"/>
      <c r="AC390" s="20"/>
      <c r="AD390" s="20"/>
    </row>
    <row r="391">
      <c r="C391" s="15"/>
      <c r="D391" s="15"/>
      <c r="E391" s="15"/>
      <c r="F391" s="20"/>
      <c r="G391" s="20"/>
      <c r="H391" s="20"/>
      <c r="L391" s="20"/>
      <c r="M391" s="20"/>
      <c r="N391" s="20"/>
      <c r="O391" s="20"/>
      <c r="U391" s="20"/>
      <c r="V391" s="20"/>
      <c r="W391" s="20"/>
      <c r="AA391" s="20"/>
      <c r="AB391" s="20"/>
      <c r="AC391" s="20"/>
      <c r="AD391" s="20"/>
    </row>
    <row r="392">
      <c r="C392" s="15"/>
      <c r="D392" s="15"/>
      <c r="E392" s="15"/>
      <c r="F392" s="20"/>
      <c r="G392" s="20"/>
      <c r="H392" s="20"/>
      <c r="L392" s="20"/>
      <c r="M392" s="20"/>
      <c r="N392" s="20"/>
      <c r="O392" s="20"/>
      <c r="U392" s="20"/>
      <c r="V392" s="20"/>
      <c r="W392" s="20"/>
      <c r="AA392" s="20"/>
      <c r="AB392" s="20"/>
      <c r="AC392" s="20"/>
      <c r="AD392" s="20"/>
    </row>
    <row r="393">
      <c r="C393" s="15"/>
      <c r="D393" s="15"/>
      <c r="E393" s="15"/>
      <c r="F393" s="20"/>
      <c r="G393" s="20"/>
      <c r="H393" s="20"/>
      <c r="L393" s="20"/>
      <c r="M393" s="20"/>
      <c r="N393" s="20"/>
      <c r="O393" s="20"/>
      <c r="U393" s="20"/>
      <c r="V393" s="20"/>
      <c r="W393" s="20"/>
      <c r="AA393" s="20"/>
      <c r="AB393" s="20"/>
      <c r="AC393" s="20"/>
      <c r="AD393" s="20"/>
    </row>
    <row r="394">
      <c r="C394" s="15"/>
      <c r="D394" s="15"/>
      <c r="E394" s="15"/>
      <c r="F394" s="20"/>
      <c r="G394" s="20"/>
      <c r="H394" s="20"/>
      <c r="L394" s="20"/>
      <c r="M394" s="20"/>
      <c r="N394" s="20"/>
      <c r="O394" s="20"/>
      <c r="U394" s="20"/>
      <c r="V394" s="20"/>
      <c r="W394" s="20"/>
      <c r="AA394" s="20"/>
      <c r="AB394" s="20"/>
      <c r="AC394" s="20"/>
      <c r="AD394" s="20"/>
    </row>
    <row r="395">
      <c r="C395" s="15"/>
      <c r="D395" s="15"/>
      <c r="E395" s="15"/>
      <c r="F395" s="20"/>
      <c r="G395" s="20"/>
      <c r="H395" s="20"/>
      <c r="L395" s="20"/>
      <c r="M395" s="20"/>
      <c r="N395" s="20"/>
      <c r="O395" s="20"/>
      <c r="U395" s="20"/>
      <c r="V395" s="20"/>
      <c r="W395" s="20"/>
      <c r="AA395" s="20"/>
      <c r="AB395" s="20"/>
      <c r="AC395" s="20"/>
      <c r="AD395" s="20"/>
    </row>
    <row r="396">
      <c r="C396" s="15"/>
      <c r="D396" s="15"/>
      <c r="E396" s="15"/>
      <c r="F396" s="20"/>
      <c r="G396" s="20"/>
      <c r="H396" s="20"/>
      <c r="L396" s="20"/>
      <c r="M396" s="20"/>
      <c r="N396" s="20"/>
      <c r="O396" s="20"/>
      <c r="U396" s="20"/>
      <c r="V396" s="20"/>
      <c r="W396" s="20"/>
      <c r="AA396" s="20"/>
      <c r="AB396" s="20"/>
      <c r="AC396" s="20"/>
      <c r="AD396" s="20"/>
    </row>
    <row r="397">
      <c r="C397" s="15"/>
      <c r="D397" s="15"/>
      <c r="E397" s="15"/>
      <c r="F397" s="20"/>
      <c r="G397" s="20"/>
      <c r="H397" s="20"/>
      <c r="L397" s="20"/>
      <c r="M397" s="20"/>
      <c r="N397" s="20"/>
      <c r="O397" s="20"/>
      <c r="U397" s="20"/>
      <c r="V397" s="20"/>
      <c r="W397" s="20"/>
      <c r="AA397" s="20"/>
      <c r="AB397" s="20"/>
      <c r="AC397" s="20"/>
      <c r="AD397" s="20"/>
    </row>
    <row r="398">
      <c r="C398" s="15"/>
      <c r="D398" s="15"/>
      <c r="E398" s="15"/>
      <c r="F398" s="20"/>
      <c r="G398" s="20"/>
      <c r="H398" s="20"/>
      <c r="L398" s="20"/>
      <c r="M398" s="20"/>
      <c r="N398" s="20"/>
      <c r="O398" s="20"/>
      <c r="U398" s="20"/>
      <c r="V398" s="20"/>
      <c r="W398" s="20"/>
      <c r="AA398" s="20"/>
      <c r="AB398" s="20"/>
      <c r="AC398" s="20"/>
      <c r="AD398" s="20"/>
    </row>
    <row r="399">
      <c r="C399" s="15"/>
      <c r="D399" s="15"/>
      <c r="E399" s="15"/>
      <c r="F399" s="20"/>
      <c r="G399" s="20"/>
      <c r="H399" s="20"/>
      <c r="L399" s="20"/>
      <c r="M399" s="20"/>
      <c r="N399" s="20"/>
      <c r="O399" s="20"/>
      <c r="U399" s="20"/>
      <c r="V399" s="20"/>
      <c r="W399" s="20"/>
      <c r="AA399" s="20"/>
      <c r="AB399" s="20"/>
      <c r="AC399" s="20"/>
      <c r="AD399" s="20"/>
    </row>
    <row r="400">
      <c r="C400" s="15"/>
      <c r="D400" s="15"/>
      <c r="E400" s="15"/>
      <c r="F400" s="20"/>
      <c r="G400" s="20"/>
      <c r="H400" s="20"/>
      <c r="L400" s="20"/>
      <c r="M400" s="20"/>
      <c r="N400" s="20"/>
      <c r="O400" s="20"/>
      <c r="U400" s="20"/>
      <c r="V400" s="20"/>
      <c r="W400" s="20"/>
      <c r="AA400" s="20"/>
      <c r="AB400" s="20"/>
      <c r="AC400" s="20"/>
      <c r="AD400" s="20"/>
    </row>
    <row r="401">
      <c r="C401" s="15"/>
      <c r="D401" s="15"/>
      <c r="E401" s="15"/>
      <c r="F401" s="20"/>
      <c r="G401" s="20"/>
      <c r="H401" s="20"/>
      <c r="L401" s="20"/>
      <c r="M401" s="20"/>
      <c r="N401" s="20"/>
      <c r="O401" s="20"/>
      <c r="U401" s="20"/>
      <c r="V401" s="20"/>
      <c r="W401" s="20"/>
      <c r="AA401" s="20"/>
      <c r="AB401" s="20"/>
      <c r="AC401" s="20"/>
      <c r="AD401" s="20"/>
    </row>
    <row r="402">
      <c r="C402" s="15"/>
      <c r="D402" s="15"/>
      <c r="E402" s="15"/>
      <c r="F402" s="20"/>
      <c r="G402" s="20"/>
      <c r="H402" s="20"/>
      <c r="L402" s="20"/>
      <c r="M402" s="20"/>
      <c r="N402" s="20"/>
      <c r="O402" s="20"/>
      <c r="U402" s="20"/>
      <c r="V402" s="20"/>
      <c r="W402" s="20"/>
      <c r="AA402" s="20"/>
      <c r="AB402" s="20"/>
      <c r="AC402" s="20"/>
      <c r="AD402" s="20"/>
    </row>
    <row r="403">
      <c r="C403" s="15"/>
      <c r="D403" s="15"/>
      <c r="E403" s="15"/>
      <c r="F403" s="20"/>
      <c r="G403" s="20"/>
      <c r="H403" s="20"/>
      <c r="L403" s="20"/>
      <c r="M403" s="20"/>
      <c r="N403" s="20"/>
      <c r="O403" s="20"/>
      <c r="U403" s="20"/>
      <c r="V403" s="20"/>
      <c r="W403" s="20"/>
      <c r="AA403" s="20"/>
      <c r="AB403" s="20"/>
      <c r="AC403" s="20"/>
      <c r="AD403" s="20"/>
    </row>
    <row r="404">
      <c r="C404" s="15"/>
      <c r="D404" s="15"/>
      <c r="E404" s="15"/>
      <c r="F404" s="20"/>
      <c r="G404" s="20"/>
      <c r="H404" s="20"/>
      <c r="L404" s="20"/>
      <c r="M404" s="20"/>
      <c r="N404" s="20"/>
      <c r="O404" s="20"/>
      <c r="U404" s="20"/>
      <c r="V404" s="20"/>
      <c r="W404" s="20"/>
      <c r="AA404" s="20"/>
      <c r="AB404" s="20"/>
      <c r="AC404" s="20"/>
      <c r="AD404" s="20"/>
    </row>
    <row r="405">
      <c r="C405" s="15"/>
      <c r="D405" s="15"/>
      <c r="E405" s="15"/>
      <c r="F405" s="20"/>
      <c r="G405" s="20"/>
      <c r="H405" s="20"/>
      <c r="L405" s="20"/>
      <c r="M405" s="20"/>
      <c r="N405" s="20"/>
      <c r="O405" s="20"/>
      <c r="U405" s="20"/>
      <c r="V405" s="20"/>
      <c r="W405" s="20"/>
      <c r="AA405" s="20"/>
      <c r="AB405" s="20"/>
      <c r="AC405" s="20"/>
      <c r="AD405" s="20"/>
    </row>
    <row r="406">
      <c r="C406" s="15"/>
      <c r="D406" s="15"/>
      <c r="E406" s="15"/>
      <c r="F406" s="20"/>
      <c r="G406" s="20"/>
      <c r="H406" s="20"/>
      <c r="L406" s="20"/>
      <c r="M406" s="20"/>
      <c r="N406" s="20"/>
      <c r="O406" s="20"/>
      <c r="U406" s="20"/>
      <c r="V406" s="20"/>
      <c r="W406" s="20"/>
      <c r="AA406" s="20"/>
      <c r="AB406" s="20"/>
      <c r="AC406" s="20"/>
      <c r="AD406" s="20"/>
    </row>
    <row r="407">
      <c r="C407" s="15"/>
      <c r="D407" s="15"/>
      <c r="E407" s="15"/>
      <c r="F407" s="20"/>
      <c r="G407" s="20"/>
      <c r="H407" s="20"/>
      <c r="L407" s="20"/>
      <c r="M407" s="20"/>
      <c r="N407" s="20"/>
      <c r="O407" s="20"/>
      <c r="U407" s="20"/>
      <c r="V407" s="20"/>
      <c r="W407" s="20"/>
      <c r="AA407" s="20"/>
      <c r="AB407" s="20"/>
      <c r="AC407" s="20"/>
      <c r="AD407" s="20"/>
    </row>
    <row r="408">
      <c r="C408" s="15"/>
      <c r="D408" s="15"/>
      <c r="E408" s="15"/>
      <c r="F408" s="20"/>
      <c r="G408" s="20"/>
      <c r="H408" s="20"/>
      <c r="L408" s="20"/>
      <c r="M408" s="20"/>
      <c r="N408" s="20"/>
      <c r="O408" s="20"/>
      <c r="U408" s="20"/>
      <c r="V408" s="20"/>
      <c r="W408" s="20"/>
      <c r="AA408" s="20"/>
      <c r="AB408" s="20"/>
      <c r="AC408" s="20"/>
      <c r="AD408" s="20"/>
    </row>
    <row r="409">
      <c r="C409" s="15"/>
      <c r="D409" s="15"/>
      <c r="E409" s="15"/>
      <c r="F409" s="20"/>
      <c r="G409" s="20"/>
      <c r="H409" s="20"/>
      <c r="L409" s="20"/>
      <c r="M409" s="20"/>
      <c r="N409" s="20"/>
      <c r="O409" s="20"/>
      <c r="U409" s="20"/>
      <c r="V409" s="20"/>
      <c r="W409" s="20"/>
      <c r="AA409" s="20"/>
      <c r="AB409" s="20"/>
      <c r="AC409" s="20"/>
      <c r="AD409" s="20"/>
    </row>
    <row r="410">
      <c r="C410" s="15"/>
      <c r="D410" s="15"/>
      <c r="E410" s="15"/>
      <c r="F410" s="20"/>
      <c r="G410" s="20"/>
      <c r="H410" s="20"/>
      <c r="L410" s="20"/>
      <c r="M410" s="20"/>
      <c r="N410" s="20"/>
      <c r="O410" s="20"/>
      <c r="U410" s="20"/>
      <c r="V410" s="20"/>
      <c r="W410" s="20"/>
      <c r="AA410" s="20"/>
      <c r="AB410" s="20"/>
      <c r="AC410" s="20"/>
      <c r="AD410" s="20"/>
    </row>
    <row r="411">
      <c r="C411" s="15"/>
      <c r="D411" s="15"/>
      <c r="E411" s="15"/>
      <c r="F411" s="20"/>
      <c r="G411" s="20"/>
      <c r="H411" s="20"/>
      <c r="L411" s="20"/>
      <c r="M411" s="20"/>
      <c r="N411" s="20"/>
      <c r="O411" s="20"/>
      <c r="U411" s="20"/>
      <c r="V411" s="20"/>
      <c r="W411" s="20"/>
      <c r="AA411" s="20"/>
      <c r="AB411" s="20"/>
      <c r="AC411" s="20"/>
      <c r="AD411" s="20"/>
    </row>
    <row r="412">
      <c r="C412" s="15"/>
      <c r="D412" s="15"/>
      <c r="E412" s="15"/>
      <c r="F412" s="20"/>
      <c r="G412" s="20"/>
      <c r="H412" s="20"/>
      <c r="L412" s="20"/>
      <c r="M412" s="20"/>
      <c r="N412" s="20"/>
      <c r="O412" s="20"/>
      <c r="U412" s="20"/>
      <c r="V412" s="20"/>
      <c r="W412" s="20"/>
      <c r="AA412" s="20"/>
      <c r="AB412" s="20"/>
      <c r="AC412" s="20"/>
      <c r="AD412" s="20"/>
    </row>
    <row r="413">
      <c r="C413" s="15"/>
      <c r="D413" s="15"/>
      <c r="E413" s="15"/>
      <c r="F413" s="20"/>
      <c r="G413" s="20"/>
      <c r="H413" s="20"/>
      <c r="L413" s="20"/>
      <c r="M413" s="20"/>
      <c r="N413" s="20"/>
      <c r="O413" s="20"/>
      <c r="U413" s="20"/>
      <c r="V413" s="20"/>
      <c r="W413" s="20"/>
      <c r="AA413" s="20"/>
      <c r="AB413" s="20"/>
      <c r="AC413" s="20"/>
      <c r="AD413" s="20"/>
    </row>
    <row r="414">
      <c r="C414" s="15"/>
      <c r="D414" s="15"/>
      <c r="E414" s="15"/>
      <c r="F414" s="20"/>
      <c r="G414" s="20"/>
      <c r="H414" s="20"/>
      <c r="L414" s="20"/>
      <c r="M414" s="20"/>
      <c r="N414" s="20"/>
      <c r="O414" s="20"/>
      <c r="U414" s="20"/>
      <c r="V414" s="20"/>
      <c r="W414" s="20"/>
      <c r="AA414" s="20"/>
      <c r="AB414" s="20"/>
      <c r="AC414" s="20"/>
      <c r="AD414" s="20"/>
    </row>
    <row r="415">
      <c r="C415" s="15"/>
      <c r="D415" s="15"/>
      <c r="E415" s="15"/>
      <c r="F415" s="20"/>
      <c r="G415" s="20"/>
      <c r="H415" s="20"/>
      <c r="L415" s="20"/>
      <c r="M415" s="20"/>
      <c r="N415" s="20"/>
      <c r="O415" s="20"/>
      <c r="U415" s="20"/>
      <c r="V415" s="20"/>
      <c r="W415" s="20"/>
      <c r="AA415" s="20"/>
      <c r="AB415" s="20"/>
      <c r="AC415" s="20"/>
      <c r="AD415" s="20"/>
    </row>
    <row r="416">
      <c r="C416" s="15"/>
      <c r="D416" s="15"/>
      <c r="E416" s="15"/>
      <c r="F416" s="20"/>
      <c r="G416" s="20"/>
      <c r="H416" s="20"/>
      <c r="L416" s="20"/>
      <c r="M416" s="20"/>
      <c r="N416" s="20"/>
      <c r="O416" s="20"/>
      <c r="U416" s="20"/>
      <c r="V416" s="20"/>
      <c r="W416" s="20"/>
      <c r="AA416" s="20"/>
      <c r="AB416" s="20"/>
      <c r="AC416" s="20"/>
      <c r="AD416" s="20"/>
    </row>
    <row r="417">
      <c r="C417" s="15"/>
      <c r="D417" s="15"/>
      <c r="E417" s="15"/>
      <c r="F417" s="20"/>
      <c r="G417" s="20"/>
      <c r="H417" s="20"/>
      <c r="L417" s="20"/>
      <c r="M417" s="20"/>
      <c r="N417" s="20"/>
      <c r="O417" s="20"/>
      <c r="U417" s="20"/>
      <c r="V417" s="20"/>
      <c r="W417" s="20"/>
      <c r="AA417" s="20"/>
      <c r="AB417" s="20"/>
      <c r="AC417" s="20"/>
      <c r="AD417" s="20"/>
    </row>
    <row r="418">
      <c r="C418" s="15"/>
      <c r="D418" s="15"/>
      <c r="E418" s="15"/>
      <c r="F418" s="20"/>
      <c r="G418" s="20"/>
      <c r="H418" s="20"/>
      <c r="L418" s="20"/>
      <c r="M418" s="20"/>
      <c r="N418" s="20"/>
      <c r="O418" s="20"/>
      <c r="U418" s="20"/>
      <c r="V418" s="20"/>
      <c r="W418" s="20"/>
      <c r="AA418" s="20"/>
      <c r="AB418" s="20"/>
      <c r="AC418" s="20"/>
      <c r="AD418" s="20"/>
    </row>
    <row r="419">
      <c r="C419" s="15"/>
      <c r="D419" s="15"/>
      <c r="E419" s="15"/>
      <c r="F419" s="20"/>
      <c r="G419" s="20"/>
      <c r="H419" s="20"/>
      <c r="L419" s="20"/>
      <c r="M419" s="20"/>
      <c r="N419" s="20"/>
      <c r="O419" s="20"/>
      <c r="U419" s="20"/>
      <c r="V419" s="20"/>
      <c r="W419" s="20"/>
      <c r="AA419" s="20"/>
      <c r="AB419" s="20"/>
      <c r="AC419" s="20"/>
      <c r="AD419" s="20"/>
    </row>
    <row r="420">
      <c r="C420" s="15"/>
      <c r="D420" s="15"/>
      <c r="E420" s="15"/>
      <c r="F420" s="20"/>
      <c r="G420" s="20"/>
      <c r="H420" s="20"/>
      <c r="L420" s="20"/>
      <c r="M420" s="20"/>
      <c r="N420" s="20"/>
      <c r="O420" s="20"/>
      <c r="U420" s="20"/>
      <c r="V420" s="20"/>
      <c r="W420" s="20"/>
      <c r="AA420" s="20"/>
      <c r="AB420" s="20"/>
      <c r="AC420" s="20"/>
      <c r="AD420" s="20"/>
    </row>
    <row r="421">
      <c r="C421" s="15"/>
      <c r="D421" s="15"/>
      <c r="E421" s="15"/>
      <c r="F421" s="20"/>
      <c r="G421" s="20"/>
      <c r="H421" s="20"/>
      <c r="L421" s="20"/>
      <c r="M421" s="20"/>
      <c r="N421" s="20"/>
      <c r="O421" s="20"/>
      <c r="U421" s="20"/>
      <c r="V421" s="20"/>
      <c r="W421" s="20"/>
      <c r="AA421" s="20"/>
      <c r="AB421" s="20"/>
      <c r="AC421" s="20"/>
      <c r="AD421" s="20"/>
    </row>
    <row r="422">
      <c r="C422" s="15"/>
      <c r="D422" s="15"/>
      <c r="E422" s="15"/>
      <c r="F422" s="20"/>
      <c r="G422" s="20"/>
      <c r="H422" s="20"/>
      <c r="L422" s="20"/>
      <c r="M422" s="20"/>
      <c r="N422" s="20"/>
      <c r="O422" s="20"/>
      <c r="U422" s="20"/>
      <c r="V422" s="20"/>
      <c r="W422" s="20"/>
      <c r="AA422" s="20"/>
      <c r="AB422" s="20"/>
      <c r="AC422" s="20"/>
      <c r="AD422" s="20"/>
    </row>
    <row r="423">
      <c r="C423" s="15"/>
      <c r="D423" s="15"/>
      <c r="E423" s="15"/>
      <c r="F423" s="20"/>
      <c r="G423" s="20"/>
      <c r="H423" s="20"/>
      <c r="L423" s="20"/>
      <c r="M423" s="20"/>
      <c r="N423" s="20"/>
      <c r="O423" s="20"/>
      <c r="U423" s="20"/>
      <c r="V423" s="20"/>
      <c r="W423" s="20"/>
      <c r="AA423" s="20"/>
      <c r="AB423" s="20"/>
      <c r="AC423" s="20"/>
      <c r="AD423" s="20"/>
    </row>
    <row r="424">
      <c r="C424" s="15"/>
      <c r="D424" s="15"/>
      <c r="E424" s="15"/>
      <c r="F424" s="20"/>
      <c r="G424" s="20"/>
      <c r="H424" s="20"/>
      <c r="L424" s="20"/>
      <c r="M424" s="20"/>
      <c r="N424" s="20"/>
      <c r="O424" s="20"/>
      <c r="U424" s="20"/>
      <c r="V424" s="20"/>
      <c r="W424" s="20"/>
      <c r="AA424" s="20"/>
      <c r="AB424" s="20"/>
      <c r="AC424" s="20"/>
      <c r="AD424" s="20"/>
    </row>
    <row r="425">
      <c r="C425" s="15"/>
      <c r="D425" s="15"/>
      <c r="E425" s="15"/>
      <c r="F425" s="20"/>
      <c r="G425" s="20"/>
      <c r="H425" s="20"/>
      <c r="L425" s="20"/>
      <c r="M425" s="20"/>
      <c r="N425" s="20"/>
      <c r="O425" s="20"/>
      <c r="U425" s="20"/>
      <c r="V425" s="20"/>
      <c r="W425" s="20"/>
      <c r="AA425" s="20"/>
      <c r="AB425" s="20"/>
      <c r="AC425" s="20"/>
      <c r="AD425" s="20"/>
    </row>
    <row r="426">
      <c r="C426" s="15"/>
      <c r="D426" s="15"/>
      <c r="E426" s="15"/>
      <c r="F426" s="20"/>
      <c r="G426" s="20"/>
      <c r="H426" s="20"/>
      <c r="L426" s="20"/>
      <c r="M426" s="20"/>
      <c r="N426" s="20"/>
      <c r="O426" s="20"/>
      <c r="U426" s="20"/>
      <c r="V426" s="20"/>
      <c r="W426" s="20"/>
      <c r="AA426" s="20"/>
      <c r="AB426" s="20"/>
      <c r="AC426" s="20"/>
      <c r="AD426" s="20"/>
    </row>
    <row r="427">
      <c r="C427" s="15"/>
      <c r="D427" s="15"/>
      <c r="E427" s="15"/>
      <c r="F427" s="20"/>
      <c r="G427" s="20"/>
      <c r="H427" s="20"/>
      <c r="L427" s="20"/>
      <c r="M427" s="20"/>
      <c r="N427" s="20"/>
      <c r="O427" s="20"/>
      <c r="U427" s="20"/>
      <c r="V427" s="20"/>
      <c r="W427" s="20"/>
      <c r="AA427" s="20"/>
      <c r="AB427" s="20"/>
      <c r="AC427" s="20"/>
      <c r="AD427" s="20"/>
    </row>
    <row r="428">
      <c r="C428" s="15"/>
      <c r="D428" s="15"/>
      <c r="E428" s="15"/>
      <c r="F428" s="20"/>
      <c r="G428" s="20"/>
      <c r="H428" s="20"/>
      <c r="L428" s="20"/>
      <c r="M428" s="20"/>
      <c r="N428" s="20"/>
      <c r="O428" s="20"/>
      <c r="U428" s="20"/>
      <c r="V428" s="20"/>
      <c r="W428" s="20"/>
      <c r="AA428" s="20"/>
      <c r="AB428" s="20"/>
      <c r="AC428" s="20"/>
      <c r="AD428" s="20"/>
    </row>
    <row r="429">
      <c r="C429" s="15"/>
      <c r="D429" s="15"/>
      <c r="E429" s="15"/>
      <c r="F429" s="20"/>
      <c r="G429" s="20"/>
      <c r="H429" s="20"/>
      <c r="L429" s="20"/>
      <c r="M429" s="20"/>
      <c r="N429" s="20"/>
      <c r="O429" s="20"/>
      <c r="U429" s="20"/>
      <c r="V429" s="20"/>
      <c r="W429" s="20"/>
      <c r="AA429" s="20"/>
      <c r="AB429" s="20"/>
      <c r="AC429" s="20"/>
      <c r="AD429" s="20"/>
    </row>
    <row r="430">
      <c r="C430" s="15"/>
      <c r="D430" s="15"/>
      <c r="E430" s="15"/>
      <c r="F430" s="20"/>
      <c r="G430" s="20"/>
      <c r="H430" s="20"/>
      <c r="L430" s="20"/>
      <c r="M430" s="20"/>
      <c r="N430" s="20"/>
      <c r="O430" s="20"/>
      <c r="U430" s="20"/>
      <c r="V430" s="20"/>
      <c r="W430" s="20"/>
      <c r="AA430" s="20"/>
      <c r="AB430" s="20"/>
      <c r="AC430" s="20"/>
      <c r="AD430" s="20"/>
    </row>
    <row r="431">
      <c r="C431" s="15"/>
      <c r="D431" s="15"/>
      <c r="E431" s="15"/>
      <c r="F431" s="20"/>
      <c r="G431" s="20"/>
      <c r="H431" s="20"/>
      <c r="L431" s="20"/>
      <c r="M431" s="20"/>
      <c r="N431" s="20"/>
      <c r="O431" s="20"/>
      <c r="U431" s="20"/>
      <c r="V431" s="20"/>
      <c r="W431" s="20"/>
      <c r="AA431" s="20"/>
      <c r="AB431" s="20"/>
      <c r="AC431" s="20"/>
      <c r="AD431" s="20"/>
    </row>
    <row r="432">
      <c r="C432" s="15"/>
      <c r="D432" s="15"/>
      <c r="E432" s="15"/>
      <c r="F432" s="20"/>
      <c r="G432" s="20"/>
      <c r="H432" s="20"/>
      <c r="L432" s="20"/>
      <c r="M432" s="20"/>
      <c r="N432" s="20"/>
      <c r="O432" s="20"/>
      <c r="U432" s="20"/>
      <c r="V432" s="20"/>
      <c r="W432" s="20"/>
      <c r="AA432" s="20"/>
      <c r="AB432" s="20"/>
      <c r="AC432" s="20"/>
      <c r="AD432" s="20"/>
    </row>
    <row r="433">
      <c r="C433" s="15"/>
      <c r="D433" s="15"/>
      <c r="E433" s="15"/>
      <c r="F433" s="20"/>
      <c r="G433" s="20"/>
      <c r="H433" s="20"/>
      <c r="L433" s="20"/>
      <c r="M433" s="20"/>
      <c r="N433" s="20"/>
      <c r="O433" s="20"/>
      <c r="U433" s="20"/>
      <c r="V433" s="20"/>
      <c r="W433" s="20"/>
      <c r="AA433" s="20"/>
      <c r="AB433" s="20"/>
      <c r="AC433" s="20"/>
      <c r="AD433" s="20"/>
    </row>
    <row r="434">
      <c r="C434" s="15"/>
      <c r="D434" s="15"/>
      <c r="E434" s="15"/>
      <c r="F434" s="20"/>
      <c r="G434" s="20"/>
      <c r="H434" s="20"/>
      <c r="L434" s="20"/>
      <c r="M434" s="20"/>
      <c r="N434" s="20"/>
      <c r="O434" s="20"/>
      <c r="U434" s="20"/>
      <c r="V434" s="20"/>
      <c r="W434" s="20"/>
      <c r="AA434" s="20"/>
      <c r="AB434" s="20"/>
      <c r="AC434" s="20"/>
      <c r="AD434" s="20"/>
    </row>
    <row r="435">
      <c r="C435" s="15"/>
      <c r="D435" s="15"/>
      <c r="E435" s="15"/>
      <c r="F435" s="20"/>
      <c r="G435" s="20"/>
      <c r="H435" s="20"/>
      <c r="L435" s="20"/>
      <c r="M435" s="20"/>
      <c r="N435" s="20"/>
      <c r="O435" s="20"/>
      <c r="U435" s="20"/>
      <c r="V435" s="20"/>
      <c r="W435" s="20"/>
      <c r="AA435" s="20"/>
      <c r="AB435" s="20"/>
      <c r="AC435" s="20"/>
      <c r="AD435" s="20"/>
    </row>
    <row r="436">
      <c r="C436" s="15"/>
      <c r="D436" s="15"/>
      <c r="E436" s="15"/>
      <c r="F436" s="20"/>
      <c r="G436" s="20"/>
      <c r="H436" s="20"/>
      <c r="L436" s="20"/>
      <c r="M436" s="20"/>
      <c r="N436" s="20"/>
      <c r="O436" s="20"/>
      <c r="U436" s="20"/>
      <c r="V436" s="20"/>
      <c r="W436" s="20"/>
      <c r="AA436" s="20"/>
      <c r="AB436" s="20"/>
      <c r="AC436" s="20"/>
      <c r="AD436" s="20"/>
    </row>
    <row r="437">
      <c r="C437" s="15"/>
      <c r="D437" s="15"/>
      <c r="E437" s="15"/>
      <c r="F437" s="20"/>
      <c r="G437" s="20"/>
      <c r="H437" s="20"/>
      <c r="L437" s="20"/>
      <c r="M437" s="20"/>
      <c r="N437" s="20"/>
      <c r="O437" s="20"/>
      <c r="U437" s="20"/>
      <c r="V437" s="20"/>
      <c r="W437" s="20"/>
      <c r="AA437" s="20"/>
      <c r="AB437" s="20"/>
      <c r="AC437" s="20"/>
      <c r="AD437" s="20"/>
    </row>
    <row r="438">
      <c r="C438" s="15"/>
      <c r="D438" s="15"/>
      <c r="E438" s="15"/>
      <c r="F438" s="20"/>
      <c r="G438" s="20"/>
      <c r="H438" s="20"/>
      <c r="L438" s="20"/>
      <c r="M438" s="20"/>
      <c r="N438" s="20"/>
      <c r="O438" s="20"/>
      <c r="U438" s="20"/>
      <c r="V438" s="20"/>
      <c r="W438" s="20"/>
      <c r="AA438" s="20"/>
      <c r="AB438" s="20"/>
      <c r="AC438" s="20"/>
      <c r="AD438" s="20"/>
    </row>
    <row r="439">
      <c r="C439" s="15"/>
      <c r="D439" s="15"/>
      <c r="E439" s="15"/>
      <c r="F439" s="20"/>
      <c r="G439" s="20"/>
      <c r="H439" s="20"/>
      <c r="L439" s="20"/>
      <c r="M439" s="20"/>
      <c r="N439" s="20"/>
      <c r="O439" s="20"/>
      <c r="U439" s="20"/>
      <c r="V439" s="20"/>
      <c r="W439" s="20"/>
      <c r="AA439" s="20"/>
      <c r="AB439" s="20"/>
      <c r="AC439" s="20"/>
      <c r="AD439" s="20"/>
    </row>
    <row r="440">
      <c r="C440" s="15"/>
      <c r="D440" s="15"/>
      <c r="E440" s="15"/>
      <c r="F440" s="20"/>
      <c r="G440" s="20"/>
      <c r="H440" s="20"/>
      <c r="L440" s="20"/>
      <c r="M440" s="20"/>
      <c r="N440" s="20"/>
      <c r="O440" s="20"/>
      <c r="U440" s="20"/>
      <c r="V440" s="20"/>
      <c r="W440" s="20"/>
      <c r="AA440" s="20"/>
      <c r="AB440" s="20"/>
      <c r="AC440" s="20"/>
      <c r="AD440" s="20"/>
    </row>
    <row r="441">
      <c r="C441" s="15"/>
      <c r="D441" s="15"/>
      <c r="E441" s="15"/>
      <c r="F441" s="20"/>
      <c r="G441" s="20"/>
      <c r="H441" s="20"/>
      <c r="L441" s="20"/>
      <c r="M441" s="20"/>
      <c r="N441" s="20"/>
      <c r="O441" s="20"/>
      <c r="U441" s="20"/>
      <c r="V441" s="20"/>
      <c r="W441" s="20"/>
      <c r="AA441" s="20"/>
      <c r="AB441" s="20"/>
      <c r="AC441" s="20"/>
      <c r="AD441" s="20"/>
    </row>
    <row r="442">
      <c r="C442" s="15"/>
      <c r="D442" s="15"/>
      <c r="E442" s="15"/>
      <c r="F442" s="20"/>
      <c r="G442" s="20"/>
      <c r="H442" s="20"/>
      <c r="L442" s="20"/>
      <c r="M442" s="20"/>
      <c r="N442" s="20"/>
      <c r="O442" s="20"/>
      <c r="U442" s="20"/>
      <c r="V442" s="20"/>
      <c r="W442" s="20"/>
      <c r="AA442" s="20"/>
      <c r="AB442" s="20"/>
      <c r="AC442" s="20"/>
      <c r="AD442" s="20"/>
    </row>
    <row r="443">
      <c r="C443" s="15"/>
      <c r="D443" s="15"/>
      <c r="E443" s="15"/>
      <c r="F443" s="20"/>
      <c r="G443" s="20"/>
      <c r="H443" s="20"/>
      <c r="L443" s="20"/>
      <c r="M443" s="20"/>
      <c r="N443" s="20"/>
      <c r="O443" s="20"/>
      <c r="U443" s="20"/>
      <c r="V443" s="20"/>
      <c r="W443" s="20"/>
      <c r="AA443" s="20"/>
      <c r="AB443" s="20"/>
      <c r="AC443" s="20"/>
      <c r="AD443" s="20"/>
    </row>
    <row r="444">
      <c r="C444" s="15"/>
      <c r="D444" s="15"/>
      <c r="E444" s="15"/>
      <c r="F444" s="20"/>
      <c r="G444" s="20"/>
      <c r="H444" s="20"/>
      <c r="L444" s="20"/>
      <c r="M444" s="20"/>
      <c r="N444" s="20"/>
      <c r="O444" s="20"/>
      <c r="U444" s="20"/>
      <c r="V444" s="20"/>
      <c r="W444" s="20"/>
      <c r="AA444" s="20"/>
      <c r="AB444" s="20"/>
      <c r="AC444" s="20"/>
      <c r="AD444" s="20"/>
    </row>
    <row r="445">
      <c r="C445" s="15"/>
      <c r="D445" s="15"/>
      <c r="E445" s="15"/>
      <c r="F445" s="20"/>
      <c r="G445" s="20"/>
      <c r="H445" s="20"/>
      <c r="L445" s="20"/>
      <c r="M445" s="20"/>
      <c r="N445" s="20"/>
      <c r="O445" s="20"/>
      <c r="U445" s="20"/>
      <c r="V445" s="20"/>
      <c r="W445" s="20"/>
      <c r="AA445" s="20"/>
      <c r="AB445" s="20"/>
      <c r="AC445" s="20"/>
      <c r="AD445" s="20"/>
    </row>
    <row r="446">
      <c r="C446" s="15"/>
      <c r="D446" s="15"/>
      <c r="E446" s="15"/>
      <c r="F446" s="20"/>
      <c r="G446" s="20"/>
      <c r="H446" s="20"/>
      <c r="L446" s="20"/>
      <c r="M446" s="20"/>
      <c r="N446" s="20"/>
      <c r="O446" s="20"/>
      <c r="U446" s="20"/>
      <c r="V446" s="20"/>
      <c r="W446" s="20"/>
      <c r="AA446" s="20"/>
      <c r="AB446" s="20"/>
      <c r="AC446" s="20"/>
      <c r="AD446" s="20"/>
    </row>
    <row r="447">
      <c r="C447" s="15"/>
      <c r="D447" s="15"/>
      <c r="E447" s="15"/>
      <c r="F447" s="20"/>
      <c r="G447" s="20"/>
      <c r="H447" s="20"/>
      <c r="L447" s="20"/>
      <c r="M447" s="20"/>
      <c r="N447" s="20"/>
      <c r="O447" s="20"/>
      <c r="U447" s="20"/>
      <c r="V447" s="20"/>
      <c r="W447" s="20"/>
      <c r="AA447" s="20"/>
      <c r="AB447" s="20"/>
      <c r="AC447" s="20"/>
      <c r="AD447" s="20"/>
    </row>
    <row r="448">
      <c r="C448" s="15"/>
      <c r="D448" s="15"/>
      <c r="E448" s="15"/>
      <c r="F448" s="20"/>
      <c r="G448" s="20"/>
      <c r="H448" s="20"/>
      <c r="L448" s="20"/>
      <c r="M448" s="20"/>
      <c r="N448" s="20"/>
      <c r="O448" s="20"/>
      <c r="U448" s="20"/>
      <c r="V448" s="20"/>
      <c r="W448" s="20"/>
      <c r="AA448" s="20"/>
      <c r="AB448" s="20"/>
      <c r="AC448" s="20"/>
      <c r="AD448" s="20"/>
    </row>
    <row r="449">
      <c r="C449" s="15"/>
      <c r="D449" s="15"/>
      <c r="E449" s="15"/>
      <c r="F449" s="20"/>
      <c r="G449" s="20"/>
      <c r="H449" s="20"/>
      <c r="L449" s="20"/>
      <c r="M449" s="20"/>
      <c r="N449" s="20"/>
      <c r="O449" s="20"/>
      <c r="U449" s="20"/>
      <c r="V449" s="20"/>
      <c r="W449" s="20"/>
      <c r="AA449" s="20"/>
      <c r="AB449" s="20"/>
      <c r="AC449" s="20"/>
      <c r="AD449" s="20"/>
    </row>
    <row r="450">
      <c r="C450" s="15"/>
      <c r="D450" s="15"/>
      <c r="E450" s="15"/>
      <c r="F450" s="20"/>
      <c r="G450" s="20"/>
      <c r="H450" s="20"/>
      <c r="L450" s="20"/>
      <c r="M450" s="20"/>
      <c r="N450" s="20"/>
      <c r="O450" s="20"/>
      <c r="U450" s="20"/>
      <c r="V450" s="20"/>
      <c r="W450" s="20"/>
      <c r="AA450" s="20"/>
      <c r="AB450" s="20"/>
      <c r="AC450" s="20"/>
      <c r="AD450" s="20"/>
    </row>
    <row r="451">
      <c r="C451" s="15"/>
      <c r="D451" s="15"/>
      <c r="E451" s="15"/>
      <c r="F451" s="20"/>
      <c r="G451" s="20"/>
      <c r="H451" s="20"/>
      <c r="L451" s="20"/>
      <c r="M451" s="20"/>
      <c r="N451" s="20"/>
      <c r="O451" s="20"/>
      <c r="U451" s="20"/>
      <c r="V451" s="20"/>
      <c r="W451" s="20"/>
      <c r="AA451" s="20"/>
      <c r="AB451" s="20"/>
      <c r="AC451" s="20"/>
      <c r="AD451" s="20"/>
    </row>
    <row r="452">
      <c r="C452" s="15"/>
      <c r="D452" s="15"/>
      <c r="E452" s="15"/>
      <c r="F452" s="20"/>
      <c r="G452" s="20"/>
      <c r="H452" s="20"/>
      <c r="L452" s="20"/>
      <c r="M452" s="20"/>
      <c r="N452" s="20"/>
      <c r="O452" s="20"/>
      <c r="U452" s="20"/>
      <c r="V452" s="20"/>
      <c r="W452" s="20"/>
      <c r="AA452" s="20"/>
      <c r="AB452" s="20"/>
      <c r="AC452" s="20"/>
      <c r="AD452" s="20"/>
    </row>
    <row r="453">
      <c r="C453" s="15"/>
      <c r="D453" s="15"/>
      <c r="E453" s="15"/>
      <c r="F453" s="20"/>
      <c r="G453" s="20"/>
      <c r="H453" s="20"/>
      <c r="L453" s="20"/>
      <c r="M453" s="20"/>
      <c r="N453" s="20"/>
      <c r="O453" s="20"/>
      <c r="U453" s="20"/>
      <c r="V453" s="20"/>
      <c r="W453" s="20"/>
      <c r="AA453" s="20"/>
      <c r="AB453" s="20"/>
      <c r="AC453" s="20"/>
      <c r="AD453" s="20"/>
    </row>
    <row r="454">
      <c r="C454" s="15"/>
      <c r="D454" s="15"/>
      <c r="E454" s="15"/>
      <c r="F454" s="20"/>
      <c r="G454" s="20"/>
      <c r="H454" s="20"/>
      <c r="L454" s="20"/>
      <c r="M454" s="20"/>
      <c r="N454" s="20"/>
      <c r="O454" s="20"/>
      <c r="U454" s="20"/>
      <c r="V454" s="20"/>
      <c r="W454" s="20"/>
      <c r="AA454" s="20"/>
      <c r="AB454" s="20"/>
      <c r="AC454" s="20"/>
      <c r="AD454" s="20"/>
    </row>
    <row r="455">
      <c r="C455" s="15"/>
      <c r="D455" s="15"/>
      <c r="E455" s="15"/>
      <c r="F455" s="20"/>
      <c r="G455" s="20"/>
      <c r="H455" s="20"/>
      <c r="L455" s="20"/>
      <c r="M455" s="20"/>
      <c r="N455" s="20"/>
      <c r="O455" s="20"/>
      <c r="U455" s="20"/>
      <c r="V455" s="20"/>
      <c r="W455" s="20"/>
      <c r="AA455" s="20"/>
      <c r="AB455" s="20"/>
      <c r="AC455" s="20"/>
      <c r="AD455" s="20"/>
    </row>
    <row r="456">
      <c r="C456" s="15"/>
      <c r="D456" s="15"/>
      <c r="E456" s="15"/>
      <c r="F456" s="20"/>
      <c r="G456" s="20"/>
      <c r="H456" s="20"/>
      <c r="L456" s="20"/>
      <c r="M456" s="20"/>
      <c r="N456" s="20"/>
      <c r="O456" s="20"/>
      <c r="U456" s="20"/>
      <c r="V456" s="20"/>
      <c r="W456" s="20"/>
      <c r="AA456" s="20"/>
      <c r="AB456" s="20"/>
      <c r="AC456" s="20"/>
      <c r="AD456" s="20"/>
    </row>
    <row r="457">
      <c r="C457" s="15"/>
      <c r="D457" s="15"/>
      <c r="E457" s="15"/>
      <c r="F457" s="20"/>
      <c r="G457" s="20"/>
      <c r="H457" s="20"/>
      <c r="L457" s="20"/>
      <c r="M457" s="20"/>
      <c r="N457" s="20"/>
      <c r="O457" s="20"/>
      <c r="U457" s="20"/>
      <c r="V457" s="20"/>
      <c r="W457" s="20"/>
      <c r="AA457" s="20"/>
      <c r="AB457" s="20"/>
      <c r="AC457" s="20"/>
      <c r="AD457" s="20"/>
    </row>
    <row r="458">
      <c r="C458" s="15"/>
      <c r="D458" s="15"/>
      <c r="E458" s="15"/>
      <c r="F458" s="20"/>
      <c r="G458" s="20"/>
      <c r="H458" s="20"/>
      <c r="L458" s="20"/>
      <c r="M458" s="20"/>
      <c r="N458" s="20"/>
      <c r="O458" s="20"/>
      <c r="U458" s="20"/>
      <c r="V458" s="20"/>
      <c r="W458" s="20"/>
      <c r="AA458" s="20"/>
      <c r="AB458" s="20"/>
      <c r="AC458" s="20"/>
      <c r="AD458" s="20"/>
    </row>
    <row r="459">
      <c r="C459" s="15"/>
      <c r="D459" s="15"/>
      <c r="E459" s="15"/>
      <c r="F459" s="20"/>
      <c r="G459" s="20"/>
      <c r="H459" s="20"/>
      <c r="L459" s="20"/>
      <c r="M459" s="20"/>
      <c r="N459" s="20"/>
      <c r="O459" s="20"/>
      <c r="U459" s="20"/>
      <c r="V459" s="20"/>
      <c r="W459" s="20"/>
      <c r="AA459" s="20"/>
      <c r="AB459" s="20"/>
      <c r="AC459" s="20"/>
      <c r="AD459" s="20"/>
    </row>
    <row r="460">
      <c r="C460" s="15"/>
      <c r="D460" s="15"/>
      <c r="E460" s="15"/>
      <c r="F460" s="20"/>
      <c r="G460" s="20"/>
      <c r="H460" s="20"/>
      <c r="L460" s="20"/>
      <c r="M460" s="20"/>
      <c r="N460" s="20"/>
      <c r="O460" s="20"/>
      <c r="U460" s="20"/>
      <c r="V460" s="20"/>
      <c r="W460" s="20"/>
      <c r="AA460" s="20"/>
      <c r="AB460" s="20"/>
      <c r="AC460" s="20"/>
      <c r="AD460" s="20"/>
    </row>
    <row r="461">
      <c r="C461" s="15"/>
      <c r="D461" s="15"/>
      <c r="E461" s="15"/>
      <c r="F461" s="20"/>
      <c r="G461" s="20"/>
      <c r="H461" s="20"/>
      <c r="L461" s="20"/>
      <c r="M461" s="20"/>
      <c r="N461" s="20"/>
      <c r="O461" s="20"/>
      <c r="U461" s="20"/>
      <c r="V461" s="20"/>
      <c r="W461" s="20"/>
      <c r="AA461" s="20"/>
      <c r="AB461" s="20"/>
      <c r="AC461" s="20"/>
      <c r="AD461" s="20"/>
    </row>
    <row r="462">
      <c r="C462" s="15"/>
      <c r="D462" s="15"/>
      <c r="E462" s="15"/>
      <c r="F462" s="20"/>
      <c r="G462" s="20"/>
      <c r="H462" s="20"/>
      <c r="L462" s="20"/>
      <c r="M462" s="20"/>
      <c r="N462" s="20"/>
      <c r="O462" s="20"/>
      <c r="U462" s="20"/>
      <c r="V462" s="20"/>
      <c r="W462" s="20"/>
      <c r="AA462" s="20"/>
      <c r="AB462" s="20"/>
      <c r="AC462" s="20"/>
      <c r="AD462" s="20"/>
    </row>
    <row r="463">
      <c r="C463" s="15"/>
      <c r="D463" s="15"/>
      <c r="E463" s="15"/>
      <c r="F463" s="20"/>
      <c r="G463" s="20"/>
      <c r="H463" s="20"/>
      <c r="L463" s="20"/>
      <c r="M463" s="20"/>
      <c r="N463" s="20"/>
      <c r="O463" s="20"/>
      <c r="U463" s="20"/>
      <c r="V463" s="20"/>
      <c r="W463" s="20"/>
      <c r="AA463" s="20"/>
      <c r="AB463" s="20"/>
      <c r="AC463" s="20"/>
      <c r="AD463" s="20"/>
    </row>
    <row r="464">
      <c r="C464" s="15"/>
      <c r="D464" s="15"/>
      <c r="E464" s="15"/>
      <c r="F464" s="20"/>
      <c r="G464" s="20"/>
      <c r="H464" s="20"/>
      <c r="L464" s="20"/>
      <c r="M464" s="20"/>
      <c r="N464" s="20"/>
      <c r="O464" s="20"/>
      <c r="U464" s="20"/>
      <c r="V464" s="20"/>
      <c r="W464" s="20"/>
      <c r="AA464" s="20"/>
      <c r="AB464" s="20"/>
      <c r="AC464" s="20"/>
      <c r="AD464" s="20"/>
    </row>
    <row r="465">
      <c r="C465" s="15"/>
      <c r="D465" s="15"/>
      <c r="E465" s="15"/>
      <c r="F465" s="20"/>
      <c r="G465" s="20"/>
      <c r="H465" s="20"/>
      <c r="L465" s="20"/>
      <c r="M465" s="20"/>
      <c r="N465" s="20"/>
      <c r="O465" s="20"/>
      <c r="U465" s="20"/>
      <c r="V465" s="20"/>
      <c r="W465" s="20"/>
      <c r="AA465" s="20"/>
      <c r="AB465" s="20"/>
      <c r="AC465" s="20"/>
      <c r="AD465" s="20"/>
    </row>
    <row r="466">
      <c r="C466" s="15"/>
      <c r="D466" s="15"/>
      <c r="E466" s="15"/>
      <c r="F466" s="20"/>
      <c r="G466" s="20"/>
      <c r="H466" s="20"/>
      <c r="L466" s="20"/>
      <c r="M466" s="20"/>
      <c r="N466" s="20"/>
      <c r="O466" s="20"/>
      <c r="U466" s="20"/>
      <c r="V466" s="20"/>
      <c r="W466" s="20"/>
      <c r="AA466" s="20"/>
      <c r="AB466" s="20"/>
      <c r="AC466" s="20"/>
      <c r="AD466" s="20"/>
    </row>
    <row r="467">
      <c r="C467" s="15"/>
      <c r="D467" s="15"/>
      <c r="E467" s="15"/>
      <c r="F467" s="20"/>
      <c r="G467" s="20"/>
      <c r="H467" s="20"/>
      <c r="L467" s="20"/>
      <c r="M467" s="20"/>
      <c r="N467" s="20"/>
      <c r="O467" s="20"/>
      <c r="U467" s="20"/>
      <c r="V467" s="20"/>
      <c r="W467" s="20"/>
      <c r="AA467" s="20"/>
      <c r="AB467" s="20"/>
      <c r="AC467" s="20"/>
      <c r="AD467" s="20"/>
    </row>
    <row r="468">
      <c r="C468" s="15"/>
      <c r="D468" s="15"/>
      <c r="E468" s="15"/>
      <c r="F468" s="20"/>
      <c r="G468" s="20"/>
      <c r="H468" s="20"/>
      <c r="L468" s="20"/>
      <c r="M468" s="20"/>
      <c r="N468" s="20"/>
      <c r="O468" s="20"/>
      <c r="U468" s="20"/>
      <c r="V468" s="20"/>
      <c r="W468" s="20"/>
      <c r="AA468" s="20"/>
      <c r="AB468" s="20"/>
      <c r="AC468" s="20"/>
      <c r="AD468" s="20"/>
    </row>
    <row r="469">
      <c r="C469" s="15"/>
      <c r="D469" s="15"/>
      <c r="E469" s="15"/>
      <c r="F469" s="20"/>
      <c r="G469" s="20"/>
      <c r="H469" s="20"/>
      <c r="L469" s="20"/>
      <c r="M469" s="20"/>
      <c r="N469" s="20"/>
      <c r="O469" s="20"/>
      <c r="U469" s="20"/>
      <c r="V469" s="20"/>
      <c r="W469" s="20"/>
      <c r="AA469" s="20"/>
      <c r="AB469" s="20"/>
      <c r="AC469" s="20"/>
      <c r="AD469" s="20"/>
    </row>
    <row r="470">
      <c r="C470" s="15"/>
      <c r="D470" s="15"/>
      <c r="E470" s="15"/>
      <c r="F470" s="20"/>
      <c r="G470" s="20"/>
      <c r="H470" s="20"/>
      <c r="L470" s="20"/>
      <c r="M470" s="20"/>
      <c r="N470" s="20"/>
      <c r="O470" s="20"/>
      <c r="U470" s="20"/>
      <c r="V470" s="20"/>
      <c r="W470" s="20"/>
      <c r="AA470" s="20"/>
      <c r="AB470" s="20"/>
      <c r="AC470" s="20"/>
      <c r="AD470" s="20"/>
    </row>
    <row r="471">
      <c r="C471" s="15"/>
      <c r="D471" s="15"/>
      <c r="E471" s="15"/>
      <c r="F471" s="20"/>
      <c r="G471" s="20"/>
      <c r="H471" s="20"/>
      <c r="L471" s="20"/>
      <c r="M471" s="20"/>
      <c r="N471" s="20"/>
      <c r="O471" s="20"/>
      <c r="U471" s="20"/>
      <c r="V471" s="20"/>
      <c r="W471" s="20"/>
      <c r="AA471" s="20"/>
      <c r="AB471" s="20"/>
      <c r="AC471" s="20"/>
      <c r="AD471" s="20"/>
    </row>
    <row r="472">
      <c r="C472" s="15"/>
      <c r="D472" s="15"/>
      <c r="E472" s="15"/>
      <c r="F472" s="20"/>
      <c r="G472" s="20"/>
      <c r="H472" s="20"/>
      <c r="L472" s="20"/>
      <c r="M472" s="20"/>
      <c r="N472" s="20"/>
      <c r="O472" s="20"/>
      <c r="U472" s="20"/>
      <c r="V472" s="20"/>
      <c r="W472" s="20"/>
      <c r="AA472" s="20"/>
      <c r="AB472" s="20"/>
      <c r="AC472" s="20"/>
      <c r="AD472" s="20"/>
    </row>
    <row r="473">
      <c r="C473" s="15"/>
      <c r="D473" s="15"/>
      <c r="E473" s="15"/>
      <c r="F473" s="20"/>
      <c r="G473" s="20"/>
      <c r="H473" s="20"/>
      <c r="L473" s="20"/>
      <c r="M473" s="20"/>
      <c r="N473" s="20"/>
      <c r="O473" s="20"/>
      <c r="U473" s="20"/>
      <c r="V473" s="20"/>
      <c r="W473" s="20"/>
      <c r="AA473" s="20"/>
      <c r="AB473" s="20"/>
      <c r="AC473" s="20"/>
      <c r="AD473" s="20"/>
    </row>
    <row r="474">
      <c r="C474" s="15"/>
      <c r="D474" s="15"/>
      <c r="E474" s="15"/>
      <c r="F474" s="20"/>
      <c r="G474" s="20"/>
      <c r="H474" s="20"/>
      <c r="L474" s="20"/>
      <c r="M474" s="20"/>
      <c r="N474" s="20"/>
      <c r="O474" s="20"/>
      <c r="U474" s="20"/>
      <c r="V474" s="20"/>
      <c r="W474" s="20"/>
      <c r="AA474" s="20"/>
      <c r="AB474" s="20"/>
      <c r="AC474" s="20"/>
      <c r="AD474" s="20"/>
    </row>
    <row r="475">
      <c r="C475" s="15"/>
      <c r="D475" s="15"/>
      <c r="E475" s="15"/>
      <c r="F475" s="20"/>
      <c r="G475" s="20"/>
      <c r="H475" s="20"/>
      <c r="L475" s="20"/>
      <c r="M475" s="20"/>
      <c r="N475" s="20"/>
      <c r="O475" s="20"/>
      <c r="U475" s="20"/>
      <c r="V475" s="20"/>
      <c r="W475" s="20"/>
      <c r="AA475" s="20"/>
      <c r="AB475" s="20"/>
      <c r="AC475" s="20"/>
      <c r="AD475" s="20"/>
    </row>
    <row r="476">
      <c r="C476" s="15"/>
      <c r="D476" s="15"/>
      <c r="E476" s="15"/>
      <c r="F476" s="20"/>
      <c r="G476" s="20"/>
      <c r="H476" s="20"/>
      <c r="L476" s="20"/>
      <c r="M476" s="20"/>
      <c r="N476" s="20"/>
      <c r="O476" s="20"/>
      <c r="U476" s="20"/>
      <c r="V476" s="20"/>
      <c r="W476" s="20"/>
      <c r="AA476" s="20"/>
      <c r="AB476" s="20"/>
      <c r="AC476" s="20"/>
      <c r="AD476" s="20"/>
    </row>
    <row r="477">
      <c r="C477" s="15"/>
      <c r="D477" s="15"/>
      <c r="E477" s="15"/>
      <c r="F477" s="20"/>
      <c r="G477" s="20"/>
      <c r="H477" s="20"/>
      <c r="L477" s="20"/>
      <c r="M477" s="20"/>
      <c r="N477" s="20"/>
      <c r="O477" s="20"/>
      <c r="U477" s="20"/>
      <c r="V477" s="20"/>
      <c r="W477" s="20"/>
      <c r="AA477" s="20"/>
      <c r="AB477" s="20"/>
      <c r="AC477" s="20"/>
      <c r="AD477" s="20"/>
    </row>
    <row r="478">
      <c r="C478" s="15"/>
      <c r="D478" s="15"/>
      <c r="E478" s="15"/>
      <c r="F478" s="20"/>
      <c r="G478" s="20"/>
      <c r="H478" s="20"/>
      <c r="L478" s="20"/>
      <c r="M478" s="20"/>
      <c r="N478" s="20"/>
      <c r="O478" s="20"/>
      <c r="U478" s="20"/>
      <c r="V478" s="20"/>
      <c r="W478" s="20"/>
      <c r="AA478" s="20"/>
      <c r="AB478" s="20"/>
      <c r="AC478" s="20"/>
      <c r="AD478" s="20"/>
    </row>
    <row r="479">
      <c r="C479" s="15"/>
      <c r="D479" s="15"/>
      <c r="E479" s="15"/>
      <c r="F479" s="20"/>
      <c r="G479" s="20"/>
      <c r="H479" s="20"/>
      <c r="L479" s="20"/>
      <c r="M479" s="20"/>
      <c r="N479" s="20"/>
      <c r="O479" s="20"/>
      <c r="U479" s="20"/>
      <c r="V479" s="20"/>
      <c r="W479" s="20"/>
      <c r="AA479" s="20"/>
      <c r="AB479" s="20"/>
      <c r="AC479" s="20"/>
      <c r="AD479" s="20"/>
    </row>
    <row r="480">
      <c r="C480" s="15"/>
      <c r="D480" s="15"/>
      <c r="E480" s="15"/>
      <c r="F480" s="20"/>
      <c r="G480" s="20"/>
      <c r="H480" s="20"/>
      <c r="L480" s="20"/>
      <c r="M480" s="20"/>
      <c r="N480" s="20"/>
      <c r="O480" s="20"/>
      <c r="U480" s="20"/>
      <c r="V480" s="20"/>
      <c r="W480" s="20"/>
      <c r="AA480" s="20"/>
      <c r="AB480" s="20"/>
      <c r="AC480" s="20"/>
      <c r="AD480" s="20"/>
    </row>
    <row r="481">
      <c r="C481" s="15"/>
      <c r="D481" s="15"/>
      <c r="E481" s="15"/>
      <c r="F481" s="20"/>
      <c r="G481" s="20"/>
      <c r="H481" s="20"/>
      <c r="L481" s="20"/>
      <c r="M481" s="20"/>
      <c r="N481" s="20"/>
      <c r="O481" s="20"/>
      <c r="U481" s="20"/>
      <c r="V481" s="20"/>
      <c r="W481" s="20"/>
      <c r="AA481" s="20"/>
      <c r="AB481" s="20"/>
      <c r="AC481" s="20"/>
      <c r="AD481" s="20"/>
    </row>
    <row r="482">
      <c r="C482" s="15"/>
      <c r="D482" s="15"/>
      <c r="E482" s="15"/>
      <c r="F482" s="20"/>
      <c r="G482" s="20"/>
      <c r="H482" s="20"/>
      <c r="L482" s="20"/>
      <c r="M482" s="20"/>
      <c r="N482" s="20"/>
      <c r="O482" s="20"/>
      <c r="U482" s="20"/>
      <c r="V482" s="20"/>
      <c r="W482" s="20"/>
      <c r="AA482" s="20"/>
      <c r="AB482" s="20"/>
      <c r="AC482" s="20"/>
      <c r="AD482" s="20"/>
    </row>
    <row r="483">
      <c r="C483" s="15"/>
      <c r="D483" s="15"/>
      <c r="E483" s="15"/>
      <c r="F483" s="20"/>
      <c r="G483" s="20"/>
      <c r="H483" s="20"/>
      <c r="L483" s="20"/>
      <c r="M483" s="20"/>
      <c r="N483" s="20"/>
      <c r="O483" s="20"/>
      <c r="U483" s="20"/>
      <c r="V483" s="20"/>
      <c r="W483" s="20"/>
      <c r="AA483" s="20"/>
      <c r="AB483" s="20"/>
      <c r="AC483" s="20"/>
      <c r="AD483" s="20"/>
    </row>
    <row r="484">
      <c r="C484" s="15"/>
      <c r="D484" s="15"/>
      <c r="E484" s="15"/>
      <c r="F484" s="20"/>
      <c r="G484" s="20"/>
      <c r="H484" s="20"/>
      <c r="L484" s="20"/>
      <c r="M484" s="20"/>
      <c r="N484" s="20"/>
      <c r="O484" s="20"/>
      <c r="U484" s="20"/>
      <c r="V484" s="20"/>
      <c r="W484" s="20"/>
      <c r="AA484" s="20"/>
      <c r="AB484" s="20"/>
      <c r="AC484" s="20"/>
      <c r="AD484" s="20"/>
    </row>
    <row r="485">
      <c r="C485" s="15"/>
      <c r="D485" s="15"/>
      <c r="E485" s="15"/>
      <c r="F485" s="20"/>
      <c r="G485" s="20"/>
      <c r="H485" s="20"/>
      <c r="L485" s="20"/>
      <c r="M485" s="20"/>
      <c r="N485" s="20"/>
      <c r="O485" s="20"/>
      <c r="U485" s="20"/>
      <c r="V485" s="20"/>
      <c r="W485" s="20"/>
      <c r="AA485" s="20"/>
      <c r="AB485" s="20"/>
      <c r="AC485" s="20"/>
      <c r="AD485" s="20"/>
    </row>
    <row r="486">
      <c r="C486" s="15"/>
      <c r="D486" s="15"/>
      <c r="E486" s="15"/>
      <c r="F486" s="20"/>
      <c r="G486" s="20"/>
      <c r="H486" s="20"/>
      <c r="L486" s="20"/>
      <c r="M486" s="20"/>
      <c r="N486" s="20"/>
      <c r="O486" s="20"/>
      <c r="U486" s="20"/>
      <c r="V486" s="20"/>
      <c r="W486" s="20"/>
      <c r="AA486" s="20"/>
      <c r="AB486" s="20"/>
      <c r="AC486" s="20"/>
      <c r="AD486" s="20"/>
    </row>
    <row r="487">
      <c r="C487" s="15"/>
      <c r="D487" s="15"/>
      <c r="E487" s="15"/>
      <c r="F487" s="20"/>
      <c r="G487" s="20"/>
      <c r="H487" s="20"/>
      <c r="L487" s="20"/>
      <c r="M487" s="20"/>
      <c r="N487" s="20"/>
      <c r="O487" s="20"/>
      <c r="U487" s="20"/>
      <c r="V487" s="20"/>
      <c r="W487" s="20"/>
      <c r="AA487" s="20"/>
      <c r="AB487" s="20"/>
      <c r="AC487" s="20"/>
      <c r="AD487" s="20"/>
    </row>
    <row r="488">
      <c r="C488" s="15"/>
      <c r="D488" s="15"/>
      <c r="E488" s="15"/>
      <c r="F488" s="20"/>
      <c r="G488" s="20"/>
      <c r="H488" s="20"/>
      <c r="L488" s="20"/>
      <c r="M488" s="20"/>
      <c r="N488" s="20"/>
      <c r="O488" s="20"/>
      <c r="U488" s="20"/>
      <c r="V488" s="20"/>
      <c r="W488" s="20"/>
      <c r="AA488" s="20"/>
      <c r="AB488" s="20"/>
      <c r="AC488" s="20"/>
      <c r="AD488" s="20"/>
    </row>
    <row r="489">
      <c r="C489" s="15"/>
      <c r="D489" s="15"/>
      <c r="E489" s="15"/>
      <c r="F489" s="20"/>
      <c r="G489" s="20"/>
      <c r="H489" s="20"/>
      <c r="L489" s="20"/>
      <c r="M489" s="20"/>
      <c r="N489" s="20"/>
      <c r="O489" s="20"/>
      <c r="U489" s="20"/>
      <c r="V489" s="20"/>
      <c r="W489" s="20"/>
      <c r="AA489" s="20"/>
      <c r="AB489" s="20"/>
      <c r="AC489" s="20"/>
      <c r="AD489" s="20"/>
    </row>
    <row r="490">
      <c r="C490" s="15"/>
      <c r="D490" s="15"/>
      <c r="E490" s="15"/>
      <c r="F490" s="20"/>
      <c r="G490" s="20"/>
      <c r="H490" s="20"/>
      <c r="L490" s="20"/>
      <c r="M490" s="20"/>
      <c r="N490" s="20"/>
      <c r="O490" s="20"/>
      <c r="U490" s="20"/>
      <c r="V490" s="20"/>
      <c r="W490" s="20"/>
      <c r="AA490" s="20"/>
      <c r="AB490" s="20"/>
      <c r="AC490" s="20"/>
      <c r="AD490" s="20"/>
    </row>
    <row r="491">
      <c r="C491" s="15"/>
      <c r="D491" s="15"/>
      <c r="E491" s="15"/>
      <c r="F491" s="20"/>
      <c r="G491" s="20"/>
      <c r="H491" s="20"/>
      <c r="L491" s="20"/>
      <c r="M491" s="20"/>
      <c r="N491" s="20"/>
      <c r="O491" s="20"/>
      <c r="U491" s="20"/>
      <c r="V491" s="20"/>
      <c r="W491" s="20"/>
      <c r="AA491" s="20"/>
      <c r="AB491" s="20"/>
      <c r="AC491" s="20"/>
      <c r="AD491" s="20"/>
    </row>
    <row r="492">
      <c r="C492" s="15"/>
      <c r="D492" s="15"/>
      <c r="E492" s="15"/>
      <c r="F492" s="20"/>
      <c r="G492" s="20"/>
      <c r="H492" s="20"/>
      <c r="L492" s="20"/>
      <c r="M492" s="20"/>
      <c r="N492" s="20"/>
      <c r="O492" s="20"/>
      <c r="U492" s="20"/>
      <c r="V492" s="20"/>
      <c r="W492" s="20"/>
      <c r="AA492" s="20"/>
      <c r="AB492" s="20"/>
      <c r="AC492" s="20"/>
      <c r="AD492" s="20"/>
    </row>
    <row r="493">
      <c r="C493" s="15"/>
      <c r="D493" s="15"/>
      <c r="E493" s="15"/>
      <c r="F493" s="20"/>
      <c r="G493" s="20"/>
      <c r="H493" s="20"/>
      <c r="L493" s="20"/>
      <c r="M493" s="20"/>
      <c r="N493" s="20"/>
      <c r="O493" s="20"/>
      <c r="U493" s="20"/>
      <c r="V493" s="20"/>
      <c r="W493" s="20"/>
      <c r="AA493" s="20"/>
      <c r="AB493" s="20"/>
      <c r="AC493" s="20"/>
      <c r="AD493" s="20"/>
    </row>
    <row r="494">
      <c r="C494" s="15"/>
      <c r="D494" s="15"/>
      <c r="E494" s="15"/>
      <c r="F494" s="20"/>
      <c r="G494" s="20"/>
      <c r="H494" s="20"/>
      <c r="L494" s="20"/>
      <c r="M494" s="20"/>
      <c r="N494" s="20"/>
      <c r="O494" s="20"/>
      <c r="U494" s="20"/>
      <c r="V494" s="20"/>
      <c r="W494" s="20"/>
      <c r="AA494" s="20"/>
      <c r="AB494" s="20"/>
      <c r="AC494" s="20"/>
      <c r="AD494" s="20"/>
    </row>
    <row r="495">
      <c r="C495" s="15"/>
      <c r="D495" s="15"/>
      <c r="E495" s="15"/>
      <c r="F495" s="20"/>
      <c r="G495" s="20"/>
      <c r="H495" s="20"/>
      <c r="L495" s="20"/>
      <c r="M495" s="20"/>
      <c r="N495" s="20"/>
      <c r="O495" s="20"/>
      <c r="U495" s="20"/>
      <c r="V495" s="20"/>
      <c r="W495" s="20"/>
      <c r="AA495" s="20"/>
      <c r="AB495" s="20"/>
      <c r="AC495" s="20"/>
      <c r="AD495" s="20"/>
    </row>
    <row r="496">
      <c r="C496" s="15"/>
      <c r="D496" s="15"/>
      <c r="E496" s="15"/>
      <c r="F496" s="20"/>
      <c r="G496" s="20"/>
      <c r="H496" s="20"/>
      <c r="L496" s="20"/>
      <c r="M496" s="20"/>
      <c r="N496" s="20"/>
      <c r="O496" s="20"/>
      <c r="U496" s="20"/>
      <c r="V496" s="20"/>
      <c r="W496" s="20"/>
      <c r="AA496" s="20"/>
      <c r="AB496" s="20"/>
      <c r="AC496" s="20"/>
      <c r="AD496" s="20"/>
    </row>
    <row r="497">
      <c r="C497" s="15"/>
      <c r="D497" s="15"/>
      <c r="E497" s="15"/>
      <c r="F497" s="20"/>
      <c r="G497" s="20"/>
      <c r="H497" s="20"/>
      <c r="L497" s="20"/>
      <c r="M497" s="20"/>
      <c r="N497" s="20"/>
      <c r="O497" s="20"/>
      <c r="U497" s="20"/>
      <c r="V497" s="20"/>
      <c r="W497" s="20"/>
      <c r="AA497" s="20"/>
      <c r="AB497" s="20"/>
      <c r="AC497" s="20"/>
      <c r="AD497" s="20"/>
    </row>
    <row r="498">
      <c r="C498" s="15"/>
      <c r="D498" s="15"/>
      <c r="E498" s="15"/>
      <c r="F498" s="20"/>
      <c r="G498" s="20"/>
      <c r="H498" s="20"/>
      <c r="L498" s="20"/>
      <c r="M498" s="20"/>
      <c r="N498" s="20"/>
      <c r="O498" s="20"/>
      <c r="U498" s="20"/>
      <c r="V498" s="20"/>
      <c r="W498" s="20"/>
      <c r="AA498" s="20"/>
      <c r="AB498" s="20"/>
      <c r="AC498" s="20"/>
      <c r="AD498" s="20"/>
    </row>
    <row r="499">
      <c r="C499" s="15"/>
      <c r="D499" s="15"/>
      <c r="E499" s="15"/>
      <c r="F499" s="20"/>
      <c r="G499" s="20"/>
      <c r="H499" s="20"/>
      <c r="L499" s="20"/>
      <c r="M499" s="20"/>
      <c r="N499" s="20"/>
      <c r="O499" s="20"/>
      <c r="U499" s="20"/>
      <c r="V499" s="20"/>
      <c r="W499" s="20"/>
      <c r="AA499" s="20"/>
      <c r="AB499" s="20"/>
      <c r="AC499" s="20"/>
      <c r="AD499" s="20"/>
    </row>
    <row r="500">
      <c r="C500" s="15"/>
      <c r="D500" s="15"/>
      <c r="E500" s="15"/>
      <c r="F500" s="20"/>
      <c r="G500" s="20"/>
      <c r="H500" s="20"/>
      <c r="L500" s="20"/>
      <c r="M500" s="20"/>
      <c r="N500" s="20"/>
      <c r="O500" s="20"/>
      <c r="U500" s="20"/>
      <c r="V500" s="20"/>
      <c r="W500" s="20"/>
      <c r="AA500" s="20"/>
      <c r="AB500" s="20"/>
      <c r="AC500" s="20"/>
      <c r="AD500" s="20"/>
    </row>
    <row r="501">
      <c r="C501" s="15"/>
      <c r="D501" s="15"/>
      <c r="E501" s="15"/>
      <c r="F501" s="20"/>
      <c r="G501" s="20"/>
      <c r="H501" s="20"/>
      <c r="L501" s="20"/>
      <c r="M501" s="20"/>
      <c r="N501" s="20"/>
      <c r="O501" s="20"/>
      <c r="U501" s="20"/>
      <c r="V501" s="20"/>
      <c r="W501" s="20"/>
      <c r="AA501" s="20"/>
      <c r="AB501" s="20"/>
      <c r="AC501" s="20"/>
      <c r="AD501" s="20"/>
    </row>
    <row r="502">
      <c r="C502" s="15"/>
      <c r="D502" s="15"/>
      <c r="E502" s="15"/>
      <c r="F502" s="20"/>
      <c r="G502" s="20"/>
      <c r="H502" s="20"/>
      <c r="L502" s="20"/>
      <c r="M502" s="20"/>
      <c r="N502" s="20"/>
      <c r="O502" s="20"/>
      <c r="U502" s="20"/>
      <c r="V502" s="20"/>
      <c r="W502" s="20"/>
      <c r="AA502" s="20"/>
      <c r="AB502" s="20"/>
      <c r="AC502" s="20"/>
      <c r="AD502" s="20"/>
    </row>
    <row r="503">
      <c r="C503" s="15"/>
      <c r="D503" s="15"/>
      <c r="E503" s="15"/>
      <c r="F503" s="20"/>
      <c r="G503" s="20"/>
      <c r="H503" s="20"/>
      <c r="L503" s="20"/>
      <c r="M503" s="20"/>
      <c r="N503" s="20"/>
      <c r="O503" s="20"/>
      <c r="U503" s="20"/>
      <c r="V503" s="20"/>
      <c r="W503" s="20"/>
      <c r="AA503" s="20"/>
      <c r="AB503" s="20"/>
      <c r="AC503" s="20"/>
      <c r="AD503" s="20"/>
    </row>
    <row r="504">
      <c r="C504" s="15"/>
      <c r="D504" s="15"/>
      <c r="E504" s="15"/>
      <c r="F504" s="20"/>
      <c r="G504" s="20"/>
      <c r="H504" s="20"/>
      <c r="L504" s="20"/>
      <c r="M504" s="20"/>
      <c r="N504" s="20"/>
      <c r="O504" s="20"/>
      <c r="U504" s="20"/>
      <c r="V504" s="20"/>
      <c r="W504" s="20"/>
      <c r="AA504" s="20"/>
      <c r="AB504" s="20"/>
      <c r="AC504" s="20"/>
      <c r="AD504" s="20"/>
    </row>
    <row r="505">
      <c r="C505" s="15"/>
      <c r="D505" s="15"/>
      <c r="E505" s="15"/>
      <c r="F505" s="20"/>
      <c r="G505" s="20"/>
      <c r="H505" s="20"/>
      <c r="L505" s="20"/>
      <c r="M505" s="20"/>
      <c r="N505" s="20"/>
      <c r="O505" s="20"/>
      <c r="U505" s="20"/>
      <c r="V505" s="20"/>
      <c r="W505" s="20"/>
      <c r="AA505" s="20"/>
      <c r="AB505" s="20"/>
      <c r="AC505" s="20"/>
      <c r="AD505" s="20"/>
    </row>
    <row r="506">
      <c r="C506" s="15"/>
      <c r="D506" s="15"/>
      <c r="E506" s="15"/>
      <c r="F506" s="20"/>
      <c r="G506" s="20"/>
      <c r="H506" s="20"/>
      <c r="L506" s="20"/>
      <c r="M506" s="20"/>
      <c r="N506" s="20"/>
      <c r="O506" s="20"/>
      <c r="U506" s="20"/>
      <c r="V506" s="20"/>
      <c r="W506" s="20"/>
      <c r="AA506" s="20"/>
      <c r="AB506" s="20"/>
      <c r="AC506" s="20"/>
      <c r="AD506" s="20"/>
    </row>
    <row r="507">
      <c r="C507" s="15"/>
      <c r="D507" s="15"/>
      <c r="E507" s="15"/>
      <c r="F507" s="20"/>
      <c r="G507" s="20"/>
      <c r="H507" s="20"/>
      <c r="L507" s="20"/>
      <c r="M507" s="20"/>
      <c r="N507" s="20"/>
      <c r="O507" s="20"/>
      <c r="U507" s="20"/>
      <c r="V507" s="20"/>
      <c r="W507" s="20"/>
      <c r="AA507" s="20"/>
      <c r="AB507" s="20"/>
      <c r="AC507" s="20"/>
      <c r="AD507" s="20"/>
    </row>
    <row r="508">
      <c r="C508" s="15"/>
      <c r="D508" s="15"/>
      <c r="E508" s="15"/>
      <c r="F508" s="20"/>
      <c r="G508" s="20"/>
      <c r="H508" s="20"/>
      <c r="L508" s="20"/>
      <c r="M508" s="20"/>
      <c r="N508" s="20"/>
      <c r="O508" s="20"/>
      <c r="U508" s="20"/>
      <c r="V508" s="20"/>
      <c r="W508" s="20"/>
      <c r="AA508" s="20"/>
      <c r="AB508" s="20"/>
      <c r="AC508" s="20"/>
      <c r="AD508" s="20"/>
    </row>
    <row r="509">
      <c r="C509" s="15"/>
      <c r="D509" s="15"/>
      <c r="E509" s="15"/>
      <c r="F509" s="20"/>
      <c r="G509" s="20"/>
      <c r="H509" s="20"/>
      <c r="L509" s="20"/>
      <c r="M509" s="20"/>
      <c r="N509" s="20"/>
      <c r="O509" s="20"/>
      <c r="U509" s="20"/>
      <c r="V509" s="20"/>
      <c r="W509" s="20"/>
      <c r="AA509" s="20"/>
      <c r="AB509" s="20"/>
      <c r="AC509" s="20"/>
      <c r="AD509" s="20"/>
    </row>
    <row r="510">
      <c r="C510" s="15"/>
      <c r="D510" s="15"/>
      <c r="E510" s="15"/>
      <c r="F510" s="20"/>
      <c r="G510" s="20"/>
      <c r="H510" s="20"/>
      <c r="L510" s="20"/>
      <c r="M510" s="20"/>
      <c r="N510" s="20"/>
      <c r="O510" s="20"/>
      <c r="U510" s="20"/>
      <c r="V510" s="20"/>
      <c r="W510" s="20"/>
      <c r="AA510" s="20"/>
      <c r="AB510" s="20"/>
      <c r="AC510" s="20"/>
      <c r="AD510" s="20"/>
    </row>
    <row r="511">
      <c r="C511" s="15"/>
      <c r="D511" s="15"/>
      <c r="E511" s="15"/>
      <c r="F511" s="20"/>
      <c r="G511" s="20"/>
      <c r="H511" s="20"/>
      <c r="L511" s="20"/>
      <c r="M511" s="20"/>
      <c r="N511" s="20"/>
      <c r="O511" s="20"/>
      <c r="U511" s="20"/>
      <c r="V511" s="20"/>
      <c r="W511" s="20"/>
      <c r="AA511" s="20"/>
      <c r="AB511" s="20"/>
      <c r="AC511" s="20"/>
      <c r="AD511" s="20"/>
    </row>
    <row r="512">
      <c r="C512" s="15"/>
      <c r="D512" s="15"/>
      <c r="E512" s="15"/>
      <c r="F512" s="20"/>
      <c r="G512" s="20"/>
      <c r="H512" s="20"/>
      <c r="L512" s="20"/>
      <c r="M512" s="20"/>
      <c r="N512" s="20"/>
      <c r="O512" s="20"/>
      <c r="U512" s="20"/>
      <c r="V512" s="20"/>
      <c r="W512" s="20"/>
      <c r="AA512" s="20"/>
      <c r="AB512" s="20"/>
      <c r="AC512" s="20"/>
      <c r="AD512" s="20"/>
    </row>
    <row r="513">
      <c r="C513" s="15"/>
      <c r="D513" s="15"/>
      <c r="E513" s="15"/>
      <c r="F513" s="20"/>
      <c r="G513" s="20"/>
      <c r="H513" s="20"/>
      <c r="L513" s="20"/>
      <c r="M513" s="20"/>
      <c r="N513" s="20"/>
      <c r="O513" s="20"/>
      <c r="U513" s="20"/>
      <c r="V513" s="20"/>
      <c r="W513" s="20"/>
      <c r="AA513" s="20"/>
      <c r="AB513" s="20"/>
      <c r="AC513" s="20"/>
      <c r="AD513" s="20"/>
    </row>
    <row r="514">
      <c r="C514" s="15"/>
      <c r="D514" s="15"/>
      <c r="E514" s="15"/>
      <c r="F514" s="20"/>
      <c r="G514" s="20"/>
      <c r="H514" s="20"/>
      <c r="L514" s="20"/>
      <c r="M514" s="20"/>
      <c r="N514" s="20"/>
      <c r="O514" s="20"/>
      <c r="U514" s="20"/>
      <c r="V514" s="20"/>
      <c r="W514" s="20"/>
      <c r="AA514" s="20"/>
      <c r="AB514" s="20"/>
      <c r="AC514" s="20"/>
      <c r="AD514" s="20"/>
    </row>
    <row r="515">
      <c r="C515" s="15"/>
      <c r="D515" s="15"/>
      <c r="E515" s="15"/>
      <c r="F515" s="20"/>
      <c r="G515" s="20"/>
      <c r="H515" s="20"/>
      <c r="L515" s="20"/>
      <c r="M515" s="20"/>
      <c r="N515" s="20"/>
      <c r="O515" s="20"/>
      <c r="U515" s="20"/>
      <c r="V515" s="20"/>
      <c r="W515" s="20"/>
      <c r="AA515" s="20"/>
      <c r="AB515" s="20"/>
      <c r="AC515" s="20"/>
      <c r="AD515" s="20"/>
    </row>
    <row r="516">
      <c r="C516" s="15"/>
      <c r="D516" s="15"/>
      <c r="E516" s="15"/>
      <c r="F516" s="20"/>
      <c r="G516" s="20"/>
      <c r="H516" s="20"/>
      <c r="L516" s="20"/>
      <c r="M516" s="20"/>
      <c r="N516" s="20"/>
      <c r="O516" s="20"/>
      <c r="U516" s="20"/>
      <c r="V516" s="20"/>
      <c r="W516" s="20"/>
      <c r="AA516" s="20"/>
      <c r="AB516" s="20"/>
      <c r="AC516" s="20"/>
      <c r="AD516" s="20"/>
    </row>
    <row r="517">
      <c r="C517" s="15"/>
      <c r="D517" s="15"/>
      <c r="E517" s="15"/>
      <c r="F517" s="20"/>
      <c r="G517" s="20"/>
      <c r="H517" s="20"/>
      <c r="L517" s="20"/>
      <c r="M517" s="20"/>
      <c r="N517" s="20"/>
      <c r="O517" s="20"/>
      <c r="U517" s="20"/>
      <c r="V517" s="20"/>
      <c r="W517" s="20"/>
      <c r="AA517" s="20"/>
      <c r="AB517" s="20"/>
      <c r="AC517" s="20"/>
      <c r="AD517" s="20"/>
    </row>
    <row r="518">
      <c r="C518" s="15"/>
      <c r="D518" s="15"/>
      <c r="E518" s="15"/>
      <c r="F518" s="20"/>
      <c r="G518" s="20"/>
      <c r="H518" s="20"/>
      <c r="L518" s="20"/>
      <c r="M518" s="20"/>
      <c r="N518" s="20"/>
      <c r="O518" s="20"/>
      <c r="U518" s="20"/>
      <c r="V518" s="20"/>
      <c r="W518" s="20"/>
      <c r="AA518" s="20"/>
      <c r="AB518" s="20"/>
      <c r="AC518" s="20"/>
      <c r="AD518" s="20"/>
    </row>
    <row r="519">
      <c r="C519" s="15"/>
      <c r="D519" s="15"/>
      <c r="E519" s="15"/>
      <c r="F519" s="20"/>
      <c r="G519" s="20"/>
      <c r="H519" s="20"/>
      <c r="L519" s="20"/>
      <c r="M519" s="20"/>
      <c r="N519" s="20"/>
      <c r="O519" s="20"/>
      <c r="U519" s="20"/>
      <c r="V519" s="20"/>
      <c r="W519" s="20"/>
      <c r="AA519" s="20"/>
      <c r="AB519" s="20"/>
      <c r="AC519" s="20"/>
      <c r="AD519" s="20"/>
    </row>
    <row r="520">
      <c r="C520" s="15"/>
      <c r="D520" s="15"/>
      <c r="E520" s="15"/>
      <c r="F520" s="20"/>
      <c r="G520" s="20"/>
      <c r="H520" s="20"/>
      <c r="L520" s="20"/>
      <c r="M520" s="20"/>
      <c r="N520" s="20"/>
      <c r="O520" s="20"/>
      <c r="U520" s="20"/>
      <c r="V520" s="20"/>
      <c r="W520" s="20"/>
      <c r="AA520" s="20"/>
      <c r="AB520" s="20"/>
      <c r="AC520" s="20"/>
      <c r="AD520" s="20"/>
    </row>
    <row r="521">
      <c r="C521" s="15"/>
      <c r="D521" s="15"/>
      <c r="E521" s="15"/>
      <c r="F521" s="20"/>
      <c r="G521" s="20"/>
      <c r="H521" s="20"/>
      <c r="L521" s="20"/>
      <c r="M521" s="20"/>
      <c r="N521" s="20"/>
      <c r="O521" s="20"/>
      <c r="U521" s="20"/>
      <c r="V521" s="20"/>
      <c r="W521" s="20"/>
      <c r="AA521" s="20"/>
      <c r="AB521" s="20"/>
      <c r="AC521" s="20"/>
      <c r="AD521" s="20"/>
    </row>
    <row r="522">
      <c r="C522" s="15"/>
      <c r="D522" s="15"/>
      <c r="E522" s="15"/>
      <c r="F522" s="20"/>
      <c r="G522" s="20"/>
      <c r="H522" s="20"/>
      <c r="L522" s="20"/>
      <c r="M522" s="20"/>
      <c r="N522" s="20"/>
      <c r="O522" s="20"/>
      <c r="U522" s="20"/>
      <c r="V522" s="20"/>
      <c r="W522" s="20"/>
      <c r="AA522" s="20"/>
      <c r="AB522" s="20"/>
      <c r="AC522" s="20"/>
      <c r="AD522" s="20"/>
    </row>
    <row r="523">
      <c r="C523" s="15"/>
      <c r="D523" s="15"/>
      <c r="E523" s="15"/>
      <c r="F523" s="20"/>
      <c r="G523" s="20"/>
      <c r="H523" s="20"/>
      <c r="L523" s="20"/>
      <c r="M523" s="20"/>
      <c r="N523" s="20"/>
      <c r="O523" s="20"/>
      <c r="U523" s="20"/>
      <c r="V523" s="20"/>
      <c r="W523" s="20"/>
      <c r="AA523" s="20"/>
      <c r="AB523" s="20"/>
      <c r="AC523" s="20"/>
      <c r="AD523" s="20"/>
    </row>
    <row r="524">
      <c r="C524" s="15"/>
      <c r="D524" s="15"/>
      <c r="E524" s="15"/>
      <c r="F524" s="20"/>
      <c r="G524" s="20"/>
      <c r="H524" s="20"/>
      <c r="L524" s="20"/>
      <c r="M524" s="20"/>
      <c r="N524" s="20"/>
      <c r="O524" s="20"/>
      <c r="U524" s="20"/>
      <c r="V524" s="20"/>
      <c r="W524" s="20"/>
      <c r="AA524" s="20"/>
      <c r="AB524" s="20"/>
      <c r="AC524" s="20"/>
      <c r="AD524" s="20"/>
    </row>
    <row r="525">
      <c r="C525" s="15"/>
      <c r="D525" s="15"/>
      <c r="E525" s="15"/>
      <c r="F525" s="20"/>
      <c r="G525" s="20"/>
      <c r="H525" s="20"/>
      <c r="L525" s="20"/>
      <c r="M525" s="20"/>
      <c r="N525" s="20"/>
      <c r="O525" s="20"/>
      <c r="U525" s="20"/>
      <c r="V525" s="20"/>
      <c r="W525" s="20"/>
      <c r="AA525" s="20"/>
      <c r="AB525" s="20"/>
      <c r="AC525" s="20"/>
      <c r="AD525" s="20"/>
    </row>
    <row r="526">
      <c r="C526" s="15"/>
      <c r="D526" s="15"/>
      <c r="E526" s="15"/>
      <c r="F526" s="20"/>
      <c r="G526" s="20"/>
      <c r="H526" s="20"/>
      <c r="L526" s="20"/>
      <c r="M526" s="20"/>
      <c r="N526" s="20"/>
      <c r="O526" s="20"/>
      <c r="U526" s="20"/>
      <c r="V526" s="20"/>
      <c r="W526" s="20"/>
      <c r="AA526" s="20"/>
      <c r="AB526" s="20"/>
      <c r="AC526" s="20"/>
      <c r="AD526" s="20"/>
    </row>
    <row r="527">
      <c r="C527" s="15"/>
      <c r="D527" s="15"/>
      <c r="E527" s="15"/>
      <c r="F527" s="20"/>
      <c r="G527" s="20"/>
      <c r="H527" s="20"/>
      <c r="L527" s="20"/>
      <c r="M527" s="20"/>
      <c r="N527" s="20"/>
      <c r="O527" s="20"/>
      <c r="U527" s="20"/>
      <c r="V527" s="20"/>
      <c r="W527" s="20"/>
      <c r="AA527" s="20"/>
      <c r="AB527" s="20"/>
      <c r="AC527" s="20"/>
      <c r="AD527" s="20"/>
    </row>
    <row r="528">
      <c r="C528" s="15"/>
      <c r="D528" s="15"/>
      <c r="E528" s="15"/>
      <c r="F528" s="20"/>
      <c r="G528" s="20"/>
      <c r="H528" s="20"/>
      <c r="L528" s="20"/>
      <c r="M528" s="20"/>
      <c r="N528" s="20"/>
      <c r="O528" s="20"/>
      <c r="U528" s="20"/>
      <c r="V528" s="20"/>
      <c r="W528" s="20"/>
      <c r="AA528" s="20"/>
      <c r="AB528" s="20"/>
      <c r="AC528" s="20"/>
      <c r="AD528" s="20"/>
    </row>
    <row r="529">
      <c r="C529" s="15"/>
      <c r="D529" s="15"/>
      <c r="E529" s="15"/>
      <c r="F529" s="20"/>
      <c r="G529" s="20"/>
      <c r="H529" s="20"/>
      <c r="L529" s="20"/>
      <c r="M529" s="20"/>
      <c r="N529" s="20"/>
      <c r="O529" s="20"/>
      <c r="U529" s="20"/>
      <c r="V529" s="20"/>
      <c r="W529" s="20"/>
      <c r="AA529" s="20"/>
      <c r="AB529" s="20"/>
      <c r="AC529" s="20"/>
      <c r="AD529" s="20"/>
    </row>
    <row r="530">
      <c r="C530" s="15"/>
      <c r="D530" s="15"/>
      <c r="E530" s="15"/>
      <c r="F530" s="20"/>
      <c r="G530" s="20"/>
      <c r="H530" s="20"/>
      <c r="L530" s="20"/>
      <c r="M530" s="20"/>
      <c r="N530" s="20"/>
      <c r="O530" s="20"/>
      <c r="U530" s="20"/>
      <c r="V530" s="20"/>
      <c r="W530" s="20"/>
      <c r="AA530" s="20"/>
      <c r="AB530" s="20"/>
      <c r="AC530" s="20"/>
      <c r="AD530" s="20"/>
    </row>
    <row r="531">
      <c r="C531" s="15"/>
      <c r="D531" s="15"/>
      <c r="E531" s="15"/>
      <c r="F531" s="20"/>
      <c r="G531" s="20"/>
      <c r="H531" s="20"/>
      <c r="L531" s="20"/>
      <c r="M531" s="20"/>
      <c r="N531" s="20"/>
      <c r="O531" s="20"/>
      <c r="U531" s="20"/>
      <c r="V531" s="20"/>
      <c r="W531" s="20"/>
      <c r="AA531" s="20"/>
      <c r="AB531" s="20"/>
      <c r="AC531" s="20"/>
      <c r="AD531" s="20"/>
    </row>
    <row r="532">
      <c r="C532" s="15"/>
      <c r="D532" s="15"/>
      <c r="E532" s="15"/>
      <c r="F532" s="20"/>
      <c r="G532" s="20"/>
      <c r="H532" s="20"/>
      <c r="L532" s="20"/>
      <c r="M532" s="20"/>
      <c r="N532" s="20"/>
      <c r="O532" s="20"/>
      <c r="U532" s="20"/>
      <c r="V532" s="20"/>
      <c r="W532" s="20"/>
      <c r="AA532" s="20"/>
      <c r="AB532" s="20"/>
      <c r="AC532" s="20"/>
      <c r="AD532" s="20"/>
    </row>
    <row r="533">
      <c r="C533" s="15"/>
      <c r="D533" s="15"/>
      <c r="E533" s="15"/>
      <c r="F533" s="20"/>
      <c r="G533" s="20"/>
      <c r="H533" s="20"/>
      <c r="L533" s="20"/>
      <c r="M533" s="20"/>
      <c r="N533" s="20"/>
      <c r="O533" s="20"/>
      <c r="U533" s="20"/>
      <c r="V533" s="20"/>
      <c r="W533" s="20"/>
      <c r="AA533" s="20"/>
      <c r="AB533" s="20"/>
      <c r="AC533" s="20"/>
      <c r="AD533" s="20"/>
    </row>
    <row r="534">
      <c r="C534" s="15"/>
      <c r="D534" s="15"/>
      <c r="E534" s="15"/>
      <c r="F534" s="20"/>
      <c r="G534" s="20"/>
      <c r="H534" s="20"/>
      <c r="L534" s="20"/>
      <c r="M534" s="20"/>
      <c r="N534" s="20"/>
      <c r="O534" s="20"/>
      <c r="U534" s="20"/>
      <c r="V534" s="20"/>
      <c r="W534" s="20"/>
      <c r="AA534" s="20"/>
      <c r="AB534" s="20"/>
      <c r="AC534" s="20"/>
      <c r="AD534" s="20"/>
    </row>
    <row r="535">
      <c r="C535" s="15"/>
      <c r="D535" s="15"/>
      <c r="E535" s="15"/>
      <c r="F535" s="20"/>
      <c r="G535" s="20"/>
      <c r="H535" s="20"/>
      <c r="L535" s="20"/>
      <c r="M535" s="20"/>
      <c r="N535" s="20"/>
      <c r="O535" s="20"/>
      <c r="U535" s="20"/>
      <c r="V535" s="20"/>
      <c r="W535" s="20"/>
      <c r="AA535" s="20"/>
      <c r="AB535" s="20"/>
      <c r="AC535" s="20"/>
      <c r="AD535" s="20"/>
    </row>
    <row r="536">
      <c r="C536" s="15"/>
      <c r="D536" s="15"/>
      <c r="E536" s="15"/>
      <c r="F536" s="20"/>
      <c r="G536" s="20"/>
      <c r="H536" s="20"/>
      <c r="L536" s="20"/>
      <c r="M536" s="20"/>
      <c r="N536" s="20"/>
      <c r="O536" s="20"/>
      <c r="U536" s="20"/>
      <c r="V536" s="20"/>
      <c r="W536" s="20"/>
      <c r="AA536" s="20"/>
      <c r="AB536" s="20"/>
      <c r="AC536" s="20"/>
      <c r="AD536" s="20"/>
    </row>
    <row r="537">
      <c r="C537" s="15"/>
      <c r="D537" s="15"/>
      <c r="E537" s="15"/>
      <c r="F537" s="20"/>
      <c r="G537" s="20"/>
      <c r="H537" s="20"/>
      <c r="L537" s="20"/>
      <c r="M537" s="20"/>
      <c r="N537" s="20"/>
      <c r="O537" s="20"/>
      <c r="U537" s="20"/>
      <c r="V537" s="20"/>
      <c r="W537" s="20"/>
      <c r="AA537" s="20"/>
      <c r="AB537" s="20"/>
      <c r="AC537" s="20"/>
      <c r="AD537" s="20"/>
    </row>
    <row r="538">
      <c r="C538" s="15"/>
      <c r="D538" s="15"/>
      <c r="E538" s="15"/>
      <c r="F538" s="20"/>
      <c r="G538" s="20"/>
      <c r="H538" s="20"/>
      <c r="L538" s="20"/>
      <c r="M538" s="20"/>
      <c r="N538" s="20"/>
      <c r="O538" s="20"/>
      <c r="U538" s="20"/>
      <c r="V538" s="20"/>
      <c r="W538" s="20"/>
      <c r="AA538" s="20"/>
      <c r="AB538" s="20"/>
      <c r="AC538" s="20"/>
      <c r="AD538" s="20"/>
    </row>
    <row r="539">
      <c r="C539" s="15"/>
      <c r="D539" s="15"/>
      <c r="E539" s="15"/>
      <c r="F539" s="20"/>
      <c r="G539" s="20"/>
      <c r="H539" s="20"/>
      <c r="L539" s="20"/>
      <c r="M539" s="20"/>
      <c r="N539" s="20"/>
      <c r="O539" s="20"/>
      <c r="U539" s="20"/>
      <c r="V539" s="20"/>
      <c r="W539" s="20"/>
      <c r="AA539" s="20"/>
      <c r="AB539" s="20"/>
      <c r="AC539" s="20"/>
      <c r="AD539" s="20"/>
    </row>
    <row r="540">
      <c r="C540" s="15"/>
      <c r="D540" s="15"/>
      <c r="E540" s="15"/>
      <c r="F540" s="20"/>
      <c r="G540" s="20"/>
      <c r="H540" s="20"/>
      <c r="L540" s="20"/>
      <c r="M540" s="20"/>
      <c r="N540" s="20"/>
      <c r="O540" s="20"/>
      <c r="U540" s="20"/>
      <c r="V540" s="20"/>
      <c r="W540" s="20"/>
      <c r="AA540" s="20"/>
      <c r="AB540" s="20"/>
      <c r="AC540" s="20"/>
      <c r="AD540" s="20"/>
    </row>
    <row r="541">
      <c r="C541" s="15"/>
      <c r="D541" s="15"/>
      <c r="E541" s="15"/>
      <c r="F541" s="20"/>
      <c r="G541" s="20"/>
      <c r="H541" s="20"/>
      <c r="L541" s="20"/>
      <c r="M541" s="20"/>
      <c r="N541" s="20"/>
      <c r="O541" s="20"/>
      <c r="U541" s="20"/>
      <c r="V541" s="20"/>
      <c r="W541" s="20"/>
      <c r="AA541" s="20"/>
      <c r="AB541" s="20"/>
      <c r="AC541" s="20"/>
      <c r="AD541" s="20"/>
    </row>
    <row r="542">
      <c r="C542" s="15"/>
      <c r="D542" s="15"/>
      <c r="E542" s="15"/>
      <c r="F542" s="20"/>
      <c r="G542" s="20"/>
      <c r="H542" s="20"/>
      <c r="L542" s="20"/>
      <c r="M542" s="20"/>
      <c r="N542" s="20"/>
      <c r="O542" s="20"/>
      <c r="U542" s="20"/>
      <c r="V542" s="20"/>
      <c r="W542" s="20"/>
      <c r="AA542" s="20"/>
      <c r="AB542" s="20"/>
      <c r="AC542" s="20"/>
      <c r="AD542" s="20"/>
    </row>
    <row r="543">
      <c r="C543" s="15"/>
      <c r="D543" s="15"/>
      <c r="E543" s="15"/>
      <c r="F543" s="20"/>
      <c r="G543" s="20"/>
      <c r="H543" s="20"/>
      <c r="L543" s="20"/>
      <c r="M543" s="20"/>
      <c r="N543" s="20"/>
      <c r="O543" s="20"/>
      <c r="U543" s="20"/>
      <c r="V543" s="20"/>
      <c r="W543" s="20"/>
      <c r="AA543" s="20"/>
      <c r="AB543" s="20"/>
      <c r="AC543" s="20"/>
      <c r="AD543" s="20"/>
    </row>
    <row r="544">
      <c r="C544" s="15"/>
      <c r="D544" s="15"/>
      <c r="E544" s="15"/>
      <c r="F544" s="20"/>
      <c r="G544" s="20"/>
      <c r="H544" s="20"/>
      <c r="L544" s="20"/>
      <c r="M544" s="20"/>
      <c r="N544" s="20"/>
      <c r="O544" s="20"/>
      <c r="U544" s="20"/>
      <c r="V544" s="20"/>
      <c r="W544" s="20"/>
      <c r="AA544" s="20"/>
      <c r="AB544" s="20"/>
      <c r="AC544" s="20"/>
      <c r="AD544" s="20"/>
    </row>
    <row r="545">
      <c r="C545" s="15"/>
      <c r="D545" s="15"/>
      <c r="E545" s="15"/>
      <c r="F545" s="20"/>
      <c r="G545" s="20"/>
      <c r="H545" s="20"/>
      <c r="L545" s="20"/>
      <c r="M545" s="20"/>
      <c r="N545" s="20"/>
      <c r="O545" s="20"/>
      <c r="U545" s="20"/>
      <c r="V545" s="20"/>
      <c r="W545" s="20"/>
      <c r="AA545" s="20"/>
      <c r="AB545" s="20"/>
      <c r="AC545" s="20"/>
      <c r="AD545" s="20"/>
    </row>
    <row r="546">
      <c r="C546" s="15"/>
      <c r="D546" s="15"/>
      <c r="E546" s="15"/>
      <c r="F546" s="20"/>
      <c r="G546" s="20"/>
      <c r="H546" s="20"/>
      <c r="L546" s="20"/>
      <c r="M546" s="20"/>
      <c r="N546" s="20"/>
      <c r="O546" s="20"/>
      <c r="U546" s="20"/>
      <c r="V546" s="20"/>
      <c r="W546" s="20"/>
      <c r="AA546" s="20"/>
      <c r="AB546" s="20"/>
      <c r="AC546" s="20"/>
      <c r="AD546" s="20"/>
    </row>
    <row r="547">
      <c r="C547" s="15"/>
      <c r="D547" s="15"/>
      <c r="E547" s="15"/>
      <c r="F547" s="20"/>
      <c r="G547" s="20"/>
      <c r="H547" s="20"/>
      <c r="L547" s="20"/>
      <c r="M547" s="20"/>
      <c r="N547" s="20"/>
      <c r="O547" s="20"/>
      <c r="U547" s="20"/>
      <c r="V547" s="20"/>
      <c r="W547" s="20"/>
      <c r="AA547" s="20"/>
      <c r="AB547" s="20"/>
      <c r="AC547" s="20"/>
      <c r="AD547" s="20"/>
    </row>
    <row r="548">
      <c r="C548" s="15"/>
      <c r="D548" s="15"/>
      <c r="E548" s="15"/>
      <c r="F548" s="20"/>
      <c r="G548" s="20"/>
      <c r="H548" s="20"/>
      <c r="L548" s="20"/>
      <c r="M548" s="20"/>
      <c r="N548" s="20"/>
      <c r="O548" s="20"/>
      <c r="U548" s="20"/>
      <c r="V548" s="20"/>
      <c r="W548" s="20"/>
      <c r="AA548" s="20"/>
      <c r="AB548" s="20"/>
      <c r="AC548" s="20"/>
      <c r="AD548" s="20"/>
    </row>
    <row r="549">
      <c r="C549" s="15"/>
      <c r="D549" s="15"/>
      <c r="E549" s="15"/>
      <c r="F549" s="20"/>
      <c r="G549" s="20"/>
      <c r="H549" s="20"/>
      <c r="L549" s="20"/>
      <c r="M549" s="20"/>
      <c r="N549" s="20"/>
      <c r="O549" s="20"/>
      <c r="U549" s="20"/>
      <c r="V549" s="20"/>
      <c r="W549" s="20"/>
      <c r="AA549" s="20"/>
      <c r="AB549" s="20"/>
      <c r="AC549" s="20"/>
      <c r="AD549" s="20"/>
    </row>
    <row r="550">
      <c r="C550" s="15"/>
      <c r="D550" s="15"/>
      <c r="E550" s="15"/>
      <c r="F550" s="20"/>
      <c r="G550" s="20"/>
      <c r="H550" s="20"/>
      <c r="L550" s="20"/>
      <c r="M550" s="20"/>
      <c r="N550" s="20"/>
      <c r="O550" s="20"/>
      <c r="U550" s="20"/>
      <c r="V550" s="20"/>
      <c r="W550" s="20"/>
      <c r="AA550" s="20"/>
      <c r="AB550" s="20"/>
      <c r="AC550" s="20"/>
      <c r="AD550" s="20"/>
    </row>
    <row r="551">
      <c r="C551" s="15"/>
      <c r="D551" s="15"/>
      <c r="E551" s="15"/>
      <c r="F551" s="20"/>
      <c r="G551" s="20"/>
      <c r="H551" s="20"/>
      <c r="L551" s="20"/>
      <c r="M551" s="20"/>
      <c r="N551" s="20"/>
      <c r="O551" s="20"/>
      <c r="U551" s="20"/>
      <c r="V551" s="20"/>
      <c r="W551" s="20"/>
      <c r="AA551" s="20"/>
      <c r="AB551" s="20"/>
      <c r="AC551" s="20"/>
      <c r="AD551" s="20"/>
    </row>
    <row r="552">
      <c r="C552" s="15"/>
      <c r="D552" s="15"/>
      <c r="E552" s="15"/>
      <c r="F552" s="20"/>
      <c r="G552" s="20"/>
      <c r="H552" s="20"/>
      <c r="L552" s="20"/>
      <c r="M552" s="20"/>
      <c r="N552" s="20"/>
      <c r="O552" s="20"/>
      <c r="U552" s="20"/>
      <c r="V552" s="20"/>
      <c r="W552" s="20"/>
      <c r="AA552" s="20"/>
      <c r="AB552" s="20"/>
      <c r="AC552" s="20"/>
      <c r="AD552" s="20"/>
    </row>
    <row r="553">
      <c r="C553" s="15"/>
      <c r="D553" s="15"/>
      <c r="E553" s="15"/>
      <c r="F553" s="20"/>
      <c r="G553" s="20"/>
      <c r="H553" s="20"/>
      <c r="L553" s="20"/>
      <c r="M553" s="20"/>
      <c r="N553" s="20"/>
      <c r="O553" s="20"/>
      <c r="U553" s="20"/>
      <c r="V553" s="20"/>
      <c r="W553" s="20"/>
      <c r="AA553" s="20"/>
      <c r="AB553" s="20"/>
      <c r="AC553" s="20"/>
      <c r="AD553" s="20"/>
    </row>
    <row r="554">
      <c r="C554" s="15"/>
      <c r="D554" s="15"/>
      <c r="E554" s="15"/>
      <c r="F554" s="20"/>
      <c r="G554" s="20"/>
      <c r="H554" s="20"/>
      <c r="L554" s="20"/>
      <c r="M554" s="20"/>
      <c r="N554" s="20"/>
      <c r="O554" s="20"/>
      <c r="U554" s="20"/>
      <c r="V554" s="20"/>
      <c r="W554" s="20"/>
      <c r="AA554" s="20"/>
      <c r="AB554" s="20"/>
      <c r="AC554" s="20"/>
      <c r="AD554" s="20"/>
    </row>
    <row r="555">
      <c r="C555" s="15"/>
      <c r="D555" s="15"/>
      <c r="E555" s="15"/>
      <c r="F555" s="20"/>
      <c r="G555" s="20"/>
      <c r="H555" s="20"/>
      <c r="L555" s="20"/>
      <c r="M555" s="20"/>
      <c r="N555" s="20"/>
      <c r="O555" s="20"/>
      <c r="U555" s="20"/>
      <c r="V555" s="20"/>
      <c r="W555" s="20"/>
      <c r="AA555" s="20"/>
      <c r="AB555" s="20"/>
      <c r="AC555" s="20"/>
      <c r="AD555" s="20"/>
    </row>
    <row r="556">
      <c r="C556" s="15"/>
      <c r="D556" s="15"/>
      <c r="E556" s="15"/>
      <c r="F556" s="20"/>
      <c r="G556" s="20"/>
      <c r="H556" s="20"/>
      <c r="L556" s="20"/>
      <c r="M556" s="20"/>
      <c r="N556" s="20"/>
      <c r="O556" s="20"/>
      <c r="U556" s="20"/>
      <c r="V556" s="20"/>
      <c r="W556" s="20"/>
      <c r="AA556" s="20"/>
      <c r="AB556" s="20"/>
      <c r="AC556" s="20"/>
      <c r="AD556" s="20"/>
    </row>
    <row r="557">
      <c r="C557" s="15"/>
      <c r="D557" s="15"/>
      <c r="E557" s="15"/>
      <c r="F557" s="20"/>
      <c r="G557" s="20"/>
      <c r="H557" s="20"/>
      <c r="L557" s="20"/>
      <c r="M557" s="20"/>
      <c r="N557" s="20"/>
      <c r="O557" s="20"/>
      <c r="U557" s="20"/>
      <c r="V557" s="20"/>
      <c r="W557" s="20"/>
      <c r="AA557" s="20"/>
      <c r="AB557" s="20"/>
      <c r="AC557" s="20"/>
      <c r="AD557" s="20"/>
    </row>
    <row r="558">
      <c r="C558" s="15"/>
      <c r="D558" s="15"/>
      <c r="E558" s="15"/>
      <c r="F558" s="20"/>
      <c r="G558" s="20"/>
      <c r="H558" s="20"/>
      <c r="L558" s="20"/>
      <c r="M558" s="20"/>
      <c r="N558" s="20"/>
      <c r="O558" s="20"/>
      <c r="U558" s="20"/>
      <c r="V558" s="20"/>
      <c r="W558" s="20"/>
      <c r="AA558" s="20"/>
      <c r="AB558" s="20"/>
      <c r="AC558" s="20"/>
      <c r="AD558" s="20"/>
    </row>
    <row r="559">
      <c r="C559" s="15"/>
      <c r="D559" s="15"/>
      <c r="E559" s="15"/>
      <c r="F559" s="20"/>
      <c r="G559" s="20"/>
      <c r="H559" s="20"/>
      <c r="L559" s="20"/>
      <c r="M559" s="20"/>
      <c r="N559" s="20"/>
      <c r="O559" s="20"/>
      <c r="U559" s="20"/>
      <c r="V559" s="20"/>
      <c r="W559" s="20"/>
      <c r="AA559" s="20"/>
      <c r="AB559" s="20"/>
      <c r="AC559" s="20"/>
      <c r="AD559" s="20"/>
    </row>
    <row r="560">
      <c r="C560" s="15"/>
      <c r="D560" s="15"/>
      <c r="E560" s="15"/>
      <c r="F560" s="20"/>
      <c r="G560" s="20"/>
      <c r="H560" s="20"/>
      <c r="L560" s="20"/>
      <c r="M560" s="20"/>
      <c r="N560" s="20"/>
      <c r="O560" s="20"/>
      <c r="U560" s="20"/>
      <c r="V560" s="20"/>
      <c r="W560" s="20"/>
      <c r="AA560" s="20"/>
      <c r="AB560" s="20"/>
      <c r="AC560" s="20"/>
      <c r="AD560" s="20"/>
    </row>
    <row r="561">
      <c r="C561" s="15"/>
      <c r="D561" s="15"/>
      <c r="E561" s="15"/>
      <c r="F561" s="20"/>
      <c r="G561" s="20"/>
      <c r="H561" s="20"/>
      <c r="L561" s="20"/>
      <c r="M561" s="20"/>
      <c r="N561" s="20"/>
      <c r="O561" s="20"/>
      <c r="U561" s="20"/>
      <c r="V561" s="20"/>
      <c r="W561" s="20"/>
      <c r="AA561" s="20"/>
      <c r="AB561" s="20"/>
      <c r="AC561" s="20"/>
      <c r="AD561" s="20"/>
    </row>
    <row r="562">
      <c r="C562" s="15"/>
      <c r="D562" s="15"/>
      <c r="E562" s="15"/>
      <c r="F562" s="20"/>
      <c r="G562" s="20"/>
      <c r="H562" s="20"/>
      <c r="L562" s="20"/>
      <c r="M562" s="20"/>
      <c r="N562" s="20"/>
      <c r="O562" s="20"/>
      <c r="U562" s="20"/>
      <c r="V562" s="20"/>
      <c r="W562" s="20"/>
      <c r="AA562" s="20"/>
      <c r="AB562" s="20"/>
      <c r="AC562" s="20"/>
      <c r="AD562" s="20"/>
    </row>
    <row r="563">
      <c r="C563" s="15"/>
      <c r="D563" s="15"/>
      <c r="E563" s="15"/>
      <c r="F563" s="20"/>
      <c r="G563" s="20"/>
      <c r="H563" s="20"/>
      <c r="L563" s="20"/>
      <c r="M563" s="20"/>
      <c r="N563" s="20"/>
      <c r="O563" s="20"/>
      <c r="U563" s="20"/>
      <c r="V563" s="20"/>
      <c r="W563" s="20"/>
      <c r="AA563" s="20"/>
      <c r="AB563" s="20"/>
      <c r="AC563" s="20"/>
      <c r="AD563" s="20"/>
    </row>
    <row r="564">
      <c r="C564" s="15"/>
      <c r="D564" s="15"/>
      <c r="E564" s="15"/>
      <c r="F564" s="20"/>
      <c r="G564" s="20"/>
      <c r="H564" s="20"/>
      <c r="L564" s="20"/>
      <c r="M564" s="20"/>
      <c r="N564" s="20"/>
      <c r="O564" s="20"/>
      <c r="U564" s="20"/>
      <c r="V564" s="20"/>
      <c r="W564" s="20"/>
      <c r="AA564" s="20"/>
      <c r="AB564" s="20"/>
      <c r="AC564" s="20"/>
      <c r="AD564" s="20"/>
    </row>
    <row r="565">
      <c r="C565" s="15"/>
      <c r="D565" s="15"/>
      <c r="E565" s="15"/>
      <c r="F565" s="20"/>
      <c r="G565" s="20"/>
      <c r="H565" s="20"/>
      <c r="L565" s="20"/>
      <c r="M565" s="20"/>
      <c r="N565" s="20"/>
      <c r="O565" s="20"/>
      <c r="U565" s="20"/>
      <c r="V565" s="20"/>
      <c r="W565" s="20"/>
      <c r="AA565" s="20"/>
      <c r="AB565" s="20"/>
      <c r="AC565" s="20"/>
      <c r="AD565" s="20"/>
    </row>
    <row r="566">
      <c r="C566" s="15"/>
      <c r="D566" s="15"/>
      <c r="E566" s="15"/>
      <c r="F566" s="20"/>
      <c r="G566" s="20"/>
      <c r="H566" s="20"/>
      <c r="L566" s="20"/>
      <c r="M566" s="20"/>
      <c r="N566" s="20"/>
      <c r="O566" s="20"/>
      <c r="U566" s="20"/>
      <c r="V566" s="20"/>
      <c r="W566" s="20"/>
      <c r="AA566" s="20"/>
      <c r="AB566" s="20"/>
      <c r="AC566" s="20"/>
      <c r="AD566" s="20"/>
    </row>
    <row r="567">
      <c r="C567" s="15"/>
      <c r="D567" s="15"/>
      <c r="E567" s="15"/>
      <c r="F567" s="20"/>
      <c r="G567" s="20"/>
      <c r="H567" s="20"/>
      <c r="L567" s="20"/>
      <c r="M567" s="20"/>
      <c r="N567" s="20"/>
      <c r="O567" s="20"/>
      <c r="U567" s="20"/>
      <c r="V567" s="20"/>
      <c r="W567" s="20"/>
      <c r="AA567" s="20"/>
      <c r="AB567" s="20"/>
      <c r="AC567" s="20"/>
      <c r="AD567" s="20"/>
    </row>
    <row r="568">
      <c r="C568" s="15"/>
      <c r="D568" s="15"/>
      <c r="E568" s="15"/>
      <c r="F568" s="20"/>
      <c r="G568" s="20"/>
      <c r="H568" s="20"/>
      <c r="L568" s="20"/>
      <c r="M568" s="20"/>
      <c r="N568" s="20"/>
      <c r="O568" s="20"/>
      <c r="U568" s="20"/>
      <c r="V568" s="20"/>
      <c r="W568" s="20"/>
      <c r="AA568" s="20"/>
      <c r="AB568" s="20"/>
      <c r="AC568" s="20"/>
      <c r="AD568" s="20"/>
    </row>
    <row r="569">
      <c r="C569" s="15"/>
      <c r="D569" s="15"/>
      <c r="E569" s="15"/>
      <c r="F569" s="20"/>
      <c r="G569" s="20"/>
      <c r="H569" s="20"/>
      <c r="L569" s="20"/>
      <c r="M569" s="20"/>
      <c r="N569" s="20"/>
      <c r="O569" s="20"/>
      <c r="U569" s="20"/>
      <c r="V569" s="20"/>
      <c r="W569" s="20"/>
      <c r="AA569" s="20"/>
      <c r="AB569" s="20"/>
      <c r="AC569" s="20"/>
      <c r="AD569" s="20"/>
    </row>
    <row r="570">
      <c r="C570" s="15"/>
      <c r="D570" s="15"/>
      <c r="E570" s="15"/>
      <c r="F570" s="20"/>
      <c r="G570" s="20"/>
      <c r="H570" s="20"/>
      <c r="L570" s="20"/>
      <c r="M570" s="20"/>
      <c r="N570" s="20"/>
      <c r="O570" s="20"/>
      <c r="U570" s="20"/>
      <c r="V570" s="20"/>
      <c r="W570" s="20"/>
      <c r="AA570" s="20"/>
      <c r="AB570" s="20"/>
      <c r="AC570" s="20"/>
      <c r="AD570" s="20"/>
    </row>
    <row r="571">
      <c r="C571" s="15"/>
      <c r="D571" s="15"/>
      <c r="E571" s="15"/>
      <c r="F571" s="20"/>
      <c r="G571" s="20"/>
      <c r="H571" s="20"/>
      <c r="L571" s="20"/>
      <c r="M571" s="20"/>
      <c r="N571" s="20"/>
      <c r="O571" s="20"/>
      <c r="U571" s="20"/>
      <c r="V571" s="20"/>
      <c r="W571" s="20"/>
      <c r="AA571" s="20"/>
      <c r="AB571" s="20"/>
      <c r="AC571" s="20"/>
      <c r="AD571" s="20"/>
    </row>
    <row r="572">
      <c r="C572" s="15"/>
      <c r="D572" s="15"/>
      <c r="E572" s="15"/>
      <c r="F572" s="20"/>
      <c r="G572" s="20"/>
      <c r="H572" s="20"/>
      <c r="L572" s="20"/>
      <c r="M572" s="20"/>
      <c r="N572" s="20"/>
      <c r="O572" s="20"/>
      <c r="U572" s="20"/>
      <c r="V572" s="20"/>
      <c r="W572" s="20"/>
      <c r="AA572" s="20"/>
      <c r="AB572" s="20"/>
      <c r="AC572" s="20"/>
      <c r="AD572" s="20"/>
    </row>
    <row r="573">
      <c r="C573" s="15"/>
      <c r="D573" s="15"/>
      <c r="E573" s="15"/>
      <c r="F573" s="20"/>
      <c r="G573" s="20"/>
      <c r="H573" s="20"/>
      <c r="L573" s="20"/>
      <c r="M573" s="20"/>
      <c r="N573" s="20"/>
      <c r="O573" s="20"/>
      <c r="U573" s="20"/>
      <c r="V573" s="20"/>
      <c r="W573" s="20"/>
      <c r="AA573" s="20"/>
      <c r="AB573" s="20"/>
      <c r="AC573" s="20"/>
      <c r="AD573" s="20"/>
    </row>
    <row r="574">
      <c r="C574" s="15"/>
      <c r="D574" s="15"/>
      <c r="E574" s="15"/>
      <c r="F574" s="20"/>
      <c r="G574" s="20"/>
      <c r="H574" s="20"/>
      <c r="L574" s="20"/>
      <c r="M574" s="20"/>
      <c r="N574" s="20"/>
      <c r="O574" s="20"/>
      <c r="U574" s="20"/>
      <c r="V574" s="20"/>
      <c r="W574" s="20"/>
      <c r="AA574" s="20"/>
      <c r="AB574" s="20"/>
      <c r="AC574" s="20"/>
      <c r="AD574" s="20"/>
    </row>
    <row r="575">
      <c r="C575" s="15"/>
      <c r="D575" s="15"/>
      <c r="E575" s="15"/>
      <c r="F575" s="20"/>
      <c r="G575" s="20"/>
      <c r="H575" s="20"/>
      <c r="L575" s="20"/>
      <c r="M575" s="20"/>
      <c r="N575" s="20"/>
      <c r="O575" s="20"/>
      <c r="U575" s="20"/>
      <c r="V575" s="20"/>
      <c r="W575" s="20"/>
      <c r="AA575" s="20"/>
      <c r="AB575" s="20"/>
      <c r="AC575" s="20"/>
      <c r="AD575" s="20"/>
    </row>
    <row r="576">
      <c r="C576" s="15"/>
      <c r="D576" s="15"/>
      <c r="E576" s="15"/>
      <c r="F576" s="20"/>
      <c r="G576" s="20"/>
      <c r="H576" s="20"/>
      <c r="L576" s="20"/>
      <c r="M576" s="20"/>
      <c r="N576" s="20"/>
      <c r="O576" s="20"/>
      <c r="U576" s="20"/>
      <c r="V576" s="20"/>
      <c r="W576" s="20"/>
      <c r="AA576" s="20"/>
      <c r="AB576" s="20"/>
      <c r="AC576" s="20"/>
      <c r="AD576" s="20"/>
    </row>
    <row r="577">
      <c r="C577" s="15"/>
      <c r="D577" s="15"/>
      <c r="E577" s="15"/>
      <c r="F577" s="20"/>
      <c r="G577" s="20"/>
      <c r="H577" s="20"/>
      <c r="L577" s="20"/>
      <c r="M577" s="20"/>
      <c r="N577" s="20"/>
      <c r="O577" s="20"/>
      <c r="U577" s="20"/>
      <c r="V577" s="20"/>
      <c r="W577" s="20"/>
      <c r="AA577" s="20"/>
      <c r="AB577" s="20"/>
      <c r="AC577" s="20"/>
      <c r="AD577" s="20"/>
    </row>
    <row r="578">
      <c r="C578" s="15"/>
      <c r="D578" s="15"/>
      <c r="E578" s="15"/>
      <c r="F578" s="20"/>
      <c r="G578" s="20"/>
      <c r="H578" s="20"/>
      <c r="L578" s="20"/>
      <c r="M578" s="20"/>
      <c r="N578" s="20"/>
      <c r="O578" s="20"/>
      <c r="U578" s="20"/>
      <c r="V578" s="20"/>
      <c r="W578" s="20"/>
      <c r="AA578" s="20"/>
      <c r="AB578" s="20"/>
      <c r="AC578" s="20"/>
      <c r="AD578" s="20"/>
    </row>
    <row r="579">
      <c r="C579" s="15"/>
      <c r="D579" s="15"/>
      <c r="E579" s="15"/>
      <c r="F579" s="20"/>
      <c r="G579" s="20"/>
      <c r="H579" s="20"/>
      <c r="L579" s="20"/>
      <c r="M579" s="20"/>
      <c r="N579" s="20"/>
      <c r="O579" s="20"/>
      <c r="U579" s="20"/>
      <c r="V579" s="20"/>
      <c r="W579" s="20"/>
      <c r="AA579" s="20"/>
      <c r="AB579" s="20"/>
      <c r="AC579" s="20"/>
      <c r="AD579" s="20"/>
    </row>
    <row r="580">
      <c r="C580" s="15"/>
      <c r="D580" s="15"/>
      <c r="E580" s="15"/>
      <c r="F580" s="20"/>
      <c r="G580" s="20"/>
      <c r="H580" s="20"/>
      <c r="L580" s="20"/>
      <c r="M580" s="20"/>
      <c r="N580" s="20"/>
      <c r="O580" s="20"/>
      <c r="U580" s="20"/>
      <c r="V580" s="20"/>
      <c r="W580" s="20"/>
      <c r="AA580" s="20"/>
      <c r="AB580" s="20"/>
      <c r="AC580" s="20"/>
      <c r="AD580" s="20"/>
    </row>
    <row r="581">
      <c r="C581" s="15"/>
      <c r="D581" s="15"/>
      <c r="E581" s="15"/>
      <c r="F581" s="20"/>
      <c r="G581" s="20"/>
      <c r="H581" s="20"/>
      <c r="L581" s="20"/>
      <c r="M581" s="20"/>
      <c r="N581" s="20"/>
      <c r="O581" s="20"/>
      <c r="U581" s="20"/>
      <c r="V581" s="20"/>
      <c r="W581" s="20"/>
      <c r="AA581" s="20"/>
      <c r="AB581" s="20"/>
      <c r="AC581" s="20"/>
      <c r="AD581" s="20"/>
    </row>
    <row r="582">
      <c r="C582" s="15"/>
      <c r="D582" s="15"/>
      <c r="E582" s="15"/>
      <c r="F582" s="20"/>
      <c r="G582" s="20"/>
      <c r="H582" s="20"/>
      <c r="L582" s="20"/>
      <c r="M582" s="20"/>
      <c r="N582" s="20"/>
      <c r="O582" s="20"/>
      <c r="U582" s="20"/>
      <c r="V582" s="20"/>
      <c r="W582" s="20"/>
      <c r="AA582" s="20"/>
      <c r="AB582" s="20"/>
      <c r="AC582" s="20"/>
      <c r="AD582" s="20"/>
    </row>
    <row r="583">
      <c r="C583" s="15"/>
      <c r="D583" s="15"/>
      <c r="E583" s="15"/>
      <c r="F583" s="20"/>
      <c r="G583" s="20"/>
      <c r="H583" s="20"/>
      <c r="L583" s="20"/>
      <c r="M583" s="20"/>
      <c r="N583" s="20"/>
      <c r="O583" s="20"/>
      <c r="U583" s="20"/>
      <c r="V583" s="20"/>
      <c r="W583" s="20"/>
      <c r="AA583" s="20"/>
      <c r="AB583" s="20"/>
      <c r="AC583" s="20"/>
      <c r="AD583" s="20"/>
    </row>
    <row r="584">
      <c r="C584" s="15"/>
      <c r="D584" s="15"/>
      <c r="E584" s="15"/>
      <c r="F584" s="20"/>
      <c r="G584" s="20"/>
      <c r="H584" s="20"/>
      <c r="L584" s="20"/>
      <c r="M584" s="20"/>
      <c r="N584" s="20"/>
      <c r="O584" s="20"/>
      <c r="U584" s="20"/>
      <c r="V584" s="20"/>
      <c r="W584" s="20"/>
      <c r="AA584" s="20"/>
      <c r="AB584" s="20"/>
      <c r="AC584" s="20"/>
      <c r="AD584" s="20"/>
    </row>
    <row r="585">
      <c r="C585" s="15"/>
      <c r="D585" s="15"/>
      <c r="E585" s="15"/>
      <c r="F585" s="20"/>
      <c r="G585" s="20"/>
      <c r="H585" s="20"/>
      <c r="L585" s="20"/>
      <c r="M585" s="20"/>
      <c r="N585" s="20"/>
      <c r="O585" s="20"/>
      <c r="U585" s="20"/>
      <c r="V585" s="20"/>
      <c r="W585" s="20"/>
      <c r="AA585" s="20"/>
      <c r="AB585" s="20"/>
      <c r="AC585" s="20"/>
      <c r="AD585" s="20"/>
    </row>
    <row r="586">
      <c r="C586" s="15"/>
      <c r="D586" s="15"/>
      <c r="E586" s="15"/>
      <c r="F586" s="20"/>
      <c r="G586" s="20"/>
      <c r="H586" s="20"/>
      <c r="L586" s="20"/>
      <c r="M586" s="20"/>
      <c r="N586" s="20"/>
      <c r="O586" s="20"/>
      <c r="U586" s="20"/>
      <c r="V586" s="20"/>
      <c r="W586" s="20"/>
      <c r="AA586" s="20"/>
      <c r="AB586" s="20"/>
      <c r="AC586" s="20"/>
      <c r="AD586" s="20"/>
    </row>
    <row r="587">
      <c r="C587" s="15"/>
      <c r="D587" s="15"/>
      <c r="E587" s="15"/>
      <c r="F587" s="20"/>
      <c r="G587" s="20"/>
      <c r="H587" s="20"/>
      <c r="L587" s="20"/>
      <c r="M587" s="20"/>
      <c r="N587" s="20"/>
      <c r="O587" s="20"/>
      <c r="U587" s="20"/>
      <c r="V587" s="20"/>
      <c r="W587" s="20"/>
      <c r="AA587" s="20"/>
      <c r="AB587" s="20"/>
      <c r="AC587" s="20"/>
      <c r="AD587" s="20"/>
    </row>
    <row r="588">
      <c r="C588" s="15"/>
      <c r="D588" s="15"/>
      <c r="E588" s="15"/>
      <c r="F588" s="20"/>
      <c r="G588" s="20"/>
      <c r="H588" s="20"/>
      <c r="L588" s="20"/>
      <c r="M588" s="20"/>
      <c r="N588" s="20"/>
      <c r="O588" s="20"/>
      <c r="U588" s="20"/>
      <c r="V588" s="20"/>
      <c r="W588" s="20"/>
      <c r="AA588" s="20"/>
      <c r="AB588" s="20"/>
      <c r="AC588" s="20"/>
      <c r="AD588" s="20"/>
    </row>
    <row r="589">
      <c r="C589" s="15"/>
      <c r="D589" s="15"/>
      <c r="E589" s="15"/>
      <c r="F589" s="20"/>
      <c r="G589" s="20"/>
      <c r="H589" s="20"/>
      <c r="L589" s="20"/>
      <c r="M589" s="20"/>
      <c r="N589" s="20"/>
      <c r="O589" s="20"/>
      <c r="U589" s="20"/>
      <c r="V589" s="20"/>
      <c r="W589" s="20"/>
      <c r="AA589" s="20"/>
      <c r="AB589" s="20"/>
      <c r="AC589" s="20"/>
      <c r="AD589" s="20"/>
    </row>
    <row r="590">
      <c r="C590" s="15"/>
      <c r="D590" s="15"/>
      <c r="E590" s="15"/>
      <c r="F590" s="20"/>
      <c r="G590" s="20"/>
      <c r="H590" s="20"/>
      <c r="L590" s="20"/>
      <c r="M590" s="20"/>
      <c r="N590" s="20"/>
      <c r="O590" s="20"/>
      <c r="U590" s="20"/>
      <c r="V590" s="20"/>
      <c r="W590" s="20"/>
      <c r="AA590" s="20"/>
      <c r="AB590" s="20"/>
      <c r="AC590" s="20"/>
      <c r="AD590" s="20"/>
    </row>
    <row r="591">
      <c r="C591" s="15"/>
      <c r="D591" s="15"/>
      <c r="E591" s="15"/>
      <c r="F591" s="20"/>
      <c r="G591" s="20"/>
      <c r="H591" s="20"/>
      <c r="L591" s="20"/>
      <c r="M591" s="20"/>
      <c r="N591" s="20"/>
      <c r="O591" s="20"/>
      <c r="U591" s="20"/>
      <c r="V591" s="20"/>
      <c r="W591" s="20"/>
      <c r="AA591" s="20"/>
      <c r="AB591" s="20"/>
      <c r="AC591" s="20"/>
      <c r="AD591" s="20"/>
    </row>
    <row r="592">
      <c r="C592" s="15"/>
      <c r="D592" s="15"/>
      <c r="E592" s="15"/>
      <c r="F592" s="20"/>
      <c r="G592" s="20"/>
      <c r="H592" s="20"/>
      <c r="L592" s="20"/>
      <c r="M592" s="20"/>
      <c r="N592" s="20"/>
      <c r="O592" s="20"/>
      <c r="U592" s="20"/>
      <c r="V592" s="20"/>
      <c r="W592" s="20"/>
      <c r="AA592" s="20"/>
      <c r="AB592" s="20"/>
      <c r="AC592" s="20"/>
      <c r="AD592" s="20"/>
    </row>
    <row r="593">
      <c r="C593" s="15"/>
      <c r="D593" s="15"/>
      <c r="E593" s="15"/>
      <c r="F593" s="20"/>
      <c r="G593" s="20"/>
      <c r="H593" s="20"/>
      <c r="L593" s="20"/>
      <c r="M593" s="20"/>
      <c r="N593" s="20"/>
      <c r="O593" s="20"/>
      <c r="U593" s="20"/>
      <c r="V593" s="20"/>
      <c r="W593" s="20"/>
      <c r="AA593" s="20"/>
      <c r="AB593" s="20"/>
      <c r="AC593" s="20"/>
      <c r="AD593" s="20"/>
    </row>
    <row r="594">
      <c r="C594" s="15"/>
      <c r="D594" s="15"/>
      <c r="E594" s="15"/>
      <c r="F594" s="20"/>
      <c r="G594" s="20"/>
      <c r="H594" s="20"/>
      <c r="L594" s="20"/>
      <c r="M594" s="20"/>
      <c r="N594" s="20"/>
      <c r="O594" s="20"/>
      <c r="U594" s="20"/>
      <c r="V594" s="20"/>
      <c r="W594" s="20"/>
      <c r="AA594" s="20"/>
      <c r="AB594" s="20"/>
      <c r="AC594" s="20"/>
      <c r="AD594" s="20"/>
    </row>
    <row r="595">
      <c r="C595" s="15"/>
      <c r="D595" s="15"/>
      <c r="E595" s="15"/>
      <c r="F595" s="20"/>
      <c r="G595" s="20"/>
      <c r="H595" s="20"/>
      <c r="L595" s="20"/>
      <c r="M595" s="20"/>
      <c r="N595" s="20"/>
      <c r="O595" s="20"/>
      <c r="U595" s="20"/>
      <c r="V595" s="20"/>
      <c r="W595" s="20"/>
      <c r="AA595" s="20"/>
      <c r="AB595" s="20"/>
      <c r="AC595" s="20"/>
      <c r="AD595" s="20"/>
    </row>
    <row r="596">
      <c r="C596" s="15"/>
      <c r="D596" s="15"/>
      <c r="E596" s="15"/>
      <c r="F596" s="20"/>
      <c r="G596" s="20"/>
      <c r="H596" s="20"/>
      <c r="L596" s="20"/>
      <c r="M596" s="20"/>
      <c r="N596" s="20"/>
      <c r="O596" s="20"/>
      <c r="U596" s="20"/>
      <c r="V596" s="20"/>
      <c r="W596" s="20"/>
      <c r="AA596" s="20"/>
      <c r="AB596" s="20"/>
      <c r="AC596" s="20"/>
      <c r="AD596" s="20"/>
    </row>
    <row r="597">
      <c r="C597" s="15"/>
      <c r="D597" s="15"/>
      <c r="E597" s="15"/>
      <c r="F597" s="20"/>
      <c r="G597" s="20"/>
      <c r="H597" s="20"/>
      <c r="L597" s="20"/>
      <c r="M597" s="20"/>
      <c r="N597" s="20"/>
      <c r="O597" s="20"/>
      <c r="U597" s="20"/>
      <c r="V597" s="20"/>
      <c r="W597" s="20"/>
      <c r="AA597" s="20"/>
      <c r="AB597" s="20"/>
      <c r="AC597" s="20"/>
      <c r="AD597" s="20"/>
    </row>
    <row r="598">
      <c r="C598" s="15"/>
      <c r="D598" s="15"/>
      <c r="E598" s="15"/>
      <c r="F598" s="20"/>
      <c r="G598" s="20"/>
      <c r="H598" s="20"/>
      <c r="L598" s="20"/>
      <c r="M598" s="20"/>
      <c r="N598" s="20"/>
      <c r="O598" s="20"/>
      <c r="U598" s="20"/>
      <c r="V598" s="20"/>
      <c r="W598" s="20"/>
      <c r="AA598" s="20"/>
      <c r="AB598" s="20"/>
      <c r="AC598" s="20"/>
      <c r="AD598" s="20"/>
    </row>
    <row r="599">
      <c r="C599" s="15"/>
      <c r="D599" s="15"/>
      <c r="E599" s="15"/>
      <c r="F599" s="20"/>
      <c r="G599" s="20"/>
      <c r="H599" s="20"/>
      <c r="L599" s="20"/>
      <c r="M599" s="20"/>
      <c r="N599" s="20"/>
      <c r="O599" s="20"/>
      <c r="U599" s="20"/>
      <c r="V599" s="20"/>
      <c r="W599" s="20"/>
      <c r="AA599" s="20"/>
      <c r="AB599" s="20"/>
      <c r="AC599" s="20"/>
      <c r="AD599" s="20"/>
    </row>
    <row r="600">
      <c r="C600" s="15"/>
      <c r="D600" s="15"/>
      <c r="E600" s="15"/>
      <c r="F600" s="20"/>
      <c r="G600" s="20"/>
      <c r="H600" s="20"/>
      <c r="L600" s="20"/>
      <c r="M600" s="20"/>
      <c r="N600" s="20"/>
      <c r="O600" s="20"/>
      <c r="U600" s="20"/>
      <c r="V600" s="20"/>
      <c r="W600" s="20"/>
      <c r="AA600" s="20"/>
      <c r="AB600" s="20"/>
      <c r="AC600" s="20"/>
      <c r="AD600" s="20"/>
    </row>
    <row r="601">
      <c r="C601" s="15"/>
      <c r="D601" s="15"/>
      <c r="E601" s="15"/>
      <c r="F601" s="20"/>
      <c r="G601" s="20"/>
      <c r="H601" s="20"/>
      <c r="L601" s="20"/>
      <c r="M601" s="20"/>
      <c r="N601" s="20"/>
      <c r="O601" s="20"/>
      <c r="U601" s="20"/>
      <c r="V601" s="20"/>
      <c r="W601" s="20"/>
      <c r="AA601" s="20"/>
      <c r="AB601" s="20"/>
      <c r="AC601" s="20"/>
      <c r="AD601" s="20"/>
    </row>
    <row r="602">
      <c r="C602" s="15"/>
      <c r="D602" s="15"/>
      <c r="E602" s="15"/>
      <c r="F602" s="20"/>
      <c r="G602" s="20"/>
      <c r="H602" s="20"/>
      <c r="L602" s="20"/>
      <c r="M602" s="20"/>
      <c r="N602" s="20"/>
      <c r="O602" s="20"/>
      <c r="U602" s="20"/>
      <c r="V602" s="20"/>
      <c r="W602" s="20"/>
      <c r="AA602" s="20"/>
      <c r="AB602" s="20"/>
      <c r="AC602" s="20"/>
      <c r="AD602" s="20"/>
    </row>
    <row r="603">
      <c r="C603" s="15"/>
      <c r="D603" s="15"/>
      <c r="E603" s="15"/>
      <c r="F603" s="20"/>
      <c r="G603" s="20"/>
      <c r="H603" s="20"/>
      <c r="L603" s="20"/>
      <c r="M603" s="20"/>
      <c r="N603" s="20"/>
      <c r="O603" s="20"/>
      <c r="U603" s="20"/>
      <c r="V603" s="20"/>
      <c r="W603" s="20"/>
      <c r="AA603" s="20"/>
      <c r="AB603" s="20"/>
      <c r="AC603" s="20"/>
      <c r="AD603" s="20"/>
    </row>
    <row r="604">
      <c r="C604" s="15"/>
      <c r="D604" s="15"/>
      <c r="E604" s="15"/>
      <c r="F604" s="20"/>
      <c r="G604" s="20"/>
      <c r="H604" s="20"/>
      <c r="L604" s="20"/>
      <c r="M604" s="20"/>
      <c r="N604" s="20"/>
      <c r="O604" s="20"/>
      <c r="U604" s="20"/>
      <c r="V604" s="20"/>
      <c r="W604" s="20"/>
      <c r="AA604" s="20"/>
      <c r="AB604" s="20"/>
      <c r="AC604" s="20"/>
      <c r="AD604" s="20"/>
    </row>
    <row r="605">
      <c r="C605" s="15"/>
      <c r="D605" s="15"/>
      <c r="E605" s="15"/>
      <c r="F605" s="20"/>
      <c r="G605" s="20"/>
      <c r="H605" s="20"/>
      <c r="L605" s="20"/>
      <c r="M605" s="20"/>
      <c r="N605" s="20"/>
      <c r="O605" s="20"/>
      <c r="U605" s="20"/>
      <c r="V605" s="20"/>
      <c r="W605" s="20"/>
      <c r="AA605" s="20"/>
      <c r="AB605" s="20"/>
      <c r="AC605" s="20"/>
      <c r="AD605" s="20"/>
    </row>
    <row r="606">
      <c r="C606" s="15"/>
      <c r="D606" s="15"/>
      <c r="E606" s="15"/>
      <c r="F606" s="20"/>
      <c r="G606" s="20"/>
      <c r="H606" s="20"/>
      <c r="L606" s="20"/>
      <c r="M606" s="20"/>
      <c r="N606" s="20"/>
      <c r="O606" s="20"/>
      <c r="U606" s="20"/>
      <c r="V606" s="20"/>
      <c r="W606" s="20"/>
      <c r="AA606" s="20"/>
      <c r="AB606" s="20"/>
      <c r="AC606" s="20"/>
      <c r="AD606" s="20"/>
    </row>
    <row r="607">
      <c r="C607" s="15"/>
      <c r="D607" s="15"/>
      <c r="E607" s="15"/>
      <c r="F607" s="20"/>
      <c r="G607" s="20"/>
      <c r="H607" s="20"/>
      <c r="L607" s="20"/>
      <c r="M607" s="20"/>
      <c r="N607" s="20"/>
      <c r="O607" s="20"/>
      <c r="U607" s="20"/>
      <c r="V607" s="20"/>
      <c r="W607" s="20"/>
      <c r="AA607" s="20"/>
      <c r="AB607" s="20"/>
      <c r="AC607" s="20"/>
      <c r="AD607" s="20"/>
    </row>
    <row r="608">
      <c r="C608" s="15"/>
      <c r="D608" s="15"/>
      <c r="E608" s="15"/>
      <c r="F608" s="20"/>
      <c r="G608" s="20"/>
      <c r="H608" s="20"/>
      <c r="L608" s="20"/>
      <c r="M608" s="20"/>
      <c r="N608" s="20"/>
      <c r="O608" s="20"/>
      <c r="U608" s="20"/>
      <c r="V608" s="20"/>
      <c r="W608" s="20"/>
      <c r="AA608" s="20"/>
      <c r="AB608" s="20"/>
      <c r="AC608" s="20"/>
      <c r="AD608" s="20"/>
    </row>
    <row r="609">
      <c r="C609" s="15"/>
      <c r="D609" s="15"/>
      <c r="E609" s="15"/>
      <c r="F609" s="20"/>
      <c r="G609" s="20"/>
      <c r="H609" s="20"/>
      <c r="L609" s="20"/>
      <c r="M609" s="20"/>
      <c r="N609" s="20"/>
      <c r="O609" s="20"/>
      <c r="U609" s="20"/>
      <c r="V609" s="20"/>
      <c r="W609" s="20"/>
      <c r="AA609" s="20"/>
      <c r="AB609" s="20"/>
      <c r="AC609" s="20"/>
      <c r="AD609" s="20"/>
    </row>
    <row r="610">
      <c r="C610" s="15"/>
      <c r="D610" s="15"/>
      <c r="E610" s="15"/>
      <c r="F610" s="20"/>
      <c r="G610" s="20"/>
      <c r="H610" s="20"/>
      <c r="L610" s="20"/>
      <c r="M610" s="20"/>
      <c r="N610" s="20"/>
      <c r="O610" s="20"/>
      <c r="U610" s="20"/>
      <c r="V610" s="20"/>
      <c r="W610" s="20"/>
      <c r="AA610" s="20"/>
      <c r="AB610" s="20"/>
      <c r="AC610" s="20"/>
      <c r="AD610" s="20"/>
    </row>
    <row r="611">
      <c r="C611" s="15"/>
      <c r="D611" s="15"/>
      <c r="E611" s="15"/>
      <c r="F611" s="20"/>
      <c r="G611" s="20"/>
      <c r="H611" s="20"/>
      <c r="L611" s="20"/>
      <c r="M611" s="20"/>
      <c r="N611" s="20"/>
      <c r="O611" s="20"/>
      <c r="U611" s="20"/>
      <c r="V611" s="20"/>
      <c r="W611" s="20"/>
      <c r="AA611" s="20"/>
      <c r="AB611" s="20"/>
      <c r="AC611" s="20"/>
      <c r="AD611" s="20"/>
    </row>
    <row r="612">
      <c r="C612" s="15"/>
      <c r="D612" s="15"/>
      <c r="E612" s="15"/>
      <c r="F612" s="20"/>
      <c r="G612" s="20"/>
      <c r="H612" s="20"/>
      <c r="L612" s="20"/>
      <c r="M612" s="20"/>
      <c r="N612" s="20"/>
      <c r="O612" s="20"/>
      <c r="U612" s="20"/>
      <c r="V612" s="20"/>
      <c r="W612" s="20"/>
      <c r="AA612" s="20"/>
      <c r="AB612" s="20"/>
      <c r="AC612" s="20"/>
      <c r="AD612" s="20"/>
    </row>
    <row r="613">
      <c r="C613" s="15"/>
      <c r="D613" s="15"/>
      <c r="E613" s="15"/>
      <c r="F613" s="20"/>
      <c r="G613" s="20"/>
      <c r="H613" s="20"/>
      <c r="L613" s="20"/>
      <c r="M613" s="20"/>
      <c r="N613" s="20"/>
      <c r="O613" s="20"/>
      <c r="U613" s="20"/>
      <c r="V613" s="20"/>
      <c r="W613" s="20"/>
      <c r="AA613" s="20"/>
      <c r="AB613" s="20"/>
      <c r="AC613" s="20"/>
      <c r="AD613" s="20"/>
    </row>
    <row r="614">
      <c r="C614" s="15"/>
      <c r="D614" s="15"/>
      <c r="E614" s="15"/>
      <c r="F614" s="20"/>
      <c r="G614" s="20"/>
      <c r="H614" s="20"/>
      <c r="L614" s="20"/>
      <c r="M614" s="20"/>
      <c r="N614" s="20"/>
      <c r="O614" s="20"/>
      <c r="U614" s="20"/>
      <c r="V614" s="20"/>
      <c r="W614" s="20"/>
      <c r="AA614" s="20"/>
      <c r="AB614" s="20"/>
      <c r="AC614" s="20"/>
      <c r="AD614" s="20"/>
    </row>
    <row r="615">
      <c r="C615" s="15"/>
      <c r="D615" s="15"/>
      <c r="E615" s="15"/>
      <c r="F615" s="20"/>
      <c r="G615" s="20"/>
      <c r="H615" s="20"/>
      <c r="L615" s="20"/>
      <c r="M615" s="20"/>
      <c r="N615" s="20"/>
      <c r="O615" s="20"/>
      <c r="U615" s="20"/>
      <c r="V615" s="20"/>
      <c r="W615" s="20"/>
      <c r="AA615" s="20"/>
      <c r="AB615" s="20"/>
      <c r="AC615" s="20"/>
      <c r="AD615" s="20"/>
    </row>
    <row r="616">
      <c r="C616" s="15"/>
      <c r="D616" s="15"/>
      <c r="E616" s="15"/>
      <c r="F616" s="20"/>
      <c r="G616" s="20"/>
      <c r="H616" s="20"/>
      <c r="L616" s="20"/>
      <c r="M616" s="20"/>
      <c r="N616" s="20"/>
      <c r="O616" s="20"/>
      <c r="U616" s="20"/>
      <c r="V616" s="20"/>
      <c r="W616" s="20"/>
      <c r="AA616" s="20"/>
      <c r="AB616" s="20"/>
      <c r="AC616" s="20"/>
      <c r="AD616" s="20"/>
    </row>
    <row r="617">
      <c r="C617" s="15"/>
      <c r="D617" s="15"/>
      <c r="E617" s="15"/>
      <c r="F617" s="20"/>
      <c r="G617" s="20"/>
      <c r="H617" s="20"/>
      <c r="L617" s="20"/>
      <c r="M617" s="20"/>
      <c r="N617" s="20"/>
      <c r="O617" s="20"/>
      <c r="U617" s="20"/>
      <c r="V617" s="20"/>
      <c r="W617" s="20"/>
      <c r="AA617" s="20"/>
      <c r="AB617" s="20"/>
      <c r="AC617" s="20"/>
      <c r="AD617" s="20"/>
    </row>
    <row r="618">
      <c r="C618" s="15"/>
      <c r="D618" s="15"/>
      <c r="E618" s="15"/>
      <c r="F618" s="20"/>
      <c r="G618" s="20"/>
      <c r="H618" s="20"/>
      <c r="L618" s="20"/>
      <c r="M618" s="20"/>
      <c r="N618" s="20"/>
      <c r="O618" s="20"/>
      <c r="U618" s="20"/>
      <c r="V618" s="20"/>
      <c r="W618" s="20"/>
      <c r="AA618" s="20"/>
      <c r="AB618" s="20"/>
      <c r="AC618" s="20"/>
      <c r="AD618" s="20"/>
    </row>
    <row r="619">
      <c r="C619" s="15"/>
      <c r="D619" s="15"/>
      <c r="E619" s="15"/>
      <c r="F619" s="20"/>
      <c r="G619" s="20"/>
      <c r="H619" s="20"/>
      <c r="L619" s="20"/>
      <c r="M619" s="20"/>
      <c r="N619" s="20"/>
      <c r="O619" s="20"/>
      <c r="U619" s="20"/>
      <c r="V619" s="20"/>
      <c r="W619" s="20"/>
      <c r="AA619" s="20"/>
      <c r="AB619" s="20"/>
      <c r="AC619" s="20"/>
      <c r="AD619" s="20"/>
    </row>
    <row r="620">
      <c r="C620" s="15"/>
      <c r="D620" s="15"/>
      <c r="E620" s="15"/>
      <c r="F620" s="20"/>
      <c r="G620" s="20"/>
      <c r="H620" s="20"/>
      <c r="L620" s="20"/>
      <c r="M620" s="20"/>
      <c r="N620" s="20"/>
      <c r="O620" s="20"/>
      <c r="U620" s="20"/>
      <c r="V620" s="20"/>
      <c r="W620" s="20"/>
      <c r="AA620" s="20"/>
      <c r="AB620" s="20"/>
      <c r="AC620" s="20"/>
      <c r="AD620" s="20"/>
    </row>
    <row r="621">
      <c r="C621" s="15"/>
      <c r="D621" s="15"/>
      <c r="E621" s="15"/>
      <c r="F621" s="20"/>
      <c r="G621" s="20"/>
      <c r="H621" s="20"/>
      <c r="L621" s="20"/>
      <c r="M621" s="20"/>
      <c r="N621" s="20"/>
      <c r="O621" s="20"/>
      <c r="U621" s="20"/>
      <c r="V621" s="20"/>
      <c r="W621" s="20"/>
      <c r="AA621" s="20"/>
      <c r="AB621" s="20"/>
      <c r="AC621" s="20"/>
      <c r="AD621" s="20"/>
    </row>
    <row r="622">
      <c r="C622" s="15"/>
      <c r="D622" s="15"/>
      <c r="E622" s="15"/>
      <c r="F622" s="20"/>
      <c r="G622" s="20"/>
      <c r="H622" s="20"/>
      <c r="L622" s="20"/>
      <c r="M622" s="20"/>
      <c r="N622" s="20"/>
      <c r="O622" s="20"/>
      <c r="U622" s="20"/>
      <c r="V622" s="20"/>
      <c r="W622" s="20"/>
      <c r="AA622" s="20"/>
      <c r="AB622" s="20"/>
      <c r="AC622" s="20"/>
      <c r="AD622" s="20"/>
    </row>
    <row r="623">
      <c r="C623" s="15"/>
      <c r="D623" s="15"/>
      <c r="E623" s="15"/>
      <c r="F623" s="20"/>
      <c r="G623" s="20"/>
      <c r="H623" s="20"/>
      <c r="L623" s="20"/>
      <c r="M623" s="20"/>
      <c r="N623" s="20"/>
      <c r="O623" s="20"/>
      <c r="U623" s="20"/>
      <c r="V623" s="20"/>
      <c r="W623" s="20"/>
      <c r="AA623" s="20"/>
      <c r="AB623" s="20"/>
      <c r="AC623" s="20"/>
      <c r="AD623" s="20"/>
    </row>
    <row r="624">
      <c r="C624" s="15"/>
      <c r="D624" s="15"/>
      <c r="E624" s="15"/>
      <c r="F624" s="20"/>
      <c r="G624" s="20"/>
      <c r="H624" s="20"/>
      <c r="L624" s="20"/>
      <c r="M624" s="20"/>
      <c r="N624" s="20"/>
      <c r="O624" s="20"/>
      <c r="U624" s="20"/>
      <c r="V624" s="20"/>
      <c r="W624" s="20"/>
      <c r="AA624" s="20"/>
      <c r="AB624" s="20"/>
      <c r="AC624" s="20"/>
      <c r="AD624" s="20"/>
    </row>
    <row r="625">
      <c r="C625" s="15"/>
      <c r="D625" s="15"/>
      <c r="E625" s="15"/>
      <c r="F625" s="20"/>
      <c r="G625" s="20"/>
      <c r="H625" s="20"/>
      <c r="L625" s="20"/>
      <c r="M625" s="20"/>
      <c r="N625" s="20"/>
      <c r="O625" s="20"/>
      <c r="U625" s="20"/>
      <c r="V625" s="20"/>
      <c r="W625" s="20"/>
      <c r="AA625" s="20"/>
      <c r="AB625" s="20"/>
      <c r="AC625" s="20"/>
      <c r="AD625" s="20"/>
    </row>
    <row r="626">
      <c r="C626" s="15"/>
      <c r="D626" s="15"/>
      <c r="E626" s="15"/>
      <c r="F626" s="20"/>
      <c r="G626" s="20"/>
      <c r="H626" s="20"/>
      <c r="L626" s="20"/>
      <c r="M626" s="20"/>
      <c r="N626" s="20"/>
      <c r="O626" s="20"/>
      <c r="U626" s="20"/>
      <c r="V626" s="20"/>
      <c r="W626" s="20"/>
      <c r="AA626" s="20"/>
      <c r="AB626" s="20"/>
      <c r="AC626" s="20"/>
      <c r="AD626" s="20"/>
    </row>
    <row r="627">
      <c r="C627" s="15"/>
      <c r="D627" s="15"/>
      <c r="E627" s="15"/>
      <c r="F627" s="20"/>
      <c r="G627" s="20"/>
      <c r="H627" s="20"/>
      <c r="L627" s="20"/>
      <c r="M627" s="20"/>
      <c r="N627" s="20"/>
      <c r="O627" s="20"/>
      <c r="U627" s="20"/>
      <c r="V627" s="20"/>
      <c r="W627" s="20"/>
      <c r="AA627" s="20"/>
      <c r="AB627" s="20"/>
      <c r="AC627" s="20"/>
      <c r="AD627" s="20"/>
    </row>
    <row r="628">
      <c r="C628" s="15"/>
      <c r="D628" s="15"/>
      <c r="E628" s="15"/>
      <c r="F628" s="20"/>
      <c r="G628" s="20"/>
      <c r="H628" s="20"/>
      <c r="L628" s="20"/>
      <c r="M628" s="20"/>
      <c r="N628" s="20"/>
      <c r="O628" s="20"/>
      <c r="U628" s="20"/>
      <c r="V628" s="20"/>
      <c r="W628" s="20"/>
      <c r="AA628" s="20"/>
      <c r="AB628" s="20"/>
      <c r="AC628" s="20"/>
      <c r="AD628" s="20"/>
    </row>
    <row r="629">
      <c r="C629" s="15"/>
      <c r="D629" s="15"/>
      <c r="E629" s="15"/>
      <c r="F629" s="20"/>
      <c r="G629" s="20"/>
      <c r="H629" s="20"/>
      <c r="L629" s="20"/>
      <c r="M629" s="20"/>
      <c r="N629" s="20"/>
      <c r="O629" s="20"/>
      <c r="U629" s="20"/>
      <c r="V629" s="20"/>
      <c r="W629" s="20"/>
      <c r="AA629" s="20"/>
      <c r="AB629" s="20"/>
      <c r="AC629" s="20"/>
      <c r="AD629" s="20"/>
    </row>
    <row r="630">
      <c r="C630" s="15"/>
      <c r="D630" s="15"/>
      <c r="E630" s="15"/>
      <c r="F630" s="20"/>
      <c r="G630" s="20"/>
      <c r="H630" s="20"/>
      <c r="L630" s="20"/>
      <c r="M630" s="20"/>
      <c r="N630" s="20"/>
      <c r="O630" s="20"/>
      <c r="U630" s="20"/>
      <c r="V630" s="20"/>
      <c r="W630" s="20"/>
      <c r="AA630" s="20"/>
      <c r="AB630" s="20"/>
      <c r="AC630" s="20"/>
      <c r="AD630" s="20"/>
    </row>
    <row r="631">
      <c r="C631" s="15"/>
      <c r="D631" s="15"/>
      <c r="E631" s="15"/>
      <c r="F631" s="20"/>
      <c r="G631" s="20"/>
      <c r="H631" s="20"/>
      <c r="L631" s="20"/>
      <c r="M631" s="20"/>
      <c r="N631" s="20"/>
      <c r="O631" s="20"/>
      <c r="U631" s="20"/>
      <c r="V631" s="20"/>
      <c r="W631" s="20"/>
      <c r="AA631" s="20"/>
      <c r="AB631" s="20"/>
      <c r="AC631" s="20"/>
      <c r="AD631" s="20"/>
    </row>
    <row r="632">
      <c r="C632" s="15"/>
      <c r="D632" s="15"/>
      <c r="E632" s="15"/>
      <c r="F632" s="20"/>
      <c r="G632" s="20"/>
      <c r="H632" s="20"/>
      <c r="L632" s="20"/>
      <c r="M632" s="20"/>
      <c r="N632" s="20"/>
      <c r="O632" s="20"/>
      <c r="U632" s="20"/>
      <c r="V632" s="20"/>
      <c r="W632" s="20"/>
      <c r="AA632" s="20"/>
      <c r="AB632" s="20"/>
      <c r="AC632" s="20"/>
      <c r="AD632" s="20"/>
    </row>
    <row r="633">
      <c r="C633" s="15"/>
      <c r="D633" s="15"/>
      <c r="E633" s="15"/>
      <c r="F633" s="20"/>
      <c r="G633" s="20"/>
      <c r="H633" s="20"/>
      <c r="L633" s="20"/>
      <c r="M633" s="20"/>
      <c r="N633" s="20"/>
      <c r="O633" s="20"/>
      <c r="U633" s="20"/>
      <c r="V633" s="20"/>
      <c r="W633" s="20"/>
      <c r="AA633" s="20"/>
      <c r="AB633" s="20"/>
      <c r="AC633" s="20"/>
      <c r="AD633" s="20"/>
    </row>
    <row r="634">
      <c r="C634" s="15"/>
      <c r="D634" s="15"/>
      <c r="E634" s="15"/>
      <c r="F634" s="20"/>
      <c r="G634" s="20"/>
      <c r="H634" s="20"/>
      <c r="L634" s="20"/>
      <c r="M634" s="20"/>
      <c r="N634" s="20"/>
      <c r="O634" s="20"/>
      <c r="U634" s="20"/>
      <c r="V634" s="20"/>
      <c r="W634" s="20"/>
      <c r="AA634" s="20"/>
      <c r="AB634" s="20"/>
      <c r="AC634" s="20"/>
      <c r="AD634" s="20"/>
    </row>
    <row r="635">
      <c r="C635" s="15"/>
      <c r="D635" s="15"/>
      <c r="E635" s="15"/>
      <c r="F635" s="20"/>
      <c r="G635" s="20"/>
      <c r="H635" s="20"/>
      <c r="L635" s="20"/>
      <c r="M635" s="20"/>
      <c r="N635" s="20"/>
      <c r="O635" s="20"/>
      <c r="U635" s="20"/>
      <c r="V635" s="20"/>
      <c r="W635" s="20"/>
      <c r="AA635" s="20"/>
      <c r="AB635" s="20"/>
      <c r="AC635" s="20"/>
      <c r="AD635" s="20"/>
    </row>
    <row r="636">
      <c r="C636" s="15"/>
      <c r="D636" s="15"/>
      <c r="E636" s="15"/>
      <c r="F636" s="20"/>
      <c r="G636" s="20"/>
      <c r="H636" s="20"/>
      <c r="L636" s="20"/>
      <c r="M636" s="20"/>
      <c r="N636" s="20"/>
      <c r="O636" s="20"/>
      <c r="U636" s="20"/>
      <c r="V636" s="20"/>
      <c r="W636" s="20"/>
      <c r="AA636" s="20"/>
      <c r="AB636" s="20"/>
      <c r="AC636" s="20"/>
      <c r="AD636" s="20"/>
    </row>
    <row r="637">
      <c r="C637" s="15"/>
      <c r="D637" s="15"/>
      <c r="E637" s="15"/>
      <c r="F637" s="20"/>
      <c r="G637" s="20"/>
      <c r="H637" s="20"/>
      <c r="L637" s="20"/>
      <c r="M637" s="20"/>
      <c r="N637" s="20"/>
      <c r="O637" s="20"/>
      <c r="U637" s="20"/>
      <c r="V637" s="20"/>
      <c r="W637" s="20"/>
      <c r="AA637" s="20"/>
      <c r="AB637" s="20"/>
      <c r="AC637" s="20"/>
      <c r="AD637" s="20"/>
    </row>
    <row r="638">
      <c r="C638" s="15"/>
      <c r="D638" s="15"/>
      <c r="E638" s="15"/>
      <c r="F638" s="20"/>
      <c r="G638" s="20"/>
      <c r="H638" s="20"/>
      <c r="L638" s="20"/>
      <c r="M638" s="20"/>
      <c r="N638" s="20"/>
      <c r="O638" s="20"/>
      <c r="U638" s="20"/>
      <c r="V638" s="20"/>
      <c r="W638" s="20"/>
      <c r="AA638" s="20"/>
      <c r="AB638" s="20"/>
      <c r="AC638" s="20"/>
      <c r="AD638" s="20"/>
    </row>
    <row r="639">
      <c r="C639" s="15"/>
      <c r="D639" s="15"/>
      <c r="E639" s="15"/>
      <c r="F639" s="20"/>
      <c r="G639" s="20"/>
      <c r="H639" s="20"/>
      <c r="L639" s="20"/>
      <c r="M639" s="20"/>
      <c r="N639" s="20"/>
      <c r="O639" s="20"/>
      <c r="U639" s="20"/>
      <c r="V639" s="20"/>
      <c r="W639" s="20"/>
      <c r="AA639" s="20"/>
      <c r="AB639" s="20"/>
      <c r="AC639" s="20"/>
      <c r="AD639" s="20"/>
    </row>
    <row r="640">
      <c r="C640" s="15"/>
      <c r="D640" s="15"/>
      <c r="E640" s="15"/>
      <c r="F640" s="20"/>
      <c r="G640" s="20"/>
      <c r="H640" s="20"/>
      <c r="L640" s="20"/>
      <c r="M640" s="20"/>
      <c r="N640" s="20"/>
      <c r="O640" s="20"/>
      <c r="U640" s="20"/>
      <c r="V640" s="20"/>
      <c r="W640" s="20"/>
      <c r="AA640" s="20"/>
      <c r="AB640" s="20"/>
      <c r="AC640" s="20"/>
      <c r="AD640" s="20"/>
    </row>
    <row r="641">
      <c r="C641" s="15"/>
      <c r="D641" s="15"/>
      <c r="E641" s="15"/>
      <c r="F641" s="20"/>
      <c r="G641" s="20"/>
      <c r="H641" s="20"/>
      <c r="L641" s="20"/>
      <c r="M641" s="20"/>
      <c r="N641" s="20"/>
      <c r="O641" s="20"/>
      <c r="U641" s="20"/>
      <c r="V641" s="20"/>
      <c r="W641" s="20"/>
      <c r="AA641" s="20"/>
      <c r="AB641" s="20"/>
      <c r="AC641" s="20"/>
      <c r="AD641" s="20"/>
    </row>
    <row r="642">
      <c r="C642" s="15"/>
      <c r="D642" s="15"/>
      <c r="E642" s="15"/>
      <c r="F642" s="20"/>
      <c r="G642" s="20"/>
      <c r="H642" s="20"/>
      <c r="L642" s="20"/>
      <c r="M642" s="20"/>
      <c r="N642" s="20"/>
      <c r="O642" s="20"/>
      <c r="U642" s="20"/>
      <c r="V642" s="20"/>
      <c r="W642" s="20"/>
      <c r="AA642" s="20"/>
      <c r="AB642" s="20"/>
      <c r="AC642" s="20"/>
      <c r="AD642" s="20"/>
    </row>
    <row r="643">
      <c r="C643" s="15"/>
      <c r="D643" s="15"/>
      <c r="E643" s="15"/>
      <c r="F643" s="20"/>
      <c r="G643" s="20"/>
      <c r="H643" s="20"/>
      <c r="L643" s="20"/>
      <c r="M643" s="20"/>
      <c r="N643" s="20"/>
      <c r="O643" s="20"/>
      <c r="U643" s="20"/>
      <c r="V643" s="20"/>
      <c r="W643" s="20"/>
      <c r="AA643" s="20"/>
      <c r="AB643" s="20"/>
      <c r="AC643" s="20"/>
      <c r="AD643" s="20"/>
    </row>
    <row r="644">
      <c r="C644" s="15"/>
      <c r="D644" s="15"/>
      <c r="E644" s="15"/>
      <c r="F644" s="20"/>
      <c r="G644" s="20"/>
      <c r="H644" s="20"/>
      <c r="L644" s="20"/>
      <c r="M644" s="20"/>
      <c r="N644" s="20"/>
      <c r="O644" s="20"/>
      <c r="U644" s="20"/>
      <c r="V644" s="20"/>
      <c r="W644" s="20"/>
      <c r="AA644" s="20"/>
      <c r="AB644" s="20"/>
      <c r="AC644" s="20"/>
      <c r="AD644" s="20"/>
    </row>
    <row r="645">
      <c r="C645" s="15"/>
      <c r="D645" s="15"/>
      <c r="E645" s="15"/>
      <c r="F645" s="20"/>
      <c r="G645" s="20"/>
      <c r="H645" s="20"/>
      <c r="L645" s="20"/>
      <c r="M645" s="20"/>
      <c r="N645" s="20"/>
      <c r="O645" s="20"/>
      <c r="U645" s="20"/>
      <c r="V645" s="20"/>
      <c r="W645" s="20"/>
      <c r="AA645" s="20"/>
      <c r="AB645" s="20"/>
      <c r="AC645" s="20"/>
      <c r="AD645" s="20"/>
    </row>
    <row r="646">
      <c r="C646" s="15"/>
      <c r="D646" s="15"/>
      <c r="E646" s="15"/>
      <c r="F646" s="20"/>
      <c r="G646" s="20"/>
      <c r="H646" s="20"/>
      <c r="L646" s="20"/>
      <c r="M646" s="20"/>
      <c r="N646" s="20"/>
      <c r="O646" s="20"/>
      <c r="U646" s="20"/>
      <c r="V646" s="20"/>
      <c r="W646" s="20"/>
      <c r="AA646" s="20"/>
      <c r="AB646" s="20"/>
      <c r="AC646" s="20"/>
      <c r="AD646" s="20"/>
    </row>
    <row r="647">
      <c r="C647" s="15"/>
      <c r="D647" s="15"/>
      <c r="E647" s="15"/>
      <c r="F647" s="20"/>
      <c r="G647" s="20"/>
      <c r="H647" s="20"/>
      <c r="L647" s="20"/>
      <c r="M647" s="20"/>
      <c r="N647" s="20"/>
      <c r="O647" s="20"/>
      <c r="U647" s="20"/>
      <c r="V647" s="20"/>
      <c r="W647" s="20"/>
      <c r="AA647" s="20"/>
      <c r="AB647" s="20"/>
      <c r="AC647" s="20"/>
      <c r="AD647" s="20"/>
    </row>
    <row r="648">
      <c r="C648" s="15"/>
      <c r="D648" s="15"/>
      <c r="E648" s="15"/>
      <c r="F648" s="20"/>
      <c r="G648" s="20"/>
      <c r="H648" s="20"/>
      <c r="L648" s="20"/>
      <c r="M648" s="20"/>
      <c r="N648" s="20"/>
      <c r="O648" s="20"/>
      <c r="U648" s="20"/>
      <c r="V648" s="20"/>
      <c r="W648" s="20"/>
      <c r="AA648" s="20"/>
      <c r="AB648" s="20"/>
      <c r="AC648" s="20"/>
      <c r="AD648" s="20"/>
    </row>
    <row r="649">
      <c r="C649" s="15"/>
      <c r="D649" s="15"/>
      <c r="E649" s="15"/>
      <c r="F649" s="20"/>
      <c r="G649" s="20"/>
      <c r="H649" s="20"/>
      <c r="L649" s="20"/>
      <c r="M649" s="20"/>
      <c r="N649" s="20"/>
      <c r="O649" s="20"/>
      <c r="U649" s="20"/>
      <c r="V649" s="20"/>
      <c r="W649" s="20"/>
      <c r="AA649" s="20"/>
      <c r="AB649" s="20"/>
      <c r="AC649" s="20"/>
      <c r="AD649" s="20"/>
    </row>
    <row r="650">
      <c r="C650" s="15"/>
      <c r="D650" s="15"/>
      <c r="E650" s="15"/>
      <c r="F650" s="20"/>
      <c r="G650" s="20"/>
      <c r="H650" s="20"/>
      <c r="L650" s="20"/>
      <c r="M650" s="20"/>
      <c r="N650" s="20"/>
      <c r="O650" s="20"/>
      <c r="U650" s="20"/>
      <c r="V650" s="20"/>
      <c r="W650" s="20"/>
      <c r="AA650" s="20"/>
      <c r="AB650" s="20"/>
      <c r="AC650" s="20"/>
      <c r="AD650" s="20"/>
    </row>
    <row r="651">
      <c r="C651" s="15"/>
      <c r="D651" s="15"/>
      <c r="E651" s="15"/>
      <c r="F651" s="20"/>
      <c r="G651" s="20"/>
      <c r="H651" s="20"/>
      <c r="L651" s="20"/>
      <c r="M651" s="20"/>
      <c r="N651" s="20"/>
      <c r="O651" s="20"/>
      <c r="U651" s="20"/>
      <c r="V651" s="20"/>
      <c r="W651" s="20"/>
      <c r="AA651" s="20"/>
      <c r="AB651" s="20"/>
      <c r="AC651" s="20"/>
      <c r="AD651" s="20"/>
    </row>
    <row r="652">
      <c r="C652" s="15"/>
      <c r="D652" s="15"/>
      <c r="E652" s="15"/>
      <c r="F652" s="20"/>
      <c r="G652" s="20"/>
      <c r="H652" s="20"/>
      <c r="L652" s="20"/>
      <c r="M652" s="20"/>
      <c r="N652" s="20"/>
      <c r="O652" s="20"/>
      <c r="U652" s="20"/>
      <c r="V652" s="20"/>
      <c r="W652" s="20"/>
      <c r="AA652" s="20"/>
      <c r="AB652" s="20"/>
      <c r="AC652" s="20"/>
      <c r="AD652" s="20"/>
    </row>
    <row r="653">
      <c r="C653" s="15"/>
      <c r="D653" s="15"/>
      <c r="E653" s="15"/>
      <c r="F653" s="20"/>
      <c r="G653" s="20"/>
      <c r="H653" s="20"/>
      <c r="L653" s="20"/>
      <c r="M653" s="20"/>
      <c r="N653" s="20"/>
      <c r="O653" s="20"/>
      <c r="U653" s="20"/>
      <c r="V653" s="20"/>
      <c r="W653" s="20"/>
      <c r="AA653" s="20"/>
      <c r="AB653" s="20"/>
      <c r="AC653" s="20"/>
      <c r="AD653" s="20"/>
    </row>
    <row r="654">
      <c r="C654" s="15"/>
      <c r="D654" s="15"/>
      <c r="E654" s="15"/>
      <c r="F654" s="20"/>
      <c r="G654" s="20"/>
      <c r="H654" s="20"/>
      <c r="L654" s="20"/>
      <c r="M654" s="20"/>
      <c r="N654" s="20"/>
      <c r="O654" s="20"/>
      <c r="U654" s="20"/>
      <c r="V654" s="20"/>
      <c r="W654" s="20"/>
      <c r="AA654" s="20"/>
      <c r="AB654" s="20"/>
      <c r="AC654" s="20"/>
      <c r="AD654" s="20"/>
    </row>
    <row r="655">
      <c r="C655" s="15"/>
      <c r="D655" s="15"/>
      <c r="E655" s="15"/>
      <c r="F655" s="20"/>
      <c r="G655" s="20"/>
      <c r="H655" s="20"/>
      <c r="L655" s="20"/>
      <c r="M655" s="20"/>
      <c r="N655" s="20"/>
      <c r="O655" s="20"/>
      <c r="U655" s="20"/>
      <c r="V655" s="20"/>
      <c r="W655" s="20"/>
      <c r="AA655" s="20"/>
      <c r="AB655" s="20"/>
      <c r="AC655" s="20"/>
      <c r="AD655" s="20"/>
    </row>
    <row r="656">
      <c r="C656" s="15"/>
      <c r="D656" s="15"/>
      <c r="E656" s="15"/>
      <c r="F656" s="20"/>
      <c r="G656" s="20"/>
      <c r="H656" s="20"/>
      <c r="L656" s="20"/>
      <c r="M656" s="20"/>
      <c r="N656" s="20"/>
      <c r="O656" s="20"/>
      <c r="U656" s="20"/>
      <c r="V656" s="20"/>
      <c r="W656" s="20"/>
      <c r="AA656" s="20"/>
      <c r="AB656" s="20"/>
      <c r="AC656" s="20"/>
      <c r="AD656" s="20"/>
    </row>
    <row r="657">
      <c r="C657" s="15"/>
      <c r="D657" s="15"/>
      <c r="E657" s="15"/>
      <c r="F657" s="20"/>
      <c r="G657" s="20"/>
      <c r="H657" s="20"/>
      <c r="L657" s="20"/>
      <c r="M657" s="20"/>
      <c r="N657" s="20"/>
      <c r="O657" s="20"/>
      <c r="U657" s="20"/>
      <c r="V657" s="20"/>
      <c r="W657" s="20"/>
      <c r="AA657" s="20"/>
      <c r="AB657" s="20"/>
      <c r="AC657" s="20"/>
      <c r="AD657" s="20"/>
    </row>
    <row r="658">
      <c r="C658" s="15"/>
      <c r="D658" s="15"/>
      <c r="E658" s="15"/>
      <c r="F658" s="20"/>
      <c r="G658" s="20"/>
      <c r="H658" s="20"/>
      <c r="L658" s="20"/>
      <c r="M658" s="20"/>
      <c r="N658" s="20"/>
      <c r="O658" s="20"/>
      <c r="U658" s="20"/>
      <c r="V658" s="20"/>
      <c r="W658" s="20"/>
      <c r="AA658" s="20"/>
      <c r="AB658" s="20"/>
      <c r="AC658" s="20"/>
      <c r="AD658" s="20"/>
    </row>
    <row r="659">
      <c r="C659" s="15"/>
      <c r="D659" s="15"/>
      <c r="E659" s="15"/>
      <c r="F659" s="20"/>
      <c r="G659" s="20"/>
      <c r="H659" s="20"/>
      <c r="L659" s="20"/>
      <c r="M659" s="20"/>
      <c r="N659" s="20"/>
      <c r="O659" s="20"/>
      <c r="U659" s="20"/>
      <c r="V659" s="20"/>
      <c r="W659" s="20"/>
      <c r="AA659" s="20"/>
      <c r="AB659" s="20"/>
      <c r="AC659" s="20"/>
      <c r="AD659" s="20"/>
    </row>
    <row r="660">
      <c r="C660" s="15"/>
      <c r="D660" s="15"/>
      <c r="E660" s="15"/>
      <c r="F660" s="20"/>
      <c r="G660" s="20"/>
      <c r="H660" s="20"/>
      <c r="L660" s="20"/>
      <c r="M660" s="20"/>
      <c r="N660" s="20"/>
      <c r="O660" s="20"/>
      <c r="U660" s="20"/>
      <c r="V660" s="20"/>
      <c r="W660" s="20"/>
      <c r="AA660" s="20"/>
      <c r="AB660" s="20"/>
      <c r="AC660" s="20"/>
      <c r="AD660" s="20"/>
    </row>
    <row r="661">
      <c r="C661" s="15"/>
      <c r="D661" s="15"/>
      <c r="E661" s="15"/>
      <c r="F661" s="20"/>
      <c r="G661" s="20"/>
      <c r="H661" s="20"/>
      <c r="L661" s="20"/>
      <c r="M661" s="20"/>
      <c r="N661" s="20"/>
      <c r="O661" s="20"/>
      <c r="U661" s="20"/>
      <c r="V661" s="20"/>
      <c r="W661" s="20"/>
      <c r="AA661" s="20"/>
      <c r="AB661" s="20"/>
      <c r="AC661" s="20"/>
      <c r="AD661" s="20"/>
    </row>
    <row r="662">
      <c r="C662" s="15"/>
      <c r="D662" s="15"/>
      <c r="E662" s="15"/>
      <c r="F662" s="20"/>
      <c r="G662" s="20"/>
      <c r="H662" s="20"/>
      <c r="L662" s="20"/>
      <c r="M662" s="20"/>
      <c r="N662" s="20"/>
      <c r="O662" s="20"/>
      <c r="U662" s="20"/>
      <c r="V662" s="20"/>
      <c r="W662" s="20"/>
      <c r="AA662" s="20"/>
      <c r="AB662" s="20"/>
      <c r="AC662" s="20"/>
      <c r="AD662" s="20"/>
    </row>
    <row r="663">
      <c r="C663" s="15"/>
      <c r="D663" s="15"/>
      <c r="E663" s="15"/>
      <c r="F663" s="20"/>
      <c r="G663" s="20"/>
      <c r="H663" s="20"/>
      <c r="L663" s="20"/>
      <c r="M663" s="20"/>
      <c r="N663" s="20"/>
      <c r="O663" s="20"/>
      <c r="U663" s="20"/>
      <c r="V663" s="20"/>
      <c r="W663" s="20"/>
      <c r="AA663" s="20"/>
      <c r="AB663" s="20"/>
      <c r="AC663" s="20"/>
      <c r="AD663" s="20"/>
    </row>
    <row r="664">
      <c r="C664" s="15"/>
      <c r="D664" s="15"/>
      <c r="E664" s="15"/>
      <c r="F664" s="20"/>
      <c r="G664" s="20"/>
      <c r="H664" s="20"/>
      <c r="L664" s="20"/>
      <c r="M664" s="20"/>
      <c r="N664" s="20"/>
      <c r="O664" s="20"/>
      <c r="U664" s="20"/>
      <c r="V664" s="20"/>
      <c r="W664" s="20"/>
      <c r="AA664" s="20"/>
      <c r="AB664" s="20"/>
      <c r="AC664" s="20"/>
      <c r="AD664" s="20"/>
    </row>
    <row r="665">
      <c r="C665" s="15"/>
      <c r="D665" s="15"/>
      <c r="E665" s="15"/>
      <c r="F665" s="20"/>
      <c r="G665" s="20"/>
      <c r="H665" s="20"/>
      <c r="L665" s="20"/>
      <c r="M665" s="20"/>
      <c r="N665" s="20"/>
      <c r="O665" s="20"/>
      <c r="U665" s="20"/>
      <c r="V665" s="20"/>
      <c r="W665" s="20"/>
      <c r="AA665" s="20"/>
      <c r="AB665" s="20"/>
      <c r="AC665" s="20"/>
      <c r="AD665" s="20"/>
    </row>
    <row r="666">
      <c r="C666" s="15"/>
      <c r="D666" s="15"/>
      <c r="E666" s="15"/>
      <c r="F666" s="20"/>
      <c r="G666" s="20"/>
      <c r="H666" s="20"/>
      <c r="L666" s="20"/>
      <c r="M666" s="20"/>
      <c r="N666" s="20"/>
      <c r="O666" s="20"/>
      <c r="U666" s="20"/>
      <c r="V666" s="20"/>
      <c r="W666" s="20"/>
      <c r="AA666" s="20"/>
      <c r="AB666" s="20"/>
      <c r="AC666" s="20"/>
      <c r="AD666" s="20"/>
    </row>
    <row r="667">
      <c r="C667" s="15"/>
      <c r="D667" s="15"/>
      <c r="E667" s="15"/>
      <c r="F667" s="20"/>
      <c r="G667" s="20"/>
      <c r="H667" s="20"/>
      <c r="L667" s="20"/>
      <c r="M667" s="20"/>
      <c r="N667" s="20"/>
      <c r="O667" s="20"/>
      <c r="U667" s="20"/>
      <c r="V667" s="20"/>
      <c r="W667" s="20"/>
      <c r="AA667" s="20"/>
      <c r="AB667" s="20"/>
      <c r="AC667" s="20"/>
      <c r="AD667" s="20"/>
    </row>
    <row r="668">
      <c r="C668" s="15"/>
      <c r="D668" s="15"/>
      <c r="E668" s="15"/>
      <c r="F668" s="20"/>
      <c r="G668" s="20"/>
      <c r="H668" s="20"/>
      <c r="L668" s="20"/>
      <c r="M668" s="20"/>
      <c r="N668" s="20"/>
      <c r="O668" s="20"/>
      <c r="U668" s="20"/>
      <c r="V668" s="20"/>
      <c r="W668" s="20"/>
      <c r="AA668" s="20"/>
      <c r="AB668" s="20"/>
      <c r="AC668" s="20"/>
      <c r="AD668" s="20"/>
    </row>
    <row r="669">
      <c r="C669" s="15"/>
      <c r="D669" s="15"/>
      <c r="E669" s="15"/>
      <c r="F669" s="20"/>
      <c r="G669" s="20"/>
      <c r="H669" s="20"/>
      <c r="L669" s="20"/>
      <c r="M669" s="20"/>
      <c r="N669" s="20"/>
      <c r="O669" s="20"/>
      <c r="U669" s="20"/>
      <c r="V669" s="20"/>
      <c r="W669" s="20"/>
      <c r="AA669" s="20"/>
      <c r="AB669" s="20"/>
      <c r="AC669" s="20"/>
      <c r="AD669" s="20"/>
    </row>
    <row r="670">
      <c r="C670" s="15"/>
      <c r="D670" s="15"/>
      <c r="E670" s="15"/>
      <c r="F670" s="20"/>
      <c r="G670" s="20"/>
      <c r="H670" s="20"/>
      <c r="L670" s="20"/>
      <c r="M670" s="20"/>
      <c r="N670" s="20"/>
      <c r="O670" s="20"/>
      <c r="U670" s="20"/>
      <c r="V670" s="20"/>
      <c r="W670" s="20"/>
      <c r="AA670" s="20"/>
      <c r="AB670" s="20"/>
      <c r="AC670" s="20"/>
      <c r="AD670" s="20"/>
    </row>
    <row r="671">
      <c r="C671" s="15"/>
      <c r="D671" s="15"/>
      <c r="E671" s="15"/>
      <c r="F671" s="20"/>
      <c r="G671" s="20"/>
      <c r="H671" s="20"/>
      <c r="L671" s="20"/>
      <c r="M671" s="20"/>
      <c r="N671" s="20"/>
      <c r="O671" s="20"/>
      <c r="U671" s="20"/>
      <c r="V671" s="20"/>
      <c r="W671" s="20"/>
      <c r="AA671" s="20"/>
      <c r="AB671" s="20"/>
      <c r="AC671" s="20"/>
      <c r="AD671" s="20"/>
    </row>
    <row r="672">
      <c r="C672" s="15"/>
      <c r="D672" s="15"/>
      <c r="E672" s="15"/>
      <c r="F672" s="20"/>
      <c r="G672" s="20"/>
      <c r="H672" s="20"/>
      <c r="L672" s="20"/>
      <c r="M672" s="20"/>
      <c r="N672" s="20"/>
      <c r="O672" s="20"/>
      <c r="U672" s="20"/>
      <c r="V672" s="20"/>
      <c r="W672" s="20"/>
      <c r="AA672" s="20"/>
      <c r="AB672" s="20"/>
      <c r="AC672" s="20"/>
      <c r="AD672" s="20"/>
    </row>
    <row r="673">
      <c r="C673" s="15"/>
      <c r="D673" s="15"/>
      <c r="E673" s="15"/>
      <c r="F673" s="20"/>
      <c r="G673" s="20"/>
      <c r="H673" s="20"/>
      <c r="L673" s="20"/>
      <c r="M673" s="20"/>
      <c r="N673" s="20"/>
      <c r="O673" s="20"/>
      <c r="U673" s="20"/>
      <c r="V673" s="20"/>
      <c r="W673" s="20"/>
      <c r="AA673" s="20"/>
      <c r="AB673" s="20"/>
      <c r="AC673" s="20"/>
      <c r="AD673" s="20"/>
    </row>
    <row r="674">
      <c r="C674" s="15"/>
      <c r="D674" s="15"/>
      <c r="E674" s="15"/>
      <c r="F674" s="20"/>
      <c r="G674" s="20"/>
      <c r="H674" s="20"/>
      <c r="L674" s="20"/>
      <c r="M674" s="20"/>
      <c r="N674" s="20"/>
      <c r="O674" s="20"/>
      <c r="U674" s="20"/>
      <c r="V674" s="20"/>
      <c r="W674" s="20"/>
      <c r="AA674" s="20"/>
      <c r="AB674" s="20"/>
      <c r="AC674" s="20"/>
      <c r="AD674" s="20"/>
    </row>
    <row r="675">
      <c r="C675" s="15"/>
      <c r="D675" s="15"/>
      <c r="E675" s="15"/>
      <c r="F675" s="20"/>
      <c r="G675" s="20"/>
      <c r="H675" s="20"/>
      <c r="L675" s="20"/>
      <c r="M675" s="20"/>
      <c r="N675" s="20"/>
      <c r="O675" s="20"/>
      <c r="U675" s="20"/>
      <c r="V675" s="20"/>
      <c r="W675" s="20"/>
      <c r="AA675" s="20"/>
      <c r="AB675" s="20"/>
      <c r="AC675" s="20"/>
      <c r="AD675" s="20"/>
    </row>
    <row r="676">
      <c r="C676" s="15"/>
      <c r="D676" s="15"/>
      <c r="E676" s="15"/>
      <c r="F676" s="20"/>
      <c r="G676" s="20"/>
      <c r="H676" s="20"/>
      <c r="L676" s="20"/>
      <c r="M676" s="20"/>
      <c r="N676" s="20"/>
      <c r="O676" s="20"/>
      <c r="U676" s="20"/>
      <c r="V676" s="20"/>
      <c r="W676" s="20"/>
      <c r="AA676" s="20"/>
      <c r="AB676" s="20"/>
      <c r="AC676" s="20"/>
      <c r="AD676" s="20"/>
    </row>
    <row r="677">
      <c r="C677" s="15"/>
      <c r="D677" s="15"/>
      <c r="E677" s="15"/>
      <c r="F677" s="20"/>
      <c r="G677" s="20"/>
      <c r="H677" s="20"/>
      <c r="L677" s="20"/>
      <c r="M677" s="20"/>
      <c r="N677" s="20"/>
      <c r="O677" s="20"/>
      <c r="U677" s="20"/>
      <c r="V677" s="20"/>
      <c r="W677" s="20"/>
      <c r="AA677" s="20"/>
      <c r="AB677" s="20"/>
      <c r="AC677" s="20"/>
      <c r="AD677" s="20"/>
    </row>
    <row r="678">
      <c r="C678" s="15"/>
      <c r="D678" s="15"/>
      <c r="E678" s="15"/>
      <c r="F678" s="20"/>
      <c r="G678" s="20"/>
      <c r="H678" s="20"/>
      <c r="L678" s="20"/>
      <c r="M678" s="20"/>
      <c r="N678" s="20"/>
      <c r="O678" s="20"/>
      <c r="U678" s="20"/>
      <c r="V678" s="20"/>
      <c r="W678" s="20"/>
      <c r="AA678" s="20"/>
      <c r="AB678" s="20"/>
      <c r="AC678" s="20"/>
      <c r="AD678" s="20"/>
    </row>
    <row r="679">
      <c r="C679" s="15"/>
      <c r="D679" s="15"/>
      <c r="E679" s="15"/>
      <c r="F679" s="20"/>
      <c r="G679" s="20"/>
      <c r="H679" s="20"/>
      <c r="L679" s="20"/>
      <c r="M679" s="20"/>
      <c r="N679" s="20"/>
      <c r="O679" s="20"/>
      <c r="U679" s="20"/>
      <c r="V679" s="20"/>
      <c r="W679" s="20"/>
      <c r="AA679" s="20"/>
      <c r="AB679" s="20"/>
      <c r="AC679" s="20"/>
      <c r="AD679" s="20"/>
    </row>
    <row r="680">
      <c r="C680" s="15"/>
      <c r="D680" s="15"/>
      <c r="E680" s="15"/>
      <c r="F680" s="20"/>
      <c r="G680" s="20"/>
      <c r="H680" s="20"/>
      <c r="L680" s="20"/>
      <c r="M680" s="20"/>
      <c r="N680" s="20"/>
      <c r="O680" s="20"/>
      <c r="U680" s="20"/>
      <c r="V680" s="20"/>
      <c r="W680" s="20"/>
      <c r="AA680" s="20"/>
      <c r="AB680" s="20"/>
      <c r="AC680" s="20"/>
      <c r="AD680" s="20"/>
    </row>
    <row r="681">
      <c r="C681" s="15"/>
      <c r="D681" s="15"/>
      <c r="E681" s="15"/>
      <c r="F681" s="20"/>
      <c r="G681" s="20"/>
      <c r="H681" s="20"/>
      <c r="L681" s="20"/>
      <c r="M681" s="20"/>
      <c r="N681" s="20"/>
      <c r="O681" s="20"/>
      <c r="U681" s="20"/>
      <c r="V681" s="20"/>
      <c r="W681" s="20"/>
      <c r="AA681" s="20"/>
      <c r="AB681" s="20"/>
      <c r="AC681" s="20"/>
      <c r="AD681" s="20"/>
    </row>
    <row r="682">
      <c r="C682" s="15"/>
      <c r="D682" s="15"/>
      <c r="E682" s="15"/>
      <c r="F682" s="20"/>
      <c r="G682" s="20"/>
      <c r="H682" s="20"/>
      <c r="L682" s="20"/>
      <c r="M682" s="20"/>
      <c r="N682" s="20"/>
      <c r="O682" s="20"/>
      <c r="U682" s="20"/>
      <c r="V682" s="20"/>
      <c r="W682" s="20"/>
      <c r="AA682" s="20"/>
      <c r="AB682" s="20"/>
      <c r="AC682" s="20"/>
      <c r="AD682" s="20"/>
    </row>
    <row r="683">
      <c r="C683" s="15"/>
      <c r="D683" s="15"/>
      <c r="E683" s="15"/>
      <c r="F683" s="20"/>
      <c r="G683" s="20"/>
      <c r="H683" s="20"/>
      <c r="L683" s="20"/>
      <c r="M683" s="20"/>
      <c r="N683" s="20"/>
      <c r="O683" s="20"/>
      <c r="U683" s="20"/>
      <c r="V683" s="20"/>
      <c r="W683" s="20"/>
      <c r="AA683" s="20"/>
      <c r="AB683" s="20"/>
      <c r="AC683" s="20"/>
      <c r="AD683" s="20"/>
    </row>
    <row r="684">
      <c r="C684" s="15"/>
      <c r="D684" s="15"/>
      <c r="E684" s="15"/>
      <c r="F684" s="20"/>
      <c r="G684" s="20"/>
      <c r="H684" s="20"/>
      <c r="L684" s="20"/>
      <c r="M684" s="20"/>
      <c r="N684" s="20"/>
      <c r="O684" s="20"/>
      <c r="U684" s="20"/>
      <c r="V684" s="20"/>
      <c r="W684" s="20"/>
      <c r="AA684" s="20"/>
      <c r="AB684" s="20"/>
      <c r="AC684" s="20"/>
      <c r="AD684" s="20"/>
    </row>
    <row r="685">
      <c r="C685" s="15"/>
      <c r="D685" s="15"/>
      <c r="E685" s="15"/>
      <c r="F685" s="20"/>
      <c r="G685" s="20"/>
      <c r="H685" s="20"/>
      <c r="L685" s="20"/>
      <c r="M685" s="20"/>
      <c r="N685" s="20"/>
      <c r="O685" s="20"/>
      <c r="U685" s="20"/>
      <c r="V685" s="20"/>
      <c r="W685" s="20"/>
      <c r="AA685" s="20"/>
      <c r="AB685" s="20"/>
      <c r="AC685" s="20"/>
      <c r="AD685" s="20"/>
    </row>
    <row r="686">
      <c r="C686" s="15"/>
      <c r="D686" s="15"/>
      <c r="E686" s="15"/>
      <c r="F686" s="20"/>
      <c r="G686" s="20"/>
      <c r="H686" s="20"/>
      <c r="L686" s="20"/>
      <c r="M686" s="20"/>
      <c r="N686" s="20"/>
      <c r="O686" s="20"/>
      <c r="U686" s="20"/>
      <c r="V686" s="20"/>
      <c r="W686" s="20"/>
      <c r="AA686" s="20"/>
      <c r="AB686" s="20"/>
      <c r="AC686" s="20"/>
      <c r="AD686" s="20"/>
    </row>
    <row r="687">
      <c r="C687" s="15"/>
      <c r="D687" s="15"/>
      <c r="E687" s="15"/>
      <c r="F687" s="20"/>
      <c r="G687" s="20"/>
      <c r="H687" s="20"/>
      <c r="L687" s="20"/>
      <c r="M687" s="20"/>
      <c r="N687" s="20"/>
      <c r="O687" s="20"/>
      <c r="U687" s="20"/>
      <c r="V687" s="20"/>
      <c r="W687" s="20"/>
      <c r="AA687" s="20"/>
      <c r="AB687" s="20"/>
      <c r="AC687" s="20"/>
      <c r="AD687" s="20"/>
    </row>
    <row r="688">
      <c r="F688" s="20"/>
      <c r="G688" s="20"/>
      <c r="H688" s="20"/>
      <c r="L688" s="20"/>
      <c r="M688" s="20"/>
      <c r="N688" s="20"/>
      <c r="O688" s="20"/>
      <c r="U688" s="20"/>
      <c r="V688" s="20"/>
      <c r="W688" s="20"/>
      <c r="AA688" s="20"/>
      <c r="AB688" s="20"/>
      <c r="AC688" s="20"/>
      <c r="AD688" s="20"/>
    </row>
    <row r="689">
      <c r="F689" s="20"/>
      <c r="G689" s="20"/>
      <c r="H689" s="20"/>
      <c r="L689" s="20"/>
      <c r="M689" s="20"/>
      <c r="N689" s="20"/>
      <c r="O689" s="20"/>
      <c r="U689" s="20"/>
      <c r="V689" s="20"/>
      <c r="W689" s="20"/>
      <c r="AA689" s="20"/>
      <c r="AB689" s="20"/>
      <c r="AC689" s="20"/>
      <c r="AD689" s="20"/>
    </row>
    <row r="690">
      <c r="F690" s="20"/>
      <c r="G690" s="20"/>
      <c r="H690" s="20"/>
      <c r="L690" s="20"/>
      <c r="M690" s="20"/>
      <c r="N690" s="20"/>
      <c r="O690" s="20"/>
      <c r="U690" s="20"/>
      <c r="V690" s="20"/>
      <c r="W690" s="20"/>
      <c r="AA690" s="20"/>
      <c r="AB690" s="20"/>
      <c r="AC690" s="20"/>
      <c r="AD690" s="20"/>
    </row>
    <row r="691">
      <c r="F691" s="20"/>
      <c r="G691" s="20"/>
      <c r="H691" s="20"/>
      <c r="L691" s="20"/>
      <c r="M691" s="20"/>
      <c r="N691" s="20"/>
      <c r="O691" s="20"/>
      <c r="U691" s="20"/>
      <c r="V691" s="20"/>
      <c r="W691" s="20"/>
      <c r="AA691" s="20"/>
      <c r="AB691" s="20"/>
      <c r="AC691" s="20"/>
      <c r="AD691" s="20"/>
    </row>
    <row r="692">
      <c r="F692" s="20"/>
      <c r="G692" s="20"/>
      <c r="H692" s="20"/>
      <c r="L692" s="20"/>
      <c r="M692" s="20"/>
      <c r="N692" s="20"/>
      <c r="O692" s="20"/>
      <c r="U692" s="20"/>
      <c r="V692" s="20"/>
      <c r="W692" s="20"/>
      <c r="AA692" s="20"/>
      <c r="AB692" s="20"/>
      <c r="AC692" s="20"/>
      <c r="AD692" s="20"/>
    </row>
    <row r="693">
      <c r="F693" s="20"/>
      <c r="G693" s="20"/>
      <c r="H693" s="20"/>
      <c r="L693" s="20"/>
      <c r="M693" s="20"/>
      <c r="N693" s="20"/>
      <c r="O693" s="20"/>
      <c r="U693" s="20"/>
      <c r="V693" s="20"/>
      <c r="W693" s="20"/>
      <c r="AA693" s="20"/>
      <c r="AB693" s="20"/>
      <c r="AC693" s="20"/>
      <c r="AD693" s="20"/>
    </row>
    <row r="694">
      <c r="F694" s="20"/>
      <c r="G694" s="20"/>
      <c r="H694" s="20"/>
      <c r="L694" s="20"/>
      <c r="M694" s="20"/>
      <c r="N694" s="20"/>
      <c r="O694" s="20"/>
      <c r="U694" s="20"/>
      <c r="V694" s="20"/>
      <c r="W694" s="20"/>
      <c r="AA694" s="20"/>
      <c r="AB694" s="20"/>
      <c r="AC694" s="20"/>
      <c r="AD694" s="20"/>
    </row>
    <row r="695">
      <c r="F695" s="20"/>
      <c r="G695" s="20"/>
      <c r="H695" s="20"/>
      <c r="L695" s="20"/>
      <c r="M695" s="20"/>
      <c r="N695" s="20"/>
      <c r="O695" s="20"/>
      <c r="U695" s="20"/>
      <c r="V695" s="20"/>
      <c r="W695" s="20"/>
      <c r="AA695" s="20"/>
      <c r="AB695" s="20"/>
      <c r="AC695" s="20"/>
      <c r="AD695" s="20"/>
    </row>
    <row r="696">
      <c r="F696" s="20"/>
      <c r="G696" s="20"/>
      <c r="H696" s="20"/>
      <c r="L696" s="20"/>
      <c r="M696" s="20"/>
      <c r="N696" s="20"/>
      <c r="O696" s="20"/>
      <c r="U696" s="20"/>
      <c r="V696" s="20"/>
      <c r="W696" s="20"/>
      <c r="AA696" s="20"/>
      <c r="AB696" s="20"/>
      <c r="AC696" s="20"/>
      <c r="AD696" s="20"/>
    </row>
    <row r="697">
      <c r="F697" s="20"/>
      <c r="G697" s="20"/>
      <c r="H697" s="20"/>
      <c r="L697" s="20"/>
      <c r="M697" s="20"/>
      <c r="N697" s="20"/>
      <c r="O697" s="20"/>
      <c r="U697" s="20"/>
      <c r="V697" s="20"/>
      <c r="W697" s="20"/>
      <c r="AA697" s="20"/>
      <c r="AB697" s="20"/>
      <c r="AC697" s="20"/>
      <c r="AD697" s="20"/>
    </row>
    <row r="698">
      <c r="F698" s="20"/>
      <c r="G698" s="20"/>
      <c r="H698" s="20"/>
      <c r="L698" s="20"/>
      <c r="M698" s="20"/>
      <c r="N698" s="20"/>
      <c r="O698" s="20"/>
      <c r="U698" s="20"/>
      <c r="V698" s="20"/>
      <c r="W698" s="20"/>
      <c r="AA698" s="20"/>
      <c r="AB698" s="20"/>
      <c r="AC698" s="20"/>
      <c r="AD698" s="20"/>
    </row>
    <row r="699">
      <c r="F699" s="20"/>
      <c r="G699" s="20"/>
      <c r="H699" s="20"/>
      <c r="L699" s="20"/>
      <c r="M699" s="20"/>
      <c r="N699" s="20"/>
      <c r="O699" s="20"/>
      <c r="U699" s="20"/>
      <c r="V699" s="20"/>
      <c r="W699" s="20"/>
      <c r="AA699" s="20"/>
      <c r="AB699" s="20"/>
      <c r="AC699" s="20"/>
      <c r="AD699" s="20"/>
    </row>
    <row r="700">
      <c r="F700" s="20"/>
      <c r="G700" s="20"/>
      <c r="H700" s="20"/>
      <c r="L700" s="20"/>
      <c r="M700" s="20"/>
      <c r="N700" s="20"/>
      <c r="O700" s="20"/>
      <c r="U700" s="20"/>
      <c r="V700" s="20"/>
      <c r="W700" s="20"/>
      <c r="AA700" s="20"/>
      <c r="AB700" s="20"/>
      <c r="AC700" s="20"/>
      <c r="AD700" s="20"/>
    </row>
    <row r="701">
      <c r="F701" s="20"/>
      <c r="G701" s="20"/>
      <c r="H701" s="20"/>
      <c r="L701" s="20"/>
      <c r="M701" s="20"/>
      <c r="N701" s="20"/>
      <c r="O701" s="20"/>
      <c r="U701" s="20"/>
      <c r="V701" s="20"/>
      <c r="W701" s="20"/>
      <c r="AA701" s="20"/>
      <c r="AB701" s="20"/>
      <c r="AC701" s="20"/>
      <c r="AD701" s="20"/>
    </row>
    <row r="702">
      <c r="F702" s="20"/>
      <c r="G702" s="20"/>
      <c r="H702" s="20"/>
      <c r="L702" s="20"/>
      <c r="M702" s="20"/>
      <c r="N702" s="20"/>
      <c r="O702" s="20"/>
      <c r="U702" s="20"/>
      <c r="V702" s="20"/>
      <c r="W702" s="20"/>
      <c r="AA702" s="20"/>
      <c r="AB702" s="20"/>
      <c r="AC702" s="20"/>
      <c r="AD702" s="20"/>
    </row>
    <row r="703">
      <c r="F703" s="20"/>
      <c r="G703" s="20"/>
      <c r="H703" s="20"/>
      <c r="L703" s="20"/>
      <c r="M703" s="20"/>
      <c r="N703" s="20"/>
      <c r="O703" s="20"/>
      <c r="U703" s="20"/>
      <c r="V703" s="20"/>
      <c r="W703" s="20"/>
      <c r="AA703" s="20"/>
      <c r="AB703" s="20"/>
      <c r="AC703" s="20"/>
      <c r="AD703" s="20"/>
    </row>
    <row r="704">
      <c r="F704" s="20"/>
      <c r="G704" s="20"/>
      <c r="H704" s="20"/>
      <c r="L704" s="20"/>
      <c r="M704" s="20"/>
      <c r="N704" s="20"/>
      <c r="O704" s="20"/>
      <c r="U704" s="20"/>
      <c r="V704" s="20"/>
      <c r="W704" s="20"/>
      <c r="AA704" s="20"/>
      <c r="AB704" s="20"/>
      <c r="AC704" s="20"/>
      <c r="AD704" s="20"/>
    </row>
    <row r="705">
      <c r="F705" s="20"/>
      <c r="G705" s="20"/>
      <c r="H705" s="20"/>
      <c r="L705" s="20"/>
      <c r="M705" s="20"/>
      <c r="N705" s="20"/>
      <c r="O705" s="20"/>
      <c r="U705" s="20"/>
      <c r="V705" s="20"/>
      <c r="W705" s="20"/>
      <c r="AA705" s="20"/>
      <c r="AB705" s="20"/>
      <c r="AC705" s="20"/>
      <c r="AD705" s="20"/>
    </row>
    <row r="706">
      <c r="F706" s="20"/>
      <c r="G706" s="20"/>
      <c r="H706" s="20"/>
      <c r="L706" s="20"/>
      <c r="M706" s="20"/>
      <c r="N706" s="20"/>
      <c r="O706" s="20"/>
      <c r="U706" s="20"/>
      <c r="V706" s="20"/>
      <c r="W706" s="20"/>
      <c r="AA706" s="20"/>
      <c r="AB706" s="20"/>
      <c r="AC706" s="20"/>
      <c r="AD706" s="20"/>
    </row>
    <row r="707">
      <c r="F707" s="20"/>
      <c r="G707" s="20"/>
      <c r="H707" s="20"/>
      <c r="L707" s="20"/>
      <c r="M707" s="20"/>
      <c r="N707" s="20"/>
      <c r="O707" s="20"/>
      <c r="U707" s="20"/>
      <c r="V707" s="20"/>
      <c r="W707" s="20"/>
      <c r="AA707" s="20"/>
      <c r="AB707" s="20"/>
      <c r="AC707" s="20"/>
      <c r="AD707" s="20"/>
    </row>
    <row r="708">
      <c r="F708" s="20"/>
      <c r="G708" s="20"/>
      <c r="H708" s="20"/>
      <c r="L708" s="20"/>
      <c r="M708" s="20"/>
      <c r="N708" s="20"/>
      <c r="O708" s="20"/>
      <c r="U708" s="20"/>
      <c r="V708" s="20"/>
      <c r="W708" s="20"/>
      <c r="AA708" s="20"/>
      <c r="AB708" s="20"/>
      <c r="AC708" s="20"/>
      <c r="AD708" s="20"/>
    </row>
    <row r="709">
      <c r="F709" s="20"/>
      <c r="G709" s="20"/>
      <c r="H709" s="20"/>
      <c r="L709" s="20"/>
      <c r="M709" s="20"/>
      <c r="N709" s="20"/>
      <c r="O709" s="20"/>
      <c r="U709" s="20"/>
      <c r="V709" s="20"/>
      <c r="W709" s="20"/>
      <c r="AA709" s="20"/>
      <c r="AB709" s="20"/>
      <c r="AC709" s="20"/>
      <c r="AD709" s="20"/>
    </row>
    <row r="710">
      <c r="F710" s="20"/>
      <c r="G710" s="20"/>
      <c r="H710" s="20"/>
      <c r="L710" s="20"/>
      <c r="M710" s="20"/>
      <c r="N710" s="20"/>
      <c r="O710" s="20"/>
      <c r="U710" s="20"/>
      <c r="V710" s="20"/>
      <c r="W710" s="20"/>
      <c r="AA710" s="20"/>
      <c r="AB710" s="20"/>
      <c r="AC710" s="20"/>
      <c r="AD710" s="20"/>
    </row>
    <row r="711">
      <c r="F711" s="20"/>
      <c r="G711" s="20"/>
      <c r="H711" s="20"/>
      <c r="L711" s="20"/>
      <c r="M711" s="20"/>
      <c r="N711" s="20"/>
      <c r="O711" s="20"/>
      <c r="U711" s="20"/>
      <c r="V711" s="20"/>
      <c r="W711" s="20"/>
      <c r="AA711" s="20"/>
      <c r="AB711" s="20"/>
      <c r="AC711" s="20"/>
      <c r="AD711" s="20"/>
    </row>
    <row r="712">
      <c r="F712" s="20"/>
      <c r="G712" s="20"/>
      <c r="H712" s="20"/>
      <c r="L712" s="20"/>
      <c r="M712" s="20"/>
      <c r="N712" s="20"/>
      <c r="O712" s="20"/>
      <c r="U712" s="20"/>
      <c r="V712" s="20"/>
      <c r="W712" s="20"/>
      <c r="AA712" s="20"/>
      <c r="AB712" s="20"/>
      <c r="AC712" s="20"/>
      <c r="AD712" s="20"/>
    </row>
    <row r="713">
      <c r="F713" s="20"/>
      <c r="G713" s="20"/>
      <c r="H713" s="20"/>
      <c r="L713" s="20"/>
      <c r="M713" s="20"/>
      <c r="N713" s="20"/>
      <c r="O713" s="20"/>
      <c r="U713" s="20"/>
      <c r="V713" s="20"/>
      <c r="W713" s="20"/>
      <c r="AA713" s="20"/>
      <c r="AB713" s="20"/>
      <c r="AC713" s="20"/>
      <c r="AD713" s="20"/>
    </row>
    <row r="714">
      <c r="F714" s="20"/>
      <c r="G714" s="20"/>
      <c r="H714" s="20"/>
      <c r="L714" s="20"/>
      <c r="M714" s="20"/>
      <c r="N714" s="20"/>
      <c r="O714" s="20"/>
      <c r="U714" s="20"/>
      <c r="V714" s="20"/>
      <c r="W714" s="20"/>
      <c r="AA714" s="20"/>
      <c r="AB714" s="20"/>
      <c r="AC714" s="20"/>
      <c r="AD714" s="20"/>
    </row>
    <row r="715">
      <c r="F715" s="20"/>
      <c r="G715" s="20"/>
      <c r="H715" s="20"/>
      <c r="L715" s="20"/>
      <c r="M715" s="20"/>
      <c r="N715" s="20"/>
      <c r="O715" s="20"/>
      <c r="U715" s="20"/>
      <c r="V715" s="20"/>
      <c r="W715" s="20"/>
      <c r="AA715" s="20"/>
      <c r="AB715" s="20"/>
      <c r="AC715" s="20"/>
      <c r="AD715" s="20"/>
    </row>
    <row r="716">
      <c r="F716" s="20"/>
      <c r="G716" s="20"/>
      <c r="H716" s="20"/>
      <c r="L716" s="20"/>
      <c r="M716" s="20"/>
      <c r="N716" s="20"/>
      <c r="O716" s="20"/>
      <c r="U716" s="20"/>
      <c r="V716" s="20"/>
      <c r="W716" s="20"/>
      <c r="AA716" s="20"/>
      <c r="AB716" s="20"/>
      <c r="AC716" s="20"/>
      <c r="AD716" s="20"/>
    </row>
    <row r="717">
      <c r="F717" s="20"/>
      <c r="G717" s="20"/>
      <c r="H717" s="20"/>
      <c r="L717" s="20"/>
      <c r="M717" s="20"/>
      <c r="N717" s="20"/>
      <c r="O717" s="20"/>
      <c r="U717" s="20"/>
      <c r="V717" s="20"/>
      <c r="W717" s="20"/>
      <c r="AA717" s="20"/>
      <c r="AB717" s="20"/>
      <c r="AC717" s="20"/>
      <c r="AD717" s="20"/>
    </row>
    <row r="718">
      <c r="F718" s="20"/>
      <c r="G718" s="20"/>
      <c r="H718" s="20"/>
      <c r="L718" s="20"/>
      <c r="M718" s="20"/>
      <c r="N718" s="20"/>
      <c r="O718" s="20"/>
      <c r="U718" s="20"/>
      <c r="V718" s="20"/>
      <c r="W718" s="20"/>
      <c r="AA718" s="20"/>
      <c r="AB718" s="20"/>
      <c r="AC718" s="20"/>
      <c r="AD718" s="20"/>
    </row>
    <row r="719">
      <c r="F719" s="20"/>
      <c r="G719" s="20"/>
      <c r="H719" s="20"/>
      <c r="L719" s="20"/>
      <c r="M719" s="20"/>
      <c r="N719" s="20"/>
      <c r="O719" s="20"/>
      <c r="U719" s="20"/>
      <c r="V719" s="20"/>
      <c r="W719" s="20"/>
      <c r="AA719" s="20"/>
      <c r="AB719" s="20"/>
      <c r="AC719" s="20"/>
      <c r="AD719" s="20"/>
    </row>
    <row r="720">
      <c r="F720" s="20"/>
      <c r="G720" s="20"/>
      <c r="H720" s="20"/>
      <c r="L720" s="20"/>
      <c r="M720" s="20"/>
      <c r="N720" s="20"/>
      <c r="O720" s="20"/>
      <c r="U720" s="20"/>
      <c r="V720" s="20"/>
      <c r="W720" s="20"/>
      <c r="AA720" s="20"/>
      <c r="AB720" s="20"/>
      <c r="AC720" s="20"/>
      <c r="AD720" s="20"/>
    </row>
    <row r="721">
      <c r="F721" s="20"/>
      <c r="G721" s="20"/>
      <c r="H721" s="20"/>
      <c r="L721" s="20"/>
      <c r="M721" s="20"/>
      <c r="N721" s="20"/>
      <c r="O721" s="20"/>
      <c r="U721" s="20"/>
      <c r="V721" s="20"/>
      <c r="W721" s="20"/>
      <c r="AA721" s="20"/>
      <c r="AB721" s="20"/>
      <c r="AC721" s="20"/>
      <c r="AD721" s="20"/>
    </row>
    <row r="722">
      <c r="F722" s="20"/>
      <c r="G722" s="20"/>
      <c r="H722" s="20"/>
      <c r="L722" s="20"/>
      <c r="M722" s="20"/>
      <c r="N722" s="20"/>
      <c r="O722" s="20"/>
      <c r="U722" s="20"/>
      <c r="V722" s="20"/>
      <c r="W722" s="20"/>
      <c r="AA722" s="20"/>
      <c r="AB722" s="20"/>
      <c r="AC722" s="20"/>
      <c r="AD722" s="20"/>
    </row>
    <row r="723">
      <c r="F723" s="20"/>
      <c r="G723" s="20"/>
      <c r="H723" s="20"/>
      <c r="L723" s="20"/>
      <c r="M723" s="20"/>
      <c r="N723" s="20"/>
      <c r="O723" s="20"/>
      <c r="U723" s="20"/>
      <c r="V723" s="20"/>
      <c r="W723" s="20"/>
      <c r="AA723" s="20"/>
      <c r="AB723" s="20"/>
      <c r="AC723" s="20"/>
      <c r="AD723" s="20"/>
    </row>
    <row r="724">
      <c r="F724" s="20"/>
      <c r="G724" s="20"/>
      <c r="H724" s="20"/>
      <c r="L724" s="20"/>
      <c r="M724" s="20"/>
      <c r="N724" s="20"/>
      <c r="O724" s="20"/>
      <c r="U724" s="20"/>
      <c r="V724" s="20"/>
      <c r="W724" s="20"/>
      <c r="AA724" s="20"/>
      <c r="AB724" s="20"/>
      <c r="AC724" s="20"/>
      <c r="AD724" s="20"/>
    </row>
    <row r="725">
      <c r="F725" s="20"/>
      <c r="G725" s="20"/>
      <c r="H725" s="20"/>
      <c r="L725" s="20"/>
      <c r="M725" s="20"/>
      <c r="N725" s="20"/>
      <c r="O725" s="20"/>
      <c r="U725" s="20"/>
      <c r="V725" s="20"/>
      <c r="W725" s="20"/>
      <c r="AA725" s="20"/>
      <c r="AB725" s="20"/>
      <c r="AC725" s="20"/>
      <c r="AD725" s="20"/>
    </row>
    <row r="726">
      <c r="F726" s="20"/>
      <c r="G726" s="20"/>
      <c r="H726" s="20"/>
      <c r="L726" s="20"/>
      <c r="M726" s="20"/>
      <c r="N726" s="20"/>
      <c r="O726" s="20"/>
      <c r="U726" s="20"/>
      <c r="V726" s="20"/>
      <c r="W726" s="20"/>
      <c r="AA726" s="20"/>
      <c r="AB726" s="20"/>
      <c r="AC726" s="20"/>
      <c r="AD726" s="20"/>
    </row>
    <row r="727">
      <c r="F727" s="20"/>
      <c r="G727" s="20"/>
      <c r="H727" s="20"/>
      <c r="L727" s="20"/>
      <c r="M727" s="20"/>
      <c r="N727" s="20"/>
      <c r="O727" s="20"/>
      <c r="U727" s="20"/>
      <c r="V727" s="20"/>
      <c r="W727" s="20"/>
      <c r="AA727" s="20"/>
      <c r="AB727" s="20"/>
      <c r="AC727" s="20"/>
      <c r="AD727" s="20"/>
    </row>
    <row r="728">
      <c r="F728" s="20"/>
      <c r="G728" s="20"/>
      <c r="H728" s="20"/>
      <c r="L728" s="20"/>
      <c r="M728" s="20"/>
      <c r="N728" s="20"/>
      <c r="O728" s="20"/>
      <c r="U728" s="20"/>
      <c r="V728" s="20"/>
      <c r="W728" s="20"/>
      <c r="AA728" s="20"/>
      <c r="AB728" s="20"/>
      <c r="AC728" s="20"/>
      <c r="AD728" s="20"/>
    </row>
    <row r="729">
      <c r="F729" s="20"/>
      <c r="G729" s="20"/>
      <c r="H729" s="20"/>
      <c r="L729" s="20"/>
      <c r="M729" s="20"/>
      <c r="N729" s="20"/>
      <c r="O729" s="20"/>
      <c r="U729" s="20"/>
      <c r="V729" s="20"/>
      <c r="W729" s="20"/>
      <c r="AA729" s="20"/>
      <c r="AB729" s="20"/>
      <c r="AC729" s="20"/>
      <c r="AD729" s="20"/>
    </row>
    <row r="730">
      <c r="F730" s="20"/>
      <c r="G730" s="20"/>
      <c r="H730" s="20"/>
      <c r="L730" s="20"/>
      <c r="M730" s="20"/>
      <c r="N730" s="20"/>
      <c r="O730" s="20"/>
      <c r="U730" s="20"/>
      <c r="V730" s="20"/>
      <c r="W730" s="20"/>
      <c r="AA730" s="20"/>
      <c r="AB730" s="20"/>
      <c r="AC730" s="20"/>
      <c r="AD730" s="20"/>
    </row>
    <row r="731">
      <c r="F731" s="20"/>
      <c r="G731" s="20"/>
      <c r="H731" s="20"/>
      <c r="L731" s="20"/>
      <c r="M731" s="20"/>
      <c r="N731" s="20"/>
      <c r="O731" s="20"/>
      <c r="U731" s="20"/>
      <c r="V731" s="20"/>
      <c r="W731" s="20"/>
      <c r="AA731" s="20"/>
      <c r="AB731" s="20"/>
      <c r="AC731" s="20"/>
      <c r="AD731" s="20"/>
    </row>
    <row r="732">
      <c r="F732" s="20"/>
      <c r="G732" s="20"/>
      <c r="H732" s="20"/>
      <c r="L732" s="20"/>
      <c r="M732" s="20"/>
      <c r="N732" s="20"/>
      <c r="O732" s="20"/>
      <c r="U732" s="20"/>
      <c r="V732" s="20"/>
      <c r="W732" s="20"/>
      <c r="AA732" s="20"/>
      <c r="AB732" s="20"/>
      <c r="AC732" s="20"/>
      <c r="AD732" s="20"/>
    </row>
    <row r="733">
      <c r="F733" s="20"/>
      <c r="G733" s="20"/>
      <c r="H733" s="20"/>
      <c r="L733" s="20"/>
      <c r="M733" s="20"/>
      <c r="N733" s="20"/>
      <c r="O733" s="20"/>
      <c r="U733" s="20"/>
      <c r="V733" s="20"/>
      <c r="W733" s="20"/>
      <c r="AA733" s="20"/>
      <c r="AB733" s="20"/>
      <c r="AC733" s="20"/>
      <c r="AD733" s="20"/>
    </row>
    <row r="734">
      <c r="F734" s="20"/>
      <c r="G734" s="20"/>
      <c r="H734" s="20"/>
      <c r="L734" s="20"/>
      <c r="M734" s="20"/>
      <c r="N734" s="20"/>
      <c r="O734" s="20"/>
      <c r="U734" s="20"/>
      <c r="V734" s="20"/>
      <c r="W734" s="20"/>
      <c r="AA734" s="20"/>
      <c r="AB734" s="20"/>
      <c r="AC734" s="20"/>
      <c r="AD734" s="20"/>
    </row>
    <row r="735">
      <c r="F735" s="20"/>
      <c r="G735" s="20"/>
      <c r="H735" s="20"/>
      <c r="L735" s="20"/>
      <c r="M735" s="20"/>
      <c r="N735" s="20"/>
      <c r="O735" s="20"/>
      <c r="U735" s="20"/>
      <c r="V735" s="20"/>
      <c r="W735" s="20"/>
      <c r="AA735" s="20"/>
      <c r="AB735" s="20"/>
      <c r="AC735" s="20"/>
      <c r="AD735" s="20"/>
    </row>
    <row r="736">
      <c r="F736" s="20"/>
      <c r="G736" s="20"/>
      <c r="H736" s="20"/>
      <c r="L736" s="20"/>
      <c r="M736" s="20"/>
      <c r="N736" s="20"/>
      <c r="O736" s="20"/>
      <c r="U736" s="20"/>
      <c r="V736" s="20"/>
      <c r="W736" s="20"/>
      <c r="AA736" s="20"/>
      <c r="AB736" s="20"/>
      <c r="AC736" s="20"/>
      <c r="AD736" s="20"/>
    </row>
    <row r="737">
      <c r="F737" s="20"/>
      <c r="G737" s="20"/>
      <c r="H737" s="20"/>
      <c r="L737" s="20"/>
      <c r="M737" s="20"/>
      <c r="N737" s="20"/>
      <c r="O737" s="20"/>
      <c r="U737" s="20"/>
      <c r="V737" s="20"/>
      <c r="W737" s="20"/>
      <c r="AA737" s="20"/>
      <c r="AB737" s="20"/>
      <c r="AC737" s="20"/>
      <c r="AD737" s="20"/>
    </row>
    <row r="738">
      <c r="F738" s="20"/>
      <c r="G738" s="20"/>
      <c r="H738" s="20"/>
      <c r="L738" s="20"/>
      <c r="M738" s="20"/>
      <c r="N738" s="20"/>
      <c r="O738" s="20"/>
      <c r="U738" s="20"/>
      <c r="V738" s="20"/>
      <c r="W738" s="20"/>
      <c r="AA738" s="20"/>
      <c r="AB738" s="20"/>
      <c r="AC738" s="20"/>
      <c r="AD738" s="20"/>
    </row>
    <row r="739">
      <c r="F739" s="20"/>
      <c r="G739" s="20"/>
      <c r="H739" s="20"/>
      <c r="L739" s="20"/>
      <c r="M739" s="20"/>
      <c r="N739" s="20"/>
      <c r="O739" s="20"/>
      <c r="U739" s="20"/>
      <c r="V739" s="20"/>
      <c r="W739" s="20"/>
      <c r="AA739" s="20"/>
      <c r="AB739" s="20"/>
      <c r="AC739" s="20"/>
      <c r="AD739" s="20"/>
    </row>
    <row r="740">
      <c r="F740" s="20"/>
      <c r="G740" s="20"/>
      <c r="H740" s="20"/>
      <c r="L740" s="20"/>
      <c r="M740" s="20"/>
      <c r="N740" s="20"/>
      <c r="O740" s="20"/>
      <c r="U740" s="20"/>
      <c r="V740" s="20"/>
      <c r="W740" s="20"/>
      <c r="AA740" s="20"/>
      <c r="AB740" s="20"/>
      <c r="AC740" s="20"/>
      <c r="AD740" s="20"/>
    </row>
    <row r="741">
      <c r="F741" s="20"/>
      <c r="G741" s="20"/>
      <c r="H741" s="20"/>
      <c r="L741" s="20"/>
      <c r="M741" s="20"/>
      <c r="N741" s="20"/>
      <c r="O741" s="20"/>
      <c r="U741" s="20"/>
      <c r="V741" s="20"/>
      <c r="W741" s="20"/>
      <c r="AA741" s="20"/>
      <c r="AB741" s="20"/>
      <c r="AC741" s="20"/>
      <c r="AD741" s="20"/>
    </row>
    <row r="742">
      <c r="F742" s="20"/>
      <c r="G742" s="20"/>
      <c r="H742" s="20"/>
      <c r="L742" s="20"/>
      <c r="M742" s="20"/>
      <c r="N742" s="20"/>
      <c r="O742" s="20"/>
      <c r="U742" s="20"/>
      <c r="V742" s="20"/>
      <c r="W742" s="20"/>
      <c r="AA742" s="20"/>
      <c r="AB742" s="20"/>
      <c r="AC742" s="20"/>
      <c r="AD742" s="20"/>
    </row>
    <row r="743">
      <c r="F743" s="20"/>
      <c r="G743" s="20"/>
      <c r="H743" s="20"/>
      <c r="L743" s="20"/>
      <c r="M743" s="20"/>
      <c r="N743" s="20"/>
      <c r="O743" s="20"/>
      <c r="U743" s="20"/>
      <c r="V743" s="20"/>
      <c r="W743" s="20"/>
      <c r="AA743" s="20"/>
      <c r="AB743" s="20"/>
      <c r="AC743" s="20"/>
      <c r="AD743" s="20"/>
    </row>
    <row r="744">
      <c r="F744" s="20"/>
      <c r="G744" s="20"/>
      <c r="H744" s="20"/>
      <c r="L744" s="20"/>
      <c r="M744" s="20"/>
      <c r="N744" s="20"/>
      <c r="O744" s="20"/>
      <c r="U744" s="20"/>
      <c r="V744" s="20"/>
      <c r="W744" s="20"/>
      <c r="AA744" s="20"/>
      <c r="AB744" s="20"/>
      <c r="AC744" s="20"/>
      <c r="AD744" s="20"/>
    </row>
    <row r="745">
      <c r="F745" s="20"/>
      <c r="G745" s="20"/>
      <c r="H745" s="20"/>
      <c r="L745" s="20"/>
      <c r="M745" s="20"/>
      <c r="N745" s="20"/>
      <c r="O745" s="20"/>
      <c r="U745" s="20"/>
      <c r="V745" s="20"/>
      <c r="W745" s="20"/>
      <c r="AA745" s="20"/>
      <c r="AB745" s="20"/>
      <c r="AC745" s="20"/>
      <c r="AD745" s="20"/>
    </row>
    <row r="746">
      <c r="F746" s="20"/>
      <c r="G746" s="20"/>
      <c r="H746" s="20"/>
      <c r="L746" s="20"/>
      <c r="M746" s="20"/>
      <c r="N746" s="20"/>
      <c r="O746" s="20"/>
      <c r="U746" s="20"/>
      <c r="V746" s="20"/>
      <c r="W746" s="20"/>
      <c r="AA746" s="20"/>
      <c r="AB746" s="20"/>
      <c r="AC746" s="20"/>
      <c r="AD746" s="20"/>
    </row>
    <row r="747">
      <c r="F747" s="20"/>
      <c r="G747" s="20"/>
      <c r="H747" s="20"/>
      <c r="L747" s="20"/>
      <c r="M747" s="20"/>
      <c r="N747" s="20"/>
      <c r="O747" s="20"/>
      <c r="U747" s="20"/>
      <c r="V747" s="20"/>
      <c r="W747" s="20"/>
      <c r="AA747" s="20"/>
      <c r="AB747" s="20"/>
      <c r="AC747" s="20"/>
      <c r="AD747" s="20"/>
    </row>
    <row r="748">
      <c r="F748" s="20"/>
      <c r="G748" s="20"/>
      <c r="H748" s="20"/>
      <c r="L748" s="20"/>
      <c r="M748" s="20"/>
      <c r="N748" s="20"/>
      <c r="O748" s="20"/>
      <c r="U748" s="20"/>
      <c r="V748" s="20"/>
      <c r="W748" s="20"/>
      <c r="AA748" s="20"/>
      <c r="AB748" s="20"/>
      <c r="AC748" s="20"/>
      <c r="AD748" s="20"/>
    </row>
    <row r="749">
      <c r="F749" s="20"/>
      <c r="G749" s="20"/>
      <c r="H749" s="20"/>
      <c r="L749" s="20"/>
      <c r="M749" s="20"/>
      <c r="N749" s="20"/>
      <c r="O749" s="20"/>
      <c r="U749" s="20"/>
      <c r="V749" s="20"/>
      <c r="W749" s="20"/>
      <c r="AA749" s="20"/>
      <c r="AB749" s="20"/>
      <c r="AC749" s="20"/>
      <c r="AD749" s="20"/>
    </row>
    <row r="750">
      <c r="F750" s="20"/>
      <c r="G750" s="20"/>
      <c r="H750" s="20"/>
      <c r="L750" s="20"/>
      <c r="M750" s="20"/>
      <c r="N750" s="20"/>
      <c r="O750" s="20"/>
      <c r="U750" s="20"/>
      <c r="V750" s="20"/>
      <c r="W750" s="20"/>
      <c r="AA750" s="20"/>
      <c r="AB750" s="20"/>
      <c r="AC750" s="20"/>
      <c r="AD750" s="20"/>
    </row>
    <row r="751">
      <c r="F751" s="20"/>
      <c r="G751" s="20"/>
      <c r="H751" s="20"/>
      <c r="L751" s="20"/>
      <c r="M751" s="20"/>
      <c r="N751" s="20"/>
      <c r="O751" s="20"/>
      <c r="U751" s="20"/>
      <c r="V751" s="20"/>
      <c r="W751" s="20"/>
      <c r="AA751" s="20"/>
      <c r="AB751" s="20"/>
      <c r="AC751" s="20"/>
      <c r="AD751" s="20"/>
    </row>
    <row r="752">
      <c r="F752" s="20"/>
      <c r="G752" s="20"/>
      <c r="H752" s="20"/>
      <c r="L752" s="20"/>
      <c r="M752" s="20"/>
      <c r="N752" s="20"/>
      <c r="O752" s="20"/>
      <c r="U752" s="20"/>
      <c r="V752" s="20"/>
      <c r="W752" s="20"/>
      <c r="AA752" s="20"/>
      <c r="AB752" s="20"/>
      <c r="AC752" s="20"/>
      <c r="AD752" s="20"/>
    </row>
    <row r="753">
      <c r="F753" s="20"/>
      <c r="G753" s="20"/>
      <c r="H753" s="20"/>
      <c r="L753" s="20"/>
      <c r="M753" s="20"/>
      <c r="N753" s="20"/>
      <c r="O753" s="20"/>
      <c r="U753" s="20"/>
      <c r="V753" s="20"/>
      <c r="W753" s="20"/>
      <c r="AA753" s="20"/>
      <c r="AB753" s="20"/>
      <c r="AC753" s="20"/>
      <c r="AD753" s="20"/>
    </row>
    <row r="754">
      <c r="F754" s="20"/>
      <c r="G754" s="20"/>
      <c r="H754" s="20"/>
      <c r="L754" s="20"/>
      <c r="M754" s="20"/>
      <c r="N754" s="20"/>
      <c r="O754" s="20"/>
      <c r="U754" s="20"/>
      <c r="V754" s="20"/>
      <c r="W754" s="20"/>
      <c r="AA754" s="20"/>
      <c r="AB754" s="20"/>
      <c r="AC754" s="20"/>
      <c r="AD754" s="20"/>
    </row>
    <row r="755">
      <c r="F755" s="20"/>
      <c r="G755" s="20"/>
      <c r="H755" s="20"/>
      <c r="L755" s="20"/>
      <c r="M755" s="20"/>
      <c r="N755" s="20"/>
      <c r="O755" s="20"/>
      <c r="U755" s="20"/>
      <c r="V755" s="20"/>
      <c r="W755" s="20"/>
      <c r="AA755" s="20"/>
      <c r="AB755" s="20"/>
      <c r="AC755" s="20"/>
      <c r="AD755" s="20"/>
    </row>
    <row r="756">
      <c r="F756" s="20"/>
      <c r="G756" s="20"/>
      <c r="H756" s="20"/>
      <c r="L756" s="20"/>
      <c r="M756" s="20"/>
      <c r="N756" s="20"/>
      <c r="O756" s="20"/>
      <c r="U756" s="20"/>
      <c r="V756" s="20"/>
      <c r="W756" s="20"/>
      <c r="AA756" s="20"/>
      <c r="AB756" s="20"/>
      <c r="AC756" s="20"/>
      <c r="AD756" s="20"/>
    </row>
    <row r="757">
      <c r="F757" s="20"/>
      <c r="G757" s="20"/>
      <c r="H757" s="20"/>
      <c r="L757" s="20"/>
      <c r="M757" s="20"/>
      <c r="N757" s="20"/>
      <c r="O757" s="20"/>
      <c r="U757" s="20"/>
      <c r="V757" s="20"/>
      <c r="W757" s="20"/>
      <c r="AA757" s="20"/>
      <c r="AB757" s="20"/>
      <c r="AC757" s="20"/>
      <c r="AD757" s="20"/>
    </row>
    <row r="758">
      <c r="F758" s="20"/>
      <c r="G758" s="20"/>
      <c r="H758" s="20"/>
      <c r="L758" s="20"/>
      <c r="M758" s="20"/>
      <c r="N758" s="20"/>
      <c r="O758" s="20"/>
      <c r="U758" s="20"/>
      <c r="V758" s="20"/>
      <c r="W758" s="20"/>
      <c r="AA758" s="20"/>
      <c r="AB758" s="20"/>
      <c r="AC758" s="20"/>
      <c r="AD758" s="20"/>
    </row>
    <row r="759">
      <c r="F759" s="20"/>
      <c r="G759" s="20"/>
      <c r="H759" s="20"/>
      <c r="L759" s="20"/>
      <c r="M759" s="20"/>
      <c r="N759" s="20"/>
      <c r="O759" s="20"/>
      <c r="U759" s="20"/>
      <c r="V759" s="20"/>
      <c r="W759" s="20"/>
      <c r="AA759" s="20"/>
      <c r="AB759" s="20"/>
      <c r="AC759" s="20"/>
      <c r="AD759" s="20"/>
    </row>
    <row r="760">
      <c r="F760" s="20"/>
      <c r="G760" s="20"/>
      <c r="H760" s="20"/>
      <c r="L760" s="20"/>
      <c r="M760" s="20"/>
      <c r="N760" s="20"/>
      <c r="O760" s="20"/>
      <c r="U760" s="20"/>
      <c r="V760" s="20"/>
      <c r="W760" s="20"/>
      <c r="AA760" s="20"/>
      <c r="AB760" s="20"/>
      <c r="AC760" s="20"/>
      <c r="AD760" s="20"/>
    </row>
    <row r="761">
      <c r="F761" s="20"/>
      <c r="G761" s="20"/>
      <c r="H761" s="20"/>
      <c r="L761" s="20"/>
      <c r="M761" s="20"/>
      <c r="N761" s="20"/>
      <c r="O761" s="20"/>
      <c r="U761" s="20"/>
      <c r="V761" s="20"/>
      <c r="W761" s="20"/>
      <c r="AA761" s="20"/>
      <c r="AB761" s="20"/>
      <c r="AC761" s="20"/>
      <c r="AD761" s="20"/>
    </row>
    <row r="762">
      <c r="F762" s="20"/>
      <c r="G762" s="20"/>
      <c r="H762" s="20"/>
      <c r="L762" s="20"/>
      <c r="M762" s="20"/>
      <c r="N762" s="20"/>
      <c r="O762" s="20"/>
      <c r="U762" s="20"/>
      <c r="V762" s="20"/>
      <c r="W762" s="20"/>
      <c r="AA762" s="20"/>
      <c r="AB762" s="20"/>
      <c r="AC762" s="20"/>
      <c r="AD762" s="20"/>
    </row>
    <row r="763">
      <c r="F763" s="20"/>
      <c r="G763" s="20"/>
      <c r="H763" s="20"/>
      <c r="L763" s="20"/>
      <c r="M763" s="20"/>
      <c r="N763" s="20"/>
      <c r="O763" s="20"/>
      <c r="U763" s="20"/>
      <c r="V763" s="20"/>
      <c r="W763" s="20"/>
      <c r="AA763" s="20"/>
      <c r="AB763" s="20"/>
      <c r="AC763" s="20"/>
      <c r="AD763" s="20"/>
    </row>
    <row r="764">
      <c r="F764" s="20"/>
      <c r="G764" s="20"/>
      <c r="H764" s="20"/>
      <c r="L764" s="20"/>
      <c r="M764" s="20"/>
      <c r="N764" s="20"/>
      <c r="O764" s="20"/>
      <c r="U764" s="20"/>
      <c r="V764" s="20"/>
      <c r="W764" s="20"/>
      <c r="AA764" s="20"/>
      <c r="AB764" s="20"/>
      <c r="AC764" s="20"/>
      <c r="AD764" s="20"/>
    </row>
    <row r="765">
      <c r="F765" s="20"/>
      <c r="G765" s="20"/>
      <c r="H765" s="20"/>
      <c r="L765" s="20"/>
      <c r="M765" s="20"/>
      <c r="N765" s="20"/>
      <c r="O765" s="20"/>
      <c r="U765" s="20"/>
      <c r="V765" s="20"/>
      <c r="W765" s="20"/>
      <c r="AA765" s="20"/>
      <c r="AB765" s="20"/>
      <c r="AC765" s="20"/>
      <c r="AD765" s="20"/>
    </row>
    <row r="766">
      <c r="F766" s="20"/>
      <c r="G766" s="20"/>
      <c r="H766" s="20"/>
      <c r="L766" s="20"/>
      <c r="M766" s="20"/>
      <c r="N766" s="20"/>
      <c r="O766" s="20"/>
      <c r="U766" s="20"/>
      <c r="V766" s="20"/>
      <c r="W766" s="20"/>
      <c r="AA766" s="20"/>
      <c r="AB766" s="20"/>
      <c r="AC766" s="20"/>
      <c r="AD766" s="20"/>
    </row>
    <row r="767">
      <c r="F767" s="20"/>
      <c r="G767" s="20"/>
      <c r="H767" s="20"/>
      <c r="L767" s="20"/>
      <c r="M767" s="20"/>
      <c r="N767" s="20"/>
      <c r="O767" s="20"/>
      <c r="U767" s="20"/>
      <c r="V767" s="20"/>
      <c r="W767" s="20"/>
      <c r="AA767" s="20"/>
      <c r="AB767" s="20"/>
      <c r="AC767" s="20"/>
      <c r="AD767" s="20"/>
    </row>
    <row r="768">
      <c r="F768" s="20"/>
      <c r="G768" s="20"/>
      <c r="H768" s="20"/>
      <c r="L768" s="20"/>
      <c r="M768" s="20"/>
      <c r="N768" s="20"/>
      <c r="O768" s="20"/>
      <c r="U768" s="20"/>
      <c r="V768" s="20"/>
      <c r="W768" s="20"/>
      <c r="AA768" s="20"/>
      <c r="AB768" s="20"/>
      <c r="AC768" s="20"/>
      <c r="AD768" s="20"/>
    </row>
    <row r="769">
      <c r="F769" s="20"/>
      <c r="G769" s="20"/>
      <c r="H769" s="20"/>
      <c r="L769" s="20"/>
      <c r="M769" s="20"/>
      <c r="N769" s="20"/>
      <c r="O769" s="20"/>
      <c r="U769" s="20"/>
      <c r="V769" s="20"/>
      <c r="W769" s="20"/>
      <c r="AA769" s="20"/>
      <c r="AB769" s="20"/>
      <c r="AC769" s="20"/>
      <c r="AD769" s="20"/>
    </row>
    <row r="770">
      <c r="F770" s="20"/>
      <c r="G770" s="20"/>
      <c r="H770" s="20"/>
      <c r="L770" s="20"/>
      <c r="M770" s="20"/>
      <c r="N770" s="20"/>
      <c r="O770" s="20"/>
      <c r="U770" s="20"/>
      <c r="V770" s="20"/>
      <c r="W770" s="20"/>
      <c r="AA770" s="20"/>
      <c r="AB770" s="20"/>
      <c r="AC770" s="20"/>
      <c r="AD770" s="20"/>
    </row>
    <row r="771">
      <c r="F771" s="20"/>
      <c r="G771" s="20"/>
      <c r="H771" s="20"/>
      <c r="L771" s="20"/>
      <c r="M771" s="20"/>
      <c r="N771" s="20"/>
      <c r="O771" s="20"/>
      <c r="U771" s="20"/>
      <c r="V771" s="20"/>
      <c r="W771" s="20"/>
      <c r="AA771" s="20"/>
      <c r="AB771" s="20"/>
      <c r="AC771" s="20"/>
      <c r="AD771" s="20"/>
    </row>
    <row r="772">
      <c r="F772" s="20"/>
      <c r="G772" s="20"/>
      <c r="H772" s="20"/>
      <c r="L772" s="20"/>
      <c r="M772" s="20"/>
      <c r="N772" s="20"/>
      <c r="O772" s="20"/>
      <c r="U772" s="20"/>
      <c r="V772" s="20"/>
      <c r="W772" s="20"/>
      <c r="AA772" s="20"/>
      <c r="AB772" s="20"/>
      <c r="AC772" s="20"/>
      <c r="AD772" s="20"/>
    </row>
    <row r="773">
      <c r="F773" s="20"/>
      <c r="G773" s="20"/>
      <c r="H773" s="20"/>
      <c r="L773" s="20"/>
      <c r="M773" s="20"/>
      <c r="N773" s="20"/>
      <c r="O773" s="20"/>
      <c r="U773" s="20"/>
      <c r="V773" s="20"/>
      <c r="W773" s="20"/>
      <c r="AA773" s="20"/>
      <c r="AB773" s="20"/>
      <c r="AC773" s="20"/>
      <c r="AD773" s="20"/>
    </row>
    <row r="774">
      <c r="F774" s="20"/>
      <c r="G774" s="20"/>
      <c r="H774" s="20"/>
      <c r="L774" s="20"/>
      <c r="M774" s="20"/>
      <c r="N774" s="20"/>
      <c r="O774" s="20"/>
      <c r="U774" s="20"/>
      <c r="V774" s="20"/>
      <c r="W774" s="20"/>
      <c r="AA774" s="20"/>
      <c r="AB774" s="20"/>
      <c r="AC774" s="20"/>
      <c r="AD774" s="20"/>
    </row>
    <row r="775">
      <c r="F775" s="20"/>
      <c r="G775" s="20"/>
      <c r="H775" s="20"/>
      <c r="L775" s="20"/>
      <c r="M775" s="20"/>
      <c r="N775" s="20"/>
      <c r="O775" s="20"/>
      <c r="U775" s="20"/>
      <c r="V775" s="20"/>
      <c r="W775" s="20"/>
      <c r="AA775" s="20"/>
      <c r="AB775" s="20"/>
      <c r="AC775" s="20"/>
      <c r="AD775" s="20"/>
    </row>
    <row r="776">
      <c r="F776" s="20"/>
      <c r="G776" s="20"/>
      <c r="H776" s="20"/>
      <c r="L776" s="20"/>
      <c r="M776" s="20"/>
      <c r="N776" s="20"/>
      <c r="O776" s="20"/>
      <c r="U776" s="20"/>
      <c r="V776" s="20"/>
      <c r="W776" s="20"/>
      <c r="AA776" s="20"/>
      <c r="AB776" s="20"/>
      <c r="AC776" s="20"/>
      <c r="AD776" s="20"/>
    </row>
    <row r="777">
      <c r="F777" s="20"/>
      <c r="G777" s="20"/>
      <c r="H777" s="20"/>
      <c r="L777" s="20"/>
      <c r="M777" s="20"/>
      <c r="N777" s="20"/>
      <c r="O777" s="20"/>
      <c r="U777" s="20"/>
      <c r="V777" s="20"/>
      <c r="W777" s="20"/>
      <c r="AA777" s="20"/>
      <c r="AB777" s="20"/>
      <c r="AC777" s="20"/>
      <c r="AD777" s="20"/>
    </row>
    <row r="778">
      <c r="F778" s="20"/>
      <c r="G778" s="20"/>
      <c r="H778" s="20"/>
      <c r="L778" s="20"/>
      <c r="M778" s="20"/>
      <c r="N778" s="20"/>
      <c r="O778" s="20"/>
      <c r="U778" s="20"/>
      <c r="V778" s="20"/>
      <c r="W778" s="20"/>
      <c r="AA778" s="20"/>
      <c r="AB778" s="20"/>
      <c r="AC778" s="20"/>
      <c r="AD778" s="20"/>
    </row>
    <row r="779">
      <c r="F779" s="20"/>
      <c r="G779" s="20"/>
      <c r="H779" s="20"/>
      <c r="L779" s="20"/>
      <c r="M779" s="20"/>
      <c r="N779" s="20"/>
      <c r="O779" s="20"/>
      <c r="U779" s="20"/>
      <c r="V779" s="20"/>
      <c r="W779" s="20"/>
      <c r="AA779" s="20"/>
      <c r="AB779" s="20"/>
      <c r="AC779" s="20"/>
      <c r="AD779" s="20"/>
    </row>
    <row r="780">
      <c r="F780" s="20"/>
      <c r="G780" s="20"/>
      <c r="H780" s="20"/>
      <c r="L780" s="20"/>
      <c r="M780" s="20"/>
      <c r="N780" s="20"/>
      <c r="O780" s="20"/>
      <c r="U780" s="20"/>
      <c r="V780" s="20"/>
      <c r="W780" s="20"/>
      <c r="AA780" s="20"/>
      <c r="AB780" s="20"/>
      <c r="AC780" s="20"/>
      <c r="AD780" s="20"/>
    </row>
    <row r="781">
      <c r="F781" s="20"/>
      <c r="G781" s="20"/>
      <c r="H781" s="20"/>
      <c r="L781" s="20"/>
      <c r="M781" s="20"/>
      <c r="N781" s="20"/>
      <c r="O781" s="20"/>
      <c r="U781" s="20"/>
      <c r="V781" s="20"/>
      <c r="W781" s="20"/>
      <c r="AA781" s="20"/>
      <c r="AB781" s="20"/>
      <c r="AC781" s="20"/>
      <c r="AD781" s="20"/>
    </row>
    <row r="782">
      <c r="F782" s="20"/>
      <c r="G782" s="20"/>
      <c r="H782" s="20"/>
      <c r="L782" s="20"/>
      <c r="M782" s="20"/>
      <c r="N782" s="20"/>
      <c r="O782" s="20"/>
      <c r="U782" s="20"/>
      <c r="V782" s="20"/>
      <c r="W782" s="20"/>
      <c r="AA782" s="20"/>
      <c r="AB782" s="20"/>
      <c r="AC782" s="20"/>
      <c r="AD782" s="20"/>
    </row>
    <row r="783">
      <c r="F783" s="20"/>
      <c r="G783" s="20"/>
      <c r="H783" s="20"/>
      <c r="L783" s="20"/>
      <c r="M783" s="20"/>
      <c r="N783" s="20"/>
      <c r="O783" s="20"/>
      <c r="U783" s="20"/>
      <c r="V783" s="20"/>
      <c r="W783" s="20"/>
      <c r="AA783" s="20"/>
      <c r="AB783" s="20"/>
      <c r="AC783" s="20"/>
      <c r="AD783" s="20"/>
    </row>
    <row r="784">
      <c r="F784" s="20"/>
      <c r="G784" s="20"/>
      <c r="H784" s="20"/>
      <c r="L784" s="20"/>
      <c r="M784" s="20"/>
      <c r="N784" s="20"/>
      <c r="O784" s="20"/>
      <c r="U784" s="20"/>
      <c r="V784" s="20"/>
      <c r="W784" s="20"/>
      <c r="AA784" s="20"/>
      <c r="AB784" s="20"/>
      <c r="AC784" s="20"/>
      <c r="AD784" s="20"/>
    </row>
    <row r="785">
      <c r="F785" s="20"/>
      <c r="G785" s="20"/>
      <c r="H785" s="20"/>
      <c r="L785" s="20"/>
      <c r="M785" s="20"/>
      <c r="N785" s="20"/>
      <c r="O785" s="20"/>
      <c r="U785" s="20"/>
      <c r="V785" s="20"/>
      <c r="W785" s="20"/>
      <c r="AA785" s="20"/>
      <c r="AB785" s="20"/>
      <c r="AC785" s="20"/>
      <c r="AD785" s="20"/>
    </row>
    <row r="786">
      <c r="F786" s="20"/>
      <c r="G786" s="20"/>
      <c r="H786" s="20"/>
      <c r="L786" s="20"/>
      <c r="M786" s="20"/>
      <c r="N786" s="20"/>
      <c r="O786" s="20"/>
      <c r="U786" s="20"/>
      <c r="V786" s="20"/>
      <c r="W786" s="20"/>
      <c r="AA786" s="20"/>
      <c r="AB786" s="20"/>
      <c r="AC786" s="20"/>
      <c r="AD786" s="20"/>
    </row>
    <row r="787">
      <c r="F787" s="20"/>
      <c r="G787" s="20"/>
      <c r="H787" s="20"/>
      <c r="L787" s="20"/>
      <c r="M787" s="20"/>
      <c r="N787" s="20"/>
      <c r="O787" s="20"/>
      <c r="U787" s="20"/>
      <c r="V787" s="20"/>
      <c r="W787" s="20"/>
      <c r="AA787" s="20"/>
      <c r="AB787" s="20"/>
      <c r="AC787" s="20"/>
      <c r="AD787" s="20"/>
    </row>
    <row r="788">
      <c r="F788" s="20"/>
      <c r="G788" s="20"/>
      <c r="H788" s="20"/>
      <c r="L788" s="20"/>
      <c r="M788" s="20"/>
      <c r="N788" s="20"/>
      <c r="O788" s="20"/>
      <c r="U788" s="20"/>
      <c r="V788" s="20"/>
      <c r="W788" s="20"/>
      <c r="AA788" s="20"/>
      <c r="AB788" s="20"/>
      <c r="AC788" s="20"/>
      <c r="AD788" s="20"/>
    </row>
    <row r="789">
      <c r="F789" s="20"/>
      <c r="G789" s="20"/>
      <c r="H789" s="20"/>
      <c r="L789" s="20"/>
      <c r="M789" s="20"/>
      <c r="N789" s="20"/>
      <c r="O789" s="20"/>
      <c r="U789" s="20"/>
      <c r="V789" s="20"/>
      <c r="W789" s="20"/>
      <c r="AA789" s="20"/>
      <c r="AB789" s="20"/>
      <c r="AC789" s="20"/>
      <c r="AD789" s="20"/>
    </row>
    <row r="790">
      <c r="F790" s="20"/>
      <c r="G790" s="20"/>
      <c r="H790" s="20"/>
      <c r="L790" s="20"/>
      <c r="M790" s="20"/>
      <c r="N790" s="20"/>
      <c r="O790" s="20"/>
      <c r="U790" s="20"/>
      <c r="V790" s="20"/>
      <c r="W790" s="20"/>
      <c r="AA790" s="20"/>
      <c r="AB790" s="20"/>
      <c r="AC790" s="20"/>
      <c r="AD790" s="20"/>
    </row>
    <row r="791">
      <c r="F791" s="20"/>
      <c r="G791" s="20"/>
      <c r="H791" s="20"/>
      <c r="L791" s="20"/>
      <c r="M791" s="20"/>
      <c r="N791" s="20"/>
      <c r="O791" s="20"/>
      <c r="U791" s="20"/>
      <c r="V791" s="20"/>
      <c r="W791" s="20"/>
      <c r="AA791" s="20"/>
      <c r="AB791" s="20"/>
      <c r="AC791" s="20"/>
      <c r="AD791" s="20"/>
    </row>
    <row r="792">
      <c r="F792" s="20"/>
      <c r="G792" s="20"/>
      <c r="H792" s="20"/>
      <c r="L792" s="20"/>
      <c r="M792" s="20"/>
      <c r="N792" s="20"/>
      <c r="O792" s="20"/>
      <c r="U792" s="20"/>
      <c r="V792" s="20"/>
      <c r="W792" s="20"/>
      <c r="AA792" s="20"/>
      <c r="AB792" s="20"/>
      <c r="AC792" s="20"/>
      <c r="AD792" s="20"/>
    </row>
    <row r="793">
      <c r="F793" s="20"/>
      <c r="G793" s="20"/>
      <c r="H793" s="20"/>
      <c r="L793" s="20"/>
      <c r="M793" s="20"/>
      <c r="N793" s="20"/>
      <c r="O793" s="20"/>
      <c r="U793" s="20"/>
      <c r="V793" s="20"/>
      <c r="W793" s="20"/>
      <c r="AA793" s="20"/>
      <c r="AB793" s="20"/>
      <c r="AC793" s="20"/>
      <c r="AD793" s="20"/>
    </row>
    <row r="794">
      <c r="F794" s="20"/>
      <c r="G794" s="20"/>
      <c r="H794" s="20"/>
      <c r="L794" s="20"/>
      <c r="M794" s="20"/>
      <c r="N794" s="20"/>
      <c r="O794" s="20"/>
      <c r="U794" s="20"/>
      <c r="V794" s="20"/>
      <c r="W794" s="20"/>
      <c r="AA794" s="20"/>
      <c r="AB794" s="20"/>
      <c r="AC794" s="20"/>
      <c r="AD794" s="20"/>
    </row>
    <row r="795">
      <c r="F795" s="20"/>
      <c r="G795" s="20"/>
      <c r="H795" s="20"/>
      <c r="L795" s="20"/>
      <c r="M795" s="20"/>
      <c r="N795" s="20"/>
      <c r="O795" s="20"/>
      <c r="U795" s="20"/>
      <c r="V795" s="20"/>
      <c r="W795" s="20"/>
      <c r="AA795" s="20"/>
      <c r="AB795" s="20"/>
      <c r="AC795" s="20"/>
      <c r="AD795" s="20"/>
    </row>
    <row r="796">
      <c r="F796" s="20"/>
      <c r="G796" s="20"/>
      <c r="H796" s="20"/>
      <c r="L796" s="20"/>
      <c r="M796" s="20"/>
      <c r="N796" s="20"/>
      <c r="O796" s="20"/>
      <c r="U796" s="20"/>
      <c r="V796" s="20"/>
      <c r="W796" s="20"/>
      <c r="AA796" s="20"/>
      <c r="AB796" s="20"/>
      <c r="AC796" s="20"/>
      <c r="AD796" s="20"/>
    </row>
    <row r="797">
      <c r="F797" s="20"/>
      <c r="G797" s="20"/>
      <c r="H797" s="20"/>
      <c r="L797" s="20"/>
      <c r="M797" s="20"/>
      <c r="N797" s="20"/>
      <c r="O797" s="20"/>
      <c r="U797" s="20"/>
      <c r="V797" s="20"/>
      <c r="W797" s="20"/>
      <c r="AA797" s="20"/>
      <c r="AB797" s="20"/>
      <c r="AC797" s="20"/>
      <c r="AD797" s="20"/>
    </row>
    <row r="798">
      <c r="F798" s="20"/>
      <c r="G798" s="20"/>
      <c r="H798" s="20"/>
      <c r="L798" s="20"/>
      <c r="M798" s="20"/>
      <c r="N798" s="20"/>
      <c r="O798" s="20"/>
      <c r="U798" s="20"/>
      <c r="V798" s="20"/>
      <c r="W798" s="20"/>
      <c r="AA798" s="20"/>
      <c r="AB798" s="20"/>
      <c r="AC798" s="20"/>
      <c r="AD798" s="20"/>
    </row>
    <row r="799">
      <c r="F799" s="20"/>
      <c r="G799" s="20"/>
      <c r="H799" s="20"/>
      <c r="L799" s="20"/>
      <c r="M799" s="20"/>
      <c r="N799" s="20"/>
      <c r="O799" s="20"/>
      <c r="U799" s="20"/>
      <c r="V799" s="20"/>
      <c r="W799" s="20"/>
      <c r="AA799" s="20"/>
      <c r="AB799" s="20"/>
      <c r="AC799" s="20"/>
      <c r="AD799" s="20"/>
    </row>
    <row r="800">
      <c r="F800" s="20"/>
      <c r="G800" s="20"/>
      <c r="H800" s="20"/>
      <c r="L800" s="20"/>
      <c r="M800" s="20"/>
      <c r="N800" s="20"/>
      <c r="O800" s="20"/>
      <c r="U800" s="20"/>
      <c r="V800" s="20"/>
      <c r="W800" s="20"/>
      <c r="AA800" s="20"/>
      <c r="AB800" s="20"/>
      <c r="AC800" s="20"/>
      <c r="AD800" s="20"/>
    </row>
    <row r="801">
      <c r="F801" s="20"/>
      <c r="G801" s="20"/>
      <c r="H801" s="20"/>
      <c r="L801" s="20"/>
      <c r="M801" s="20"/>
      <c r="N801" s="20"/>
      <c r="O801" s="20"/>
      <c r="U801" s="20"/>
      <c r="V801" s="20"/>
      <c r="W801" s="20"/>
      <c r="AA801" s="20"/>
      <c r="AB801" s="20"/>
      <c r="AC801" s="20"/>
      <c r="AD801" s="20"/>
    </row>
    <row r="802">
      <c r="F802" s="20"/>
      <c r="G802" s="20"/>
      <c r="H802" s="20"/>
      <c r="L802" s="20"/>
      <c r="M802" s="20"/>
      <c r="N802" s="20"/>
      <c r="O802" s="20"/>
      <c r="U802" s="20"/>
      <c r="V802" s="20"/>
      <c r="W802" s="20"/>
      <c r="AA802" s="20"/>
      <c r="AB802" s="20"/>
      <c r="AC802" s="20"/>
      <c r="AD802" s="20"/>
    </row>
    <row r="803">
      <c r="F803" s="20"/>
      <c r="G803" s="20"/>
      <c r="H803" s="20"/>
      <c r="L803" s="20"/>
      <c r="M803" s="20"/>
      <c r="N803" s="20"/>
      <c r="O803" s="20"/>
      <c r="U803" s="20"/>
      <c r="V803" s="20"/>
      <c r="W803" s="20"/>
      <c r="AA803" s="20"/>
      <c r="AB803" s="20"/>
      <c r="AC803" s="20"/>
      <c r="AD803" s="20"/>
    </row>
    <row r="804">
      <c r="F804" s="20"/>
      <c r="G804" s="20"/>
      <c r="H804" s="20"/>
      <c r="L804" s="20"/>
      <c r="M804" s="20"/>
      <c r="N804" s="20"/>
      <c r="O804" s="20"/>
      <c r="U804" s="20"/>
      <c r="V804" s="20"/>
      <c r="W804" s="20"/>
      <c r="AA804" s="20"/>
      <c r="AB804" s="20"/>
      <c r="AC804" s="20"/>
      <c r="AD804" s="20"/>
    </row>
    <row r="805">
      <c r="F805" s="20"/>
      <c r="G805" s="20"/>
      <c r="H805" s="20"/>
      <c r="L805" s="20"/>
      <c r="M805" s="20"/>
      <c r="N805" s="20"/>
      <c r="O805" s="20"/>
      <c r="U805" s="20"/>
      <c r="V805" s="20"/>
      <c r="W805" s="20"/>
      <c r="AA805" s="20"/>
      <c r="AB805" s="20"/>
      <c r="AC805" s="20"/>
      <c r="AD805" s="20"/>
    </row>
    <row r="806">
      <c r="F806" s="20"/>
      <c r="G806" s="20"/>
      <c r="H806" s="20"/>
      <c r="L806" s="20"/>
      <c r="M806" s="20"/>
      <c r="N806" s="20"/>
      <c r="O806" s="20"/>
      <c r="U806" s="20"/>
      <c r="V806" s="20"/>
      <c r="W806" s="20"/>
      <c r="AA806" s="20"/>
      <c r="AB806" s="20"/>
      <c r="AC806" s="20"/>
      <c r="AD806" s="20"/>
    </row>
    <row r="807">
      <c r="F807" s="20"/>
      <c r="G807" s="20"/>
      <c r="H807" s="20"/>
      <c r="L807" s="20"/>
      <c r="M807" s="20"/>
      <c r="N807" s="20"/>
      <c r="O807" s="20"/>
      <c r="U807" s="20"/>
      <c r="V807" s="20"/>
      <c r="W807" s="20"/>
      <c r="AA807" s="20"/>
      <c r="AB807" s="20"/>
      <c r="AC807" s="20"/>
      <c r="AD807" s="20"/>
    </row>
    <row r="808">
      <c r="F808" s="20"/>
      <c r="G808" s="20"/>
      <c r="H808" s="20"/>
      <c r="L808" s="20"/>
      <c r="M808" s="20"/>
      <c r="N808" s="20"/>
      <c r="O808" s="20"/>
      <c r="U808" s="20"/>
      <c r="V808" s="20"/>
      <c r="W808" s="20"/>
      <c r="AA808" s="20"/>
      <c r="AB808" s="20"/>
      <c r="AC808" s="20"/>
      <c r="AD808" s="20"/>
    </row>
    <row r="809">
      <c r="F809" s="20"/>
      <c r="G809" s="20"/>
      <c r="H809" s="20"/>
      <c r="L809" s="20"/>
      <c r="M809" s="20"/>
      <c r="N809" s="20"/>
      <c r="O809" s="20"/>
      <c r="U809" s="20"/>
      <c r="V809" s="20"/>
      <c r="W809" s="20"/>
      <c r="AA809" s="20"/>
      <c r="AB809" s="20"/>
      <c r="AC809" s="20"/>
      <c r="AD809" s="20"/>
    </row>
    <row r="810">
      <c r="F810" s="20"/>
      <c r="G810" s="20"/>
      <c r="H810" s="20"/>
      <c r="L810" s="20"/>
      <c r="M810" s="20"/>
      <c r="N810" s="20"/>
      <c r="O810" s="20"/>
      <c r="U810" s="20"/>
      <c r="V810" s="20"/>
      <c r="W810" s="20"/>
      <c r="AA810" s="20"/>
      <c r="AB810" s="20"/>
      <c r="AC810" s="20"/>
      <c r="AD810" s="20"/>
    </row>
    <row r="811">
      <c r="F811" s="20"/>
      <c r="G811" s="20"/>
      <c r="H811" s="20"/>
      <c r="L811" s="20"/>
      <c r="M811" s="20"/>
      <c r="N811" s="20"/>
      <c r="O811" s="20"/>
      <c r="U811" s="20"/>
      <c r="V811" s="20"/>
      <c r="W811" s="20"/>
      <c r="AA811" s="20"/>
      <c r="AB811" s="20"/>
      <c r="AC811" s="20"/>
      <c r="AD811" s="20"/>
    </row>
    <row r="812">
      <c r="F812" s="20"/>
      <c r="G812" s="20"/>
      <c r="H812" s="20"/>
      <c r="L812" s="20"/>
      <c r="M812" s="20"/>
      <c r="N812" s="20"/>
      <c r="O812" s="20"/>
      <c r="U812" s="20"/>
      <c r="V812" s="20"/>
      <c r="W812" s="20"/>
      <c r="AA812" s="20"/>
      <c r="AB812" s="20"/>
      <c r="AC812" s="20"/>
      <c r="AD812" s="20"/>
    </row>
    <row r="813">
      <c r="F813" s="20"/>
      <c r="G813" s="20"/>
      <c r="H813" s="20"/>
      <c r="L813" s="20"/>
      <c r="M813" s="20"/>
      <c r="N813" s="20"/>
      <c r="O813" s="20"/>
      <c r="U813" s="20"/>
      <c r="V813" s="20"/>
      <c r="W813" s="20"/>
      <c r="AA813" s="20"/>
      <c r="AB813" s="20"/>
      <c r="AC813" s="20"/>
      <c r="AD813" s="20"/>
    </row>
    <row r="814">
      <c r="F814" s="20"/>
      <c r="G814" s="20"/>
      <c r="H814" s="20"/>
      <c r="L814" s="20"/>
      <c r="M814" s="20"/>
      <c r="N814" s="20"/>
      <c r="O814" s="20"/>
      <c r="U814" s="20"/>
      <c r="V814" s="20"/>
      <c r="W814" s="20"/>
      <c r="AA814" s="20"/>
      <c r="AB814" s="20"/>
      <c r="AC814" s="20"/>
      <c r="AD814" s="20"/>
    </row>
    <row r="815">
      <c r="F815" s="20"/>
      <c r="G815" s="20"/>
      <c r="H815" s="20"/>
      <c r="L815" s="20"/>
      <c r="M815" s="20"/>
      <c r="N815" s="20"/>
      <c r="O815" s="20"/>
      <c r="U815" s="20"/>
      <c r="V815" s="20"/>
      <c r="W815" s="20"/>
      <c r="AA815" s="20"/>
      <c r="AB815" s="20"/>
      <c r="AC815" s="20"/>
      <c r="AD815" s="20"/>
    </row>
    <row r="816">
      <c r="F816" s="20"/>
      <c r="G816" s="20"/>
      <c r="H816" s="20"/>
      <c r="L816" s="20"/>
      <c r="M816" s="20"/>
      <c r="N816" s="20"/>
      <c r="O816" s="20"/>
      <c r="U816" s="20"/>
      <c r="V816" s="20"/>
      <c r="W816" s="20"/>
      <c r="AA816" s="20"/>
      <c r="AB816" s="20"/>
      <c r="AC816" s="20"/>
      <c r="AD816" s="20"/>
    </row>
    <row r="817">
      <c r="F817" s="20"/>
      <c r="G817" s="20"/>
      <c r="H817" s="20"/>
      <c r="L817" s="20"/>
      <c r="M817" s="20"/>
      <c r="N817" s="20"/>
      <c r="O817" s="20"/>
      <c r="U817" s="20"/>
      <c r="V817" s="20"/>
      <c r="W817" s="20"/>
      <c r="AA817" s="20"/>
      <c r="AB817" s="20"/>
      <c r="AC817" s="20"/>
      <c r="AD817" s="20"/>
    </row>
    <row r="818">
      <c r="F818" s="20"/>
      <c r="G818" s="20"/>
      <c r="H818" s="20"/>
      <c r="L818" s="20"/>
      <c r="M818" s="20"/>
      <c r="N818" s="20"/>
      <c r="O818" s="20"/>
      <c r="U818" s="20"/>
      <c r="V818" s="20"/>
      <c r="W818" s="20"/>
      <c r="AA818" s="20"/>
      <c r="AB818" s="20"/>
      <c r="AC818" s="20"/>
      <c r="AD818" s="20"/>
    </row>
    <row r="819">
      <c r="F819" s="20"/>
      <c r="G819" s="20"/>
      <c r="H819" s="20"/>
      <c r="L819" s="20"/>
      <c r="M819" s="20"/>
      <c r="N819" s="20"/>
      <c r="O819" s="20"/>
      <c r="U819" s="20"/>
      <c r="V819" s="20"/>
      <c r="W819" s="20"/>
      <c r="AA819" s="20"/>
      <c r="AB819" s="20"/>
      <c r="AC819" s="20"/>
      <c r="AD819" s="20"/>
    </row>
    <row r="820">
      <c r="F820" s="20"/>
      <c r="G820" s="20"/>
      <c r="H820" s="20"/>
      <c r="L820" s="20"/>
      <c r="M820" s="20"/>
      <c r="N820" s="20"/>
      <c r="O820" s="20"/>
      <c r="U820" s="20"/>
      <c r="V820" s="20"/>
      <c r="W820" s="20"/>
      <c r="AA820" s="20"/>
      <c r="AB820" s="20"/>
      <c r="AC820" s="20"/>
      <c r="AD820" s="20"/>
    </row>
    <row r="821">
      <c r="F821" s="20"/>
      <c r="G821" s="20"/>
      <c r="H821" s="20"/>
      <c r="L821" s="20"/>
      <c r="M821" s="20"/>
      <c r="N821" s="20"/>
      <c r="O821" s="20"/>
      <c r="U821" s="20"/>
      <c r="V821" s="20"/>
      <c r="W821" s="20"/>
      <c r="AA821" s="20"/>
      <c r="AB821" s="20"/>
      <c r="AC821" s="20"/>
      <c r="AD821" s="20"/>
    </row>
    <row r="822">
      <c r="F822" s="20"/>
      <c r="G822" s="20"/>
      <c r="H822" s="20"/>
      <c r="L822" s="20"/>
      <c r="M822" s="20"/>
      <c r="N822" s="20"/>
      <c r="O822" s="20"/>
      <c r="U822" s="20"/>
      <c r="V822" s="20"/>
      <c r="W822" s="20"/>
      <c r="AA822" s="20"/>
      <c r="AB822" s="20"/>
      <c r="AC822" s="20"/>
      <c r="AD822" s="20"/>
    </row>
    <row r="823">
      <c r="F823" s="20"/>
      <c r="G823" s="20"/>
      <c r="H823" s="20"/>
      <c r="L823" s="20"/>
      <c r="M823" s="20"/>
      <c r="N823" s="20"/>
      <c r="O823" s="20"/>
      <c r="U823" s="20"/>
      <c r="V823" s="20"/>
      <c r="W823" s="20"/>
      <c r="AA823" s="20"/>
      <c r="AB823" s="20"/>
      <c r="AC823" s="20"/>
      <c r="AD823" s="20"/>
    </row>
    <row r="824">
      <c r="F824" s="20"/>
      <c r="G824" s="20"/>
      <c r="H824" s="20"/>
      <c r="L824" s="20"/>
      <c r="M824" s="20"/>
      <c r="N824" s="20"/>
      <c r="O824" s="20"/>
      <c r="U824" s="20"/>
      <c r="V824" s="20"/>
      <c r="W824" s="20"/>
      <c r="AA824" s="20"/>
      <c r="AB824" s="20"/>
      <c r="AC824" s="20"/>
      <c r="AD824" s="20"/>
    </row>
    <row r="825">
      <c r="F825" s="20"/>
      <c r="G825" s="20"/>
      <c r="H825" s="20"/>
      <c r="L825" s="20"/>
      <c r="M825" s="20"/>
      <c r="N825" s="20"/>
      <c r="O825" s="20"/>
      <c r="U825" s="20"/>
      <c r="V825" s="20"/>
      <c r="W825" s="20"/>
      <c r="AA825" s="20"/>
      <c r="AB825" s="20"/>
      <c r="AC825" s="20"/>
      <c r="AD825" s="20"/>
    </row>
    <row r="826">
      <c r="F826" s="20"/>
      <c r="G826" s="20"/>
      <c r="H826" s="20"/>
      <c r="L826" s="20"/>
      <c r="M826" s="20"/>
      <c r="N826" s="20"/>
      <c r="O826" s="20"/>
      <c r="U826" s="20"/>
      <c r="V826" s="20"/>
      <c r="W826" s="20"/>
      <c r="AA826" s="20"/>
      <c r="AB826" s="20"/>
      <c r="AC826" s="20"/>
      <c r="AD826" s="20"/>
    </row>
    <row r="827">
      <c r="F827" s="20"/>
      <c r="G827" s="20"/>
      <c r="H827" s="20"/>
      <c r="L827" s="20"/>
      <c r="M827" s="20"/>
      <c r="N827" s="20"/>
      <c r="O827" s="20"/>
      <c r="U827" s="20"/>
      <c r="V827" s="20"/>
      <c r="W827" s="20"/>
      <c r="AA827" s="20"/>
      <c r="AB827" s="20"/>
      <c r="AC827" s="20"/>
      <c r="AD827" s="20"/>
    </row>
    <row r="828">
      <c r="F828" s="20"/>
      <c r="G828" s="20"/>
      <c r="H828" s="20"/>
      <c r="L828" s="20"/>
      <c r="M828" s="20"/>
      <c r="N828" s="20"/>
      <c r="O828" s="20"/>
      <c r="U828" s="20"/>
      <c r="V828" s="20"/>
      <c r="W828" s="20"/>
      <c r="AA828" s="20"/>
      <c r="AB828" s="20"/>
      <c r="AC828" s="20"/>
      <c r="AD828" s="20"/>
    </row>
    <row r="829">
      <c r="F829" s="20"/>
      <c r="G829" s="20"/>
      <c r="H829" s="20"/>
      <c r="L829" s="20"/>
      <c r="M829" s="20"/>
      <c r="N829" s="20"/>
      <c r="O829" s="20"/>
      <c r="U829" s="20"/>
      <c r="V829" s="20"/>
      <c r="W829" s="20"/>
      <c r="AA829" s="20"/>
      <c r="AB829" s="20"/>
      <c r="AC829" s="20"/>
      <c r="AD829" s="20"/>
    </row>
    <row r="830">
      <c r="F830" s="20"/>
      <c r="G830" s="20"/>
      <c r="H830" s="20"/>
      <c r="L830" s="20"/>
      <c r="M830" s="20"/>
      <c r="N830" s="20"/>
      <c r="O830" s="20"/>
      <c r="U830" s="20"/>
      <c r="V830" s="20"/>
      <c r="W830" s="20"/>
      <c r="AA830" s="20"/>
      <c r="AB830" s="20"/>
      <c r="AC830" s="20"/>
      <c r="AD830" s="20"/>
    </row>
    <row r="831">
      <c r="F831" s="20"/>
      <c r="G831" s="20"/>
      <c r="H831" s="20"/>
      <c r="L831" s="20"/>
      <c r="M831" s="20"/>
      <c r="N831" s="20"/>
      <c r="O831" s="20"/>
      <c r="U831" s="20"/>
      <c r="V831" s="20"/>
      <c r="W831" s="20"/>
      <c r="AA831" s="20"/>
      <c r="AB831" s="20"/>
      <c r="AC831" s="20"/>
      <c r="AD831" s="20"/>
    </row>
    <row r="832">
      <c r="F832" s="20"/>
      <c r="G832" s="20"/>
      <c r="H832" s="20"/>
      <c r="L832" s="20"/>
      <c r="M832" s="20"/>
      <c r="N832" s="20"/>
      <c r="O832" s="20"/>
      <c r="U832" s="20"/>
      <c r="V832" s="20"/>
      <c r="W832" s="20"/>
      <c r="AA832" s="20"/>
      <c r="AB832" s="20"/>
      <c r="AC832" s="20"/>
      <c r="AD832" s="20"/>
    </row>
    <row r="833">
      <c r="F833" s="20"/>
      <c r="G833" s="20"/>
      <c r="H833" s="20"/>
      <c r="L833" s="20"/>
      <c r="M833" s="20"/>
      <c r="N833" s="20"/>
      <c r="O833" s="20"/>
      <c r="U833" s="20"/>
      <c r="V833" s="20"/>
      <c r="W833" s="20"/>
      <c r="AA833" s="20"/>
      <c r="AB833" s="20"/>
      <c r="AC833" s="20"/>
      <c r="AD833" s="20"/>
    </row>
    <row r="834">
      <c r="F834" s="20"/>
      <c r="G834" s="20"/>
      <c r="H834" s="20"/>
      <c r="L834" s="20"/>
      <c r="M834" s="20"/>
      <c r="N834" s="20"/>
      <c r="O834" s="20"/>
      <c r="U834" s="20"/>
      <c r="V834" s="20"/>
      <c r="W834" s="20"/>
      <c r="AA834" s="20"/>
      <c r="AB834" s="20"/>
      <c r="AC834" s="20"/>
      <c r="AD834" s="20"/>
    </row>
    <row r="835">
      <c r="F835" s="20"/>
      <c r="G835" s="20"/>
      <c r="H835" s="20"/>
      <c r="L835" s="20"/>
      <c r="M835" s="20"/>
      <c r="N835" s="20"/>
      <c r="O835" s="20"/>
      <c r="U835" s="20"/>
      <c r="V835" s="20"/>
      <c r="W835" s="20"/>
      <c r="AA835" s="20"/>
      <c r="AB835" s="20"/>
      <c r="AC835" s="20"/>
      <c r="AD835" s="20"/>
    </row>
    <row r="836">
      <c r="F836" s="20"/>
      <c r="G836" s="20"/>
      <c r="H836" s="20"/>
      <c r="L836" s="20"/>
      <c r="M836" s="20"/>
      <c r="N836" s="20"/>
      <c r="O836" s="20"/>
      <c r="U836" s="20"/>
      <c r="V836" s="20"/>
      <c r="W836" s="20"/>
      <c r="AA836" s="20"/>
      <c r="AB836" s="20"/>
      <c r="AC836" s="20"/>
      <c r="AD836" s="20"/>
    </row>
    <row r="837">
      <c r="F837" s="20"/>
      <c r="G837" s="20"/>
      <c r="H837" s="20"/>
      <c r="L837" s="20"/>
      <c r="M837" s="20"/>
      <c r="N837" s="20"/>
      <c r="O837" s="20"/>
      <c r="U837" s="20"/>
      <c r="V837" s="20"/>
      <c r="W837" s="20"/>
      <c r="AA837" s="20"/>
      <c r="AB837" s="20"/>
      <c r="AC837" s="20"/>
      <c r="AD837" s="20"/>
    </row>
    <row r="838">
      <c r="F838" s="20"/>
      <c r="G838" s="20"/>
      <c r="H838" s="20"/>
      <c r="L838" s="20"/>
      <c r="M838" s="20"/>
      <c r="N838" s="20"/>
      <c r="O838" s="20"/>
      <c r="U838" s="20"/>
      <c r="V838" s="20"/>
      <c r="W838" s="20"/>
      <c r="AA838" s="20"/>
      <c r="AB838" s="20"/>
      <c r="AC838" s="20"/>
      <c r="AD838" s="20"/>
    </row>
    <row r="839">
      <c r="F839" s="20"/>
      <c r="G839" s="20"/>
      <c r="H839" s="20"/>
      <c r="L839" s="20"/>
      <c r="M839" s="20"/>
      <c r="N839" s="20"/>
      <c r="O839" s="20"/>
      <c r="U839" s="20"/>
      <c r="V839" s="20"/>
      <c r="W839" s="20"/>
      <c r="AA839" s="20"/>
      <c r="AB839" s="20"/>
      <c r="AC839" s="20"/>
      <c r="AD839" s="20"/>
    </row>
    <row r="840">
      <c r="F840" s="20"/>
      <c r="G840" s="20"/>
      <c r="H840" s="20"/>
      <c r="L840" s="20"/>
      <c r="M840" s="20"/>
      <c r="N840" s="20"/>
      <c r="O840" s="20"/>
      <c r="U840" s="20"/>
      <c r="V840" s="20"/>
      <c r="W840" s="20"/>
      <c r="AA840" s="20"/>
      <c r="AB840" s="20"/>
      <c r="AC840" s="20"/>
      <c r="AD840" s="20"/>
    </row>
    <row r="841">
      <c r="F841" s="20"/>
      <c r="G841" s="20"/>
      <c r="H841" s="20"/>
      <c r="L841" s="20"/>
      <c r="M841" s="20"/>
      <c r="N841" s="20"/>
      <c r="O841" s="20"/>
      <c r="U841" s="20"/>
      <c r="V841" s="20"/>
      <c r="W841" s="20"/>
      <c r="AA841" s="20"/>
      <c r="AB841" s="20"/>
      <c r="AC841" s="20"/>
      <c r="AD841" s="20"/>
    </row>
    <row r="842">
      <c r="F842" s="20"/>
      <c r="G842" s="20"/>
      <c r="H842" s="20"/>
      <c r="L842" s="20"/>
      <c r="M842" s="20"/>
      <c r="N842" s="20"/>
      <c r="O842" s="20"/>
      <c r="U842" s="20"/>
      <c r="V842" s="20"/>
      <c r="W842" s="20"/>
      <c r="AA842" s="20"/>
      <c r="AB842" s="20"/>
      <c r="AC842" s="20"/>
      <c r="AD842" s="20"/>
    </row>
    <row r="843">
      <c r="F843" s="20"/>
      <c r="G843" s="20"/>
      <c r="H843" s="20"/>
      <c r="L843" s="20"/>
      <c r="M843" s="20"/>
      <c r="N843" s="20"/>
      <c r="O843" s="20"/>
      <c r="U843" s="20"/>
      <c r="V843" s="20"/>
      <c r="W843" s="20"/>
      <c r="AA843" s="20"/>
      <c r="AB843" s="20"/>
      <c r="AC843" s="20"/>
      <c r="AD843" s="20"/>
    </row>
    <row r="844">
      <c r="F844" s="20"/>
      <c r="G844" s="20"/>
      <c r="H844" s="20"/>
      <c r="L844" s="20"/>
      <c r="M844" s="20"/>
      <c r="N844" s="20"/>
      <c r="O844" s="20"/>
      <c r="U844" s="20"/>
      <c r="V844" s="20"/>
      <c r="W844" s="20"/>
      <c r="AA844" s="20"/>
      <c r="AB844" s="20"/>
      <c r="AC844" s="20"/>
      <c r="AD844" s="20"/>
    </row>
    <row r="845">
      <c r="F845" s="20"/>
      <c r="G845" s="20"/>
      <c r="H845" s="20"/>
      <c r="L845" s="20"/>
      <c r="M845" s="20"/>
      <c r="N845" s="20"/>
      <c r="O845" s="20"/>
      <c r="U845" s="20"/>
      <c r="V845" s="20"/>
      <c r="W845" s="20"/>
      <c r="AA845" s="20"/>
      <c r="AB845" s="20"/>
      <c r="AC845" s="20"/>
      <c r="AD845" s="20"/>
    </row>
    <row r="846">
      <c r="F846" s="20"/>
      <c r="G846" s="20"/>
      <c r="H846" s="20"/>
      <c r="L846" s="20"/>
      <c r="M846" s="20"/>
      <c r="N846" s="20"/>
      <c r="O846" s="20"/>
      <c r="U846" s="20"/>
      <c r="V846" s="20"/>
      <c r="W846" s="20"/>
      <c r="AA846" s="20"/>
      <c r="AB846" s="20"/>
      <c r="AC846" s="20"/>
      <c r="AD846" s="20"/>
    </row>
    <row r="847">
      <c r="F847" s="20"/>
      <c r="G847" s="20"/>
      <c r="H847" s="20"/>
      <c r="L847" s="20"/>
      <c r="M847" s="20"/>
      <c r="N847" s="20"/>
      <c r="O847" s="20"/>
      <c r="U847" s="20"/>
      <c r="V847" s="20"/>
      <c r="W847" s="20"/>
      <c r="AA847" s="20"/>
      <c r="AB847" s="20"/>
      <c r="AC847" s="20"/>
      <c r="AD847" s="20"/>
    </row>
    <row r="848">
      <c r="F848" s="20"/>
      <c r="G848" s="20"/>
      <c r="H848" s="20"/>
      <c r="L848" s="20"/>
      <c r="M848" s="20"/>
      <c r="N848" s="20"/>
      <c r="O848" s="20"/>
      <c r="U848" s="20"/>
      <c r="V848" s="20"/>
      <c r="W848" s="20"/>
      <c r="AA848" s="20"/>
      <c r="AB848" s="20"/>
      <c r="AC848" s="20"/>
      <c r="AD848" s="20"/>
    </row>
    <row r="849">
      <c r="F849" s="20"/>
      <c r="G849" s="20"/>
      <c r="H849" s="20"/>
      <c r="L849" s="20"/>
      <c r="M849" s="20"/>
      <c r="N849" s="20"/>
      <c r="O849" s="20"/>
      <c r="U849" s="20"/>
      <c r="V849" s="20"/>
      <c r="W849" s="20"/>
      <c r="AA849" s="20"/>
      <c r="AB849" s="20"/>
      <c r="AC849" s="20"/>
      <c r="AD849" s="20"/>
    </row>
    <row r="850">
      <c r="F850" s="20"/>
      <c r="G850" s="20"/>
      <c r="H850" s="20"/>
      <c r="L850" s="20"/>
      <c r="M850" s="20"/>
      <c r="N850" s="20"/>
      <c r="O850" s="20"/>
      <c r="U850" s="20"/>
      <c r="V850" s="20"/>
      <c r="W850" s="20"/>
      <c r="AA850" s="20"/>
      <c r="AB850" s="20"/>
      <c r="AC850" s="20"/>
      <c r="AD850" s="20"/>
    </row>
    <row r="851">
      <c r="F851" s="20"/>
      <c r="G851" s="20"/>
      <c r="H851" s="20"/>
      <c r="L851" s="20"/>
      <c r="M851" s="20"/>
      <c r="N851" s="20"/>
      <c r="O851" s="20"/>
      <c r="U851" s="20"/>
      <c r="V851" s="20"/>
      <c r="W851" s="20"/>
      <c r="AA851" s="20"/>
      <c r="AB851" s="20"/>
      <c r="AC851" s="20"/>
      <c r="AD851" s="20"/>
    </row>
    <row r="852">
      <c r="F852" s="20"/>
      <c r="G852" s="20"/>
      <c r="H852" s="20"/>
      <c r="L852" s="20"/>
      <c r="M852" s="20"/>
      <c r="N852" s="20"/>
      <c r="O852" s="20"/>
      <c r="U852" s="20"/>
      <c r="V852" s="20"/>
      <c r="W852" s="20"/>
      <c r="AA852" s="20"/>
      <c r="AB852" s="20"/>
      <c r="AC852" s="20"/>
      <c r="AD852" s="20"/>
    </row>
    <row r="853">
      <c r="F853" s="20"/>
      <c r="G853" s="20"/>
      <c r="H853" s="20"/>
      <c r="L853" s="20"/>
      <c r="M853" s="20"/>
      <c r="N853" s="20"/>
      <c r="O853" s="20"/>
      <c r="U853" s="20"/>
      <c r="V853" s="20"/>
      <c r="W853" s="20"/>
      <c r="AA853" s="20"/>
      <c r="AB853" s="20"/>
      <c r="AC853" s="20"/>
      <c r="AD853" s="20"/>
    </row>
    <row r="854">
      <c r="F854" s="20"/>
      <c r="G854" s="20"/>
      <c r="H854" s="20"/>
      <c r="L854" s="20"/>
      <c r="M854" s="20"/>
      <c r="N854" s="20"/>
      <c r="O854" s="20"/>
      <c r="U854" s="20"/>
      <c r="V854" s="20"/>
      <c r="W854" s="20"/>
      <c r="AA854" s="20"/>
      <c r="AB854" s="20"/>
      <c r="AC854" s="20"/>
      <c r="AD854" s="20"/>
    </row>
    <row r="855">
      <c r="F855" s="20"/>
      <c r="G855" s="20"/>
      <c r="H855" s="20"/>
      <c r="L855" s="20"/>
      <c r="M855" s="20"/>
      <c r="N855" s="20"/>
      <c r="O855" s="20"/>
      <c r="U855" s="20"/>
      <c r="V855" s="20"/>
      <c r="W855" s="20"/>
      <c r="AA855" s="20"/>
      <c r="AB855" s="20"/>
      <c r="AC855" s="20"/>
      <c r="AD855" s="20"/>
    </row>
    <row r="856">
      <c r="F856" s="20"/>
      <c r="G856" s="20"/>
      <c r="H856" s="20"/>
      <c r="L856" s="20"/>
      <c r="M856" s="20"/>
      <c r="N856" s="20"/>
      <c r="O856" s="20"/>
      <c r="U856" s="20"/>
      <c r="V856" s="20"/>
      <c r="W856" s="20"/>
      <c r="AA856" s="20"/>
      <c r="AB856" s="20"/>
      <c r="AC856" s="20"/>
      <c r="AD856" s="20"/>
    </row>
    <row r="857">
      <c r="F857" s="20"/>
      <c r="G857" s="20"/>
      <c r="H857" s="20"/>
      <c r="L857" s="20"/>
      <c r="M857" s="20"/>
      <c r="N857" s="20"/>
      <c r="O857" s="20"/>
      <c r="U857" s="20"/>
      <c r="V857" s="20"/>
      <c r="W857" s="20"/>
      <c r="AA857" s="20"/>
      <c r="AB857" s="20"/>
      <c r="AC857" s="20"/>
      <c r="AD857" s="20"/>
    </row>
    <row r="858">
      <c r="F858" s="20"/>
      <c r="G858" s="20"/>
      <c r="H858" s="20"/>
      <c r="L858" s="20"/>
      <c r="M858" s="20"/>
      <c r="N858" s="20"/>
      <c r="O858" s="20"/>
      <c r="U858" s="20"/>
      <c r="V858" s="20"/>
      <c r="W858" s="20"/>
      <c r="AA858" s="20"/>
      <c r="AB858" s="20"/>
      <c r="AC858" s="20"/>
      <c r="AD858" s="20"/>
    </row>
    <row r="859">
      <c r="F859" s="20"/>
      <c r="G859" s="20"/>
      <c r="H859" s="20"/>
      <c r="L859" s="20"/>
      <c r="M859" s="20"/>
      <c r="N859" s="20"/>
      <c r="O859" s="20"/>
      <c r="U859" s="20"/>
      <c r="V859" s="20"/>
      <c r="W859" s="20"/>
      <c r="AA859" s="20"/>
      <c r="AB859" s="20"/>
      <c r="AC859" s="20"/>
      <c r="AD859" s="20"/>
    </row>
    <row r="860">
      <c r="F860" s="20"/>
      <c r="G860" s="20"/>
      <c r="H860" s="20"/>
      <c r="L860" s="20"/>
      <c r="M860" s="20"/>
      <c r="N860" s="20"/>
      <c r="O860" s="20"/>
      <c r="U860" s="20"/>
      <c r="V860" s="20"/>
      <c r="W860" s="20"/>
      <c r="AA860" s="20"/>
      <c r="AB860" s="20"/>
      <c r="AC860" s="20"/>
      <c r="AD860" s="20"/>
    </row>
    <row r="861">
      <c r="F861" s="20"/>
      <c r="G861" s="20"/>
      <c r="H861" s="20"/>
      <c r="L861" s="20"/>
      <c r="M861" s="20"/>
      <c r="N861" s="20"/>
      <c r="O861" s="20"/>
      <c r="U861" s="20"/>
      <c r="V861" s="20"/>
      <c r="W861" s="20"/>
      <c r="AA861" s="20"/>
      <c r="AB861" s="20"/>
      <c r="AC861" s="20"/>
      <c r="AD861" s="20"/>
    </row>
    <row r="862">
      <c r="F862" s="20"/>
      <c r="G862" s="20"/>
      <c r="H862" s="20"/>
      <c r="L862" s="20"/>
      <c r="M862" s="20"/>
      <c r="N862" s="20"/>
      <c r="O862" s="20"/>
      <c r="U862" s="20"/>
      <c r="V862" s="20"/>
      <c r="W862" s="20"/>
      <c r="AA862" s="20"/>
      <c r="AB862" s="20"/>
      <c r="AC862" s="20"/>
      <c r="AD862" s="20"/>
    </row>
    <row r="863">
      <c r="F863" s="20"/>
      <c r="G863" s="20"/>
      <c r="H863" s="20"/>
      <c r="L863" s="20"/>
      <c r="M863" s="20"/>
      <c r="N863" s="20"/>
      <c r="O863" s="20"/>
      <c r="U863" s="20"/>
      <c r="V863" s="20"/>
      <c r="W863" s="20"/>
      <c r="AA863" s="20"/>
      <c r="AB863" s="20"/>
      <c r="AC863" s="20"/>
      <c r="AD863" s="20"/>
    </row>
    <row r="864">
      <c r="F864" s="20"/>
      <c r="G864" s="20"/>
      <c r="H864" s="20"/>
      <c r="L864" s="20"/>
      <c r="M864" s="20"/>
      <c r="N864" s="20"/>
      <c r="O864" s="20"/>
      <c r="U864" s="20"/>
      <c r="V864" s="20"/>
      <c r="W864" s="20"/>
      <c r="AA864" s="20"/>
      <c r="AB864" s="20"/>
      <c r="AC864" s="20"/>
      <c r="AD864" s="20"/>
    </row>
    <row r="865">
      <c r="F865" s="20"/>
      <c r="G865" s="20"/>
      <c r="H865" s="20"/>
      <c r="L865" s="20"/>
      <c r="M865" s="20"/>
      <c r="N865" s="20"/>
      <c r="O865" s="20"/>
      <c r="U865" s="20"/>
      <c r="V865" s="20"/>
      <c r="W865" s="20"/>
      <c r="AA865" s="20"/>
      <c r="AB865" s="20"/>
      <c r="AC865" s="20"/>
      <c r="AD865" s="20"/>
    </row>
    <row r="866">
      <c r="F866" s="20"/>
      <c r="G866" s="20"/>
      <c r="H866" s="20"/>
      <c r="L866" s="20"/>
      <c r="M866" s="20"/>
      <c r="N866" s="20"/>
      <c r="O866" s="20"/>
      <c r="U866" s="20"/>
      <c r="V866" s="20"/>
      <c r="W866" s="20"/>
      <c r="AA866" s="20"/>
      <c r="AB866" s="20"/>
      <c r="AC866" s="20"/>
      <c r="AD866" s="20"/>
    </row>
    <row r="867">
      <c r="F867" s="20"/>
      <c r="G867" s="20"/>
      <c r="H867" s="20"/>
      <c r="L867" s="20"/>
      <c r="M867" s="20"/>
      <c r="N867" s="20"/>
      <c r="O867" s="20"/>
      <c r="U867" s="20"/>
      <c r="V867" s="20"/>
      <c r="W867" s="20"/>
      <c r="AA867" s="20"/>
      <c r="AB867" s="20"/>
      <c r="AC867" s="20"/>
      <c r="AD867" s="20"/>
    </row>
    <row r="868">
      <c r="F868" s="20"/>
      <c r="G868" s="20"/>
      <c r="H868" s="20"/>
      <c r="L868" s="20"/>
      <c r="M868" s="20"/>
      <c r="N868" s="20"/>
      <c r="O868" s="20"/>
      <c r="U868" s="20"/>
      <c r="V868" s="20"/>
      <c r="W868" s="20"/>
      <c r="AA868" s="20"/>
      <c r="AB868" s="20"/>
      <c r="AC868" s="20"/>
      <c r="AD868" s="20"/>
    </row>
    <row r="869">
      <c r="F869" s="20"/>
      <c r="G869" s="20"/>
      <c r="H869" s="20"/>
      <c r="L869" s="20"/>
      <c r="M869" s="20"/>
      <c r="N869" s="20"/>
      <c r="O869" s="20"/>
      <c r="U869" s="20"/>
      <c r="V869" s="20"/>
      <c r="W869" s="20"/>
      <c r="AA869" s="20"/>
      <c r="AB869" s="20"/>
      <c r="AC869" s="20"/>
      <c r="AD869" s="20"/>
    </row>
    <row r="870">
      <c r="F870" s="20"/>
      <c r="G870" s="20"/>
      <c r="H870" s="20"/>
      <c r="L870" s="20"/>
      <c r="M870" s="20"/>
      <c r="N870" s="20"/>
      <c r="O870" s="20"/>
      <c r="U870" s="20"/>
      <c r="V870" s="20"/>
      <c r="W870" s="20"/>
      <c r="AA870" s="20"/>
      <c r="AB870" s="20"/>
      <c r="AC870" s="20"/>
      <c r="AD870" s="20"/>
    </row>
    <row r="871">
      <c r="F871" s="20"/>
      <c r="G871" s="20"/>
      <c r="H871" s="20"/>
      <c r="L871" s="20"/>
      <c r="M871" s="20"/>
      <c r="N871" s="20"/>
      <c r="O871" s="20"/>
      <c r="U871" s="20"/>
      <c r="V871" s="20"/>
      <c r="W871" s="20"/>
      <c r="AA871" s="20"/>
      <c r="AB871" s="20"/>
      <c r="AC871" s="20"/>
      <c r="AD871" s="20"/>
    </row>
    <row r="872">
      <c r="F872" s="20"/>
      <c r="G872" s="20"/>
      <c r="H872" s="20"/>
      <c r="L872" s="20"/>
      <c r="M872" s="20"/>
      <c r="N872" s="20"/>
      <c r="O872" s="20"/>
      <c r="U872" s="20"/>
      <c r="V872" s="20"/>
      <c r="W872" s="20"/>
      <c r="AA872" s="20"/>
      <c r="AB872" s="20"/>
      <c r="AC872" s="20"/>
      <c r="AD872" s="20"/>
    </row>
    <row r="873">
      <c r="F873" s="20"/>
      <c r="G873" s="20"/>
      <c r="H873" s="20"/>
      <c r="L873" s="20"/>
      <c r="M873" s="20"/>
      <c r="N873" s="20"/>
      <c r="O873" s="20"/>
      <c r="U873" s="20"/>
      <c r="V873" s="20"/>
      <c r="W873" s="20"/>
      <c r="AA873" s="20"/>
      <c r="AB873" s="20"/>
      <c r="AC873" s="20"/>
      <c r="AD873" s="20"/>
    </row>
    <row r="874">
      <c r="F874" s="20"/>
      <c r="G874" s="20"/>
      <c r="H874" s="20"/>
      <c r="L874" s="20"/>
      <c r="M874" s="20"/>
      <c r="N874" s="20"/>
      <c r="O874" s="20"/>
      <c r="U874" s="20"/>
      <c r="V874" s="20"/>
      <c r="W874" s="20"/>
      <c r="AA874" s="20"/>
      <c r="AB874" s="20"/>
      <c r="AC874" s="20"/>
      <c r="AD874" s="20"/>
    </row>
    <row r="875">
      <c r="F875" s="20"/>
      <c r="G875" s="20"/>
      <c r="H875" s="20"/>
      <c r="L875" s="20"/>
      <c r="M875" s="20"/>
      <c r="N875" s="20"/>
      <c r="O875" s="20"/>
      <c r="U875" s="20"/>
      <c r="V875" s="20"/>
      <c r="W875" s="20"/>
      <c r="AA875" s="20"/>
      <c r="AB875" s="20"/>
      <c r="AC875" s="20"/>
      <c r="AD875" s="20"/>
    </row>
    <row r="876">
      <c r="F876" s="20"/>
      <c r="G876" s="20"/>
      <c r="H876" s="20"/>
      <c r="L876" s="20"/>
      <c r="M876" s="20"/>
      <c r="N876" s="20"/>
      <c r="O876" s="20"/>
      <c r="U876" s="20"/>
      <c r="V876" s="20"/>
      <c r="W876" s="20"/>
      <c r="AA876" s="20"/>
      <c r="AB876" s="20"/>
      <c r="AC876" s="20"/>
      <c r="AD876" s="20"/>
    </row>
    <row r="877">
      <c r="F877" s="20"/>
      <c r="G877" s="20"/>
      <c r="H877" s="20"/>
      <c r="L877" s="20"/>
      <c r="M877" s="20"/>
      <c r="N877" s="20"/>
      <c r="O877" s="20"/>
      <c r="U877" s="20"/>
      <c r="V877" s="20"/>
      <c r="W877" s="20"/>
      <c r="AA877" s="20"/>
      <c r="AB877" s="20"/>
      <c r="AC877" s="20"/>
      <c r="AD877" s="20"/>
    </row>
    <row r="878">
      <c r="F878" s="20"/>
      <c r="G878" s="20"/>
      <c r="H878" s="20"/>
      <c r="L878" s="20"/>
      <c r="M878" s="20"/>
      <c r="N878" s="20"/>
      <c r="O878" s="20"/>
      <c r="U878" s="20"/>
      <c r="V878" s="20"/>
      <c r="W878" s="20"/>
      <c r="AA878" s="20"/>
      <c r="AB878" s="20"/>
      <c r="AC878" s="20"/>
      <c r="AD878" s="20"/>
    </row>
    <row r="879">
      <c r="F879" s="20"/>
      <c r="G879" s="20"/>
      <c r="H879" s="20"/>
      <c r="L879" s="20"/>
      <c r="M879" s="20"/>
      <c r="N879" s="20"/>
      <c r="O879" s="20"/>
      <c r="U879" s="20"/>
      <c r="V879" s="20"/>
      <c r="W879" s="20"/>
      <c r="AA879" s="20"/>
      <c r="AB879" s="20"/>
      <c r="AC879" s="20"/>
      <c r="AD879" s="20"/>
    </row>
    <row r="880">
      <c r="F880" s="20"/>
      <c r="G880" s="20"/>
      <c r="H880" s="20"/>
      <c r="L880" s="20"/>
      <c r="M880" s="20"/>
      <c r="N880" s="20"/>
      <c r="O880" s="20"/>
      <c r="U880" s="20"/>
      <c r="V880" s="20"/>
      <c r="W880" s="20"/>
      <c r="AA880" s="20"/>
      <c r="AB880" s="20"/>
      <c r="AC880" s="20"/>
      <c r="AD880" s="20"/>
    </row>
    <row r="881">
      <c r="F881" s="20"/>
      <c r="G881" s="20"/>
      <c r="H881" s="20"/>
      <c r="L881" s="20"/>
      <c r="M881" s="20"/>
      <c r="N881" s="20"/>
      <c r="O881" s="20"/>
      <c r="U881" s="20"/>
      <c r="V881" s="20"/>
      <c r="W881" s="20"/>
      <c r="AA881" s="20"/>
      <c r="AB881" s="20"/>
      <c r="AC881" s="20"/>
      <c r="AD881" s="20"/>
    </row>
    <row r="882">
      <c r="F882" s="20"/>
      <c r="G882" s="20"/>
      <c r="H882" s="20"/>
      <c r="L882" s="20"/>
      <c r="M882" s="20"/>
      <c r="N882" s="20"/>
      <c r="O882" s="20"/>
      <c r="U882" s="20"/>
      <c r="V882" s="20"/>
      <c r="W882" s="20"/>
      <c r="AA882" s="20"/>
      <c r="AB882" s="20"/>
      <c r="AC882" s="20"/>
      <c r="AD882" s="20"/>
    </row>
    <row r="883">
      <c r="F883" s="20"/>
      <c r="G883" s="20"/>
      <c r="H883" s="20"/>
      <c r="L883" s="20"/>
      <c r="M883" s="20"/>
      <c r="N883" s="20"/>
      <c r="O883" s="20"/>
      <c r="U883" s="20"/>
      <c r="V883" s="20"/>
      <c r="W883" s="20"/>
      <c r="AA883" s="20"/>
      <c r="AB883" s="20"/>
      <c r="AC883" s="20"/>
      <c r="AD883" s="20"/>
    </row>
    <row r="884">
      <c r="F884" s="20"/>
      <c r="G884" s="20"/>
      <c r="H884" s="20"/>
      <c r="L884" s="20"/>
      <c r="M884" s="20"/>
      <c r="N884" s="20"/>
      <c r="O884" s="20"/>
      <c r="U884" s="20"/>
      <c r="V884" s="20"/>
      <c r="W884" s="20"/>
      <c r="AA884" s="20"/>
      <c r="AB884" s="20"/>
      <c r="AC884" s="20"/>
      <c r="AD884" s="20"/>
    </row>
    <row r="885">
      <c r="F885" s="20"/>
      <c r="G885" s="20"/>
      <c r="H885" s="20"/>
      <c r="L885" s="20"/>
      <c r="M885" s="20"/>
      <c r="N885" s="20"/>
      <c r="O885" s="20"/>
      <c r="U885" s="20"/>
      <c r="V885" s="20"/>
      <c r="W885" s="20"/>
      <c r="AA885" s="20"/>
      <c r="AB885" s="20"/>
      <c r="AC885" s="20"/>
      <c r="AD885" s="20"/>
    </row>
    <row r="886">
      <c r="F886" s="20"/>
      <c r="G886" s="20"/>
      <c r="H886" s="20"/>
      <c r="L886" s="20"/>
      <c r="M886" s="20"/>
      <c r="N886" s="20"/>
      <c r="O886" s="20"/>
      <c r="U886" s="20"/>
      <c r="V886" s="20"/>
      <c r="W886" s="20"/>
      <c r="AA886" s="20"/>
      <c r="AB886" s="20"/>
      <c r="AC886" s="20"/>
      <c r="AD886" s="20"/>
    </row>
    <row r="887">
      <c r="F887" s="20"/>
      <c r="G887" s="20"/>
      <c r="H887" s="20"/>
      <c r="L887" s="20"/>
      <c r="M887" s="20"/>
      <c r="N887" s="20"/>
      <c r="O887" s="20"/>
      <c r="U887" s="20"/>
      <c r="V887" s="20"/>
      <c r="W887" s="20"/>
      <c r="AA887" s="20"/>
      <c r="AB887" s="20"/>
      <c r="AC887" s="20"/>
      <c r="AD887" s="20"/>
    </row>
    <row r="888">
      <c r="F888" s="20"/>
      <c r="G888" s="20"/>
      <c r="H888" s="20"/>
      <c r="L888" s="20"/>
      <c r="M888" s="20"/>
      <c r="N888" s="20"/>
      <c r="O888" s="20"/>
      <c r="U888" s="20"/>
      <c r="V888" s="20"/>
      <c r="W888" s="20"/>
      <c r="AA888" s="20"/>
      <c r="AB888" s="20"/>
      <c r="AC888" s="20"/>
      <c r="AD888" s="20"/>
    </row>
    <row r="889">
      <c r="F889" s="20"/>
      <c r="G889" s="20"/>
      <c r="H889" s="20"/>
      <c r="L889" s="20"/>
      <c r="M889" s="20"/>
      <c r="N889" s="20"/>
      <c r="O889" s="20"/>
      <c r="U889" s="20"/>
      <c r="V889" s="20"/>
      <c r="W889" s="20"/>
      <c r="AA889" s="20"/>
      <c r="AB889" s="20"/>
      <c r="AC889" s="20"/>
      <c r="AD889" s="20"/>
    </row>
    <row r="890">
      <c r="F890" s="20"/>
      <c r="G890" s="20"/>
      <c r="H890" s="20"/>
      <c r="L890" s="20"/>
      <c r="M890" s="20"/>
      <c r="N890" s="20"/>
      <c r="O890" s="20"/>
      <c r="U890" s="20"/>
      <c r="V890" s="20"/>
      <c r="W890" s="20"/>
      <c r="AA890" s="20"/>
      <c r="AB890" s="20"/>
      <c r="AC890" s="20"/>
      <c r="AD890" s="20"/>
    </row>
    <row r="891">
      <c r="F891" s="20"/>
      <c r="G891" s="20"/>
      <c r="H891" s="20"/>
      <c r="L891" s="20"/>
      <c r="M891" s="20"/>
      <c r="N891" s="20"/>
      <c r="O891" s="20"/>
      <c r="U891" s="20"/>
      <c r="V891" s="20"/>
      <c r="W891" s="20"/>
      <c r="AA891" s="20"/>
      <c r="AB891" s="20"/>
      <c r="AC891" s="20"/>
      <c r="AD891" s="20"/>
    </row>
    <row r="892">
      <c r="F892" s="20"/>
      <c r="G892" s="20"/>
      <c r="H892" s="20"/>
      <c r="L892" s="20"/>
      <c r="M892" s="20"/>
      <c r="N892" s="20"/>
      <c r="O892" s="20"/>
      <c r="U892" s="20"/>
      <c r="V892" s="20"/>
      <c r="W892" s="20"/>
      <c r="AA892" s="20"/>
      <c r="AB892" s="20"/>
      <c r="AC892" s="20"/>
      <c r="AD892" s="20"/>
    </row>
    <row r="893">
      <c r="F893" s="20"/>
      <c r="G893" s="20"/>
      <c r="H893" s="20"/>
      <c r="L893" s="20"/>
      <c r="M893" s="20"/>
      <c r="N893" s="20"/>
      <c r="O893" s="20"/>
      <c r="U893" s="20"/>
      <c r="V893" s="20"/>
      <c r="W893" s="20"/>
      <c r="AA893" s="20"/>
      <c r="AB893" s="20"/>
      <c r="AC893" s="20"/>
      <c r="AD893" s="20"/>
    </row>
    <row r="894">
      <c r="F894" s="20"/>
      <c r="G894" s="20"/>
      <c r="H894" s="20"/>
      <c r="L894" s="20"/>
      <c r="M894" s="20"/>
      <c r="N894" s="20"/>
      <c r="O894" s="20"/>
      <c r="U894" s="20"/>
      <c r="V894" s="20"/>
      <c r="W894" s="20"/>
      <c r="AA894" s="20"/>
      <c r="AB894" s="20"/>
      <c r="AC894" s="20"/>
      <c r="AD894" s="20"/>
    </row>
    <row r="895">
      <c r="F895" s="20"/>
      <c r="G895" s="20"/>
      <c r="H895" s="20"/>
      <c r="L895" s="20"/>
      <c r="M895" s="20"/>
      <c r="N895" s="20"/>
      <c r="O895" s="20"/>
      <c r="U895" s="20"/>
      <c r="V895" s="20"/>
      <c r="W895" s="20"/>
      <c r="AA895" s="20"/>
      <c r="AB895" s="20"/>
      <c r="AC895" s="20"/>
      <c r="AD895" s="20"/>
    </row>
    <row r="896">
      <c r="F896" s="20"/>
      <c r="G896" s="20"/>
      <c r="H896" s="20"/>
      <c r="L896" s="20"/>
      <c r="M896" s="20"/>
      <c r="N896" s="20"/>
      <c r="O896" s="20"/>
      <c r="U896" s="20"/>
      <c r="V896" s="20"/>
      <c r="W896" s="20"/>
      <c r="AA896" s="20"/>
      <c r="AB896" s="20"/>
      <c r="AC896" s="20"/>
      <c r="AD896" s="20"/>
    </row>
    <row r="897">
      <c r="F897" s="20"/>
      <c r="G897" s="20"/>
      <c r="H897" s="20"/>
      <c r="L897" s="20"/>
      <c r="M897" s="20"/>
      <c r="N897" s="20"/>
      <c r="O897" s="20"/>
      <c r="U897" s="20"/>
      <c r="V897" s="20"/>
      <c r="W897" s="20"/>
      <c r="AA897" s="20"/>
      <c r="AB897" s="20"/>
      <c r="AC897" s="20"/>
      <c r="AD897" s="20"/>
    </row>
    <row r="898">
      <c r="F898" s="20"/>
      <c r="G898" s="20"/>
      <c r="H898" s="20"/>
      <c r="L898" s="20"/>
      <c r="M898" s="20"/>
      <c r="N898" s="20"/>
      <c r="O898" s="20"/>
      <c r="U898" s="20"/>
      <c r="V898" s="20"/>
      <c r="W898" s="20"/>
      <c r="AA898" s="20"/>
      <c r="AB898" s="20"/>
      <c r="AC898" s="20"/>
      <c r="AD898" s="20"/>
    </row>
    <row r="899">
      <c r="F899" s="20"/>
      <c r="G899" s="20"/>
      <c r="H899" s="20"/>
      <c r="L899" s="20"/>
      <c r="M899" s="20"/>
      <c r="N899" s="20"/>
      <c r="O899" s="20"/>
      <c r="U899" s="20"/>
      <c r="V899" s="20"/>
      <c r="W899" s="20"/>
      <c r="AA899" s="20"/>
      <c r="AB899" s="20"/>
      <c r="AC899" s="20"/>
      <c r="AD899" s="20"/>
    </row>
    <row r="900">
      <c r="F900" s="20"/>
      <c r="G900" s="20"/>
      <c r="H900" s="20"/>
      <c r="L900" s="20"/>
      <c r="M900" s="20"/>
      <c r="N900" s="20"/>
      <c r="O900" s="20"/>
      <c r="U900" s="20"/>
      <c r="V900" s="20"/>
      <c r="W900" s="20"/>
      <c r="AA900" s="20"/>
      <c r="AB900" s="20"/>
      <c r="AC900" s="20"/>
      <c r="AD900" s="20"/>
    </row>
    <row r="901">
      <c r="F901" s="20"/>
      <c r="G901" s="20"/>
      <c r="H901" s="20"/>
      <c r="L901" s="20"/>
      <c r="M901" s="20"/>
      <c r="N901" s="20"/>
      <c r="O901" s="20"/>
      <c r="U901" s="20"/>
      <c r="V901" s="20"/>
      <c r="W901" s="20"/>
      <c r="AA901" s="20"/>
      <c r="AB901" s="20"/>
      <c r="AC901" s="20"/>
      <c r="AD901" s="20"/>
    </row>
    <row r="902">
      <c r="F902" s="20"/>
      <c r="G902" s="20"/>
      <c r="H902" s="20"/>
      <c r="L902" s="20"/>
      <c r="M902" s="20"/>
      <c r="N902" s="20"/>
      <c r="O902" s="20"/>
      <c r="U902" s="20"/>
      <c r="V902" s="20"/>
      <c r="W902" s="20"/>
      <c r="AA902" s="20"/>
      <c r="AB902" s="20"/>
      <c r="AC902" s="20"/>
      <c r="AD902" s="20"/>
    </row>
    <row r="903">
      <c r="F903" s="20"/>
      <c r="G903" s="20"/>
      <c r="H903" s="20"/>
      <c r="L903" s="20"/>
      <c r="M903" s="20"/>
      <c r="N903" s="20"/>
      <c r="O903" s="20"/>
      <c r="U903" s="20"/>
      <c r="V903" s="20"/>
      <c r="W903" s="20"/>
      <c r="AA903" s="20"/>
      <c r="AB903" s="20"/>
      <c r="AC903" s="20"/>
      <c r="AD903" s="20"/>
    </row>
    <row r="904">
      <c r="F904" s="20"/>
      <c r="G904" s="20"/>
      <c r="H904" s="20"/>
      <c r="L904" s="20"/>
      <c r="M904" s="20"/>
      <c r="N904" s="20"/>
      <c r="O904" s="20"/>
      <c r="U904" s="20"/>
      <c r="V904" s="20"/>
      <c r="W904" s="20"/>
      <c r="AA904" s="20"/>
      <c r="AB904" s="20"/>
      <c r="AC904" s="20"/>
      <c r="AD904" s="20"/>
    </row>
    <row r="905">
      <c r="F905" s="20"/>
      <c r="G905" s="20"/>
      <c r="H905" s="20"/>
      <c r="L905" s="20"/>
      <c r="M905" s="20"/>
      <c r="N905" s="20"/>
      <c r="O905" s="20"/>
      <c r="U905" s="20"/>
      <c r="V905" s="20"/>
      <c r="W905" s="20"/>
      <c r="AA905" s="20"/>
      <c r="AB905" s="20"/>
      <c r="AC905" s="20"/>
      <c r="AD905" s="20"/>
    </row>
    <row r="906">
      <c r="F906" s="20"/>
      <c r="G906" s="20"/>
      <c r="H906" s="20"/>
      <c r="L906" s="20"/>
      <c r="M906" s="20"/>
      <c r="N906" s="20"/>
      <c r="O906" s="20"/>
      <c r="U906" s="20"/>
      <c r="V906" s="20"/>
      <c r="W906" s="20"/>
      <c r="AA906" s="20"/>
      <c r="AB906" s="20"/>
      <c r="AC906" s="20"/>
      <c r="AD906" s="20"/>
    </row>
    <row r="907">
      <c r="F907" s="20"/>
      <c r="G907" s="20"/>
      <c r="H907" s="20"/>
      <c r="L907" s="20"/>
      <c r="M907" s="20"/>
      <c r="N907" s="20"/>
      <c r="O907" s="20"/>
      <c r="U907" s="20"/>
      <c r="V907" s="20"/>
      <c r="W907" s="20"/>
      <c r="AA907" s="20"/>
      <c r="AB907" s="20"/>
      <c r="AC907" s="20"/>
      <c r="AD907" s="20"/>
    </row>
    <row r="908">
      <c r="F908" s="20"/>
      <c r="G908" s="20"/>
      <c r="H908" s="20"/>
      <c r="L908" s="20"/>
      <c r="M908" s="20"/>
      <c r="N908" s="20"/>
      <c r="O908" s="20"/>
      <c r="U908" s="20"/>
      <c r="V908" s="20"/>
      <c r="W908" s="20"/>
      <c r="AA908" s="20"/>
      <c r="AB908" s="20"/>
      <c r="AC908" s="20"/>
      <c r="AD908" s="20"/>
    </row>
    <row r="909">
      <c r="F909" s="20"/>
      <c r="G909" s="20"/>
      <c r="H909" s="20"/>
      <c r="L909" s="20"/>
      <c r="M909" s="20"/>
      <c r="N909" s="20"/>
      <c r="O909" s="20"/>
      <c r="U909" s="20"/>
      <c r="V909" s="20"/>
      <c r="W909" s="20"/>
      <c r="AA909" s="20"/>
      <c r="AB909" s="20"/>
      <c r="AC909" s="20"/>
      <c r="AD909" s="20"/>
    </row>
    <row r="910">
      <c r="F910" s="20"/>
      <c r="G910" s="20"/>
      <c r="H910" s="20"/>
      <c r="L910" s="20"/>
      <c r="M910" s="20"/>
      <c r="N910" s="20"/>
      <c r="O910" s="20"/>
      <c r="U910" s="20"/>
      <c r="V910" s="20"/>
      <c r="W910" s="20"/>
      <c r="AA910" s="20"/>
      <c r="AB910" s="20"/>
      <c r="AC910" s="20"/>
      <c r="AD910" s="20"/>
    </row>
    <row r="911">
      <c r="F911" s="20"/>
      <c r="G911" s="20"/>
      <c r="H911" s="20"/>
      <c r="L911" s="20"/>
      <c r="M911" s="20"/>
      <c r="N911" s="20"/>
      <c r="O911" s="20"/>
      <c r="U911" s="20"/>
      <c r="V911" s="20"/>
      <c r="W911" s="20"/>
      <c r="AA911" s="20"/>
      <c r="AB911" s="20"/>
      <c r="AC911" s="20"/>
      <c r="AD911" s="20"/>
    </row>
    <row r="912">
      <c r="F912" s="20"/>
      <c r="G912" s="20"/>
      <c r="H912" s="20"/>
      <c r="L912" s="20"/>
      <c r="M912" s="20"/>
      <c r="N912" s="20"/>
      <c r="O912" s="20"/>
      <c r="U912" s="20"/>
      <c r="V912" s="20"/>
      <c r="W912" s="20"/>
      <c r="AA912" s="20"/>
      <c r="AB912" s="20"/>
      <c r="AC912" s="20"/>
      <c r="AD912" s="20"/>
    </row>
    <row r="913">
      <c r="F913" s="20"/>
      <c r="G913" s="20"/>
      <c r="H913" s="20"/>
      <c r="L913" s="20"/>
      <c r="M913" s="20"/>
      <c r="N913" s="20"/>
      <c r="O913" s="20"/>
      <c r="U913" s="20"/>
      <c r="V913" s="20"/>
      <c r="W913" s="20"/>
      <c r="AA913" s="20"/>
      <c r="AB913" s="20"/>
      <c r="AC913" s="20"/>
      <c r="AD913" s="20"/>
    </row>
    <row r="914">
      <c r="F914" s="20"/>
      <c r="G914" s="20"/>
      <c r="H914" s="20"/>
      <c r="L914" s="20"/>
      <c r="M914" s="20"/>
      <c r="N914" s="20"/>
      <c r="O914" s="20"/>
      <c r="U914" s="20"/>
      <c r="V914" s="20"/>
      <c r="W914" s="20"/>
      <c r="AA914" s="20"/>
      <c r="AB914" s="20"/>
      <c r="AC914" s="20"/>
      <c r="AD914" s="20"/>
    </row>
    <row r="915">
      <c r="F915" s="20"/>
      <c r="G915" s="20"/>
      <c r="H915" s="20"/>
      <c r="L915" s="20"/>
      <c r="M915" s="20"/>
      <c r="N915" s="20"/>
      <c r="O915" s="20"/>
      <c r="U915" s="20"/>
      <c r="V915" s="20"/>
      <c r="W915" s="20"/>
      <c r="AA915" s="20"/>
      <c r="AB915" s="20"/>
      <c r="AC915" s="20"/>
      <c r="AD915" s="20"/>
    </row>
    <row r="916">
      <c r="F916" s="20"/>
      <c r="G916" s="20"/>
      <c r="H916" s="20"/>
      <c r="L916" s="20"/>
      <c r="M916" s="20"/>
      <c r="N916" s="20"/>
      <c r="O916" s="20"/>
      <c r="U916" s="20"/>
      <c r="V916" s="20"/>
      <c r="W916" s="20"/>
      <c r="AA916" s="20"/>
      <c r="AB916" s="20"/>
      <c r="AC916" s="20"/>
      <c r="AD916" s="20"/>
    </row>
    <row r="917">
      <c r="F917" s="20"/>
      <c r="G917" s="20"/>
      <c r="H917" s="20"/>
      <c r="L917" s="20"/>
      <c r="M917" s="20"/>
      <c r="N917" s="20"/>
      <c r="O917" s="20"/>
      <c r="U917" s="20"/>
      <c r="V917" s="20"/>
      <c r="W917" s="20"/>
      <c r="AA917" s="20"/>
      <c r="AB917" s="20"/>
      <c r="AC917" s="20"/>
      <c r="AD917" s="20"/>
    </row>
    <row r="918">
      <c r="F918" s="20"/>
      <c r="G918" s="20"/>
      <c r="H918" s="20"/>
      <c r="L918" s="20"/>
      <c r="M918" s="20"/>
      <c r="N918" s="20"/>
      <c r="O918" s="20"/>
      <c r="U918" s="20"/>
      <c r="V918" s="20"/>
      <c r="W918" s="20"/>
      <c r="AA918" s="20"/>
      <c r="AB918" s="20"/>
      <c r="AC918" s="20"/>
      <c r="AD918" s="20"/>
    </row>
    <row r="919">
      <c r="F919" s="20"/>
      <c r="G919" s="20"/>
      <c r="H919" s="20"/>
      <c r="L919" s="20"/>
      <c r="M919" s="20"/>
      <c r="N919" s="20"/>
      <c r="O919" s="20"/>
      <c r="U919" s="20"/>
      <c r="V919" s="20"/>
      <c r="W919" s="20"/>
      <c r="AA919" s="20"/>
      <c r="AB919" s="20"/>
      <c r="AC919" s="20"/>
      <c r="AD919" s="20"/>
    </row>
    <row r="920">
      <c r="F920" s="20"/>
      <c r="G920" s="20"/>
      <c r="H920" s="20"/>
      <c r="L920" s="20"/>
      <c r="M920" s="20"/>
      <c r="N920" s="20"/>
      <c r="O920" s="20"/>
      <c r="U920" s="20"/>
      <c r="V920" s="20"/>
      <c r="W920" s="20"/>
      <c r="AA920" s="20"/>
      <c r="AB920" s="20"/>
      <c r="AC920" s="20"/>
      <c r="AD920" s="20"/>
    </row>
    <row r="921">
      <c r="F921" s="20"/>
      <c r="G921" s="20"/>
      <c r="H921" s="20"/>
      <c r="L921" s="20"/>
      <c r="M921" s="20"/>
      <c r="N921" s="20"/>
      <c r="O921" s="20"/>
      <c r="U921" s="20"/>
      <c r="V921" s="20"/>
      <c r="W921" s="20"/>
      <c r="AA921" s="20"/>
      <c r="AB921" s="20"/>
      <c r="AC921" s="20"/>
      <c r="AD921" s="20"/>
    </row>
    <row r="922">
      <c r="F922" s="20"/>
      <c r="G922" s="20"/>
      <c r="H922" s="20"/>
      <c r="L922" s="20"/>
      <c r="M922" s="20"/>
      <c r="N922" s="20"/>
      <c r="O922" s="20"/>
      <c r="U922" s="20"/>
      <c r="V922" s="20"/>
      <c r="W922" s="20"/>
      <c r="AA922" s="20"/>
      <c r="AB922" s="20"/>
      <c r="AC922" s="20"/>
      <c r="AD922" s="20"/>
    </row>
    <row r="923">
      <c r="F923" s="20"/>
      <c r="G923" s="20"/>
      <c r="H923" s="20"/>
      <c r="L923" s="20"/>
      <c r="M923" s="20"/>
      <c r="N923" s="20"/>
      <c r="O923" s="20"/>
      <c r="U923" s="20"/>
      <c r="V923" s="20"/>
      <c r="W923" s="20"/>
      <c r="AA923" s="20"/>
      <c r="AB923" s="20"/>
      <c r="AC923" s="20"/>
      <c r="AD923" s="20"/>
    </row>
    <row r="924">
      <c r="F924" s="20"/>
      <c r="G924" s="20"/>
      <c r="H924" s="20"/>
      <c r="L924" s="20"/>
      <c r="M924" s="20"/>
      <c r="N924" s="20"/>
      <c r="O924" s="20"/>
      <c r="U924" s="20"/>
      <c r="V924" s="20"/>
      <c r="W924" s="20"/>
      <c r="AA924" s="20"/>
      <c r="AB924" s="20"/>
      <c r="AC924" s="20"/>
      <c r="AD924" s="20"/>
    </row>
    <row r="925">
      <c r="F925" s="20"/>
      <c r="G925" s="20"/>
      <c r="H925" s="20"/>
      <c r="L925" s="20"/>
      <c r="M925" s="20"/>
      <c r="N925" s="20"/>
      <c r="O925" s="20"/>
      <c r="U925" s="20"/>
      <c r="V925" s="20"/>
      <c r="W925" s="20"/>
      <c r="AA925" s="20"/>
      <c r="AB925" s="20"/>
      <c r="AC925" s="20"/>
      <c r="AD925" s="20"/>
    </row>
    <row r="926">
      <c r="F926" s="20"/>
      <c r="G926" s="20"/>
      <c r="H926" s="20"/>
      <c r="L926" s="20"/>
      <c r="M926" s="20"/>
      <c r="N926" s="20"/>
      <c r="O926" s="20"/>
      <c r="U926" s="20"/>
      <c r="V926" s="20"/>
      <c r="W926" s="20"/>
      <c r="AA926" s="20"/>
      <c r="AB926" s="20"/>
      <c r="AC926" s="20"/>
      <c r="AD926" s="20"/>
    </row>
    <row r="927">
      <c r="F927" s="20"/>
      <c r="G927" s="20"/>
      <c r="H927" s="20"/>
      <c r="L927" s="20"/>
      <c r="M927" s="20"/>
      <c r="N927" s="20"/>
      <c r="O927" s="20"/>
      <c r="U927" s="20"/>
      <c r="V927" s="20"/>
      <c r="W927" s="20"/>
      <c r="AA927" s="20"/>
      <c r="AB927" s="20"/>
      <c r="AC927" s="20"/>
      <c r="AD927" s="20"/>
    </row>
    <row r="928">
      <c r="F928" s="20"/>
      <c r="G928" s="20"/>
      <c r="H928" s="20"/>
      <c r="L928" s="20"/>
      <c r="M928" s="20"/>
      <c r="N928" s="20"/>
      <c r="O928" s="20"/>
      <c r="U928" s="20"/>
      <c r="V928" s="20"/>
      <c r="W928" s="20"/>
      <c r="AA928" s="20"/>
      <c r="AB928" s="20"/>
      <c r="AC928" s="20"/>
      <c r="AD928" s="20"/>
    </row>
    <row r="929">
      <c r="F929" s="20"/>
      <c r="G929" s="20"/>
      <c r="H929" s="20"/>
      <c r="L929" s="20"/>
      <c r="M929" s="20"/>
      <c r="N929" s="20"/>
      <c r="O929" s="20"/>
      <c r="U929" s="20"/>
      <c r="V929" s="20"/>
      <c r="W929" s="20"/>
      <c r="AA929" s="20"/>
      <c r="AB929" s="20"/>
      <c r="AC929" s="20"/>
      <c r="AD929" s="20"/>
    </row>
    <row r="930">
      <c r="F930" s="20"/>
      <c r="G930" s="20"/>
      <c r="H930" s="20"/>
      <c r="L930" s="20"/>
      <c r="M930" s="20"/>
      <c r="N930" s="20"/>
      <c r="O930" s="20"/>
      <c r="U930" s="20"/>
      <c r="V930" s="20"/>
      <c r="W930" s="20"/>
      <c r="AA930" s="20"/>
      <c r="AB930" s="20"/>
      <c r="AC930" s="20"/>
      <c r="AD930" s="20"/>
    </row>
    <row r="931">
      <c r="F931" s="20"/>
      <c r="G931" s="20"/>
      <c r="H931" s="20"/>
      <c r="L931" s="20"/>
      <c r="M931" s="20"/>
      <c r="N931" s="20"/>
      <c r="O931" s="20"/>
      <c r="U931" s="20"/>
      <c r="V931" s="20"/>
      <c r="W931" s="20"/>
      <c r="AA931" s="20"/>
      <c r="AB931" s="20"/>
      <c r="AC931" s="20"/>
      <c r="AD931" s="20"/>
    </row>
    <row r="932">
      <c r="F932" s="20"/>
      <c r="G932" s="20"/>
      <c r="H932" s="20"/>
      <c r="L932" s="20"/>
      <c r="M932" s="20"/>
      <c r="N932" s="20"/>
      <c r="O932" s="20"/>
      <c r="U932" s="20"/>
      <c r="V932" s="20"/>
      <c r="W932" s="20"/>
      <c r="AA932" s="20"/>
      <c r="AB932" s="20"/>
      <c r="AC932" s="20"/>
      <c r="AD932" s="20"/>
    </row>
    <row r="933">
      <c r="F933" s="20"/>
      <c r="G933" s="20"/>
      <c r="H933" s="20"/>
      <c r="L933" s="20"/>
      <c r="M933" s="20"/>
      <c r="N933" s="20"/>
      <c r="O933" s="20"/>
      <c r="U933" s="20"/>
      <c r="V933" s="20"/>
      <c r="W933" s="20"/>
      <c r="AA933" s="20"/>
      <c r="AB933" s="20"/>
      <c r="AC933" s="20"/>
      <c r="AD933" s="20"/>
    </row>
    <row r="934">
      <c r="F934" s="20"/>
      <c r="G934" s="20"/>
      <c r="H934" s="20"/>
      <c r="L934" s="20"/>
      <c r="M934" s="20"/>
      <c r="N934" s="20"/>
      <c r="O934" s="20"/>
      <c r="U934" s="20"/>
      <c r="V934" s="20"/>
      <c r="W934" s="20"/>
      <c r="AA934" s="20"/>
      <c r="AB934" s="20"/>
      <c r="AC934" s="20"/>
      <c r="AD934" s="20"/>
    </row>
    <row r="935">
      <c r="F935" s="20"/>
      <c r="G935" s="20"/>
      <c r="H935" s="20"/>
      <c r="L935" s="20"/>
      <c r="M935" s="20"/>
      <c r="N935" s="20"/>
      <c r="O935" s="20"/>
      <c r="U935" s="20"/>
      <c r="V935" s="20"/>
      <c r="W935" s="20"/>
      <c r="AA935" s="20"/>
      <c r="AB935" s="20"/>
      <c r="AC935" s="20"/>
      <c r="AD935" s="20"/>
    </row>
    <row r="936">
      <c r="F936" s="20"/>
      <c r="G936" s="20"/>
      <c r="H936" s="20"/>
      <c r="L936" s="20"/>
      <c r="M936" s="20"/>
      <c r="N936" s="20"/>
      <c r="O936" s="20"/>
      <c r="U936" s="20"/>
      <c r="V936" s="20"/>
      <c r="W936" s="20"/>
      <c r="AA936" s="20"/>
      <c r="AB936" s="20"/>
      <c r="AC936" s="20"/>
      <c r="AD936" s="20"/>
    </row>
    <row r="937">
      <c r="F937" s="20"/>
      <c r="G937" s="20"/>
      <c r="H937" s="20"/>
      <c r="L937" s="20"/>
      <c r="M937" s="20"/>
      <c r="N937" s="20"/>
      <c r="O937" s="20"/>
      <c r="U937" s="20"/>
      <c r="V937" s="20"/>
      <c r="W937" s="20"/>
      <c r="AA937" s="20"/>
      <c r="AB937" s="20"/>
      <c r="AC937" s="20"/>
      <c r="AD937" s="20"/>
    </row>
    <row r="938">
      <c r="F938" s="20"/>
      <c r="G938" s="20"/>
      <c r="H938" s="20"/>
      <c r="L938" s="20"/>
      <c r="M938" s="20"/>
      <c r="N938" s="20"/>
      <c r="O938" s="20"/>
      <c r="U938" s="20"/>
      <c r="V938" s="20"/>
      <c r="W938" s="20"/>
      <c r="AA938" s="20"/>
      <c r="AB938" s="20"/>
      <c r="AC938" s="20"/>
      <c r="AD938" s="20"/>
    </row>
    <row r="939">
      <c r="F939" s="20"/>
      <c r="G939" s="20"/>
      <c r="H939" s="20"/>
      <c r="L939" s="20"/>
      <c r="M939" s="20"/>
      <c r="N939" s="20"/>
      <c r="O939" s="20"/>
      <c r="U939" s="20"/>
      <c r="V939" s="20"/>
      <c r="W939" s="20"/>
      <c r="AA939" s="20"/>
      <c r="AB939" s="20"/>
      <c r="AC939" s="20"/>
      <c r="AD939" s="20"/>
    </row>
    <row r="940">
      <c r="F940" s="20"/>
      <c r="G940" s="20"/>
      <c r="H940" s="20"/>
      <c r="L940" s="20"/>
      <c r="M940" s="20"/>
      <c r="N940" s="20"/>
      <c r="O940" s="20"/>
      <c r="U940" s="20"/>
      <c r="V940" s="20"/>
      <c r="W940" s="20"/>
      <c r="AA940" s="20"/>
      <c r="AB940" s="20"/>
      <c r="AC940" s="20"/>
      <c r="AD940" s="20"/>
    </row>
    <row r="941">
      <c r="F941" s="20"/>
      <c r="G941" s="20"/>
      <c r="H941" s="20"/>
      <c r="L941" s="20"/>
      <c r="M941" s="20"/>
      <c r="N941" s="20"/>
      <c r="O941" s="20"/>
      <c r="U941" s="20"/>
      <c r="V941" s="20"/>
      <c r="W941" s="20"/>
      <c r="AA941" s="20"/>
      <c r="AB941" s="20"/>
      <c r="AC941" s="20"/>
      <c r="AD941" s="20"/>
    </row>
    <row r="942">
      <c r="F942" s="20"/>
      <c r="G942" s="20"/>
      <c r="H942" s="20"/>
      <c r="L942" s="20"/>
      <c r="M942" s="20"/>
      <c r="N942" s="20"/>
      <c r="O942" s="20"/>
      <c r="U942" s="20"/>
      <c r="V942" s="20"/>
      <c r="W942" s="20"/>
      <c r="AA942" s="20"/>
      <c r="AB942" s="20"/>
      <c r="AC942" s="20"/>
      <c r="AD942" s="20"/>
    </row>
    <row r="943">
      <c r="F943" s="20"/>
      <c r="G943" s="20"/>
      <c r="H943" s="20"/>
      <c r="L943" s="20"/>
      <c r="M943" s="20"/>
      <c r="N943" s="20"/>
      <c r="O943" s="20"/>
      <c r="U943" s="20"/>
      <c r="V943" s="20"/>
      <c r="W943" s="20"/>
      <c r="AA943" s="20"/>
      <c r="AB943" s="20"/>
      <c r="AC943" s="20"/>
      <c r="AD943" s="20"/>
    </row>
    <row r="944">
      <c r="F944" s="20"/>
      <c r="G944" s="20"/>
      <c r="H944" s="20"/>
      <c r="L944" s="20"/>
      <c r="M944" s="20"/>
      <c r="N944" s="20"/>
      <c r="O944" s="20"/>
      <c r="U944" s="20"/>
      <c r="V944" s="20"/>
      <c r="W944" s="20"/>
      <c r="AA944" s="20"/>
      <c r="AB944" s="20"/>
      <c r="AC944" s="20"/>
      <c r="AD944" s="20"/>
    </row>
    <row r="945">
      <c r="F945" s="20"/>
      <c r="G945" s="20"/>
      <c r="H945" s="20"/>
      <c r="L945" s="20"/>
      <c r="M945" s="20"/>
      <c r="N945" s="20"/>
      <c r="O945" s="20"/>
      <c r="U945" s="20"/>
      <c r="V945" s="20"/>
      <c r="W945" s="20"/>
      <c r="AA945" s="20"/>
      <c r="AB945" s="20"/>
      <c r="AC945" s="20"/>
      <c r="AD945" s="20"/>
    </row>
    <row r="946">
      <c r="F946" s="20"/>
      <c r="G946" s="20"/>
      <c r="H946" s="20"/>
      <c r="L946" s="20"/>
      <c r="M946" s="20"/>
      <c r="N946" s="20"/>
      <c r="O946" s="20"/>
      <c r="U946" s="20"/>
      <c r="V946" s="20"/>
      <c r="W946" s="20"/>
      <c r="AA946" s="20"/>
      <c r="AB946" s="20"/>
      <c r="AC946" s="20"/>
      <c r="AD946" s="20"/>
    </row>
    <row r="947">
      <c r="F947" s="20"/>
      <c r="G947" s="20"/>
      <c r="H947" s="20"/>
      <c r="L947" s="20"/>
      <c r="M947" s="20"/>
      <c r="N947" s="20"/>
      <c r="O947" s="20"/>
      <c r="U947" s="20"/>
      <c r="V947" s="20"/>
      <c r="W947" s="20"/>
      <c r="AA947" s="20"/>
      <c r="AB947" s="20"/>
      <c r="AC947" s="20"/>
      <c r="AD947" s="20"/>
    </row>
    <row r="948">
      <c r="F948" s="20"/>
      <c r="G948" s="20"/>
      <c r="H948" s="20"/>
      <c r="L948" s="20"/>
      <c r="M948" s="20"/>
      <c r="N948" s="20"/>
      <c r="O948" s="20"/>
      <c r="U948" s="20"/>
      <c r="V948" s="20"/>
      <c r="W948" s="20"/>
      <c r="AA948" s="20"/>
      <c r="AB948" s="20"/>
      <c r="AC948" s="20"/>
      <c r="AD948" s="20"/>
    </row>
    <row r="949">
      <c r="F949" s="20"/>
      <c r="G949" s="20"/>
      <c r="H949" s="20"/>
      <c r="L949" s="20"/>
      <c r="M949" s="20"/>
      <c r="N949" s="20"/>
      <c r="O949" s="20"/>
      <c r="U949" s="20"/>
      <c r="V949" s="20"/>
      <c r="W949" s="20"/>
      <c r="AA949" s="20"/>
      <c r="AB949" s="20"/>
      <c r="AC949" s="20"/>
      <c r="AD949" s="20"/>
    </row>
    <row r="950">
      <c r="F950" s="20"/>
      <c r="G950" s="20"/>
      <c r="H950" s="20"/>
      <c r="L950" s="20"/>
      <c r="M950" s="20"/>
      <c r="N950" s="20"/>
      <c r="O950" s="20"/>
      <c r="U950" s="20"/>
      <c r="V950" s="20"/>
      <c r="W950" s="20"/>
      <c r="AA950" s="20"/>
      <c r="AB950" s="20"/>
      <c r="AC950" s="20"/>
      <c r="AD950" s="20"/>
    </row>
    <row r="951">
      <c r="F951" s="20"/>
      <c r="G951" s="20"/>
      <c r="H951" s="20"/>
      <c r="L951" s="20"/>
      <c r="M951" s="20"/>
      <c r="N951" s="20"/>
      <c r="O951" s="20"/>
      <c r="U951" s="20"/>
      <c r="V951" s="20"/>
      <c r="W951" s="20"/>
      <c r="AA951" s="20"/>
      <c r="AB951" s="20"/>
      <c r="AC951" s="20"/>
      <c r="AD951" s="20"/>
    </row>
    <row r="952">
      <c r="F952" s="20"/>
      <c r="G952" s="20"/>
      <c r="H952" s="20"/>
      <c r="L952" s="20"/>
      <c r="M952" s="20"/>
      <c r="N952" s="20"/>
      <c r="O952" s="20"/>
      <c r="U952" s="20"/>
      <c r="V952" s="20"/>
      <c r="W952" s="20"/>
      <c r="AA952" s="20"/>
      <c r="AB952" s="20"/>
      <c r="AC952" s="20"/>
      <c r="AD952" s="20"/>
    </row>
    <row r="953">
      <c r="F953" s="20"/>
      <c r="G953" s="20"/>
      <c r="H953" s="20"/>
      <c r="L953" s="20"/>
      <c r="M953" s="20"/>
      <c r="N953" s="20"/>
      <c r="O953" s="20"/>
      <c r="U953" s="20"/>
      <c r="V953" s="20"/>
      <c r="W953" s="20"/>
      <c r="AA953" s="20"/>
      <c r="AB953" s="20"/>
      <c r="AC953" s="20"/>
      <c r="AD953" s="20"/>
    </row>
    <row r="954">
      <c r="F954" s="20"/>
      <c r="G954" s="20"/>
      <c r="H954" s="20"/>
      <c r="L954" s="20"/>
      <c r="M954" s="20"/>
      <c r="N954" s="20"/>
      <c r="O954" s="20"/>
      <c r="U954" s="20"/>
      <c r="V954" s="20"/>
      <c r="W954" s="20"/>
      <c r="AA954" s="20"/>
      <c r="AB954" s="20"/>
      <c r="AC954" s="20"/>
      <c r="AD954" s="20"/>
    </row>
    <row r="955">
      <c r="F955" s="20"/>
      <c r="G955" s="20"/>
      <c r="H955" s="20"/>
      <c r="L955" s="20"/>
      <c r="M955" s="20"/>
      <c r="N955" s="20"/>
      <c r="O955" s="20"/>
      <c r="U955" s="20"/>
      <c r="V955" s="20"/>
      <c r="W955" s="20"/>
      <c r="AA955" s="20"/>
      <c r="AB955" s="20"/>
      <c r="AC955" s="20"/>
      <c r="AD955" s="20"/>
    </row>
    <row r="956">
      <c r="F956" s="20"/>
      <c r="G956" s="20"/>
      <c r="H956" s="20"/>
      <c r="L956" s="20"/>
      <c r="M956" s="20"/>
      <c r="N956" s="20"/>
      <c r="O956" s="20"/>
      <c r="U956" s="20"/>
      <c r="V956" s="20"/>
      <c r="W956" s="20"/>
      <c r="AA956" s="20"/>
      <c r="AB956" s="20"/>
      <c r="AC956" s="20"/>
      <c r="AD956" s="20"/>
    </row>
    <row r="957">
      <c r="F957" s="20"/>
      <c r="G957" s="20"/>
      <c r="H957" s="20"/>
      <c r="L957" s="20"/>
      <c r="M957" s="20"/>
      <c r="N957" s="20"/>
      <c r="O957" s="20"/>
      <c r="U957" s="20"/>
      <c r="V957" s="20"/>
      <c r="W957" s="20"/>
      <c r="AA957" s="20"/>
      <c r="AB957" s="20"/>
      <c r="AC957" s="20"/>
      <c r="AD957" s="20"/>
    </row>
    <row r="958">
      <c r="F958" s="20"/>
      <c r="G958" s="20"/>
      <c r="H958" s="20"/>
      <c r="L958" s="20"/>
      <c r="M958" s="20"/>
      <c r="N958" s="20"/>
      <c r="O958" s="20"/>
      <c r="U958" s="20"/>
      <c r="V958" s="20"/>
      <c r="W958" s="20"/>
      <c r="AA958" s="20"/>
      <c r="AB958" s="20"/>
      <c r="AC958" s="20"/>
      <c r="AD958" s="20"/>
    </row>
    <row r="959">
      <c r="F959" s="20"/>
      <c r="G959" s="20"/>
      <c r="H959" s="20"/>
      <c r="L959" s="20"/>
      <c r="M959" s="20"/>
      <c r="N959" s="20"/>
      <c r="O959" s="20"/>
      <c r="U959" s="20"/>
      <c r="V959" s="20"/>
      <c r="W959" s="20"/>
      <c r="AA959" s="20"/>
      <c r="AB959" s="20"/>
      <c r="AC959" s="20"/>
      <c r="AD959" s="20"/>
    </row>
    <row r="960">
      <c r="F960" s="20"/>
      <c r="G960" s="20"/>
      <c r="H960" s="20"/>
      <c r="L960" s="20"/>
      <c r="M960" s="20"/>
      <c r="N960" s="20"/>
      <c r="O960" s="20"/>
      <c r="U960" s="20"/>
      <c r="V960" s="20"/>
      <c r="W960" s="20"/>
      <c r="AA960" s="20"/>
      <c r="AB960" s="20"/>
      <c r="AC960" s="20"/>
      <c r="AD960" s="20"/>
    </row>
    <row r="961">
      <c r="F961" s="20"/>
      <c r="G961" s="20"/>
      <c r="H961" s="20"/>
      <c r="L961" s="20"/>
      <c r="M961" s="20"/>
      <c r="N961" s="20"/>
      <c r="O961" s="20"/>
      <c r="U961" s="20"/>
      <c r="V961" s="20"/>
      <c r="W961" s="20"/>
      <c r="AA961" s="20"/>
      <c r="AB961" s="20"/>
      <c r="AC961" s="20"/>
      <c r="AD961" s="20"/>
    </row>
    <row r="962">
      <c r="F962" s="20"/>
      <c r="G962" s="20"/>
      <c r="H962" s="20"/>
      <c r="L962" s="20"/>
      <c r="M962" s="20"/>
      <c r="N962" s="20"/>
      <c r="O962" s="20"/>
      <c r="U962" s="20"/>
      <c r="V962" s="20"/>
      <c r="W962" s="20"/>
      <c r="AA962" s="20"/>
      <c r="AB962" s="20"/>
      <c r="AC962" s="20"/>
      <c r="AD962" s="20"/>
    </row>
    <row r="963">
      <c r="F963" s="20"/>
      <c r="G963" s="20"/>
      <c r="H963" s="20"/>
      <c r="L963" s="20"/>
      <c r="M963" s="20"/>
      <c r="N963" s="20"/>
      <c r="O963" s="20"/>
      <c r="U963" s="20"/>
      <c r="V963" s="20"/>
      <c r="W963" s="20"/>
      <c r="AA963" s="20"/>
      <c r="AB963" s="20"/>
      <c r="AC963" s="20"/>
      <c r="AD963" s="20"/>
    </row>
    <row r="964">
      <c r="F964" s="20"/>
      <c r="G964" s="20"/>
      <c r="H964" s="20"/>
      <c r="L964" s="20"/>
      <c r="M964" s="20"/>
      <c r="N964" s="20"/>
      <c r="O964" s="20"/>
      <c r="U964" s="20"/>
      <c r="V964" s="20"/>
      <c r="W964" s="20"/>
      <c r="AA964" s="20"/>
      <c r="AB964" s="20"/>
      <c r="AC964" s="20"/>
      <c r="AD964" s="20"/>
    </row>
    <row r="965">
      <c r="F965" s="20"/>
      <c r="G965" s="20"/>
      <c r="H965" s="20"/>
      <c r="L965" s="20"/>
      <c r="M965" s="20"/>
      <c r="N965" s="20"/>
      <c r="O965" s="20"/>
      <c r="U965" s="20"/>
      <c r="V965" s="20"/>
      <c r="W965" s="20"/>
      <c r="AA965" s="20"/>
      <c r="AB965" s="20"/>
      <c r="AC965" s="20"/>
      <c r="AD965" s="20"/>
    </row>
    <row r="966">
      <c r="F966" s="20"/>
      <c r="G966" s="20"/>
      <c r="H966" s="20"/>
      <c r="L966" s="20"/>
      <c r="M966" s="20"/>
      <c r="N966" s="20"/>
      <c r="O966" s="20"/>
      <c r="U966" s="20"/>
      <c r="V966" s="20"/>
      <c r="W966" s="20"/>
      <c r="AA966" s="20"/>
      <c r="AB966" s="20"/>
      <c r="AC966" s="20"/>
      <c r="AD966" s="20"/>
    </row>
    <row r="967">
      <c r="F967" s="20"/>
      <c r="G967" s="20"/>
      <c r="H967" s="20"/>
      <c r="L967" s="20"/>
      <c r="M967" s="20"/>
      <c r="N967" s="20"/>
      <c r="O967" s="20"/>
      <c r="U967" s="20"/>
      <c r="V967" s="20"/>
      <c r="W967" s="20"/>
      <c r="AA967" s="20"/>
      <c r="AB967" s="20"/>
      <c r="AC967" s="20"/>
      <c r="AD967" s="20"/>
    </row>
    <row r="968">
      <c r="F968" s="20"/>
      <c r="G968" s="20"/>
      <c r="H968" s="20"/>
      <c r="L968" s="20"/>
      <c r="M968" s="20"/>
      <c r="N968" s="20"/>
      <c r="O968" s="20"/>
      <c r="U968" s="20"/>
      <c r="V968" s="20"/>
      <c r="W968" s="20"/>
      <c r="AA968" s="20"/>
      <c r="AB968" s="20"/>
      <c r="AC968" s="20"/>
      <c r="AD968" s="20"/>
    </row>
    <row r="969">
      <c r="F969" s="20"/>
      <c r="G969" s="20"/>
      <c r="H969" s="20"/>
      <c r="L969" s="20"/>
      <c r="M969" s="20"/>
      <c r="N969" s="20"/>
      <c r="O969" s="20"/>
      <c r="U969" s="20"/>
      <c r="V969" s="20"/>
      <c r="W969" s="20"/>
      <c r="AA969" s="20"/>
      <c r="AB969" s="20"/>
      <c r="AC969" s="20"/>
      <c r="AD969" s="20"/>
    </row>
    <row r="970">
      <c r="F970" s="20"/>
      <c r="G970" s="20"/>
      <c r="H970" s="20"/>
      <c r="L970" s="20"/>
      <c r="M970" s="20"/>
      <c r="N970" s="20"/>
      <c r="O970" s="20"/>
      <c r="U970" s="20"/>
      <c r="V970" s="20"/>
      <c r="W970" s="20"/>
      <c r="AA970" s="20"/>
      <c r="AB970" s="20"/>
      <c r="AC970" s="20"/>
      <c r="AD970" s="20"/>
    </row>
    <row r="971">
      <c r="F971" s="20"/>
      <c r="G971" s="20"/>
      <c r="H971" s="20"/>
      <c r="L971" s="20"/>
      <c r="M971" s="20"/>
      <c r="N971" s="20"/>
      <c r="O971" s="20"/>
      <c r="U971" s="20"/>
      <c r="V971" s="20"/>
      <c r="W971" s="20"/>
      <c r="AA971" s="20"/>
      <c r="AB971" s="20"/>
      <c r="AC971" s="20"/>
      <c r="AD971" s="20"/>
    </row>
    <row r="972">
      <c r="F972" s="20"/>
      <c r="G972" s="20"/>
      <c r="H972" s="20"/>
      <c r="L972" s="20"/>
      <c r="M972" s="20"/>
      <c r="N972" s="20"/>
      <c r="O972" s="20"/>
      <c r="U972" s="20"/>
      <c r="V972" s="20"/>
      <c r="W972" s="20"/>
      <c r="AA972" s="20"/>
      <c r="AB972" s="20"/>
      <c r="AC972" s="20"/>
      <c r="AD972" s="20"/>
    </row>
    <row r="973">
      <c r="F973" s="20"/>
      <c r="G973" s="20"/>
      <c r="H973" s="20"/>
      <c r="L973" s="20"/>
      <c r="M973" s="20"/>
      <c r="N973" s="20"/>
      <c r="O973" s="20"/>
      <c r="U973" s="20"/>
      <c r="V973" s="20"/>
      <c r="W973" s="20"/>
      <c r="AA973" s="20"/>
      <c r="AB973" s="20"/>
      <c r="AC973" s="20"/>
      <c r="AD973" s="20"/>
    </row>
    <row r="974">
      <c r="F974" s="20"/>
      <c r="G974" s="20"/>
      <c r="H974" s="20"/>
      <c r="L974" s="20"/>
      <c r="M974" s="20"/>
      <c r="N974" s="20"/>
      <c r="O974" s="20"/>
      <c r="U974" s="20"/>
      <c r="V974" s="20"/>
      <c r="W974" s="20"/>
      <c r="AA974" s="20"/>
      <c r="AB974" s="20"/>
      <c r="AC974" s="20"/>
      <c r="AD974" s="20"/>
    </row>
    <row r="975">
      <c r="F975" s="20"/>
      <c r="G975" s="20"/>
      <c r="H975" s="20"/>
      <c r="L975" s="20"/>
      <c r="M975" s="20"/>
      <c r="N975" s="20"/>
      <c r="O975" s="20"/>
      <c r="U975" s="20"/>
      <c r="V975" s="20"/>
      <c r="W975" s="20"/>
      <c r="AA975" s="20"/>
      <c r="AB975" s="20"/>
      <c r="AC975" s="20"/>
      <c r="AD975" s="20"/>
    </row>
    <row r="976">
      <c r="F976" s="20"/>
      <c r="G976" s="20"/>
      <c r="H976" s="20"/>
      <c r="L976" s="20"/>
      <c r="M976" s="20"/>
      <c r="N976" s="20"/>
      <c r="O976" s="20"/>
      <c r="U976" s="20"/>
      <c r="V976" s="20"/>
      <c r="W976" s="20"/>
      <c r="AA976" s="20"/>
      <c r="AB976" s="20"/>
      <c r="AC976" s="20"/>
      <c r="AD976" s="20"/>
    </row>
    <row r="977">
      <c r="F977" s="20"/>
      <c r="G977" s="20"/>
      <c r="H977" s="20"/>
      <c r="L977" s="20"/>
      <c r="M977" s="20"/>
      <c r="N977" s="20"/>
      <c r="O977" s="20"/>
      <c r="U977" s="20"/>
      <c r="V977" s="20"/>
      <c r="W977" s="20"/>
      <c r="AA977" s="20"/>
      <c r="AB977" s="20"/>
      <c r="AC977" s="20"/>
      <c r="AD977" s="20"/>
    </row>
    <row r="978">
      <c r="F978" s="20"/>
      <c r="G978" s="20"/>
      <c r="H978" s="20"/>
      <c r="L978" s="20"/>
      <c r="M978" s="20"/>
      <c r="N978" s="20"/>
      <c r="O978" s="20"/>
      <c r="U978" s="20"/>
      <c r="V978" s="20"/>
      <c r="W978" s="20"/>
      <c r="AA978" s="20"/>
      <c r="AB978" s="20"/>
      <c r="AC978" s="20"/>
      <c r="AD978" s="20"/>
    </row>
    <row r="979">
      <c r="F979" s="20"/>
      <c r="G979" s="20"/>
      <c r="H979" s="20"/>
      <c r="L979" s="20"/>
      <c r="M979" s="20"/>
      <c r="N979" s="20"/>
      <c r="O979" s="20"/>
      <c r="U979" s="20"/>
      <c r="V979" s="20"/>
      <c r="W979" s="20"/>
      <c r="AA979" s="20"/>
      <c r="AB979" s="20"/>
      <c r="AC979" s="20"/>
      <c r="AD979" s="20"/>
    </row>
    <row r="980">
      <c r="F980" s="20"/>
      <c r="G980" s="20"/>
      <c r="H980" s="20"/>
      <c r="L980" s="20"/>
      <c r="M980" s="20"/>
      <c r="N980" s="20"/>
      <c r="O980" s="20"/>
      <c r="U980" s="20"/>
      <c r="V980" s="20"/>
      <c r="W980" s="20"/>
      <c r="AA980" s="20"/>
      <c r="AB980" s="20"/>
      <c r="AC980" s="20"/>
      <c r="AD980" s="20"/>
    </row>
    <row r="981">
      <c r="F981" s="20"/>
      <c r="G981" s="20"/>
      <c r="H981" s="20"/>
      <c r="L981" s="20"/>
      <c r="M981" s="20"/>
      <c r="N981" s="20"/>
      <c r="O981" s="20"/>
      <c r="U981" s="20"/>
      <c r="V981" s="20"/>
      <c r="W981" s="20"/>
      <c r="AA981" s="20"/>
      <c r="AB981" s="20"/>
      <c r="AC981" s="20"/>
      <c r="AD981" s="20"/>
    </row>
    <row r="982">
      <c r="F982" s="20"/>
      <c r="G982" s="20"/>
      <c r="H982" s="20"/>
      <c r="L982" s="20"/>
      <c r="M982" s="20"/>
      <c r="N982" s="20"/>
      <c r="O982" s="20"/>
      <c r="U982" s="20"/>
      <c r="V982" s="20"/>
      <c r="W982" s="20"/>
      <c r="AA982" s="20"/>
      <c r="AB982" s="20"/>
      <c r="AC982" s="20"/>
      <c r="AD982" s="20"/>
    </row>
    <row r="983">
      <c r="F983" s="20"/>
      <c r="G983" s="20"/>
      <c r="H983" s="20"/>
      <c r="L983" s="20"/>
      <c r="M983" s="20"/>
      <c r="N983" s="20"/>
      <c r="O983" s="20"/>
      <c r="U983" s="20"/>
      <c r="V983" s="20"/>
      <c r="W983" s="20"/>
      <c r="AA983" s="20"/>
      <c r="AB983" s="20"/>
      <c r="AC983" s="20"/>
      <c r="AD983" s="20"/>
    </row>
    <row r="984">
      <c r="F984" s="20"/>
      <c r="G984" s="20"/>
      <c r="H984" s="20"/>
      <c r="L984" s="20"/>
      <c r="M984" s="20"/>
      <c r="N984" s="20"/>
      <c r="O984" s="20"/>
      <c r="U984" s="20"/>
      <c r="V984" s="20"/>
      <c r="W984" s="20"/>
      <c r="AA984" s="20"/>
      <c r="AB984" s="20"/>
      <c r="AC984" s="20"/>
      <c r="AD984" s="20"/>
    </row>
    <row r="985">
      <c r="F985" s="20"/>
      <c r="G985" s="20"/>
      <c r="H985" s="20"/>
      <c r="L985" s="20"/>
      <c r="M985" s="20"/>
      <c r="N985" s="20"/>
      <c r="O985" s="20"/>
      <c r="U985" s="20"/>
      <c r="V985" s="20"/>
      <c r="W985" s="20"/>
      <c r="AA985" s="20"/>
      <c r="AB985" s="20"/>
      <c r="AC985" s="20"/>
      <c r="AD985" s="20"/>
    </row>
    <row r="986">
      <c r="F986" s="20"/>
      <c r="G986" s="20"/>
      <c r="H986" s="20"/>
      <c r="L986" s="20"/>
      <c r="M986" s="20"/>
      <c r="N986" s="20"/>
      <c r="O986" s="20"/>
      <c r="U986" s="20"/>
      <c r="V986" s="20"/>
      <c r="W986" s="20"/>
      <c r="AA986" s="20"/>
      <c r="AB986" s="20"/>
      <c r="AC986" s="20"/>
      <c r="AD986" s="20"/>
    </row>
    <row r="987">
      <c r="F987" s="20"/>
      <c r="G987" s="20"/>
      <c r="H987" s="20"/>
      <c r="L987" s="20"/>
      <c r="M987" s="20"/>
      <c r="N987" s="20"/>
      <c r="O987" s="20"/>
      <c r="U987" s="20"/>
      <c r="V987" s="20"/>
      <c r="W987" s="20"/>
      <c r="AA987" s="20"/>
      <c r="AB987" s="20"/>
      <c r="AC987" s="20"/>
      <c r="AD987" s="20"/>
    </row>
    <row r="988">
      <c r="F988" s="20"/>
      <c r="G988" s="20"/>
      <c r="H988" s="20"/>
      <c r="L988" s="20"/>
      <c r="M988" s="20"/>
      <c r="N988" s="20"/>
      <c r="O988" s="20"/>
      <c r="U988" s="20"/>
      <c r="V988" s="20"/>
      <c r="W988" s="20"/>
      <c r="AA988" s="20"/>
      <c r="AB988" s="20"/>
      <c r="AC988" s="20"/>
      <c r="AD988" s="20"/>
    </row>
    <row r="989">
      <c r="F989" s="20"/>
      <c r="G989" s="20"/>
      <c r="H989" s="20"/>
      <c r="L989" s="20"/>
      <c r="M989" s="20"/>
      <c r="N989" s="20"/>
      <c r="O989" s="20"/>
      <c r="U989" s="20"/>
      <c r="V989" s="20"/>
      <c r="W989" s="20"/>
      <c r="AA989" s="20"/>
      <c r="AB989" s="20"/>
      <c r="AC989" s="20"/>
      <c r="AD989" s="20"/>
    </row>
    <row r="990">
      <c r="F990" s="20"/>
      <c r="G990" s="20"/>
      <c r="H990" s="20"/>
      <c r="L990" s="20"/>
      <c r="M990" s="20"/>
      <c r="N990" s="20"/>
      <c r="O990" s="20"/>
      <c r="U990" s="20"/>
      <c r="V990" s="20"/>
      <c r="W990" s="20"/>
      <c r="AA990" s="20"/>
      <c r="AB990" s="20"/>
      <c r="AC990" s="20"/>
      <c r="AD990" s="20"/>
    </row>
    <row r="991">
      <c r="F991" s="20"/>
      <c r="G991" s="20"/>
      <c r="H991" s="20"/>
      <c r="L991" s="20"/>
      <c r="M991" s="20"/>
      <c r="N991" s="20"/>
      <c r="O991" s="20"/>
      <c r="U991" s="20"/>
      <c r="V991" s="20"/>
      <c r="W991" s="20"/>
      <c r="AA991" s="20"/>
      <c r="AB991" s="20"/>
      <c r="AC991" s="20"/>
      <c r="AD991" s="20"/>
    </row>
    <row r="992">
      <c r="F992" s="20"/>
      <c r="G992" s="20"/>
      <c r="H992" s="20"/>
      <c r="L992" s="20"/>
      <c r="M992" s="20"/>
      <c r="N992" s="20"/>
      <c r="O992" s="20"/>
      <c r="U992" s="20"/>
      <c r="V992" s="20"/>
      <c r="W992" s="20"/>
      <c r="AA992" s="20"/>
      <c r="AB992" s="20"/>
      <c r="AC992" s="20"/>
      <c r="AD992" s="20"/>
    </row>
    <row r="993">
      <c r="F993" s="20"/>
      <c r="G993" s="20"/>
      <c r="H993" s="20"/>
      <c r="L993" s="20"/>
      <c r="M993" s="20"/>
      <c r="N993" s="20"/>
      <c r="O993" s="20"/>
      <c r="U993" s="20"/>
      <c r="V993" s="20"/>
      <c r="W993" s="20"/>
      <c r="AA993" s="20"/>
      <c r="AB993" s="20"/>
      <c r="AC993" s="20"/>
      <c r="AD993" s="20"/>
    </row>
    <row r="994">
      <c r="F994" s="20"/>
      <c r="G994" s="20"/>
      <c r="H994" s="20"/>
      <c r="L994" s="20"/>
      <c r="M994" s="20"/>
      <c r="N994" s="20"/>
      <c r="O994" s="20"/>
      <c r="U994" s="20"/>
      <c r="V994" s="20"/>
      <c r="W994" s="20"/>
      <c r="AA994" s="20"/>
      <c r="AB994" s="20"/>
      <c r="AC994" s="20"/>
      <c r="AD994" s="20"/>
    </row>
    <row r="995">
      <c r="F995" s="20"/>
      <c r="G995" s="20"/>
      <c r="H995" s="20"/>
      <c r="L995" s="20"/>
      <c r="M995" s="20"/>
      <c r="N995" s="20"/>
      <c r="O995" s="20"/>
      <c r="U995" s="20"/>
      <c r="V995" s="20"/>
      <c r="W995" s="20"/>
      <c r="AA995" s="20"/>
      <c r="AB995" s="20"/>
      <c r="AC995" s="20"/>
      <c r="AD995" s="20"/>
    </row>
    <row r="996">
      <c r="F996" s="20"/>
      <c r="G996" s="20"/>
      <c r="H996" s="20"/>
      <c r="L996" s="20"/>
      <c r="M996" s="20"/>
      <c r="N996" s="20"/>
      <c r="O996" s="20"/>
      <c r="U996" s="20"/>
      <c r="V996" s="20"/>
      <c r="W996" s="20"/>
      <c r="AA996" s="20"/>
      <c r="AB996" s="20"/>
      <c r="AC996" s="20"/>
      <c r="AD996" s="20"/>
    </row>
    <row r="997">
      <c r="F997" s="20"/>
      <c r="G997" s="20"/>
      <c r="H997" s="20"/>
      <c r="L997" s="20"/>
      <c r="M997" s="20"/>
      <c r="N997" s="20"/>
      <c r="O997" s="20"/>
      <c r="U997" s="20"/>
      <c r="V997" s="20"/>
      <c r="W997" s="20"/>
      <c r="AA997" s="20"/>
      <c r="AB997" s="20"/>
      <c r="AC997" s="20"/>
      <c r="AD997" s="20"/>
    </row>
    <row r="998">
      <c r="F998" s="20"/>
      <c r="G998" s="20"/>
      <c r="H998" s="20"/>
      <c r="L998" s="20"/>
      <c r="M998" s="20"/>
      <c r="N998" s="20"/>
      <c r="O998" s="20"/>
      <c r="U998" s="20"/>
      <c r="V998" s="20"/>
      <c r="W998" s="20"/>
      <c r="AA998" s="20"/>
      <c r="AB998" s="20"/>
      <c r="AC998" s="20"/>
      <c r="AD998" s="20"/>
    </row>
    <row r="999">
      <c r="F999" s="20"/>
      <c r="G999" s="20"/>
      <c r="H999" s="20"/>
      <c r="L999" s="20"/>
      <c r="M999" s="20"/>
      <c r="N999" s="20"/>
      <c r="O999" s="20"/>
      <c r="U999" s="20"/>
      <c r="V999" s="20"/>
      <c r="W999" s="20"/>
      <c r="AA999" s="20"/>
      <c r="AB999" s="20"/>
      <c r="AC999" s="20"/>
      <c r="AD999" s="20"/>
    </row>
    <row r="1000">
      <c r="F1000" s="20"/>
      <c r="G1000" s="20"/>
      <c r="H1000" s="20"/>
      <c r="L1000" s="20"/>
      <c r="M1000" s="20"/>
      <c r="N1000" s="20"/>
      <c r="O1000" s="20"/>
      <c r="U1000" s="20"/>
      <c r="V1000" s="20"/>
      <c r="W1000" s="20"/>
      <c r="AA1000" s="20"/>
      <c r="AB1000" s="20"/>
      <c r="AC1000" s="20"/>
      <c r="AD1000" s="20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5.5"/>
    <col customWidth="1" min="4" max="4" width="16.38"/>
  </cols>
  <sheetData>
    <row r="1" ht="15.75" customHeight="1">
      <c r="A1" s="24" t="s">
        <v>0</v>
      </c>
      <c r="B1" s="9" t="s">
        <v>1</v>
      </c>
      <c r="C1" s="11" t="s">
        <v>14</v>
      </c>
      <c r="D1" s="4" t="s">
        <v>356</v>
      </c>
    </row>
    <row r="2" ht="15.75" customHeight="1">
      <c r="A2" s="8">
        <v>10101.0</v>
      </c>
      <c r="B2" s="9" t="s">
        <v>16</v>
      </c>
      <c r="C2" s="12">
        <v>0.1603186054279657</v>
      </c>
      <c r="D2" s="18">
        <v>0.23978909437560603</v>
      </c>
    </row>
    <row r="3" ht="15.75" customHeight="1">
      <c r="A3" s="8">
        <v>10102.0</v>
      </c>
      <c r="B3" s="9" t="s">
        <v>17</v>
      </c>
      <c r="C3" s="12">
        <v>0.49002081225293403</v>
      </c>
      <c r="D3" s="18">
        <v>0.9219054301524677</v>
      </c>
    </row>
    <row r="4" ht="15.75" customHeight="1">
      <c r="A4" s="8">
        <v>10103.0</v>
      </c>
      <c r="B4" s="9" t="s">
        <v>18</v>
      </c>
      <c r="C4" s="12">
        <v>0.6625359883199401</v>
      </c>
      <c r="D4" s="18">
        <v>0.9044237480762451</v>
      </c>
    </row>
    <row r="5" ht="15.75" customHeight="1">
      <c r="A5" s="8">
        <v>10201.0</v>
      </c>
      <c r="B5" s="9" t="s">
        <v>19</v>
      </c>
      <c r="C5" s="12">
        <v>0.6672845248585633</v>
      </c>
      <c r="D5" s="18">
        <v>0.5181252782953819</v>
      </c>
    </row>
    <row r="6" ht="15.75" customHeight="1">
      <c r="A6" s="8">
        <v>10202.0</v>
      </c>
      <c r="B6" s="9" t="s">
        <v>20</v>
      </c>
      <c r="C6" s="12">
        <v>0.5475411139321857</v>
      </c>
      <c r="D6" s="18">
        <v>0.626263155914318</v>
      </c>
    </row>
    <row r="7" ht="15.75" customHeight="1">
      <c r="A7" s="8">
        <v>10301.0</v>
      </c>
      <c r="B7" s="9" t="s">
        <v>21</v>
      </c>
      <c r="C7" s="12">
        <v>0.3169300622419835</v>
      </c>
      <c r="D7" s="18">
        <v>0.5776990874010409</v>
      </c>
    </row>
    <row r="8" ht="15.75" customHeight="1">
      <c r="A8" s="8">
        <v>10302.0</v>
      </c>
      <c r="B8" s="9" t="s">
        <v>22</v>
      </c>
      <c r="C8" s="12">
        <v>0.40849255220375097</v>
      </c>
      <c r="D8" s="18">
        <v>0.7190104799625475</v>
      </c>
    </row>
    <row r="9" ht="15.75" customHeight="1">
      <c r="A9" s="8">
        <v>10303.0</v>
      </c>
      <c r="B9" s="9" t="s">
        <v>23</v>
      </c>
      <c r="C9" s="12">
        <v>0.7576310638211561</v>
      </c>
      <c r="D9" s="18">
        <v>1.15592974024684</v>
      </c>
    </row>
    <row r="10" ht="15.75" customHeight="1">
      <c r="A10" s="8">
        <v>10304.0</v>
      </c>
      <c r="B10" s="9" t="s">
        <v>24</v>
      </c>
      <c r="C10" s="12">
        <v>0.26366336873848584</v>
      </c>
      <c r="D10" s="18">
        <v>1.1398806974947786</v>
      </c>
    </row>
    <row r="11" ht="15.75" customHeight="1">
      <c r="A11" s="8">
        <v>10401.0</v>
      </c>
      <c r="B11" s="9" t="s">
        <v>25</v>
      </c>
      <c r="C11" s="12">
        <v>0.7298056684761981</v>
      </c>
      <c r="D11" s="18">
        <v>1.1741316597324996</v>
      </c>
    </row>
    <row r="12" ht="15.75" customHeight="1">
      <c r="A12" s="8">
        <v>10402.0</v>
      </c>
      <c r="B12" s="9" t="s">
        <v>26</v>
      </c>
      <c r="C12" s="12">
        <v>0.47651187299239894</v>
      </c>
      <c r="D12" s="18">
        <v>0.8373241169245007</v>
      </c>
    </row>
    <row r="13" ht="15.75" customHeight="1">
      <c r="A13" s="8">
        <v>10403.0</v>
      </c>
      <c r="B13" s="9" t="s">
        <v>27</v>
      </c>
      <c r="C13" s="12">
        <v>0.5266260439651131</v>
      </c>
      <c r="D13" s="18">
        <v>0.6137663853985442</v>
      </c>
    </row>
    <row r="14" ht="15.75" customHeight="1">
      <c r="A14" s="8">
        <v>10404.0</v>
      </c>
      <c r="B14" s="9" t="s">
        <v>28</v>
      </c>
      <c r="C14" s="12">
        <v>0.8836741400963039</v>
      </c>
      <c r="D14" s="18">
        <v>0.5413463542255738</v>
      </c>
    </row>
    <row r="15" ht="15.75" customHeight="1">
      <c r="A15" s="8">
        <v>10405.0</v>
      </c>
      <c r="B15" s="9" t="s">
        <v>29</v>
      </c>
      <c r="C15" s="12">
        <v>0.9003499722039381</v>
      </c>
      <c r="D15" s="18">
        <v>0.9192046220493589</v>
      </c>
    </row>
    <row r="16" ht="15.75" customHeight="1">
      <c r="A16" s="8">
        <v>10501.0</v>
      </c>
      <c r="B16" s="9" t="s">
        <v>30</v>
      </c>
      <c r="C16" s="12">
        <v>0.7452505677838779</v>
      </c>
      <c r="D16" s="18">
        <v>0.811005553992334</v>
      </c>
    </row>
    <row r="17" ht="15.75" customHeight="1">
      <c r="A17" s="8">
        <v>10502.0</v>
      </c>
      <c r="B17" s="9" t="s">
        <v>31</v>
      </c>
      <c r="C17" s="12">
        <v>0.680934610738014</v>
      </c>
      <c r="D17" s="18">
        <v>0.3973121840000863</v>
      </c>
    </row>
    <row r="18" ht="15.75" customHeight="1">
      <c r="A18" s="8">
        <v>10601.0</v>
      </c>
      <c r="B18" s="9" t="s">
        <v>32</v>
      </c>
      <c r="C18" s="12">
        <v>0.4891443645119797</v>
      </c>
      <c r="D18" s="18">
        <v>0.9092600189807658</v>
      </c>
    </row>
    <row r="19" ht="15.75" customHeight="1">
      <c r="A19" s="8">
        <v>10602.0</v>
      </c>
      <c r="B19" s="9" t="s">
        <v>33</v>
      </c>
      <c r="C19" s="12">
        <v>0.6054901080965259</v>
      </c>
      <c r="D19" s="18">
        <v>0.6147694502221045</v>
      </c>
    </row>
    <row r="20" ht="15.75" customHeight="1">
      <c r="A20" s="8">
        <v>10701.0</v>
      </c>
      <c r="B20" s="9" t="s">
        <v>34</v>
      </c>
      <c r="C20" s="12">
        <v>0.5021337080702661</v>
      </c>
      <c r="D20" s="18">
        <v>0.6016276921095576</v>
      </c>
    </row>
    <row r="21" ht="15.75" customHeight="1">
      <c r="A21" s="8">
        <v>10702.0</v>
      </c>
      <c r="B21" s="9" t="s">
        <v>35</v>
      </c>
      <c r="C21" s="12">
        <v>0.5490329247288972</v>
      </c>
      <c r="D21" s="18">
        <v>0.7652941276594748</v>
      </c>
    </row>
    <row r="22" ht="15.75" customHeight="1">
      <c r="A22" s="8">
        <v>10703.0</v>
      </c>
      <c r="B22" s="9" t="s">
        <v>36</v>
      </c>
      <c r="C22" s="12">
        <v>0.47162455922998026</v>
      </c>
      <c r="D22" s="18">
        <v>0.6438247270673466</v>
      </c>
    </row>
    <row r="23" ht="15.75" customHeight="1">
      <c r="A23" s="8">
        <v>10704.0</v>
      </c>
      <c r="B23" s="9" t="s">
        <v>37</v>
      </c>
      <c r="C23" s="12">
        <v>0.5081231603004379</v>
      </c>
      <c r="D23" s="18">
        <v>0.5180166454731964</v>
      </c>
    </row>
    <row r="24" ht="15.75" customHeight="1">
      <c r="A24" s="8">
        <v>10801.0</v>
      </c>
      <c r="B24" s="9" t="s">
        <v>38</v>
      </c>
      <c r="C24" s="12">
        <v>0.7420761003164777</v>
      </c>
      <c r="D24" s="18">
        <v>0.49033458971580074</v>
      </c>
    </row>
    <row r="25" ht="15.75" customHeight="1">
      <c r="A25" s="8">
        <v>10901.0</v>
      </c>
      <c r="B25" s="9" t="s">
        <v>39</v>
      </c>
      <c r="C25" s="12">
        <v>0.8319099999536761</v>
      </c>
      <c r="D25" s="18">
        <v>0.41876786961763557</v>
      </c>
    </row>
    <row r="26" ht="15.75" customHeight="1">
      <c r="A26" s="8">
        <v>10902.0</v>
      </c>
      <c r="B26" s="9" t="s">
        <v>40</v>
      </c>
      <c r="C26" s="12">
        <v>0.7224059406068095</v>
      </c>
      <c r="D26" s="18">
        <v>0.6349249406585888</v>
      </c>
    </row>
    <row r="27" ht="15.75" customHeight="1">
      <c r="A27" s="8">
        <v>10903.0</v>
      </c>
      <c r="B27" s="9" t="s">
        <v>41</v>
      </c>
      <c r="C27" s="12">
        <v>1.00345795503051</v>
      </c>
      <c r="D27" s="18">
        <v>1.7141146811493833</v>
      </c>
    </row>
    <row r="28" ht="15.75" customHeight="1">
      <c r="A28" s="8">
        <v>11001.0</v>
      </c>
      <c r="B28" s="9" t="s">
        <v>42</v>
      </c>
      <c r="C28" s="12">
        <v>0.5326685175076085</v>
      </c>
      <c r="D28" s="18">
        <v>0.388974342028332</v>
      </c>
    </row>
    <row r="29" ht="15.75" customHeight="1">
      <c r="A29" s="8">
        <v>11002.0</v>
      </c>
      <c r="B29" s="9" t="s">
        <v>43</v>
      </c>
      <c r="C29" s="12">
        <v>0.8795433511458574</v>
      </c>
      <c r="D29" s="18">
        <v>1.7969240071267605</v>
      </c>
    </row>
    <row r="30" ht="15.75" customHeight="1">
      <c r="A30" s="8">
        <v>11003.0</v>
      </c>
      <c r="B30" s="9" t="s">
        <v>44</v>
      </c>
      <c r="C30" s="12">
        <v>0.7178059579571605</v>
      </c>
      <c r="D30" s="18">
        <v>0.7966136061976499</v>
      </c>
    </row>
    <row r="31" ht="15.75" customHeight="1">
      <c r="A31" s="8">
        <v>20101.0</v>
      </c>
      <c r="B31" s="9" t="s">
        <v>45</v>
      </c>
      <c r="C31" s="12">
        <v>0.25778877191395067</v>
      </c>
      <c r="D31" s="18">
        <v>0.1762371226627731</v>
      </c>
    </row>
    <row r="32" ht="15.75" customHeight="1">
      <c r="A32" s="8">
        <v>20102.0</v>
      </c>
      <c r="B32" s="9" t="s">
        <v>46</v>
      </c>
      <c r="C32" s="12">
        <v>0.6958025152038393</v>
      </c>
      <c r="D32" s="18">
        <v>1.180423574377663</v>
      </c>
    </row>
    <row r="33" ht="15.75" customHeight="1">
      <c r="A33" s="8">
        <v>20103.0</v>
      </c>
      <c r="B33" s="9" t="s">
        <v>47</v>
      </c>
      <c r="C33" s="12">
        <v>0.26370178328259447</v>
      </c>
      <c r="D33" s="18">
        <v>0.2406181866001503</v>
      </c>
    </row>
    <row r="34" ht="15.75" customHeight="1">
      <c r="A34" s="8">
        <v>20104.0</v>
      </c>
      <c r="B34" s="9" t="s">
        <v>48</v>
      </c>
      <c r="C34" s="12">
        <v>0.813293006090305</v>
      </c>
      <c r="D34" s="18">
        <v>0.7751905318113017</v>
      </c>
    </row>
    <row r="35" ht="15.75" customHeight="1">
      <c r="A35" s="8">
        <v>20105.0</v>
      </c>
      <c r="B35" s="9" t="s">
        <v>49</v>
      </c>
      <c r="C35" s="12">
        <v>0.5146429052848496</v>
      </c>
      <c r="D35" s="18">
        <v>0.5252179654670122</v>
      </c>
    </row>
    <row r="36" ht="15.75" customHeight="1">
      <c r="A36" s="8">
        <v>20201.0</v>
      </c>
      <c r="B36" s="9" t="s">
        <v>50</v>
      </c>
      <c r="C36" s="12">
        <v>0.6248909962125723</v>
      </c>
      <c r="D36" s="18">
        <v>0.6945944429310953</v>
      </c>
    </row>
    <row r="37" ht="15.75" customHeight="1">
      <c r="A37" s="8">
        <v>20202.0</v>
      </c>
      <c r="B37" s="9" t="s">
        <v>51</v>
      </c>
      <c r="C37" s="12">
        <v>0.6179237426172094</v>
      </c>
      <c r="D37" s="18">
        <v>0.9417206179275738</v>
      </c>
    </row>
    <row r="38" ht="15.75" customHeight="1">
      <c r="A38" s="8">
        <v>20203.0</v>
      </c>
      <c r="B38" s="9" t="s">
        <v>52</v>
      </c>
      <c r="C38" s="12">
        <v>0.9496375420601734</v>
      </c>
      <c r="D38" s="18">
        <v>1.3702585467087653</v>
      </c>
    </row>
    <row r="39" ht="15.75" customHeight="1">
      <c r="A39" s="8">
        <v>20204.0</v>
      </c>
      <c r="B39" s="9" t="s">
        <v>53</v>
      </c>
      <c r="C39" s="12">
        <v>0.6492019409416738</v>
      </c>
      <c r="D39" s="18">
        <v>0.9254719856936122</v>
      </c>
    </row>
    <row r="40" ht="15.75" customHeight="1">
      <c r="A40" s="8">
        <v>20205.0</v>
      </c>
      <c r="B40" s="9" t="s">
        <v>54</v>
      </c>
      <c r="C40" s="12">
        <v>0.6610270412023298</v>
      </c>
      <c r="D40" s="18">
        <v>2.1169330873884693</v>
      </c>
    </row>
    <row r="41" ht="15.75" customHeight="1">
      <c r="A41" s="8">
        <v>20206.0</v>
      </c>
      <c r="B41" s="9" t="s">
        <v>55</v>
      </c>
      <c r="C41" s="12">
        <v>1.0599551909108005</v>
      </c>
      <c r="D41" s="18">
        <v>0.6315754470665419</v>
      </c>
    </row>
    <row r="42" ht="15.75" customHeight="1">
      <c r="A42" s="8">
        <v>20301.0</v>
      </c>
      <c r="B42" s="9" t="s">
        <v>56</v>
      </c>
      <c r="C42" s="12">
        <v>0.6646416356794871</v>
      </c>
      <c r="D42" s="18">
        <v>0.6250564832397392</v>
      </c>
    </row>
    <row r="43" ht="15.75" customHeight="1">
      <c r="A43" s="8">
        <v>20302.0</v>
      </c>
      <c r="B43" s="9" t="s">
        <v>57</v>
      </c>
      <c r="C43" s="12">
        <v>0.8559929319316698</v>
      </c>
      <c r="D43" s="18">
        <v>0.8081746445772334</v>
      </c>
    </row>
    <row r="44" ht="15.75" customHeight="1">
      <c r="A44" s="8">
        <v>20303.0</v>
      </c>
      <c r="B44" s="9" t="s">
        <v>58</v>
      </c>
      <c r="C44" s="12">
        <v>0.8577067753910104</v>
      </c>
      <c r="D44" s="18">
        <v>0.6998139193347749</v>
      </c>
    </row>
    <row r="45" ht="15.75" customHeight="1">
      <c r="A45" s="8">
        <v>20304.0</v>
      </c>
      <c r="B45" s="9" t="s">
        <v>59</v>
      </c>
      <c r="C45" s="12">
        <v>0.24881268279048618</v>
      </c>
      <c r="D45" s="18">
        <v>0.6661446569142048</v>
      </c>
    </row>
    <row r="46" ht="15.75" customHeight="1">
      <c r="A46" s="8">
        <v>20305.0</v>
      </c>
      <c r="B46" s="9" t="s">
        <v>60</v>
      </c>
      <c r="C46" s="12">
        <v>0.7105530111477325</v>
      </c>
      <c r="D46" s="18">
        <v>0.8118952341587773</v>
      </c>
    </row>
    <row r="47" ht="15.75" customHeight="1">
      <c r="A47" s="8">
        <v>20306.0</v>
      </c>
      <c r="B47" s="9" t="s">
        <v>61</v>
      </c>
      <c r="C47" s="12">
        <v>0.7536020327031097</v>
      </c>
      <c r="D47" s="18">
        <v>0.9708597912317775</v>
      </c>
    </row>
    <row r="48" ht="15.75" customHeight="1">
      <c r="A48" s="8">
        <v>20307.0</v>
      </c>
      <c r="B48" s="9" t="s">
        <v>62</v>
      </c>
      <c r="C48" s="12">
        <v>1.3068097388201638</v>
      </c>
      <c r="D48" s="18">
        <v>0.6778593436270096</v>
      </c>
    </row>
    <row r="49" ht="15.75" customHeight="1">
      <c r="A49" s="8">
        <v>20308.0</v>
      </c>
      <c r="B49" s="9" t="s">
        <v>63</v>
      </c>
      <c r="C49" s="12">
        <v>0.7806397891212307</v>
      </c>
      <c r="D49" s="18">
        <v>0.6996639872358801</v>
      </c>
    </row>
    <row r="50" ht="15.75" customHeight="1">
      <c r="A50" s="8">
        <v>20401.0</v>
      </c>
      <c r="B50" s="9" t="s">
        <v>64</v>
      </c>
      <c r="C50" s="12">
        <v>0.9442160912608073</v>
      </c>
      <c r="D50" s="18">
        <v>0.5754264387677156</v>
      </c>
    </row>
    <row r="51" ht="15.75" customHeight="1">
      <c r="A51" s="8">
        <v>20402.0</v>
      </c>
      <c r="B51" s="9" t="s">
        <v>65</v>
      </c>
      <c r="C51" s="12">
        <v>0.6090767046766875</v>
      </c>
      <c r="D51" s="18">
        <v>0.8531133096026043</v>
      </c>
    </row>
    <row r="52" ht="15.75" customHeight="1">
      <c r="A52" s="8">
        <v>20403.0</v>
      </c>
      <c r="B52" s="9" t="s">
        <v>66</v>
      </c>
      <c r="C52" s="12">
        <v>0.5192830166179525</v>
      </c>
      <c r="D52" s="18">
        <v>0.8356317413066702</v>
      </c>
    </row>
    <row r="53" ht="15.75" customHeight="1">
      <c r="A53" s="8">
        <v>20404.0</v>
      </c>
      <c r="B53" s="9" t="s">
        <v>67</v>
      </c>
      <c r="C53" s="12">
        <v>0.8123651323836062</v>
      </c>
      <c r="D53" s="18">
        <v>1.0553012108374717</v>
      </c>
    </row>
    <row r="54" ht="15.75" customHeight="1">
      <c r="A54" s="8">
        <v>20405.0</v>
      </c>
      <c r="B54" s="9" t="s">
        <v>68</v>
      </c>
      <c r="C54" s="12">
        <v>0.5878647918172493</v>
      </c>
      <c r="D54" s="18">
        <v>0.8593040391484593</v>
      </c>
    </row>
    <row r="55" ht="15.75" customHeight="1">
      <c r="A55" s="8">
        <v>20501.0</v>
      </c>
      <c r="B55" s="9" t="s">
        <v>69</v>
      </c>
      <c r="C55" s="12">
        <v>0.5776461430687477</v>
      </c>
      <c r="D55" s="18">
        <v>0.6210161507977924</v>
      </c>
    </row>
    <row r="56" ht="15.75" customHeight="1">
      <c r="A56" s="8">
        <v>20502.0</v>
      </c>
      <c r="B56" s="9" t="s">
        <v>70</v>
      </c>
      <c r="C56" s="12">
        <v>0.3488838706296264</v>
      </c>
      <c r="D56" s="18">
        <v>0.8544490393781459</v>
      </c>
    </row>
    <row r="57" ht="15.75" customHeight="1">
      <c r="A57" s="8">
        <v>20503.0</v>
      </c>
      <c r="B57" s="9" t="s">
        <v>71</v>
      </c>
      <c r="C57" s="12">
        <v>0.5466332075980774</v>
      </c>
      <c r="D57" s="18">
        <v>0.9053114210699994</v>
      </c>
    </row>
    <row r="58" ht="15.75" customHeight="1">
      <c r="A58" s="8">
        <v>20601.0</v>
      </c>
      <c r="B58" s="9" t="s">
        <v>72</v>
      </c>
      <c r="C58" s="12">
        <v>0.9235920322518001</v>
      </c>
      <c r="D58" s="18">
        <v>0.9310545952345587</v>
      </c>
    </row>
    <row r="59" ht="15.75" customHeight="1">
      <c r="A59" s="8">
        <v>20602.0</v>
      </c>
      <c r="B59" s="9" t="s">
        <v>73</v>
      </c>
      <c r="C59" s="12">
        <v>0.5380457228657926</v>
      </c>
      <c r="D59" s="18">
        <v>0.7090907559699945</v>
      </c>
    </row>
    <row r="60" ht="15.75" customHeight="1">
      <c r="A60" s="8">
        <v>20603.0</v>
      </c>
      <c r="B60" s="9" t="s">
        <v>74</v>
      </c>
      <c r="C60" s="12">
        <v>0.7405202772101745</v>
      </c>
      <c r="D60" s="18">
        <v>1.2088768401126526</v>
      </c>
    </row>
    <row r="61" ht="15.75" customHeight="1">
      <c r="A61" s="8">
        <v>20604.0</v>
      </c>
      <c r="B61" s="9" t="s">
        <v>75</v>
      </c>
      <c r="C61" s="12">
        <v>0.491440029722873</v>
      </c>
      <c r="D61" s="18">
        <v>0.5918059323302646</v>
      </c>
    </row>
    <row r="62" ht="15.75" customHeight="1">
      <c r="A62" s="8">
        <v>20605.0</v>
      </c>
      <c r="B62" s="9" t="s">
        <v>76</v>
      </c>
      <c r="C62" s="12">
        <v>0.564164646031802</v>
      </c>
      <c r="D62" s="18">
        <v>0.5902641147927566</v>
      </c>
    </row>
    <row r="63" ht="15.75" customHeight="1">
      <c r="A63" s="8">
        <v>20606.0</v>
      </c>
      <c r="B63" s="9" t="s">
        <v>77</v>
      </c>
      <c r="C63" s="12">
        <v>0.7894417566893519</v>
      </c>
      <c r="D63" s="18">
        <v>0.7601365747384076</v>
      </c>
    </row>
    <row r="64" ht="15.75" customHeight="1">
      <c r="A64" s="8">
        <v>20607.0</v>
      </c>
      <c r="B64" s="9" t="s">
        <v>78</v>
      </c>
      <c r="C64" s="12">
        <v>0.6646000389108216</v>
      </c>
      <c r="D64" s="18">
        <v>0.975225062586265</v>
      </c>
    </row>
    <row r="65" ht="15.75" customHeight="1">
      <c r="A65" s="8">
        <v>20608.0</v>
      </c>
      <c r="B65" s="9" t="s">
        <v>79</v>
      </c>
      <c r="C65" s="12">
        <v>0.6584164707372332</v>
      </c>
      <c r="D65" s="18">
        <v>0.8671921382642763</v>
      </c>
    </row>
    <row r="66" ht="15.75" customHeight="1">
      <c r="A66" s="8">
        <v>20701.0</v>
      </c>
      <c r="B66" s="9" t="s">
        <v>80</v>
      </c>
      <c r="C66" s="12">
        <v>0.5287327949305921</v>
      </c>
      <c r="D66" s="18">
        <v>0.5155435287869723</v>
      </c>
    </row>
    <row r="67" ht="15.75" customHeight="1">
      <c r="A67" s="8">
        <v>20702.0</v>
      </c>
      <c r="B67" s="9" t="s">
        <v>81</v>
      </c>
      <c r="C67" s="12">
        <v>0.5991938420592776</v>
      </c>
      <c r="D67" s="18">
        <v>1.239370257486622</v>
      </c>
    </row>
    <row r="68" ht="15.75" customHeight="1">
      <c r="A68" s="8">
        <v>20801.0</v>
      </c>
      <c r="B68" s="9" t="s">
        <v>82</v>
      </c>
      <c r="C68" s="12">
        <v>0.6503418646412992</v>
      </c>
      <c r="D68" s="18">
        <v>0.7430230720318045</v>
      </c>
    </row>
    <row r="69" ht="15.75" customHeight="1">
      <c r="A69" s="8">
        <v>20802.0</v>
      </c>
      <c r="B69" s="9" t="s">
        <v>83</v>
      </c>
      <c r="C69" s="12">
        <v>0.942109339494209</v>
      </c>
      <c r="D69" s="18">
        <v>0.7758644673411205</v>
      </c>
    </row>
    <row r="70" ht="15.75" customHeight="1">
      <c r="A70" s="8">
        <v>20803.0</v>
      </c>
      <c r="B70" s="9" t="s">
        <v>84</v>
      </c>
      <c r="C70" s="12">
        <v>0.5163717377685187</v>
      </c>
      <c r="D70" s="18">
        <v>0.5035885864406952</v>
      </c>
    </row>
    <row r="71" ht="15.75" customHeight="1">
      <c r="A71" s="8">
        <v>20804.0</v>
      </c>
      <c r="B71" s="9" t="s">
        <v>85</v>
      </c>
      <c r="C71" s="12">
        <v>0.6005187275370606</v>
      </c>
      <c r="D71" s="18">
        <v>0.6400665310037518</v>
      </c>
    </row>
    <row r="72" ht="15.75" customHeight="1">
      <c r="A72" s="8">
        <v>20805.0</v>
      </c>
      <c r="B72" s="9" t="s">
        <v>86</v>
      </c>
      <c r="C72" s="12">
        <v>0.873150569945577</v>
      </c>
      <c r="D72" s="18">
        <v>1.0976518748295745</v>
      </c>
    </row>
    <row r="73" ht="15.75" customHeight="1">
      <c r="A73" s="8">
        <v>20806.0</v>
      </c>
      <c r="B73" s="9" t="s">
        <v>87</v>
      </c>
      <c r="C73" s="12">
        <v>0.6567527099593956</v>
      </c>
      <c r="D73" s="18">
        <v>0.7338481558565965</v>
      </c>
    </row>
    <row r="74" ht="15.75" customHeight="1">
      <c r="A74" s="8">
        <v>20807.0</v>
      </c>
      <c r="B74" s="9" t="s">
        <v>88</v>
      </c>
      <c r="C74" s="12">
        <v>1.0404849428039287</v>
      </c>
      <c r="D74" s="18">
        <v>0.9537592472652714</v>
      </c>
    </row>
    <row r="75" ht="15.75" customHeight="1">
      <c r="A75" s="8">
        <v>20901.0</v>
      </c>
      <c r="B75" s="9" t="s">
        <v>89</v>
      </c>
      <c r="C75" s="12">
        <v>0.8801827813494432</v>
      </c>
      <c r="D75" s="18">
        <v>0.9247408093651006</v>
      </c>
    </row>
    <row r="76" ht="15.75" customHeight="1">
      <c r="A76" s="8">
        <v>20902.0</v>
      </c>
      <c r="B76" s="9" t="s">
        <v>90</v>
      </c>
      <c r="C76" s="12">
        <v>0.7976800423303836</v>
      </c>
      <c r="D76" s="18">
        <v>0.5432786215452007</v>
      </c>
    </row>
    <row r="77" ht="15.75" customHeight="1">
      <c r="A77" s="8">
        <v>20903.0</v>
      </c>
      <c r="B77" s="9" t="s">
        <v>91</v>
      </c>
      <c r="C77" s="12">
        <v>0.9369984082943859</v>
      </c>
      <c r="D77" s="18">
        <v>1.0788536565147864</v>
      </c>
    </row>
    <row r="78" ht="15.75" customHeight="1">
      <c r="A78" s="8">
        <v>20904.0</v>
      </c>
      <c r="B78" s="9" t="s">
        <v>92</v>
      </c>
      <c r="C78" s="12">
        <v>1.1397707730846072</v>
      </c>
      <c r="D78" s="18">
        <v>1.2501364269908926</v>
      </c>
    </row>
    <row r="79" ht="15.75" customHeight="1">
      <c r="A79" s="8">
        <v>20905.0</v>
      </c>
      <c r="B79" s="9" t="s">
        <v>93</v>
      </c>
      <c r="C79" s="12">
        <v>0.5374949460765966</v>
      </c>
      <c r="D79" s="18">
        <v>1.11617651390744</v>
      </c>
    </row>
    <row r="80" ht="15.75" customHeight="1">
      <c r="A80" s="8">
        <v>21001.0</v>
      </c>
      <c r="B80" s="9" t="s">
        <v>94</v>
      </c>
      <c r="C80" s="12">
        <v>0.5331144112997972</v>
      </c>
      <c r="D80" s="18">
        <v>0.7329084054821658</v>
      </c>
    </row>
    <row r="81" ht="15.75" customHeight="1">
      <c r="A81" s="8">
        <v>21002.0</v>
      </c>
      <c r="B81" s="9" t="s">
        <v>95</v>
      </c>
      <c r="C81" s="12">
        <v>0.45723854812334996</v>
      </c>
      <c r="D81" s="18">
        <v>0.45371781800062577</v>
      </c>
    </row>
    <row r="82" ht="15.75" customHeight="1">
      <c r="A82" s="8">
        <v>21003.0</v>
      </c>
      <c r="B82" s="9" t="s">
        <v>96</v>
      </c>
      <c r="C82" s="12">
        <v>0.7413162557355955</v>
      </c>
      <c r="D82" s="18">
        <v>0.578644259143197</v>
      </c>
    </row>
    <row r="83" ht="15.75" customHeight="1">
      <c r="A83" s="8">
        <v>21004.0</v>
      </c>
      <c r="B83" s="9" t="s">
        <v>97</v>
      </c>
      <c r="C83" s="12">
        <v>0.46086196586815686</v>
      </c>
      <c r="D83" s="18">
        <v>0.5612653673968339</v>
      </c>
    </row>
    <row r="84" ht="15.75" customHeight="1">
      <c r="A84" s="8">
        <v>21005.0</v>
      </c>
      <c r="B84" s="9" t="s">
        <v>98</v>
      </c>
      <c r="C84" s="12">
        <v>0.7469561128174604</v>
      </c>
      <c r="D84" s="18">
        <v>0.8493150341481817</v>
      </c>
    </row>
    <row r="85" ht="15.75" customHeight="1">
      <c r="A85" s="8">
        <v>21006.0</v>
      </c>
      <c r="B85" s="9" t="s">
        <v>99</v>
      </c>
      <c r="C85" s="12">
        <v>0.43695254125380195</v>
      </c>
      <c r="D85" s="18">
        <v>0.6510048646172958</v>
      </c>
    </row>
    <row r="86" ht="15.75" customHeight="1">
      <c r="A86" s="8">
        <v>21101.0</v>
      </c>
      <c r="B86" s="9" t="s">
        <v>100</v>
      </c>
      <c r="C86" s="12">
        <v>0.7798797712978014</v>
      </c>
      <c r="D86" s="18">
        <v>1.0557532124854923</v>
      </c>
    </row>
    <row r="87" ht="15.75" customHeight="1">
      <c r="A87" s="8">
        <v>21102.0</v>
      </c>
      <c r="B87" s="9" t="s">
        <v>101</v>
      </c>
      <c r="C87" s="12">
        <v>0.6700085834298746</v>
      </c>
      <c r="D87" s="18">
        <v>0.8630243072635239</v>
      </c>
    </row>
    <row r="88" ht="15.75" customHeight="1">
      <c r="A88" s="8">
        <v>21103.0</v>
      </c>
      <c r="B88" s="9" t="s">
        <v>102</v>
      </c>
      <c r="C88" s="12">
        <v>0.5793525067877481</v>
      </c>
      <c r="D88" s="18">
        <v>0.5319028816843409</v>
      </c>
    </row>
    <row r="89" ht="15.75" customHeight="1">
      <c r="A89" s="8">
        <v>21104.0</v>
      </c>
      <c r="B89" s="9" t="s">
        <v>103</v>
      </c>
      <c r="C89" s="12">
        <v>0.8585991787773682</v>
      </c>
      <c r="D89" s="18">
        <v>0.653497734725792</v>
      </c>
    </row>
    <row r="90" ht="15.75" customHeight="1">
      <c r="A90" s="8">
        <v>21105.0</v>
      </c>
      <c r="B90" s="9" t="s">
        <v>104</v>
      </c>
      <c r="C90" s="12">
        <v>0.8503349071276943</v>
      </c>
      <c r="D90" s="18">
        <v>0.9141626111794685</v>
      </c>
    </row>
    <row r="91" ht="15.75" customHeight="1">
      <c r="A91" s="8">
        <v>21201.0</v>
      </c>
      <c r="B91" s="9" t="s">
        <v>105</v>
      </c>
      <c r="C91" s="12">
        <v>0.8347480451657519</v>
      </c>
      <c r="D91" s="18">
        <v>1.030885962292945</v>
      </c>
    </row>
    <row r="92" ht="15.75" customHeight="1">
      <c r="A92" s="8">
        <v>21202.0</v>
      </c>
      <c r="B92" s="9" t="s">
        <v>106</v>
      </c>
      <c r="C92" s="12">
        <v>0.8534990222585348</v>
      </c>
      <c r="D92" s="18">
        <v>0.8107475617234359</v>
      </c>
    </row>
    <row r="93" ht="15.75" customHeight="1">
      <c r="A93" s="8">
        <v>21203.0</v>
      </c>
      <c r="B93" s="9" t="s">
        <v>107</v>
      </c>
      <c r="C93" s="12">
        <v>0.523352803744896</v>
      </c>
      <c r="D93" s="18">
        <v>1.0500608813455554</v>
      </c>
    </row>
    <row r="94" ht="15.75" customHeight="1">
      <c r="A94" s="8">
        <v>21204.0</v>
      </c>
      <c r="B94" s="9" t="s">
        <v>108</v>
      </c>
      <c r="C94" s="12">
        <v>0.8474666289682931</v>
      </c>
      <c r="D94" s="18">
        <v>0.5377296504716937</v>
      </c>
    </row>
    <row r="95" ht="15.75" customHeight="1">
      <c r="A95" s="8">
        <v>21301.0</v>
      </c>
      <c r="B95" s="9" t="s">
        <v>109</v>
      </c>
      <c r="C95" s="12">
        <v>0.5699855623700278</v>
      </c>
      <c r="D95" s="18">
        <v>0.7309324165537291</v>
      </c>
    </row>
    <row r="96" ht="15.75" customHeight="1">
      <c r="A96" s="8">
        <v>21302.0</v>
      </c>
      <c r="B96" s="9" t="s">
        <v>110</v>
      </c>
      <c r="C96" s="12">
        <v>0.7680943878715991</v>
      </c>
      <c r="D96" s="18">
        <v>0.564158464203648</v>
      </c>
    </row>
    <row r="97" ht="15.75" customHeight="1">
      <c r="A97" s="8">
        <v>21303.0</v>
      </c>
      <c r="B97" s="9" t="s">
        <v>111</v>
      </c>
      <c r="C97" s="12">
        <v>1.056891433452534</v>
      </c>
      <c r="D97" s="18">
        <v>1.0654753941680248</v>
      </c>
    </row>
    <row r="98" ht="15.75" customHeight="1">
      <c r="A98" s="8">
        <v>21304.0</v>
      </c>
      <c r="B98" s="9" t="s">
        <v>112</v>
      </c>
      <c r="C98" s="12">
        <v>0.8562635886565344</v>
      </c>
      <c r="D98" s="18">
        <v>0.9502999650046463</v>
      </c>
    </row>
    <row r="99" ht="15.75" customHeight="1">
      <c r="A99" s="8">
        <v>21305.0</v>
      </c>
      <c r="B99" s="9" t="s">
        <v>113</v>
      </c>
      <c r="C99" s="12">
        <v>0.5761650356059429</v>
      </c>
      <c r="D99" s="18">
        <v>0.8465229905357597</v>
      </c>
    </row>
    <row r="100" ht="15.75" customHeight="1">
      <c r="A100" s="8">
        <v>21306.0</v>
      </c>
      <c r="B100" s="9" t="s">
        <v>114</v>
      </c>
      <c r="C100" s="12">
        <v>0.81433673678615</v>
      </c>
      <c r="D100" s="18">
        <v>1.2629574405626223</v>
      </c>
    </row>
    <row r="101" ht="15.75" customHeight="1">
      <c r="A101" s="8">
        <v>21307.0</v>
      </c>
      <c r="B101" s="9" t="s">
        <v>115</v>
      </c>
      <c r="C101" s="12">
        <v>1.0859167147604227</v>
      </c>
      <c r="D101" s="18">
        <v>1.3038686852116936</v>
      </c>
    </row>
    <row r="102" ht="15.75" customHeight="1">
      <c r="A102" s="8">
        <v>21401.0</v>
      </c>
      <c r="B102" s="9" t="s">
        <v>116</v>
      </c>
      <c r="C102" s="12">
        <v>0.6360620696871709</v>
      </c>
      <c r="D102" s="18">
        <v>0.7974374451403721</v>
      </c>
    </row>
    <row r="103" ht="15.75" customHeight="1">
      <c r="A103" s="8">
        <v>21402.0</v>
      </c>
      <c r="B103" s="9" t="s">
        <v>117</v>
      </c>
      <c r="C103" s="12">
        <v>0.6657189522916223</v>
      </c>
      <c r="D103" s="18">
        <v>0.918209272100923</v>
      </c>
    </row>
    <row r="104" ht="15.75" customHeight="1">
      <c r="A104" s="8">
        <v>21501.0</v>
      </c>
      <c r="B104" s="9" t="s">
        <v>118</v>
      </c>
      <c r="C104" s="12">
        <v>0.7475628125750696</v>
      </c>
      <c r="D104" s="18">
        <v>0.6605158374832837</v>
      </c>
    </row>
    <row r="105" ht="15.75" customHeight="1">
      <c r="A105" s="8">
        <v>21502.0</v>
      </c>
      <c r="B105" s="9" t="s">
        <v>119</v>
      </c>
      <c r="C105" s="12">
        <v>0.5335111572627241</v>
      </c>
      <c r="D105" s="18">
        <v>0.8243455405884322</v>
      </c>
    </row>
    <row r="106" ht="15.75" customHeight="1">
      <c r="A106" s="8">
        <v>21601.0</v>
      </c>
      <c r="B106" s="9" t="s">
        <v>120</v>
      </c>
      <c r="C106" s="12">
        <v>0.6689447876596532</v>
      </c>
      <c r="D106" s="18">
        <v>0.8873856352875881</v>
      </c>
    </row>
    <row r="107" ht="15.75" customHeight="1">
      <c r="A107" s="8">
        <v>21602.0</v>
      </c>
      <c r="B107" s="9" t="s">
        <v>121</v>
      </c>
      <c r="C107" s="12">
        <v>0.8644068890446699</v>
      </c>
      <c r="D107" s="18">
        <v>0.8459801660909212</v>
      </c>
    </row>
    <row r="108" ht="15.75" customHeight="1">
      <c r="A108" s="8">
        <v>21701.0</v>
      </c>
      <c r="B108" s="9" t="s">
        <v>122</v>
      </c>
      <c r="C108" s="12">
        <v>0.34900903676917305</v>
      </c>
      <c r="D108" s="18">
        <v>0.5502252275748465</v>
      </c>
    </row>
    <row r="109" ht="15.75" customHeight="1">
      <c r="A109" s="8">
        <v>21702.0</v>
      </c>
      <c r="B109" s="9" t="s">
        <v>123</v>
      </c>
      <c r="C109" s="12">
        <v>0.6780196646879821</v>
      </c>
      <c r="D109" s="18">
        <v>0.8275244055012452</v>
      </c>
    </row>
    <row r="110" ht="15.75" customHeight="1">
      <c r="A110" s="8">
        <v>21703.0</v>
      </c>
      <c r="B110" s="9" t="s">
        <v>124</v>
      </c>
      <c r="C110" s="12">
        <v>0.9098377927998704</v>
      </c>
      <c r="D110" s="18">
        <v>0.6924678649612732</v>
      </c>
    </row>
    <row r="111" ht="15.75" customHeight="1">
      <c r="A111" s="8">
        <v>21801.0</v>
      </c>
      <c r="B111" s="9" t="s">
        <v>125</v>
      </c>
      <c r="C111" s="12">
        <v>0.8823912785968552</v>
      </c>
      <c r="D111" s="18">
        <v>1.0199883419386766</v>
      </c>
    </row>
    <row r="112" ht="15.75" customHeight="1">
      <c r="A112" s="8">
        <v>21802.0</v>
      </c>
      <c r="B112" s="9" t="s">
        <v>126</v>
      </c>
      <c r="C112" s="12">
        <v>1.3341224983941788</v>
      </c>
      <c r="D112" s="18">
        <v>1.073119261694616</v>
      </c>
    </row>
    <row r="113" ht="15.75" customHeight="1">
      <c r="A113" s="8">
        <v>21803.0</v>
      </c>
      <c r="B113" s="9" t="s">
        <v>127</v>
      </c>
      <c r="C113" s="12">
        <v>1.0014087737625044</v>
      </c>
      <c r="D113" s="18">
        <v>1.0022574803397821</v>
      </c>
    </row>
    <row r="114" ht="15.75" customHeight="1">
      <c r="A114" s="8">
        <v>21901.0</v>
      </c>
      <c r="B114" s="9" t="s">
        <v>128</v>
      </c>
      <c r="C114" s="12">
        <v>1.0406514624048364</v>
      </c>
      <c r="D114" s="18">
        <v>0.6337705441351182</v>
      </c>
    </row>
    <row r="115" ht="15.75" customHeight="1">
      <c r="A115" s="8">
        <v>21902.0</v>
      </c>
      <c r="B115" s="9" t="s">
        <v>129</v>
      </c>
      <c r="C115" s="12">
        <v>1.035446701450436</v>
      </c>
      <c r="D115" s="18">
        <v>0.8557804677105164</v>
      </c>
    </row>
    <row r="116" ht="15.75" customHeight="1">
      <c r="A116" s="8">
        <v>22001.0</v>
      </c>
      <c r="B116" s="9" t="s">
        <v>130</v>
      </c>
      <c r="C116" s="12">
        <v>0.6138417151711199</v>
      </c>
      <c r="D116" s="18">
        <v>0.8601231294941001</v>
      </c>
    </row>
    <row r="117" ht="15.75" customHeight="1">
      <c r="A117" s="8">
        <v>22002.0</v>
      </c>
      <c r="B117" s="9" t="s">
        <v>131</v>
      </c>
      <c r="C117" s="12">
        <v>0.9041090254670552</v>
      </c>
      <c r="D117" s="18">
        <v>0.969846661472679</v>
      </c>
    </row>
    <row r="118" ht="15.75" customHeight="1">
      <c r="A118" s="8">
        <v>30101.0</v>
      </c>
      <c r="B118" s="9" t="s">
        <v>132</v>
      </c>
      <c r="C118" s="12">
        <v>0.31393867502110073</v>
      </c>
      <c r="D118" s="18">
        <v>0.31686637145367996</v>
      </c>
    </row>
    <row r="119" ht="15.75" customHeight="1">
      <c r="A119" s="8">
        <v>30201.0</v>
      </c>
      <c r="B119" s="9" t="s">
        <v>133</v>
      </c>
      <c r="C119" s="12">
        <v>0.30005230713297465</v>
      </c>
      <c r="D119" s="18">
        <v>0.6591228409284206</v>
      </c>
    </row>
    <row r="120" ht="15.75" customHeight="1">
      <c r="A120" s="8">
        <v>30202.0</v>
      </c>
      <c r="B120" s="9" t="s">
        <v>134</v>
      </c>
      <c r="C120" s="12">
        <v>0.6401454125075184</v>
      </c>
      <c r="D120" s="18">
        <v>0.5562600736892793</v>
      </c>
    </row>
    <row r="121" ht="15.75" customHeight="1">
      <c r="A121" s="8">
        <v>30203.0</v>
      </c>
      <c r="B121" s="9" t="s">
        <v>135</v>
      </c>
      <c r="C121" s="12">
        <v>0.3857467741298959</v>
      </c>
      <c r="D121" s="18">
        <v>0.7784242639206131</v>
      </c>
    </row>
    <row r="122" ht="15.75" customHeight="1">
      <c r="A122" s="8">
        <v>30301.0</v>
      </c>
      <c r="B122" s="9" t="s">
        <v>136</v>
      </c>
      <c r="C122" s="12">
        <v>0.3805332845195</v>
      </c>
      <c r="D122" s="18">
        <v>0.5544045675802056</v>
      </c>
    </row>
    <row r="123" ht="15.75" customHeight="1">
      <c r="A123" s="8">
        <v>30302.0</v>
      </c>
      <c r="B123" s="9" t="s">
        <v>137</v>
      </c>
      <c r="C123" s="12">
        <v>0.7829129941843086</v>
      </c>
      <c r="D123" s="18">
        <v>1.2541812134376953</v>
      </c>
    </row>
    <row r="124" ht="15.75" customHeight="1">
      <c r="A124" s="8">
        <v>30303.0</v>
      </c>
      <c r="B124" s="9" t="s">
        <v>138</v>
      </c>
      <c r="C124" s="12">
        <v>0.8961103035220579</v>
      </c>
      <c r="D124" s="18">
        <v>1.1271157893741692</v>
      </c>
    </row>
    <row r="125" ht="15.75" customHeight="1">
      <c r="A125" s="8">
        <v>30401.0</v>
      </c>
      <c r="B125" s="9" t="s">
        <v>139</v>
      </c>
      <c r="C125" s="12">
        <v>0.21952807055575543</v>
      </c>
      <c r="D125" s="18">
        <v>0.5904592501063888</v>
      </c>
    </row>
    <row r="126" ht="15.75" customHeight="1">
      <c r="A126" s="8">
        <v>30402.0</v>
      </c>
      <c r="B126" s="9" t="s">
        <v>140</v>
      </c>
      <c r="C126" s="12">
        <v>0.4445471741797003</v>
      </c>
      <c r="D126" s="18">
        <v>0.8183276454153883</v>
      </c>
    </row>
    <row r="127" ht="15.75" customHeight="1">
      <c r="A127" s="8">
        <v>30403.0</v>
      </c>
      <c r="B127" s="9" t="s">
        <v>141</v>
      </c>
      <c r="C127" s="12">
        <v>0.7498854475626031</v>
      </c>
      <c r="D127" s="18">
        <v>0.9415658508145439</v>
      </c>
    </row>
    <row r="128" ht="15.75" customHeight="1">
      <c r="A128" s="8">
        <v>30404.0</v>
      </c>
      <c r="B128" s="9" t="s">
        <v>142</v>
      </c>
      <c r="C128" s="12">
        <v>0.9203810072099036</v>
      </c>
      <c r="D128" s="18">
        <v>1.123909114807123</v>
      </c>
    </row>
    <row r="129" ht="15.75" customHeight="1">
      <c r="A129" s="8">
        <v>30501.0</v>
      </c>
      <c r="B129" s="9" t="s">
        <v>143</v>
      </c>
      <c r="C129" s="12">
        <v>0.23495149718938985</v>
      </c>
      <c r="D129" s="18">
        <v>0.4092085881360054</v>
      </c>
    </row>
    <row r="130" ht="15.75" customHeight="1">
      <c r="A130" s="8">
        <v>30502.0</v>
      </c>
      <c r="B130" s="9" t="s">
        <v>144</v>
      </c>
      <c r="C130" s="12">
        <v>0.7904004722821597</v>
      </c>
      <c r="D130" s="18">
        <v>1.0563124709479748</v>
      </c>
    </row>
    <row r="131" ht="15.75" customHeight="1">
      <c r="A131" s="8">
        <v>30601.0</v>
      </c>
      <c r="B131" s="9" t="s">
        <v>145</v>
      </c>
      <c r="C131" s="12">
        <v>0.4712295299495153</v>
      </c>
      <c r="D131" s="18">
        <v>0.6660031663877121</v>
      </c>
    </row>
    <row r="132" ht="15.75" customHeight="1">
      <c r="A132" s="8">
        <v>30602.0</v>
      </c>
      <c r="B132" s="9" t="s">
        <v>146</v>
      </c>
      <c r="C132" s="12">
        <v>0.623719125395528</v>
      </c>
      <c r="D132" s="18">
        <v>0.8065937568746921</v>
      </c>
    </row>
    <row r="133" ht="15.75" customHeight="1">
      <c r="A133" s="8">
        <v>30701.0</v>
      </c>
      <c r="B133" s="9" t="s">
        <v>147</v>
      </c>
      <c r="C133" s="12">
        <v>0.4033112868395333</v>
      </c>
      <c r="D133" s="18">
        <v>0.5770014659996422</v>
      </c>
    </row>
    <row r="134" ht="15.75" customHeight="1">
      <c r="A134" s="8">
        <v>30702.0</v>
      </c>
      <c r="B134" s="9" t="s">
        <v>148</v>
      </c>
      <c r="C134" s="12">
        <v>0.42282944601146166</v>
      </c>
      <c r="D134" s="18">
        <v>1.111244054807831</v>
      </c>
    </row>
    <row r="135" ht="15.75" customHeight="1">
      <c r="A135" s="8">
        <v>30703.0</v>
      </c>
      <c r="B135" s="9" t="s">
        <v>149</v>
      </c>
      <c r="C135" s="12">
        <v>0.5980151633961107</v>
      </c>
      <c r="D135" s="18">
        <v>1.5048499608922805</v>
      </c>
    </row>
    <row r="136" ht="15.75" customHeight="1">
      <c r="A136" s="8">
        <v>30801.0</v>
      </c>
      <c r="B136" s="9" t="s">
        <v>150</v>
      </c>
      <c r="C136" s="12">
        <v>0.9690413692465021</v>
      </c>
      <c r="D136" s="18">
        <v>1.1166326261456905</v>
      </c>
    </row>
    <row r="137" ht="15.75" customHeight="1">
      <c r="A137" s="8">
        <v>30802.0</v>
      </c>
      <c r="B137" s="9" t="s">
        <v>151</v>
      </c>
      <c r="C137" s="12">
        <v>0.546255497634199</v>
      </c>
      <c r="D137" s="18">
        <v>0.8632490712987718</v>
      </c>
    </row>
    <row r="138" ht="15.75" customHeight="1">
      <c r="A138" s="8">
        <v>30803.0</v>
      </c>
      <c r="B138" s="9" t="s">
        <v>152</v>
      </c>
      <c r="C138" s="12">
        <v>0.5597564433794074</v>
      </c>
      <c r="D138" s="18">
        <v>0.7968237869625915</v>
      </c>
    </row>
    <row r="139" ht="15.75" customHeight="1">
      <c r="A139" s="8">
        <v>30901.0</v>
      </c>
      <c r="B139" s="9" t="s">
        <v>153</v>
      </c>
      <c r="C139" s="12">
        <v>0.4537119782460721</v>
      </c>
      <c r="D139" s="18">
        <v>0.4206697835657307</v>
      </c>
    </row>
    <row r="140" ht="15.75" customHeight="1">
      <c r="A140" s="8">
        <v>30902.0</v>
      </c>
      <c r="B140" s="9" t="s">
        <v>154</v>
      </c>
      <c r="C140" s="12">
        <v>0.3734508232228834</v>
      </c>
      <c r="D140" s="18">
        <v>0.6149563529074863</v>
      </c>
    </row>
    <row r="141" ht="15.75" customHeight="1">
      <c r="A141" s="8">
        <v>30903.0</v>
      </c>
      <c r="B141" s="9" t="s">
        <v>155</v>
      </c>
      <c r="C141" s="12">
        <v>0.4554525657386307</v>
      </c>
      <c r="D141" s="18">
        <v>0.3483871358766362</v>
      </c>
    </row>
    <row r="142" ht="15.75" customHeight="1">
      <c r="A142" s="8">
        <v>30904.0</v>
      </c>
      <c r="B142" s="9" t="s">
        <v>156</v>
      </c>
      <c r="C142" s="12">
        <v>0.47579124180654414</v>
      </c>
      <c r="D142" s="18">
        <v>0.49304002447530937</v>
      </c>
    </row>
    <row r="143" ht="15.75" customHeight="1">
      <c r="A143" s="8">
        <v>30905.0</v>
      </c>
      <c r="B143" s="9" t="s">
        <v>157</v>
      </c>
      <c r="C143" s="12">
        <v>0.5882804768207069</v>
      </c>
      <c r="D143" s="18">
        <v>0.44170719861282215</v>
      </c>
    </row>
    <row r="144" ht="15.75" customHeight="1">
      <c r="A144" s="8">
        <v>31001.0</v>
      </c>
      <c r="B144" s="9" t="s">
        <v>158</v>
      </c>
      <c r="C144" s="12">
        <v>0.378615682103491</v>
      </c>
      <c r="D144" s="18">
        <v>0.43181892587792714</v>
      </c>
    </row>
    <row r="145" ht="15.75" customHeight="1">
      <c r="A145" s="8">
        <v>31002.0</v>
      </c>
      <c r="B145" s="9" t="s">
        <v>159</v>
      </c>
      <c r="C145" s="12">
        <v>0.6008897998036843</v>
      </c>
      <c r="D145" s="18">
        <v>0.83440552052641</v>
      </c>
    </row>
    <row r="146" ht="15.75" customHeight="1">
      <c r="A146" s="8">
        <v>31003.0</v>
      </c>
      <c r="B146" s="9" t="s">
        <v>160</v>
      </c>
      <c r="C146" s="12">
        <v>0.6304423849332284</v>
      </c>
      <c r="D146" s="18">
        <v>0.7283476703705493</v>
      </c>
    </row>
    <row r="147" ht="15.75" customHeight="1">
      <c r="A147" s="8">
        <v>31101.0</v>
      </c>
      <c r="B147" s="9" t="s">
        <v>161</v>
      </c>
      <c r="C147" s="12">
        <v>0.7191837240885648</v>
      </c>
      <c r="D147" s="18">
        <v>1.011867993680892</v>
      </c>
    </row>
    <row r="148" ht="15.75" customHeight="1">
      <c r="A148" s="8">
        <v>31201.0</v>
      </c>
      <c r="B148" s="9" t="s">
        <v>162</v>
      </c>
      <c r="C148" s="12">
        <v>0.512799819018247</v>
      </c>
      <c r="D148" s="18">
        <v>1.0121613596387897</v>
      </c>
    </row>
    <row r="149" ht="15.75" customHeight="1">
      <c r="A149" s="8">
        <v>31202.0</v>
      </c>
      <c r="B149" s="9" t="s">
        <v>163</v>
      </c>
      <c r="C149" s="12">
        <v>0.6781413430074211</v>
      </c>
      <c r="D149" s="18">
        <v>1.0312153447009489</v>
      </c>
    </row>
    <row r="150" ht="15.75" customHeight="1">
      <c r="A150" s="8">
        <v>31203.0</v>
      </c>
      <c r="B150" s="9" t="s">
        <v>164</v>
      </c>
      <c r="C150" s="12">
        <v>0.6909249348975754</v>
      </c>
      <c r="D150" s="18">
        <v>1.0125466988985623</v>
      </c>
    </row>
    <row r="151" ht="15.75" customHeight="1">
      <c r="A151" s="8">
        <v>31204.0</v>
      </c>
      <c r="B151" s="9" t="s">
        <v>165</v>
      </c>
      <c r="C151" s="12">
        <v>0.5816115626382905</v>
      </c>
      <c r="D151" s="18">
        <v>0.7680444501476417</v>
      </c>
    </row>
    <row r="152" ht="15.75" customHeight="1">
      <c r="A152" s="8">
        <v>31205.0</v>
      </c>
      <c r="B152" s="9" t="s">
        <v>166</v>
      </c>
      <c r="C152" s="12">
        <v>0.7012501481421366</v>
      </c>
      <c r="D152" s="18">
        <v>0.8091578560284628</v>
      </c>
    </row>
    <row r="153" ht="15.75" customHeight="1">
      <c r="A153" s="8">
        <v>31206.0</v>
      </c>
      <c r="B153" s="9" t="s">
        <v>167</v>
      </c>
      <c r="C153" s="12">
        <v>0.6545100769275631</v>
      </c>
      <c r="D153" s="18">
        <v>0.8673648412964728</v>
      </c>
    </row>
    <row r="154" ht="15.75" customHeight="1">
      <c r="A154" s="8">
        <v>31301.0</v>
      </c>
      <c r="B154" s="9" t="s">
        <v>168</v>
      </c>
      <c r="C154" s="12">
        <v>0.3314970048422693</v>
      </c>
      <c r="D154" s="18">
        <v>0.844312164898624</v>
      </c>
    </row>
    <row r="155" ht="15.75" customHeight="1">
      <c r="A155" s="8">
        <v>31302.0</v>
      </c>
      <c r="B155" s="9" t="s">
        <v>169</v>
      </c>
      <c r="C155" s="12">
        <v>0.550347233464157</v>
      </c>
      <c r="D155" s="18">
        <v>1.1130284059299256</v>
      </c>
    </row>
    <row r="156" ht="15.75" customHeight="1">
      <c r="A156" s="8">
        <v>31303.0</v>
      </c>
      <c r="B156" s="9" t="s">
        <v>170</v>
      </c>
      <c r="C156" s="12">
        <v>0.8282830911707413</v>
      </c>
      <c r="D156" s="18">
        <v>1.1332399041835353</v>
      </c>
    </row>
    <row r="157" ht="15.75" customHeight="1">
      <c r="A157" s="8">
        <v>31304.0</v>
      </c>
      <c r="B157" s="9" t="s">
        <v>171</v>
      </c>
      <c r="C157" s="12">
        <v>0.5343603919100312</v>
      </c>
      <c r="D157" s="18">
        <v>0.904090392797827</v>
      </c>
    </row>
    <row r="158" ht="15.75" customHeight="1">
      <c r="A158" s="8">
        <v>31401.0</v>
      </c>
      <c r="B158" s="9" t="s">
        <v>172</v>
      </c>
      <c r="C158" s="12">
        <v>0.5330912649735345</v>
      </c>
      <c r="D158" s="18">
        <v>0.7172797911446093</v>
      </c>
    </row>
    <row r="159" ht="15.75" customHeight="1">
      <c r="A159" s="8">
        <v>31402.0</v>
      </c>
      <c r="B159" s="9" t="s">
        <v>173</v>
      </c>
      <c r="C159" s="12">
        <v>0.9217258681909325</v>
      </c>
      <c r="D159" s="18">
        <v>1.0155427393242862</v>
      </c>
    </row>
    <row r="160" ht="15.75" customHeight="1">
      <c r="A160" s="8">
        <v>31403.0</v>
      </c>
      <c r="B160" s="9" t="s">
        <v>174</v>
      </c>
      <c r="C160" s="12">
        <v>0.7006434333170799</v>
      </c>
      <c r="D160" s="18">
        <v>0.6675024310785272</v>
      </c>
    </row>
    <row r="161" ht="15.75" customHeight="1">
      <c r="A161" s="8">
        <v>31404.0</v>
      </c>
      <c r="B161" s="9" t="s">
        <v>175</v>
      </c>
      <c r="C161" s="12">
        <v>0.7454216898620244</v>
      </c>
      <c r="D161" s="18">
        <v>0.5867874104281139</v>
      </c>
    </row>
    <row r="162" ht="15.75" customHeight="1">
      <c r="A162" s="8">
        <v>31405.0</v>
      </c>
      <c r="B162" s="9" t="s">
        <v>176</v>
      </c>
      <c r="C162" s="12">
        <v>0.4962932963586359</v>
      </c>
      <c r="D162" s="18">
        <v>0.6291316692600977</v>
      </c>
    </row>
    <row r="163" ht="15.75" customHeight="1">
      <c r="A163" s="8">
        <v>31501.0</v>
      </c>
      <c r="B163" s="9" t="s">
        <v>177</v>
      </c>
      <c r="C163" s="12">
        <v>0.5684807132883318</v>
      </c>
      <c r="D163" s="18">
        <v>0.844147785263611</v>
      </c>
    </row>
    <row r="164" ht="15.75" customHeight="1">
      <c r="A164" s="8">
        <v>31601.0</v>
      </c>
      <c r="B164" s="9" t="s">
        <v>178</v>
      </c>
      <c r="C164" s="12">
        <v>0.6269790376503812</v>
      </c>
      <c r="D164" s="18">
        <v>0.9063194142377177</v>
      </c>
    </row>
    <row r="165" ht="15.75" customHeight="1">
      <c r="A165" s="8">
        <v>31602.0</v>
      </c>
      <c r="B165" s="9" t="s">
        <v>179</v>
      </c>
      <c r="C165" s="12">
        <v>0.5648920914268247</v>
      </c>
      <c r="D165" s="18">
        <v>0.6740188513471256</v>
      </c>
    </row>
    <row r="166" ht="15.75" customHeight="1">
      <c r="A166" s="8">
        <v>40101.0</v>
      </c>
      <c r="B166" s="9" t="s">
        <v>180</v>
      </c>
      <c r="C166" s="12">
        <v>0.33840050184535064</v>
      </c>
      <c r="D166" s="18">
        <v>0.3346257729415686</v>
      </c>
    </row>
    <row r="167" ht="15.75" customHeight="1">
      <c r="A167" s="8">
        <v>40102.0</v>
      </c>
      <c r="B167" s="9" t="s">
        <v>181</v>
      </c>
      <c r="C167" s="12">
        <v>0.5003907806591261</v>
      </c>
      <c r="D167" s="18">
        <v>0.7627426140080196</v>
      </c>
    </row>
    <row r="168" ht="15.75" customHeight="1">
      <c r="A168" s="8">
        <v>40103.0</v>
      </c>
      <c r="B168" s="9" t="s">
        <v>182</v>
      </c>
      <c r="C168" s="12">
        <v>0.9552967756843841</v>
      </c>
      <c r="D168" s="18">
        <v>1.0266339621937075</v>
      </c>
    </row>
    <row r="169" ht="15.75" customHeight="1">
      <c r="A169" s="8">
        <v>40104.0</v>
      </c>
      <c r="B169" s="9" t="s">
        <v>183</v>
      </c>
      <c r="C169" s="12">
        <v>0.8194203137637672</v>
      </c>
      <c r="D169" s="18">
        <v>1.0818095449066176</v>
      </c>
    </row>
    <row r="170" ht="15.75" customHeight="1">
      <c r="A170" s="8">
        <v>40201.0</v>
      </c>
      <c r="B170" s="9" t="s">
        <v>184</v>
      </c>
      <c r="C170" s="12">
        <v>0.4471532836407291</v>
      </c>
      <c r="D170" s="18">
        <v>0.5707510114750339</v>
      </c>
    </row>
    <row r="171" ht="15.75" customHeight="1">
      <c r="A171" s="8">
        <v>40202.0</v>
      </c>
      <c r="B171" s="9" t="s">
        <v>185</v>
      </c>
      <c r="C171" s="12">
        <v>1.0698356108069753</v>
      </c>
      <c r="D171" s="18">
        <v>0.5193053930904682</v>
      </c>
    </row>
    <row r="172" ht="15.75" customHeight="1">
      <c r="A172" s="8">
        <v>40301.0</v>
      </c>
      <c r="B172" s="9" t="s">
        <v>186</v>
      </c>
      <c r="C172" s="12">
        <v>0.7987873135972036</v>
      </c>
      <c r="D172" s="18">
        <v>0.9964310543602038</v>
      </c>
    </row>
    <row r="173" ht="15.75" customHeight="1">
      <c r="A173" s="8">
        <v>40302.0</v>
      </c>
      <c r="B173" s="9" t="s">
        <v>187</v>
      </c>
      <c r="C173" s="12">
        <v>0.7427068210805394</v>
      </c>
      <c r="D173" s="18">
        <v>0.4188380299095102</v>
      </c>
    </row>
    <row r="174" ht="15.75" customHeight="1">
      <c r="A174" s="8">
        <v>40401.0</v>
      </c>
      <c r="B174" s="9" t="s">
        <v>188</v>
      </c>
      <c r="C174" s="12">
        <v>0.5019399727977525</v>
      </c>
      <c r="D174" s="18">
        <v>0.5120809698584964</v>
      </c>
    </row>
    <row r="175" ht="15.75" customHeight="1">
      <c r="A175" s="8">
        <v>40402.0</v>
      </c>
      <c r="B175" s="9" t="s">
        <v>189</v>
      </c>
      <c r="C175" s="12">
        <v>0.6144519138123135</v>
      </c>
      <c r="D175" s="18">
        <v>0.6112181977989903</v>
      </c>
    </row>
    <row r="176" ht="15.75" customHeight="1">
      <c r="A176" s="8">
        <v>40501.0</v>
      </c>
      <c r="B176" s="9" t="s">
        <v>190</v>
      </c>
      <c r="C176" s="12">
        <v>0.43422233152121237</v>
      </c>
      <c r="D176" s="18">
        <v>1.7499093557431151</v>
      </c>
    </row>
    <row r="177" ht="15.75" customHeight="1">
      <c r="A177" s="8">
        <v>40502.0</v>
      </c>
      <c r="B177" s="9" t="s">
        <v>191</v>
      </c>
      <c r="C177" s="12">
        <v>1.0320844763874168</v>
      </c>
      <c r="D177" s="18">
        <v>0.6089695890546473</v>
      </c>
    </row>
    <row r="178" ht="15.75" customHeight="1">
      <c r="A178" s="8">
        <v>40503.0</v>
      </c>
      <c r="B178" s="9" t="s">
        <v>192</v>
      </c>
      <c r="C178" s="12">
        <v>1.0905163894958545</v>
      </c>
      <c r="D178" s="18">
        <v>1.3146614548560416</v>
      </c>
    </row>
    <row r="179" ht="15.75" customHeight="1">
      <c r="A179" s="8">
        <v>40504.0</v>
      </c>
      <c r="B179" s="9" t="s">
        <v>193</v>
      </c>
      <c r="C179" s="12">
        <v>0.6187384881076886</v>
      </c>
      <c r="D179" s="18">
        <v>7.5195266272189345</v>
      </c>
    </row>
    <row r="180" ht="15.75" customHeight="1">
      <c r="A180" s="8">
        <v>40505.0</v>
      </c>
      <c r="B180" s="9" t="s">
        <v>194</v>
      </c>
      <c r="C180" s="12">
        <v>1.6642438671307298</v>
      </c>
      <c r="D180" s="18">
        <v>2.4249097767185046</v>
      </c>
    </row>
    <row r="181" ht="15.75" customHeight="1">
      <c r="A181" s="8">
        <v>40601.0</v>
      </c>
      <c r="B181" s="9" t="s">
        <v>195</v>
      </c>
      <c r="C181" s="12">
        <v>0.4011005990064047</v>
      </c>
      <c r="D181" s="18">
        <v>0.6182007917926265</v>
      </c>
    </row>
    <row r="182" ht="15.75" customHeight="1">
      <c r="A182" s="8">
        <v>40602.0</v>
      </c>
      <c r="B182" s="9" t="s">
        <v>196</v>
      </c>
      <c r="C182" s="12">
        <v>0.5602248448358235</v>
      </c>
      <c r="D182" s="18">
        <v>0.8466507229321069</v>
      </c>
    </row>
    <row r="183" ht="15.75" customHeight="1">
      <c r="A183" s="8">
        <v>40603.0</v>
      </c>
      <c r="B183" s="9" t="s">
        <v>197</v>
      </c>
      <c r="C183" s="12">
        <v>0.27370529845422664</v>
      </c>
      <c r="D183" s="18">
        <v>0.5146802437435462</v>
      </c>
    </row>
    <row r="184" ht="15.75" customHeight="1">
      <c r="A184" s="8">
        <v>40701.0</v>
      </c>
      <c r="B184" s="9" t="s">
        <v>198</v>
      </c>
      <c r="C184" s="12">
        <v>0.38775435161142946</v>
      </c>
      <c r="D184" s="18">
        <v>0.22048830169773545</v>
      </c>
    </row>
    <row r="185" ht="15.75" customHeight="1">
      <c r="A185" s="8">
        <v>40702.0</v>
      </c>
      <c r="B185" s="9" t="s">
        <v>199</v>
      </c>
      <c r="C185" s="12">
        <v>0.40894220376378315</v>
      </c>
      <c r="D185" s="18">
        <v>0.5974709618340321</v>
      </c>
    </row>
    <row r="186" ht="15.75" customHeight="1">
      <c r="A186" s="8">
        <v>40801.0</v>
      </c>
      <c r="B186" s="9" t="s">
        <v>200</v>
      </c>
      <c r="C186" s="12">
        <v>0.8350698397166445</v>
      </c>
      <c r="D186" s="18">
        <v>0.8537513330996872</v>
      </c>
    </row>
    <row r="187" ht="15.75" customHeight="1">
      <c r="A187" s="8">
        <v>40802.0</v>
      </c>
      <c r="B187" s="9" t="s">
        <v>201</v>
      </c>
      <c r="C187" s="12">
        <v>1.1564631980501656</v>
      </c>
      <c r="D187" s="18">
        <v>1.3552919730154733</v>
      </c>
    </row>
    <row r="188" ht="15.75" customHeight="1">
      <c r="A188" s="8">
        <v>40901.0</v>
      </c>
      <c r="B188" s="9" t="s">
        <v>202</v>
      </c>
      <c r="C188" s="12">
        <v>0.7465138667726926</v>
      </c>
      <c r="D188" s="18">
        <v>0.6297628215136964</v>
      </c>
    </row>
    <row r="189" ht="15.75" customHeight="1">
      <c r="A189" s="8">
        <v>40902.0</v>
      </c>
      <c r="B189" s="9" t="s">
        <v>203</v>
      </c>
      <c r="C189" s="12">
        <v>0.8176613713191417</v>
      </c>
      <c r="D189" s="18">
        <v>0.795587457424656</v>
      </c>
    </row>
    <row r="190" ht="15.75" customHeight="1">
      <c r="A190" s="8">
        <v>40903.0</v>
      </c>
      <c r="B190" s="9" t="s">
        <v>204</v>
      </c>
      <c r="C190" s="12">
        <v>0.7210709871835285</v>
      </c>
      <c r="D190" s="18">
        <v>0.86034800542071</v>
      </c>
    </row>
    <row r="191" ht="15.75" customHeight="1">
      <c r="A191" s="8">
        <v>41001.0</v>
      </c>
      <c r="B191" s="9" t="s">
        <v>205</v>
      </c>
      <c r="C191" s="12">
        <v>0.801922141482029</v>
      </c>
      <c r="D191" s="18">
        <v>0.6901165347733883</v>
      </c>
    </row>
    <row r="192" ht="15.75" customHeight="1">
      <c r="A192" s="8">
        <v>41101.0</v>
      </c>
      <c r="B192" s="9" t="s">
        <v>206</v>
      </c>
      <c r="C192" s="12">
        <v>0.49525954510403397</v>
      </c>
      <c r="D192" s="18">
        <v>0.5160716500028535</v>
      </c>
    </row>
    <row r="193" ht="15.75" customHeight="1">
      <c r="A193" s="8">
        <v>41201.0</v>
      </c>
      <c r="B193" s="9" t="s">
        <v>207</v>
      </c>
      <c r="C193" s="12">
        <v>0.8098316854568866</v>
      </c>
      <c r="D193" s="18">
        <v>1.122055135696789</v>
      </c>
    </row>
    <row r="194" ht="15.75" customHeight="1">
      <c r="A194" s="8">
        <v>41202.0</v>
      </c>
      <c r="B194" s="9" t="s">
        <v>208</v>
      </c>
      <c r="C194" s="12">
        <v>0.8090925182877047</v>
      </c>
      <c r="D194" s="18">
        <v>0.7869016171214827</v>
      </c>
    </row>
    <row r="195" ht="15.75" customHeight="1">
      <c r="A195" s="8">
        <v>41301.0</v>
      </c>
      <c r="B195" s="9" t="s">
        <v>209</v>
      </c>
      <c r="C195" s="12">
        <v>0.8247164260780053</v>
      </c>
      <c r="D195" s="18">
        <v>0.705735316122318</v>
      </c>
    </row>
    <row r="196" ht="15.75" customHeight="1">
      <c r="A196" s="8">
        <v>41401.0</v>
      </c>
      <c r="B196" s="9" t="s">
        <v>210</v>
      </c>
      <c r="C196" s="12">
        <v>0.2507734293425155</v>
      </c>
      <c r="D196" s="18">
        <v>0.6112826282633604</v>
      </c>
    </row>
    <row r="197" ht="15.75" customHeight="1">
      <c r="A197" s="8">
        <v>41501.0</v>
      </c>
      <c r="B197" s="9" t="s">
        <v>211</v>
      </c>
      <c r="C197" s="12">
        <v>0.8541770396140039</v>
      </c>
      <c r="D197" s="18">
        <v>0.5925856226735537</v>
      </c>
    </row>
    <row r="198" ht="15.75" customHeight="1">
      <c r="A198" s="8">
        <v>41502.0</v>
      </c>
      <c r="B198" s="9" t="s">
        <v>212</v>
      </c>
      <c r="C198" s="12">
        <v>0.4599229983878152</v>
      </c>
      <c r="D198" s="18">
        <v>1.769225344498762</v>
      </c>
    </row>
    <row r="199" ht="15.75" customHeight="1">
      <c r="A199" s="8">
        <v>41503.0</v>
      </c>
      <c r="B199" s="9" t="s">
        <v>213</v>
      </c>
      <c r="C199" s="12">
        <v>1.006922783378203</v>
      </c>
      <c r="D199" s="18">
        <v>1.2650469661180368</v>
      </c>
    </row>
    <row r="200" ht="15.75" customHeight="1">
      <c r="A200" s="8">
        <v>41601.0</v>
      </c>
      <c r="B200" s="9" t="s">
        <v>214</v>
      </c>
      <c r="C200" s="12">
        <v>0.7397243525358808</v>
      </c>
      <c r="D200" s="18">
        <v>0.9497640904916747</v>
      </c>
    </row>
    <row r="201" ht="15.75" customHeight="1">
      <c r="A201" s="8">
        <v>50101.0</v>
      </c>
      <c r="B201" s="9" t="s">
        <v>215</v>
      </c>
      <c r="C201" s="12">
        <v>0.19208706775540413</v>
      </c>
      <c r="D201" s="18">
        <v>0.2463780567909778</v>
      </c>
    </row>
    <row r="202" ht="15.75" customHeight="1">
      <c r="A202" s="8">
        <v>50102.0</v>
      </c>
      <c r="B202" s="9" t="s">
        <v>216</v>
      </c>
      <c r="C202" s="12">
        <v>0.7490686297902334</v>
      </c>
      <c r="D202" s="18">
        <v>0.7749206739452315</v>
      </c>
    </row>
    <row r="203" ht="15.75" customHeight="1">
      <c r="A203" s="8">
        <v>50103.0</v>
      </c>
      <c r="B203" s="9" t="s">
        <v>217</v>
      </c>
      <c r="C203" s="12">
        <v>0.7674717820711331</v>
      </c>
      <c r="D203" s="18">
        <v>0.5194083923503545</v>
      </c>
    </row>
    <row r="204" ht="15.75" customHeight="1">
      <c r="A204" s="8">
        <v>50104.0</v>
      </c>
      <c r="B204" s="9" t="s">
        <v>218</v>
      </c>
      <c r="C204" s="12">
        <v>0.7695658430395145</v>
      </c>
      <c r="D204" s="18">
        <v>0.49036859654686693</v>
      </c>
    </row>
    <row r="205" ht="15.75" customHeight="1">
      <c r="A205" s="8">
        <v>50201.0</v>
      </c>
      <c r="B205" s="9" t="s">
        <v>219</v>
      </c>
      <c r="C205" s="12">
        <v>0.2392979237841937</v>
      </c>
      <c r="D205" s="18">
        <v>0.299061881464307</v>
      </c>
    </row>
    <row r="206" ht="15.75" customHeight="1">
      <c r="A206" s="8">
        <v>50202.0</v>
      </c>
      <c r="B206" s="9" t="s">
        <v>220</v>
      </c>
      <c r="C206" s="12">
        <v>0.4810591924385529</v>
      </c>
      <c r="D206" s="18">
        <v>0.9066984358258855</v>
      </c>
    </row>
    <row r="207" ht="15.75" customHeight="1">
      <c r="A207" s="8">
        <v>50203.0</v>
      </c>
      <c r="B207" s="9" t="s">
        <v>221</v>
      </c>
      <c r="C207" s="12">
        <v>0.32808201329796105</v>
      </c>
      <c r="D207" s="18">
        <v>0.31556086156595803</v>
      </c>
    </row>
    <row r="208" ht="15.75" customHeight="1">
      <c r="A208" s="8">
        <v>50204.0</v>
      </c>
      <c r="B208" s="9" t="s">
        <v>222</v>
      </c>
      <c r="C208" s="12">
        <v>0.3863523289677698</v>
      </c>
      <c r="D208" s="18">
        <v>0.4756349822701371</v>
      </c>
    </row>
    <row r="209" ht="15.75" customHeight="1">
      <c r="A209" s="8">
        <v>50301.0</v>
      </c>
      <c r="B209" s="9" t="s">
        <v>223</v>
      </c>
      <c r="C209" s="12">
        <v>0.42614098895125324</v>
      </c>
      <c r="D209" s="18">
        <v>0.8542906672223926</v>
      </c>
    </row>
    <row r="210" ht="15.75" customHeight="1">
      <c r="A210" s="8">
        <v>50302.0</v>
      </c>
      <c r="B210" s="9" t="s">
        <v>224</v>
      </c>
      <c r="C210" s="12">
        <v>0.9147241253259972</v>
      </c>
      <c r="D210" s="18">
        <v>0.724053623943008</v>
      </c>
    </row>
    <row r="211" ht="15.75" customHeight="1">
      <c r="A211" s="8">
        <v>50303.0</v>
      </c>
      <c r="B211" s="9" t="s">
        <v>225</v>
      </c>
      <c r="C211" s="12">
        <v>0.7619537935686781</v>
      </c>
      <c r="D211" s="18">
        <v>0.8058768717793239</v>
      </c>
    </row>
    <row r="212" ht="15.75" customHeight="1">
      <c r="A212" s="8">
        <v>50401.0</v>
      </c>
      <c r="B212" s="9" t="s">
        <v>226</v>
      </c>
      <c r="C212" s="12">
        <v>0.5446265501475536</v>
      </c>
      <c r="D212" s="18">
        <v>0.43271277396353197</v>
      </c>
    </row>
    <row r="213" ht="15.75" customHeight="1">
      <c r="A213" s="8">
        <v>50402.0</v>
      </c>
      <c r="B213" s="9" t="s">
        <v>227</v>
      </c>
      <c r="C213" s="12">
        <v>0.5726765537561321</v>
      </c>
      <c r="D213" s="18">
        <v>0.8510568116794837</v>
      </c>
    </row>
    <row r="214" ht="15.75" customHeight="1">
      <c r="A214" s="8">
        <v>50403.0</v>
      </c>
      <c r="B214" s="9" t="s">
        <v>228</v>
      </c>
      <c r="C214" s="12">
        <v>0.7928509041607966</v>
      </c>
      <c r="D214" s="18">
        <v>0.8809804827801376</v>
      </c>
    </row>
    <row r="215" ht="15.75" customHeight="1">
      <c r="A215" s="8">
        <v>50404.0</v>
      </c>
      <c r="B215" s="9" t="s">
        <v>229</v>
      </c>
      <c r="C215" s="12">
        <v>0.6293534433867267</v>
      </c>
      <c r="D215" s="18">
        <v>0.8704246423480093</v>
      </c>
    </row>
    <row r="216" ht="15.75" customHeight="1">
      <c r="A216" s="8">
        <v>50405.0</v>
      </c>
      <c r="B216" s="9" t="s">
        <v>230</v>
      </c>
      <c r="C216" s="12">
        <v>0.7314748146539469</v>
      </c>
      <c r="D216" s="18">
        <v>0.9730765902454105</v>
      </c>
    </row>
    <row r="217" ht="15.75" customHeight="1">
      <c r="A217" s="8">
        <v>50501.0</v>
      </c>
      <c r="B217" s="9" t="s">
        <v>231</v>
      </c>
      <c r="C217" s="12">
        <v>0.6239767587952765</v>
      </c>
      <c r="D217" s="18">
        <v>0.7684917959178529</v>
      </c>
    </row>
    <row r="218" ht="15.75" customHeight="1">
      <c r="A218" s="8">
        <v>50502.0</v>
      </c>
      <c r="B218" s="9" t="s">
        <v>232</v>
      </c>
      <c r="C218" s="12">
        <v>0.3970993096844371</v>
      </c>
      <c r="D218" s="18">
        <v>0.9156127247838383</v>
      </c>
    </row>
    <row r="219" ht="15.75" customHeight="1">
      <c r="A219" s="8">
        <v>50601.0</v>
      </c>
      <c r="B219" s="9" t="s">
        <v>233</v>
      </c>
      <c r="C219" s="12">
        <v>0.5316575937952971</v>
      </c>
      <c r="D219" s="18">
        <v>0.4576624720110595</v>
      </c>
    </row>
    <row r="220" ht="15.75" customHeight="1">
      <c r="A220" s="8">
        <v>50602.0</v>
      </c>
      <c r="B220" s="9" t="s">
        <v>234</v>
      </c>
      <c r="C220" s="12">
        <v>0.6509048908752728</v>
      </c>
      <c r="D220" s="18">
        <v>1.001667653310484</v>
      </c>
    </row>
    <row r="221" ht="15.75" customHeight="1">
      <c r="A221" s="8">
        <v>50701.0</v>
      </c>
      <c r="B221" s="9" t="s">
        <v>235</v>
      </c>
      <c r="C221" s="12">
        <v>0.6044165503161462</v>
      </c>
      <c r="D221" s="18">
        <v>0.784316008251248</v>
      </c>
    </row>
    <row r="222" ht="15.75" customHeight="1">
      <c r="A222" s="8">
        <v>50702.0</v>
      </c>
      <c r="B222" s="9" t="s">
        <v>236</v>
      </c>
      <c r="C222" s="12">
        <v>0.36560347437046575</v>
      </c>
      <c r="D222" s="18">
        <v>0.8988429567778948</v>
      </c>
    </row>
    <row r="223" ht="15.75" customHeight="1">
      <c r="A223" s="8">
        <v>50801.0</v>
      </c>
      <c r="B223" s="9" t="s">
        <v>237</v>
      </c>
      <c r="C223" s="12">
        <v>0.8893140427407553</v>
      </c>
      <c r="D223" s="18">
        <v>0.616267316051052</v>
      </c>
    </row>
    <row r="224" ht="15.75" customHeight="1">
      <c r="A224" s="8">
        <v>50802.0</v>
      </c>
      <c r="B224" s="9" t="s">
        <v>238</v>
      </c>
      <c r="C224" s="12">
        <v>0.5366699141165957</v>
      </c>
      <c r="D224" s="18">
        <v>0.42948437869739664</v>
      </c>
    </row>
    <row r="225" ht="15.75" customHeight="1">
      <c r="A225" s="8">
        <v>50901.0</v>
      </c>
      <c r="B225" s="9" t="s">
        <v>239</v>
      </c>
      <c r="C225" s="12">
        <v>0.4234030237485237</v>
      </c>
      <c r="D225" s="18">
        <v>0.47300438986973664</v>
      </c>
    </row>
    <row r="226" ht="15.75" customHeight="1">
      <c r="A226" s="8">
        <v>50902.0</v>
      </c>
      <c r="B226" s="9" t="s">
        <v>240</v>
      </c>
      <c r="C226" s="12">
        <v>1.3086211799179153</v>
      </c>
      <c r="D226" s="18">
        <v>0.7802173952752285</v>
      </c>
    </row>
    <row r="227" ht="15.75" customHeight="1">
      <c r="A227" s="8">
        <v>51001.0</v>
      </c>
      <c r="B227" s="9" t="s">
        <v>241</v>
      </c>
      <c r="C227" s="12">
        <v>0.6647255945264461</v>
      </c>
      <c r="D227" s="18">
        <v>0.8419465185779245</v>
      </c>
    </row>
    <row r="228" ht="15.75" customHeight="1">
      <c r="A228" s="8">
        <v>51002.0</v>
      </c>
      <c r="B228" s="9" t="s">
        <v>242</v>
      </c>
      <c r="C228" s="12">
        <v>0.35854408043493846</v>
      </c>
      <c r="D228" s="18">
        <v>1.0613994515792955</v>
      </c>
    </row>
    <row r="229" ht="15.75" customHeight="1">
      <c r="A229" s="8">
        <v>51003.0</v>
      </c>
      <c r="B229" s="9" t="s">
        <v>243</v>
      </c>
      <c r="C229" s="12">
        <v>0.8939221896830052</v>
      </c>
      <c r="D229" s="18">
        <v>0.6856705275946816</v>
      </c>
    </row>
    <row r="230" ht="15.75" customHeight="1">
      <c r="A230" s="8">
        <v>51101.0</v>
      </c>
      <c r="B230" s="9" t="s">
        <v>244</v>
      </c>
      <c r="C230" s="12">
        <v>0.7865780366114096</v>
      </c>
      <c r="D230" s="18">
        <v>0.9898882421708154</v>
      </c>
    </row>
    <row r="231" ht="15.75" customHeight="1">
      <c r="A231" s="8">
        <v>51102.0</v>
      </c>
      <c r="B231" s="9" t="s">
        <v>245</v>
      </c>
      <c r="C231" s="12">
        <v>0.7221384876758402</v>
      </c>
      <c r="D231" s="18">
        <v>0.8912696690843859</v>
      </c>
    </row>
    <row r="232" ht="15.75" customHeight="1">
      <c r="A232" s="8">
        <v>51103.0</v>
      </c>
      <c r="B232" s="9" t="s">
        <v>246</v>
      </c>
      <c r="C232" s="12">
        <v>0.6349759552381287</v>
      </c>
      <c r="D232" s="18">
        <v>0.8756624478355174</v>
      </c>
    </row>
    <row r="233" ht="15.75" customHeight="1">
      <c r="A233" s="8">
        <v>51201.0</v>
      </c>
      <c r="B233" s="9" t="s">
        <v>247</v>
      </c>
      <c r="C233" s="12">
        <v>0.41165096926209593</v>
      </c>
      <c r="D233" s="18">
        <v>0.36809998459614063</v>
      </c>
    </row>
    <row r="234" ht="15.75" customHeight="1">
      <c r="A234" s="8">
        <v>51202.0</v>
      </c>
      <c r="B234" s="9" t="s">
        <v>248</v>
      </c>
      <c r="C234" s="12">
        <v>1.0487320015001917</v>
      </c>
      <c r="D234" s="18">
        <v>1.030380175539241</v>
      </c>
    </row>
    <row r="235" ht="15.75" customHeight="1">
      <c r="A235" s="8">
        <v>51203.0</v>
      </c>
      <c r="B235" s="9" t="s">
        <v>249</v>
      </c>
      <c r="C235" s="12">
        <v>0.7718976562743844</v>
      </c>
      <c r="D235" s="18">
        <v>0.8643007419702554</v>
      </c>
    </row>
    <row r="236" ht="15.75" customHeight="1">
      <c r="A236" s="8">
        <v>51204.0</v>
      </c>
      <c r="B236" s="9" t="s">
        <v>250</v>
      </c>
      <c r="C236" s="12">
        <v>0.5329632661222742</v>
      </c>
      <c r="D236" s="18">
        <v>0.8701172515786878</v>
      </c>
    </row>
    <row r="237" ht="15.75" customHeight="1">
      <c r="A237" s="8">
        <v>51301.0</v>
      </c>
      <c r="B237" s="9" t="s">
        <v>251</v>
      </c>
      <c r="C237" s="12">
        <v>0.716391153851931</v>
      </c>
      <c r="D237" s="18">
        <v>1.1211174938345745</v>
      </c>
    </row>
    <row r="238" ht="15.75" customHeight="1">
      <c r="A238" s="8">
        <v>51302.0</v>
      </c>
      <c r="B238" s="9" t="s">
        <v>252</v>
      </c>
      <c r="C238" s="12">
        <v>0.5780994075154156</v>
      </c>
      <c r="D238" s="18">
        <v>0.5556296283912753</v>
      </c>
    </row>
    <row r="239" ht="15.75" customHeight="1">
      <c r="A239" s="8">
        <v>51401.0</v>
      </c>
      <c r="B239" s="9" t="s">
        <v>253</v>
      </c>
      <c r="C239" s="12">
        <v>0.8293637435634212</v>
      </c>
      <c r="D239" s="18">
        <v>0.1322309376277371</v>
      </c>
    </row>
    <row r="240" ht="15.75" customHeight="1">
      <c r="A240" s="8">
        <v>51402.0</v>
      </c>
      <c r="B240" s="9" t="s">
        <v>254</v>
      </c>
      <c r="C240" s="12">
        <v>0.5980838721487179</v>
      </c>
      <c r="D240" s="18">
        <v>2.375341271902917</v>
      </c>
    </row>
    <row r="241" ht="15.75" customHeight="1">
      <c r="A241" s="8">
        <v>51501.0</v>
      </c>
      <c r="B241" s="9" t="s">
        <v>255</v>
      </c>
      <c r="C241" s="12">
        <v>0.6804647270508994</v>
      </c>
      <c r="D241" s="18">
        <v>0.6542701098535828</v>
      </c>
    </row>
    <row r="242" ht="15.75" customHeight="1">
      <c r="A242" s="8">
        <v>51601.0</v>
      </c>
      <c r="B242" s="9" t="s">
        <v>256</v>
      </c>
      <c r="C242" s="12">
        <v>1.2617630396214317</v>
      </c>
      <c r="D242" s="18">
        <v>0.7545326863583341</v>
      </c>
    </row>
    <row r="243" ht="15.75" customHeight="1">
      <c r="A243" s="8">
        <v>60101.0</v>
      </c>
      <c r="B243" s="9" t="s">
        <v>257</v>
      </c>
      <c r="C243" s="12">
        <v>0.48963030941520774</v>
      </c>
      <c r="D243" s="18">
        <v>0.5344776181484525</v>
      </c>
    </row>
    <row r="244" ht="15.75" customHeight="1">
      <c r="A244" s="8">
        <v>60201.0</v>
      </c>
      <c r="B244" s="9" t="s">
        <v>258</v>
      </c>
      <c r="C244" s="12">
        <v>0.9355366782042337</v>
      </c>
      <c r="D244" s="18">
        <v>1.0521193420944803</v>
      </c>
    </row>
    <row r="245" ht="15.75" customHeight="1">
      <c r="A245" s="8">
        <v>60202.0</v>
      </c>
      <c r="B245" s="9" t="s">
        <v>259</v>
      </c>
      <c r="C245" s="12">
        <v>0.46138659279727073</v>
      </c>
      <c r="D245" s="18">
        <v>0.5902539553907047</v>
      </c>
    </row>
    <row r="246" ht="15.75" customHeight="1">
      <c r="A246" s="8">
        <v>60301.0</v>
      </c>
      <c r="B246" s="9" t="s">
        <v>260</v>
      </c>
      <c r="C246" s="12">
        <v>0.4022028960102908</v>
      </c>
      <c r="D246" s="18">
        <v>0.26110680425311394</v>
      </c>
    </row>
    <row r="247" ht="15.75" customHeight="1">
      <c r="A247" s="8">
        <v>60302.0</v>
      </c>
      <c r="B247" s="9" t="s">
        <v>261</v>
      </c>
      <c r="C247" s="12">
        <v>0.5680017940688548</v>
      </c>
      <c r="D247" s="18">
        <v>0.41896386469301705</v>
      </c>
    </row>
    <row r="248" ht="15.75" customHeight="1">
      <c r="A248" s="8">
        <v>60303.0</v>
      </c>
      <c r="B248" s="9" t="s">
        <v>262</v>
      </c>
      <c r="C248" s="12">
        <v>0.5558689900719159</v>
      </c>
      <c r="D248" s="18">
        <v>0.2562112978446401</v>
      </c>
    </row>
    <row r="249" ht="15.75" customHeight="1">
      <c r="A249" s="8">
        <v>60401.0</v>
      </c>
      <c r="B249" s="9" t="s">
        <v>263</v>
      </c>
      <c r="C249" s="12">
        <v>0.8615256238605378</v>
      </c>
      <c r="D249" s="18">
        <v>0.7333054532010964</v>
      </c>
    </row>
    <row r="250" ht="15.75" customHeight="1">
      <c r="A250" s="8">
        <v>60402.0</v>
      </c>
      <c r="B250" s="9" t="s">
        <v>264</v>
      </c>
      <c r="C250" s="12">
        <v>0.967679585084763</v>
      </c>
      <c r="D250" s="18">
        <v>1.17030451270676</v>
      </c>
    </row>
    <row r="251" ht="15.75" customHeight="1">
      <c r="A251" s="8">
        <v>60501.0</v>
      </c>
      <c r="B251" s="9" t="s">
        <v>265</v>
      </c>
      <c r="C251" s="12">
        <v>1.0617970652341115</v>
      </c>
      <c r="D251" s="18">
        <v>0.6476269708001224</v>
      </c>
    </row>
    <row r="252" ht="15.75" customHeight="1">
      <c r="A252" s="8">
        <v>60502.0</v>
      </c>
      <c r="B252" s="9" t="s">
        <v>266</v>
      </c>
      <c r="C252" s="12">
        <v>0.8956654080907925</v>
      </c>
      <c r="D252" s="18">
        <v>2.261567858828025</v>
      </c>
    </row>
    <row r="253" ht="15.75" customHeight="1">
      <c r="A253" s="8">
        <v>60601.0</v>
      </c>
      <c r="B253" s="9" t="s">
        <v>167</v>
      </c>
      <c r="C253" s="12">
        <v>0.6545168902635672</v>
      </c>
      <c r="D253" s="18">
        <v>0.4637304361087225</v>
      </c>
    </row>
    <row r="254" ht="15.75" customHeight="1">
      <c r="A254" s="8">
        <v>70101.0</v>
      </c>
      <c r="B254" s="9" t="s">
        <v>267</v>
      </c>
      <c r="C254" s="12">
        <v>0.6913021556568384</v>
      </c>
      <c r="D254" s="18">
        <v>0.609152778965539</v>
      </c>
    </row>
    <row r="255" ht="15.75" customHeight="1">
      <c r="A255" s="8">
        <v>70102.0</v>
      </c>
      <c r="B255" s="9" t="s">
        <v>268</v>
      </c>
      <c r="C255" s="12">
        <v>0.7574720170088355</v>
      </c>
      <c r="D255" s="18">
        <v>0.7364301810699851</v>
      </c>
    </row>
    <row r="256" ht="15.75" customHeight="1">
      <c r="A256" s="8">
        <v>70103.0</v>
      </c>
      <c r="B256" s="9" t="s">
        <v>269</v>
      </c>
      <c r="C256" s="12">
        <v>0.5710806464220562</v>
      </c>
      <c r="D256" s="18">
        <v>0.4468655302372319</v>
      </c>
    </row>
    <row r="257" ht="15.75" customHeight="1">
      <c r="A257" s="8">
        <v>70104.0</v>
      </c>
      <c r="B257" s="9" t="s">
        <v>270</v>
      </c>
      <c r="C257" s="12">
        <v>0.8188719601763009</v>
      </c>
      <c r="D257" s="18">
        <v>0.6493510961615248</v>
      </c>
    </row>
    <row r="258" ht="15.75" customHeight="1">
      <c r="A258" s="8">
        <v>70105.0</v>
      </c>
      <c r="B258" s="9" t="s">
        <v>271</v>
      </c>
      <c r="C258" s="12">
        <v>0.5687183592505355</v>
      </c>
      <c r="D258" s="18">
        <v>0.6254555885559172</v>
      </c>
    </row>
    <row r="259" ht="15.75" customHeight="1">
      <c r="A259" s="8">
        <v>70201.0</v>
      </c>
      <c r="B259" s="9" t="s">
        <v>272</v>
      </c>
      <c r="C259" s="12">
        <v>0.8462626028054454</v>
      </c>
      <c r="D259" s="18">
        <v>0.853363802873302</v>
      </c>
    </row>
    <row r="260" ht="15.75" customHeight="1">
      <c r="A260" s="8">
        <v>70202.0</v>
      </c>
      <c r="B260" s="9" t="s">
        <v>273</v>
      </c>
      <c r="C260" s="12">
        <v>1.0953991975062374</v>
      </c>
      <c r="D260" s="18">
        <v>0.6510615484449743</v>
      </c>
    </row>
    <row r="261" ht="15.75" customHeight="1">
      <c r="A261" s="8">
        <v>70301.0</v>
      </c>
      <c r="B261" s="9" t="s">
        <v>274</v>
      </c>
      <c r="C261" s="12">
        <v>0.8244103618909386</v>
      </c>
      <c r="D261" s="18">
        <v>1.4645427369776638</v>
      </c>
    </row>
    <row r="262" ht="15.75" customHeight="1">
      <c r="A262" s="8">
        <v>70302.0</v>
      </c>
      <c r="B262" s="9" t="s">
        <v>275</v>
      </c>
      <c r="C262" s="12">
        <v>0.7515016076699262</v>
      </c>
      <c r="D262" s="18">
        <v>1.0628589558841446</v>
      </c>
    </row>
    <row r="263" ht="15.75" customHeight="1">
      <c r="A263" s="8">
        <v>70303.0</v>
      </c>
      <c r="B263" s="9" t="s">
        <v>276</v>
      </c>
      <c r="C263" s="12">
        <v>0.7925062076185231</v>
      </c>
      <c r="D263" s="18">
        <v>1.1877273443168679</v>
      </c>
    </row>
    <row r="264" ht="15.75" customHeight="1">
      <c r="A264" s="8">
        <v>70401.0</v>
      </c>
      <c r="B264" s="9" t="s">
        <v>277</v>
      </c>
      <c r="C264" s="12">
        <v>0.5891823221948375</v>
      </c>
      <c r="D264" s="18">
        <v>0.4626585997626703</v>
      </c>
    </row>
    <row r="265" ht="15.75" customHeight="1">
      <c r="A265" s="8">
        <v>70402.0</v>
      </c>
      <c r="B265" s="9" t="s">
        <v>278</v>
      </c>
      <c r="C265" s="12">
        <v>0.8700665712968746</v>
      </c>
      <c r="D265" s="18">
        <v>0.6353542655435986</v>
      </c>
    </row>
    <row r="266" ht="15.75" customHeight="1">
      <c r="A266" s="8">
        <v>70403.0</v>
      </c>
      <c r="B266" s="9" t="s">
        <v>279</v>
      </c>
      <c r="C266" s="12">
        <v>0.6819399056356943</v>
      </c>
      <c r="D266" s="18">
        <v>0.49130075994469763</v>
      </c>
    </row>
    <row r="267" ht="15.75" customHeight="1">
      <c r="A267" s="8">
        <v>70404.0</v>
      </c>
      <c r="B267" s="9" t="s">
        <v>280</v>
      </c>
      <c r="C267" s="12">
        <v>0.8553071946336082</v>
      </c>
      <c r="D267" s="18">
        <v>0.5092592599526623</v>
      </c>
    </row>
    <row r="268" ht="15.75" customHeight="1">
      <c r="A268" s="8">
        <v>70501.0</v>
      </c>
      <c r="B268" s="9" t="s">
        <v>281</v>
      </c>
      <c r="C268" s="12">
        <v>1.00029103034129</v>
      </c>
      <c r="D268" s="18">
        <v>1.459998149695131</v>
      </c>
    </row>
    <row r="269" ht="15.75" customHeight="1">
      <c r="A269" s="8">
        <v>70502.0</v>
      </c>
      <c r="B269" s="9" t="s">
        <v>282</v>
      </c>
      <c r="C269" s="12">
        <v>0.8526045914681404</v>
      </c>
      <c r="D269" s="18">
        <v>0.8491716029172589</v>
      </c>
    </row>
    <row r="270" ht="15.75" customHeight="1">
      <c r="A270" s="8">
        <v>70503.0</v>
      </c>
      <c r="B270" s="9" t="s">
        <v>283</v>
      </c>
      <c r="C270" s="12">
        <v>0.8617263206698237</v>
      </c>
      <c r="D270" s="18">
        <v>0.7505012251701237</v>
      </c>
    </row>
    <row r="271" ht="15.75" customHeight="1">
      <c r="A271" s="8">
        <v>70601.0</v>
      </c>
      <c r="B271" s="9" t="s">
        <v>284</v>
      </c>
      <c r="C271" s="12">
        <v>0.972737190287958</v>
      </c>
      <c r="D271" s="18">
        <v>0.5828332372100282</v>
      </c>
    </row>
    <row r="272" ht="15.75" customHeight="1">
      <c r="A272" s="8">
        <v>70602.0</v>
      </c>
      <c r="B272" s="9" t="s">
        <v>285</v>
      </c>
      <c r="C272" s="12">
        <v>0.7278589648581731</v>
      </c>
      <c r="D272" s="18">
        <v>0.530863172041788</v>
      </c>
    </row>
    <row r="273" ht="15.75" customHeight="1">
      <c r="A273" s="8">
        <v>70603.0</v>
      </c>
      <c r="B273" s="9" t="s">
        <v>286</v>
      </c>
      <c r="C273" s="12">
        <v>1.3139007697058875</v>
      </c>
      <c r="D273" s="18">
        <v>0.6217900188815105</v>
      </c>
    </row>
    <row r="274" ht="15.75" customHeight="1">
      <c r="A274" s="8">
        <v>70701.0</v>
      </c>
      <c r="B274" s="9" t="s">
        <v>287</v>
      </c>
      <c r="C274" s="12">
        <v>0.41564816461689563</v>
      </c>
      <c r="D274" s="18">
        <v>0.4536499882021377</v>
      </c>
    </row>
    <row r="275" ht="15.75" customHeight="1">
      <c r="A275" s="8">
        <v>70702.0</v>
      </c>
      <c r="B275" s="9" t="s">
        <v>288</v>
      </c>
      <c r="C275" s="12">
        <v>0.747225385335252</v>
      </c>
      <c r="D275" s="18">
        <v>2.30550153297086</v>
      </c>
    </row>
    <row r="276" ht="15.75" customHeight="1">
      <c r="A276" s="8">
        <v>70703.0</v>
      </c>
      <c r="B276" s="9" t="s">
        <v>289</v>
      </c>
      <c r="C276" s="12">
        <v>0.7932693090431397</v>
      </c>
      <c r="D276" s="18">
        <v>1.4026428834729572</v>
      </c>
    </row>
    <row r="277" ht="15.75" customHeight="1">
      <c r="A277" s="8">
        <v>70704.0</v>
      </c>
      <c r="B277" s="9" t="s">
        <v>290</v>
      </c>
      <c r="C277" s="12">
        <v>0.42547754297422063</v>
      </c>
      <c r="D277" s="18">
        <v>0.4962008542670766</v>
      </c>
    </row>
    <row r="278" ht="15.75" customHeight="1">
      <c r="A278" s="8">
        <v>70705.0</v>
      </c>
      <c r="B278" s="9" t="s">
        <v>291</v>
      </c>
      <c r="C278" s="12">
        <v>0.43730646316113275</v>
      </c>
      <c r="D278" s="18">
        <v>0.4245725774918746</v>
      </c>
    </row>
    <row r="279" ht="15.75" customHeight="1">
      <c r="A279" s="8">
        <v>70706.0</v>
      </c>
      <c r="B279" s="9" t="s">
        <v>292</v>
      </c>
      <c r="C279" s="12">
        <v>0.33298864423901364</v>
      </c>
      <c r="D279" s="18">
        <v>0.22107956277313975</v>
      </c>
    </row>
    <row r="280" ht="15.75" customHeight="1">
      <c r="A280" s="8">
        <v>70707.0</v>
      </c>
      <c r="B280" s="9" t="s">
        <v>293</v>
      </c>
      <c r="C280" s="12">
        <v>0.49281160607688146</v>
      </c>
      <c r="D280" s="18">
        <v>2.643625392895094</v>
      </c>
    </row>
    <row r="281" ht="15.75" customHeight="1">
      <c r="A281" s="8">
        <v>70801.0</v>
      </c>
      <c r="B281" s="9" t="s">
        <v>294</v>
      </c>
      <c r="C281" s="12">
        <v>0.8973347781168676</v>
      </c>
      <c r="D281" s="18">
        <v>0.9743930098098315</v>
      </c>
    </row>
    <row r="282" ht="15.75" customHeight="1">
      <c r="A282" s="8">
        <v>70802.0</v>
      </c>
      <c r="B282" s="9" t="s">
        <v>295</v>
      </c>
      <c r="C282" s="12">
        <v>0.8639693240215011</v>
      </c>
      <c r="D282" s="18">
        <v>0.2285911355044298</v>
      </c>
    </row>
    <row r="283" ht="15.75" customHeight="1">
      <c r="A283" s="8">
        <v>70803.0</v>
      </c>
      <c r="B283" s="9" t="s">
        <v>296</v>
      </c>
      <c r="C283" s="12">
        <v>0.9638147654347184</v>
      </c>
      <c r="D283" s="18">
        <v>0.7358272641728857</v>
      </c>
    </row>
    <row r="284" ht="15.75" customHeight="1">
      <c r="A284" s="8">
        <v>70804.0</v>
      </c>
      <c r="B284" s="9" t="s">
        <v>297</v>
      </c>
      <c r="C284" s="12">
        <v>0.9034641848554443</v>
      </c>
      <c r="D284" s="18">
        <v>0.9374545444404457</v>
      </c>
    </row>
    <row r="285" ht="15.75" customHeight="1">
      <c r="A285" s="8">
        <v>70805.0</v>
      </c>
      <c r="B285" s="9" t="s">
        <v>298</v>
      </c>
      <c r="C285" s="12">
        <v>1.0920064362305668</v>
      </c>
      <c r="D285" s="18">
        <v>6.4742196661004705</v>
      </c>
    </row>
    <row r="286" ht="15.75" customHeight="1">
      <c r="A286" s="8">
        <v>70901.0</v>
      </c>
      <c r="B286" s="9" t="s">
        <v>299</v>
      </c>
      <c r="C286" s="12">
        <v>0.6594111386094701</v>
      </c>
      <c r="D286" s="18">
        <v>0.48207825082328165</v>
      </c>
    </row>
    <row r="287" ht="15.75" customHeight="1">
      <c r="A287" s="8">
        <v>70902.0</v>
      </c>
      <c r="B287" s="9" t="s">
        <v>300</v>
      </c>
      <c r="C287" s="12">
        <v>0.4736422232732777</v>
      </c>
      <c r="D287" s="18">
        <v>0.5435689010845137</v>
      </c>
    </row>
    <row r="288" ht="15.75" customHeight="1">
      <c r="A288" s="8">
        <v>70903.0</v>
      </c>
      <c r="B288" s="9" t="s">
        <v>301</v>
      </c>
      <c r="C288" s="12">
        <v>0.4615702868125317</v>
      </c>
      <c r="D288" s="18">
        <v>0.46357035214103326</v>
      </c>
    </row>
    <row r="289" ht="15.75" customHeight="1">
      <c r="A289" s="8">
        <v>70904.0</v>
      </c>
      <c r="B289" s="9" t="s">
        <v>302</v>
      </c>
      <c r="C289" s="12">
        <v>1.0688876668522176</v>
      </c>
      <c r="D289" s="18">
        <v>0.9073981472366558</v>
      </c>
    </row>
    <row r="290" ht="15.75" customHeight="1">
      <c r="A290" s="8">
        <v>71001.0</v>
      </c>
      <c r="B290" s="9" t="s">
        <v>303</v>
      </c>
      <c r="C290" s="12">
        <v>0.7255768787931205</v>
      </c>
      <c r="D290" s="18">
        <v>0.6334918991872871</v>
      </c>
    </row>
    <row r="291" ht="15.75" customHeight="1">
      <c r="A291" s="8">
        <v>71002.0</v>
      </c>
      <c r="B291" s="9" t="s">
        <v>304</v>
      </c>
      <c r="C291" s="12">
        <v>0.7865956433775757</v>
      </c>
      <c r="D291" s="18">
        <v>0.771464934428791</v>
      </c>
    </row>
    <row r="292" ht="15.75" customHeight="1">
      <c r="A292" s="8">
        <v>71003.0</v>
      </c>
      <c r="B292" s="9" t="s">
        <v>305</v>
      </c>
      <c r="C292" s="12">
        <v>0.7700316772285001</v>
      </c>
      <c r="D292" s="18">
        <v>0.6802850170869672</v>
      </c>
    </row>
    <row r="293" ht="15.75" customHeight="1">
      <c r="A293" s="8">
        <v>71004.0</v>
      </c>
      <c r="B293" s="9" t="s">
        <v>306</v>
      </c>
      <c r="C293" s="12">
        <v>0.8041758717797451</v>
      </c>
      <c r="D293" s="18">
        <v>0.5158305234226959</v>
      </c>
    </row>
    <row r="294" ht="15.75" customHeight="1">
      <c r="A294" s="8">
        <v>71005.0</v>
      </c>
      <c r="B294" s="9" t="s">
        <v>307</v>
      </c>
      <c r="C294" s="12">
        <v>1.0810611536063452</v>
      </c>
      <c r="D294" s="18">
        <v>0.9030011780287583</v>
      </c>
    </row>
    <row r="295" ht="15.75" customHeight="1">
      <c r="A295" s="8">
        <v>71101.0</v>
      </c>
      <c r="B295" s="9" t="s">
        <v>308</v>
      </c>
      <c r="C295" s="12">
        <v>0.8825429448838057</v>
      </c>
      <c r="D295" s="18">
        <v>0.8754330670106711</v>
      </c>
    </row>
    <row r="296" ht="15.75" customHeight="1">
      <c r="A296" s="8">
        <v>71102.0</v>
      </c>
      <c r="B296" s="9" t="s">
        <v>309</v>
      </c>
      <c r="C296" s="12">
        <v>0.8551913102948389</v>
      </c>
      <c r="D296" s="18">
        <v>1.1690602253823645</v>
      </c>
    </row>
    <row r="297" ht="15.75" customHeight="1">
      <c r="A297" s="8">
        <v>71103.0</v>
      </c>
      <c r="B297" s="9" t="s">
        <v>310</v>
      </c>
      <c r="C297" s="12">
        <v>0.8916023988963524</v>
      </c>
      <c r="D297" s="18">
        <v>0.8865720702779224</v>
      </c>
    </row>
    <row r="298" ht="15.75" customHeight="1">
      <c r="A298" s="8">
        <v>71104.0</v>
      </c>
      <c r="B298" s="9" t="s">
        <v>311</v>
      </c>
      <c r="C298" s="12">
        <v>0.42116956462394717</v>
      </c>
      <c r="D298" s="18">
        <v>0.9751827835198826</v>
      </c>
    </row>
    <row r="299" ht="15.75" customHeight="1">
      <c r="A299" s="8">
        <v>71105.0</v>
      </c>
      <c r="B299" s="9" t="s">
        <v>312</v>
      </c>
      <c r="C299" s="12">
        <v>0.9290232608380897</v>
      </c>
      <c r="D299" s="18">
        <v>2.0477563151759055</v>
      </c>
    </row>
    <row r="300" ht="15.75" customHeight="1">
      <c r="A300" s="8">
        <v>71106.0</v>
      </c>
      <c r="B300" s="9" t="s">
        <v>313</v>
      </c>
      <c r="C300" s="12">
        <v>0.711303791900417</v>
      </c>
      <c r="D300" s="18">
        <v>1.6269328589419898</v>
      </c>
    </row>
    <row r="301" ht="15.75" customHeight="1">
      <c r="A301" s="8">
        <v>71201.0</v>
      </c>
      <c r="B301" s="9" t="s">
        <v>314</v>
      </c>
      <c r="C301" s="12">
        <v>0.9323290698399616</v>
      </c>
      <c r="D301" s="18">
        <v>1.1110044482309687</v>
      </c>
    </row>
    <row r="302" ht="15.75" customHeight="1">
      <c r="A302" s="8">
        <v>71301.0</v>
      </c>
      <c r="B302" s="9" t="s">
        <v>315</v>
      </c>
      <c r="C302" s="12">
        <v>0.5120180537691632</v>
      </c>
      <c r="D302" s="18">
        <v>0.5531452495545646</v>
      </c>
    </row>
    <row r="303" ht="15.75" customHeight="1">
      <c r="A303" s="8">
        <v>71302.0</v>
      </c>
      <c r="B303" s="9" t="s">
        <v>316</v>
      </c>
      <c r="C303" s="12">
        <v>0.707500822659725</v>
      </c>
      <c r="D303" s="18">
        <v>0.7023254695442201</v>
      </c>
    </row>
    <row r="304" ht="15.75" customHeight="1">
      <c r="A304" s="8">
        <v>71401.0</v>
      </c>
      <c r="B304" s="9" t="s">
        <v>317</v>
      </c>
      <c r="C304" s="12">
        <v>0.8378059255574596</v>
      </c>
      <c r="D304" s="18">
        <v>0.3714989523998953</v>
      </c>
    </row>
    <row r="305" ht="15.75" customHeight="1">
      <c r="A305" s="8">
        <v>71402.0</v>
      </c>
      <c r="B305" s="9" t="s">
        <v>318</v>
      </c>
      <c r="C305" s="12">
        <v>0.9202289692285138</v>
      </c>
      <c r="D305" s="18">
        <v>0.9494379442377046</v>
      </c>
    </row>
    <row r="306" ht="15.75" customHeight="1">
      <c r="A306" s="8">
        <v>71403.0</v>
      </c>
      <c r="B306" s="9" t="s">
        <v>319</v>
      </c>
      <c r="C306" s="12">
        <v>0.894768290660212</v>
      </c>
      <c r="D306" s="18">
        <v>0.3554068852135454</v>
      </c>
    </row>
    <row r="307" ht="15.75" customHeight="1">
      <c r="A307" s="8">
        <v>71501.0</v>
      </c>
      <c r="B307" s="9" t="s">
        <v>320</v>
      </c>
      <c r="C307" s="12">
        <v>1.0468099999473781</v>
      </c>
      <c r="D307" s="18">
        <v>0.8145687734714047</v>
      </c>
    </row>
    <row r="308" ht="15.75" customHeight="1">
      <c r="A308" s="8">
        <v>71502.0</v>
      </c>
      <c r="B308" s="9" t="s">
        <v>321</v>
      </c>
      <c r="C308" s="12">
        <v>0.9737934625996674</v>
      </c>
      <c r="D308" s="18">
        <v>0.9526041280600579</v>
      </c>
    </row>
    <row r="309" ht="15.75" customHeight="1">
      <c r="A309" s="8">
        <v>71503.0</v>
      </c>
      <c r="B309" s="9" t="s">
        <v>266</v>
      </c>
      <c r="C309" s="12">
        <v>0.8216796436150642</v>
      </c>
      <c r="D309" s="18">
        <v>0.9098827161573689</v>
      </c>
    </row>
    <row r="310" ht="15.75" customHeight="1">
      <c r="A310" s="8">
        <v>80101.0</v>
      </c>
      <c r="B310" s="9" t="s">
        <v>322</v>
      </c>
      <c r="C310" s="12">
        <v>0.8001481095695421</v>
      </c>
      <c r="D310" s="18">
        <v>0.8807733755069528</v>
      </c>
    </row>
    <row r="311" ht="15.75" customHeight="1">
      <c r="A311" s="8">
        <v>80102.0</v>
      </c>
      <c r="B311" s="9" t="s">
        <v>309</v>
      </c>
      <c r="C311" s="12">
        <v>0.9323051348884416</v>
      </c>
      <c r="D311" s="18">
        <v>0.8878997337526183</v>
      </c>
    </row>
    <row r="312" ht="15.75" customHeight="1">
      <c r="A312" s="8">
        <v>80201.0</v>
      </c>
      <c r="B312" s="9" t="s">
        <v>323</v>
      </c>
      <c r="C312" s="12">
        <v>0.853108475506077</v>
      </c>
      <c r="D312" s="18">
        <v>0.9959034756354165</v>
      </c>
    </row>
    <row r="313" ht="15.75" customHeight="1">
      <c r="A313" s="8">
        <v>80202.0</v>
      </c>
      <c r="B313" s="9" t="s">
        <v>324</v>
      </c>
      <c r="C313" s="12">
        <v>0.8801524385491841</v>
      </c>
      <c r="D313" s="18">
        <v>0.5978012790242144</v>
      </c>
    </row>
    <row r="314" ht="15.75" customHeight="1">
      <c r="A314" s="8">
        <v>80301.0</v>
      </c>
      <c r="B314" s="9" t="s">
        <v>325</v>
      </c>
      <c r="C314" s="12">
        <v>0.753521114768703</v>
      </c>
      <c r="D314" s="18">
        <v>0.9930792260795658</v>
      </c>
    </row>
    <row r="315" ht="15.75" customHeight="1">
      <c r="A315" s="8">
        <v>80302.0</v>
      </c>
      <c r="B315" s="9" t="s">
        <v>326</v>
      </c>
      <c r="C315" s="12">
        <v>0.3928056295880092</v>
      </c>
      <c r="D315" s="18">
        <v>0.18210175437884157</v>
      </c>
    </row>
    <row r="316" ht="15.75" customHeight="1">
      <c r="A316" s="8">
        <v>80303.0</v>
      </c>
      <c r="B316" s="9" t="s">
        <v>327</v>
      </c>
      <c r="C316" s="12">
        <v>0.7213053048361295</v>
      </c>
      <c r="D316" s="18">
        <v>0.3773384540617302</v>
      </c>
    </row>
    <row r="317" ht="15.75" customHeight="1">
      <c r="A317" s="8">
        <v>80304.0</v>
      </c>
      <c r="B317" s="9" t="s">
        <v>328</v>
      </c>
      <c r="C317" s="12">
        <v>0.4105351171805928</v>
      </c>
      <c r="D317" s="18">
        <v>0.268415002520924</v>
      </c>
    </row>
    <row r="318" ht="15.75" customHeight="1">
      <c r="A318" s="8">
        <v>80401.0</v>
      </c>
      <c r="B318" s="9" t="s">
        <v>329</v>
      </c>
      <c r="C318" s="12">
        <v>0.7623038737780513</v>
      </c>
      <c r="D318" s="18">
        <v>0.3276396625363688</v>
      </c>
    </row>
    <row r="319" ht="15.75" customHeight="1">
      <c r="A319" s="8">
        <v>80402.0</v>
      </c>
      <c r="B319" s="9" t="s">
        <v>330</v>
      </c>
      <c r="C319" s="12">
        <v>0.977387681403227</v>
      </c>
      <c r="D319" s="18">
        <v>0.5533090007776511</v>
      </c>
    </row>
    <row r="320" ht="15.75" customHeight="1">
      <c r="A320" s="8">
        <v>80501.0</v>
      </c>
      <c r="B320" s="9" t="s">
        <v>331</v>
      </c>
      <c r="C320" s="12">
        <v>0.8512817572391426</v>
      </c>
      <c r="D320" s="18">
        <v>0.4076197469506519</v>
      </c>
    </row>
    <row r="321" ht="15.75" customHeight="1">
      <c r="A321" s="8">
        <v>80601.0</v>
      </c>
      <c r="B321" s="9" t="s">
        <v>332</v>
      </c>
      <c r="C321" s="12">
        <v>0.6294200773842646</v>
      </c>
      <c r="D321" s="18">
        <v>0.44080162134069883</v>
      </c>
    </row>
    <row r="322" ht="15.75" customHeight="1">
      <c r="A322" s="8">
        <v>80602.0</v>
      </c>
      <c r="B322" s="9" t="s">
        <v>333</v>
      </c>
      <c r="C322" s="12">
        <v>0.7859836229025657</v>
      </c>
      <c r="D322" s="18">
        <v>0.7314305678724301</v>
      </c>
    </row>
    <row r="323" ht="15.75" customHeight="1">
      <c r="A323" s="8">
        <v>80701.0</v>
      </c>
      <c r="B323" s="9" t="s">
        <v>334</v>
      </c>
      <c r="C323" s="12">
        <v>1.0063176747544527</v>
      </c>
      <c r="D323" s="18">
        <v>0.8883328966000628</v>
      </c>
    </row>
    <row r="324" ht="15.75" customHeight="1">
      <c r="A324" s="8">
        <v>80702.0</v>
      </c>
      <c r="B324" s="9" t="s">
        <v>310</v>
      </c>
      <c r="C324" s="12">
        <v>0.7859443111651409</v>
      </c>
      <c r="D324" s="18">
        <v>0.6035511116665068</v>
      </c>
    </row>
    <row r="325" ht="15.75" customHeight="1">
      <c r="A325" s="8">
        <v>80703.0</v>
      </c>
      <c r="B325" s="9" t="s">
        <v>335</v>
      </c>
      <c r="C325" s="12">
        <v>0.8465093087993449</v>
      </c>
      <c r="D325" s="18">
        <v>0.6627718619877704</v>
      </c>
    </row>
    <row r="326" ht="15.75" customHeight="1">
      <c r="A326" s="8">
        <v>80801.0</v>
      </c>
      <c r="B326" s="9" t="s">
        <v>336</v>
      </c>
      <c r="C326" s="12">
        <v>0.8110669653222204</v>
      </c>
      <c r="D326" s="18">
        <v>1.0009580804652172</v>
      </c>
    </row>
    <row r="327" ht="15.75" customHeight="1">
      <c r="A327" s="8">
        <v>80802.0</v>
      </c>
      <c r="B327" s="9" t="s">
        <v>337</v>
      </c>
      <c r="C327" s="12">
        <v>0.8526997890980144</v>
      </c>
      <c r="D327" s="18">
        <v>0.6891670628409619</v>
      </c>
    </row>
    <row r="328" ht="15.75" customHeight="1">
      <c r="A328" s="8">
        <v>80803.0</v>
      </c>
      <c r="B328" s="9" t="s">
        <v>338</v>
      </c>
      <c r="C328" s="12">
        <v>1.036617173565231</v>
      </c>
      <c r="D328" s="18">
        <v>1.2743716777250385</v>
      </c>
    </row>
    <row r="329" ht="15.75" customHeight="1">
      <c r="A329" s="8">
        <v>80901.0</v>
      </c>
      <c r="B329" s="9" t="s">
        <v>339</v>
      </c>
      <c r="C329" s="12">
        <v>0.925491794074818</v>
      </c>
      <c r="D329" s="18">
        <v>0.6218630192751452</v>
      </c>
    </row>
    <row r="330" ht="15.75" customHeight="1">
      <c r="A330" s="8">
        <v>90101.0</v>
      </c>
      <c r="B330" s="9" t="s">
        <v>340</v>
      </c>
      <c r="C330" s="12">
        <v>1.2127892311995216</v>
      </c>
      <c r="D330" s="18">
        <v>1.226937928874808</v>
      </c>
    </row>
    <row r="331" ht="15.75" customHeight="1">
      <c r="A331" s="8">
        <v>90102.0</v>
      </c>
      <c r="B331" s="9" t="s">
        <v>341</v>
      </c>
      <c r="C331" s="12">
        <v>1.0394195797439347</v>
      </c>
      <c r="D331" s="18">
        <v>1.1930305600775246</v>
      </c>
    </row>
    <row r="332" ht="15.75" customHeight="1">
      <c r="A332" s="8">
        <v>90103.0</v>
      </c>
      <c r="B332" s="9" t="s">
        <v>342</v>
      </c>
      <c r="C332" s="12">
        <v>0.8485573916259114</v>
      </c>
      <c r="D332" s="18">
        <v>0.7071755458801835</v>
      </c>
    </row>
    <row r="333" ht="15.75" customHeight="1">
      <c r="A333" s="8">
        <v>90104.0</v>
      </c>
      <c r="B333" s="9" t="s">
        <v>343</v>
      </c>
      <c r="C333" s="12">
        <v>1.4557789078435885</v>
      </c>
      <c r="D333" s="18">
        <v>1.0485482595638627</v>
      </c>
    </row>
    <row r="334" ht="15.75" customHeight="1">
      <c r="A334" s="8">
        <v>90201.0</v>
      </c>
      <c r="B334" s="9" t="s">
        <v>344</v>
      </c>
      <c r="C334" s="12">
        <v>0.9023254294623893</v>
      </c>
      <c r="D334" s="18">
        <v>1.2059411633820885</v>
      </c>
    </row>
    <row r="335" ht="15.75" customHeight="1">
      <c r="A335" s="8">
        <v>90202.0</v>
      </c>
      <c r="B335" s="9" t="s">
        <v>307</v>
      </c>
      <c r="C335" s="12">
        <v>0.9727145114270281</v>
      </c>
      <c r="D335" s="18">
        <v>1.4114743545383548</v>
      </c>
    </row>
    <row r="336" ht="15.75" customHeight="1">
      <c r="A336" s="8">
        <v>90203.0</v>
      </c>
      <c r="B336" s="9" t="s">
        <v>345</v>
      </c>
      <c r="C336" s="12">
        <v>1.094151811200956</v>
      </c>
      <c r="D336" s="18">
        <v>0.7719996085655222</v>
      </c>
    </row>
    <row r="337" ht="15.75" customHeight="1">
      <c r="A337" s="8">
        <v>90301.0</v>
      </c>
      <c r="B337" s="9" t="s">
        <v>346</v>
      </c>
      <c r="C337" s="12">
        <v>0.6770000188508228</v>
      </c>
      <c r="D337" s="18">
        <v>0.9900473731288135</v>
      </c>
    </row>
    <row r="338" ht="15.75" customHeight="1">
      <c r="A338" s="8">
        <v>90302.0</v>
      </c>
      <c r="B338" s="9" t="s">
        <v>347</v>
      </c>
      <c r="C338" s="12">
        <v>0.8410269303157567</v>
      </c>
      <c r="D338" s="18">
        <v>1.2203355101428164</v>
      </c>
    </row>
    <row r="339" ht="15.75" customHeight="1">
      <c r="A339" s="8">
        <v>90303.0</v>
      </c>
      <c r="B339" s="9" t="s">
        <v>348</v>
      </c>
      <c r="C339" s="12">
        <v>1.0451742440128262</v>
      </c>
      <c r="D339" s="18">
        <v>0.9599192448365054</v>
      </c>
    </row>
    <row r="340" ht="15.75" customHeight="1">
      <c r="A340" s="8">
        <v>90401.0</v>
      </c>
      <c r="B340" s="9" t="s">
        <v>349</v>
      </c>
      <c r="C340" s="12">
        <v>1.0124215589020094</v>
      </c>
      <c r="D340" s="18">
        <v>1.0893539629868532</v>
      </c>
    </row>
    <row r="341" ht="15.75" customHeight="1">
      <c r="A341" s="8">
        <v>90402.0</v>
      </c>
      <c r="B341" s="9" t="s">
        <v>350</v>
      </c>
      <c r="C341" s="12">
        <v>1.017848448353213</v>
      </c>
      <c r="D341" s="18">
        <v>1.0388106691999313</v>
      </c>
    </row>
    <row r="342" ht="15.75" customHeight="1">
      <c r="A342" s="8">
        <v>90501.0</v>
      </c>
      <c r="B342" s="9" t="s">
        <v>351</v>
      </c>
      <c r="C342" s="12">
        <v>0.9278645446990631</v>
      </c>
      <c r="D342" s="18">
        <v>0.9586408684768333</v>
      </c>
    </row>
    <row r="343" ht="15.75" customHeight="1">
      <c r="A343" s="8">
        <v>90502.0</v>
      </c>
      <c r="B343" s="9" t="s">
        <v>352</v>
      </c>
      <c r="C343" s="12">
        <v>1.2018203175807676</v>
      </c>
      <c r="D343" s="18">
        <v>0.7771830621460987</v>
      </c>
    </row>
    <row r="344" ht="15.75" customHeight="1">
      <c r="A344" s="8">
        <v>90503.0</v>
      </c>
      <c r="B344" s="9" t="s">
        <v>353</v>
      </c>
      <c r="C344" s="25">
        <v>1.0717249744444215</v>
      </c>
      <c r="D344" s="26">
        <v>1.3393428470040112</v>
      </c>
    </row>
    <row r="345" ht="15.75" customHeight="1">
      <c r="A345" s="21"/>
      <c r="B345" s="27"/>
      <c r="C345" s="28"/>
      <c r="D345" s="29"/>
    </row>
    <row r="346" ht="15.75" customHeight="1">
      <c r="A346" s="21"/>
      <c r="B346" s="27"/>
      <c r="C346" s="30"/>
      <c r="D346" s="20"/>
    </row>
    <row r="347" ht="15.75" customHeight="1">
      <c r="A347" s="21"/>
      <c r="B347" s="27"/>
      <c r="C347" s="22"/>
      <c r="D347" s="20"/>
    </row>
    <row r="348" ht="15.75" customHeight="1">
      <c r="A348" s="21"/>
      <c r="B348" s="27"/>
      <c r="C348" s="22"/>
      <c r="D348" s="20"/>
    </row>
    <row r="349" ht="15.75" customHeight="1">
      <c r="A349" s="21"/>
      <c r="B349" s="27"/>
      <c r="C349" s="22"/>
      <c r="D349" s="20"/>
    </row>
    <row r="350" ht="15.75" customHeight="1">
      <c r="A350" s="21"/>
      <c r="B350" s="27"/>
      <c r="C350" s="22"/>
      <c r="D350" s="20"/>
    </row>
    <row r="351" ht="15.75" customHeight="1">
      <c r="A351" s="21"/>
      <c r="B351" s="27"/>
      <c r="C351" s="22"/>
      <c r="D351" s="20"/>
    </row>
    <row r="352" ht="15.75" customHeight="1">
      <c r="A352" s="21"/>
      <c r="B352" s="27"/>
      <c r="C352" s="22"/>
      <c r="D352" s="20"/>
    </row>
    <row r="353" ht="15.75" customHeight="1">
      <c r="A353" s="21"/>
      <c r="B353" s="27"/>
      <c r="C353" s="22"/>
      <c r="D353" s="20"/>
    </row>
    <row r="354" ht="15.75" customHeight="1">
      <c r="A354" s="21"/>
      <c r="B354" s="27"/>
      <c r="C354" s="22"/>
      <c r="D354" s="20"/>
    </row>
    <row r="355" ht="15.75" customHeight="1">
      <c r="A355" s="21"/>
      <c r="B355" s="27"/>
      <c r="C355" s="22"/>
      <c r="D355" s="20"/>
    </row>
    <row r="356" ht="15.75" customHeight="1">
      <c r="A356" s="21"/>
      <c r="B356" s="27"/>
      <c r="C356" s="22"/>
      <c r="D356" s="20"/>
    </row>
    <row r="357" ht="15.75" customHeight="1">
      <c r="A357" s="21"/>
      <c r="B357" s="27"/>
      <c r="C357" s="22"/>
      <c r="D357" s="20"/>
    </row>
    <row r="358" ht="15.75" customHeight="1">
      <c r="A358" s="21"/>
      <c r="B358" s="27"/>
      <c r="C358" s="22"/>
      <c r="D358" s="20"/>
    </row>
    <row r="359" ht="15.75" customHeight="1">
      <c r="A359" s="21"/>
      <c r="B359" s="27"/>
      <c r="C359" s="22"/>
      <c r="D359" s="20"/>
    </row>
    <row r="360" ht="15.75" customHeight="1">
      <c r="A360" s="21"/>
      <c r="B360" s="27"/>
      <c r="C360" s="22"/>
      <c r="D360" s="20"/>
    </row>
    <row r="361" ht="15.75" customHeight="1">
      <c r="A361" s="21"/>
      <c r="B361" s="27"/>
      <c r="C361" s="22"/>
      <c r="D361" s="20"/>
    </row>
    <row r="362" ht="15.75" customHeight="1">
      <c r="A362" s="21"/>
      <c r="B362" s="27"/>
      <c r="C362" s="22"/>
      <c r="D362" s="20"/>
    </row>
    <row r="363" ht="15.75" customHeight="1">
      <c r="A363" s="21"/>
      <c r="B363" s="27"/>
      <c r="C363" s="22"/>
      <c r="D363" s="20"/>
    </row>
    <row r="364" ht="15.75" customHeight="1">
      <c r="A364" s="21"/>
      <c r="B364" s="27"/>
      <c r="C364" s="22"/>
      <c r="D364" s="20"/>
    </row>
    <row r="365" ht="15.75" customHeight="1">
      <c r="A365" s="21"/>
      <c r="B365" s="27"/>
      <c r="C365" s="22"/>
      <c r="D365" s="20"/>
    </row>
    <row r="366" ht="15.75" customHeight="1">
      <c r="A366" s="21"/>
      <c r="B366" s="27"/>
      <c r="C366" s="22"/>
      <c r="D366" s="20"/>
    </row>
    <row r="367" ht="15.75" customHeight="1">
      <c r="A367" s="21"/>
      <c r="B367" s="27"/>
      <c r="C367" s="22"/>
      <c r="D367" s="20"/>
    </row>
    <row r="368" ht="15.75" customHeight="1">
      <c r="A368" s="21"/>
      <c r="B368" s="27"/>
      <c r="C368" s="22"/>
      <c r="D368" s="20"/>
    </row>
    <row r="369" ht="15.75" customHeight="1">
      <c r="A369" s="21"/>
      <c r="B369" s="27"/>
      <c r="C369" s="22"/>
      <c r="D369" s="20"/>
    </row>
    <row r="370" ht="15.75" customHeight="1">
      <c r="A370" s="21"/>
      <c r="B370" s="27"/>
      <c r="C370" s="22"/>
      <c r="D370" s="20"/>
    </row>
    <row r="371" ht="15.75" customHeight="1">
      <c r="A371" s="21"/>
      <c r="B371" s="27"/>
      <c r="C371" s="22"/>
      <c r="D371" s="20"/>
    </row>
    <row r="372" ht="15.75" customHeight="1">
      <c r="A372" s="21"/>
      <c r="B372" s="27"/>
      <c r="C372" s="22"/>
      <c r="D372" s="20"/>
    </row>
    <row r="373" ht="15.75" customHeight="1">
      <c r="A373" s="21"/>
      <c r="B373" s="27"/>
      <c r="C373" s="22"/>
      <c r="D373" s="20"/>
    </row>
    <row r="374" ht="15.75" customHeight="1">
      <c r="A374" s="21"/>
      <c r="B374" s="27"/>
      <c r="C374" s="22"/>
      <c r="D374" s="20"/>
    </row>
    <row r="375" ht="15.75" customHeight="1">
      <c r="A375" s="21"/>
      <c r="B375" s="27"/>
      <c r="C375" s="22"/>
      <c r="D375" s="20"/>
    </row>
    <row r="376" ht="15.75" customHeight="1">
      <c r="A376" s="21"/>
      <c r="B376" s="27"/>
      <c r="C376" s="22"/>
      <c r="D376" s="20"/>
    </row>
    <row r="377" ht="15.75" customHeight="1">
      <c r="A377" s="21"/>
      <c r="B377" s="27"/>
      <c r="C377" s="22"/>
      <c r="D377" s="20"/>
    </row>
    <row r="378" ht="15.75" customHeight="1">
      <c r="A378" s="21"/>
      <c r="B378" s="27"/>
      <c r="C378" s="22"/>
      <c r="D378" s="20"/>
    </row>
    <row r="379" ht="15.75" customHeight="1">
      <c r="A379" s="21"/>
      <c r="B379" s="27"/>
      <c r="C379" s="22"/>
      <c r="D379" s="20"/>
    </row>
    <row r="380" ht="15.75" customHeight="1">
      <c r="A380" s="21"/>
      <c r="B380" s="27"/>
      <c r="C380" s="22"/>
      <c r="D380" s="20"/>
    </row>
    <row r="381" ht="15.75" customHeight="1">
      <c r="A381" s="21"/>
      <c r="B381" s="27"/>
      <c r="C381" s="22"/>
      <c r="D381" s="20"/>
    </row>
    <row r="382" ht="15.75" customHeight="1">
      <c r="A382" s="21"/>
      <c r="B382" s="27"/>
      <c r="C382" s="22"/>
      <c r="D382" s="20"/>
    </row>
    <row r="383" ht="15.75" customHeight="1">
      <c r="A383" s="21"/>
      <c r="B383" s="27"/>
      <c r="C383" s="22"/>
      <c r="D383" s="20"/>
    </row>
    <row r="384" ht="15.75" customHeight="1">
      <c r="A384" s="21"/>
      <c r="B384" s="27"/>
      <c r="C384" s="22"/>
      <c r="D384" s="20"/>
    </row>
    <row r="385" ht="15.75" customHeight="1">
      <c r="A385" s="21"/>
      <c r="B385" s="27"/>
      <c r="C385" s="22"/>
      <c r="D385" s="20"/>
    </row>
    <row r="386" ht="15.75" customHeight="1">
      <c r="A386" s="21"/>
      <c r="B386" s="27"/>
      <c r="C386" s="22"/>
      <c r="D386" s="20"/>
    </row>
    <row r="387" ht="15.75" customHeight="1">
      <c r="A387" s="21"/>
      <c r="B387" s="27"/>
      <c r="C387" s="22"/>
      <c r="D387" s="20"/>
    </row>
    <row r="388" ht="15.75" customHeight="1">
      <c r="A388" s="21"/>
      <c r="B388" s="27"/>
      <c r="C388" s="22"/>
      <c r="D388" s="20"/>
    </row>
    <row r="389" ht="15.75" customHeight="1">
      <c r="A389" s="21"/>
      <c r="B389" s="27"/>
      <c r="C389" s="22"/>
      <c r="D389" s="20"/>
    </row>
    <row r="390" ht="15.75" customHeight="1">
      <c r="A390" s="21"/>
      <c r="B390" s="27"/>
      <c r="C390" s="22"/>
      <c r="D390" s="20"/>
    </row>
    <row r="391" ht="15.75" customHeight="1">
      <c r="A391" s="21"/>
      <c r="B391" s="27"/>
      <c r="C391" s="22"/>
      <c r="D391" s="20"/>
    </row>
    <row r="392" ht="15.75" customHeight="1">
      <c r="A392" s="21"/>
      <c r="B392" s="27"/>
      <c r="C392" s="22"/>
      <c r="D392" s="20"/>
    </row>
    <row r="393" ht="15.75" customHeight="1">
      <c r="A393" s="21"/>
      <c r="B393" s="27"/>
      <c r="C393" s="22"/>
      <c r="D393" s="20"/>
    </row>
    <row r="394" ht="15.75" customHeight="1">
      <c r="A394" s="21"/>
      <c r="B394" s="27"/>
      <c r="C394" s="22"/>
      <c r="D394" s="20"/>
    </row>
    <row r="395" ht="15.75" customHeight="1">
      <c r="A395" s="21"/>
      <c r="B395" s="27"/>
      <c r="C395" s="22"/>
      <c r="D395" s="20"/>
    </row>
    <row r="396" ht="15.75" customHeight="1">
      <c r="A396" s="21"/>
      <c r="B396" s="27"/>
      <c r="C396" s="22"/>
      <c r="D396" s="20"/>
    </row>
    <row r="397" ht="15.75" customHeight="1">
      <c r="A397" s="21"/>
      <c r="B397" s="27"/>
      <c r="C397" s="22"/>
      <c r="D397" s="20"/>
    </row>
    <row r="398" ht="15.75" customHeight="1">
      <c r="A398" s="21"/>
      <c r="B398" s="27"/>
      <c r="C398" s="22"/>
      <c r="D398" s="20"/>
    </row>
    <row r="399" ht="15.75" customHeight="1">
      <c r="A399" s="21"/>
      <c r="B399" s="27"/>
      <c r="C399" s="22"/>
      <c r="D399" s="20"/>
    </row>
    <row r="400" ht="15.75" customHeight="1">
      <c r="A400" s="21"/>
      <c r="B400" s="27"/>
      <c r="C400" s="22"/>
      <c r="D400" s="20"/>
    </row>
    <row r="401" ht="15.75" customHeight="1">
      <c r="A401" s="21"/>
      <c r="B401" s="27"/>
      <c r="C401" s="22"/>
      <c r="D401" s="20"/>
    </row>
    <row r="402" ht="15.75" customHeight="1">
      <c r="A402" s="21"/>
      <c r="B402" s="27"/>
      <c r="C402" s="22"/>
      <c r="D402" s="20"/>
    </row>
    <row r="403" ht="15.75" customHeight="1">
      <c r="A403" s="21"/>
      <c r="B403" s="27"/>
      <c r="C403" s="22"/>
      <c r="D403" s="20"/>
    </row>
    <row r="404" ht="15.75" customHeight="1">
      <c r="A404" s="21"/>
      <c r="B404" s="27"/>
      <c r="C404" s="22"/>
      <c r="D404" s="20"/>
    </row>
    <row r="405" ht="15.75" customHeight="1">
      <c r="A405" s="21"/>
      <c r="B405" s="27"/>
      <c r="C405" s="22"/>
      <c r="D405" s="20"/>
    </row>
    <row r="406" ht="15.75" customHeight="1">
      <c r="A406" s="21"/>
      <c r="B406" s="27"/>
      <c r="C406" s="22"/>
      <c r="D406" s="20"/>
    </row>
    <row r="407" ht="15.75" customHeight="1">
      <c r="A407" s="21"/>
      <c r="B407" s="27"/>
      <c r="C407" s="22"/>
      <c r="D407" s="20"/>
    </row>
    <row r="408" ht="15.75" customHeight="1">
      <c r="A408" s="21"/>
      <c r="B408" s="27"/>
      <c r="C408" s="22"/>
      <c r="D408" s="20"/>
    </row>
    <row r="409" ht="15.75" customHeight="1">
      <c r="A409" s="21"/>
      <c r="B409" s="27"/>
      <c r="C409" s="22"/>
      <c r="D409" s="20"/>
    </row>
    <row r="410" ht="15.75" customHeight="1">
      <c r="A410" s="21"/>
      <c r="B410" s="27"/>
      <c r="C410" s="22"/>
      <c r="D410" s="20"/>
    </row>
    <row r="411" ht="15.75" customHeight="1">
      <c r="A411" s="21"/>
      <c r="B411" s="27"/>
      <c r="C411" s="22"/>
      <c r="D411" s="20"/>
    </row>
    <row r="412" ht="15.75" customHeight="1">
      <c r="A412" s="21"/>
      <c r="B412" s="27"/>
      <c r="C412" s="22"/>
      <c r="D412" s="20"/>
    </row>
    <row r="413" ht="15.75" customHeight="1">
      <c r="A413" s="21"/>
      <c r="B413" s="27"/>
      <c r="C413" s="22"/>
      <c r="D413" s="20"/>
    </row>
    <row r="414" ht="15.75" customHeight="1">
      <c r="A414" s="21"/>
      <c r="B414" s="27"/>
      <c r="C414" s="22"/>
      <c r="D414" s="20"/>
    </row>
    <row r="415" ht="15.75" customHeight="1">
      <c r="A415" s="21"/>
      <c r="B415" s="27"/>
      <c r="C415" s="22"/>
      <c r="D415" s="20"/>
    </row>
    <row r="416" ht="15.75" customHeight="1">
      <c r="A416" s="21"/>
      <c r="B416" s="27"/>
      <c r="C416" s="22"/>
      <c r="D416" s="20"/>
    </row>
    <row r="417" ht="15.75" customHeight="1">
      <c r="A417" s="21"/>
      <c r="B417" s="27"/>
      <c r="C417" s="22"/>
      <c r="D417" s="20"/>
    </row>
    <row r="418" ht="15.75" customHeight="1">
      <c r="A418" s="21"/>
      <c r="B418" s="27"/>
      <c r="C418" s="22"/>
      <c r="D418" s="20"/>
    </row>
    <row r="419" ht="15.75" customHeight="1">
      <c r="A419" s="21"/>
      <c r="B419" s="27"/>
      <c r="C419" s="22"/>
      <c r="D419" s="20"/>
    </row>
    <row r="420" ht="15.75" customHeight="1">
      <c r="A420" s="21"/>
      <c r="B420" s="27"/>
      <c r="C420" s="22"/>
      <c r="D420" s="20"/>
    </row>
    <row r="421" ht="15.75" customHeight="1">
      <c r="A421" s="21"/>
      <c r="B421" s="27"/>
      <c r="C421" s="22"/>
      <c r="D421" s="20"/>
    </row>
    <row r="422" ht="15.75" customHeight="1">
      <c r="A422" s="21"/>
      <c r="B422" s="27"/>
      <c r="C422" s="22"/>
      <c r="D422" s="20"/>
    </row>
    <row r="423" ht="15.75" customHeight="1">
      <c r="A423" s="21"/>
      <c r="B423" s="27"/>
      <c r="C423" s="22"/>
      <c r="D423" s="20"/>
    </row>
    <row r="424" ht="15.75" customHeight="1">
      <c r="A424" s="21"/>
      <c r="B424" s="27"/>
      <c r="C424" s="22"/>
      <c r="D424" s="20"/>
    </row>
    <row r="425" ht="15.75" customHeight="1">
      <c r="A425" s="21"/>
      <c r="B425" s="27"/>
      <c r="C425" s="22"/>
      <c r="D425" s="20"/>
    </row>
    <row r="426" ht="15.75" customHeight="1">
      <c r="A426" s="21"/>
      <c r="B426" s="27"/>
      <c r="C426" s="22"/>
      <c r="D426" s="20"/>
    </row>
    <row r="427" ht="15.75" customHeight="1">
      <c r="A427" s="21"/>
      <c r="B427" s="27"/>
      <c r="C427" s="22"/>
      <c r="D427" s="20"/>
    </row>
    <row r="428" ht="15.75" customHeight="1">
      <c r="A428" s="21"/>
      <c r="B428" s="27"/>
      <c r="C428" s="22"/>
      <c r="D428" s="20"/>
    </row>
    <row r="429" ht="15.75" customHeight="1">
      <c r="A429" s="21"/>
      <c r="B429" s="27"/>
      <c r="C429" s="22"/>
      <c r="D429" s="20"/>
    </row>
    <row r="430" ht="15.75" customHeight="1">
      <c r="A430" s="21"/>
      <c r="B430" s="27"/>
      <c r="C430" s="22"/>
      <c r="D430" s="20"/>
    </row>
    <row r="431" ht="15.75" customHeight="1">
      <c r="A431" s="21"/>
      <c r="B431" s="27"/>
      <c r="C431" s="22"/>
      <c r="D431" s="20"/>
    </row>
    <row r="432" ht="15.75" customHeight="1">
      <c r="A432" s="21"/>
      <c r="B432" s="27"/>
      <c r="C432" s="22"/>
      <c r="D432" s="20"/>
    </row>
    <row r="433" ht="15.75" customHeight="1">
      <c r="A433" s="21"/>
      <c r="B433" s="27"/>
      <c r="C433" s="22"/>
      <c r="D433" s="20"/>
    </row>
    <row r="434" ht="15.75" customHeight="1">
      <c r="A434" s="21"/>
      <c r="B434" s="27"/>
      <c r="C434" s="22"/>
      <c r="D434" s="20"/>
    </row>
    <row r="435" ht="15.75" customHeight="1">
      <c r="A435" s="21"/>
      <c r="B435" s="27"/>
      <c r="C435" s="22"/>
      <c r="D435" s="20"/>
    </row>
    <row r="436" ht="15.75" customHeight="1">
      <c r="A436" s="21"/>
      <c r="B436" s="27"/>
      <c r="C436" s="22"/>
      <c r="D436" s="20"/>
    </row>
    <row r="437" ht="15.75" customHeight="1">
      <c r="A437" s="21"/>
      <c r="B437" s="27"/>
      <c r="C437" s="22"/>
      <c r="D437" s="20"/>
    </row>
    <row r="438" ht="15.75" customHeight="1">
      <c r="A438" s="21"/>
      <c r="B438" s="27"/>
      <c r="C438" s="22"/>
      <c r="D438" s="20"/>
    </row>
    <row r="439" ht="15.75" customHeight="1">
      <c r="A439" s="21"/>
      <c r="B439" s="27"/>
      <c r="C439" s="22"/>
      <c r="D439" s="20"/>
    </row>
    <row r="440" ht="15.75" customHeight="1">
      <c r="A440" s="21"/>
      <c r="B440" s="27"/>
      <c r="C440" s="22"/>
      <c r="D440" s="20"/>
    </row>
    <row r="441" ht="15.75" customHeight="1">
      <c r="A441" s="21"/>
      <c r="B441" s="27"/>
      <c r="C441" s="22"/>
      <c r="D441" s="20"/>
    </row>
    <row r="442" ht="15.75" customHeight="1">
      <c r="A442" s="21"/>
      <c r="B442" s="27"/>
      <c r="C442" s="22"/>
      <c r="D442" s="20"/>
    </row>
    <row r="443" ht="15.75" customHeight="1">
      <c r="A443" s="21"/>
      <c r="B443" s="27"/>
      <c r="C443" s="22"/>
      <c r="D443" s="20"/>
    </row>
    <row r="444" ht="15.75" customHeight="1">
      <c r="A444" s="21"/>
      <c r="B444" s="27"/>
      <c r="C444" s="22"/>
      <c r="D444" s="20"/>
    </row>
    <row r="445" ht="15.75" customHeight="1">
      <c r="A445" s="21"/>
      <c r="B445" s="27"/>
      <c r="C445" s="22"/>
      <c r="D445" s="20"/>
    </row>
    <row r="446" ht="15.75" customHeight="1">
      <c r="A446" s="21"/>
      <c r="B446" s="27"/>
      <c r="C446" s="22"/>
      <c r="D446" s="20"/>
    </row>
    <row r="447" ht="15.75" customHeight="1">
      <c r="A447" s="21"/>
      <c r="B447" s="27"/>
      <c r="C447" s="22"/>
      <c r="D447" s="20"/>
    </row>
    <row r="448" ht="15.75" customHeight="1">
      <c r="A448" s="21"/>
      <c r="B448" s="27"/>
      <c r="C448" s="22"/>
      <c r="D448" s="20"/>
    </row>
    <row r="449" ht="15.75" customHeight="1">
      <c r="A449" s="21"/>
      <c r="B449" s="27"/>
      <c r="C449" s="22"/>
      <c r="D449" s="20"/>
    </row>
    <row r="450" ht="15.75" customHeight="1">
      <c r="A450" s="21"/>
      <c r="B450" s="27"/>
      <c r="C450" s="22"/>
      <c r="D450" s="20"/>
    </row>
    <row r="451" ht="15.75" customHeight="1">
      <c r="A451" s="21"/>
      <c r="B451" s="27"/>
      <c r="C451" s="22"/>
      <c r="D451" s="20"/>
    </row>
    <row r="452" ht="15.75" customHeight="1">
      <c r="A452" s="21"/>
      <c r="B452" s="27"/>
      <c r="C452" s="22"/>
      <c r="D452" s="20"/>
    </row>
    <row r="453" ht="15.75" customHeight="1">
      <c r="A453" s="21"/>
      <c r="B453" s="27"/>
      <c r="C453" s="22"/>
      <c r="D453" s="20"/>
    </row>
    <row r="454" ht="15.75" customHeight="1">
      <c r="A454" s="21"/>
      <c r="B454" s="27"/>
      <c r="C454" s="22"/>
      <c r="D454" s="20"/>
    </row>
    <row r="455" ht="15.75" customHeight="1">
      <c r="A455" s="21"/>
      <c r="B455" s="27"/>
      <c r="C455" s="22"/>
      <c r="D455" s="20"/>
    </row>
    <row r="456" ht="15.75" customHeight="1">
      <c r="A456" s="21"/>
      <c r="B456" s="27"/>
      <c r="C456" s="22"/>
      <c r="D456" s="20"/>
    </row>
    <row r="457" ht="15.75" customHeight="1">
      <c r="A457" s="21"/>
      <c r="B457" s="27"/>
      <c r="C457" s="22"/>
      <c r="D457" s="20"/>
    </row>
    <row r="458" ht="15.75" customHeight="1">
      <c r="A458" s="21"/>
      <c r="B458" s="27"/>
      <c r="C458" s="22"/>
      <c r="D458" s="20"/>
    </row>
    <row r="459" ht="15.75" customHeight="1">
      <c r="A459" s="21"/>
      <c r="B459" s="27"/>
      <c r="C459" s="22"/>
      <c r="D459" s="20"/>
    </row>
    <row r="460" ht="15.75" customHeight="1">
      <c r="A460" s="21"/>
      <c r="B460" s="27"/>
      <c r="C460" s="22"/>
      <c r="D460" s="20"/>
    </row>
    <row r="461" ht="15.75" customHeight="1">
      <c r="A461" s="21"/>
      <c r="B461" s="27"/>
      <c r="C461" s="22"/>
      <c r="D461" s="20"/>
    </row>
    <row r="462" ht="15.75" customHeight="1">
      <c r="A462" s="21"/>
      <c r="B462" s="27"/>
      <c r="C462" s="22"/>
      <c r="D462" s="20"/>
    </row>
    <row r="463" ht="15.75" customHeight="1">
      <c r="A463" s="21"/>
      <c r="B463" s="27"/>
      <c r="C463" s="22"/>
      <c r="D463" s="20"/>
    </row>
    <row r="464" ht="15.75" customHeight="1">
      <c r="A464" s="21"/>
      <c r="B464" s="27"/>
      <c r="C464" s="22"/>
      <c r="D464" s="20"/>
    </row>
    <row r="465" ht="15.75" customHeight="1">
      <c r="A465" s="21"/>
      <c r="B465" s="27"/>
      <c r="C465" s="22"/>
      <c r="D465" s="20"/>
    </row>
    <row r="466" ht="15.75" customHeight="1">
      <c r="A466" s="21"/>
      <c r="B466" s="27"/>
      <c r="C466" s="22"/>
      <c r="D466" s="20"/>
    </row>
    <row r="467" ht="15.75" customHeight="1">
      <c r="A467" s="21"/>
      <c r="B467" s="27"/>
      <c r="C467" s="22"/>
      <c r="D467" s="20"/>
    </row>
    <row r="468" ht="15.75" customHeight="1">
      <c r="A468" s="21"/>
      <c r="B468" s="27"/>
      <c r="C468" s="22"/>
      <c r="D468" s="20"/>
    </row>
    <row r="469" ht="15.75" customHeight="1">
      <c r="A469" s="21"/>
      <c r="B469" s="27"/>
      <c r="C469" s="22"/>
      <c r="D469" s="20"/>
    </row>
    <row r="470" ht="15.75" customHeight="1">
      <c r="A470" s="21"/>
      <c r="B470" s="27"/>
      <c r="C470" s="22"/>
      <c r="D470" s="20"/>
    </row>
    <row r="471" ht="15.75" customHeight="1">
      <c r="A471" s="21"/>
      <c r="B471" s="27"/>
      <c r="C471" s="22"/>
      <c r="D471" s="20"/>
    </row>
    <row r="472" ht="15.75" customHeight="1">
      <c r="A472" s="21"/>
      <c r="B472" s="27"/>
      <c r="C472" s="22"/>
      <c r="D472" s="20"/>
    </row>
    <row r="473" ht="15.75" customHeight="1">
      <c r="A473" s="21"/>
      <c r="B473" s="27"/>
      <c r="C473" s="22"/>
      <c r="D473" s="20"/>
    </row>
    <row r="474" ht="15.75" customHeight="1">
      <c r="A474" s="21"/>
      <c r="B474" s="27"/>
      <c r="C474" s="22"/>
      <c r="D474" s="20"/>
    </row>
    <row r="475" ht="15.75" customHeight="1">
      <c r="A475" s="21"/>
      <c r="B475" s="27"/>
      <c r="C475" s="22"/>
      <c r="D475" s="20"/>
    </row>
    <row r="476" ht="15.75" customHeight="1">
      <c r="A476" s="21"/>
      <c r="B476" s="27"/>
      <c r="C476" s="22"/>
      <c r="D476" s="20"/>
    </row>
    <row r="477" ht="15.75" customHeight="1">
      <c r="A477" s="21"/>
      <c r="B477" s="27"/>
      <c r="C477" s="22"/>
      <c r="D477" s="20"/>
    </row>
    <row r="478" ht="15.75" customHeight="1">
      <c r="A478" s="21"/>
      <c r="B478" s="27"/>
      <c r="C478" s="22"/>
      <c r="D478" s="20"/>
    </row>
    <row r="479" ht="15.75" customHeight="1">
      <c r="A479" s="21"/>
      <c r="B479" s="27"/>
      <c r="C479" s="22"/>
      <c r="D479" s="20"/>
    </row>
    <row r="480" ht="15.75" customHeight="1">
      <c r="A480" s="21"/>
      <c r="B480" s="27"/>
      <c r="C480" s="22"/>
      <c r="D480" s="20"/>
    </row>
    <row r="481" ht="15.75" customHeight="1">
      <c r="A481" s="21"/>
      <c r="B481" s="27"/>
      <c r="C481" s="22"/>
      <c r="D481" s="20"/>
    </row>
    <row r="482" ht="15.75" customHeight="1">
      <c r="A482" s="21"/>
      <c r="B482" s="27"/>
      <c r="C482" s="22"/>
      <c r="D482" s="20"/>
    </row>
    <row r="483" ht="15.75" customHeight="1">
      <c r="A483" s="21"/>
      <c r="B483" s="27"/>
      <c r="C483" s="22"/>
      <c r="D483" s="20"/>
    </row>
    <row r="484" ht="15.75" customHeight="1">
      <c r="A484" s="21"/>
      <c r="B484" s="27"/>
      <c r="C484" s="22"/>
      <c r="D484" s="20"/>
    </row>
    <row r="485" ht="15.75" customHeight="1">
      <c r="A485" s="21"/>
      <c r="B485" s="27"/>
      <c r="C485" s="22"/>
      <c r="D485" s="20"/>
    </row>
    <row r="486" ht="15.75" customHeight="1">
      <c r="A486" s="21"/>
      <c r="B486" s="27"/>
      <c r="C486" s="22"/>
      <c r="D486" s="20"/>
    </row>
    <row r="487" ht="15.75" customHeight="1">
      <c r="A487" s="21"/>
      <c r="B487" s="27"/>
      <c r="C487" s="22"/>
      <c r="D487" s="20"/>
    </row>
    <row r="488" ht="15.75" customHeight="1">
      <c r="A488" s="21"/>
      <c r="B488" s="27"/>
      <c r="C488" s="22"/>
      <c r="D488" s="20"/>
    </row>
    <row r="489" ht="15.75" customHeight="1">
      <c r="A489" s="21"/>
      <c r="B489" s="27"/>
      <c r="C489" s="22"/>
      <c r="D489" s="20"/>
    </row>
    <row r="490" ht="15.75" customHeight="1">
      <c r="A490" s="21"/>
      <c r="B490" s="27"/>
      <c r="C490" s="22"/>
      <c r="D490" s="20"/>
    </row>
    <row r="491" ht="15.75" customHeight="1">
      <c r="A491" s="21"/>
      <c r="B491" s="27"/>
      <c r="C491" s="22"/>
      <c r="D491" s="20"/>
    </row>
    <row r="492" ht="15.75" customHeight="1">
      <c r="A492" s="21"/>
      <c r="B492" s="27"/>
      <c r="C492" s="22"/>
      <c r="D492" s="20"/>
    </row>
    <row r="493" ht="15.75" customHeight="1">
      <c r="A493" s="21"/>
      <c r="B493" s="27"/>
      <c r="C493" s="22"/>
      <c r="D493" s="20"/>
    </row>
    <row r="494" ht="15.75" customHeight="1">
      <c r="A494" s="21"/>
      <c r="B494" s="27"/>
      <c r="C494" s="22"/>
      <c r="D494" s="20"/>
    </row>
    <row r="495" ht="15.75" customHeight="1">
      <c r="A495" s="21"/>
      <c r="B495" s="27"/>
      <c r="C495" s="22"/>
      <c r="D495" s="20"/>
    </row>
    <row r="496" ht="15.75" customHeight="1">
      <c r="A496" s="21"/>
      <c r="B496" s="27"/>
      <c r="C496" s="22"/>
      <c r="D496" s="20"/>
    </row>
    <row r="497" ht="15.75" customHeight="1">
      <c r="A497" s="21"/>
      <c r="B497" s="27"/>
      <c r="C497" s="22"/>
      <c r="D497" s="20"/>
    </row>
    <row r="498" ht="15.75" customHeight="1">
      <c r="A498" s="21"/>
      <c r="B498" s="27"/>
      <c r="C498" s="22"/>
      <c r="D498" s="20"/>
    </row>
    <row r="499" ht="15.75" customHeight="1">
      <c r="A499" s="21"/>
      <c r="B499" s="27"/>
      <c r="C499" s="22"/>
      <c r="D499" s="20"/>
    </row>
    <row r="500" ht="15.75" customHeight="1">
      <c r="A500" s="21"/>
      <c r="B500" s="27"/>
      <c r="C500" s="22"/>
      <c r="D500" s="20"/>
    </row>
    <row r="501" ht="15.75" customHeight="1">
      <c r="A501" s="21"/>
      <c r="B501" s="27"/>
      <c r="C501" s="22"/>
      <c r="D501" s="20"/>
    </row>
    <row r="502" ht="15.75" customHeight="1">
      <c r="A502" s="21"/>
      <c r="B502" s="27"/>
      <c r="C502" s="22"/>
      <c r="D502" s="20"/>
    </row>
    <row r="503" ht="15.75" customHeight="1">
      <c r="A503" s="21"/>
      <c r="B503" s="27"/>
      <c r="C503" s="22"/>
      <c r="D503" s="20"/>
    </row>
    <row r="504" ht="15.75" customHeight="1">
      <c r="A504" s="21"/>
      <c r="B504" s="27"/>
      <c r="C504" s="22"/>
      <c r="D504" s="20"/>
    </row>
    <row r="505" ht="15.75" customHeight="1">
      <c r="A505" s="21"/>
      <c r="B505" s="27"/>
      <c r="C505" s="22"/>
      <c r="D505" s="20"/>
    </row>
    <row r="506" ht="15.75" customHeight="1">
      <c r="A506" s="21"/>
      <c r="B506" s="27"/>
      <c r="C506" s="22"/>
      <c r="D506" s="20"/>
    </row>
    <row r="507" ht="15.75" customHeight="1">
      <c r="A507" s="21"/>
      <c r="B507" s="27"/>
      <c r="C507" s="22"/>
      <c r="D507" s="20"/>
    </row>
    <row r="508" ht="15.75" customHeight="1">
      <c r="A508" s="21"/>
      <c r="B508" s="27"/>
      <c r="C508" s="22"/>
      <c r="D508" s="20"/>
    </row>
    <row r="509" ht="15.75" customHeight="1">
      <c r="A509" s="21"/>
      <c r="B509" s="27"/>
      <c r="C509" s="22"/>
      <c r="D509" s="20"/>
    </row>
    <row r="510" ht="15.75" customHeight="1">
      <c r="A510" s="21"/>
      <c r="B510" s="27"/>
      <c r="C510" s="22"/>
      <c r="D510" s="20"/>
    </row>
    <row r="511" ht="15.75" customHeight="1">
      <c r="A511" s="21"/>
      <c r="B511" s="27"/>
      <c r="C511" s="22"/>
      <c r="D511" s="20"/>
    </row>
    <row r="512" ht="15.75" customHeight="1">
      <c r="A512" s="21"/>
      <c r="B512" s="27"/>
      <c r="C512" s="22"/>
      <c r="D512" s="20"/>
    </row>
    <row r="513" ht="15.75" customHeight="1">
      <c r="A513" s="21"/>
      <c r="B513" s="27"/>
      <c r="C513" s="22"/>
      <c r="D513" s="20"/>
    </row>
    <row r="514" ht="15.75" customHeight="1">
      <c r="A514" s="21"/>
      <c r="B514" s="27"/>
      <c r="C514" s="22"/>
      <c r="D514" s="20"/>
    </row>
    <row r="515" ht="15.75" customHeight="1">
      <c r="A515" s="21"/>
      <c r="B515" s="27"/>
      <c r="C515" s="22"/>
      <c r="D515" s="20"/>
    </row>
    <row r="516" ht="15.75" customHeight="1">
      <c r="A516" s="21"/>
      <c r="B516" s="27"/>
      <c r="C516" s="22"/>
      <c r="D516" s="20"/>
    </row>
    <row r="517" ht="15.75" customHeight="1">
      <c r="A517" s="21"/>
      <c r="B517" s="27"/>
      <c r="C517" s="22"/>
      <c r="D517" s="20"/>
    </row>
    <row r="518" ht="15.75" customHeight="1">
      <c r="A518" s="21"/>
      <c r="B518" s="27"/>
      <c r="C518" s="22"/>
      <c r="D518" s="20"/>
    </row>
    <row r="519" ht="15.75" customHeight="1">
      <c r="A519" s="21"/>
      <c r="B519" s="27"/>
      <c r="C519" s="22"/>
      <c r="D519" s="20"/>
    </row>
    <row r="520" ht="15.75" customHeight="1">
      <c r="A520" s="21"/>
      <c r="B520" s="27"/>
      <c r="C520" s="22"/>
      <c r="D520" s="20"/>
    </row>
    <row r="521" ht="15.75" customHeight="1">
      <c r="A521" s="21"/>
      <c r="B521" s="27"/>
      <c r="C521" s="22"/>
      <c r="D521" s="20"/>
    </row>
    <row r="522" ht="15.75" customHeight="1">
      <c r="A522" s="21"/>
      <c r="B522" s="27"/>
      <c r="C522" s="22"/>
      <c r="D522" s="20"/>
    </row>
    <row r="523" ht="15.75" customHeight="1">
      <c r="A523" s="21"/>
      <c r="B523" s="27"/>
      <c r="C523" s="22"/>
      <c r="D523" s="20"/>
    </row>
    <row r="524" ht="15.75" customHeight="1">
      <c r="A524" s="21"/>
      <c r="B524" s="27"/>
      <c r="C524" s="22"/>
      <c r="D524" s="20"/>
    </row>
    <row r="525" ht="15.75" customHeight="1">
      <c r="A525" s="21"/>
      <c r="B525" s="27"/>
      <c r="C525" s="22"/>
      <c r="D525" s="20"/>
    </row>
    <row r="526" ht="15.75" customHeight="1">
      <c r="A526" s="21"/>
      <c r="B526" s="27"/>
      <c r="C526" s="22"/>
      <c r="D526" s="20"/>
    </row>
    <row r="527" ht="15.75" customHeight="1">
      <c r="A527" s="21"/>
      <c r="B527" s="27"/>
      <c r="C527" s="22"/>
      <c r="D527" s="20"/>
    </row>
    <row r="528" ht="15.75" customHeight="1">
      <c r="A528" s="21"/>
      <c r="B528" s="27"/>
      <c r="C528" s="22"/>
      <c r="D528" s="20"/>
    </row>
    <row r="529" ht="15.75" customHeight="1">
      <c r="A529" s="21"/>
      <c r="B529" s="27"/>
      <c r="C529" s="22"/>
      <c r="D529" s="20"/>
    </row>
    <row r="530" ht="15.75" customHeight="1">
      <c r="A530" s="21"/>
      <c r="B530" s="27"/>
      <c r="C530" s="22"/>
      <c r="D530" s="20"/>
    </row>
    <row r="531" ht="15.75" customHeight="1">
      <c r="A531" s="21"/>
      <c r="B531" s="27"/>
      <c r="C531" s="22"/>
      <c r="D531" s="20"/>
    </row>
    <row r="532" ht="15.75" customHeight="1">
      <c r="A532" s="21"/>
      <c r="B532" s="27"/>
      <c r="C532" s="22"/>
      <c r="D532" s="20"/>
    </row>
    <row r="533" ht="15.75" customHeight="1">
      <c r="A533" s="21"/>
      <c r="B533" s="27"/>
      <c r="C533" s="22"/>
      <c r="D533" s="20"/>
    </row>
    <row r="534" ht="15.75" customHeight="1">
      <c r="A534" s="21"/>
      <c r="B534" s="27"/>
      <c r="C534" s="22"/>
      <c r="D534" s="20"/>
    </row>
    <row r="535" ht="15.75" customHeight="1">
      <c r="A535" s="21"/>
      <c r="B535" s="27"/>
      <c r="C535" s="22"/>
      <c r="D535" s="20"/>
    </row>
    <row r="536" ht="15.75" customHeight="1">
      <c r="A536" s="21"/>
      <c r="B536" s="27"/>
      <c r="C536" s="22"/>
      <c r="D536" s="20"/>
    </row>
    <row r="537" ht="15.75" customHeight="1">
      <c r="A537" s="21"/>
      <c r="B537" s="27"/>
      <c r="C537" s="22"/>
      <c r="D537" s="20"/>
    </row>
    <row r="538" ht="15.75" customHeight="1">
      <c r="A538" s="21"/>
      <c r="B538" s="27"/>
      <c r="C538" s="22"/>
      <c r="D538" s="20"/>
    </row>
    <row r="539" ht="15.75" customHeight="1">
      <c r="A539" s="21"/>
      <c r="B539" s="27"/>
      <c r="C539" s="22"/>
      <c r="D539" s="20"/>
    </row>
    <row r="540" ht="15.75" customHeight="1">
      <c r="A540" s="21"/>
      <c r="B540" s="27"/>
      <c r="C540" s="22"/>
      <c r="D540" s="20"/>
    </row>
    <row r="541" ht="15.75" customHeight="1">
      <c r="A541" s="21"/>
      <c r="B541" s="27"/>
      <c r="C541" s="22"/>
      <c r="D541" s="20"/>
    </row>
    <row r="542" ht="15.75" customHeight="1">
      <c r="A542" s="21"/>
      <c r="B542" s="27"/>
      <c r="C542" s="22"/>
      <c r="D542" s="20"/>
    </row>
    <row r="543" ht="15.75" customHeight="1">
      <c r="A543" s="21"/>
      <c r="B543" s="27"/>
      <c r="C543" s="22"/>
      <c r="D543" s="20"/>
    </row>
    <row r="544" ht="15.75" customHeight="1">
      <c r="A544" s="21"/>
      <c r="B544" s="27"/>
      <c r="C544" s="22"/>
      <c r="D544" s="20"/>
    </row>
    <row r="545" ht="15.75" customHeight="1">
      <c r="A545" s="21"/>
      <c r="C545" s="22"/>
      <c r="D545" s="20"/>
    </row>
    <row r="546" ht="15.75" customHeight="1">
      <c r="A546" s="21"/>
      <c r="C546" s="22"/>
      <c r="D546" s="20"/>
    </row>
    <row r="547" ht="15.75" customHeight="1">
      <c r="A547" s="21"/>
      <c r="C547" s="22"/>
      <c r="D547" s="20"/>
    </row>
    <row r="548" ht="15.75" customHeight="1">
      <c r="A548" s="21"/>
      <c r="C548" s="22"/>
      <c r="D548" s="20"/>
    </row>
    <row r="549" ht="15.75" customHeight="1">
      <c r="A549" s="21"/>
      <c r="C549" s="22"/>
      <c r="D549" s="20"/>
    </row>
    <row r="550" ht="15.75" customHeight="1">
      <c r="A550" s="21"/>
      <c r="C550" s="22"/>
      <c r="D550" s="20"/>
    </row>
    <row r="551" ht="15.75" customHeight="1">
      <c r="A551" s="21"/>
      <c r="C551" s="22"/>
      <c r="D551" s="20"/>
    </row>
    <row r="552" ht="15.75" customHeight="1">
      <c r="A552" s="21"/>
      <c r="C552" s="22"/>
      <c r="D552" s="20"/>
    </row>
    <row r="553" ht="15.75" customHeight="1">
      <c r="A553" s="21"/>
      <c r="C553" s="22"/>
      <c r="D553" s="20"/>
    </row>
    <row r="554" ht="15.75" customHeight="1">
      <c r="A554" s="21"/>
      <c r="C554" s="22"/>
      <c r="D554" s="20"/>
    </row>
    <row r="555" ht="15.75" customHeight="1">
      <c r="A555" s="21"/>
      <c r="C555" s="22"/>
      <c r="D555" s="20"/>
    </row>
    <row r="556" ht="15.75" customHeight="1">
      <c r="A556" s="21"/>
      <c r="C556" s="22"/>
      <c r="D556" s="20"/>
    </row>
    <row r="557" ht="15.75" customHeight="1">
      <c r="A557" s="21"/>
      <c r="C557" s="22"/>
      <c r="D557" s="20"/>
    </row>
    <row r="558" ht="15.75" customHeight="1">
      <c r="A558" s="21"/>
      <c r="C558" s="22"/>
      <c r="D558" s="20"/>
    </row>
    <row r="559" ht="15.75" customHeight="1">
      <c r="A559" s="21"/>
      <c r="C559" s="22"/>
      <c r="D559" s="20"/>
    </row>
    <row r="560" ht="15.75" customHeight="1">
      <c r="A560" s="21"/>
      <c r="C560" s="22"/>
      <c r="D560" s="20"/>
    </row>
    <row r="561" ht="15.75" customHeight="1">
      <c r="A561" s="21"/>
      <c r="C561" s="22"/>
      <c r="D561" s="20"/>
    </row>
    <row r="562" ht="15.75" customHeight="1">
      <c r="A562" s="21"/>
      <c r="C562" s="22"/>
      <c r="D562" s="20"/>
    </row>
    <row r="563" ht="15.75" customHeight="1">
      <c r="A563" s="21"/>
      <c r="C563" s="22"/>
      <c r="D563" s="20"/>
    </row>
    <row r="564" ht="15.75" customHeight="1">
      <c r="A564" s="21"/>
      <c r="C564" s="22"/>
      <c r="D564" s="20"/>
    </row>
    <row r="565" ht="15.75" customHeight="1">
      <c r="A565" s="21"/>
      <c r="C565" s="22"/>
      <c r="D565" s="20"/>
    </row>
    <row r="566" ht="15.75" customHeight="1">
      <c r="A566" s="21"/>
      <c r="C566" s="22"/>
      <c r="D566" s="20"/>
    </row>
    <row r="567" ht="15.75" customHeight="1">
      <c r="A567" s="21"/>
      <c r="C567" s="22"/>
      <c r="D567" s="20"/>
    </row>
    <row r="568" ht="15.75" customHeight="1">
      <c r="A568" s="21"/>
      <c r="C568" s="22"/>
      <c r="D568" s="20"/>
    </row>
    <row r="569" ht="15.75" customHeight="1">
      <c r="A569" s="21"/>
      <c r="C569" s="22"/>
      <c r="D569" s="20"/>
    </row>
    <row r="570" ht="15.75" customHeight="1">
      <c r="A570" s="21"/>
      <c r="C570" s="22"/>
      <c r="D570" s="20"/>
    </row>
    <row r="571" ht="15.75" customHeight="1">
      <c r="A571" s="21"/>
      <c r="C571" s="22"/>
      <c r="D571" s="20"/>
    </row>
    <row r="572" ht="15.75" customHeight="1">
      <c r="A572" s="21"/>
      <c r="C572" s="22"/>
      <c r="D572" s="20"/>
    </row>
    <row r="573" ht="15.75" customHeight="1">
      <c r="A573" s="21"/>
      <c r="C573" s="22"/>
      <c r="D573" s="20"/>
    </row>
    <row r="574" ht="15.75" customHeight="1">
      <c r="A574" s="21"/>
      <c r="C574" s="22"/>
      <c r="D574" s="20"/>
    </row>
    <row r="575" ht="15.75" customHeight="1">
      <c r="A575" s="21"/>
      <c r="C575" s="22"/>
      <c r="D575" s="20"/>
    </row>
    <row r="576" ht="15.75" customHeight="1">
      <c r="A576" s="21"/>
      <c r="C576" s="22"/>
      <c r="D576" s="20"/>
    </row>
    <row r="577" ht="15.75" customHeight="1">
      <c r="A577" s="21"/>
      <c r="C577" s="22"/>
      <c r="D577" s="20"/>
    </row>
    <row r="578" ht="15.75" customHeight="1">
      <c r="A578" s="21"/>
      <c r="C578" s="22"/>
      <c r="D578" s="20"/>
    </row>
    <row r="579" ht="15.75" customHeight="1">
      <c r="A579" s="21"/>
      <c r="C579" s="22"/>
      <c r="D579" s="20"/>
    </row>
    <row r="580" ht="15.75" customHeight="1">
      <c r="A580" s="21"/>
      <c r="C580" s="22"/>
      <c r="D580" s="20"/>
    </row>
    <row r="581" ht="15.75" customHeight="1">
      <c r="A581" s="21"/>
      <c r="C581" s="22"/>
      <c r="D581" s="20"/>
    </row>
    <row r="582" ht="15.75" customHeight="1">
      <c r="A582" s="21"/>
      <c r="C582" s="22"/>
      <c r="D582" s="20"/>
    </row>
    <row r="583" ht="15.75" customHeight="1">
      <c r="A583" s="21"/>
      <c r="C583" s="22"/>
      <c r="D583" s="20"/>
    </row>
    <row r="584" ht="15.75" customHeight="1">
      <c r="A584" s="21"/>
      <c r="C584" s="22"/>
      <c r="D584" s="20"/>
    </row>
    <row r="585" ht="15.75" customHeight="1">
      <c r="A585" s="21"/>
      <c r="C585" s="22"/>
      <c r="D585" s="20"/>
    </row>
    <row r="586" ht="15.75" customHeight="1">
      <c r="A586" s="21"/>
      <c r="C586" s="22"/>
      <c r="D586" s="20"/>
    </row>
    <row r="587" ht="15.75" customHeight="1">
      <c r="A587" s="21"/>
      <c r="C587" s="22"/>
      <c r="D587" s="20"/>
    </row>
    <row r="588" ht="15.75" customHeight="1">
      <c r="A588" s="21"/>
      <c r="C588" s="22"/>
      <c r="D588" s="20"/>
    </row>
    <row r="589" ht="15.75" customHeight="1">
      <c r="A589" s="21"/>
      <c r="C589" s="22"/>
      <c r="D589" s="20"/>
    </row>
    <row r="590" ht="15.75" customHeight="1">
      <c r="A590" s="21"/>
      <c r="C590" s="22"/>
      <c r="D590" s="20"/>
    </row>
    <row r="591" ht="15.75" customHeight="1">
      <c r="A591" s="21"/>
      <c r="C591" s="22"/>
      <c r="D591" s="20"/>
    </row>
    <row r="592" ht="15.75" customHeight="1">
      <c r="A592" s="21"/>
      <c r="C592" s="22"/>
      <c r="D592" s="20"/>
    </row>
    <row r="593" ht="15.75" customHeight="1">
      <c r="A593" s="21"/>
      <c r="C593" s="22"/>
      <c r="D593" s="20"/>
    </row>
    <row r="594" ht="15.75" customHeight="1">
      <c r="A594" s="21"/>
      <c r="C594" s="22"/>
      <c r="D594" s="20"/>
    </row>
    <row r="595" ht="15.75" customHeight="1">
      <c r="A595" s="21"/>
      <c r="C595" s="22"/>
      <c r="D595" s="20"/>
    </row>
    <row r="596" ht="15.75" customHeight="1">
      <c r="A596" s="21"/>
      <c r="C596" s="22"/>
      <c r="D596" s="20"/>
    </row>
    <row r="597" ht="15.75" customHeight="1">
      <c r="A597" s="21"/>
      <c r="C597" s="22"/>
      <c r="D597" s="20"/>
    </row>
    <row r="598" ht="15.75" customHeight="1">
      <c r="A598" s="21"/>
      <c r="C598" s="22"/>
      <c r="D598" s="20"/>
    </row>
    <row r="599" ht="15.75" customHeight="1">
      <c r="A599" s="21"/>
      <c r="C599" s="22"/>
      <c r="D599" s="20"/>
    </row>
    <row r="600" ht="15.75" customHeight="1">
      <c r="A600" s="21"/>
      <c r="C600" s="22"/>
      <c r="D600" s="20"/>
    </row>
    <row r="601" ht="15.75" customHeight="1">
      <c r="A601" s="21"/>
      <c r="C601" s="22"/>
      <c r="D601" s="20"/>
    </row>
    <row r="602" ht="15.75" customHeight="1">
      <c r="A602" s="21"/>
      <c r="C602" s="22"/>
      <c r="D602" s="20"/>
    </row>
    <row r="603" ht="15.75" customHeight="1">
      <c r="A603" s="21"/>
      <c r="C603" s="22"/>
      <c r="D603" s="20"/>
    </row>
    <row r="604" ht="15.75" customHeight="1">
      <c r="A604" s="21"/>
      <c r="C604" s="22"/>
      <c r="D604" s="20"/>
    </row>
    <row r="605" ht="15.75" customHeight="1">
      <c r="A605" s="21"/>
      <c r="C605" s="22"/>
      <c r="D605" s="20"/>
    </row>
    <row r="606" ht="15.75" customHeight="1">
      <c r="A606" s="21"/>
      <c r="C606" s="22"/>
      <c r="D606" s="20"/>
    </row>
    <row r="607" ht="15.75" customHeight="1">
      <c r="A607" s="21"/>
      <c r="C607" s="22"/>
      <c r="D607" s="20"/>
    </row>
    <row r="608" ht="15.75" customHeight="1">
      <c r="A608" s="21"/>
      <c r="C608" s="22"/>
      <c r="D608" s="20"/>
    </row>
    <row r="609" ht="15.75" customHeight="1">
      <c r="A609" s="21"/>
      <c r="C609" s="22"/>
      <c r="D609" s="20"/>
    </row>
    <row r="610" ht="15.75" customHeight="1">
      <c r="A610" s="21"/>
      <c r="C610" s="22"/>
      <c r="D610" s="20"/>
    </row>
    <row r="611" ht="15.75" customHeight="1">
      <c r="A611" s="21"/>
      <c r="C611" s="22"/>
      <c r="D611" s="20"/>
    </row>
    <row r="612" ht="15.75" customHeight="1">
      <c r="A612" s="21"/>
      <c r="C612" s="22"/>
      <c r="D612" s="20"/>
    </row>
    <row r="613" ht="15.75" customHeight="1">
      <c r="A613" s="21"/>
      <c r="C613" s="22"/>
      <c r="D613" s="20"/>
    </row>
    <row r="614" ht="15.75" customHeight="1">
      <c r="A614" s="21"/>
      <c r="C614" s="22"/>
      <c r="D614" s="20"/>
    </row>
    <row r="615" ht="15.75" customHeight="1">
      <c r="A615" s="21"/>
      <c r="C615" s="22"/>
      <c r="D615" s="20"/>
    </row>
    <row r="616" ht="15.75" customHeight="1">
      <c r="A616" s="21"/>
      <c r="C616" s="22"/>
      <c r="D616" s="20"/>
    </row>
    <row r="617" ht="15.75" customHeight="1">
      <c r="A617" s="21"/>
      <c r="C617" s="22"/>
      <c r="D617" s="20"/>
    </row>
    <row r="618" ht="15.75" customHeight="1">
      <c r="A618" s="21"/>
      <c r="C618" s="22"/>
      <c r="D618" s="20"/>
    </row>
    <row r="619" ht="15.75" customHeight="1">
      <c r="A619" s="21"/>
      <c r="C619" s="22"/>
      <c r="D619" s="20"/>
    </row>
    <row r="620" ht="15.75" customHeight="1">
      <c r="A620" s="21"/>
      <c r="C620" s="22"/>
      <c r="D620" s="20"/>
    </row>
    <row r="621" ht="15.75" customHeight="1">
      <c r="A621" s="21"/>
      <c r="C621" s="22"/>
      <c r="D621" s="20"/>
    </row>
    <row r="622" ht="15.75" customHeight="1">
      <c r="A622" s="21"/>
      <c r="C622" s="22"/>
      <c r="D622" s="20"/>
    </row>
    <row r="623" ht="15.75" customHeight="1">
      <c r="A623" s="21"/>
      <c r="C623" s="22"/>
      <c r="D623" s="20"/>
    </row>
    <row r="624" ht="15.75" customHeight="1">
      <c r="A624" s="21"/>
      <c r="C624" s="22"/>
      <c r="D624" s="20"/>
    </row>
    <row r="625" ht="15.75" customHeight="1">
      <c r="A625" s="21"/>
      <c r="C625" s="22"/>
      <c r="D625" s="20"/>
    </row>
    <row r="626" ht="15.75" customHeight="1">
      <c r="A626" s="21"/>
      <c r="C626" s="22"/>
      <c r="D626" s="20"/>
    </row>
    <row r="627" ht="15.75" customHeight="1">
      <c r="A627" s="21"/>
      <c r="C627" s="22"/>
      <c r="D627" s="20"/>
    </row>
    <row r="628" ht="15.75" customHeight="1">
      <c r="A628" s="21"/>
      <c r="C628" s="22"/>
      <c r="D628" s="20"/>
    </row>
    <row r="629" ht="15.75" customHeight="1">
      <c r="A629" s="21"/>
      <c r="C629" s="22"/>
      <c r="D629" s="20"/>
    </row>
    <row r="630" ht="15.75" customHeight="1">
      <c r="A630" s="21"/>
      <c r="C630" s="22"/>
      <c r="D630" s="20"/>
    </row>
    <row r="631" ht="15.75" customHeight="1">
      <c r="A631" s="21"/>
      <c r="C631" s="22"/>
      <c r="D631" s="20"/>
    </row>
    <row r="632" ht="15.75" customHeight="1">
      <c r="A632" s="21"/>
      <c r="C632" s="22"/>
      <c r="D632" s="20"/>
    </row>
    <row r="633" ht="15.75" customHeight="1">
      <c r="A633" s="21"/>
      <c r="C633" s="22"/>
      <c r="D633" s="20"/>
    </row>
    <row r="634" ht="15.75" customHeight="1">
      <c r="A634" s="21"/>
      <c r="C634" s="22"/>
      <c r="D634" s="20"/>
    </row>
    <row r="635" ht="15.75" customHeight="1">
      <c r="A635" s="21"/>
      <c r="C635" s="22"/>
      <c r="D635" s="20"/>
    </row>
    <row r="636" ht="15.75" customHeight="1">
      <c r="A636" s="21"/>
      <c r="C636" s="22"/>
      <c r="D636" s="20"/>
    </row>
    <row r="637" ht="15.75" customHeight="1">
      <c r="A637" s="21"/>
      <c r="C637" s="22"/>
      <c r="D637" s="20"/>
    </row>
    <row r="638" ht="15.75" customHeight="1">
      <c r="A638" s="21"/>
      <c r="C638" s="22"/>
      <c r="D638" s="20"/>
    </row>
    <row r="639" ht="15.75" customHeight="1">
      <c r="A639" s="21"/>
      <c r="C639" s="22"/>
      <c r="D639" s="20"/>
    </row>
    <row r="640" ht="15.75" customHeight="1">
      <c r="A640" s="21"/>
      <c r="C640" s="22"/>
      <c r="D640" s="20"/>
    </row>
    <row r="641" ht="15.75" customHeight="1">
      <c r="A641" s="21"/>
      <c r="C641" s="22"/>
      <c r="D641" s="20"/>
    </row>
    <row r="642" ht="15.75" customHeight="1">
      <c r="A642" s="21"/>
      <c r="C642" s="22"/>
      <c r="D642" s="20"/>
    </row>
    <row r="643" ht="15.75" customHeight="1">
      <c r="A643" s="21"/>
      <c r="C643" s="22"/>
      <c r="D643" s="20"/>
    </row>
    <row r="644" ht="15.75" customHeight="1">
      <c r="A644" s="21"/>
      <c r="C644" s="22"/>
      <c r="D644" s="20"/>
    </row>
    <row r="645" ht="15.75" customHeight="1">
      <c r="A645" s="21"/>
      <c r="C645" s="22"/>
      <c r="D645" s="20"/>
    </row>
    <row r="646" ht="15.75" customHeight="1">
      <c r="A646" s="21"/>
      <c r="C646" s="22"/>
      <c r="D646" s="20"/>
    </row>
    <row r="647" ht="15.75" customHeight="1">
      <c r="A647" s="21"/>
      <c r="C647" s="22"/>
      <c r="D647" s="20"/>
    </row>
    <row r="648" ht="15.75" customHeight="1">
      <c r="A648" s="21"/>
      <c r="C648" s="22"/>
      <c r="D648" s="20"/>
    </row>
    <row r="649" ht="15.75" customHeight="1">
      <c r="A649" s="21"/>
      <c r="C649" s="22"/>
      <c r="D649" s="20"/>
    </row>
    <row r="650" ht="15.75" customHeight="1">
      <c r="A650" s="21"/>
      <c r="C650" s="22"/>
      <c r="D650" s="20"/>
    </row>
    <row r="651" ht="15.75" customHeight="1">
      <c r="A651" s="21"/>
      <c r="C651" s="22"/>
      <c r="D651" s="20"/>
    </row>
    <row r="652" ht="15.75" customHeight="1">
      <c r="A652" s="21"/>
      <c r="C652" s="22"/>
      <c r="D652" s="20"/>
    </row>
    <row r="653" ht="15.75" customHeight="1">
      <c r="A653" s="21"/>
      <c r="C653" s="22"/>
      <c r="D653" s="20"/>
    </row>
    <row r="654" ht="15.75" customHeight="1">
      <c r="A654" s="21"/>
      <c r="C654" s="22"/>
      <c r="D654" s="20"/>
    </row>
    <row r="655" ht="15.75" customHeight="1">
      <c r="A655" s="21"/>
      <c r="C655" s="22"/>
      <c r="D655" s="20"/>
    </row>
    <row r="656" ht="15.75" customHeight="1">
      <c r="A656" s="21"/>
      <c r="C656" s="22"/>
      <c r="D656" s="20"/>
    </row>
    <row r="657" ht="15.75" customHeight="1">
      <c r="A657" s="21"/>
      <c r="C657" s="22"/>
      <c r="D657" s="20"/>
    </row>
    <row r="658" ht="15.75" customHeight="1">
      <c r="A658" s="21"/>
      <c r="C658" s="22"/>
      <c r="D658" s="20"/>
    </row>
    <row r="659" ht="15.75" customHeight="1">
      <c r="A659" s="21"/>
      <c r="C659" s="22"/>
      <c r="D659" s="20"/>
    </row>
    <row r="660" ht="15.75" customHeight="1">
      <c r="A660" s="21"/>
      <c r="C660" s="22"/>
      <c r="D660" s="20"/>
    </row>
    <row r="661" ht="15.75" customHeight="1">
      <c r="A661" s="21"/>
      <c r="C661" s="22"/>
      <c r="D661" s="20"/>
    </row>
    <row r="662" ht="15.75" customHeight="1">
      <c r="A662" s="21"/>
      <c r="C662" s="22"/>
      <c r="D662" s="20"/>
    </row>
    <row r="663" ht="15.75" customHeight="1">
      <c r="A663" s="21"/>
      <c r="C663" s="22"/>
      <c r="D663" s="20"/>
    </row>
    <row r="664" ht="15.75" customHeight="1">
      <c r="A664" s="21"/>
      <c r="C664" s="22"/>
      <c r="D664" s="20"/>
    </row>
    <row r="665" ht="15.75" customHeight="1">
      <c r="A665" s="21"/>
      <c r="C665" s="22"/>
      <c r="D665" s="20"/>
    </row>
    <row r="666" ht="15.75" customHeight="1">
      <c r="A666" s="21"/>
      <c r="C666" s="22"/>
      <c r="D666" s="20"/>
    </row>
    <row r="667" ht="15.75" customHeight="1">
      <c r="A667" s="21"/>
      <c r="C667" s="22"/>
      <c r="D667" s="20"/>
    </row>
    <row r="668" ht="15.75" customHeight="1">
      <c r="A668" s="21"/>
      <c r="C668" s="22"/>
      <c r="D668" s="20"/>
    </row>
    <row r="669" ht="15.75" customHeight="1">
      <c r="A669" s="21"/>
      <c r="C669" s="22"/>
      <c r="D669" s="20"/>
    </row>
    <row r="670" ht="15.75" customHeight="1">
      <c r="A670" s="21"/>
      <c r="C670" s="22"/>
      <c r="D670" s="20"/>
    </row>
    <row r="671" ht="15.75" customHeight="1">
      <c r="A671" s="21"/>
      <c r="C671" s="22"/>
      <c r="D671" s="20"/>
    </row>
    <row r="672" ht="15.75" customHeight="1">
      <c r="A672" s="21"/>
      <c r="C672" s="22"/>
      <c r="D672" s="20"/>
    </row>
    <row r="673" ht="15.75" customHeight="1">
      <c r="A673" s="21"/>
      <c r="C673" s="22"/>
      <c r="D673" s="20"/>
    </row>
    <row r="674" ht="15.75" customHeight="1">
      <c r="A674" s="21"/>
      <c r="C674" s="22"/>
      <c r="D674" s="20"/>
    </row>
    <row r="675" ht="15.75" customHeight="1">
      <c r="A675" s="21"/>
      <c r="C675" s="22"/>
      <c r="D675" s="20"/>
    </row>
    <row r="676" ht="15.75" customHeight="1">
      <c r="A676" s="21"/>
      <c r="C676" s="22"/>
      <c r="D676" s="20"/>
    </row>
    <row r="677" ht="15.75" customHeight="1">
      <c r="A677" s="21"/>
      <c r="C677" s="22"/>
      <c r="D677" s="20"/>
    </row>
    <row r="678" ht="15.75" customHeight="1">
      <c r="A678" s="21"/>
      <c r="C678" s="22"/>
      <c r="D678" s="20"/>
    </row>
    <row r="679" ht="15.75" customHeight="1">
      <c r="A679" s="21"/>
      <c r="C679" s="22"/>
      <c r="D679" s="20"/>
    </row>
    <row r="680" ht="15.75" customHeight="1">
      <c r="A680" s="21"/>
      <c r="C680" s="22"/>
      <c r="D680" s="20"/>
    </row>
    <row r="681" ht="15.75" customHeight="1">
      <c r="A681" s="21"/>
      <c r="C681" s="22"/>
      <c r="D681" s="20"/>
    </row>
    <row r="682" ht="15.75" customHeight="1">
      <c r="A682" s="21"/>
      <c r="C682" s="22"/>
      <c r="D682" s="20"/>
    </row>
    <row r="683" ht="15.75" customHeight="1">
      <c r="A683" s="21"/>
      <c r="C683" s="22"/>
      <c r="D683" s="20"/>
    </row>
    <row r="684" ht="15.75" customHeight="1">
      <c r="A684" s="21"/>
      <c r="C684" s="22"/>
      <c r="D684" s="20"/>
    </row>
    <row r="685" ht="15.75" customHeight="1">
      <c r="A685" s="21"/>
      <c r="C685" s="22"/>
      <c r="D685" s="20"/>
    </row>
    <row r="686" ht="15.75" customHeight="1">
      <c r="A686" s="21"/>
      <c r="C686" s="22"/>
      <c r="D686" s="20"/>
    </row>
    <row r="687" ht="15.75" customHeight="1">
      <c r="A687" s="21"/>
      <c r="C687" s="22"/>
      <c r="D687" s="20"/>
    </row>
    <row r="688" ht="15.75" customHeight="1">
      <c r="A688" s="21"/>
      <c r="C688" s="22"/>
      <c r="D688" s="20"/>
    </row>
    <row r="689" ht="15.75" customHeight="1">
      <c r="A689" s="21"/>
      <c r="C689" s="22"/>
      <c r="D689" s="20"/>
    </row>
    <row r="690" ht="15.75" customHeight="1">
      <c r="A690" s="21"/>
      <c r="C690" s="22"/>
      <c r="D690" s="20"/>
    </row>
    <row r="691" ht="15.75" customHeight="1">
      <c r="A691" s="21"/>
      <c r="C691" s="22"/>
      <c r="D691" s="20"/>
    </row>
    <row r="692" ht="15.75" customHeight="1">
      <c r="A692" s="21"/>
      <c r="C692" s="22"/>
      <c r="D692" s="20"/>
    </row>
    <row r="693" ht="15.75" customHeight="1">
      <c r="A693" s="21"/>
      <c r="C693" s="22"/>
      <c r="D693" s="20"/>
    </row>
    <row r="694" ht="15.75" customHeight="1">
      <c r="A694" s="21"/>
      <c r="C694" s="22"/>
      <c r="D694" s="20"/>
    </row>
    <row r="695" ht="15.75" customHeight="1">
      <c r="A695" s="21"/>
      <c r="C695" s="22"/>
      <c r="D695" s="20"/>
    </row>
    <row r="696" ht="15.75" customHeight="1">
      <c r="A696" s="21"/>
      <c r="C696" s="22"/>
      <c r="D696" s="20"/>
    </row>
    <row r="697" ht="15.75" customHeight="1">
      <c r="A697" s="21"/>
      <c r="C697" s="22"/>
      <c r="D697" s="20"/>
    </row>
    <row r="698" ht="15.75" customHeight="1">
      <c r="A698" s="21"/>
      <c r="C698" s="22"/>
      <c r="D698" s="20"/>
    </row>
    <row r="699" ht="15.75" customHeight="1">
      <c r="A699" s="21"/>
      <c r="C699" s="22"/>
      <c r="D699" s="20"/>
    </row>
    <row r="700" ht="15.75" customHeight="1">
      <c r="A700" s="21"/>
      <c r="C700" s="22"/>
      <c r="D700" s="20"/>
    </row>
    <row r="701" ht="15.75" customHeight="1">
      <c r="A701" s="21"/>
      <c r="C701" s="22"/>
      <c r="D701" s="20"/>
    </row>
    <row r="702" ht="15.75" customHeight="1">
      <c r="A702" s="21"/>
      <c r="C702" s="22"/>
      <c r="D702" s="20"/>
    </row>
    <row r="703" ht="15.75" customHeight="1">
      <c r="A703" s="21"/>
      <c r="C703" s="22"/>
      <c r="D703" s="20"/>
    </row>
    <row r="704" ht="15.75" customHeight="1">
      <c r="A704" s="21"/>
      <c r="C704" s="22"/>
      <c r="D704" s="20"/>
    </row>
    <row r="705" ht="15.75" customHeight="1">
      <c r="A705" s="21"/>
      <c r="C705" s="22"/>
      <c r="D705" s="20"/>
    </row>
    <row r="706" ht="15.75" customHeight="1">
      <c r="A706" s="21"/>
      <c r="C706" s="22"/>
      <c r="D706" s="20"/>
    </row>
    <row r="707" ht="15.75" customHeight="1">
      <c r="A707" s="21"/>
      <c r="C707" s="22"/>
      <c r="D707" s="20"/>
    </row>
    <row r="708" ht="15.75" customHeight="1">
      <c r="A708" s="21"/>
      <c r="C708" s="22"/>
      <c r="D708" s="20"/>
    </row>
    <row r="709" ht="15.75" customHeight="1">
      <c r="A709" s="21"/>
      <c r="C709" s="22"/>
      <c r="D709" s="20"/>
    </row>
    <row r="710" ht="15.75" customHeight="1">
      <c r="A710" s="21"/>
      <c r="C710" s="22"/>
      <c r="D710" s="20"/>
    </row>
    <row r="711" ht="15.75" customHeight="1">
      <c r="A711" s="21"/>
      <c r="C711" s="22"/>
      <c r="D711" s="20"/>
    </row>
    <row r="712" ht="15.75" customHeight="1">
      <c r="A712" s="21"/>
      <c r="C712" s="22"/>
      <c r="D712" s="20"/>
    </row>
    <row r="713" ht="15.75" customHeight="1">
      <c r="A713" s="21"/>
      <c r="C713" s="22"/>
      <c r="D713" s="20"/>
    </row>
    <row r="714" ht="15.75" customHeight="1">
      <c r="A714" s="21"/>
      <c r="C714" s="22"/>
      <c r="D714" s="20"/>
    </row>
    <row r="715" ht="15.75" customHeight="1">
      <c r="A715" s="21"/>
      <c r="C715" s="22"/>
      <c r="D715" s="20"/>
    </row>
    <row r="716" ht="15.75" customHeight="1">
      <c r="A716" s="21"/>
      <c r="C716" s="22"/>
      <c r="D716" s="20"/>
    </row>
    <row r="717" ht="15.75" customHeight="1">
      <c r="A717" s="21"/>
      <c r="C717" s="22"/>
      <c r="D717" s="20"/>
    </row>
    <row r="718" ht="15.75" customHeight="1">
      <c r="A718" s="21"/>
      <c r="C718" s="22"/>
      <c r="D718" s="20"/>
    </row>
    <row r="719" ht="15.75" customHeight="1">
      <c r="A719" s="21"/>
      <c r="C719" s="22"/>
      <c r="D719" s="20"/>
    </row>
    <row r="720" ht="15.75" customHeight="1">
      <c r="A720" s="21"/>
      <c r="C720" s="22"/>
      <c r="D720" s="20"/>
    </row>
    <row r="721" ht="15.75" customHeight="1">
      <c r="A721" s="21"/>
      <c r="C721" s="22"/>
      <c r="D721" s="20"/>
    </row>
    <row r="722" ht="15.75" customHeight="1">
      <c r="A722" s="21"/>
      <c r="C722" s="22"/>
      <c r="D722" s="20"/>
    </row>
    <row r="723" ht="15.75" customHeight="1">
      <c r="A723" s="21"/>
      <c r="C723" s="22"/>
      <c r="D723" s="20"/>
    </row>
    <row r="724" ht="15.75" customHeight="1">
      <c r="A724" s="21"/>
      <c r="C724" s="22"/>
      <c r="D724" s="20"/>
    </row>
    <row r="725" ht="15.75" customHeight="1">
      <c r="A725" s="21"/>
      <c r="C725" s="22"/>
      <c r="D725" s="20"/>
    </row>
    <row r="726" ht="15.75" customHeight="1">
      <c r="A726" s="21"/>
      <c r="C726" s="22"/>
      <c r="D726" s="20"/>
    </row>
    <row r="727" ht="15.75" customHeight="1">
      <c r="A727" s="21"/>
      <c r="C727" s="22"/>
      <c r="D727" s="20"/>
    </row>
    <row r="728" ht="15.75" customHeight="1">
      <c r="A728" s="21"/>
      <c r="C728" s="22"/>
      <c r="D728" s="20"/>
    </row>
    <row r="729" ht="15.75" customHeight="1">
      <c r="A729" s="21"/>
      <c r="C729" s="22"/>
      <c r="D729" s="20"/>
    </row>
    <row r="730" ht="15.75" customHeight="1">
      <c r="A730" s="21"/>
      <c r="C730" s="22"/>
      <c r="D730" s="20"/>
    </row>
    <row r="731" ht="15.75" customHeight="1">
      <c r="A731" s="21"/>
      <c r="C731" s="22"/>
      <c r="D731" s="20"/>
    </row>
    <row r="732" ht="15.75" customHeight="1">
      <c r="A732" s="21"/>
      <c r="C732" s="22"/>
      <c r="D732" s="20"/>
    </row>
    <row r="733" ht="15.75" customHeight="1">
      <c r="A733" s="21"/>
      <c r="C733" s="22"/>
      <c r="D733" s="20"/>
    </row>
    <row r="734" ht="15.75" customHeight="1">
      <c r="A734" s="21"/>
      <c r="C734" s="22"/>
      <c r="D734" s="20"/>
    </row>
    <row r="735" ht="15.75" customHeight="1">
      <c r="A735" s="21"/>
      <c r="C735" s="22"/>
      <c r="D735" s="20"/>
    </row>
    <row r="736" ht="15.75" customHeight="1">
      <c r="A736" s="21"/>
      <c r="C736" s="22"/>
      <c r="D736" s="20"/>
    </row>
    <row r="737" ht="15.75" customHeight="1">
      <c r="A737" s="21"/>
      <c r="C737" s="22"/>
      <c r="D737" s="20"/>
    </row>
    <row r="738" ht="15.75" customHeight="1">
      <c r="A738" s="21"/>
      <c r="C738" s="22"/>
      <c r="D738" s="20"/>
    </row>
    <row r="739" ht="15.75" customHeight="1">
      <c r="A739" s="21"/>
      <c r="C739" s="22"/>
      <c r="D739" s="20"/>
    </row>
    <row r="740" ht="15.75" customHeight="1">
      <c r="A740" s="21"/>
      <c r="C740" s="22"/>
      <c r="D740" s="20"/>
    </row>
    <row r="741" ht="15.75" customHeight="1">
      <c r="A741" s="21"/>
      <c r="C741" s="22"/>
      <c r="D741" s="20"/>
    </row>
    <row r="742" ht="15.75" customHeight="1">
      <c r="A742" s="21"/>
      <c r="C742" s="22"/>
      <c r="D742" s="20"/>
    </row>
    <row r="743" ht="15.75" customHeight="1">
      <c r="A743" s="21"/>
      <c r="C743" s="22"/>
      <c r="D743" s="20"/>
    </row>
    <row r="744" ht="15.75" customHeight="1">
      <c r="A744" s="21"/>
      <c r="C744" s="22"/>
      <c r="D744" s="20"/>
    </row>
    <row r="745" ht="15.75" customHeight="1">
      <c r="A745" s="21"/>
      <c r="C745" s="22"/>
      <c r="D745" s="20"/>
    </row>
    <row r="746" ht="15.75" customHeight="1">
      <c r="A746" s="21"/>
      <c r="C746" s="22"/>
      <c r="D746" s="20"/>
    </row>
    <row r="747" ht="15.75" customHeight="1">
      <c r="A747" s="21"/>
      <c r="C747" s="22"/>
      <c r="D747" s="20"/>
    </row>
    <row r="748" ht="15.75" customHeight="1">
      <c r="A748" s="21"/>
      <c r="C748" s="22"/>
      <c r="D748" s="20"/>
    </row>
    <row r="749" ht="15.75" customHeight="1">
      <c r="A749" s="21"/>
      <c r="C749" s="22"/>
      <c r="D749" s="20"/>
    </row>
    <row r="750" ht="15.75" customHeight="1">
      <c r="A750" s="21"/>
      <c r="C750" s="22"/>
      <c r="D750" s="20"/>
    </row>
    <row r="751" ht="15.75" customHeight="1">
      <c r="A751" s="21"/>
      <c r="C751" s="22"/>
      <c r="D751" s="20"/>
    </row>
    <row r="752" ht="15.75" customHeight="1">
      <c r="A752" s="21"/>
      <c r="C752" s="22"/>
      <c r="D752" s="20"/>
    </row>
    <row r="753" ht="15.75" customHeight="1">
      <c r="A753" s="21"/>
      <c r="C753" s="22"/>
      <c r="D753" s="20"/>
    </row>
    <row r="754" ht="15.75" customHeight="1">
      <c r="A754" s="21"/>
      <c r="C754" s="22"/>
      <c r="D754" s="20"/>
    </row>
    <row r="755" ht="15.75" customHeight="1">
      <c r="A755" s="21"/>
      <c r="C755" s="22"/>
      <c r="D755" s="20"/>
    </row>
    <row r="756" ht="15.75" customHeight="1">
      <c r="A756" s="21"/>
      <c r="C756" s="22"/>
      <c r="D756" s="20"/>
    </row>
    <row r="757" ht="15.75" customHeight="1">
      <c r="A757" s="21"/>
      <c r="C757" s="22"/>
      <c r="D757" s="20"/>
    </row>
    <row r="758" ht="15.75" customHeight="1">
      <c r="A758" s="21"/>
      <c r="C758" s="22"/>
      <c r="D758" s="20"/>
    </row>
    <row r="759" ht="15.75" customHeight="1">
      <c r="A759" s="21"/>
      <c r="C759" s="22"/>
      <c r="D759" s="20"/>
    </row>
    <row r="760" ht="15.75" customHeight="1">
      <c r="A760" s="21"/>
      <c r="C760" s="22"/>
      <c r="D760" s="20"/>
    </row>
    <row r="761" ht="15.75" customHeight="1">
      <c r="A761" s="21"/>
      <c r="C761" s="22"/>
      <c r="D761" s="20"/>
    </row>
    <row r="762" ht="15.75" customHeight="1">
      <c r="A762" s="21"/>
      <c r="C762" s="22"/>
      <c r="D762" s="20"/>
    </row>
    <row r="763" ht="15.75" customHeight="1">
      <c r="A763" s="21"/>
      <c r="C763" s="22"/>
      <c r="D763" s="20"/>
    </row>
    <row r="764" ht="15.75" customHeight="1">
      <c r="A764" s="21"/>
      <c r="C764" s="22"/>
      <c r="D764" s="20"/>
    </row>
    <row r="765" ht="15.75" customHeight="1">
      <c r="A765" s="21"/>
      <c r="C765" s="22"/>
      <c r="D765" s="20"/>
    </row>
    <row r="766" ht="15.75" customHeight="1">
      <c r="A766" s="21"/>
      <c r="C766" s="22"/>
      <c r="D766" s="20"/>
    </row>
    <row r="767" ht="15.75" customHeight="1">
      <c r="A767" s="21"/>
      <c r="C767" s="22"/>
      <c r="D767" s="20"/>
    </row>
    <row r="768" ht="15.75" customHeight="1">
      <c r="A768" s="21"/>
      <c r="C768" s="22"/>
      <c r="D768" s="20"/>
    </row>
    <row r="769" ht="15.75" customHeight="1">
      <c r="A769" s="21"/>
      <c r="C769" s="22"/>
      <c r="D769" s="20"/>
    </row>
    <row r="770" ht="15.75" customHeight="1">
      <c r="A770" s="21"/>
      <c r="C770" s="22"/>
      <c r="D770" s="20"/>
    </row>
    <row r="771" ht="15.75" customHeight="1">
      <c r="A771" s="21"/>
      <c r="C771" s="22"/>
      <c r="D771" s="20"/>
    </row>
    <row r="772" ht="15.75" customHeight="1">
      <c r="A772" s="21"/>
      <c r="C772" s="22"/>
      <c r="D772" s="20"/>
    </row>
    <row r="773" ht="15.75" customHeight="1">
      <c r="A773" s="21"/>
      <c r="C773" s="22"/>
      <c r="D773" s="20"/>
    </row>
    <row r="774" ht="15.75" customHeight="1">
      <c r="A774" s="21"/>
      <c r="C774" s="22"/>
      <c r="D774" s="20"/>
    </row>
    <row r="775" ht="15.75" customHeight="1">
      <c r="A775" s="21"/>
      <c r="C775" s="22"/>
      <c r="D775" s="20"/>
    </row>
    <row r="776" ht="15.75" customHeight="1">
      <c r="A776" s="21"/>
      <c r="C776" s="22"/>
      <c r="D776" s="20"/>
    </row>
    <row r="777" ht="15.75" customHeight="1">
      <c r="A777" s="21"/>
      <c r="C777" s="22"/>
      <c r="D777" s="20"/>
    </row>
    <row r="778" ht="15.75" customHeight="1">
      <c r="A778" s="21"/>
      <c r="C778" s="22"/>
      <c r="D778" s="20"/>
    </row>
    <row r="779" ht="15.75" customHeight="1">
      <c r="A779" s="21"/>
      <c r="C779" s="22"/>
      <c r="D779" s="20"/>
    </row>
    <row r="780" ht="15.75" customHeight="1">
      <c r="A780" s="21"/>
      <c r="C780" s="22"/>
      <c r="D780" s="20"/>
    </row>
    <row r="781" ht="15.75" customHeight="1">
      <c r="A781" s="21"/>
      <c r="C781" s="22"/>
      <c r="D781" s="20"/>
    </row>
    <row r="782" ht="15.75" customHeight="1">
      <c r="A782" s="21"/>
      <c r="C782" s="22"/>
      <c r="D782" s="20"/>
    </row>
    <row r="783" ht="15.75" customHeight="1">
      <c r="A783" s="21"/>
      <c r="C783" s="22"/>
      <c r="D783" s="20"/>
    </row>
    <row r="784" ht="15.75" customHeight="1">
      <c r="A784" s="21"/>
      <c r="C784" s="22"/>
      <c r="D784" s="20"/>
    </row>
    <row r="785" ht="15.75" customHeight="1">
      <c r="A785" s="21"/>
      <c r="C785" s="22"/>
      <c r="D785" s="20"/>
    </row>
    <row r="786" ht="15.75" customHeight="1">
      <c r="A786" s="21"/>
      <c r="C786" s="22"/>
      <c r="D786" s="20"/>
    </row>
    <row r="787" ht="15.75" customHeight="1">
      <c r="A787" s="21"/>
      <c r="C787" s="22"/>
      <c r="D787" s="20"/>
    </row>
    <row r="788" ht="15.75" customHeight="1">
      <c r="A788" s="21"/>
      <c r="C788" s="22"/>
      <c r="D788" s="20"/>
    </row>
    <row r="789" ht="15.75" customHeight="1">
      <c r="A789" s="21"/>
      <c r="C789" s="22"/>
      <c r="D789" s="20"/>
    </row>
    <row r="790" ht="15.75" customHeight="1">
      <c r="A790" s="21"/>
      <c r="C790" s="22"/>
      <c r="D790" s="20"/>
    </row>
    <row r="791" ht="15.75" customHeight="1">
      <c r="A791" s="21"/>
      <c r="C791" s="22"/>
      <c r="D791" s="20"/>
    </row>
    <row r="792" ht="15.75" customHeight="1">
      <c r="A792" s="21"/>
      <c r="C792" s="22"/>
      <c r="D792" s="20"/>
    </row>
    <row r="793" ht="15.75" customHeight="1">
      <c r="A793" s="21"/>
      <c r="C793" s="22"/>
      <c r="D793" s="20"/>
    </row>
    <row r="794" ht="15.75" customHeight="1">
      <c r="A794" s="21"/>
      <c r="C794" s="22"/>
      <c r="D794" s="20"/>
    </row>
    <row r="795" ht="15.75" customHeight="1">
      <c r="A795" s="21"/>
      <c r="C795" s="22"/>
      <c r="D795" s="20"/>
    </row>
    <row r="796" ht="15.75" customHeight="1">
      <c r="A796" s="21"/>
      <c r="C796" s="22"/>
      <c r="D796" s="20"/>
    </row>
    <row r="797" ht="15.75" customHeight="1">
      <c r="A797" s="21"/>
      <c r="C797" s="22"/>
      <c r="D797" s="20"/>
    </row>
    <row r="798" ht="15.75" customHeight="1">
      <c r="A798" s="21"/>
      <c r="C798" s="22"/>
      <c r="D798" s="20"/>
    </row>
    <row r="799" ht="15.75" customHeight="1">
      <c r="A799" s="21"/>
      <c r="C799" s="22"/>
      <c r="D799" s="20"/>
    </row>
    <row r="800" ht="15.75" customHeight="1">
      <c r="A800" s="21"/>
      <c r="C800" s="22"/>
      <c r="D800" s="20"/>
    </row>
    <row r="801" ht="15.75" customHeight="1">
      <c r="A801" s="21"/>
      <c r="C801" s="22"/>
      <c r="D801" s="20"/>
    </row>
    <row r="802" ht="15.75" customHeight="1">
      <c r="A802" s="21"/>
      <c r="C802" s="22"/>
      <c r="D802" s="20"/>
    </row>
    <row r="803" ht="15.75" customHeight="1">
      <c r="A803" s="21"/>
      <c r="C803" s="22"/>
      <c r="D803" s="20"/>
    </row>
    <row r="804" ht="15.75" customHeight="1">
      <c r="A804" s="21"/>
      <c r="C804" s="22"/>
      <c r="D804" s="20"/>
    </row>
    <row r="805" ht="15.75" customHeight="1">
      <c r="A805" s="21"/>
      <c r="C805" s="22"/>
      <c r="D805" s="20"/>
    </row>
    <row r="806" ht="15.75" customHeight="1">
      <c r="A806" s="21"/>
      <c r="C806" s="22"/>
      <c r="D806" s="20"/>
    </row>
    <row r="807" ht="15.75" customHeight="1">
      <c r="A807" s="21"/>
      <c r="C807" s="22"/>
      <c r="D807" s="20"/>
    </row>
    <row r="808" ht="15.75" customHeight="1">
      <c r="A808" s="21"/>
      <c r="C808" s="22"/>
      <c r="D808" s="20"/>
    </row>
    <row r="809" ht="15.75" customHeight="1">
      <c r="A809" s="21"/>
      <c r="C809" s="22"/>
      <c r="D809" s="20"/>
    </row>
    <row r="810" ht="15.75" customHeight="1">
      <c r="A810" s="21"/>
      <c r="C810" s="22"/>
      <c r="D810" s="20"/>
    </row>
    <row r="811" ht="15.75" customHeight="1">
      <c r="A811" s="21"/>
      <c r="C811" s="22"/>
      <c r="D811" s="20"/>
    </row>
    <row r="812" ht="15.75" customHeight="1">
      <c r="A812" s="21"/>
      <c r="C812" s="22"/>
      <c r="D812" s="20"/>
    </row>
    <row r="813" ht="15.75" customHeight="1">
      <c r="A813" s="21"/>
      <c r="C813" s="22"/>
      <c r="D813" s="20"/>
    </row>
    <row r="814" ht="15.75" customHeight="1">
      <c r="A814" s="21"/>
      <c r="C814" s="22"/>
      <c r="D814" s="20"/>
    </row>
    <row r="815" ht="15.75" customHeight="1">
      <c r="A815" s="21"/>
      <c r="C815" s="22"/>
      <c r="D815" s="20"/>
    </row>
    <row r="816" ht="15.75" customHeight="1">
      <c r="A816" s="21"/>
      <c r="C816" s="22"/>
      <c r="D816" s="20"/>
    </row>
    <row r="817" ht="15.75" customHeight="1">
      <c r="A817" s="21"/>
      <c r="C817" s="22"/>
      <c r="D817" s="20"/>
    </row>
    <row r="818" ht="15.75" customHeight="1">
      <c r="A818" s="21"/>
      <c r="C818" s="22"/>
      <c r="D818" s="20"/>
    </row>
    <row r="819" ht="15.75" customHeight="1">
      <c r="A819" s="21"/>
      <c r="C819" s="22"/>
      <c r="D819" s="20"/>
    </row>
    <row r="820" ht="15.75" customHeight="1">
      <c r="A820" s="21"/>
      <c r="C820" s="22"/>
      <c r="D820" s="20"/>
    </row>
    <row r="821" ht="15.75" customHeight="1">
      <c r="A821" s="21"/>
      <c r="C821" s="22"/>
      <c r="D821" s="20"/>
    </row>
    <row r="822" ht="15.75" customHeight="1">
      <c r="A822" s="21"/>
      <c r="C822" s="22"/>
      <c r="D822" s="20"/>
    </row>
    <row r="823" ht="15.75" customHeight="1">
      <c r="A823" s="21"/>
      <c r="C823" s="22"/>
      <c r="D823" s="20"/>
    </row>
    <row r="824" ht="15.75" customHeight="1">
      <c r="A824" s="21"/>
      <c r="C824" s="22"/>
      <c r="D824" s="20"/>
    </row>
    <row r="825" ht="15.75" customHeight="1">
      <c r="A825" s="21"/>
      <c r="C825" s="22"/>
      <c r="D825" s="20"/>
    </row>
    <row r="826" ht="15.75" customHeight="1">
      <c r="A826" s="21"/>
      <c r="C826" s="22"/>
      <c r="D826" s="20"/>
    </row>
    <row r="827" ht="15.75" customHeight="1">
      <c r="A827" s="21"/>
      <c r="C827" s="22"/>
      <c r="D827" s="20"/>
    </row>
    <row r="828" ht="15.75" customHeight="1">
      <c r="A828" s="21"/>
      <c r="C828" s="22"/>
      <c r="D828" s="20"/>
    </row>
    <row r="829" ht="15.75" customHeight="1">
      <c r="A829" s="21"/>
      <c r="C829" s="22"/>
      <c r="D829" s="20"/>
    </row>
    <row r="830" ht="15.75" customHeight="1">
      <c r="A830" s="21"/>
      <c r="C830" s="22"/>
      <c r="D830" s="20"/>
    </row>
    <row r="831" ht="15.75" customHeight="1">
      <c r="A831" s="21"/>
      <c r="C831" s="22"/>
      <c r="D831" s="20"/>
    </row>
    <row r="832" ht="15.75" customHeight="1">
      <c r="A832" s="21"/>
      <c r="C832" s="22"/>
      <c r="D832" s="20"/>
    </row>
    <row r="833" ht="15.75" customHeight="1">
      <c r="A833" s="21"/>
      <c r="C833" s="22"/>
      <c r="D833" s="20"/>
    </row>
    <row r="834" ht="15.75" customHeight="1">
      <c r="A834" s="21"/>
      <c r="C834" s="22"/>
      <c r="D834" s="20"/>
    </row>
    <row r="835" ht="15.75" customHeight="1">
      <c r="A835" s="21"/>
      <c r="C835" s="22"/>
      <c r="D835" s="20"/>
    </row>
    <row r="836" ht="15.75" customHeight="1">
      <c r="A836" s="21"/>
      <c r="C836" s="22"/>
      <c r="D836" s="20"/>
    </row>
    <row r="837" ht="15.75" customHeight="1">
      <c r="A837" s="21"/>
      <c r="C837" s="22"/>
      <c r="D837" s="20"/>
    </row>
    <row r="838" ht="15.75" customHeight="1">
      <c r="A838" s="21"/>
      <c r="C838" s="22"/>
      <c r="D838" s="20"/>
    </row>
    <row r="839" ht="15.75" customHeight="1">
      <c r="A839" s="21"/>
      <c r="C839" s="22"/>
      <c r="D839" s="20"/>
    </row>
    <row r="840" ht="15.75" customHeight="1">
      <c r="A840" s="21"/>
      <c r="C840" s="22"/>
      <c r="D840" s="20"/>
    </row>
    <row r="841" ht="15.75" customHeight="1">
      <c r="A841" s="21"/>
      <c r="C841" s="22"/>
      <c r="D841" s="20"/>
    </row>
    <row r="842" ht="15.75" customHeight="1">
      <c r="A842" s="21"/>
      <c r="C842" s="22"/>
      <c r="D842" s="20"/>
    </row>
    <row r="843" ht="15.75" customHeight="1">
      <c r="A843" s="21"/>
      <c r="C843" s="22"/>
      <c r="D843" s="20"/>
    </row>
    <row r="844" ht="15.75" customHeight="1">
      <c r="A844" s="21"/>
      <c r="C844" s="22"/>
      <c r="D844" s="20"/>
    </row>
    <row r="845" ht="15.75" customHeight="1">
      <c r="A845" s="21"/>
      <c r="C845" s="22"/>
      <c r="D845" s="20"/>
    </row>
    <row r="846" ht="15.75" customHeight="1">
      <c r="A846" s="21"/>
      <c r="C846" s="22"/>
      <c r="D846" s="20"/>
    </row>
    <row r="847" ht="15.75" customHeight="1">
      <c r="A847" s="21"/>
      <c r="C847" s="22"/>
      <c r="D847" s="20"/>
    </row>
    <row r="848" ht="15.75" customHeight="1">
      <c r="A848" s="21"/>
      <c r="C848" s="22"/>
      <c r="D848" s="20"/>
    </row>
    <row r="849" ht="15.75" customHeight="1">
      <c r="A849" s="21"/>
      <c r="C849" s="22"/>
      <c r="D849" s="20"/>
    </row>
    <row r="850" ht="15.75" customHeight="1">
      <c r="A850" s="21"/>
      <c r="C850" s="22"/>
      <c r="D850" s="20"/>
    </row>
    <row r="851" ht="15.75" customHeight="1">
      <c r="A851" s="21"/>
      <c r="C851" s="22"/>
      <c r="D851" s="20"/>
    </row>
    <row r="852" ht="15.75" customHeight="1">
      <c r="A852" s="21"/>
      <c r="C852" s="22"/>
      <c r="D852" s="20"/>
    </row>
    <row r="853" ht="15.75" customHeight="1">
      <c r="A853" s="21"/>
      <c r="C853" s="22"/>
      <c r="D853" s="20"/>
    </row>
    <row r="854" ht="15.75" customHeight="1">
      <c r="A854" s="21"/>
      <c r="C854" s="22"/>
      <c r="D854" s="20"/>
    </row>
    <row r="855" ht="15.75" customHeight="1">
      <c r="A855" s="21"/>
      <c r="C855" s="22"/>
      <c r="D855" s="20"/>
    </row>
    <row r="856" ht="15.75" customHeight="1">
      <c r="A856" s="21"/>
      <c r="C856" s="22"/>
      <c r="D856" s="20"/>
    </row>
    <row r="857" ht="15.75" customHeight="1">
      <c r="A857" s="21"/>
      <c r="C857" s="22"/>
      <c r="D857" s="20"/>
    </row>
    <row r="858" ht="15.75" customHeight="1">
      <c r="A858" s="21"/>
      <c r="C858" s="22"/>
      <c r="D858" s="20"/>
    </row>
    <row r="859" ht="15.75" customHeight="1">
      <c r="A859" s="21"/>
      <c r="C859" s="22"/>
      <c r="D859" s="20"/>
    </row>
    <row r="860" ht="15.75" customHeight="1">
      <c r="A860" s="21"/>
      <c r="C860" s="22"/>
      <c r="D860" s="20"/>
    </row>
    <row r="861" ht="15.75" customHeight="1">
      <c r="A861" s="21"/>
      <c r="C861" s="22"/>
      <c r="D861" s="20"/>
    </row>
    <row r="862" ht="15.75" customHeight="1">
      <c r="A862" s="21"/>
      <c r="C862" s="22"/>
      <c r="D862" s="20"/>
    </row>
    <row r="863" ht="15.75" customHeight="1">
      <c r="A863" s="21"/>
      <c r="C863" s="22"/>
      <c r="D863" s="20"/>
    </row>
    <row r="864" ht="15.75" customHeight="1">
      <c r="A864" s="21"/>
      <c r="C864" s="22"/>
      <c r="D864" s="20"/>
    </row>
    <row r="865" ht="15.75" customHeight="1">
      <c r="A865" s="21"/>
      <c r="C865" s="22"/>
      <c r="D865" s="20"/>
    </row>
    <row r="866" ht="15.75" customHeight="1">
      <c r="A866" s="21"/>
      <c r="C866" s="22"/>
      <c r="D866" s="20"/>
    </row>
    <row r="867" ht="15.75" customHeight="1">
      <c r="A867" s="21"/>
      <c r="C867" s="22"/>
      <c r="D867" s="20"/>
    </row>
    <row r="868" ht="15.75" customHeight="1">
      <c r="A868" s="21"/>
      <c r="C868" s="22"/>
      <c r="D868" s="20"/>
    </row>
    <row r="869" ht="15.75" customHeight="1">
      <c r="A869" s="21"/>
      <c r="C869" s="22"/>
      <c r="D869" s="20"/>
    </row>
    <row r="870" ht="15.75" customHeight="1">
      <c r="A870" s="21"/>
      <c r="C870" s="22"/>
      <c r="D870" s="20"/>
    </row>
    <row r="871" ht="15.75" customHeight="1">
      <c r="A871" s="21"/>
      <c r="C871" s="22"/>
      <c r="D871" s="20"/>
    </row>
    <row r="872" ht="15.75" customHeight="1">
      <c r="A872" s="21"/>
      <c r="C872" s="22"/>
      <c r="D872" s="20"/>
    </row>
    <row r="873" ht="15.75" customHeight="1">
      <c r="A873" s="21"/>
      <c r="C873" s="22"/>
      <c r="D873" s="20"/>
    </row>
    <row r="874" ht="15.75" customHeight="1">
      <c r="A874" s="21"/>
      <c r="C874" s="22"/>
      <c r="D874" s="20"/>
    </row>
    <row r="875" ht="15.75" customHeight="1">
      <c r="A875" s="21"/>
      <c r="C875" s="22"/>
      <c r="D875" s="20"/>
    </row>
    <row r="876" ht="15.75" customHeight="1">
      <c r="A876" s="21"/>
      <c r="C876" s="22"/>
      <c r="D876" s="20"/>
    </row>
    <row r="877" ht="15.75" customHeight="1">
      <c r="A877" s="21"/>
      <c r="C877" s="22"/>
      <c r="D877" s="20"/>
    </row>
    <row r="878" ht="15.75" customHeight="1">
      <c r="A878" s="21"/>
      <c r="C878" s="22"/>
      <c r="D878" s="20"/>
    </row>
    <row r="879" ht="15.75" customHeight="1">
      <c r="A879" s="21"/>
      <c r="C879" s="22"/>
      <c r="D879" s="20"/>
    </row>
    <row r="880" ht="15.75" customHeight="1">
      <c r="A880" s="21"/>
      <c r="C880" s="22"/>
      <c r="D880" s="20"/>
    </row>
    <row r="881" ht="15.75" customHeight="1">
      <c r="A881" s="21"/>
      <c r="C881" s="22"/>
      <c r="D881" s="20"/>
    </row>
    <row r="882" ht="15.75" customHeight="1">
      <c r="A882" s="21"/>
      <c r="C882" s="22"/>
      <c r="D882" s="20"/>
    </row>
    <row r="883" ht="15.75" customHeight="1">
      <c r="A883" s="21"/>
      <c r="C883" s="22"/>
      <c r="D883" s="20"/>
    </row>
    <row r="884" ht="15.75" customHeight="1">
      <c r="A884" s="21"/>
      <c r="C884" s="22"/>
      <c r="D884" s="20"/>
    </row>
    <row r="885" ht="15.75" customHeight="1">
      <c r="A885" s="21"/>
      <c r="C885" s="22"/>
      <c r="D885" s="20"/>
    </row>
    <row r="886" ht="15.75" customHeight="1">
      <c r="A886" s="21"/>
      <c r="C886" s="22"/>
      <c r="D886" s="20"/>
    </row>
    <row r="887" ht="15.75" customHeight="1">
      <c r="A887" s="21"/>
      <c r="C887" s="22"/>
      <c r="D887" s="20"/>
    </row>
    <row r="888" ht="15.75" customHeight="1">
      <c r="A888" s="21"/>
      <c r="C888" s="22"/>
      <c r="D888" s="20"/>
    </row>
    <row r="889" ht="15.75" customHeight="1">
      <c r="A889" s="21"/>
      <c r="C889" s="22"/>
      <c r="D889" s="20"/>
    </row>
    <row r="890" ht="15.75" customHeight="1">
      <c r="A890" s="21"/>
      <c r="C890" s="22"/>
      <c r="D890" s="20"/>
    </row>
    <row r="891" ht="15.75" customHeight="1">
      <c r="A891" s="21"/>
      <c r="C891" s="22"/>
      <c r="D891" s="20"/>
    </row>
    <row r="892" ht="15.75" customHeight="1">
      <c r="A892" s="21"/>
      <c r="C892" s="22"/>
      <c r="D892" s="20"/>
    </row>
    <row r="893" ht="15.75" customHeight="1">
      <c r="A893" s="21"/>
      <c r="C893" s="22"/>
      <c r="D893" s="20"/>
    </row>
    <row r="894" ht="15.75" customHeight="1">
      <c r="A894" s="21"/>
      <c r="C894" s="22"/>
      <c r="D894" s="20"/>
    </row>
    <row r="895" ht="15.75" customHeight="1">
      <c r="A895" s="21"/>
      <c r="C895" s="22"/>
      <c r="D895" s="20"/>
    </row>
    <row r="896" ht="15.75" customHeight="1">
      <c r="A896" s="21"/>
      <c r="C896" s="22"/>
      <c r="D896" s="20"/>
    </row>
    <row r="897" ht="15.75" customHeight="1">
      <c r="A897" s="21"/>
      <c r="C897" s="22"/>
      <c r="D897" s="20"/>
    </row>
    <row r="898" ht="15.75" customHeight="1">
      <c r="A898" s="21"/>
      <c r="C898" s="22"/>
      <c r="D898" s="20"/>
    </row>
    <row r="899" ht="15.75" customHeight="1">
      <c r="A899" s="21"/>
      <c r="C899" s="22"/>
      <c r="D899" s="20"/>
    </row>
    <row r="900" ht="15.75" customHeight="1">
      <c r="A900" s="21"/>
      <c r="C900" s="22"/>
      <c r="D900" s="20"/>
    </row>
    <row r="901" ht="15.75" customHeight="1">
      <c r="A901" s="21"/>
      <c r="C901" s="22"/>
      <c r="D901" s="20"/>
    </row>
    <row r="902" ht="15.75" customHeight="1">
      <c r="A902" s="21"/>
      <c r="C902" s="22"/>
      <c r="D902" s="20"/>
    </row>
    <row r="903" ht="15.75" customHeight="1">
      <c r="A903" s="21"/>
      <c r="C903" s="22"/>
      <c r="D903" s="20"/>
    </row>
    <row r="904" ht="15.75" customHeight="1">
      <c r="A904" s="21"/>
      <c r="C904" s="22"/>
      <c r="D904" s="20"/>
    </row>
    <row r="905" ht="15.75" customHeight="1">
      <c r="A905" s="21"/>
      <c r="C905" s="22"/>
      <c r="D905" s="20"/>
    </row>
    <row r="906" ht="15.75" customHeight="1">
      <c r="A906" s="21"/>
      <c r="C906" s="22"/>
      <c r="D906" s="20"/>
    </row>
    <row r="907" ht="15.75" customHeight="1">
      <c r="A907" s="21"/>
      <c r="C907" s="22"/>
      <c r="D907" s="20"/>
    </row>
    <row r="908" ht="15.75" customHeight="1">
      <c r="A908" s="21"/>
      <c r="C908" s="22"/>
      <c r="D908" s="20"/>
    </row>
    <row r="909" ht="15.75" customHeight="1">
      <c r="A909" s="21"/>
      <c r="C909" s="22"/>
      <c r="D909" s="20"/>
    </row>
    <row r="910" ht="15.75" customHeight="1">
      <c r="A910" s="21"/>
      <c r="C910" s="22"/>
      <c r="D910" s="20"/>
    </row>
    <row r="911" ht="15.75" customHeight="1">
      <c r="A911" s="21"/>
      <c r="C911" s="22"/>
      <c r="D911" s="20"/>
    </row>
    <row r="912" ht="15.75" customHeight="1">
      <c r="A912" s="21"/>
      <c r="C912" s="22"/>
      <c r="D912" s="20"/>
    </row>
    <row r="913" ht="15.75" customHeight="1">
      <c r="A913" s="21"/>
      <c r="C913" s="22"/>
      <c r="D913" s="20"/>
    </row>
    <row r="914" ht="15.75" customHeight="1">
      <c r="A914" s="21"/>
      <c r="C914" s="22"/>
      <c r="D914" s="20"/>
    </row>
    <row r="915" ht="15.75" customHeight="1">
      <c r="A915" s="21"/>
      <c r="C915" s="22"/>
      <c r="D915" s="20"/>
    </row>
    <row r="916" ht="15.75" customHeight="1">
      <c r="A916" s="21"/>
      <c r="C916" s="22"/>
      <c r="D916" s="20"/>
    </row>
    <row r="917" ht="15.75" customHeight="1">
      <c r="A917" s="21"/>
      <c r="C917" s="22"/>
      <c r="D917" s="20"/>
    </row>
    <row r="918" ht="15.75" customHeight="1">
      <c r="A918" s="21"/>
      <c r="C918" s="22"/>
      <c r="D918" s="20"/>
    </row>
    <row r="919" ht="15.75" customHeight="1">
      <c r="A919" s="21"/>
      <c r="C919" s="22"/>
      <c r="D919" s="20"/>
    </row>
    <row r="920" ht="15.75" customHeight="1">
      <c r="A920" s="21"/>
      <c r="C920" s="22"/>
      <c r="D920" s="20"/>
    </row>
    <row r="921" ht="15.75" customHeight="1">
      <c r="A921" s="21"/>
      <c r="C921" s="22"/>
      <c r="D921" s="20"/>
    </row>
    <row r="922" ht="15.75" customHeight="1">
      <c r="A922" s="21"/>
      <c r="C922" s="22"/>
      <c r="D922" s="20"/>
    </row>
    <row r="923" ht="15.75" customHeight="1">
      <c r="A923" s="21"/>
      <c r="C923" s="22"/>
      <c r="D923" s="20"/>
    </row>
    <row r="924" ht="15.75" customHeight="1">
      <c r="A924" s="21"/>
      <c r="C924" s="22"/>
      <c r="D924" s="20"/>
    </row>
    <row r="925" ht="15.75" customHeight="1">
      <c r="A925" s="21"/>
      <c r="C925" s="22"/>
      <c r="D925" s="20"/>
    </row>
    <row r="926" ht="15.75" customHeight="1">
      <c r="A926" s="21"/>
      <c r="C926" s="22"/>
      <c r="D926" s="20"/>
    </row>
    <row r="927" ht="15.75" customHeight="1">
      <c r="A927" s="21"/>
      <c r="C927" s="22"/>
      <c r="D927" s="20"/>
    </row>
    <row r="928" ht="15.75" customHeight="1">
      <c r="A928" s="21"/>
      <c r="C928" s="22"/>
      <c r="D928" s="20"/>
    </row>
    <row r="929" ht="15.75" customHeight="1">
      <c r="A929" s="21"/>
      <c r="C929" s="22"/>
      <c r="D929" s="20"/>
    </row>
    <row r="930" ht="15.75" customHeight="1">
      <c r="A930" s="21"/>
      <c r="C930" s="22"/>
      <c r="D930" s="20"/>
    </row>
    <row r="931" ht="15.75" customHeight="1">
      <c r="A931" s="21"/>
      <c r="C931" s="22"/>
      <c r="D931" s="20"/>
    </row>
    <row r="932" ht="15.75" customHeight="1">
      <c r="A932" s="21"/>
      <c r="C932" s="22"/>
      <c r="D932" s="20"/>
    </row>
    <row r="933" ht="15.75" customHeight="1">
      <c r="A933" s="21"/>
      <c r="C933" s="22"/>
      <c r="D933" s="20"/>
    </row>
    <row r="934" ht="15.75" customHeight="1">
      <c r="A934" s="21"/>
      <c r="C934" s="22"/>
      <c r="D934" s="20"/>
    </row>
    <row r="935" ht="15.75" customHeight="1">
      <c r="A935" s="21"/>
      <c r="C935" s="22"/>
      <c r="D935" s="20"/>
    </row>
    <row r="936" ht="15.75" customHeight="1">
      <c r="A936" s="21"/>
      <c r="C936" s="22"/>
      <c r="D936" s="20"/>
    </row>
    <row r="937" ht="15.75" customHeight="1">
      <c r="A937" s="21"/>
      <c r="C937" s="22"/>
      <c r="D937" s="20"/>
    </row>
    <row r="938" ht="15.75" customHeight="1">
      <c r="A938" s="21"/>
      <c r="C938" s="22"/>
      <c r="D938" s="20"/>
    </row>
    <row r="939" ht="15.75" customHeight="1">
      <c r="A939" s="21"/>
      <c r="C939" s="22"/>
      <c r="D939" s="20"/>
    </row>
    <row r="940" ht="15.75" customHeight="1">
      <c r="A940" s="21"/>
      <c r="C940" s="22"/>
      <c r="D940" s="20"/>
    </row>
    <row r="941" ht="15.75" customHeight="1">
      <c r="A941" s="21"/>
      <c r="C941" s="22"/>
      <c r="D941" s="20"/>
    </row>
    <row r="942" ht="15.75" customHeight="1">
      <c r="A942" s="21"/>
      <c r="C942" s="22"/>
      <c r="D942" s="20"/>
    </row>
    <row r="943" ht="15.75" customHeight="1">
      <c r="A943" s="21"/>
      <c r="C943" s="22"/>
      <c r="D943" s="20"/>
    </row>
    <row r="944" ht="15.75" customHeight="1">
      <c r="A944" s="21"/>
      <c r="C944" s="22"/>
      <c r="D944" s="20"/>
    </row>
    <row r="945" ht="15.75" customHeight="1">
      <c r="A945" s="21"/>
      <c r="C945" s="22"/>
      <c r="D945" s="20"/>
    </row>
    <row r="946" ht="15.75" customHeight="1">
      <c r="A946" s="21"/>
      <c r="C946" s="22"/>
      <c r="D946" s="20"/>
    </row>
    <row r="947" ht="15.75" customHeight="1">
      <c r="A947" s="21"/>
      <c r="C947" s="22"/>
      <c r="D947" s="20"/>
    </row>
    <row r="948" ht="15.75" customHeight="1">
      <c r="A948" s="21"/>
      <c r="C948" s="22"/>
      <c r="D948" s="20"/>
    </row>
    <row r="949" ht="15.75" customHeight="1">
      <c r="A949" s="21"/>
      <c r="C949" s="22"/>
      <c r="D949" s="20"/>
    </row>
    <row r="950" ht="15.75" customHeight="1">
      <c r="A950" s="21"/>
      <c r="C950" s="22"/>
      <c r="D950" s="20"/>
    </row>
    <row r="951" ht="15.75" customHeight="1">
      <c r="A951" s="21"/>
      <c r="C951" s="22"/>
      <c r="D951" s="20"/>
    </row>
    <row r="952" ht="15.75" customHeight="1">
      <c r="A952" s="21"/>
      <c r="C952" s="22"/>
      <c r="D952" s="20"/>
    </row>
    <row r="953" ht="15.75" customHeight="1">
      <c r="A953" s="21"/>
      <c r="C953" s="22"/>
      <c r="D953" s="20"/>
    </row>
    <row r="954" ht="15.75" customHeight="1">
      <c r="A954" s="21"/>
      <c r="C954" s="22"/>
      <c r="D954" s="20"/>
    </row>
    <row r="955" ht="15.75" customHeight="1">
      <c r="A955" s="21"/>
      <c r="C955" s="22"/>
      <c r="D955" s="20"/>
    </row>
    <row r="956" ht="15.75" customHeight="1">
      <c r="A956" s="21"/>
      <c r="C956" s="22"/>
      <c r="D956" s="20"/>
    </row>
    <row r="957" ht="15.75" customHeight="1">
      <c r="A957" s="21"/>
      <c r="C957" s="22"/>
      <c r="D957" s="20"/>
    </row>
    <row r="958" ht="15.75" customHeight="1">
      <c r="A958" s="21"/>
      <c r="C958" s="22"/>
      <c r="D958" s="20"/>
    </row>
    <row r="959" ht="15.75" customHeight="1">
      <c r="A959" s="21"/>
      <c r="C959" s="22"/>
      <c r="D959" s="20"/>
    </row>
    <row r="960" ht="15.75" customHeight="1">
      <c r="A960" s="21"/>
      <c r="C960" s="22"/>
      <c r="D960" s="20"/>
    </row>
    <row r="961" ht="15.75" customHeight="1">
      <c r="A961" s="21"/>
      <c r="C961" s="22"/>
      <c r="D961" s="20"/>
    </row>
    <row r="962" ht="15.75" customHeight="1">
      <c r="A962" s="21"/>
      <c r="C962" s="22"/>
      <c r="D962" s="20"/>
    </row>
    <row r="963" ht="15.75" customHeight="1">
      <c r="A963" s="21"/>
      <c r="C963" s="22"/>
      <c r="D963" s="20"/>
    </row>
    <row r="964" ht="15.75" customHeight="1">
      <c r="A964" s="21"/>
      <c r="C964" s="22"/>
      <c r="D964" s="20"/>
    </row>
    <row r="965" ht="15.75" customHeight="1">
      <c r="A965" s="21"/>
      <c r="C965" s="22"/>
      <c r="D965" s="20"/>
    </row>
    <row r="966" ht="15.75" customHeight="1">
      <c r="A966" s="21"/>
      <c r="C966" s="22"/>
      <c r="D966" s="20"/>
    </row>
    <row r="967" ht="15.75" customHeight="1">
      <c r="A967" s="21"/>
      <c r="C967" s="22"/>
      <c r="D967" s="20"/>
    </row>
    <row r="968" ht="15.75" customHeight="1">
      <c r="A968" s="21"/>
      <c r="C968" s="22"/>
      <c r="D968" s="20"/>
    </row>
    <row r="969" ht="15.75" customHeight="1">
      <c r="A969" s="21"/>
      <c r="C969" s="22"/>
      <c r="D969" s="20"/>
    </row>
    <row r="970" ht="15.75" customHeight="1">
      <c r="A970" s="21"/>
      <c r="C970" s="22"/>
      <c r="D970" s="20"/>
    </row>
    <row r="971" ht="15.75" customHeight="1">
      <c r="A971" s="21"/>
      <c r="C971" s="22"/>
      <c r="D971" s="20"/>
    </row>
    <row r="972" ht="15.75" customHeight="1">
      <c r="A972" s="21"/>
      <c r="C972" s="22"/>
      <c r="D972" s="20"/>
    </row>
    <row r="973" ht="15.75" customHeight="1">
      <c r="A973" s="21"/>
      <c r="C973" s="22"/>
      <c r="D973" s="20"/>
    </row>
    <row r="974" ht="15.75" customHeight="1">
      <c r="A974" s="21"/>
      <c r="C974" s="22"/>
      <c r="D974" s="20"/>
    </row>
    <row r="975" ht="15.75" customHeight="1">
      <c r="A975" s="21"/>
      <c r="C975" s="22"/>
      <c r="D975" s="20"/>
    </row>
    <row r="976" ht="15.75" customHeight="1">
      <c r="A976" s="21"/>
      <c r="C976" s="22"/>
      <c r="D976" s="20"/>
    </row>
    <row r="977" ht="15.75" customHeight="1">
      <c r="A977" s="21"/>
      <c r="C977" s="22"/>
      <c r="D977" s="20"/>
    </row>
    <row r="978" ht="15.75" customHeight="1">
      <c r="A978" s="21"/>
      <c r="C978" s="22"/>
      <c r="D978" s="20"/>
    </row>
    <row r="979" ht="15.75" customHeight="1">
      <c r="A979" s="21"/>
      <c r="C979" s="22"/>
      <c r="D979" s="20"/>
    </row>
    <row r="980" ht="15.75" customHeight="1">
      <c r="A980" s="21"/>
      <c r="C980" s="22"/>
      <c r="D980" s="20"/>
    </row>
    <row r="981" ht="15.75" customHeight="1">
      <c r="A981" s="21"/>
      <c r="C981" s="22"/>
      <c r="D981" s="20"/>
    </row>
    <row r="982" ht="15.75" customHeight="1">
      <c r="A982" s="21"/>
      <c r="C982" s="22"/>
      <c r="D982" s="20"/>
    </row>
    <row r="983" ht="15.75" customHeight="1">
      <c r="A983" s="21"/>
      <c r="C983" s="22"/>
      <c r="D983" s="20"/>
    </row>
    <row r="984" ht="15.75" customHeight="1">
      <c r="A984" s="21"/>
      <c r="C984" s="22"/>
      <c r="D984" s="20"/>
    </row>
    <row r="985" ht="15.75" customHeight="1">
      <c r="A985" s="21"/>
      <c r="C985" s="22"/>
      <c r="D985" s="20"/>
    </row>
    <row r="986" ht="15.75" customHeight="1">
      <c r="A986" s="21"/>
      <c r="C986" s="22"/>
      <c r="D986" s="20"/>
    </row>
    <row r="987" ht="15.75" customHeight="1">
      <c r="A987" s="21"/>
      <c r="C987" s="22"/>
      <c r="D987" s="20"/>
    </row>
    <row r="988" ht="15.75" customHeight="1">
      <c r="A988" s="21"/>
      <c r="C988" s="22"/>
      <c r="D988" s="20"/>
    </row>
    <row r="989" ht="15.75" customHeight="1">
      <c r="A989" s="21"/>
      <c r="C989" s="22"/>
      <c r="D989" s="20"/>
    </row>
    <row r="990" ht="15.75" customHeight="1">
      <c r="A990" s="21"/>
      <c r="C990" s="22"/>
      <c r="D990" s="20"/>
    </row>
    <row r="991" ht="15.75" customHeight="1">
      <c r="A991" s="21"/>
      <c r="C991" s="22"/>
      <c r="D991" s="20"/>
    </row>
    <row r="992" ht="15.75" customHeight="1">
      <c r="A992" s="21"/>
      <c r="C992" s="22"/>
      <c r="D992" s="20"/>
    </row>
    <row r="993" ht="15.75" customHeight="1">
      <c r="A993" s="21"/>
      <c r="C993" s="22"/>
      <c r="D993" s="20"/>
    </row>
    <row r="994" ht="15.75" customHeight="1">
      <c r="A994" s="21"/>
      <c r="C994" s="22"/>
      <c r="D994" s="20"/>
    </row>
    <row r="995" ht="15.75" customHeight="1">
      <c r="A995" s="21"/>
      <c r="C995" s="22"/>
      <c r="D995" s="20"/>
    </row>
    <row r="996" ht="15.75" customHeight="1">
      <c r="A996" s="21"/>
      <c r="C996" s="22"/>
      <c r="D996" s="20"/>
    </row>
    <row r="997" ht="15.75" customHeight="1">
      <c r="A997" s="21"/>
      <c r="C997" s="22"/>
      <c r="D997" s="20"/>
    </row>
    <row r="998" ht="15.75" customHeight="1">
      <c r="A998" s="21"/>
      <c r="C998" s="22"/>
      <c r="D998" s="20"/>
    </row>
    <row r="999" ht="15.75" customHeight="1">
      <c r="A999" s="21"/>
      <c r="C999" s="22"/>
      <c r="D999" s="20"/>
    </row>
    <row r="1000" ht="15.75" customHeight="1">
      <c r="A1000" s="21"/>
      <c r="C1000" s="22"/>
      <c r="D1000" s="20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24" t="s">
        <v>0</v>
      </c>
      <c r="B1" s="9" t="s">
        <v>1</v>
      </c>
      <c r="C1" s="11" t="s">
        <v>357</v>
      </c>
      <c r="D1" s="11" t="s">
        <v>358</v>
      </c>
    </row>
    <row r="2" ht="15.75" customHeight="1">
      <c r="A2" s="8">
        <v>10101.0</v>
      </c>
      <c r="B2" s="9" t="s">
        <v>16</v>
      </c>
      <c r="C2" s="10"/>
      <c r="D2" s="10"/>
    </row>
    <row r="3" ht="15.75" customHeight="1">
      <c r="A3" s="8">
        <v>10102.0</v>
      </c>
      <c r="B3" s="9" t="s">
        <v>17</v>
      </c>
      <c r="C3" s="10"/>
      <c r="D3" s="10"/>
    </row>
    <row r="4" ht="15.75" customHeight="1">
      <c r="A4" s="8">
        <v>10103.0</v>
      </c>
      <c r="B4" s="9" t="s">
        <v>18</v>
      </c>
      <c r="C4" s="10"/>
      <c r="D4" s="10"/>
    </row>
    <row r="5" ht="15.75" customHeight="1">
      <c r="A5" s="8">
        <v>10201.0</v>
      </c>
      <c r="B5" s="9" t="s">
        <v>19</v>
      </c>
      <c r="C5" s="10"/>
      <c r="D5" s="10"/>
    </row>
    <row r="6" ht="15.75" customHeight="1">
      <c r="A6" s="8">
        <v>10202.0</v>
      </c>
      <c r="B6" s="9" t="s">
        <v>20</v>
      </c>
      <c r="C6" s="10"/>
      <c r="D6" s="10"/>
    </row>
    <row r="7" ht="15.75" customHeight="1">
      <c r="A7" s="8">
        <v>10301.0</v>
      </c>
      <c r="B7" s="9" t="s">
        <v>21</v>
      </c>
      <c r="C7" s="10"/>
      <c r="D7" s="10"/>
    </row>
    <row r="8" ht="15.75" customHeight="1">
      <c r="A8" s="8">
        <v>10302.0</v>
      </c>
      <c r="B8" s="9" t="s">
        <v>22</v>
      </c>
      <c r="C8" s="10"/>
      <c r="D8" s="10"/>
    </row>
    <row r="9" ht="15.75" customHeight="1">
      <c r="A9" s="8">
        <v>10303.0</v>
      </c>
      <c r="B9" s="9" t="s">
        <v>23</v>
      </c>
      <c r="C9" s="10"/>
      <c r="D9" s="10"/>
    </row>
    <row r="10" ht="15.75" customHeight="1">
      <c r="A10" s="8">
        <v>10304.0</v>
      </c>
      <c r="B10" s="9" t="s">
        <v>24</v>
      </c>
      <c r="C10" s="10"/>
      <c r="D10" s="10"/>
    </row>
    <row r="11" ht="15.75" customHeight="1">
      <c r="A11" s="8">
        <v>10401.0</v>
      </c>
      <c r="B11" s="9" t="s">
        <v>25</v>
      </c>
      <c r="C11" s="10"/>
      <c r="D11" s="10"/>
    </row>
    <row r="12" ht="15.75" customHeight="1">
      <c r="A12" s="8">
        <v>10402.0</v>
      </c>
      <c r="B12" s="9" t="s">
        <v>26</v>
      </c>
      <c r="C12" s="10"/>
      <c r="D12" s="10"/>
    </row>
    <row r="13" ht="15.75" customHeight="1">
      <c r="A13" s="8">
        <v>10403.0</v>
      </c>
      <c r="B13" s="9" t="s">
        <v>27</v>
      </c>
      <c r="C13" s="10"/>
      <c r="D13" s="10"/>
    </row>
    <row r="14" ht="15.75" customHeight="1">
      <c r="A14" s="8">
        <v>10404.0</v>
      </c>
      <c r="B14" s="9" t="s">
        <v>28</v>
      </c>
      <c r="C14" s="10"/>
      <c r="D14" s="10"/>
    </row>
    <row r="15" ht="15.75" customHeight="1">
      <c r="A15" s="8">
        <v>10405.0</v>
      </c>
      <c r="B15" s="9" t="s">
        <v>29</v>
      </c>
      <c r="C15" s="10"/>
      <c r="D15" s="10"/>
    </row>
    <row r="16" ht="15.75" customHeight="1">
      <c r="A16" s="8">
        <v>10501.0</v>
      </c>
      <c r="B16" s="9" t="s">
        <v>30</v>
      </c>
      <c r="C16" s="10"/>
      <c r="D16" s="10"/>
    </row>
    <row r="17" ht="15.75" customHeight="1">
      <c r="A17" s="8">
        <v>10502.0</v>
      </c>
      <c r="B17" s="9" t="s">
        <v>31</v>
      </c>
      <c r="C17" s="10"/>
      <c r="D17" s="10"/>
    </row>
    <row r="18" ht="15.75" customHeight="1">
      <c r="A18" s="8">
        <v>10601.0</v>
      </c>
      <c r="B18" s="9" t="s">
        <v>32</v>
      </c>
      <c r="C18" s="10"/>
      <c r="D18" s="10"/>
    </row>
    <row r="19" ht="15.75" customHeight="1">
      <c r="A19" s="8">
        <v>10602.0</v>
      </c>
      <c r="B19" s="9" t="s">
        <v>33</v>
      </c>
      <c r="C19" s="10"/>
      <c r="D19" s="10"/>
    </row>
    <row r="20" ht="15.75" customHeight="1">
      <c r="A20" s="8">
        <v>10701.0</v>
      </c>
      <c r="B20" s="9" t="s">
        <v>34</v>
      </c>
      <c r="C20" s="10"/>
      <c r="D20" s="10"/>
    </row>
    <row r="21" ht="15.75" customHeight="1">
      <c r="A21" s="8">
        <v>10702.0</v>
      </c>
      <c r="B21" s="9" t="s">
        <v>35</v>
      </c>
      <c r="C21" s="10"/>
      <c r="D21" s="10"/>
    </row>
    <row r="22" ht="15.75" customHeight="1">
      <c r="A22" s="8">
        <v>10703.0</v>
      </c>
      <c r="B22" s="9" t="s">
        <v>36</v>
      </c>
      <c r="C22" s="10"/>
      <c r="D22" s="10"/>
    </row>
    <row r="23" ht="15.75" customHeight="1">
      <c r="A23" s="8">
        <v>10704.0</v>
      </c>
      <c r="B23" s="9" t="s">
        <v>37</v>
      </c>
      <c r="C23" s="10"/>
      <c r="D23" s="10"/>
    </row>
    <row r="24" ht="15.75" customHeight="1">
      <c r="A24" s="8">
        <v>10801.0</v>
      </c>
      <c r="B24" s="9" t="s">
        <v>38</v>
      </c>
      <c r="C24" s="10"/>
      <c r="D24" s="10"/>
    </row>
    <row r="25" ht="15.75" customHeight="1">
      <c r="A25" s="8">
        <v>10901.0</v>
      </c>
      <c r="B25" s="9" t="s">
        <v>39</v>
      </c>
      <c r="C25" s="10"/>
      <c r="D25" s="10"/>
    </row>
    <row r="26" ht="15.75" customHeight="1">
      <c r="A26" s="8">
        <v>10902.0</v>
      </c>
      <c r="B26" s="9" t="s">
        <v>40</v>
      </c>
      <c r="C26" s="10"/>
      <c r="D26" s="10"/>
    </row>
    <row r="27" ht="15.75" customHeight="1">
      <c r="A27" s="8">
        <v>10903.0</v>
      </c>
      <c r="B27" s="9" t="s">
        <v>41</v>
      </c>
      <c r="C27" s="10"/>
      <c r="D27" s="10"/>
    </row>
    <row r="28" ht="15.75" customHeight="1">
      <c r="A28" s="8">
        <v>11001.0</v>
      </c>
      <c r="B28" s="9" t="s">
        <v>42</v>
      </c>
      <c r="C28" s="10"/>
      <c r="D28" s="10"/>
    </row>
    <row r="29" ht="15.75" customHeight="1">
      <c r="A29" s="8">
        <v>11002.0</v>
      </c>
      <c r="B29" s="9" t="s">
        <v>43</v>
      </c>
      <c r="C29" s="10"/>
      <c r="D29" s="10"/>
    </row>
    <row r="30" ht="15.75" customHeight="1">
      <c r="A30" s="8">
        <v>11003.0</v>
      </c>
      <c r="B30" s="9" t="s">
        <v>44</v>
      </c>
      <c r="C30" s="10"/>
      <c r="D30" s="10"/>
    </row>
    <row r="31" ht="15.75" customHeight="1">
      <c r="A31" s="8">
        <v>20101.0</v>
      </c>
      <c r="B31" s="9" t="s">
        <v>45</v>
      </c>
      <c r="C31" s="10"/>
      <c r="D31" s="10"/>
    </row>
    <row r="32" ht="15.75" customHeight="1">
      <c r="A32" s="8">
        <v>20102.0</v>
      </c>
      <c r="B32" s="9" t="s">
        <v>46</v>
      </c>
      <c r="C32" s="10"/>
      <c r="D32" s="10"/>
    </row>
    <row r="33" ht="15.75" customHeight="1">
      <c r="A33" s="8">
        <v>20103.0</v>
      </c>
      <c r="B33" s="9" t="s">
        <v>47</v>
      </c>
      <c r="C33" s="10"/>
      <c r="D33" s="10"/>
    </row>
    <row r="34" ht="15.75" customHeight="1">
      <c r="A34" s="8">
        <v>20104.0</v>
      </c>
      <c r="B34" s="9" t="s">
        <v>48</v>
      </c>
      <c r="C34" s="10"/>
      <c r="D34" s="10"/>
    </row>
    <row r="35" ht="15.75" customHeight="1">
      <c r="A35" s="8">
        <v>20105.0</v>
      </c>
      <c r="B35" s="9" t="s">
        <v>49</v>
      </c>
      <c r="C35" s="10"/>
      <c r="D35" s="10"/>
    </row>
    <row r="36" ht="15.75" customHeight="1">
      <c r="A36" s="8">
        <v>20201.0</v>
      </c>
      <c r="B36" s="9" t="s">
        <v>50</v>
      </c>
      <c r="C36" s="10"/>
      <c r="D36" s="10"/>
    </row>
    <row r="37" ht="15.75" customHeight="1">
      <c r="A37" s="8">
        <v>20202.0</v>
      </c>
      <c r="B37" s="9" t="s">
        <v>51</v>
      </c>
      <c r="C37" s="10"/>
      <c r="D37" s="10"/>
    </row>
    <row r="38" ht="15.75" customHeight="1">
      <c r="A38" s="8">
        <v>20203.0</v>
      </c>
      <c r="B38" s="9" t="s">
        <v>52</v>
      </c>
      <c r="C38" s="10"/>
      <c r="D38" s="10"/>
    </row>
    <row r="39" ht="15.75" customHeight="1">
      <c r="A39" s="8">
        <v>20204.0</v>
      </c>
      <c r="B39" s="9" t="s">
        <v>53</v>
      </c>
      <c r="C39" s="10"/>
      <c r="D39" s="10"/>
    </row>
    <row r="40" ht="15.75" customHeight="1">
      <c r="A40" s="8">
        <v>20205.0</v>
      </c>
      <c r="B40" s="9" t="s">
        <v>54</v>
      </c>
      <c r="C40" s="10"/>
      <c r="D40" s="10"/>
    </row>
    <row r="41" ht="15.75" customHeight="1">
      <c r="A41" s="8">
        <v>20206.0</v>
      </c>
      <c r="B41" s="9" t="s">
        <v>55</v>
      </c>
      <c r="C41" s="10"/>
      <c r="D41" s="10"/>
    </row>
    <row r="42" ht="15.75" customHeight="1">
      <c r="A42" s="8">
        <v>20301.0</v>
      </c>
      <c r="B42" s="9" t="s">
        <v>56</v>
      </c>
      <c r="C42" s="10"/>
      <c r="D42" s="10"/>
    </row>
    <row r="43" ht="15.75" customHeight="1">
      <c r="A43" s="8">
        <v>20302.0</v>
      </c>
      <c r="B43" s="9" t="s">
        <v>57</v>
      </c>
      <c r="C43" s="10"/>
      <c r="D43" s="10"/>
    </row>
    <row r="44" ht="15.75" customHeight="1">
      <c r="A44" s="8">
        <v>20303.0</v>
      </c>
      <c r="B44" s="9" t="s">
        <v>58</v>
      </c>
      <c r="C44" s="10"/>
      <c r="D44" s="10"/>
    </row>
    <row r="45" ht="15.75" customHeight="1">
      <c r="A45" s="8">
        <v>20304.0</v>
      </c>
      <c r="B45" s="9" t="s">
        <v>59</v>
      </c>
      <c r="C45" s="10"/>
      <c r="D45" s="10"/>
    </row>
    <row r="46" ht="15.75" customHeight="1">
      <c r="A46" s="8">
        <v>20305.0</v>
      </c>
      <c r="B46" s="9" t="s">
        <v>60</v>
      </c>
      <c r="C46" s="10"/>
      <c r="D46" s="10"/>
    </row>
    <row r="47" ht="15.75" customHeight="1">
      <c r="A47" s="8">
        <v>20306.0</v>
      </c>
      <c r="B47" s="9" t="s">
        <v>61</v>
      </c>
      <c r="C47" s="10"/>
      <c r="D47" s="10"/>
    </row>
    <row r="48" ht="15.75" customHeight="1">
      <c r="A48" s="8">
        <v>20307.0</v>
      </c>
      <c r="B48" s="9" t="s">
        <v>62</v>
      </c>
      <c r="C48" s="10"/>
      <c r="D48" s="10"/>
    </row>
    <row r="49" ht="15.75" customHeight="1">
      <c r="A49" s="8">
        <v>20308.0</v>
      </c>
      <c r="B49" s="9" t="s">
        <v>63</v>
      </c>
      <c r="C49" s="10"/>
      <c r="D49" s="10"/>
    </row>
    <row r="50" ht="15.75" customHeight="1">
      <c r="A50" s="8">
        <v>20401.0</v>
      </c>
      <c r="B50" s="9" t="s">
        <v>64</v>
      </c>
      <c r="C50" s="10"/>
      <c r="D50" s="10"/>
    </row>
    <row r="51" ht="15.75" customHeight="1">
      <c r="A51" s="8">
        <v>20402.0</v>
      </c>
      <c r="B51" s="9" t="s">
        <v>65</v>
      </c>
      <c r="C51" s="10"/>
      <c r="D51" s="10"/>
    </row>
    <row r="52" ht="15.75" customHeight="1">
      <c r="A52" s="8">
        <v>20403.0</v>
      </c>
      <c r="B52" s="9" t="s">
        <v>66</v>
      </c>
      <c r="C52" s="10"/>
      <c r="D52" s="10"/>
    </row>
    <row r="53" ht="15.75" customHeight="1">
      <c r="A53" s="8">
        <v>20404.0</v>
      </c>
      <c r="B53" s="9" t="s">
        <v>67</v>
      </c>
      <c r="C53" s="10"/>
      <c r="D53" s="10"/>
    </row>
    <row r="54" ht="15.75" customHeight="1">
      <c r="A54" s="8">
        <v>20405.0</v>
      </c>
      <c r="B54" s="9" t="s">
        <v>68</v>
      </c>
      <c r="C54" s="10"/>
      <c r="D54" s="10"/>
    </row>
    <row r="55" ht="15.75" customHeight="1">
      <c r="A55" s="8">
        <v>20501.0</v>
      </c>
      <c r="B55" s="9" t="s">
        <v>69</v>
      </c>
      <c r="C55" s="10"/>
      <c r="D55" s="10"/>
    </row>
    <row r="56" ht="15.75" customHeight="1">
      <c r="A56" s="8">
        <v>20502.0</v>
      </c>
      <c r="B56" s="9" t="s">
        <v>70</v>
      </c>
      <c r="C56" s="10"/>
      <c r="D56" s="10"/>
    </row>
    <row r="57" ht="15.75" customHeight="1">
      <c r="A57" s="8">
        <v>20503.0</v>
      </c>
      <c r="B57" s="9" t="s">
        <v>71</v>
      </c>
      <c r="C57" s="10"/>
      <c r="D57" s="10"/>
    </row>
    <row r="58" ht="15.75" customHeight="1">
      <c r="A58" s="8">
        <v>20601.0</v>
      </c>
      <c r="B58" s="9" t="s">
        <v>72</v>
      </c>
      <c r="C58" s="10"/>
      <c r="D58" s="10"/>
    </row>
    <row r="59" ht="15.75" customHeight="1">
      <c r="A59" s="8">
        <v>20602.0</v>
      </c>
      <c r="B59" s="9" t="s">
        <v>73</v>
      </c>
      <c r="C59" s="10"/>
      <c r="D59" s="10"/>
    </row>
    <row r="60" ht="15.75" customHeight="1">
      <c r="A60" s="8">
        <v>20603.0</v>
      </c>
      <c r="B60" s="9" t="s">
        <v>74</v>
      </c>
      <c r="C60" s="10"/>
      <c r="D60" s="10"/>
    </row>
    <row r="61" ht="15.75" customHeight="1">
      <c r="A61" s="8">
        <v>20604.0</v>
      </c>
      <c r="B61" s="9" t="s">
        <v>75</v>
      </c>
      <c r="C61" s="10"/>
      <c r="D61" s="10"/>
    </row>
    <row r="62" ht="15.75" customHeight="1">
      <c r="A62" s="8">
        <v>20605.0</v>
      </c>
      <c r="B62" s="9" t="s">
        <v>76</v>
      </c>
      <c r="C62" s="10"/>
      <c r="D62" s="10"/>
    </row>
    <row r="63" ht="15.75" customHeight="1">
      <c r="A63" s="8">
        <v>20606.0</v>
      </c>
      <c r="B63" s="9" t="s">
        <v>77</v>
      </c>
      <c r="C63" s="10"/>
      <c r="D63" s="10"/>
    </row>
    <row r="64" ht="15.75" customHeight="1">
      <c r="A64" s="8">
        <v>20607.0</v>
      </c>
      <c r="B64" s="9" t="s">
        <v>78</v>
      </c>
      <c r="C64" s="10"/>
      <c r="D64" s="10"/>
    </row>
    <row r="65" ht="15.75" customHeight="1">
      <c r="A65" s="8">
        <v>20608.0</v>
      </c>
      <c r="B65" s="9" t="s">
        <v>79</v>
      </c>
      <c r="C65" s="10"/>
      <c r="D65" s="10"/>
    </row>
    <row r="66" ht="15.75" customHeight="1">
      <c r="A66" s="8">
        <v>20701.0</v>
      </c>
      <c r="B66" s="9" t="s">
        <v>80</v>
      </c>
      <c r="C66" s="10"/>
      <c r="D66" s="10"/>
    </row>
    <row r="67" ht="15.75" customHeight="1">
      <c r="A67" s="8">
        <v>20702.0</v>
      </c>
      <c r="B67" s="9" t="s">
        <v>81</v>
      </c>
      <c r="C67" s="10"/>
      <c r="D67" s="10"/>
    </row>
    <row r="68" ht="15.75" customHeight="1">
      <c r="A68" s="8">
        <v>20801.0</v>
      </c>
      <c r="B68" s="9" t="s">
        <v>82</v>
      </c>
      <c r="C68" s="10"/>
      <c r="D68" s="10"/>
    </row>
    <row r="69" ht="15.75" customHeight="1">
      <c r="A69" s="8">
        <v>20802.0</v>
      </c>
      <c r="B69" s="9" t="s">
        <v>83</v>
      </c>
      <c r="C69" s="10"/>
      <c r="D69" s="10"/>
    </row>
    <row r="70" ht="15.75" customHeight="1">
      <c r="A70" s="8">
        <v>20803.0</v>
      </c>
      <c r="B70" s="9" t="s">
        <v>84</v>
      </c>
      <c r="C70" s="10"/>
      <c r="D70" s="10"/>
    </row>
    <row r="71" ht="15.75" customHeight="1">
      <c r="A71" s="8">
        <v>20804.0</v>
      </c>
      <c r="B71" s="9" t="s">
        <v>85</v>
      </c>
      <c r="C71" s="10"/>
      <c r="D71" s="10"/>
    </row>
    <row r="72" ht="15.75" customHeight="1">
      <c r="A72" s="8">
        <v>20805.0</v>
      </c>
      <c r="B72" s="9" t="s">
        <v>86</v>
      </c>
      <c r="C72" s="10"/>
      <c r="D72" s="10"/>
    </row>
    <row r="73" ht="15.75" customHeight="1">
      <c r="A73" s="8">
        <v>20806.0</v>
      </c>
      <c r="B73" s="9" t="s">
        <v>87</v>
      </c>
      <c r="C73" s="10"/>
      <c r="D73" s="10"/>
    </row>
    <row r="74" ht="15.75" customHeight="1">
      <c r="A74" s="8">
        <v>20807.0</v>
      </c>
      <c r="B74" s="9" t="s">
        <v>88</v>
      </c>
      <c r="C74" s="10"/>
      <c r="D74" s="10"/>
    </row>
    <row r="75" ht="15.75" customHeight="1">
      <c r="A75" s="8">
        <v>20901.0</v>
      </c>
      <c r="B75" s="9" t="s">
        <v>89</v>
      </c>
      <c r="C75" s="10"/>
      <c r="D75" s="10"/>
    </row>
    <row r="76" ht="15.75" customHeight="1">
      <c r="A76" s="8">
        <v>20902.0</v>
      </c>
      <c r="B76" s="9" t="s">
        <v>90</v>
      </c>
      <c r="C76" s="10"/>
      <c r="D76" s="10"/>
    </row>
    <row r="77" ht="15.75" customHeight="1">
      <c r="A77" s="8">
        <v>20903.0</v>
      </c>
      <c r="B77" s="9" t="s">
        <v>91</v>
      </c>
      <c r="C77" s="10"/>
      <c r="D77" s="10"/>
    </row>
    <row r="78" ht="15.75" customHeight="1">
      <c r="A78" s="8">
        <v>20904.0</v>
      </c>
      <c r="B78" s="9" t="s">
        <v>92</v>
      </c>
      <c r="C78" s="10"/>
      <c r="D78" s="10"/>
    </row>
    <row r="79" ht="15.75" customHeight="1">
      <c r="A79" s="8">
        <v>20905.0</v>
      </c>
      <c r="B79" s="9" t="s">
        <v>93</v>
      </c>
      <c r="C79" s="10"/>
      <c r="D79" s="10"/>
    </row>
    <row r="80" ht="15.75" customHeight="1">
      <c r="A80" s="8">
        <v>21001.0</v>
      </c>
      <c r="B80" s="9" t="s">
        <v>94</v>
      </c>
      <c r="C80" s="10"/>
      <c r="D80" s="10"/>
    </row>
    <row r="81" ht="15.75" customHeight="1">
      <c r="A81" s="8">
        <v>21002.0</v>
      </c>
      <c r="B81" s="9" t="s">
        <v>95</v>
      </c>
      <c r="C81" s="10"/>
      <c r="D81" s="10"/>
    </row>
    <row r="82" ht="15.75" customHeight="1">
      <c r="A82" s="8">
        <v>21003.0</v>
      </c>
      <c r="B82" s="9" t="s">
        <v>96</v>
      </c>
      <c r="C82" s="10"/>
      <c r="D82" s="10"/>
    </row>
    <row r="83" ht="15.75" customHeight="1">
      <c r="A83" s="8">
        <v>21004.0</v>
      </c>
      <c r="B83" s="9" t="s">
        <v>97</v>
      </c>
      <c r="C83" s="10"/>
      <c r="D83" s="10"/>
    </row>
    <row r="84" ht="15.75" customHeight="1">
      <c r="A84" s="8">
        <v>21005.0</v>
      </c>
      <c r="B84" s="9" t="s">
        <v>98</v>
      </c>
      <c r="C84" s="10"/>
      <c r="D84" s="10"/>
    </row>
    <row r="85" ht="15.75" customHeight="1">
      <c r="A85" s="8">
        <v>21006.0</v>
      </c>
      <c r="B85" s="9" t="s">
        <v>99</v>
      </c>
      <c r="C85" s="10"/>
      <c r="D85" s="10"/>
    </row>
    <row r="86" ht="15.75" customHeight="1">
      <c r="A86" s="8">
        <v>21101.0</v>
      </c>
      <c r="B86" s="9" t="s">
        <v>100</v>
      </c>
      <c r="C86" s="10"/>
      <c r="D86" s="10"/>
    </row>
    <row r="87" ht="15.75" customHeight="1">
      <c r="A87" s="8">
        <v>21102.0</v>
      </c>
      <c r="B87" s="9" t="s">
        <v>101</v>
      </c>
      <c r="C87" s="10"/>
      <c r="D87" s="10"/>
    </row>
    <row r="88" ht="15.75" customHeight="1">
      <c r="A88" s="8">
        <v>21103.0</v>
      </c>
      <c r="B88" s="9" t="s">
        <v>102</v>
      </c>
      <c r="C88" s="10"/>
      <c r="D88" s="10"/>
    </row>
    <row r="89" ht="15.75" customHeight="1">
      <c r="A89" s="8">
        <v>21104.0</v>
      </c>
      <c r="B89" s="9" t="s">
        <v>103</v>
      </c>
      <c r="C89" s="10"/>
      <c r="D89" s="10"/>
    </row>
    <row r="90" ht="15.75" customHeight="1">
      <c r="A90" s="8">
        <v>21105.0</v>
      </c>
      <c r="B90" s="9" t="s">
        <v>104</v>
      </c>
      <c r="C90" s="10"/>
      <c r="D90" s="10"/>
    </row>
    <row r="91" ht="15.75" customHeight="1">
      <c r="A91" s="8">
        <v>21201.0</v>
      </c>
      <c r="B91" s="9" t="s">
        <v>105</v>
      </c>
      <c r="C91" s="10"/>
      <c r="D91" s="10"/>
    </row>
    <row r="92" ht="15.75" customHeight="1">
      <c r="A92" s="8">
        <v>21202.0</v>
      </c>
      <c r="B92" s="9" t="s">
        <v>106</v>
      </c>
      <c r="C92" s="10"/>
      <c r="D92" s="10"/>
    </row>
    <row r="93" ht="15.75" customHeight="1">
      <c r="A93" s="8">
        <v>21203.0</v>
      </c>
      <c r="B93" s="9" t="s">
        <v>107</v>
      </c>
      <c r="C93" s="10"/>
      <c r="D93" s="10"/>
    </row>
    <row r="94" ht="15.75" customHeight="1">
      <c r="A94" s="8">
        <v>21204.0</v>
      </c>
      <c r="B94" s="9" t="s">
        <v>108</v>
      </c>
      <c r="C94" s="10"/>
      <c r="D94" s="10"/>
    </row>
    <row r="95" ht="15.75" customHeight="1">
      <c r="A95" s="8">
        <v>21301.0</v>
      </c>
      <c r="B95" s="9" t="s">
        <v>109</v>
      </c>
      <c r="C95" s="10"/>
      <c r="D95" s="10"/>
    </row>
    <row r="96" ht="15.75" customHeight="1">
      <c r="A96" s="8">
        <v>21302.0</v>
      </c>
      <c r="B96" s="9" t="s">
        <v>110</v>
      </c>
      <c r="C96" s="10"/>
      <c r="D96" s="10"/>
    </row>
    <row r="97" ht="15.75" customHeight="1">
      <c r="A97" s="8">
        <v>21303.0</v>
      </c>
      <c r="B97" s="9" t="s">
        <v>111</v>
      </c>
      <c r="C97" s="10"/>
      <c r="D97" s="10"/>
    </row>
    <row r="98" ht="15.75" customHeight="1">
      <c r="A98" s="8">
        <v>21304.0</v>
      </c>
      <c r="B98" s="9" t="s">
        <v>112</v>
      </c>
      <c r="C98" s="10"/>
      <c r="D98" s="10"/>
    </row>
    <row r="99" ht="15.75" customHeight="1">
      <c r="A99" s="8">
        <v>21305.0</v>
      </c>
      <c r="B99" s="9" t="s">
        <v>113</v>
      </c>
      <c r="C99" s="10"/>
      <c r="D99" s="10"/>
    </row>
    <row r="100" ht="15.75" customHeight="1">
      <c r="A100" s="8">
        <v>21306.0</v>
      </c>
      <c r="B100" s="9" t="s">
        <v>114</v>
      </c>
      <c r="C100" s="10"/>
      <c r="D100" s="10"/>
    </row>
    <row r="101" ht="15.75" customHeight="1">
      <c r="A101" s="8">
        <v>21307.0</v>
      </c>
      <c r="B101" s="9" t="s">
        <v>115</v>
      </c>
      <c r="C101" s="10"/>
      <c r="D101" s="10"/>
    </row>
    <row r="102" ht="15.75" customHeight="1">
      <c r="A102" s="8">
        <v>21401.0</v>
      </c>
      <c r="B102" s="9" t="s">
        <v>116</v>
      </c>
      <c r="C102" s="10"/>
      <c r="D102" s="10"/>
    </row>
    <row r="103" ht="15.75" customHeight="1">
      <c r="A103" s="8">
        <v>21402.0</v>
      </c>
      <c r="B103" s="9" t="s">
        <v>117</v>
      </c>
      <c r="C103" s="10"/>
      <c r="D103" s="10"/>
    </row>
    <row r="104" ht="15.75" customHeight="1">
      <c r="A104" s="8">
        <v>21501.0</v>
      </c>
      <c r="B104" s="9" t="s">
        <v>118</v>
      </c>
      <c r="C104" s="10"/>
      <c r="D104" s="10"/>
    </row>
    <row r="105" ht="15.75" customHeight="1">
      <c r="A105" s="8">
        <v>21502.0</v>
      </c>
      <c r="B105" s="9" t="s">
        <v>119</v>
      </c>
      <c r="C105" s="10"/>
      <c r="D105" s="10"/>
    </row>
    <row r="106" ht="15.75" customHeight="1">
      <c r="A106" s="8">
        <v>21601.0</v>
      </c>
      <c r="B106" s="9" t="s">
        <v>120</v>
      </c>
      <c r="C106" s="10"/>
      <c r="D106" s="10"/>
    </row>
    <row r="107" ht="15.75" customHeight="1">
      <c r="A107" s="8">
        <v>21602.0</v>
      </c>
      <c r="B107" s="9" t="s">
        <v>121</v>
      </c>
      <c r="C107" s="10"/>
      <c r="D107" s="10"/>
    </row>
    <row r="108" ht="15.75" customHeight="1">
      <c r="A108" s="8">
        <v>21701.0</v>
      </c>
      <c r="B108" s="9" t="s">
        <v>122</v>
      </c>
      <c r="C108" s="10"/>
      <c r="D108" s="10"/>
    </row>
    <row r="109" ht="15.75" customHeight="1">
      <c r="A109" s="8">
        <v>21702.0</v>
      </c>
      <c r="B109" s="9" t="s">
        <v>123</v>
      </c>
      <c r="C109" s="10"/>
      <c r="D109" s="10"/>
    </row>
    <row r="110" ht="15.75" customHeight="1">
      <c r="A110" s="8">
        <v>21703.0</v>
      </c>
      <c r="B110" s="9" t="s">
        <v>124</v>
      </c>
      <c r="C110" s="10"/>
      <c r="D110" s="10"/>
    </row>
    <row r="111" ht="15.75" customHeight="1">
      <c r="A111" s="8">
        <v>21801.0</v>
      </c>
      <c r="B111" s="9" t="s">
        <v>125</v>
      </c>
      <c r="C111" s="10"/>
      <c r="D111" s="10"/>
    </row>
    <row r="112" ht="15.75" customHeight="1">
      <c r="A112" s="8">
        <v>21802.0</v>
      </c>
      <c r="B112" s="9" t="s">
        <v>126</v>
      </c>
      <c r="C112" s="10"/>
      <c r="D112" s="10"/>
    </row>
    <row r="113" ht="15.75" customHeight="1">
      <c r="A113" s="8">
        <v>21803.0</v>
      </c>
      <c r="B113" s="9" t="s">
        <v>127</v>
      </c>
      <c r="C113" s="10"/>
      <c r="D113" s="10"/>
    </row>
    <row r="114" ht="15.75" customHeight="1">
      <c r="A114" s="8">
        <v>21901.0</v>
      </c>
      <c r="B114" s="9" t="s">
        <v>128</v>
      </c>
      <c r="C114" s="10"/>
      <c r="D114" s="10"/>
    </row>
    <row r="115" ht="15.75" customHeight="1">
      <c r="A115" s="8">
        <v>21902.0</v>
      </c>
      <c r="B115" s="9" t="s">
        <v>129</v>
      </c>
      <c r="C115" s="10"/>
      <c r="D115" s="10"/>
    </row>
    <row r="116" ht="15.75" customHeight="1">
      <c r="A116" s="8">
        <v>22001.0</v>
      </c>
      <c r="B116" s="9" t="s">
        <v>130</v>
      </c>
      <c r="C116" s="10"/>
      <c r="D116" s="10"/>
    </row>
    <row r="117" ht="15.75" customHeight="1">
      <c r="A117" s="8">
        <v>22002.0</v>
      </c>
      <c r="B117" s="9" t="s">
        <v>131</v>
      </c>
      <c r="C117" s="10"/>
      <c r="D117" s="10"/>
    </row>
    <row r="118" ht="15.75" customHeight="1">
      <c r="A118" s="8">
        <v>30101.0</v>
      </c>
      <c r="B118" s="9" t="s">
        <v>132</v>
      </c>
      <c r="C118" s="10"/>
      <c r="D118" s="10"/>
    </row>
    <row r="119" ht="15.75" customHeight="1">
      <c r="A119" s="8">
        <v>30201.0</v>
      </c>
      <c r="B119" s="9" t="s">
        <v>133</v>
      </c>
      <c r="C119" s="10"/>
      <c r="D119" s="10"/>
    </row>
    <row r="120" ht="15.75" customHeight="1">
      <c r="A120" s="8">
        <v>30202.0</v>
      </c>
      <c r="B120" s="9" t="s">
        <v>134</v>
      </c>
      <c r="C120" s="10"/>
      <c r="D120" s="10"/>
    </row>
    <row r="121" ht="15.75" customHeight="1">
      <c r="A121" s="8">
        <v>30203.0</v>
      </c>
      <c r="B121" s="9" t="s">
        <v>135</v>
      </c>
      <c r="C121" s="10"/>
      <c r="D121" s="10"/>
    </row>
    <row r="122" ht="15.75" customHeight="1">
      <c r="A122" s="8">
        <v>30301.0</v>
      </c>
      <c r="B122" s="9" t="s">
        <v>136</v>
      </c>
      <c r="C122" s="10"/>
      <c r="D122" s="10"/>
    </row>
    <row r="123" ht="15.75" customHeight="1">
      <c r="A123" s="8">
        <v>30302.0</v>
      </c>
      <c r="B123" s="9" t="s">
        <v>137</v>
      </c>
      <c r="C123" s="10"/>
      <c r="D123" s="10"/>
    </row>
    <row r="124" ht="15.75" customHeight="1">
      <c r="A124" s="8">
        <v>30303.0</v>
      </c>
      <c r="B124" s="9" t="s">
        <v>138</v>
      </c>
      <c r="C124" s="10"/>
      <c r="D124" s="10"/>
    </row>
    <row r="125" ht="15.75" customHeight="1">
      <c r="A125" s="8">
        <v>30401.0</v>
      </c>
      <c r="B125" s="9" t="s">
        <v>139</v>
      </c>
      <c r="C125" s="10"/>
      <c r="D125" s="10"/>
    </row>
    <row r="126" ht="15.75" customHeight="1">
      <c r="A126" s="8">
        <v>30402.0</v>
      </c>
      <c r="B126" s="9" t="s">
        <v>140</v>
      </c>
      <c r="C126" s="10"/>
      <c r="D126" s="10"/>
    </row>
    <row r="127" ht="15.75" customHeight="1">
      <c r="A127" s="8">
        <v>30403.0</v>
      </c>
      <c r="B127" s="9" t="s">
        <v>141</v>
      </c>
      <c r="C127" s="10"/>
      <c r="D127" s="10"/>
    </row>
    <row r="128" ht="15.75" customHeight="1">
      <c r="A128" s="8">
        <v>30404.0</v>
      </c>
      <c r="B128" s="9" t="s">
        <v>142</v>
      </c>
      <c r="C128" s="10"/>
      <c r="D128" s="10"/>
    </row>
    <row r="129" ht="15.75" customHeight="1">
      <c r="A129" s="8">
        <v>30501.0</v>
      </c>
      <c r="B129" s="9" t="s">
        <v>143</v>
      </c>
      <c r="C129" s="10"/>
      <c r="D129" s="10"/>
    </row>
    <row r="130" ht="15.75" customHeight="1">
      <c r="A130" s="8">
        <v>30502.0</v>
      </c>
      <c r="B130" s="9" t="s">
        <v>144</v>
      </c>
      <c r="C130" s="10"/>
      <c r="D130" s="10"/>
    </row>
    <row r="131" ht="15.75" customHeight="1">
      <c r="A131" s="8">
        <v>30601.0</v>
      </c>
      <c r="B131" s="9" t="s">
        <v>145</v>
      </c>
      <c r="C131" s="10"/>
      <c r="D131" s="10"/>
    </row>
    <row r="132" ht="15.75" customHeight="1">
      <c r="A132" s="8">
        <v>30602.0</v>
      </c>
      <c r="B132" s="9" t="s">
        <v>146</v>
      </c>
      <c r="C132" s="10"/>
      <c r="D132" s="10"/>
    </row>
    <row r="133" ht="15.75" customHeight="1">
      <c r="A133" s="8">
        <v>30701.0</v>
      </c>
      <c r="B133" s="9" t="s">
        <v>147</v>
      </c>
      <c r="C133" s="10"/>
      <c r="D133" s="10"/>
    </row>
    <row r="134" ht="15.75" customHeight="1">
      <c r="A134" s="8">
        <v>30702.0</v>
      </c>
      <c r="B134" s="9" t="s">
        <v>148</v>
      </c>
      <c r="C134" s="10"/>
      <c r="D134" s="10"/>
    </row>
    <row r="135" ht="15.75" customHeight="1">
      <c r="A135" s="8">
        <v>30703.0</v>
      </c>
      <c r="B135" s="9" t="s">
        <v>149</v>
      </c>
      <c r="C135" s="10"/>
      <c r="D135" s="10"/>
    </row>
    <row r="136" ht="15.75" customHeight="1">
      <c r="A136" s="8">
        <v>30801.0</v>
      </c>
      <c r="B136" s="9" t="s">
        <v>150</v>
      </c>
      <c r="C136" s="10"/>
      <c r="D136" s="10"/>
    </row>
    <row r="137" ht="15.75" customHeight="1">
      <c r="A137" s="8">
        <v>30802.0</v>
      </c>
      <c r="B137" s="9" t="s">
        <v>151</v>
      </c>
      <c r="C137" s="10"/>
      <c r="D137" s="10"/>
    </row>
    <row r="138" ht="15.75" customHeight="1">
      <c r="A138" s="8">
        <v>30803.0</v>
      </c>
      <c r="B138" s="9" t="s">
        <v>152</v>
      </c>
      <c r="C138" s="10"/>
      <c r="D138" s="10"/>
    </row>
    <row r="139" ht="15.75" customHeight="1">
      <c r="A139" s="8">
        <v>30901.0</v>
      </c>
      <c r="B139" s="9" t="s">
        <v>153</v>
      </c>
      <c r="C139" s="10"/>
      <c r="D139" s="10"/>
    </row>
    <row r="140" ht="15.75" customHeight="1">
      <c r="A140" s="8">
        <v>30902.0</v>
      </c>
      <c r="B140" s="9" t="s">
        <v>154</v>
      </c>
      <c r="C140" s="10"/>
      <c r="D140" s="10"/>
    </row>
    <row r="141" ht="15.75" customHeight="1">
      <c r="A141" s="8">
        <v>30903.0</v>
      </c>
      <c r="B141" s="9" t="s">
        <v>155</v>
      </c>
      <c r="C141" s="10"/>
      <c r="D141" s="10"/>
    </row>
    <row r="142" ht="15.75" customHeight="1">
      <c r="A142" s="8">
        <v>30904.0</v>
      </c>
      <c r="B142" s="9" t="s">
        <v>156</v>
      </c>
      <c r="C142" s="10"/>
      <c r="D142" s="10"/>
    </row>
    <row r="143" ht="15.75" customHeight="1">
      <c r="A143" s="8">
        <v>30905.0</v>
      </c>
      <c r="B143" s="9" t="s">
        <v>157</v>
      </c>
      <c r="C143" s="10"/>
      <c r="D143" s="10"/>
    </row>
    <row r="144" ht="15.75" customHeight="1">
      <c r="A144" s="8">
        <v>31001.0</v>
      </c>
      <c r="B144" s="9" t="s">
        <v>158</v>
      </c>
      <c r="C144" s="10"/>
      <c r="D144" s="10"/>
    </row>
    <row r="145" ht="15.75" customHeight="1">
      <c r="A145" s="8">
        <v>31002.0</v>
      </c>
      <c r="B145" s="9" t="s">
        <v>159</v>
      </c>
      <c r="C145" s="10"/>
      <c r="D145" s="10"/>
    </row>
    <row r="146" ht="15.75" customHeight="1">
      <c r="A146" s="8">
        <v>31003.0</v>
      </c>
      <c r="B146" s="9" t="s">
        <v>160</v>
      </c>
      <c r="C146" s="10"/>
      <c r="D146" s="10"/>
    </row>
    <row r="147" ht="15.75" customHeight="1">
      <c r="A147" s="8">
        <v>31101.0</v>
      </c>
      <c r="B147" s="9" t="s">
        <v>161</v>
      </c>
      <c r="C147" s="10"/>
      <c r="D147" s="10"/>
    </row>
    <row r="148" ht="15.75" customHeight="1">
      <c r="A148" s="8">
        <v>31201.0</v>
      </c>
      <c r="B148" s="9" t="s">
        <v>162</v>
      </c>
      <c r="C148" s="10"/>
      <c r="D148" s="10"/>
    </row>
    <row r="149" ht="15.75" customHeight="1">
      <c r="A149" s="8">
        <v>31202.0</v>
      </c>
      <c r="B149" s="9" t="s">
        <v>163</v>
      </c>
      <c r="C149" s="10"/>
      <c r="D149" s="10"/>
    </row>
    <row r="150" ht="15.75" customHeight="1">
      <c r="A150" s="8">
        <v>31203.0</v>
      </c>
      <c r="B150" s="9" t="s">
        <v>164</v>
      </c>
      <c r="C150" s="10"/>
      <c r="D150" s="10"/>
    </row>
    <row r="151" ht="15.75" customHeight="1">
      <c r="A151" s="8">
        <v>31204.0</v>
      </c>
      <c r="B151" s="9" t="s">
        <v>165</v>
      </c>
      <c r="C151" s="10"/>
      <c r="D151" s="10"/>
    </row>
    <row r="152" ht="15.75" customHeight="1">
      <c r="A152" s="8">
        <v>31205.0</v>
      </c>
      <c r="B152" s="9" t="s">
        <v>166</v>
      </c>
      <c r="C152" s="10"/>
      <c r="D152" s="10"/>
    </row>
    <row r="153" ht="15.75" customHeight="1">
      <c r="A153" s="8">
        <v>31206.0</v>
      </c>
      <c r="B153" s="9" t="s">
        <v>167</v>
      </c>
      <c r="C153" s="10"/>
      <c r="D153" s="10"/>
    </row>
    <row r="154" ht="15.75" customHeight="1">
      <c r="A154" s="8">
        <v>31301.0</v>
      </c>
      <c r="B154" s="9" t="s">
        <v>168</v>
      </c>
      <c r="C154" s="10"/>
      <c r="D154" s="10"/>
    </row>
    <row r="155" ht="15.75" customHeight="1">
      <c r="A155" s="8">
        <v>31302.0</v>
      </c>
      <c r="B155" s="9" t="s">
        <v>169</v>
      </c>
      <c r="C155" s="10"/>
      <c r="D155" s="10"/>
    </row>
    <row r="156" ht="15.75" customHeight="1">
      <c r="A156" s="8">
        <v>31303.0</v>
      </c>
      <c r="B156" s="9" t="s">
        <v>170</v>
      </c>
      <c r="C156" s="10"/>
      <c r="D156" s="10"/>
    </row>
    <row r="157" ht="15.75" customHeight="1">
      <c r="A157" s="8">
        <v>31304.0</v>
      </c>
      <c r="B157" s="9" t="s">
        <v>171</v>
      </c>
      <c r="C157" s="10"/>
      <c r="D157" s="10"/>
    </row>
    <row r="158" ht="15.75" customHeight="1">
      <c r="A158" s="8">
        <v>31401.0</v>
      </c>
      <c r="B158" s="9" t="s">
        <v>172</v>
      </c>
      <c r="C158" s="10"/>
      <c r="D158" s="10"/>
    </row>
    <row r="159" ht="15.75" customHeight="1">
      <c r="A159" s="8">
        <v>31402.0</v>
      </c>
      <c r="B159" s="9" t="s">
        <v>173</v>
      </c>
      <c r="C159" s="10"/>
      <c r="D159" s="10"/>
    </row>
    <row r="160" ht="15.75" customHeight="1">
      <c r="A160" s="8">
        <v>31403.0</v>
      </c>
      <c r="B160" s="9" t="s">
        <v>174</v>
      </c>
      <c r="C160" s="10"/>
      <c r="D160" s="10"/>
    </row>
    <row r="161" ht="15.75" customHeight="1">
      <c r="A161" s="8">
        <v>31404.0</v>
      </c>
      <c r="B161" s="9" t="s">
        <v>175</v>
      </c>
      <c r="C161" s="10"/>
      <c r="D161" s="10"/>
    </row>
    <row r="162" ht="15.75" customHeight="1">
      <c r="A162" s="8">
        <v>31405.0</v>
      </c>
      <c r="B162" s="9" t="s">
        <v>176</v>
      </c>
      <c r="C162" s="10"/>
      <c r="D162" s="10"/>
    </row>
    <row r="163" ht="15.75" customHeight="1">
      <c r="A163" s="8">
        <v>31501.0</v>
      </c>
      <c r="B163" s="9" t="s">
        <v>177</v>
      </c>
      <c r="C163" s="10"/>
      <c r="D163" s="10"/>
    </row>
    <row r="164" ht="15.75" customHeight="1">
      <c r="A164" s="8">
        <v>31601.0</v>
      </c>
      <c r="B164" s="9" t="s">
        <v>178</v>
      </c>
      <c r="C164" s="10"/>
      <c r="D164" s="10"/>
    </row>
    <row r="165" ht="15.75" customHeight="1">
      <c r="A165" s="8">
        <v>31602.0</v>
      </c>
      <c r="B165" s="9" t="s">
        <v>179</v>
      </c>
      <c r="C165" s="10"/>
      <c r="D165" s="10"/>
    </row>
    <row r="166" ht="15.75" customHeight="1">
      <c r="A166" s="8">
        <v>40101.0</v>
      </c>
      <c r="B166" s="9" t="s">
        <v>180</v>
      </c>
      <c r="C166" s="10"/>
      <c r="D166" s="10"/>
    </row>
    <row r="167" ht="15.75" customHeight="1">
      <c r="A167" s="8">
        <v>40102.0</v>
      </c>
      <c r="B167" s="9" t="s">
        <v>181</v>
      </c>
      <c r="C167" s="10"/>
      <c r="D167" s="10"/>
    </row>
    <row r="168" ht="15.75" customHeight="1">
      <c r="A168" s="8">
        <v>40103.0</v>
      </c>
      <c r="B168" s="9" t="s">
        <v>182</v>
      </c>
      <c r="C168" s="10"/>
      <c r="D168" s="10"/>
    </row>
    <row r="169" ht="15.75" customHeight="1">
      <c r="A169" s="8">
        <v>40104.0</v>
      </c>
      <c r="B169" s="9" t="s">
        <v>183</v>
      </c>
      <c r="C169" s="10"/>
      <c r="D169" s="10"/>
    </row>
    <row r="170" ht="15.75" customHeight="1">
      <c r="A170" s="8">
        <v>40201.0</v>
      </c>
      <c r="B170" s="9" t="s">
        <v>184</v>
      </c>
      <c r="C170" s="10"/>
      <c r="D170" s="10"/>
    </row>
    <row r="171" ht="15.75" customHeight="1">
      <c r="A171" s="8">
        <v>40202.0</v>
      </c>
      <c r="B171" s="9" t="s">
        <v>185</v>
      </c>
      <c r="C171" s="10"/>
      <c r="D171" s="10"/>
    </row>
    <row r="172" ht="15.75" customHeight="1">
      <c r="A172" s="8">
        <v>40301.0</v>
      </c>
      <c r="B172" s="9" t="s">
        <v>186</v>
      </c>
      <c r="C172" s="10"/>
      <c r="D172" s="10"/>
    </row>
    <row r="173" ht="15.75" customHeight="1">
      <c r="A173" s="8">
        <v>40302.0</v>
      </c>
      <c r="B173" s="9" t="s">
        <v>187</v>
      </c>
      <c r="C173" s="10"/>
      <c r="D173" s="10"/>
    </row>
    <row r="174" ht="15.75" customHeight="1">
      <c r="A174" s="8">
        <v>40401.0</v>
      </c>
      <c r="B174" s="9" t="s">
        <v>188</v>
      </c>
      <c r="C174" s="10"/>
      <c r="D174" s="10"/>
    </row>
    <row r="175" ht="15.75" customHeight="1">
      <c r="A175" s="8">
        <v>40402.0</v>
      </c>
      <c r="B175" s="9" t="s">
        <v>189</v>
      </c>
      <c r="C175" s="10"/>
      <c r="D175" s="10"/>
    </row>
    <row r="176" ht="15.75" customHeight="1">
      <c r="A176" s="8">
        <v>40501.0</v>
      </c>
      <c r="B176" s="9" t="s">
        <v>190</v>
      </c>
      <c r="C176" s="10"/>
      <c r="D176" s="10"/>
    </row>
    <row r="177" ht="15.75" customHeight="1">
      <c r="A177" s="8">
        <v>40502.0</v>
      </c>
      <c r="B177" s="9" t="s">
        <v>191</v>
      </c>
      <c r="C177" s="10"/>
      <c r="D177" s="10"/>
    </row>
    <row r="178" ht="15.75" customHeight="1">
      <c r="A178" s="8">
        <v>40503.0</v>
      </c>
      <c r="B178" s="9" t="s">
        <v>192</v>
      </c>
      <c r="C178" s="10"/>
      <c r="D178" s="10"/>
    </row>
    <row r="179" ht="15.75" customHeight="1">
      <c r="A179" s="8">
        <v>40504.0</v>
      </c>
      <c r="B179" s="9" t="s">
        <v>193</v>
      </c>
      <c r="C179" s="10"/>
      <c r="D179" s="10"/>
    </row>
    <row r="180" ht="15.75" customHeight="1">
      <c r="A180" s="8">
        <v>40505.0</v>
      </c>
      <c r="B180" s="9" t="s">
        <v>194</v>
      </c>
      <c r="C180" s="10"/>
      <c r="D180" s="10"/>
    </row>
    <row r="181" ht="15.75" customHeight="1">
      <c r="A181" s="8">
        <v>40601.0</v>
      </c>
      <c r="B181" s="9" t="s">
        <v>195</v>
      </c>
      <c r="C181" s="10"/>
      <c r="D181" s="10"/>
    </row>
    <row r="182" ht="15.75" customHeight="1">
      <c r="A182" s="8">
        <v>40602.0</v>
      </c>
      <c r="B182" s="9" t="s">
        <v>196</v>
      </c>
      <c r="C182" s="10"/>
      <c r="D182" s="10"/>
    </row>
    <row r="183" ht="15.75" customHeight="1">
      <c r="A183" s="8">
        <v>40603.0</v>
      </c>
      <c r="B183" s="9" t="s">
        <v>197</v>
      </c>
      <c r="C183" s="10"/>
      <c r="D183" s="10"/>
    </row>
    <row r="184" ht="15.75" customHeight="1">
      <c r="A184" s="8">
        <v>40701.0</v>
      </c>
      <c r="B184" s="9" t="s">
        <v>198</v>
      </c>
      <c r="C184" s="10"/>
      <c r="D184" s="10"/>
    </row>
    <row r="185" ht="15.75" customHeight="1">
      <c r="A185" s="8">
        <v>40702.0</v>
      </c>
      <c r="B185" s="9" t="s">
        <v>199</v>
      </c>
      <c r="C185" s="10"/>
      <c r="D185" s="10"/>
    </row>
    <row r="186" ht="15.75" customHeight="1">
      <c r="A186" s="8">
        <v>40801.0</v>
      </c>
      <c r="B186" s="9" t="s">
        <v>200</v>
      </c>
      <c r="C186" s="10"/>
      <c r="D186" s="10"/>
    </row>
    <row r="187" ht="15.75" customHeight="1">
      <c r="A187" s="8">
        <v>40802.0</v>
      </c>
      <c r="B187" s="9" t="s">
        <v>201</v>
      </c>
      <c r="C187" s="10"/>
      <c r="D187" s="10"/>
    </row>
    <row r="188" ht="15.75" customHeight="1">
      <c r="A188" s="8">
        <v>40901.0</v>
      </c>
      <c r="B188" s="9" t="s">
        <v>202</v>
      </c>
      <c r="C188" s="10"/>
      <c r="D188" s="10"/>
    </row>
    <row r="189" ht="15.75" customHeight="1">
      <c r="A189" s="8">
        <v>40902.0</v>
      </c>
      <c r="B189" s="9" t="s">
        <v>203</v>
      </c>
      <c r="C189" s="10"/>
      <c r="D189" s="10"/>
    </row>
    <row r="190" ht="15.75" customHeight="1">
      <c r="A190" s="8">
        <v>40903.0</v>
      </c>
      <c r="B190" s="9" t="s">
        <v>204</v>
      </c>
      <c r="C190" s="10"/>
      <c r="D190" s="10"/>
    </row>
    <row r="191" ht="15.75" customHeight="1">
      <c r="A191" s="8">
        <v>41001.0</v>
      </c>
      <c r="B191" s="9" t="s">
        <v>205</v>
      </c>
      <c r="C191" s="10"/>
      <c r="D191" s="10"/>
    </row>
    <row r="192" ht="15.75" customHeight="1">
      <c r="A192" s="8">
        <v>41101.0</v>
      </c>
      <c r="B192" s="9" t="s">
        <v>206</v>
      </c>
      <c r="C192" s="10"/>
      <c r="D192" s="10"/>
    </row>
    <row r="193" ht="15.75" customHeight="1">
      <c r="A193" s="8">
        <v>41201.0</v>
      </c>
      <c r="B193" s="9" t="s">
        <v>207</v>
      </c>
      <c r="C193" s="10"/>
      <c r="D193" s="10"/>
    </row>
    <row r="194" ht="15.75" customHeight="1">
      <c r="A194" s="8">
        <v>41202.0</v>
      </c>
      <c r="B194" s="9" t="s">
        <v>208</v>
      </c>
      <c r="C194" s="10"/>
      <c r="D194" s="10"/>
    </row>
    <row r="195" ht="15.75" customHeight="1">
      <c r="A195" s="8">
        <v>41301.0</v>
      </c>
      <c r="B195" s="9" t="s">
        <v>209</v>
      </c>
      <c r="C195" s="10"/>
      <c r="D195" s="10"/>
    </row>
    <row r="196" ht="15.75" customHeight="1">
      <c r="A196" s="8">
        <v>41401.0</v>
      </c>
      <c r="B196" s="9" t="s">
        <v>210</v>
      </c>
      <c r="C196" s="10"/>
      <c r="D196" s="10"/>
    </row>
    <row r="197" ht="15.75" customHeight="1">
      <c r="A197" s="8">
        <v>41501.0</v>
      </c>
      <c r="B197" s="9" t="s">
        <v>211</v>
      </c>
      <c r="C197" s="10"/>
      <c r="D197" s="10"/>
    </row>
    <row r="198" ht="15.75" customHeight="1">
      <c r="A198" s="8">
        <v>41502.0</v>
      </c>
      <c r="B198" s="9" t="s">
        <v>212</v>
      </c>
      <c r="C198" s="10"/>
      <c r="D198" s="10"/>
    </row>
    <row r="199" ht="15.75" customHeight="1">
      <c r="A199" s="8">
        <v>41503.0</v>
      </c>
      <c r="B199" s="9" t="s">
        <v>213</v>
      </c>
      <c r="C199" s="10"/>
      <c r="D199" s="10"/>
    </row>
    <row r="200" ht="15.75" customHeight="1">
      <c r="A200" s="8">
        <v>41601.0</v>
      </c>
      <c r="B200" s="9" t="s">
        <v>214</v>
      </c>
      <c r="C200" s="10"/>
      <c r="D200" s="10"/>
    </row>
    <row r="201" ht="15.75" customHeight="1">
      <c r="A201" s="8">
        <v>50101.0</v>
      </c>
      <c r="B201" s="9" t="s">
        <v>215</v>
      </c>
      <c r="C201" s="10"/>
      <c r="D201" s="10"/>
    </row>
    <row r="202" ht="15.75" customHeight="1">
      <c r="A202" s="8">
        <v>50102.0</v>
      </c>
      <c r="B202" s="9" t="s">
        <v>216</v>
      </c>
      <c r="C202" s="10"/>
      <c r="D202" s="10"/>
    </row>
    <row r="203" ht="15.75" customHeight="1">
      <c r="A203" s="8">
        <v>50103.0</v>
      </c>
      <c r="B203" s="9" t="s">
        <v>217</v>
      </c>
      <c r="C203" s="10"/>
      <c r="D203" s="10"/>
    </row>
    <row r="204" ht="15.75" customHeight="1">
      <c r="A204" s="8">
        <v>50104.0</v>
      </c>
      <c r="B204" s="9" t="s">
        <v>218</v>
      </c>
      <c r="C204" s="10"/>
      <c r="D204" s="10"/>
    </row>
    <row r="205" ht="15.75" customHeight="1">
      <c r="A205" s="8">
        <v>50201.0</v>
      </c>
      <c r="B205" s="9" t="s">
        <v>219</v>
      </c>
      <c r="C205" s="10"/>
      <c r="D205" s="10"/>
    </row>
    <row r="206" ht="15.75" customHeight="1">
      <c r="A206" s="8">
        <v>50202.0</v>
      </c>
      <c r="B206" s="9" t="s">
        <v>220</v>
      </c>
      <c r="C206" s="10"/>
      <c r="D206" s="10"/>
    </row>
    <row r="207" ht="15.75" customHeight="1">
      <c r="A207" s="8">
        <v>50203.0</v>
      </c>
      <c r="B207" s="9" t="s">
        <v>221</v>
      </c>
      <c r="C207" s="10"/>
      <c r="D207" s="10"/>
    </row>
    <row r="208" ht="15.75" customHeight="1">
      <c r="A208" s="8">
        <v>50204.0</v>
      </c>
      <c r="B208" s="9" t="s">
        <v>222</v>
      </c>
      <c r="C208" s="10"/>
      <c r="D208" s="10"/>
    </row>
    <row r="209" ht="15.75" customHeight="1">
      <c r="A209" s="8">
        <v>50301.0</v>
      </c>
      <c r="B209" s="9" t="s">
        <v>223</v>
      </c>
      <c r="C209" s="10"/>
      <c r="D209" s="10"/>
    </row>
    <row r="210" ht="15.75" customHeight="1">
      <c r="A210" s="8">
        <v>50302.0</v>
      </c>
      <c r="B210" s="9" t="s">
        <v>224</v>
      </c>
      <c r="C210" s="10"/>
      <c r="D210" s="10"/>
    </row>
    <row r="211" ht="15.75" customHeight="1">
      <c r="A211" s="8">
        <v>50303.0</v>
      </c>
      <c r="B211" s="9" t="s">
        <v>225</v>
      </c>
      <c r="C211" s="10"/>
      <c r="D211" s="10"/>
    </row>
    <row r="212" ht="15.75" customHeight="1">
      <c r="A212" s="8">
        <v>50401.0</v>
      </c>
      <c r="B212" s="9" t="s">
        <v>226</v>
      </c>
      <c r="C212" s="10"/>
      <c r="D212" s="10"/>
    </row>
    <row r="213" ht="15.75" customHeight="1">
      <c r="A213" s="8">
        <v>50402.0</v>
      </c>
      <c r="B213" s="9" t="s">
        <v>227</v>
      </c>
      <c r="C213" s="10"/>
      <c r="D213" s="10"/>
    </row>
    <row r="214" ht="15.75" customHeight="1">
      <c r="A214" s="8">
        <v>50403.0</v>
      </c>
      <c r="B214" s="9" t="s">
        <v>228</v>
      </c>
      <c r="C214" s="10"/>
      <c r="D214" s="10"/>
    </row>
    <row r="215" ht="15.75" customHeight="1">
      <c r="A215" s="8">
        <v>50404.0</v>
      </c>
      <c r="B215" s="9" t="s">
        <v>229</v>
      </c>
      <c r="C215" s="10"/>
      <c r="D215" s="10"/>
    </row>
    <row r="216" ht="15.75" customHeight="1">
      <c r="A216" s="8">
        <v>50405.0</v>
      </c>
      <c r="B216" s="9" t="s">
        <v>230</v>
      </c>
      <c r="C216" s="10"/>
      <c r="D216" s="10"/>
    </row>
    <row r="217" ht="15.75" customHeight="1">
      <c r="A217" s="8">
        <v>50501.0</v>
      </c>
      <c r="B217" s="9" t="s">
        <v>231</v>
      </c>
      <c r="C217" s="10"/>
      <c r="D217" s="10"/>
    </row>
    <row r="218" ht="15.75" customHeight="1">
      <c r="A218" s="8">
        <v>50502.0</v>
      </c>
      <c r="B218" s="9" t="s">
        <v>232</v>
      </c>
      <c r="C218" s="10"/>
      <c r="D218" s="10"/>
    </row>
    <row r="219" ht="15.75" customHeight="1">
      <c r="A219" s="8">
        <v>50601.0</v>
      </c>
      <c r="B219" s="9" t="s">
        <v>233</v>
      </c>
      <c r="C219" s="10"/>
      <c r="D219" s="10"/>
    </row>
    <row r="220" ht="15.75" customHeight="1">
      <c r="A220" s="8">
        <v>50602.0</v>
      </c>
      <c r="B220" s="9" t="s">
        <v>234</v>
      </c>
      <c r="C220" s="10"/>
      <c r="D220" s="10"/>
    </row>
    <row r="221" ht="15.75" customHeight="1">
      <c r="A221" s="8">
        <v>50701.0</v>
      </c>
      <c r="B221" s="9" t="s">
        <v>235</v>
      </c>
      <c r="C221" s="10"/>
      <c r="D221" s="10"/>
    </row>
    <row r="222" ht="15.75" customHeight="1">
      <c r="A222" s="8">
        <v>50702.0</v>
      </c>
      <c r="B222" s="9" t="s">
        <v>236</v>
      </c>
      <c r="C222" s="10"/>
      <c r="D222" s="10"/>
    </row>
    <row r="223" ht="15.75" customHeight="1">
      <c r="A223" s="8">
        <v>50801.0</v>
      </c>
      <c r="B223" s="9" t="s">
        <v>237</v>
      </c>
      <c r="C223" s="10"/>
      <c r="D223" s="10"/>
    </row>
    <row r="224" ht="15.75" customHeight="1">
      <c r="A224" s="8">
        <v>50802.0</v>
      </c>
      <c r="B224" s="9" t="s">
        <v>238</v>
      </c>
      <c r="C224" s="10"/>
      <c r="D224" s="10"/>
    </row>
    <row r="225" ht="15.75" customHeight="1">
      <c r="A225" s="8">
        <v>50901.0</v>
      </c>
      <c r="B225" s="9" t="s">
        <v>239</v>
      </c>
      <c r="C225" s="10"/>
      <c r="D225" s="10"/>
    </row>
    <row r="226" ht="15.75" customHeight="1">
      <c r="A226" s="8">
        <v>50902.0</v>
      </c>
      <c r="B226" s="9" t="s">
        <v>240</v>
      </c>
      <c r="C226" s="10"/>
      <c r="D226" s="10"/>
    </row>
    <row r="227" ht="15.75" customHeight="1">
      <c r="A227" s="8">
        <v>51001.0</v>
      </c>
      <c r="B227" s="9" t="s">
        <v>241</v>
      </c>
      <c r="C227" s="10"/>
      <c r="D227" s="10"/>
    </row>
    <row r="228" ht="15.75" customHeight="1">
      <c r="A228" s="8">
        <v>51002.0</v>
      </c>
      <c r="B228" s="9" t="s">
        <v>242</v>
      </c>
      <c r="C228" s="10"/>
      <c r="D228" s="10"/>
    </row>
    <row r="229" ht="15.75" customHeight="1">
      <c r="A229" s="8">
        <v>51003.0</v>
      </c>
      <c r="B229" s="9" t="s">
        <v>243</v>
      </c>
      <c r="C229" s="10"/>
      <c r="D229" s="10"/>
    </row>
    <row r="230" ht="15.75" customHeight="1">
      <c r="A230" s="8">
        <v>51101.0</v>
      </c>
      <c r="B230" s="9" t="s">
        <v>244</v>
      </c>
      <c r="C230" s="10"/>
      <c r="D230" s="10"/>
    </row>
    <row r="231" ht="15.75" customHeight="1">
      <c r="A231" s="8">
        <v>51102.0</v>
      </c>
      <c r="B231" s="9" t="s">
        <v>245</v>
      </c>
      <c r="C231" s="10"/>
      <c r="D231" s="10"/>
    </row>
    <row r="232" ht="15.75" customHeight="1">
      <c r="A232" s="8">
        <v>51103.0</v>
      </c>
      <c r="B232" s="9" t="s">
        <v>246</v>
      </c>
      <c r="C232" s="10"/>
      <c r="D232" s="10"/>
    </row>
    <row r="233" ht="15.75" customHeight="1">
      <c r="A233" s="8">
        <v>51201.0</v>
      </c>
      <c r="B233" s="9" t="s">
        <v>247</v>
      </c>
      <c r="C233" s="10"/>
      <c r="D233" s="10"/>
    </row>
    <row r="234" ht="15.75" customHeight="1">
      <c r="A234" s="8">
        <v>51202.0</v>
      </c>
      <c r="B234" s="9" t="s">
        <v>248</v>
      </c>
      <c r="C234" s="10"/>
      <c r="D234" s="10"/>
    </row>
    <row r="235" ht="15.75" customHeight="1">
      <c r="A235" s="8">
        <v>51203.0</v>
      </c>
      <c r="B235" s="9" t="s">
        <v>249</v>
      </c>
      <c r="C235" s="10"/>
      <c r="D235" s="10"/>
    </row>
    <row r="236" ht="15.75" customHeight="1">
      <c r="A236" s="8">
        <v>51204.0</v>
      </c>
      <c r="B236" s="9" t="s">
        <v>250</v>
      </c>
      <c r="C236" s="10"/>
      <c r="D236" s="10"/>
    </row>
    <row r="237" ht="15.75" customHeight="1">
      <c r="A237" s="8">
        <v>51301.0</v>
      </c>
      <c r="B237" s="9" t="s">
        <v>251</v>
      </c>
      <c r="C237" s="10"/>
      <c r="D237" s="10"/>
    </row>
    <row r="238" ht="15.75" customHeight="1">
      <c r="A238" s="8">
        <v>51302.0</v>
      </c>
      <c r="B238" s="9" t="s">
        <v>252</v>
      </c>
      <c r="C238" s="10"/>
      <c r="D238" s="10"/>
    </row>
    <row r="239" ht="15.75" customHeight="1">
      <c r="A239" s="8">
        <v>51401.0</v>
      </c>
      <c r="B239" s="9" t="s">
        <v>253</v>
      </c>
      <c r="C239" s="10"/>
      <c r="D239" s="10"/>
    </row>
    <row r="240" ht="15.75" customHeight="1">
      <c r="A240" s="8">
        <v>51402.0</v>
      </c>
      <c r="B240" s="9" t="s">
        <v>254</v>
      </c>
      <c r="C240" s="10"/>
      <c r="D240" s="10"/>
    </row>
    <row r="241" ht="15.75" customHeight="1">
      <c r="A241" s="8">
        <v>51501.0</v>
      </c>
      <c r="B241" s="9" t="s">
        <v>255</v>
      </c>
      <c r="C241" s="10"/>
      <c r="D241" s="10"/>
    </row>
    <row r="242" ht="15.75" customHeight="1">
      <c r="A242" s="8">
        <v>51601.0</v>
      </c>
      <c r="B242" s="9" t="s">
        <v>256</v>
      </c>
      <c r="C242" s="10"/>
      <c r="D242" s="10"/>
    </row>
    <row r="243" ht="15.75" customHeight="1">
      <c r="A243" s="8">
        <v>60101.0</v>
      </c>
      <c r="B243" s="9" t="s">
        <v>257</v>
      </c>
      <c r="C243" s="10"/>
      <c r="D243" s="10"/>
    </row>
    <row r="244" ht="15.75" customHeight="1">
      <c r="A244" s="8">
        <v>60201.0</v>
      </c>
      <c r="B244" s="9" t="s">
        <v>258</v>
      </c>
      <c r="C244" s="10"/>
      <c r="D244" s="10"/>
    </row>
    <row r="245" ht="15.75" customHeight="1">
      <c r="A245" s="8">
        <v>60202.0</v>
      </c>
      <c r="B245" s="9" t="s">
        <v>259</v>
      </c>
      <c r="C245" s="10"/>
      <c r="D245" s="10"/>
    </row>
    <row r="246" ht="15.75" customHeight="1">
      <c r="A246" s="8">
        <v>60301.0</v>
      </c>
      <c r="B246" s="9" t="s">
        <v>260</v>
      </c>
      <c r="C246" s="10"/>
      <c r="D246" s="10"/>
    </row>
    <row r="247" ht="15.75" customHeight="1">
      <c r="A247" s="8">
        <v>60302.0</v>
      </c>
      <c r="B247" s="9" t="s">
        <v>261</v>
      </c>
      <c r="C247" s="10"/>
      <c r="D247" s="10"/>
    </row>
    <row r="248" ht="15.75" customHeight="1">
      <c r="A248" s="8">
        <v>60303.0</v>
      </c>
      <c r="B248" s="9" t="s">
        <v>262</v>
      </c>
      <c r="C248" s="10"/>
      <c r="D248" s="10"/>
    </row>
    <row r="249" ht="15.75" customHeight="1">
      <c r="A249" s="8">
        <v>60401.0</v>
      </c>
      <c r="B249" s="9" t="s">
        <v>263</v>
      </c>
      <c r="C249" s="10"/>
      <c r="D249" s="10"/>
    </row>
    <row r="250" ht="15.75" customHeight="1">
      <c r="A250" s="8">
        <v>60402.0</v>
      </c>
      <c r="B250" s="9" t="s">
        <v>264</v>
      </c>
      <c r="C250" s="10"/>
      <c r="D250" s="10"/>
    </row>
    <row r="251" ht="15.75" customHeight="1">
      <c r="A251" s="8">
        <v>60501.0</v>
      </c>
      <c r="B251" s="9" t="s">
        <v>265</v>
      </c>
      <c r="C251" s="10"/>
      <c r="D251" s="10"/>
    </row>
    <row r="252" ht="15.75" customHeight="1">
      <c r="A252" s="8">
        <v>60502.0</v>
      </c>
      <c r="B252" s="9" t="s">
        <v>266</v>
      </c>
      <c r="C252" s="10"/>
      <c r="D252" s="10"/>
    </row>
    <row r="253" ht="15.75" customHeight="1">
      <c r="A253" s="8">
        <v>60601.0</v>
      </c>
      <c r="B253" s="9" t="s">
        <v>167</v>
      </c>
      <c r="C253" s="10"/>
      <c r="D253" s="10"/>
    </row>
    <row r="254" ht="15.75" customHeight="1">
      <c r="A254" s="8">
        <v>70101.0</v>
      </c>
      <c r="B254" s="9" t="s">
        <v>267</v>
      </c>
      <c r="C254" s="10"/>
      <c r="D254" s="10"/>
    </row>
    <row r="255" ht="15.75" customHeight="1">
      <c r="A255" s="8">
        <v>70102.0</v>
      </c>
      <c r="B255" s="9" t="s">
        <v>268</v>
      </c>
      <c r="C255" s="10"/>
      <c r="D255" s="10"/>
    </row>
    <row r="256" ht="15.75" customHeight="1">
      <c r="A256" s="8">
        <v>70103.0</v>
      </c>
      <c r="B256" s="9" t="s">
        <v>269</v>
      </c>
      <c r="C256" s="10"/>
      <c r="D256" s="10"/>
    </row>
    <row r="257" ht="15.75" customHeight="1">
      <c r="A257" s="8">
        <v>70104.0</v>
      </c>
      <c r="B257" s="9" t="s">
        <v>270</v>
      </c>
      <c r="C257" s="10"/>
      <c r="D257" s="10"/>
    </row>
    <row r="258" ht="15.75" customHeight="1">
      <c r="A258" s="8">
        <v>70105.0</v>
      </c>
      <c r="B258" s="9" t="s">
        <v>271</v>
      </c>
      <c r="C258" s="10"/>
      <c r="D258" s="10"/>
    </row>
    <row r="259" ht="15.75" customHeight="1">
      <c r="A259" s="8">
        <v>70201.0</v>
      </c>
      <c r="B259" s="9" t="s">
        <v>272</v>
      </c>
      <c r="C259" s="10"/>
      <c r="D259" s="10"/>
    </row>
    <row r="260" ht="15.75" customHeight="1">
      <c r="A260" s="8">
        <v>70202.0</v>
      </c>
      <c r="B260" s="9" t="s">
        <v>273</v>
      </c>
      <c r="C260" s="10"/>
      <c r="D260" s="10"/>
    </row>
    <row r="261" ht="15.75" customHeight="1">
      <c r="A261" s="8">
        <v>70301.0</v>
      </c>
      <c r="B261" s="9" t="s">
        <v>274</v>
      </c>
      <c r="C261" s="10"/>
      <c r="D261" s="10"/>
    </row>
    <row r="262" ht="15.75" customHeight="1">
      <c r="A262" s="8">
        <v>70302.0</v>
      </c>
      <c r="B262" s="9" t="s">
        <v>275</v>
      </c>
      <c r="C262" s="10"/>
      <c r="D262" s="10"/>
    </row>
    <row r="263" ht="15.75" customHeight="1">
      <c r="A263" s="8">
        <v>70303.0</v>
      </c>
      <c r="B263" s="9" t="s">
        <v>276</v>
      </c>
      <c r="C263" s="10"/>
      <c r="D263" s="10"/>
    </row>
    <row r="264" ht="15.75" customHeight="1">
      <c r="A264" s="8">
        <v>70401.0</v>
      </c>
      <c r="B264" s="9" t="s">
        <v>277</v>
      </c>
      <c r="C264" s="10"/>
      <c r="D264" s="10"/>
    </row>
    <row r="265" ht="15.75" customHeight="1">
      <c r="A265" s="8">
        <v>70402.0</v>
      </c>
      <c r="B265" s="9" t="s">
        <v>278</v>
      </c>
      <c r="C265" s="10"/>
      <c r="D265" s="10"/>
    </row>
    <row r="266" ht="15.75" customHeight="1">
      <c r="A266" s="8">
        <v>70403.0</v>
      </c>
      <c r="B266" s="9" t="s">
        <v>279</v>
      </c>
      <c r="C266" s="10"/>
      <c r="D266" s="10"/>
    </row>
    <row r="267" ht="15.75" customHeight="1">
      <c r="A267" s="8">
        <v>70404.0</v>
      </c>
      <c r="B267" s="9" t="s">
        <v>280</v>
      </c>
      <c r="C267" s="10"/>
      <c r="D267" s="10"/>
    </row>
    <row r="268" ht="15.75" customHeight="1">
      <c r="A268" s="8">
        <v>70501.0</v>
      </c>
      <c r="B268" s="9" t="s">
        <v>281</v>
      </c>
      <c r="C268" s="10"/>
      <c r="D268" s="10"/>
    </row>
    <row r="269" ht="15.75" customHeight="1">
      <c r="A269" s="8">
        <v>70502.0</v>
      </c>
      <c r="B269" s="9" t="s">
        <v>282</v>
      </c>
      <c r="C269" s="10"/>
      <c r="D269" s="10"/>
    </row>
    <row r="270" ht="15.75" customHeight="1">
      <c r="A270" s="8">
        <v>70503.0</v>
      </c>
      <c r="B270" s="9" t="s">
        <v>283</v>
      </c>
      <c r="C270" s="10"/>
      <c r="D270" s="10"/>
    </row>
    <row r="271" ht="15.75" customHeight="1">
      <c r="A271" s="8">
        <v>70601.0</v>
      </c>
      <c r="B271" s="9" t="s">
        <v>284</v>
      </c>
      <c r="C271" s="10"/>
      <c r="D271" s="10"/>
    </row>
    <row r="272" ht="15.75" customHeight="1">
      <c r="A272" s="8">
        <v>70602.0</v>
      </c>
      <c r="B272" s="9" t="s">
        <v>285</v>
      </c>
      <c r="C272" s="10"/>
      <c r="D272" s="10"/>
    </row>
    <row r="273" ht="15.75" customHeight="1">
      <c r="A273" s="8">
        <v>70603.0</v>
      </c>
      <c r="B273" s="9" t="s">
        <v>286</v>
      </c>
      <c r="C273" s="10"/>
      <c r="D273" s="10"/>
    </row>
    <row r="274" ht="15.75" customHeight="1">
      <c r="A274" s="8">
        <v>70701.0</v>
      </c>
      <c r="B274" s="9" t="s">
        <v>287</v>
      </c>
      <c r="C274" s="10"/>
      <c r="D274" s="10"/>
    </row>
    <row r="275" ht="15.75" customHeight="1">
      <c r="A275" s="8">
        <v>70702.0</v>
      </c>
      <c r="B275" s="9" t="s">
        <v>288</v>
      </c>
      <c r="C275" s="10"/>
      <c r="D275" s="10"/>
    </row>
    <row r="276" ht="15.75" customHeight="1">
      <c r="A276" s="8">
        <v>70703.0</v>
      </c>
      <c r="B276" s="9" t="s">
        <v>289</v>
      </c>
      <c r="C276" s="10"/>
      <c r="D276" s="10"/>
    </row>
    <row r="277" ht="15.75" customHeight="1">
      <c r="A277" s="8">
        <v>70704.0</v>
      </c>
      <c r="B277" s="9" t="s">
        <v>290</v>
      </c>
      <c r="C277" s="10"/>
      <c r="D277" s="10"/>
    </row>
    <row r="278" ht="15.75" customHeight="1">
      <c r="A278" s="8">
        <v>70705.0</v>
      </c>
      <c r="B278" s="9" t="s">
        <v>291</v>
      </c>
      <c r="C278" s="10"/>
      <c r="D278" s="10"/>
    </row>
    <row r="279" ht="15.75" customHeight="1">
      <c r="A279" s="8">
        <v>70706.0</v>
      </c>
      <c r="B279" s="9" t="s">
        <v>292</v>
      </c>
      <c r="C279" s="10"/>
      <c r="D279" s="10"/>
    </row>
    <row r="280" ht="15.75" customHeight="1">
      <c r="A280" s="8">
        <v>70707.0</v>
      </c>
      <c r="B280" s="9" t="s">
        <v>293</v>
      </c>
      <c r="C280" s="10"/>
      <c r="D280" s="10"/>
    </row>
    <row r="281" ht="15.75" customHeight="1">
      <c r="A281" s="8">
        <v>70801.0</v>
      </c>
      <c r="B281" s="9" t="s">
        <v>294</v>
      </c>
      <c r="C281" s="10"/>
      <c r="D281" s="10"/>
    </row>
    <row r="282" ht="15.75" customHeight="1">
      <c r="A282" s="8">
        <v>70802.0</v>
      </c>
      <c r="B282" s="9" t="s">
        <v>295</v>
      </c>
      <c r="C282" s="10"/>
      <c r="D282" s="10"/>
    </row>
    <row r="283" ht="15.75" customHeight="1">
      <c r="A283" s="8">
        <v>70803.0</v>
      </c>
      <c r="B283" s="9" t="s">
        <v>296</v>
      </c>
      <c r="C283" s="10"/>
      <c r="D283" s="10"/>
    </row>
    <row r="284" ht="15.75" customHeight="1">
      <c r="A284" s="8">
        <v>70804.0</v>
      </c>
      <c r="B284" s="9" t="s">
        <v>297</v>
      </c>
      <c r="C284" s="10"/>
      <c r="D284" s="10"/>
    </row>
    <row r="285" ht="15.75" customHeight="1">
      <c r="A285" s="8">
        <v>70805.0</v>
      </c>
      <c r="B285" s="9" t="s">
        <v>298</v>
      </c>
      <c r="C285" s="10"/>
      <c r="D285" s="10"/>
    </row>
    <row r="286" ht="15.75" customHeight="1">
      <c r="A286" s="8">
        <v>70901.0</v>
      </c>
      <c r="B286" s="9" t="s">
        <v>299</v>
      </c>
      <c r="C286" s="10"/>
      <c r="D286" s="10"/>
    </row>
    <row r="287" ht="15.75" customHeight="1">
      <c r="A287" s="8">
        <v>70902.0</v>
      </c>
      <c r="B287" s="9" t="s">
        <v>300</v>
      </c>
      <c r="C287" s="10"/>
      <c r="D287" s="10"/>
    </row>
    <row r="288" ht="15.75" customHeight="1">
      <c r="A288" s="8">
        <v>70903.0</v>
      </c>
      <c r="B288" s="9" t="s">
        <v>301</v>
      </c>
      <c r="C288" s="10"/>
      <c r="D288" s="10"/>
    </row>
    <row r="289" ht="15.75" customHeight="1">
      <c r="A289" s="8">
        <v>70904.0</v>
      </c>
      <c r="B289" s="9" t="s">
        <v>302</v>
      </c>
      <c r="C289" s="10"/>
      <c r="D289" s="10"/>
    </row>
    <row r="290" ht="15.75" customHeight="1">
      <c r="A290" s="8">
        <v>71001.0</v>
      </c>
      <c r="B290" s="9" t="s">
        <v>303</v>
      </c>
      <c r="C290" s="10"/>
      <c r="D290" s="10"/>
    </row>
    <row r="291" ht="15.75" customHeight="1">
      <c r="A291" s="8">
        <v>71002.0</v>
      </c>
      <c r="B291" s="9" t="s">
        <v>304</v>
      </c>
      <c r="C291" s="10"/>
      <c r="D291" s="10"/>
    </row>
    <row r="292" ht="15.75" customHeight="1">
      <c r="A292" s="8">
        <v>71003.0</v>
      </c>
      <c r="B292" s="9" t="s">
        <v>305</v>
      </c>
      <c r="C292" s="10"/>
      <c r="D292" s="10"/>
    </row>
    <row r="293" ht="15.75" customHeight="1">
      <c r="A293" s="8">
        <v>71004.0</v>
      </c>
      <c r="B293" s="9" t="s">
        <v>306</v>
      </c>
      <c r="C293" s="10"/>
      <c r="D293" s="10"/>
    </row>
    <row r="294" ht="15.75" customHeight="1">
      <c r="A294" s="8">
        <v>71005.0</v>
      </c>
      <c r="B294" s="9" t="s">
        <v>307</v>
      </c>
      <c r="C294" s="10"/>
      <c r="D294" s="10"/>
    </row>
    <row r="295" ht="15.75" customHeight="1">
      <c r="A295" s="8">
        <v>71101.0</v>
      </c>
      <c r="B295" s="9" t="s">
        <v>308</v>
      </c>
      <c r="C295" s="10"/>
      <c r="D295" s="10"/>
    </row>
    <row r="296" ht="15.75" customHeight="1">
      <c r="A296" s="8">
        <v>71102.0</v>
      </c>
      <c r="B296" s="9" t="s">
        <v>309</v>
      </c>
      <c r="C296" s="10"/>
      <c r="D296" s="10"/>
    </row>
    <row r="297" ht="15.75" customHeight="1">
      <c r="A297" s="8">
        <v>71103.0</v>
      </c>
      <c r="B297" s="9" t="s">
        <v>310</v>
      </c>
      <c r="C297" s="10"/>
      <c r="D297" s="10"/>
    </row>
    <row r="298" ht="15.75" customHeight="1">
      <c r="A298" s="8">
        <v>71104.0</v>
      </c>
      <c r="B298" s="9" t="s">
        <v>311</v>
      </c>
      <c r="C298" s="10"/>
      <c r="D298" s="10"/>
    </row>
    <row r="299" ht="15.75" customHeight="1">
      <c r="A299" s="8">
        <v>71105.0</v>
      </c>
      <c r="B299" s="9" t="s">
        <v>312</v>
      </c>
      <c r="C299" s="10"/>
      <c r="D299" s="10"/>
    </row>
    <row r="300" ht="15.75" customHeight="1">
      <c r="A300" s="8">
        <v>71106.0</v>
      </c>
      <c r="B300" s="9" t="s">
        <v>313</v>
      </c>
      <c r="C300" s="10"/>
      <c r="D300" s="10"/>
    </row>
    <row r="301" ht="15.75" customHeight="1">
      <c r="A301" s="8">
        <v>71201.0</v>
      </c>
      <c r="B301" s="9" t="s">
        <v>314</v>
      </c>
      <c r="C301" s="10"/>
      <c r="D301" s="10"/>
    </row>
    <row r="302" ht="15.75" customHeight="1">
      <c r="A302" s="8">
        <v>71301.0</v>
      </c>
      <c r="B302" s="9" t="s">
        <v>315</v>
      </c>
      <c r="C302" s="10"/>
      <c r="D302" s="10"/>
    </row>
    <row r="303" ht="15.75" customHeight="1">
      <c r="A303" s="8">
        <v>71302.0</v>
      </c>
      <c r="B303" s="9" t="s">
        <v>316</v>
      </c>
      <c r="C303" s="10"/>
      <c r="D303" s="10"/>
    </row>
    <row r="304" ht="15.75" customHeight="1">
      <c r="A304" s="8">
        <v>71401.0</v>
      </c>
      <c r="B304" s="9" t="s">
        <v>317</v>
      </c>
      <c r="C304" s="10"/>
      <c r="D304" s="10"/>
    </row>
    <row r="305" ht="15.75" customHeight="1">
      <c r="A305" s="8">
        <v>71402.0</v>
      </c>
      <c r="B305" s="9" t="s">
        <v>318</v>
      </c>
      <c r="C305" s="10"/>
      <c r="D305" s="10"/>
    </row>
    <row r="306" ht="15.75" customHeight="1">
      <c r="A306" s="8">
        <v>71403.0</v>
      </c>
      <c r="B306" s="9" t="s">
        <v>319</v>
      </c>
      <c r="C306" s="10"/>
      <c r="D306" s="10"/>
    </row>
    <row r="307" ht="15.75" customHeight="1">
      <c r="A307" s="8">
        <v>71501.0</v>
      </c>
      <c r="B307" s="9" t="s">
        <v>320</v>
      </c>
      <c r="C307" s="10"/>
      <c r="D307" s="10"/>
    </row>
    <row r="308" ht="15.75" customHeight="1">
      <c r="A308" s="8">
        <v>71502.0</v>
      </c>
      <c r="B308" s="9" t="s">
        <v>321</v>
      </c>
      <c r="C308" s="10"/>
      <c r="D308" s="10"/>
    </row>
    <row r="309" ht="15.75" customHeight="1">
      <c r="A309" s="8">
        <v>71503.0</v>
      </c>
      <c r="B309" s="9" t="s">
        <v>266</v>
      </c>
      <c r="C309" s="10"/>
      <c r="D309" s="10"/>
    </row>
    <row r="310" ht="15.75" customHeight="1">
      <c r="A310" s="8">
        <v>80101.0</v>
      </c>
      <c r="B310" s="9" t="s">
        <v>322</v>
      </c>
      <c r="C310" s="10"/>
      <c r="D310" s="10"/>
    </row>
    <row r="311" ht="15.75" customHeight="1">
      <c r="A311" s="8">
        <v>80102.0</v>
      </c>
      <c r="B311" s="9" t="s">
        <v>309</v>
      </c>
      <c r="C311" s="10"/>
      <c r="D311" s="10"/>
    </row>
    <row r="312" ht="15.75" customHeight="1">
      <c r="A312" s="8">
        <v>80201.0</v>
      </c>
      <c r="B312" s="9" t="s">
        <v>323</v>
      </c>
      <c r="C312" s="10"/>
      <c r="D312" s="10"/>
    </row>
    <row r="313" ht="15.75" customHeight="1">
      <c r="A313" s="8">
        <v>80202.0</v>
      </c>
      <c r="B313" s="9" t="s">
        <v>324</v>
      </c>
      <c r="C313" s="10"/>
      <c r="D313" s="10"/>
    </row>
    <row r="314" ht="15.75" customHeight="1">
      <c r="A314" s="8">
        <v>80301.0</v>
      </c>
      <c r="B314" s="9" t="s">
        <v>325</v>
      </c>
      <c r="C314" s="10"/>
      <c r="D314" s="10"/>
    </row>
    <row r="315" ht="15.75" customHeight="1">
      <c r="A315" s="8">
        <v>80302.0</v>
      </c>
      <c r="B315" s="9" t="s">
        <v>326</v>
      </c>
      <c r="C315" s="10"/>
      <c r="D315" s="10"/>
    </row>
    <row r="316" ht="15.75" customHeight="1">
      <c r="A316" s="8">
        <v>80303.0</v>
      </c>
      <c r="B316" s="9" t="s">
        <v>327</v>
      </c>
      <c r="C316" s="10"/>
      <c r="D316" s="10"/>
    </row>
    <row r="317" ht="15.75" customHeight="1">
      <c r="A317" s="8">
        <v>80304.0</v>
      </c>
      <c r="B317" s="9" t="s">
        <v>328</v>
      </c>
      <c r="C317" s="10"/>
      <c r="D317" s="10"/>
    </row>
    <row r="318" ht="15.75" customHeight="1">
      <c r="A318" s="8">
        <v>80401.0</v>
      </c>
      <c r="B318" s="9" t="s">
        <v>329</v>
      </c>
      <c r="C318" s="10"/>
      <c r="D318" s="10"/>
    </row>
    <row r="319" ht="15.75" customHeight="1">
      <c r="A319" s="8">
        <v>80402.0</v>
      </c>
      <c r="B319" s="9" t="s">
        <v>330</v>
      </c>
      <c r="C319" s="10"/>
      <c r="D319" s="10"/>
    </row>
    <row r="320" ht="15.75" customHeight="1">
      <c r="A320" s="8">
        <v>80501.0</v>
      </c>
      <c r="B320" s="9" t="s">
        <v>331</v>
      </c>
      <c r="C320" s="10"/>
      <c r="D320" s="10"/>
    </row>
    <row r="321" ht="15.75" customHeight="1">
      <c r="A321" s="8">
        <v>80601.0</v>
      </c>
      <c r="B321" s="9" t="s">
        <v>332</v>
      </c>
      <c r="C321" s="10"/>
      <c r="D321" s="10"/>
    </row>
    <row r="322" ht="15.75" customHeight="1">
      <c r="A322" s="8">
        <v>80602.0</v>
      </c>
      <c r="B322" s="9" t="s">
        <v>333</v>
      </c>
      <c r="C322" s="10"/>
      <c r="D322" s="10"/>
    </row>
    <row r="323" ht="15.75" customHeight="1">
      <c r="A323" s="8">
        <v>80701.0</v>
      </c>
      <c r="B323" s="9" t="s">
        <v>334</v>
      </c>
      <c r="C323" s="10"/>
      <c r="D323" s="10"/>
    </row>
    <row r="324" ht="15.75" customHeight="1">
      <c r="A324" s="8">
        <v>80702.0</v>
      </c>
      <c r="B324" s="9" t="s">
        <v>310</v>
      </c>
      <c r="C324" s="10"/>
      <c r="D324" s="10"/>
    </row>
    <row r="325" ht="15.75" customHeight="1">
      <c r="A325" s="8">
        <v>80703.0</v>
      </c>
      <c r="B325" s="9" t="s">
        <v>335</v>
      </c>
      <c r="C325" s="10"/>
      <c r="D325" s="10"/>
    </row>
    <row r="326" ht="15.75" customHeight="1">
      <c r="A326" s="8">
        <v>80801.0</v>
      </c>
      <c r="B326" s="9" t="s">
        <v>336</v>
      </c>
      <c r="C326" s="10"/>
      <c r="D326" s="10"/>
    </row>
    <row r="327" ht="15.75" customHeight="1">
      <c r="A327" s="8">
        <v>80802.0</v>
      </c>
      <c r="B327" s="9" t="s">
        <v>337</v>
      </c>
      <c r="C327" s="10"/>
      <c r="D327" s="10"/>
    </row>
    <row r="328" ht="15.75" customHeight="1">
      <c r="A328" s="8">
        <v>80803.0</v>
      </c>
      <c r="B328" s="9" t="s">
        <v>338</v>
      </c>
      <c r="C328" s="10"/>
      <c r="D328" s="10"/>
    </row>
    <row r="329" ht="15.75" customHeight="1">
      <c r="A329" s="8">
        <v>80901.0</v>
      </c>
      <c r="B329" s="9" t="s">
        <v>339</v>
      </c>
      <c r="C329" s="10"/>
      <c r="D329" s="10"/>
    </row>
    <row r="330" ht="15.75" customHeight="1">
      <c r="A330" s="8">
        <v>90101.0</v>
      </c>
      <c r="B330" s="9" t="s">
        <v>340</v>
      </c>
      <c r="C330" s="10"/>
      <c r="D330" s="10"/>
    </row>
    <row r="331" ht="15.75" customHeight="1">
      <c r="A331" s="8">
        <v>90102.0</v>
      </c>
      <c r="B331" s="9" t="s">
        <v>341</v>
      </c>
      <c r="C331" s="10"/>
      <c r="D331" s="10"/>
    </row>
    <row r="332" ht="15.75" customHeight="1">
      <c r="A332" s="8">
        <v>90103.0</v>
      </c>
      <c r="B332" s="9" t="s">
        <v>342</v>
      </c>
      <c r="C332" s="10"/>
      <c r="D332" s="10"/>
    </row>
    <row r="333" ht="15.75" customHeight="1">
      <c r="A333" s="8">
        <v>90104.0</v>
      </c>
      <c r="B333" s="9" t="s">
        <v>343</v>
      </c>
      <c r="C333" s="10"/>
      <c r="D333" s="10"/>
    </row>
    <row r="334" ht="15.75" customHeight="1">
      <c r="A334" s="8">
        <v>90201.0</v>
      </c>
      <c r="B334" s="9" t="s">
        <v>344</v>
      </c>
      <c r="C334" s="10"/>
      <c r="D334" s="10"/>
    </row>
    <row r="335" ht="15.75" customHeight="1">
      <c r="A335" s="8">
        <v>90202.0</v>
      </c>
      <c r="B335" s="9" t="s">
        <v>307</v>
      </c>
      <c r="C335" s="10"/>
      <c r="D335" s="10"/>
    </row>
    <row r="336" ht="15.75" customHeight="1">
      <c r="A336" s="8">
        <v>90203.0</v>
      </c>
      <c r="B336" s="9" t="s">
        <v>345</v>
      </c>
      <c r="C336" s="10"/>
      <c r="D336" s="10"/>
    </row>
    <row r="337" ht="15.75" customHeight="1">
      <c r="A337" s="8">
        <v>90301.0</v>
      </c>
      <c r="B337" s="9" t="s">
        <v>346</v>
      </c>
      <c r="C337" s="10"/>
      <c r="D337" s="10"/>
    </row>
    <row r="338" ht="15.75" customHeight="1">
      <c r="A338" s="8">
        <v>90302.0</v>
      </c>
      <c r="B338" s="9" t="s">
        <v>347</v>
      </c>
      <c r="C338" s="10"/>
      <c r="D338" s="10"/>
    </row>
    <row r="339" ht="15.75" customHeight="1">
      <c r="A339" s="8">
        <v>90303.0</v>
      </c>
      <c r="B339" s="9" t="s">
        <v>348</v>
      </c>
      <c r="C339" s="10"/>
      <c r="D339" s="10"/>
    </row>
    <row r="340" ht="15.75" customHeight="1">
      <c r="A340" s="8">
        <v>90401.0</v>
      </c>
      <c r="B340" s="9" t="s">
        <v>349</v>
      </c>
      <c r="C340" s="10"/>
      <c r="D340" s="10"/>
    </row>
    <row r="341" ht="15.75" customHeight="1">
      <c r="A341" s="8">
        <v>90402.0</v>
      </c>
      <c r="B341" s="9" t="s">
        <v>350</v>
      </c>
      <c r="C341" s="10"/>
      <c r="D341" s="10"/>
    </row>
    <row r="342" ht="15.75" customHeight="1">
      <c r="A342" s="8">
        <v>90501.0</v>
      </c>
      <c r="B342" s="9" t="s">
        <v>351</v>
      </c>
      <c r="C342" s="10"/>
      <c r="D342" s="10"/>
    </row>
    <row r="343" ht="15.75" customHeight="1">
      <c r="A343" s="8">
        <v>90502.0</v>
      </c>
      <c r="B343" s="9" t="s">
        <v>352</v>
      </c>
      <c r="C343" s="10"/>
      <c r="D343" s="10"/>
    </row>
    <row r="344" ht="15.75" customHeight="1">
      <c r="A344" s="8">
        <v>90503.0</v>
      </c>
      <c r="B344" s="9" t="s">
        <v>353</v>
      </c>
      <c r="C344" s="10"/>
      <c r="D344" s="10"/>
    </row>
    <row r="345" ht="15.75" customHeight="1">
      <c r="A345" s="21"/>
      <c r="B345" s="27"/>
      <c r="C345" s="22"/>
      <c r="D345" s="22"/>
    </row>
    <row r="346" ht="15.75" customHeight="1">
      <c r="A346" s="21"/>
      <c r="B346" s="27"/>
      <c r="C346" s="22"/>
      <c r="D346" s="22"/>
    </row>
    <row r="347" ht="15.75" customHeight="1">
      <c r="A347" s="21"/>
      <c r="B347" s="27"/>
      <c r="C347" s="22"/>
      <c r="D347" s="22"/>
    </row>
    <row r="348" ht="15.75" customHeight="1">
      <c r="A348" s="21"/>
      <c r="B348" s="27"/>
      <c r="C348" s="22"/>
      <c r="D348" s="22"/>
    </row>
    <row r="349" ht="15.75" customHeight="1">
      <c r="A349" s="21"/>
      <c r="B349" s="27"/>
      <c r="C349" s="22"/>
      <c r="D349" s="22"/>
    </row>
    <row r="350" ht="15.75" customHeight="1">
      <c r="A350" s="21"/>
      <c r="B350" s="27"/>
      <c r="C350" s="22"/>
      <c r="D350" s="22"/>
    </row>
    <row r="351" ht="15.75" customHeight="1">
      <c r="A351" s="21"/>
      <c r="B351" s="27"/>
      <c r="C351" s="22"/>
      <c r="D351" s="22"/>
    </row>
    <row r="352" ht="15.75" customHeight="1">
      <c r="A352" s="21"/>
      <c r="B352" s="27"/>
      <c r="C352" s="22"/>
      <c r="D352" s="22"/>
    </row>
    <row r="353" ht="15.75" customHeight="1">
      <c r="A353" s="21"/>
      <c r="B353" s="27"/>
      <c r="C353" s="22"/>
      <c r="D353" s="22"/>
    </row>
    <row r="354" ht="15.75" customHeight="1">
      <c r="A354" s="21"/>
      <c r="B354" s="27"/>
      <c r="C354" s="22"/>
      <c r="D354" s="22"/>
    </row>
    <row r="355" ht="15.75" customHeight="1">
      <c r="A355" s="21"/>
      <c r="B355" s="27"/>
      <c r="C355" s="22"/>
      <c r="D355" s="22"/>
    </row>
    <row r="356" ht="15.75" customHeight="1">
      <c r="A356" s="21"/>
      <c r="B356" s="27"/>
      <c r="C356" s="22"/>
      <c r="D356" s="22"/>
    </row>
    <row r="357" ht="15.75" customHeight="1">
      <c r="A357" s="21"/>
      <c r="B357" s="27"/>
      <c r="C357" s="22"/>
      <c r="D357" s="22"/>
    </row>
    <row r="358" ht="15.75" customHeight="1">
      <c r="A358" s="21"/>
      <c r="B358" s="27"/>
      <c r="C358" s="22"/>
      <c r="D358" s="22"/>
    </row>
    <row r="359" ht="15.75" customHeight="1">
      <c r="A359" s="21"/>
      <c r="B359" s="27"/>
      <c r="C359" s="22"/>
      <c r="D359" s="22"/>
    </row>
    <row r="360" ht="15.75" customHeight="1">
      <c r="A360" s="21"/>
      <c r="B360" s="27"/>
      <c r="C360" s="22"/>
      <c r="D360" s="22"/>
    </row>
    <row r="361" ht="15.75" customHeight="1">
      <c r="A361" s="21"/>
      <c r="B361" s="27"/>
      <c r="C361" s="22"/>
      <c r="D361" s="22"/>
    </row>
    <row r="362" ht="15.75" customHeight="1">
      <c r="A362" s="21"/>
      <c r="B362" s="27"/>
      <c r="C362" s="22"/>
      <c r="D362" s="22"/>
    </row>
    <row r="363" ht="15.75" customHeight="1">
      <c r="A363" s="21"/>
      <c r="B363" s="27"/>
      <c r="C363" s="22"/>
      <c r="D363" s="22"/>
    </row>
    <row r="364" ht="15.75" customHeight="1">
      <c r="A364" s="21"/>
      <c r="B364" s="27"/>
      <c r="C364" s="22"/>
      <c r="D364" s="22"/>
    </row>
    <row r="365" ht="15.75" customHeight="1">
      <c r="A365" s="21"/>
      <c r="B365" s="27"/>
      <c r="C365" s="22"/>
      <c r="D365" s="22"/>
    </row>
    <row r="366" ht="15.75" customHeight="1">
      <c r="A366" s="21"/>
      <c r="B366" s="27"/>
      <c r="C366" s="22"/>
      <c r="D366" s="22"/>
    </row>
    <row r="367" ht="15.75" customHeight="1">
      <c r="A367" s="21"/>
      <c r="B367" s="27"/>
      <c r="C367" s="22"/>
      <c r="D367" s="22"/>
    </row>
    <row r="368" ht="15.75" customHeight="1">
      <c r="A368" s="21"/>
      <c r="B368" s="27"/>
      <c r="C368" s="22"/>
      <c r="D368" s="22"/>
    </row>
    <row r="369" ht="15.75" customHeight="1">
      <c r="A369" s="21"/>
      <c r="B369" s="27"/>
      <c r="C369" s="22"/>
      <c r="D369" s="22"/>
    </row>
    <row r="370" ht="15.75" customHeight="1">
      <c r="A370" s="21"/>
      <c r="B370" s="27"/>
      <c r="C370" s="22"/>
      <c r="D370" s="22"/>
    </row>
    <row r="371" ht="15.75" customHeight="1">
      <c r="A371" s="21"/>
      <c r="B371" s="27"/>
      <c r="C371" s="22"/>
      <c r="D371" s="22"/>
    </row>
    <row r="372" ht="15.75" customHeight="1">
      <c r="A372" s="21"/>
      <c r="B372" s="27"/>
      <c r="C372" s="22"/>
      <c r="D372" s="22"/>
    </row>
    <row r="373" ht="15.75" customHeight="1">
      <c r="A373" s="21"/>
      <c r="B373" s="27"/>
      <c r="C373" s="22"/>
      <c r="D373" s="22"/>
    </row>
    <row r="374" ht="15.75" customHeight="1">
      <c r="A374" s="21"/>
      <c r="B374" s="27"/>
      <c r="C374" s="22"/>
      <c r="D374" s="22"/>
    </row>
    <row r="375" ht="15.75" customHeight="1">
      <c r="A375" s="21"/>
      <c r="B375" s="27"/>
      <c r="C375" s="22"/>
      <c r="D375" s="22"/>
    </row>
    <row r="376" ht="15.75" customHeight="1">
      <c r="A376" s="21"/>
      <c r="B376" s="27"/>
      <c r="C376" s="22"/>
      <c r="D376" s="22"/>
    </row>
    <row r="377" ht="15.75" customHeight="1">
      <c r="A377" s="21"/>
      <c r="B377" s="27"/>
      <c r="C377" s="22"/>
      <c r="D377" s="22"/>
    </row>
    <row r="378" ht="15.75" customHeight="1">
      <c r="A378" s="21"/>
      <c r="B378" s="27"/>
      <c r="C378" s="22"/>
      <c r="D378" s="22"/>
    </row>
    <row r="379" ht="15.75" customHeight="1">
      <c r="A379" s="21"/>
      <c r="B379" s="27"/>
      <c r="C379" s="22"/>
      <c r="D379" s="22"/>
    </row>
    <row r="380" ht="15.75" customHeight="1">
      <c r="A380" s="21"/>
      <c r="B380" s="27"/>
      <c r="C380" s="22"/>
      <c r="D380" s="22"/>
    </row>
    <row r="381" ht="15.75" customHeight="1">
      <c r="A381" s="21"/>
      <c r="B381" s="27"/>
      <c r="C381" s="22"/>
      <c r="D381" s="22"/>
    </row>
    <row r="382" ht="15.75" customHeight="1">
      <c r="A382" s="21"/>
      <c r="B382" s="27"/>
      <c r="C382" s="22"/>
      <c r="D382" s="22"/>
    </row>
    <row r="383" ht="15.75" customHeight="1">
      <c r="A383" s="21"/>
      <c r="B383" s="27"/>
      <c r="C383" s="22"/>
      <c r="D383" s="22"/>
    </row>
    <row r="384" ht="15.75" customHeight="1">
      <c r="A384" s="21"/>
      <c r="B384" s="27"/>
      <c r="C384" s="22"/>
      <c r="D384" s="22"/>
    </row>
    <row r="385" ht="15.75" customHeight="1">
      <c r="A385" s="21"/>
      <c r="B385" s="27"/>
      <c r="C385" s="22"/>
      <c r="D385" s="22"/>
    </row>
    <row r="386" ht="15.75" customHeight="1">
      <c r="A386" s="21"/>
      <c r="B386" s="27"/>
      <c r="C386" s="22"/>
      <c r="D386" s="22"/>
    </row>
    <row r="387" ht="15.75" customHeight="1">
      <c r="A387" s="21"/>
      <c r="B387" s="27"/>
      <c r="C387" s="22"/>
      <c r="D387" s="22"/>
    </row>
    <row r="388" ht="15.75" customHeight="1">
      <c r="A388" s="21"/>
      <c r="B388" s="27"/>
      <c r="C388" s="22"/>
      <c r="D388" s="22"/>
    </row>
    <row r="389" ht="15.75" customHeight="1">
      <c r="A389" s="21"/>
      <c r="B389" s="27"/>
      <c r="C389" s="22"/>
      <c r="D389" s="22"/>
    </row>
    <row r="390" ht="15.75" customHeight="1">
      <c r="A390" s="21"/>
      <c r="B390" s="27"/>
      <c r="C390" s="22"/>
      <c r="D390" s="22"/>
    </row>
    <row r="391" ht="15.75" customHeight="1">
      <c r="A391" s="21"/>
      <c r="B391" s="27"/>
      <c r="C391" s="22"/>
      <c r="D391" s="22"/>
    </row>
    <row r="392" ht="15.75" customHeight="1">
      <c r="A392" s="21"/>
      <c r="B392" s="27"/>
      <c r="C392" s="22"/>
      <c r="D392" s="22"/>
    </row>
    <row r="393" ht="15.75" customHeight="1">
      <c r="A393" s="21"/>
      <c r="B393" s="27"/>
      <c r="C393" s="22"/>
      <c r="D393" s="22"/>
    </row>
    <row r="394" ht="15.75" customHeight="1">
      <c r="A394" s="21"/>
      <c r="B394" s="27"/>
      <c r="C394" s="22"/>
      <c r="D394" s="22"/>
    </row>
    <row r="395" ht="15.75" customHeight="1">
      <c r="A395" s="21"/>
      <c r="B395" s="27"/>
      <c r="C395" s="22"/>
      <c r="D395" s="22"/>
    </row>
    <row r="396" ht="15.75" customHeight="1">
      <c r="A396" s="21"/>
      <c r="B396" s="27"/>
      <c r="C396" s="22"/>
      <c r="D396" s="22"/>
    </row>
    <row r="397" ht="15.75" customHeight="1">
      <c r="A397" s="21"/>
      <c r="B397" s="27"/>
      <c r="C397" s="22"/>
      <c r="D397" s="22"/>
    </row>
    <row r="398" ht="15.75" customHeight="1">
      <c r="A398" s="21"/>
      <c r="B398" s="27"/>
      <c r="C398" s="22"/>
      <c r="D398" s="22"/>
    </row>
    <row r="399" ht="15.75" customHeight="1">
      <c r="A399" s="21"/>
      <c r="B399" s="27"/>
      <c r="C399" s="22"/>
      <c r="D399" s="22"/>
    </row>
    <row r="400" ht="15.75" customHeight="1">
      <c r="A400" s="21"/>
      <c r="B400" s="27"/>
      <c r="C400" s="22"/>
      <c r="D400" s="22"/>
    </row>
    <row r="401" ht="15.75" customHeight="1">
      <c r="A401" s="21"/>
      <c r="B401" s="27"/>
      <c r="C401" s="22"/>
      <c r="D401" s="22"/>
    </row>
    <row r="402" ht="15.75" customHeight="1">
      <c r="A402" s="21"/>
      <c r="B402" s="27"/>
      <c r="C402" s="22"/>
      <c r="D402" s="22"/>
    </row>
    <row r="403" ht="15.75" customHeight="1">
      <c r="A403" s="21"/>
      <c r="B403" s="27"/>
      <c r="C403" s="22"/>
      <c r="D403" s="22"/>
    </row>
    <row r="404" ht="15.75" customHeight="1">
      <c r="A404" s="21"/>
      <c r="B404" s="27"/>
      <c r="C404" s="22"/>
      <c r="D404" s="22"/>
    </row>
    <row r="405" ht="15.75" customHeight="1">
      <c r="A405" s="21"/>
      <c r="B405" s="27"/>
      <c r="C405" s="22"/>
      <c r="D405" s="22"/>
    </row>
    <row r="406" ht="15.75" customHeight="1">
      <c r="A406" s="21"/>
      <c r="B406" s="27"/>
      <c r="C406" s="22"/>
      <c r="D406" s="22"/>
    </row>
    <row r="407" ht="15.75" customHeight="1">
      <c r="A407" s="21"/>
      <c r="B407" s="27"/>
      <c r="C407" s="22"/>
      <c r="D407" s="22"/>
    </row>
    <row r="408" ht="15.75" customHeight="1">
      <c r="A408" s="21"/>
      <c r="B408" s="27"/>
      <c r="C408" s="22"/>
      <c r="D408" s="22"/>
    </row>
    <row r="409" ht="15.75" customHeight="1">
      <c r="A409" s="21"/>
      <c r="B409" s="27"/>
      <c r="C409" s="22"/>
      <c r="D409" s="22"/>
    </row>
    <row r="410" ht="15.75" customHeight="1">
      <c r="A410" s="21"/>
      <c r="B410" s="27"/>
      <c r="C410" s="22"/>
      <c r="D410" s="22"/>
    </row>
    <row r="411" ht="15.75" customHeight="1">
      <c r="A411" s="21"/>
      <c r="B411" s="27"/>
      <c r="C411" s="22"/>
      <c r="D411" s="22"/>
    </row>
    <row r="412" ht="15.75" customHeight="1">
      <c r="A412" s="21"/>
      <c r="B412" s="27"/>
      <c r="C412" s="22"/>
      <c r="D412" s="22"/>
    </row>
    <row r="413" ht="15.75" customHeight="1">
      <c r="A413" s="21"/>
      <c r="B413" s="27"/>
      <c r="C413" s="22"/>
      <c r="D413" s="22"/>
    </row>
    <row r="414" ht="15.75" customHeight="1">
      <c r="A414" s="21"/>
      <c r="B414" s="27"/>
      <c r="C414" s="22"/>
      <c r="D414" s="22"/>
    </row>
    <row r="415" ht="15.75" customHeight="1">
      <c r="A415" s="21"/>
      <c r="B415" s="27"/>
      <c r="C415" s="22"/>
      <c r="D415" s="22"/>
    </row>
    <row r="416" ht="15.75" customHeight="1">
      <c r="A416" s="21"/>
      <c r="B416" s="27"/>
      <c r="C416" s="22"/>
      <c r="D416" s="22"/>
    </row>
    <row r="417" ht="15.75" customHeight="1">
      <c r="A417" s="21"/>
      <c r="B417" s="27"/>
      <c r="C417" s="22"/>
      <c r="D417" s="22"/>
    </row>
    <row r="418" ht="15.75" customHeight="1">
      <c r="A418" s="21"/>
      <c r="B418" s="27"/>
      <c r="C418" s="22"/>
      <c r="D418" s="22"/>
    </row>
    <row r="419" ht="15.75" customHeight="1">
      <c r="A419" s="21"/>
      <c r="B419" s="27"/>
      <c r="C419" s="22"/>
      <c r="D419" s="22"/>
    </row>
    <row r="420" ht="15.75" customHeight="1">
      <c r="A420" s="21"/>
      <c r="B420" s="27"/>
      <c r="C420" s="22"/>
      <c r="D420" s="22"/>
    </row>
    <row r="421" ht="15.75" customHeight="1">
      <c r="A421" s="21"/>
      <c r="B421" s="27"/>
      <c r="C421" s="22"/>
      <c r="D421" s="22"/>
    </row>
    <row r="422" ht="15.75" customHeight="1">
      <c r="A422" s="21"/>
      <c r="B422" s="27"/>
      <c r="C422" s="22"/>
      <c r="D422" s="22"/>
    </row>
    <row r="423" ht="15.75" customHeight="1">
      <c r="A423" s="21"/>
      <c r="B423" s="27"/>
      <c r="C423" s="22"/>
      <c r="D423" s="22"/>
    </row>
    <row r="424" ht="15.75" customHeight="1">
      <c r="A424" s="21"/>
      <c r="B424" s="27"/>
      <c r="C424" s="22"/>
      <c r="D424" s="22"/>
    </row>
    <row r="425" ht="15.75" customHeight="1">
      <c r="A425" s="21"/>
      <c r="B425" s="27"/>
      <c r="C425" s="22"/>
      <c r="D425" s="22"/>
    </row>
    <row r="426" ht="15.75" customHeight="1">
      <c r="A426" s="21"/>
      <c r="B426" s="27"/>
      <c r="C426" s="22"/>
      <c r="D426" s="22"/>
    </row>
    <row r="427" ht="15.75" customHeight="1">
      <c r="A427" s="21"/>
      <c r="B427" s="27"/>
      <c r="C427" s="22"/>
      <c r="D427" s="22"/>
    </row>
    <row r="428" ht="15.75" customHeight="1">
      <c r="A428" s="21"/>
      <c r="B428" s="27"/>
      <c r="C428" s="22"/>
      <c r="D428" s="22"/>
    </row>
    <row r="429" ht="15.75" customHeight="1">
      <c r="A429" s="21"/>
      <c r="B429" s="27"/>
      <c r="C429" s="22"/>
      <c r="D429" s="22"/>
    </row>
    <row r="430" ht="15.75" customHeight="1">
      <c r="A430" s="21"/>
      <c r="B430" s="27"/>
      <c r="C430" s="22"/>
      <c r="D430" s="22"/>
    </row>
    <row r="431" ht="15.75" customHeight="1">
      <c r="A431" s="21"/>
      <c r="B431" s="27"/>
      <c r="C431" s="22"/>
      <c r="D431" s="22"/>
    </row>
    <row r="432" ht="15.75" customHeight="1">
      <c r="A432" s="21"/>
      <c r="B432" s="27"/>
      <c r="C432" s="22"/>
      <c r="D432" s="22"/>
    </row>
    <row r="433" ht="15.75" customHeight="1">
      <c r="A433" s="21"/>
      <c r="B433" s="27"/>
      <c r="C433" s="22"/>
      <c r="D433" s="22"/>
    </row>
    <row r="434" ht="15.75" customHeight="1">
      <c r="A434" s="21"/>
      <c r="B434" s="27"/>
      <c r="C434" s="22"/>
      <c r="D434" s="22"/>
    </row>
    <row r="435" ht="15.75" customHeight="1">
      <c r="A435" s="21"/>
      <c r="B435" s="27"/>
      <c r="C435" s="22"/>
      <c r="D435" s="22"/>
    </row>
    <row r="436" ht="15.75" customHeight="1">
      <c r="A436" s="21"/>
      <c r="B436" s="27"/>
      <c r="C436" s="22"/>
      <c r="D436" s="22"/>
    </row>
    <row r="437" ht="15.75" customHeight="1">
      <c r="A437" s="21"/>
      <c r="B437" s="27"/>
      <c r="C437" s="22"/>
      <c r="D437" s="22"/>
    </row>
    <row r="438" ht="15.75" customHeight="1">
      <c r="A438" s="21"/>
      <c r="B438" s="27"/>
      <c r="C438" s="22"/>
      <c r="D438" s="22"/>
    </row>
    <row r="439" ht="15.75" customHeight="1">
      <c r="A439" s="21"/>
      <c r="B439" s="27"/>
      <c r="C439" s="22"/>
      <c r="D439" s="22"/>
    </row>
    <row r="440" ht="15.75" customHeight="1">
      <c r="A440" s="21"/>
      <c r="B440" s="27"/>
      <c r="C440" s="22"/>
      <c r="D440" s="22"/>
    </row>
    <row r="441" ht="15.75" customHeight="1">
      <c r="A441" s="21"/>
      <c r="B441" s="27"/>
      <c r="C441" s="22"/>
      <c r="D441" s="22"/>
    </row>
    <row r="442" ht="15.75" customHeight="1">
      <c r="A442" s="21"/>
      <c r="B442" s="27"/>
      <c r="C442" s="22"/>
      <c r="D442" s="22"/>
    </row>
    <row r="443" ht="15.75" customHeight="1">
      <c r="A443" s="21"/>
      <c r="B443" s="27"/>
      <c r="C443" s="22"/>
      <c r="D443" s="22"/>
    </row>
    <row r="444" ht="15.75" customHeight="1">
      <c r="A444" s="21"/>
      <c r="B444" s="27"/>
      <c r="C444" s="22"/>
      <c r="D444" s="22"/>
    </row>
    <row r="445" ht="15.75" customHeight="1">
      <c r="A445" s="21"/>
      <c r="B445" s="27"/>
      <c r="C445" s="22"/>
      <c r="D445" s="22"/>
    </row>
    <row r="446" ht="15.75" customHeight="1">
      <c r="A446" s="21"/>
      <c r="B446" s="27"/>
      <c r="C446" s="22"/>
      <c r="D446" s="22"/>
    </row>
    <row r="447" ht="15.75" customHeight="1">
      <c r="A447" s="21"/>
      <c r="B447" s="27"/>
      <c r="C447" s="22"/>
      <c r="D447" s="22"/>
    </row>
    <row r="448" ht="15.75" customHeight="1">
      <c r="A448" s="21"/>
      <c r="B448" s="27"/>
      <c r="C448" s="22"/>
      <c r="D448" s="22"/>
    </row>
    <row r="449" ht="15.75" customHeight="1">
      <c r="A449" s="21"/>
      <c r="B449" s="27"/>
      <c r="C449" s="22"/>
      <c r="D449" s="22"/>
    </row>
    <row r="450" ht="15.75" customHeight="1">
      <c r="A450" s="21"/>
      <c r="B450" s="27"/>
      <c r="C450" s="22"/>
      <c r="D450" s="22"/>
    </row>
    <row r="451" ht="15.75" customHeight="1">
      <c r="A451" s="21"/>
      <c r="B451" s="27"/>
      <c r="C451" s="22"/>
      <c r="D451" s="22"/>
    </row>
    <row r="452" ht="15.75" customHeight="1">
      <c r="A452" s="21"/>
      <c r="B452" s="27"/>
      <c r="C452" s="22"/>
      <c r="D452" s="22"/>
    </row>
    <row r="453" ht="15.75" customHeight="1">
      <c r="A453" s="21"/>
      <c r="B453" s="27"/>
      <c r="C453" s="22"/>
      <c r="D453" s="22"/>
    </row>
    <row r="454" ht="15.75" customHeight="1">
      <c r="A454" s="21"/>
      <c r="B454" s="27"/>
      <c r="C454" s="22"/>
      <c r="D454" s="22"/>
    </row>
    <row r="455" ht="15.75" customHeight="1">
      <c r="A455" s="21"/>
      <c r="B455" s="27"/>
      <c r="C455" s="22"/>
      <c r="D455" s="22"/>
    </row>
    <row r="456" ht="15.75" customHeight="1">
      <c r="A456" s="21"/>
      <c r="B456" s="27"/>
      <c r="C456" s="22"/>
      <c r="D456" s="22"/>
    </row>
    <row r="457" ht="15.75" customHeight="1">
      <c r="A457" s="21"/>
      <c r="B457" s="27"/>
      <c r="C457" s="22"/>
      <c r="D457" s="22"/>
    </row>
    <row r="458" ht="15.75" customHeight="1">
      <c r="A458" s="21"/>
      <c r="B458" s="27"/>
      <c r="C458" s="22"/>
      <c r="D458" s="22"/>
    </row>
    <row r="459" ht="15.75" customHeight="1">
      <c r="A459" s="21"/>
      <c r="B459" s="27"/>
      <c r="C459" s="22"/>
      <c r="D459" s="22"/>
    </row>
    <row r="460" ht="15.75" customHeight="1">
      <c r="A460" s="21"/>
      <c r="B460" s="27"/>
      <c r="C460" s="22"/>
      <c r="D460" s="22"/>
    </row>
    <row r="461" ht="15.75" customHeight="1">
      <c r="A461" s="21"/>
      <c r="B461" s="27"/>
      <c r="C461" s="22"/>
      <c r="D461" s="22"/>
    </row>
    <row r="462" ht="15.75" customHeight="1">
      <c r="A462" s="21"/>
      <c r="B462" s="27"/>
      <c r="C462" s="22"/>
      <c r="D462" s="22"/>
    </row>
    <row r="463" ht="15.75" customHeight="1">
      <c r="A463" s="21"/>
      <c r="B463" s="27"/>
      <c r="C463" s="22"/>
      <c r="D463" s="22"/>
    </row>
    <row r="464" ht="15.75" customHeight="1">
      <c r="A464" s="21"/>
      <c r="B464" s="27"/>
      <c r="C464" s="22"/>
      <c r="D464" s="22"/>
    </row>
    <row r="465" ht="15.75" customHeight="1">
      <c r="A465" s="21"/>
      <c r="B465" s="27"/>
      <c r="C465" s="22"/>
      <c r="D465" s="22"/>
    </row>
    <row r="466" ht="15.75" customHeight="1">
      <c r="A466" s="21"/>
      <c r="B466" s="27"/>
      <c r="C466" s="22"/>
      <c r="D466" s="22"/>
    </row>
    <row r="467" ht="15.75" customHeight="1">
      <c r="A467" s="21"/>
      <c r="B467" s="27"/>
      <c r="C467" s="22"/>
      <c r="D467" s="22"/>
    </row>
    <row r="468" ht="15.75" customHeight="1">
      <c r="A468" s="21"/>
      <c r="B468" s="27"/>
      <c r="C468" s="22"/>
      <c r="D468" s="22"/>
    </row>
    <row r="469" ht="15.75" customHeight="1">
      <c r="A469" s="21"/>
      <c r="B469" s="27"/>
      <c r="C469" s="22"/>
      <c r="D469" s="22"/>
    </row>
    <row r="470" ht="15.75" customHeight="1">
      <c r="A470" s="21"/>
      <c r="B470" s="27"/>
      <c r="C470" s="22"/>
      <c r="D470" s="22"/>
    </row>
    <row r="471" ht="15.75" customHeight="1">
      <c r="A471" s="21"/>
      <c r="B471" s="27"/>
      <c r="C471" s="22"/>
      <c r="D471" s="22"/>
    </row>
    <row r="472" ht="15.75" customHeight="1">
      <c r="A472" s="21"/>
      <c r="B472" s="27"/>
      <c r="C472" s="22"/>
      <c r="D472" s="22"/>
    </row>
    <row r="473" ht="15.75" customHeight="1">
      <c r="A473" s="21"/>
      <c r="B473" s="27"/>
      <c r="C473" s="22"/>
      <c r="D473" s="22"/>
    </row>
    <row r="474" ht="15.75" customHeight="1">
      <c r="A474" s="21"/>
      <c r="B474" s="27"/>
      <c r="C474" s="22"/>
      <c r="D474" s="22"/>
    </row>
    <row r="475" ht="15.75" customHeight="1">
      <c r="A475" s="21"/>
      <c r="B475" s="27"/>
      <c r="C475" s="22"/>
      <c r="D475" s="22"/>
    </row>
    <row r="476" ht="15.75" customHeight="1">
      <c r="A476" s="21"/>
      <c r="B476" s="27"/>
      <c r="C476" s="22"/>
      <c r="D476" s="22"/>
    </row>
    <row r="477" ht="15.75" customHeight="1">
      <c r="A477" s="21"/>
      <c r="B477" s="27"/>
      <c r="C477" s="22"/>
      <c r="D477" s="22"/>
    </row>
    <row r="478" ht="15.75" customHeight="1">
      <c r="A478" s="21"/>
      <c r="B478" s="27"/>
      <c r="C478" s="22"/>
      <c r="D478" s="22"/>
    </row>
    <row r="479" ht="15.75" customHeight="1">
      <c r="A479" s="21"/>
      <c r="B479" s="27"/>
      <c r="C479" s="22"/>
      <c r="D479" s="22"/>
    </row>
    <row r="480" ht="15.75" customHeight="1">
      <c r="A480" s="21"/>
      <c r="B480" s="27"/>
      <c r="C480" s="22"/>
      <c r="D480" s="22"/>
    </row>
    <row r="481" ht="15.75" customHeight="1">
      <c r="A481" s="21"/>
      <c r="B481" s="27"/>
      <c r="C481" s="22"/>
      <c r="D481" s="22"/>
    </row>
    <row r="482" ht="15.75" customHeight="1">
      <c r="A482" s="21"/>
      <c r="B482" s="27"/>
      <c r="C482" s="22"/>
      <c r="D482" s="22"/>
    </row>
    <row r="483" ht="15.75" customHeight="1">
      <c r="A483" s="21"/>
      <c r="B483" s="27"/>
      <c r="C483" s="22"/>
      <c r="D483" s="22"/>
    </row>
    <row r="484" ht="15.75" customHeight="1">
      <c r="A484" s="21"/>
      <c r="B484" s="27"/>
      <c r="C484" s="22"/>
      <c r="D484" s="22"/>
    </row>
    <row r="485" ht="15.75" customHeight="1">
      <c r="A485" s="21"/>
      <c r="B485" s="27"/>
      <c r="C485" s="22"/>
      <c r="D485" s="22"/>
    </row>
    <row r="486" ht="15.75" customHeight="1">
      <c r="A486" s="21"/>
      <c r="B486" s="27"/>
      <c r="C486" s="22"/>
      <c r="D486" s="22"/>
    </row>
    <row r="487" ht="15.75" customHeight="1">
      <c r="A487" s="21"/>
      <c r="B487" s="27"/>
      <c r="C487" s="22"/>
      <c r="D487" s="22"/>
    </row>
    <row r="488" ht="15.75" customHeight="1">
      <c r="A488" s="21"/>
      <c r="B488" s="27"/>
      <c r="C488" s="22"/>
      <c r="D488" s="22"/>
    </row>
    <row r="489" ht="15.75" customHeight="1">
      <c r="A489" s="21"/>
      <c r="B489" s="27"/>
      <c r="C489" s="22"/>
      <c r="D489" s="22"/>
    </row>
    <row r="490" ht="15.75" customHeight="1">
      <c r="A490" s="21"/>
      <c r="B490" s="27"/>
      <c r="C490" s="22"/>
      <c r="D490" s="22"/>
    </row>
    <row r="491" ht="15.75" customHeight="1">
      <c r="A491" s="21"/>
      <c r="B491" s="27"/>
      <c r="C491" s="22"/>
      <c r="D491" s="22"/>
    </row>
    <row r="492" ht="15.75" customHeight="1">
      <c r="A492" s="21"/>
      <c r="B492" s="27"/>
      <c r="C492" s="22"/>
      <c r="D492" s="22"/>
    </row>
    <row r="493" ht="15.75" customHeight="1">
      <c r="A493" s="21"/>
      <c r="B493" s="27"/>
      <c r="C493" s="22"/>
      <c r="D493" s="22"/>
    </row>
    <row r="494" ht="15.75" customHeight="1">
      <c r="A494" s="21"/>
      <c r="B494" s="27"/>
      <c r="C494" s="22"/>
      <c r="D494" s="22"/>
    </row>
    <row r="495" ht="15.75" customHeight="1">
      <c r="A495" s="21"/>
      <c r="B495" s="27"/>
      <c r="C495" s="22"/>
      <c r="D495" s="22"/>
    </row>
    <row r="496" ht="15.75" customHeight="1">
      <c r="A496" s="21"/>
      <c r="B496" s="27"/>
      <c r="C496" s="22"/>
      <c r="D496" s="22"/>
    </row>
    <row r="497" ht="15.75" customHeight="1">
      <c r="A497" s="21"/>
      <c r="B497" s="27"/>
      <c r="C497" s="22"/>
      <c r="D497" s="22"/>
    </row>
    <row r="498" ht="15.75" customHeight="1">
      <c r="A498" s="21"/>
      <c r="B498" s="27"/>
      <c r="C498" s="22"/>
      <c r="D498" s="22"/>
    </row>
    <row r="499" ht="15.75" customHeight="1">
      <c r="A499" s="21"/>
      <c r="B499" s="27"/>
      <c r="C499" s="22"/>
      <c r="D499" s="22"/>
    </row>
    <row r="500" ht="15.75" customHeight="1">
      <c r="A500" s="21"/>
      <c r="B500" s="27"/>
      <c r="C500" s="22"/>
      <c r="D500" s="22"/>
    </row>
    <row r="501" ht="15.75" customHeight="1">
      <c r="A501" s="21"/>
      <c r="B501" s="27"/>
      <c r="C501" s="22"/>
      <c r="D501" s="22"/>
    </row>
    <row r="502" ht="15.75" customHeight="1">
      <c r="A502" s="21"/>
      <c r="B502" s="27"/>
      <c r="C502" s="22"/>
      <c r="D502" s="22"/>
    </row>
    <row r="503" ht="15.75" customHeight="1">
      <c r="A503" s="21"/>
      <c r="B503" s="27"/>
      <c r="C503" s="22"/>
      <c r="D503" s="22"/>
    </row>
    <row r="504" ht="15.75" customHeight="1">
      <c r="A504" s="21"/>
      <c r="B504" s="27"/>
      <c r="C504" s="22"/>
      <c r="D504" s="22"/>
    </row>
    <row r="505" ht="15.75" customHeight="1">
      <c r="A505" s="21"/>
      <c r="B505" s="27"/>
      <c r="C505" s="22"/>
      <c r="D505" s="22"/>
    </row>
    <row r="506" ht="15.75" customHeight="1">
      <c r="A506" s="21"/>
      <c r="B506" s="27"/>
      <c r="C506" s="22"/>
      <c r="D506" s="22"/>
    </row>
    <row r="507" ht="15.75" customHeight="1">
      <c r="A507" s="21"/>
      <c r="B507" s="27"/>
      <c r="C507" s="22"/>
      <c r="D507" s="22"/>
    </row>
    <row r="508" ht="15.75" customHeight="1">
      <c r="A508" s="21"/>
      <c r="B508" s="27"/>
      <c r="C508" s="22"/>
      <c r="D508" s="22"/>
    </row>
    <row r="509" ht="15.75" customHeight="1">
      <c r="A509" s="21"/>
      <c r="B509" s="27"/>
      <c r="C509" s="22"/>
      <c r="D509" s="22"/>
    </row>
    <row r="510" ht="15.75" customHeight="1">
      <c r="A510" s="21"/>
      <c r="B510" s="27"/>
      <c r="C510" s="22"/>
      <c r="D510" s="22"/>
    </row>
    <row r="511" ht="15.75" customHeight="1">
      <c r="A511" s="21"/>
      <c r="B511" s="27"/>
      <c r="C511" s="22"/>
      <c r="D511" s="22"/>
    </row>
    <row r="512" ht="15.75" customHeight="1">
      <c r="A512" s="21"/>
      <c r="B512" s="27"/>
      <c r="C512" s="22"/>
      <c r="D512" s="22"/>
    </row>
    <row r="513" ht="15.75" customHeight="1">
      <c r="A513" s="21"/>
      <c r="B513" s="27"/>
      <c r="C513" s="22"/>
      <c r="D513" s="22"/>
    </row>
    <row r="514" ht="15.75" customHeight="1">
      <c r="A514" s="21"/>
      <c r="B514" s="27"/>
      <c r="C514" s="22"/>
      <c r="D514" s="22"/>
    </row>
    <row r="515" ht="15.75" customHeight="1">
      <c r="A515" s="21"/>
      <c r="B515" s="27"/>
      <c r="C515" s="22"/>
      <c r="D515" s="22"/>
    </row>
    <row r="516" ht="15.75" customHeight="1">
      <c r="A516" s="21"/>
      <c r="B516" s="27"/>
      <c r="C516" s="22"/>
      <c r="D516" s="22"/>
    </row>
    <row r="517" ht="15.75" customHeight="1">
      <c r="A517" s="21"/>
      <c r="B517" s="27"/>
      <c r="C517" s="22"/>
      <c r="D517" s="22"/>
    </row>
    <row r="518" ht="15.75" customHeight="1">
      <c r="A518" s="21"/>
      <c r="B518" s="27"/>
      <c r="C518" s="22"/>
      <c r="D518" s="22"/>
    </row>
    <row r="519" ht="15.75" customHeight="1">
      <c r="A519" s="21"/>
      <c r="B519" s="27"/>
      <c r="C519" s="22"/>
      <c r="D519" s="22"/>
    </row>
    <row r="520" ht="15.75" customHeight="1">
      <c r="A520" s="21"/>
      <c r="B520" s="27"/>
      <c r="C520" s="22"/>
      <c r="D520" s="22"/>
    </row>
    <row r="521" ht="15.75" customHeight="1">
      <c r="A521" s="21"/>
      <c r="B521" s="27"/>
      <c r="C521" s="22"/>
      <c r="D521" s="22"/>
    </row>
    <row r="522" ht="15.75" customHeight="1">
      <c r="A522" s="21"/>
      <c r="B522" s="27"/>
      <c r="C522" s="22"/>
      <c r="D522" s="22"/>
    </row>
    <row r="523" ht="15.75" customHeight="1">
      <c r="A523" s="21"/>
      <c r="B523" s="27"/>
      <c r="C523" s="22"/>
      <c r="D523" s="22"/>
    </row>
    <row r="524" ht="15.75" customHeight="1">
      <c r="A524" s="21"/>
      <c r="B524" s="27"/>
      <c r="C524" s="22"/>
      <c r="D524" s="22"/>
    </row>
    <row r="525" ht="15.75" customHeight="1">
      <c r="A525" s="21"/>
      <c r="B525" s="27"/>
      <c r="C525" s="22"/>
      <c r="D525" s="22"/>
    </row>
    <row r="526" ht="15.75" customHeight="1">
      <c r="A526" s="21"/>
      <c r="B526" s="27"/>
      <c r="C526" s="22"/>
      <c r="D526" s="22"/>
    </row>
    <row r="527" ht="15.75" customHeight="1">
      <c r="A527" s="21"/>
      <c r="B527" s="27"/>
      <c r="C527" s="22"/>
      <c r="D527" s="22"/>
    </row>
    <row r="528" ht="15.75" customHeight="1">
      <c r="A528" s="21"/>
      <c r="B528" s="27"/>
      <c r="C528" s="22"/>
      <c r="D528" s="22"/>
    </row>
    <row r="529" ht="15.75" customHeight="1">
      <c r="A529" s="21"/>
      <c r="B529" s="27"/>
      <c r="C529" s="22"/>
      <c r="D529" s="22"/>
    </row>
    <row r="530" ht="15.75" customHeight="1">
      <c r="A530" s="21"/>
      <c r="B530" s="27"/>
      <c r="C530" s="22"/>
      <c r="D530" s="22"/>
    </row>
    <row r="531" ht="15.75" customHeight="1">
      <c r="A531" s="21"/>
      <c r="B531" s="27"/>
      <c r="C531" s="22"/>
      <c r="D531" s="22"/>
    </row>
    <row r="532" ht="15.75" customHeight="1">
      <c r="A532" s="21"/>
      <c r="B532" s="27"/>
      <c r="C532" s="22"/>
      <c r="D532" s="22"/>
    </row>
    <row r="533" ht="15.75" customHeight="1">
      <c r="A533" s="21"/>
      <c r="B533" s="27"/>
      <c r="C533" s="22"/>
      <c r="D533" s="22"/>
    </row>
    <row r="534" ht="15.75" customHeight="1">
      <c r="A534" s="21"/>
      <c r="B534" s="27"/>
      <c r="C534" s="22"/>
      <c r="D534" s="22"/>
    </row>
    <row r="535" ht="15.75" customHeight="1">
      <c r="A535" s="21"/>
      <c r="B535" s="27"/>
      <c r="C535" s="22"/>
      <c r="D535" s="22"/>
    </row>
    <row r="536" ht="15.75" customHeight="1">
      <c r="A536" s="21"/>
      <c r="B536" s="27"/>
      <c r="C536" s="22"/>
      <c r="D536" s="22"/>
    </row>
    <row r="537" ht="15.75" customHeight="1">
      <c r="A537" s="21"/>
      <c r="B537" s="27"/>
      <c r="C537" s="22"/>
      <c r="D537" s="22"/>
    </row>
    <row r="538" ht="15.75" customHeight="1">
      <c r="A538" s="21"/>
      <c r="B538" s="27"/>
      <c r="C538" s="22"/>
      <c r="D538" s="22"/>
    </row>
    <row r="539" ht="15.75" customHeight="1">
      <c r="A539" s="21"/>
      <c r="B539" s="27"/>
      <c r="C539" s="22"/>
      <c r="D539" s="22"/>
    </row>
    <row r="540" ht="15.75" customHeight="1">
      <c r="A540" s="21"/>
      <c r="B540" s="27"/>
      <c r="C540" s="22"/>
      <c r="D540" s="22"/>
    </row>
    <row r="541" ht="15.75" customHeight="1">
      <c r="A541" s="21"/>
      <c r="B541" s="27"/>
      <c r="C541" s="22"/>
      <c r="D541" s="22"/>
    </row>
    <row r="542" ht="15.75" customHeight="1">
      <c r="A542" s="21"/>
      <c r="B542" s="27"/>
      <c r="C542" s="22"/>
      <c r="D542" s="22"/>
    </row>
    <row r="543" ht="15.75" customHeight="1">
      <c r="A543" s="21"/>
      <c r="B543" s="27"/>
      <c r="C543" s="22"/>
      <c r="D543" s="22"/>
    </row>
    <row r="544" ht="15.75" customHeight="1">
      <c r="A544" s="21"/>
      <c r="B544" s="27"/>
      <c r="C544" s="22"/>
      <c r="D544" s="22"/>
    </row>
    <row r="545" ht="15.75" customHeight="1">
      <c r="A545" s="21"/>
      <c r="C545" s="22"/>
      <c r="D545" s="22"/>
    </row>
    <row r="546" ht="15.75" customHeight="1">
      <c r="A546" s="21"/>
      <c r="C546" s="22"/>
      <c r="D546" s="22"/>
    </row>
    <row r="547" ht="15.75" customHeight="1">
      <c r="A547" s="21"/>
      <c r="C547" s="22"/>
      <c r="D547" s="22"/>
    </row>
    <row r="548" ht="15.75" customHeight="1">
      <c r="A548" s="21"/>
      <c r="C548" s="22"/>
      <c r="D548" s="22"/>
    </row>
    <row r="549" ht="15.75" customHeight="1">
      <c r="A549" s="21"/>
      <c r="C549" s="22"/>
      <c r="D549" s="22"/>
    </row>
    <row r="550" ht="15.75" customHeight="1">
      <c r="A550" s="21"/>
      <c r="C550" s="22"/>
      <c r="D550" s="22"/>
    </row>
    <row r="551" ht="15.75" customHeight="1">
      <c r="A551" s="21"/>
      <c r="C551" s="22"/>
      <c r="D551" s="22"/>
    </row>
    <row r="552" ht="15.75" customHeight="1">
      <c r="A552" s="21"/>
      <c r="C552" s="22"/>
      <c r="D552" s="22"/>
    </row>
    <row r="553" ht="15.75" customHeight="1">
      <c r="A553" s="21"/>
      <c r="C553" s="22"/>
      <c r="D553" s="22"/>
    </row>
    <row r="554" ht="15.75" customHeight="1">
      <c r="A554" s="21"/>
      <c r="C554" s="22"/>
      <c r="D554" s="22"/>
    </row>
    <row r="555" ht="15.75" customHeight="1">
      <c r="A555" s="21"/>
      <c r="C555" s="22"/>
      <c r="D555" s="22"/>
    </row>
    <row r="556" ht="15.75" customHeight="1">
      <c r="A556" s="21"/>
      <c r="C556" s="22"/>
      <c r="D556" s="22"/>
    </row>
    <row r="557" ht="15.75" customHeight="1">
      <c r="A557" s="21"/>
      <c r="C557" s="22"/>
      <c r="D557" s="22"/>
    </row>
    <row r="558" ht="15.75" customHeight="1">
      <c r="A558" s="21"/>
      <c r="C558" s="22"/>
      <c r="D558" s="22"/>
    </row>
    <row r="559" ht="15.75" customHeight="1">
      <c r="A559" s="21"/>
      <c r="C559" s="22"/>
      <c r="D559" s="22"/>
    </row>
    <row r="560" ht="15.75" customHeight="1">
      <c r="A560" s="21"/>
      <c r="C560" s="22"/>
      <c r="D560" s="22"/>
    </row>
    <row r="561" ht="15.75" customHeight="1">
      <c r="A561" s="21"/>
      <c r="C561" s="22"/>
      <c r="D561" s="22"/>
    </row>
    <row r="562" ht="15.75" customHeight="1">
      <c r="A562" s="21"/>
      <c r="C562" s="22"/>
      <c r="D562" s="22"/>
    </row>
    <row r="563" ht="15.75" customHeight="1">
      <c r="A563" s="21"/>
      <c r="C563" s="22"/>
      <c r="D563" s="22"/>
    </row>
    <row r="564" ht="15.75" customHeight="1">
      <c r="A564" s="21"/>
      <c r="C564" s="22"/>
      <c r="D564" s="22"/>
    </row>
    <row r="565" ht="15.75" customHeight="1">
      <c r="A565" s="21"/>
      <c r="C565" s="22"/>
      <c r="D565" s="22"/>
    </row>
    <row r="566" ht="15.75" customHeight="1">
      <c r="A566" s="21"/>
      <c r="C566" s="22"/>
      <c r="D566" s="22"/>
    </row>
    <row r="567" ht="15.75" customHeight="1">
      <c r="A567" s="21"/>
      <c r="C567" s="22"/>
      <c r="D567" s="22"/>
    </row>
    <row r="568" ht="15.75" customHeight="1">
      <c r="A568" s="21"/>
      <c r="C568" s="22"/>
      <c r="D568" s="22"/>
    </row>
    <row r="569" ht="15.75" customHeight="1">
      <c r="A569" s="21"/>
      <c r="C569" s="22"/>
      <c r="D569" s="22"/>
    </row>
    <row r="570" ht="15.75" customHeight="1">
      <c r="A570" s="21"/>
      <c r="C570" s="22"/>
      <c r="D570" s="22"/>
    </row>
    <row r="571" ht="15.75" customHeight="1">
      <c r="A571" s="21"/>
      <c r="C571" s="22"/>
      <c r="D571" s="22"/>
    </row>
    <row r="572" ht="15.75" customHeight="1">
      <c r="A572" s="21"/>
      <c r="C572" s="22"/>
      <c r="D572" s="22"/>
    </row>
    <row r="573" ht="15.75" customHeight="1">
      <c r="A573" s="21"/>
      <c r="C573" s="22"/>
      <c r="D573" s="22"/>
    </row>
    <row r="574" ht="15.75" customHeight="1">
      <c r="A574" s="21"/>
      <c r="C574" s="22"/>
      <c r="D574" s="22"/>
    </row>
    <row r="575" ht="15.75" customHeight="1">
      <c r="A575" s="21"/>
      <c r="C575" s="22"/>
      <c r="D575" s="22"/>
    </row>
    <row r="576" ht="15.75" customHeight="1">
      <c r="A576" s="21"/>
      <c r="C576" s="22"/>
      <c r="D576" s="22"/>
    </row>
    <row r="577" ht="15.75" customHeight="1">
      <c r="A577" s="21"/>
      <c r="C577" s="22"/>
      <c r="D577" s="22"/>
    </row>
    <row r="578" ht="15.75" customHeight="1">
      <c r="A578" s="21"/>
      <c r="C578" s="22"/>
      <c r="D578" s="22"/>
    </row>
    <row r="579" ht="15.75" customHeight="1">
      <c r="A579" s="21"/>
      <c r="C579" s="22"/>
      <c r="D579" s="22"/>
    </row>
    <row r="580" ht="15.75" customHeight="1">
      <c r="A580" s="21"/>
      <c r="C580" s="22"/>
      <c r="D580" s="22"/>
    </row>
    <row r="581" ht="15.75" customHeight="1">
      <c r="A581" s="21"/>
      <c r="C581" s="22"/>
      <c r="D581" s="22"/>
    </row>
    <row r="582" ht="15.75" customHeight="1">
      <c r="A582" s="21"/>
      <c r="C582" s="22"/>
      <c r="D582" s="22"/>
    </row>
    <row r="583" ht="15.75" customHeight="1">
      <c r="A583" s="21"/>
      <c r="C583" s="22"/>
      <c r="D583" s="22"/>
    </row>
    <row r="584" ht="15.75" customHeight="1">
      <c r="A584" s="21"/>
      <c r="C584" s="22"/>
      <c r="D584" s="22"/>
    </row>
    <row r="585" ht="15.75" customHeight="1">
      <c r="A585" s="21"/>
      <c r="C585" s="22"/>
      <c r="D585" s="22"/>
    </row>
    <row r="586" ht="15.75" customHeight="1">
      <c r="A586" s="21"/>
      <c r="C586" s="22"/>
      <c r="D586" s="22"/>
    </row>
    <row r="587" ht="15.75" customHeight="1">
      <c r="A587" s="21"/>
      <c r="C587" s="22"/>
      <c r="D587" s="22"/>
    </row>
    <row r="588" ht="15.75" customHeight="1">
      <c r="A588" s="21"/>
      <c r="C588" s="22"/>
      <c r="D588" s="22"/>
    </row>
    <row r="589" ht="15.75" customHeight="1">
      <c r="A589" s="21"/>
      <c r="C589" s="22"/>
      <c r="D589" s="22"/>
    </row>
    <row r="590" ht="15.75" customHeight="1">
      <c r="A590" s="21"/>
      <c r="C590" s="22"/>
      <c r="D590" s="22"/>
    </row>
    <row r="591" ht="15.75" customHeight="1">
      <c r="A591" s="21"/>
      <c r="C591" s="22"/>
      <c r="D591" s="22"/>
    </row>
    <row r="592" ht="15.75" customHeight="1">
      <c r="A592" s="21"/>
      <c r="C592" s="22"/>
      <c r="D592" s="22"/>
    </row>
    <row r="593" ht="15.75" customHeight="1">
      <c r="A593" s="21"/>
      <c r="C593" s="22"/>
      <c r="D593" s="22"/>
    </row>
    <row r="594" ht="15.75" customHeight="1">
      <c r="A594" s="21"/>
      <c r="C594" s="22"/>
      <c r="D594" s="22"/>
    </row>
    <row r="595" ht="15.75" customHeight="1">
      <c r="A595" s="21"/>
      <c r="C595" s="22"/>
      <c r="D595" s="22"/>
    </row>
    <row r="596" ht="15.75" customHeight="1">
      <c r="A596" s="21"/>
      <c r="C596" s="22"/>
      <c r="D596" s="22"/>
    </row>
    <row r="597" ht="15.75" customHeight="1">
      <c r="A597" s="21"/>
      <c r="C597" s="22"/>
      <c r="D597" s="22"/>
    </row>
    <row r="598" ht="15.75" customHeight="1">
      <c r="A598" s="21"/>
      <c r="C598" s="22"/>
      <c r="D598" s="22"/>
    </row>
    <row r="599" ht="15.75" customHeight="1">
      <c r="A599" s="21"/>
      <c r="C599" s="22"/>
      <c r="D599" s="22"/>
    </row>
    <row r="600" ht="15.75" customHeight="1">
      <c r="A600" s="21"/>
      <c r="C600" s="22"/>
      <c r="D600" s="22"/>
    </row>
    <row r="601" ht="15.75" customHeight="1">
      <c r="A601" s="21"/>
      <c r="C601" s="22"/>
      <c r="D601" s="22"/>
    </row>
    <row r="602" ht="15.75" customHeight="1">
      <c r="A602" s="21"/>
      <c r="C602" s="22"/>
      <c r="D602" s="22"/>
    </row>
    <row r="603" ht="15.75" customHeight="1">
      <c r="A603" s="21"/>
      <c r="C603" s="22"/>
      <c r="D603" s="22"/>
    </row>
    <row r="604" ht="15.75" customHeight="1">
      <c r="A604" s="21"/>
      <c r="C604" s="22"/>
      <c r="D604" s="22"/>
    </row>
    <row r="605" ht="15.75" customHeight="1">
      <c r="A605" s="21"/>
      <c r="C605" s="22"/>
      <c r="D605" s="22"/>
    </row>
    <row r="606" ht="15.75" customHeight="1">
      <c r="A606" s="21"/>
      <c r="C606" s="22"/>
      <c r="D606" s="22"/>
    </row>
    <row r="607" ht="15.75" customHeight="1">
      <c r="A607" s="21"/>
      <c r="C607" s="22"/>
      <c r="D607" s="22"/>
    </row>
    <row r="608" ht="15.75" customHeight="1">
      <c r="A608" s="21"/>
      <c r="C608" s="22"/>
      <c r="D608" s="22"/>
    </row>
    <row r="609" ht="15.75" customHeight="1">
      <c r="A609" s="21"/>
      <c r="C609" s="22"/>
      <c r="D609" s="22"/>
    </row>
    <row r="610" ht="15.75" customHeight="1">
      <c r="A610" s="21"/>
      <c r="C610" s="22"/>
      <c r="D610" s="22"/>
    </row>
    <row r="611" ht="15.75" customHeight="1">
      <c r="A611" s="21"/>
      <c r="C611" s="22"/>
      <c r="D611" s="22"/>
    </row>
    <row r="612" ht="15.75" customHeight="1">
      <c r="A612" s="21"/>
      <c r="C612" s="22"/>
      <c r="D612" s="22"/>
    </row>
    <row r="613" ht="15.75" customHeight="1">
      <c r="A613" s="21"/>
      <c r="C613" s="22"/>
      <c r="D613" s="22"/>
    </row>
    <row r="614" ht="15.75" customHeight="1">
      <c r="A614" s="21"/>
      <c r="C614" s="22"/>
      <c r="D614" s="22"/>
    </row>
    <row r="615" ht="15.75" customHeight="1">
      <c r="A615" s="21"/>
      <c r="C615" s="22"/>
      <c r="D615" s="22"/>
    </row>
    <row r="616" ht="15.75" customHeight="1">
      <c r="A616" s="21"/>
      <c r="C616" s="22"/>
      <c r="D616" s="22"/>
    </row>
    <row r="617" ht="15.75" customHeight="1">
      <c r="A617" s="21"/>
      <c r="C617" s="22"/>
      <c r="D617" s="22"/>
    </row>
    <row r="618" ht="15.75" customHeight="1">
      <c r="A618" s="21"/>
      <c r="C618" s="22"/>
      <c r="D618" s="22"/>
    </row>
    <row r="619" ht="15.75" customHeight="1">
      <c r="A619" s="21"/>
      <c r="C619" s="22"/>
      <c r="D619" s="22"/>
    </row>
    <row r="620" ht="15.75" customHeight="1">
      <c r="A620" s="21"/>
      <c r="C620" s="22"/>
      <c r="D620" s="22"/>
    </row>
    <row r="621" ht="15.75" customHeight="1">
      <c r="A621" s="21"/>
      <c r="C621" s="22"/>
      <c r="D621" s="22"/>
    </row>
    <row r="622" ht="15.75" customHeight="1">
      <c r="A622" s="21"/>
      <c r="C622" s="22"/>
      <c r="D622" s="22"/>
    </row>
    <row r="623" ht="15.75" customHeight="1">
      <c r="A623" s="21"/>
      <c r="C623" s="22"/>
      <c r="D623" s="22"/>
    </row>
    <row r="624" ht="15.75" customHeight="1">
      <c r="A624" s="21"/>
      <c r="C624" s="22"/>
      <c r="D624" s="22"/>
    </row>
    <row r="625" ht="15.75" customHeight="1">
      <c r="A625" s="21"/>
      <c r="C625" s="22"/>
      <c r="D625" s="22"/>
    </row>
    <row r="626" ht="15.75" customHeight="1">
      <c r="A626" s="21"/>
      <c r="C626" s="22"/>
      <c r="D626" s="22"/>
    </row>
    <row r="627" ht="15.75" customHeight="1">
      <c r="A627" s="21"/>
      <c r="C627" s="22"/>
      <c r="D627" s="22"/>
    </row>
    <row r="628" ht="15.75" customHeight="1">
      <c r="A628" s="21"/>
      <c r="C628" s="22"/>
      <c r="D628" s="22"/>
    </row>
    <row r="629" ht="15.75" customHeight="1">
      <c r="A629" s="21"/>
      <c r="C629" s="22"/>
      <c r="D629" s="22"/>
    </row>
    <row r="630" ht="15.75" customHeight="1">
      <c r="A630" s="21"/>
      <c r="C630" s="22"/>
      <c r="D630" s="22"/>
    </row>
    <row r="631" ht="15.75" customHeight="1">
      <c r="A631" s="21"/>
      <c r="C631" s="22"/>
      <c r="D631" s="22"/>
    </row>
    <row r="632" ht="15.75" customHeight="1">
      <c r="A632" s="21"/>
      <c r="C632" s="22"/>
      <c r="D632" s="22"/>
    </row>
    <row r="633" ht="15.75" customHeight="1">
      <c r="A633" s="21"/>
      <c r="C633" s="22"/>
      <c r="D633" s="22"/>
    </row>
    <row r="634" ht="15.75" customHeight="1">
      <c r="A634" s="21"/>
      <c r="C634" s="22"/>
      <c r="D634" s="22"/>
    </row>
    <row r="635" ht="15.75" customHeight="1">
      <c r="A635" s="21"/>
      <c r="C635" s="22"/>
      <c r="D635" s="22"/>
    </row>
    <row r="636" ht="15.75" customHeight="1">
      <c r="A636" s="21"/>
      <c r="C636" s="22"/>
      <c r="D636" s="22"/>
    </row>
    <row r="637" ht="15.75" customHeight="1">
      <c r="A637" s="21"/>
      <c r="C637" s="22"/>
      <c r="D637" s="22"/>
    </row>
    <row r="638" ht="15.75" customHeight="1">
      <c r="A638" s="21"/>
      <c r="C638" s="22"/>
      <c r="D638" s="22"/>
    </row>
    <row r="639" ht="15.75" customHeight="1">
      <c r="A639" s="21"/>
      <c r="C639" s="22"/>
      <c r="D639" s="22"/>
    </row>
    <row r="640" ht="15.75" customHeight="1">
      <c r="A640" s="21"/>
      <c r="C640" s="22"/>
      <c r="D640" s="22"/>
    </row>
    <row r="641" ht="15.75" customHeight="1">
      <c r="A641" s="21"/>
      <c r="C641" s="22"/>
      <c r="D641" s="22"/>
    </row>
    <row r="642" ht="15.75" customHeight="1">
      <c r="A642" s="21"/>
      <c r="C642" s="22"/>
      <c r="D642" s="22"/>
    </row>
    <row r="643" ht="15.75" customHeight="1">
      <c r="A643" s="21"/>
      <c r="C643" s="22"/>
      <c r="D643" s="22"/>
    </row>
    <row r="644" ht="15.75" customHeight="1">
      <c r="A644" s="21"/>
      <c r="C644" s="22"/>
      <c r="D644" s="22"/>
    </row>
    <row r="645" ht="15.75" customHeight="1">
      <c r="A645" s="21"/>
      <c r="C645" s="22"/>
      <c r="D645" s="22"/>
    </row>
    <row r="646" ht="15.75" customHeight="1">
      <c r="A646" s="21"/>
      <c r="C646" s="22"/>
      <c r="D646" s="22"/>
    </row>
    <row r="647" ht="15.75" customHeight="1">
      <c r="A647" s="21"/>
      <c r="C647" s="22"/>
      <c r="D647" s="22"/>
    </row>
    <row r="648" ht="15.75" customHeight="1">
      <c r="A648" s="21"/>
      <c r="C648" s="22"/>
      <c r="D648" s="22"/>
    </row>
    <row r="649" ht="15.75" customHeight="1">
      <c r="A649" s="21"/>
      <c r="C649" s="22"/>
      <c r="D649" s="22"/>
    </row>
    <row r="650" ht="15.75" customHeight="1">
      <c r="A650" s="21"/>
      <c r="C650" s="22"/>
      <c r="D650" s="22"/>
    </row>
    <row r="651" ht="15.75" customHeight="1">
      <c r="A651" s="21"/>
      <c r="C651" s="22"/>
      <c r="D651" s="22"/>
    </row>
    <row r="652" ht="15.75" customHeight="1">
      <c r="A652" s="21"/>
      <c r="C652" s="22"/>
      <c r="D652" s="22"/>
    </row>
    <row r="653" ht="15.75" customHeight="1">
      <c r="A653" s="21"/>
      <c r="C653" s="22"/>
      <c r="D653" s="22"/>
    </row>
    <row r="654" ht="15.75" customHeight="1">
      <c r="A654" s="21"/>
      <c r="C654" s="22"/>
      <c r="D654" s="22"/>
    </row>
    <row r="655" ht="15.75" customHeight="1">
      <c r="A655" s="21"/>
      <c r="C655" s="22"/>
      <c r="D655" s="22"/>
    </row>
    <row r="656" ht="15.75" customHeight="1">
      <c r="A656" s="21"/>
      <c r="C656" s="22"/>
      <c r="D656" s="22"/>
    </row>
    <row r="657" ht="15.75" customHeight="1">
      <c r="A657" s="21"/>
      <c r="C657" s="22"/>
      <c r="D657" s="22"/>
    </row>
    <row r="658" ht="15.75" customHeight="1">
      <c r="A658" s="21"/>
      <c r="C658" s="22"/>
      <c r="D658" s="22"/>
    </row>
    <row r="659" ht="15.75" customHeight="1">
      <c r="A659" s="21"/>
      <c r="C659" s="22"/>
      <c r="D659" s="22"/>
    </row>
    <row r="660" ht="15.75" customHeight="1">
      <c r="A660" s="21"/>
      <c r="C660" s="22"/>
      <c r="D660" s="22"/>
    </row>
    <row r="661" ht="15.75" customHeight="1">
      <c r="A661" s="21"/>
      <c r="C661" s="22"/>
      <c r="D661" s="22"/>
    </row>
    <row r="662" ht="15.75" customHeight="1">
      <c r="A662" s="21"/>
      <c r="C662" s="22"/>
      <c r="D662" s="22"/>
    </row>
    <row r="663" ht="15.75" customHeight="1">
      <c r="A663" s="21"/>
      <c r="C663" s="22"/>
      <c r="D663" s="22"/>
    </row>
    <row r="664" ht="15.75" customHeight="1">
      <c r="A664" s="21"/>
      <c r="C664" s="22"/>
      <c r="D664" s="22"/>
    </row>
    <row r="665" ht="15.75" customHeight="1">
      <c r="A665" s="21"/>
      <c r="C665" s="22"/>
      <c r="D665" s="22"/>
    </row>
    <row r="666" ht="15.75" customHeight="1">
      <c r="A666" s="21"/>
      <c r="C666" s="22"/>
      <c r="D666" s="22"/>
    </row>
    <row r="667" ht="15.75" customHeight="1">
      <c r="A667" s="21"/>
      <c r="C667" s="22"/>
      <c r="D667" s="22"/>
    </row>
    <row r="668" ht="15.75" customHeight="1">
      <c r="A668" s="21"/>
      <c r="C668" s="22"/>
      <c r="D668" s="22"/>
    </row>
    <row r="669" ht="15.75" customHeight="1">
      <c r="A669" s="21"/>
      <c r="C669" s="22"/>
      <c r="D669" s="22"/>
    </row>
    <row r="670" ht="15.75" customHeight="1">
      <c r="A670" s="21"/>
      <c r="C670" s="22"/>
      <c r="D670" s="22"/>
    </row>
    <row r="671" ht="15.75" customHeight="1">
      <c r="A671" s="21"/>
      <c r="C671" s="22"/>
      <c r="D671" s="22"/>
    </row>
    <row r="672" ht="15.75" customHeight="1">
      <c r="A672" s="21"/>
      <c r="C672" s="22"/>
      <c r="D672" s="22"/>
    </row>
    <row r="673" ht="15.75" customHeight="1">
      <c r="A673" s="21"/>
      <c r="C673" s="22"/>
      <c r="D673" s="22"/>
    </row>
    <row r="674" ht="15.75" customHeight="1">
      <c r="A674" s="21"/>
      <c r="C674" s="22"/>
      <c r="D674" s="22"/>
    </row>
    <row r="675" ht="15.75" customHeight="1">
      <c r="A675" s="21"/>
      <c r="C675" s="22"/>
      <c r="D675" s="22"/>
    </row>
    <row r="676" ht="15.75" customHeight="1">
      <c r="A676" s="21"/>
      <c r="C676" s="22"/>
      <c r="D676" s="22"/>
    </row>
    <row r="677" ht="15.75" customHeight="1">
      <c r="A677" s="21"/>
      <c r="C677" s="22"/>
      <c r="D677" s="22"/>
    </row>
    <row r="678" ht="15.75" customHeight="1">
      <c r="A678" s="21"/>
      <c r="C678" s="22"/>
      <c r="D678" s="22"/>
    </row>
    <row r="679" ht="15.75" customHeight="1">
      <c r="A679" s="21"/>
      <c r="C679" s="22"/>
      <c r="D679" s="22"/>
    </row>
    <row r="680" ht="15.75" customHeight="1">
      <c r="A680" s="21"/>
      <c r="C680" s="22"/>
      <c r="D680" s="22"/>
    </row>
    <row r="681" ht="15.75" customHeight="1">
      <c r="A681" s="21"/>
      <c r="C681" s="22"/>
      <c r="D681" s="22"/>
    </row>
    <row r="682" ht="15.75" customHeight="1">
      <c r="A682" s="21"/>
      <c r="C682" s="22"/>
      <c r="D682" s="22"/>
    </row>
    <row r="683" ht="15.75" customHeight="1">
      <c r="A683" s="21"/>
      <c r="C683" s="22"/>
      <c r="D683" s="22"/>
    </row>
    <row r="684" ht="15.75" customHeight="1">
      <c r="A684" s="21"/>
      <c r="C684" s="22"/>
      <c r="D684" s="22"/>
    </row>
    <row r="685" ht="15.75" customHeight="1">
      <c r="A685" s="21"/>
      <c r="C685" s="22"/>
      <c r="D685" s="22"/>
    </row>
    <row r="686" ht="15.75" customHeight="1">
      <c r="A686" s="21"/>
      <c r="C686" s="22"/>
      <c r="D686" s="22"/>
    </row>
    <row r="687" ht="15.75" customHeight="1">
      <c r="A687" s="21"/>
      <c r="C687" s="22"/>
      <c r="D687" s="22"/>
    </row>
    <row r="688" ht="15.75" customHeight="1">
      <c r="A688" s="21"/>
      <c r="C688" s="22"/>
      <c r="D688" s="22"/>
    </row>
    <row r="689" ht="15.75" customHeight="1">
      <c r="A689" s="21"/>
      <c r="C689" s="22"/>
      <c r="D689" s="22"/>
    </row>
    <row r="690" ht="15.75" customHeight="1">
      <c r="A690" s="21"/>
      <c r="C690" s="22"/>
      <c r="D690" s="22"/>
    </row>
    <row r="691" ht="15.75" customHeight="1">
      <c r="A691" s="21"/>
      <c r="C691" s="22"/>
      <c r="D691" s="22"/>
    </row>
    <row r="692" ht="15.75" customHeight="1">
      <c r="A692" s="21"/>
      <c r="C692" s="22"/>
      <c r="D692" s="22"/>
    </row>
    <row r="693" ht="15.75" customHeight="1">
      <c r="A693" s="21"/>
      <c r="C693" s="22"/>
      <c r="D693" s="22"/>
    </row>
    <row r="694" ht="15.75" customHeight="1">
      <c r="A694" s="21"/>
      <c r="C694" s="22"/>
      <c r="D694" s="22"/>
    </row>
    <row r="695" ht="15.75" customHeight="1">
      <c r="A695" s="21"/>
      <c r="C695" s="22"/>
      <c r="D695" s="22"/>
    </row>
    <row r="696" ht="15.75" customHeight="1">
      <c r="A696" s="21"/>
      <c r="C696" s="22"/>
      <c r="D696" s="22"/>
    </row>
    <row r="697" ht="15.75" customHeight="1">
      <c r="A697" s="21"/>
      <c r="C697" s="22"/>
      <c r="D697" s="22"/>
    </row>
    <row r="698" ht="15.75" customHeight="1">
      <c r="A698" s="21"/>
      <c r="C698" s="22"/>
      <c r="D698" s="22"/>
    </row>
    <row r="699" ht="15.75" customHeight="1">
      <c r="A699" s="21"/>
      <c r="C699" s="22"/>
      <c r="D699" s="22"/>
    </row>
    <row r="700" ht="15.75" customHeight="1">
      <c r="A700" s="21"/>
      <c r="C700" s="22"/>
      <c r="D700" s="22"/>
    </row>
    <row r="701" ht="15.75" customHeight="1">
      <c r="A701" s="21"/>
      <c r="C701" s="22"/>
      <c r="D701" s="22"/>
    </row>
    <row r="702" ht="15.75" customHeight="1">
      <c r="A702" s="21"/>
      <c r="C702" s="22"/>
      <c r="D702" s="22"/>
    </row>
    <row r="703" ht="15.75" customHeight="1">
      <c r="A703" s="21"/>
      <c r="C703" s="22"/>
      <c r="D703" s="22"/>
    </row>
    <row r="704" ht="15.75" customHeight="1">
      <c r="A704" s="21"/>
      <c r="C704" s="22"/>
      <c r="D704" s="22"/>
    </row>
    <row r="705" ht="15.75" customHeight="1">
      <c r="A705" s="21"/>
      <c r="C705" s="22"/>
      <c r="D705" s="22"/>
    </row>
    <row r="706" ht="15.75" customHeight="1">
      <c r="A706" s="21"/>
      <c r="C706" s="22"/>
      <c r="D706" s="22"/>
    </row>
    <row r="707" ht="15.75" customHeight="1">
      <c r="A707" s="21"/>
      <c r="C707" s="22"/>
      <c r="D707" s="22"/>
    </row>
    <row r="708" ht="15.75" customHeight="1">
      <c r="A708" s="21"/>
      <c r="C708" s="22"/>
      <c r="D708" s="22"/>
    </row>
    <row r="709" ht="15.75" customHeight="1">
      <c r="A709" s="21"/>
      <c r="C709" s="22"/>
      <c r="D709" s="22"/>
    </row>
    <row r="710" ht="15.75" customHeight="1">
      <c r="A710" s="21"/>
      <c r="C710" s="22"/>
      <c r="D710" s="22"/>
    </row>
    <row r="711" ht="15.75" customHeight="1">
      <c r="A711" s="21"/>
      <c r="C711" s="22"/>
      <c r="D711" s="22"/>
    </row>
    <row r="712" ht="15.75" customHeight="1">
      <c r="A712" s="21"/>
      <c r="C712" s="22"/>
      <c r="D712" s="22"/>
    </row>
    <row r="713" ht="15.75" customHeight="1">
      <c r="A713" s="21"/>
      <c r="C713" s="22"/>
      <c r="D713" s="22"/>
    </row>
    <row r="714" ht="15.75" customHeight="1">
      <c r="A714" s="21"/>
      <c r="C714" s="22"/>
      <c r="D714" s="22"/>
    </row>
    <row r="715" ht="15.75" customHeight="1">
      <c r="A715" s="21"/>
      <c r="C715" s="22"/>
      <c r="D715" s="22"/>
    </row>
    <row r="716" ht="15.75" customHeight="1">
      <c r="A716" s="21"/>
      <c r="C716" s="22"/>
      <c r="D716" s="22"/>
    </row>
    <row r="717" ht="15.75" customHeight="1">
      <c r="A717" s="21"/>
      <c r="C717" s="22"/>
      <c r="D717" s="22"/>
    </row>
    <row r="718" ht="15.75" customHeight="1">
      <c r="A718" s="21"/>
      <c r="C718" s="22"/>
      <c r="D718" s="22"/>
    </row>
    <row r="719" ht="15.75" customHeight="1">
      <c r="A719" s="21"/>
      <c r="C719" s="22"/>
      <c r="D719" s="22"/>
    </row>
    <row r="720" ht="15.75" customHeight="1">
      <c r="A720" s="21"/>
      <c r="C720" s="22"/>
      <c r="D720" s="22"/>
    </row>
    <row r="721" ht="15.75" customHeight="1">
      <c r="A721" s="21"/>
      <c r="C721" s="22"/>
      <c r="D721" s="22"/>
    </row>
    <row r="722" ht="15.75" customHeight="1">
      <c r="A722" s="21"/>
      <c r="C722" s="22"/>
      <c r="D722" s="22"/>
    </row>
    <row r="723" ht="15.75" customHeight="1">
      <c r="A723" s="21"/>
      <c r="C723" s="22"/>
      <c r="D723" s="22"/>
    </row>
    <row r="724" ht="15.75" customHeight="1">
      <c r="A724" s="21"/>
      <c r="C724" s="22"/>
      <c r="D724" s="22"/>
    </row>
    <row r="725" ht="15.75" customHeight="1">
      <c r="A725" s="21"/>
      <c r="C725" s="22"/>
      <c r="D725" s="22"/>
    </row>
    <row r="726" ht="15.75" customHeight="1">
      <c r="A726" s="21"/>
      <c r="C726" s="22"/>
      <c r="D726" s="22"/>
    </row>
    <row r="727" ht="15.75" customHeight="1">
      <c r="A727" s="21"/>
      <c r="C727" s="22"/>
      <c r="D727" s="22"/>
    </row>
    <row r="728" ht="15.75" customHeight="1">
      <c r="A728" s="21"/>
      <c r="C728" s="22"/>
      <c r="D728" s="22"/>
    </row>
    <row r="729" ht="15.75" customHeight="1">
      <c r="A729" s="21"/>
      <c r="C729" s="22"/>
      <c r="D729" s="22"/>
    </row>
    <row r="730" ht="15.75" customHeight="1">
      <c r="A730" s="21"/>
      <c r="C730" s="22"/>
      <c r="D730" s="22"/>
    </row>
    <row r="731" ht="15.75" customHeight="1">
      <c r="A731" s="21"/>
      <c r="C731" s="22"/>
      <c r="D731" s="22"/>
    </row>
    <row r="732" ht="15.75" customHeight="1">
      <c r="A732" s="21"/>
      <c r="C732" s="22"/>
      <c r="D732" s="22"/>
    </row>
    <row r="733" ht="15.75" customHeight="1">
      <c r="A733" s="21"/>
      <c r="C733" s="22"/>
      <c r="D733" s="22"/>
    </row>
    <row r="734" ht="15.75" customHeight="1">
      <c r="A734" s="21"/>
      <c r="C734" s="22"/>
      <c r="D734" s="22"/>
    </row>
    <row r="735" ht="15.75" customHeight="1">
      <c r="A735" s="21"/>
      <c r="C735" s="22"/>
      <c r="D735" s="22"/>
    </row>
    <row r="736" ht="15.75" customHeight="1">
      <c r="A736" s="21"/>
      <c r="C736" s="22"/>
      <c r="D736" s="22"/>
    </row>
    <row r="737" ht="15.75" customHeight="1">
      <c r="A737" s="21"/>
      <c r="C737" s="22"/>
      <c r="D737" s="22"/>
    </row>
    <row r="738" ht="15.75" customHeight="1">
      <c r="A738" s="21"/>
      <c r="C738" s="22"/>
      <c r="D738" s="22"/>
    </row>
    <row r="739" ht="15.75" customHeight="1">
      <c r="A739" s="21"/>
      <c r="C739" s="22"/>
      <c r="D739" s="22"/>
    </row>
    <row r="740" ht="15.75" customHeight="1">
      <c r="A740" s="21"/>
      <c r="C740" s="22"/>
      <c r="D740" s="22"/>
    </row>
    <row r="741" ht="15.75" customHeight="1">
      <c r="A741" s="21"/>
      <c r="C741" s="22"/>
      <c r="D741" s="22"/>
    </row>
    <row r="742" ht="15.75" customHeight="1">
      <c r="A742" s="21"/>
      <c r="C742" s="22"/>
      <c r="D742" s="22"/>
    </row>
    <row r="743" ht="15.75" customHeight="1">
      <c r="A743" s="21"/>
      <c r="C743" s="22"/>
      <c r="D743" s="22"/>
    </row>
    <row r="744" ht="15.75" customHeight="1">
      <c r="A744" s="21"/>
      <c r="C744" s="22"/>
      <c r="D744" s="22"/>
    </row>
    <row r="745" ht="15.75" customHeight="1">
      <c r="A745" s="21"/>
      <c r="C745" s="22"/>
      <c r="D745" s="22"/>
    </row>
    <row r="746" ht="15.75" customHeight="1">
      <c r="A746" s="21"/>
      <c r="C746" s="22"/>
      <c r="D746" s="22"/>
    </row>
    <row r="747" ht="15.75" customHeight="1">
      <c r="A747" s="21"/>
      <c r="C747" s="22"/>
      <c r="D747" s="22"/>
    </row>
    <row r="748" ht="15.75" customHeight="1">
      <c r="A748" s="21"/>
      <c r="C748" s="22"/>
      <c r="D748" s="22"/>
    </row>
    <row r="749" ht="15.75" customHeight="1">
      <c r="A749" s="21"/>
      <c r="C749" s="22"/>
      <c r="D749" s="22"/>
    </row>
    <row r="750" ht="15.75" customHeight="1">
      <c r="A750" s="21"/>
      <c r="C750" s="22"/>
      <c r="D750" s="22"/>
    </row>
    <row r="751" ht="15.75" customHeight="1">
      <c r="A751" s="21"/>
      <c r="C751" s="22"/>
      <c r="D751" s="22"/>
    </row>
    <row r="752" ht="15.75" customHeight="1">
      <c r="A752" s="21"/>
      <c r="C752" s="22"/>
      <c r="D752" s="22"/>
    </row>
    <row r="753" ht="15.75" customHeight="1">
      <c r="A753" s="21"/>
      <c r="C753" s="22"/>
      <c r="D753" s="22"/>
    </row>
    <row r="754" ht="15.75" customHeight="1">
      <c r="A754" s="21"/>
      <c r="C754" s="22"/>
      <c r="D754" s="22"/>
    </row>
    <row r="755" ht="15.75" customHeight="1">
      <c r="A755" s="21"/>
      <c r="C755" s="22"/>
      <c r="D755" s="22"/>
    </row>
    <row r="756" ht="15.75" customHeight="1">
      <c r="A756" s="21"/>
      <c r="C756" s="22"/>
      <c r="D756" s="22"/>
    </row>
    <row r="757" ht="15.75" customHeight="1">
      <c r="A757" s="21"/>
      <c r="C757" s="22"/>
      <c r="D757" s="22"/>
    </row>
    <row r="758" ht="15.75" customHeight="1">
      <c r="A758" s="21"/>
      <c r="C758" s="22"/>
      <c r="D758" s="22"/>
    </row>
    <row r="759" ht="15.75" customHeight="1">
      <c r="A759" s="21"/>
      <c r="C759" s="22"/>
      <c r="D759" s="22"/>
    </row>
    <row r="760" ht="15.75" customHeight="1">
      <c r="A760" s="21"/>
      <c r="C760" s="22"/>
      <c r="D760" s="22"/>
    </row>
    <row r="761" ht="15.75" customHeight="1">
      <c r="A761" s="21"/>
      <c r="C761" s="22"/>
      <c r="D761" s="22"/>
    </row>
    <row r="762" ht="15.75" customHeight="1">
      <c r="A762" s="21"/>
      <c r="C762" s="22"/>
      <c r="D762" s="22"/>
    </row>
    <row r="763" ht="15.75" customHeight="1">
      <c r="A763" s="21"/>
      <c r="C763" s="22"/>
      <c r="D763" s="22"/>
    </row>
    <row r="764" ht="15.75" customHeight="1">
      <c r="A764" s="21"/>
      <c r="C764" s="22"/>
      <c r="D764" s="22"/>
    </row>
    <row r="765" ht="15.75" customHeight="1">
      <c r="A765" s="21"/>
      <c r="C765" s="22"/>
      <c r="D765" s="22"/>
    </row>
    <row r="766" ht="15.75" customHeight="1">
      <c r="A766" s="21"/>
      <c r="C766" s="22"/>
      <c r="D766" s="22"/>
    </row>
    <row r="767" ht="15.75" customHeight="1">
      <c r="A767" s="21"/>
      <c r="C767" s="22"/>
      <c r="D767" s="22"/>
    </row>
    <row r="768" ht="15.75" customHeight="1">
      <c r="A768" s="21"/>
      <c r="C768" s="22"/>
      <c r="D768" s="22"/>
    </row>
    <row r="769" ht="15.75" customHeight="1">
      <c r="A769" s="21"/>
      <c r="C769" s="22"/>
      <c r="D769" s="22"/>
    </row>
    <row r="770" ht="15.75" customHeight="1">
      <c r="A770" s="21"/>
      <c r="C770" s="22"/>
      <c r="D770" s="22"/>
    </row>
    <row r="771" ht="15.75" customHeight="1">
      <c r="A771" s="21"/>
      <c r="C771" s="22"/>
      <c r="D771" s="22"/>
    </row>
    <row r="772" ht="15.75" customHeight="1">
      <c r="A772" s="21"/>
      <c r="C772" s="22"/>
      <c r="D772" s="22"/>
    </row>
    <row r="773" ht="15.75" customHeight="1">
      <c r="A773" s="21"/>
      <c r="C773" s="22"/>
      <c r="D773" s="22"/>
    </row>
    <row r="774" ht="15.75" customHeight="1">
      <c r="A774" s="21"/>
      <c r="C774" s="22"/>
      <c r="D774" s="22"/>
    </row>
    <row r="775" ht="15.75" customHeight="1">
      <c r="A775" s="21"/>
      <c r="C775" s="22"/>
      <c r="D775" s="22"/>
    </row>
    <row r="776" ht="15.75" customHeight="1">
      <c r="A776" s="21"/>
      <c r="C776" s="22"/>
      <c r="D776" s="22"/>
    </row>
    <row r="777" ht="15.75" customHeight="1">
      <c r="A777" s="21"/>
      <c r="C777" s="22"/>
      <c r="D777" s="22"/>
    </row>
    <row r="778" ht="15.75" customHeight="1">
      <c r="A778" s="21"/>
      <c r="C778" s="22"/>
      <c r="D778" s="22"/>
    </row>
    <row r="779" ht="15.75" customHeight="1">
      <c r="A779" s="21"/>
      <c r="C779" s="22"/>
      <c r="D779" s="22"/>
    </row>
    <row r="780" ht="15.75" customHeight="1">
      <c r="A780" s="21"/>
      <c r="C780" s="22"/>
      <c r="D780" s="22"/>
    </row>
    <row r="781" ht="15.75" customHeight="1">
      <c r="A781" s="21"/>
      <c r="C781" s="22"/>
      <c r="D781" s="22"/>
    </row>
    <row r="782" ht="15.75" customHeight="1">
      <c r="A782" s="21"/>
      <c r="C782" s="22"/>
      <c r="D782" s="22"/>
    </row>
    <row r="783" ht="15.75" customHeight="1">
      <c r="A783" s="21"/>
      <c r="C783" s="22"/>
      <c r="D783" s="22"/>
    </row>
    <row r="784" ht="15.75" customHeight="1">
      <c r="A784" s="21"/>
      <c r="C784" s="22"/>
      <c r="D784" s="22"/>
    </row>
    <row r="785" ht="15.75" customHeight="1">
      <c r="A785" s="21"/>
      <c r="C785" s="22"/>
      <c r="D785" s="22"/>
    </row>
    <row r="786" ht="15.75" customHeight="1">
      <c r="A786" s="21"/>
      <c r="C786" s="22"/>
      <c r="D786" s="22"/>
    </row>
    <row r="787" ht="15.75" customHeight="1">
      <c r="A787" s="21"/>
      <c r="C787" s="22"/>
      <c r="D787" s="22"/>
    </row>
    <row r="788" ht="15.75" customHeight="1">
      <c r="A788" s="21"/>
      <c r="C788" s="22"/>
      <c r="D788" s="22"/>
    </row>
    <row r="789" ht="15.75" customHeight="1">
      <c r="A789" s="21"/>
      <c r="C789" s="22"/>
      <c r="D789" s="22"/>
    </row>
    <row r="790" ht="15.75" customHeight="1">
      <c r="A790" s="21"/>
      <c r="C790" s="22"/>
      <c r="D790" s="22"/>
    </row>
    <row r="791" ht="15.75" customHeight="1">
      <c r="A791" s="21"/>
      <c r="C791" s="22"/>
      <c r="D791" s="22"/>
    </row>
    <row r="792" ht="15.75" customHeight="1">
      <c r="A792" s="21"/>
      <c r="C792" s="22"/>
      <c r="D792" s="22"/>
    </row>
    <row r="793" ht="15.75" customHeight="1">
      <c r="A793" s="21"/>
      <c r="C793" s="22"/>
      <c r="D793" s="22"/>
    </row>
    <row r="794" ht="15.75" customHeight="1">
      <c r="A794" s="21"/>
      <c r="C794" s="22"/>
      <c r="D794" s="22"/>
    </row>
    <row r="795" ht="15.75" customHeight="1">
      <c r="A795" s="21"/>
      <c r="C795" s="22"/>
      <c r="D795" s="22"/>
    </row>
    <row r="796" ht="15.75" customHeight="1">
      <c r="A796" s="21"/>
      <c r="C796" s="22"/>
      <c r="D796" s="22"/>
    </row>
    <row r="797" ht="15.75" customHeight="1">
      <c r="A797" s="21"/>
      <c r="C797" s="22"/>
      <c r="D797" s="22"/>
    </row>
    <row r="798" ht="15.75" customHeight="1">
      <c r="A798" s="21"/>
      <c r="C798" s="22"/>
      <c r="D798" s="22"/>
    </row>
    <row r="799" ht="15.75" customHeight="1">
      <c r="A799" s="21"/>
      <c r="C799" s="22"/>
      <c r="D799" s="22"/>
    </row>
    <row r="800" ht="15.75" customHeight="1">
      <c r="A800" s="21"/>
      <c r="C800" s="22"/>
      <c r="D800" s="22"/>
    </row>
    <row r="801" ht="15.75" customHeight="1">
      <c r="A801" s="21"/>
      <c r="C801" s="22"/>
      <c r="D801" s="22"/>
    </row>
    <row r="802" ht="15.75" customHeight="1">
      <c r="A802" s="21"/>
      <c r="C802" s="22"/>
      <c r="D802" s="22"/>
    </row>
    <row r="803" ht="15.75" customHeight="1">
      <c r="A803" s="21"/>
      <c r="C803" s="22"/>
      <c r="D803" s="22"/>
    </row>
    <row r="804" ht="15.75" customHeight="1">
      <c r="A804" s="21"/>
      <c r="C804" s="22"/>
      <c r="D804" s="22"/>
    </row>
    <row r="805" ht="15.75" customHeight="1">
      <c r="A805" s="21"/>
      <c r="C805" s="22"/>
      <c r="D805" s="22"/>
    </row>
    <row r="806" ht="15.75" customHeight="1">
      <c r="A806" s="21"/>
      <c r="C806" s="22"/>
      <c r="D806" s="22"/>
    </row>
    <row r="807" ht="15.75" customHeight="1">
      <c r="A807" s="21"/>
      <c r="C807" s="22"/>
      <c r="D807" s="22"/>
    </row>
    <row r="808" ht="15.75" customHeight="1">
      <c r="A808" s="21"/>
      <c r="C808" s="22"/>
      <c r="D808" s="22"/>
    </row>
    <row r="809" ht="15.75" customHeight="1">
      <c r="A809" s="21"/>
      <c r="C809" s="22"/>
      <c r="D809" s="22"/>
    </row>
    <row r="810" ht="15.75" customHeight="1">
      <c r="A810" s="21"/>
      <c r="C810" s="22"/>
      <c r="D810" s="22"/>
    </row>
    <row r="811" ht="15.75" customHeight="1">
      <c r="A811" s="21"/>
      <c r="C811" s="22"/>
      <c r="D811" s="22"/>
    </row>
    <row r="812" ht="15.75" customHeight="1">
      <c r="A812" s="21"/>
      <c r="C812" s="22"/>
      <c r="D812" s="22"/>
    </row>
    <row r="813" ht="15.75" customHeight="1">
      <c r="A813" s="21"/>
      <c r="C813" s="22"/>
      <c r="D813" s="22"/>
    </row>
    <row r="814" ht="15.75" customHeight="1">
      <c r="A814" s="21"/>
      <c r="C814" s="22"/>
      <c r="D814" s="22"/>
    </row>
    <row r="815" ht="15.75" customHeight="1">
      <c r="A815" s="21"/>
      <c r="C815" s="22"/>
      <c r="D815" s="22"/>
    </row>
    <row r="816" ht="15.75" customHeight="1">
      <c r="A816" s="21"/>
      <c r="C816" s="22"/>
      <c r="D816" s="22"/>
    </row>
    <row r="817" ht="15.75" customHeight="1">
      <c r="A817" s="21"/>
      <c r="C817" s="22"/>
      <c r="D817" s="22"/>
    </row>
    <row r="818" ht="15.75" customHeight="1">
      <c r="A818" s="21"/>
      <c r="C818" s="22"/>
      <c r="D818" s="22"/>
    </row>
    <row r="819" ht="15.75" customHeight="1">
      <c r="A819" s="21"/>
      <c r="C819" s="22"/>
      <c r="D819" s="22"/>
    </row>
    <row r="820" ht="15.75" customHeight="1">
      <c r="A820" s="21"/>
      <c r="C820" s="22"/>
      <c r="D820" s="22"/>
    </row>
    <row r="821" ht="15.75" customHeight="1">
      <c r="A821" s="21"/>
      <c r="C821" s="22"/>
      <c r="D821" s="22"/>
    </row>
    <row r="822" ht="15.75" customHeight="1">
      <c r="A822" s="21"/>
      <c r="C822" s="22"/>
      <c r="D822" s="22"/>
    </row>
    <row r="823" ht="15.75" customHeight="1">
      <c r="A823" s="21"/>
      <c r="C823" s="22"/>
      <c r="D823" s="22"/>
    </row>
    <row r="824" ht="15.75" customHeight="1">
      <c r="A824" s="21"/>
      <c r="C824" s="22"/>
      <c r="D824" s="22"/>
    </row>
    <row r="825" ht="15.75" customHeight="1">
      <c r="A825" s="21"/>
      <c r="C825" s="22"/>
      <c r="D825" s="22"/>
    </row>
    <row r="826" ht="15.75" customHeight="1">
      <c r="A826" s="21"/>
      <c r="C826" s="22"/>
      <c r="D826" s="22"/>
    </row>
    <row r="827" ht="15.75" customHeight="1">
      <c r="A827" s="21"/>
      <c r="C827" s="22"/>
      <c r="D827" s="22"/>
    </row>
    <row r="828" ht="15.75" customHeight="1">
      <c r="A828" s="21"/>
      <c r="C828" s="22"/>
      <c r="D828" s="22"/>
    </row>
    <row r="829" ht="15.75" customHeight="1">
      <c r="A829" s="21"/>
      <c r="C829" s="22"/>
      <c r="D829" s="22"/>
    </row>
    <row r="830" ht="15.75" customHeight="1">
      <c r="A830" s="21"/>
      <c r="C830" s="22"/>
      <c r="D830" s="22"/>
    </row>
    <row r="831" ht="15.75" customHeight="1">
      <c r="A831" s="21"/>
      <c r="C831" s="22"/>
      <c r="D831" s="22"/>
    </row>
    <row r="832" ht="15.75" customHeight="1">
      <c r="A832" s="21"/>
      <c r="C832" s="22"/>
      <c r="D832" s="22"/>
    </row>
    <row r="833" ht="15.75" customHeight="1">
      <c r="A833" s="21"/>
      <c r="C833" s="22"/>
      <c r="D833" s="22"/>
    </row>
    <row r="834" ht="15.75" customHeight="1">
      <c r="A834" s="21"/>
      <c r="C834" s="22"/>
      <c r="D834" s="22"/>
    </row>
    <row r="835" ht="15.75" customHeight="1">
      <c r="A835" s="21"/>
      <c r="C835" s="22"/>
      <c r="D835" s="22"/>
    </row>
    <row r="836" ht="15.75" customHeight="1">
      <c r="A836" s="21"/>
      <c r="C836" s="22"/>
      <c r="D836" s="22"/>
    </row>
    <row r="837" ht="15.75" customHeight="1">
      <c r="A837" s="21"/>
      <c r="C837" s="22"/>
      <c r="D837" s="22"/>
    </row>
    <row r="838" ht="15.75" customHeight="1">
      <c r="A838" s="21"/>
      <c r="C838" s="22"/>
      <c r="D838" s="22"/>
    </row>
    <row r="839" ht="15.75" customHeight="1">
      <c r="A839" s="21"/>
      <c r="C839" s="22"/>
      <c r="D839" s="22"/>
    </row>
    <row r="840" ht="15.75" customHeight="1">
      <c r="A840" s="21"/>
      <c r="C840" s="22"/>
      <c r="D840" s="22"/>
    </row>
    <row r="841" ht="15.75" customHeight="1">
      <c r="A841" s="21"/>
      <c r="C841" s="22"/>
      <c r="D841" s="22"/>
    </row>
    <row r="842" ht="15.75" customHeight="1">
      <c r="A842" s="21"/>
      <c r="C842" s="22"/>
      <c r="D842" s="22"/>
    </row>
    <row r="843" ht="15.75" customHeight="1">
      <c r="A843" s="21"/>
      <c r="C843" s="22"/>
      <c r="D843" s="22"/>
    </row>
    <row r="844" ht="15.75" customHeight="1">
      <c r="A844" s="21"/>
      <c r="C844" s="22"/>
      <c r="D844" s="22"/>
    </row>
    <row r="845" ht="15.75" customHeight="1">
      <c r="A845" s="21"/>
      <c r="C845" s="22"/>
      <c r="D845" s="22"/>
    </row>
    <row r="846" ht="15.75" customHeight="1">
      <c r="A846" s="21"/>
      <c r="C846" s="22"/>
      <c r="D846" s="22"/>
    </row>
    <row r="847" ht="15.75" customHeight="1">
      <c r="A847" s="21"/>
      <c r="C847" s="22"/>
      <c r="D847" s="22"/>
    </row>
    <row r="848" ht="15.75" customHeight="1">
      <c r="A848" s="21"/>
      <c r="C848" s="22"/>
      <c r="D848" s="22"/>
    </row>
    <row r="849" ht="15.75" customHeight="1">
      <c r="A849" s="21"/>
      <c r="C849" s="22"/>
      <c r="D849" s="22"/>
    </row>
    <row r="850" ht="15.75" customHeight="1">
      <c r="A850" s="21"/>
      <c r="C850" s="22"/>
      <c r="D850" s="22"/>
    </row>
    <row r="851" ht="15.75" customHeight="1">
      <c r="A851" s="21"/>
      <c r="C851" s="22"/>
      <c r="D851" s="22"/>
    </row>
    <row r="852" ht="15.75" customHeight="1">
      <c r="A852" s="21"/>
      <c r="C852" s="22"/>
      <c r="D852" s="22"/>
    </row>
    <row r="853" ht="15.75" customHeight="1">
      <c r="A853" s="21"/>
      <c r="C853" s="22"/>
      <c r="D853" s="22"/>
    </row>
    <row r="854" ht="15.75" customHeight="1">
      <c r="A854" s="21"/>
      <c r="C854" s="22"/>
      <c r="D854" s="22"/>
    </row>
    <row r="855" ht="15.75" customHeight="1">
      <c r="A855" s="21"/>
      <c r="C855" s="22"/>
      <c r="D855" s="22"/>
    </row>
    <row r="856" ht="15.75" customHeight="1">
      <c r="A856" s="21"/>
      <c r="C856" s="22"/>
      <c r="D856" s="22"/>
    </row>
    <row r="857" ht="15.75" customHeight="1">
      <c r="A857" s="21"/>
      <c r="C857" s="22"/>
      <c r="D857" s="22"/>
    </row>
    <row r="858" ht="15.75" customHeight="1">
      <c r="A858" s="21"/>
      <c r="C858" s="22"/>
      <c r="D858" s="22"/>
    </row>
    <row r="859" ht="15.75" customHeight="1">
      <c r="A859" s="21"/>
      <c r="C859" s="22"/>
      <c r="D859" s="22"/>
    </row>
    <row r="860" ht="15.75" customHeight="1">
      <c r="A860" s="21"/>
      <c r="C860" s="22"/>
      <c r="D860" s="22"/>
    </row>
    <row r="861" ht="15.75" customHeight="1">
      <c r="A861" s="21"/>
      <c r="C861" s="22"/>
      <c r="D861" s="22"/>
    </row>
    <row r="862" ht="15.75" customHeight="1">
      <c r="A862" s="21"/>
      <c r="C862" s="22"/>
      <c r="D862" s="22"/>
    </row>
    <row r="863" ht="15.75" customHeight="1">
      <c r="A863" s="21"/>
      <c r="C863" s="22"/>
      <c r="D863" s="22"/>
    </row>
    <row r="864" ht="15.75" customHeight="1">
      <c r="A864" s="21"/>
      <c r="C864" s="22"/>
      <c r="D864" s="22"/>
    </row>
    <row r="865" ht="15.75" customHeight="1">
      <c r="A865" s="21"/>
      <c r="C865" s="22"/>
      <c r="D865" s="22"/>
    </row>
    <row r="866" ht="15.75" customHeight="1">
      <c r="A866" s="21"/>
      <c r="C866" s="22"/>
      <c r="D866" s="22"/>
    </row>
    <row r="867" ht="15.75" customHeight="1">
      <c r="A867" s="21"/>
      <c r="C867" s="22"/>
      <c r="D867" s="22"/>
    </row>
    <row r="868" ht="15.75" customHeight="1">
      <c r="A868" s="21"/>
      <c r="C868" s="22"/>
      <c r="D868" s="22"/>
    </row>
    <row r="869" ht="15.75" customHeight="1">
      <c r="A869" s="21"/>
      <c r="C869" s="22"/>
      <c r="D869" s="22"/>
    </row>
    <row r="870" ht="15.75" customHeight="1">
      <c r="A870" s="21"/>
      <c r="C870" s="22"/>
      <c r="D870" s="22"/>
    </row>
    <row r="871" ht="15.75" customHeight="1">
      <c r="A871" s="21"/>
      <c r="C871" s="22"/>
      <c r="D871" s="22"/>
    </row>
    <row r="872" ht="15.75" customHeight="1">
      <c r="A872" s="21"/>
      <c r="C872" s="22"/>
      <c r="D872" s="22"/>
    </row>
    <row r="873" ht="15.75" customHeight="1">
      <c r="A873" s="21"/>
      <c r="C873" s="22"/>
      <c r="D873" s="22"/>
    </row>
    <row r="874" ht="15.75" customHeight="1">
      <c r="A874" s="21"/>
      <c r="C874" s="22"/>
      <c r="D874" s="22"/>
    </row>
    <row r="875" ht="15.75" customHeight="1">
      <c r="A875" s="21"/>
      <c r="C875" s="22"/>
      <c r="D875" s="22"/>
    </row>
    <row r="876" ht="15.75" customHeight="1">
      <c r="A876" s="21"/>
      <c r="C876" s="22"/>
      <c r="D876" s="22"/>
    </row>
    <row r="877" ht="15.75" customHeight="1">
      <c r="A877" s="21"/>
      <c r="C877" s="22"/>
      <c r="D877" s="22"/>
    </row>
    <row r="878" ht="15.75" customHeight="1">
      <c r="A878" s="21"/>
      <c r="C878" s="22"/>
      <c r="D878" s="22"/>
    </row>
    <row r="879" ht="15.75" customHeight="1">
      <c r="A879" s="21"/>
      <c r="C879" s="22"/>
      <c r="D879" s="22"/>
    </row>
    <row r="880" ht="15.75" customHeight="1">
      <c r="A880" s="21"/>
      <c r="C880" s="22"/>
      <c r="D880" s="22"/>
    </row>
    <row r="881" ht="15.75" customHeight="1">
      <c r="A881" s="21"/>
      <c r="C881" s="22"/>
      <c r="D881" s="22"/>
    </row>
    <row r="882" ht="15.75" customHeight="1">
      <c r="A882" s="21"/>
      <c r="C882" s="22"/>
      <c r="D882" s="22"/>
    </row>
    <row r="883" ht="15.75" customHeight="1">
      <c r="A883" s="21"/>
      <c r="C883" s="22"/>
      <c r="D883" s="22"/>
    </row>
    <row r="884" ht="15.75" customHeight="1">
      <c r="A884" s="21"/>
      <c r="C884" s="22"/>
      <c r="D884" s="22"/>
    </row>
    <row r="885" ht="15.75" customHeight="1">
      <c r="A885" s="21"/>
      <c r="C885" s="22"/>
      <c r="D885" s="22"/>
    </row>
    <row r="886" ht="15.75" customHeight="1">
      <c r="A886" s="21"/>
      <c r="C886" s="22"/>
      <c r="D886" s="22"/>
    </row>
    <row r="887" ht="15.75" customHeight="1">
      <c r="A887" s="21"/>
      <c r="C887" s="22"/>
      <c r="D887" s="22"/>
    </row>
    <row r="888" ht="15.75" customHeight="1">
      <c r="A888" s="21"/>
      <c r="C888" s="22"/>
      <c r="D888" s="22"/>
    </row>
    <row r="889" ht="15.75" customHeight="1">
      <c r="A889" s="21"/>
      <c r="C889" s="22"/>
      <c r="D889" s="22"/>
    </row>
    <row r="890" ht="15.75" customHeight="1">
      <c r="A890" s="21"/>
      <c r="C890" s="22"/>
      <c r="D890" s="22"/>
    </row>
    <row r="891" ht="15.75" customHeight="1">
      <c r="A891" s="21"/>
      <c r="C891" s="22"/>
      <c r="D891" s="22"/>
    </row>
    <row r="892" ht="15.75" customHeight="1">
      <c r="A892" s="21"/>
      <c r="C892" s="22"/>
      <c r="D892" s="22"/>
    </row>
    <row r="893" ht="15.75" customHeight="1">
      <c r="A893" s="21"/>
      <c r="C893" s="22"/>
      <c r="D893" s="22"/>
    </row>
    <row r="894" ht="15.75" customHeight="1">
      <c r="A894" s="21"/>
      <c r="C894" s="22"/>
      <c r="D894" s="22"/>
    </row>
    <row r="895" ht="15.75" customHeight="1">
      <c r="A895" s="21"/>
      <c r="C895" s="22"/>
      <c r="D895" s="22"/>
    </row>
    <row r="896" ht="15.75" customHeight="1">
      <c r="A896" s="21"/>
      <c r="C896" s="22"/>
      <c r="D896" s="22"/>
    </row>
    <row r="897" ht="15.75" customHeight="1">
      <c r="A897" s="21"/>
      <c r="C897" s="22"/>
      <c r="D897" s="22"/>
    </row>
    <row r="898" ht="15.75" customHeight="1">
      <c r="A898" s="21"/>
      <c r="C898" s="22"/>
      <c r="D898" s="22"/>
    </row>
    <row r="899" ht="15.75" customHeight="1">
      <c r="A899" s="21"/>
      <c r="C899" s="22"/>
      <c r="D899" s="22"/>
    </row>
    <row r="900" ht="15.75" customHeight="1">
      <c r="A900" s="21"/>
      <c r="C900" s="22"/>
      <c r="D900" s="22"/>
    </row>
    <row r="901" ht="15.75" customHeight="1">
      <c r="A901" s="21"/>
      <c r="C901" s="22"/>
      <c r="D901" s="22"/>
    </row>
    <row r="902" ht="15.75" customHeight="1">
      <c r="A902" s="21"/>
      <c r="C902" s="22"/>
      <c r="D902" s="22"/>
    </row>
    <row r="903" ht="15.75" customHeight="1">
      <c r="A903" s="21"/>
      <c r="C903" s="22"/>
      <c r="D903" s="22"/>
    </row>
    <row r="904" ht="15.75" customHeight="1">
      <c r="A904" s="21"/>
      <c r="C904" s="22"/>
      <c r="D904" s="22"/>
    </row>
    <row r="905" ht="15.75" customHeight="1">
      <c r="A905" s="21"/>
      <c r="C905" s="22"/>
      <c r="D905" s="22"/>
    </row>
    <row r="906" ht="15.75" customHeight="1">
      <c r="A906" s="21"/>
      <c r="C906" s="22"/>
      <c r="D906" s="22"/>
    </row>
    <row r="907" ht="15.75" customHeight="1">
      <c r="A907" s="21"/>
      <c r="C907" s="22"/>
      <c r="D907" s="22"/>
    </row>
    <row r="908" ht="15.75" customHeight="1">
      <c r="A908" s="21"/>
      <c r="C908" s="22"/>
      <c r="D908" s="22"/>
    </row>
    <row r="909" ht="15.75" customHeight="1">
      <c r="A909" s="21"/>
      <c r="C909" s="22"/>
      <c r="D909" s="22"/>
    </row>
    <row r="910" ht="15.75" customHeight="1">
      <c r="A910" s="21"/>
      <c r="C910" s="22"/>
      <c r="D910" s="22"/>
    </row>
    <row r="911" ht="15.75" customHeight="1">
      <c r="A911" s="21"/>
      <c r="C911" s="22"/>
      <c r="D911" s="22"/>
    </row>
    <row r="912" ht="15.75" customHeight="1">
      <c r="A912" s="21"/>
      <c r="C912" s="22"/>
      <c r="D912" s="22"/>
    </row>
    <row r="913" ht="15.75" customHeight="1">
      <c r="A913" s="21"/>
      <c r="C913" s="22"/>
      <c r="D913" s="22"/>
    </row>
    <row r="914" ht="15.75" customHeight="1">
      <c r="A914" s="21"/>
      <c r="C914" s="22"/>
      <c r="D914" s="22"/>
    </row>
    <row r="915" ht="15.75" customHeight="1">
      <c r="A915" s="21"/>
      <c r="C915" s="22"/>
      <c r="D915" s="22"/>
    </row>
    <row r="916" ht="15.75" customHeight="1">
      <c r="A916" s="21"/>
      <c r="C916" s="22"/>
      <c r="D916" s="22"/>
    </row>
    <row r="917" ht="15.75" customHeight="1">
      <c r="A917" s="21"/>
      <c r="C917" s="22"/>
      <c r="D917" s="22"/>
    </row>
    <row r="918" ht="15.75" customHeight="1">
      <c r="A918" s="21"/>
      <c r="C918" s="22"/>
      <c r="D918" s="22"/>
    </row>
    <row r="919" ht="15.75" customHeight="1">
      <c r="A919" s="21"/>
      <c r="C919" s="22"/>
      <c r="D919" s="22"/>
    </row>
    <row r="920" ht="15.75" customHeight="1">
      <c r="A920" s="21"/>
      <c r="C920" s="22"/>
      <c r="D920" s="22"/>
    </row>
    <row r="921" ht="15.75" customHeight="1">
      <c r="A921" s="21"/>
      <c r="C921" s="22"/>
      <c r="D921" s="22"/>
    </row>
    <row r="922" ht="15.75" customHeight="1">
      <c r="A922" s="21"/>
      <c r="C922" s="22"/>
      <c r="D922" s="22"/>
    </row>
    <row r="923" ht="15.75" customHeight="1">
      <c r="A923" s="21"/>
      <c r="C923" s="22"/>
      <c r="D923" s="22"/>
    </row>
    <row r="924" ht="15.75" customHeight="1">
      <c r="A924" s="21"/>
      <c r="C924" s="22"/>
      <c r="D924" s="22"/>
    </row>
    <row r="925" ht="15.75" customHeight="1">
      <c r="A925" s="21"/>
      <c r="C925" s="22"/>
      <c r="D925" s="22"/>
    </row>
    <row r="926" ht="15.75" customHeight="1">
      <c r="A926" s="21"/>
      <c r="C926" s="22"/>
      <c r="D926" s="22"/>
    </row>
    <row r="927" ht="15.75" customHeight="1">
      <c r="A927" s="21"/>
      <c r="C927" s="22"/>
      <c r="D927" s="22"/>
    </row>
    <row r="928" ht="15.75" customHeight="1">
      <c r="A928" s="21"/>
      <c r="C928" s="22"/>
      <c r="D928" s="22"/>
    </row>
    <row r="929" ht="15.75" customHeight="1">
      <c r="A929" s="21"/>
      <c r="C929" s="22"/>
      <c r="D929" s="22"/>
    </row>
    <row r="930" ht="15.75" customHeight="1">
      <c r="A930" s="21"/>
      <c r="C930" s="22"/>
      <c r="D930" s="22"/>
    </row>
    <row r="931" ht="15.75" customHeight="1">
      <c r="A931" s="21"/>
      <c r="C931" s="22"/>
      <c r="D931" s="22"/>
    </row>
    <row r="932" ht="15.75" customHeight="1">
      <c r="A932" s="21"/>
      <c r="C932" s="22"/>
      <c r="D932" s="22"/>
    </row>
    <row r="933" ht="15.75" customHeight="1">
      <c r="A933" s="21"/>
      <c r="C933" s="22"/>
      <c r="D933" s="22"/>
    </row>
    <row r="934" ht="15.75" customHeight="1">
      <c r="A934" s="21"/>
      <c r="C934" s="22"/>
      <c r="D934" s="22"/>
    </row>
    <row r="935" ht="15.75" customHeight="1">
      <c r="A935" s="21"/>
      <c r="C935" s="22"/>
      <c r="D935" s="22"/>
    </row>
    <row r="936" ht="15.75" customHeight="1">
      <c r="A936" s="21"/>
      <c r="C936" s="22"/>
      <c r="D936" s="22"/>
    </row>
    <row r="937" ht="15.75" customHeight="1">
      <c r="A937" s="21"/>
      <c r="C937" s="22"/>
      <c r="D937" s="22"/>
    </row>
    <row r="938" ht="15.75" customHeight="1">
      <c r="A938" s="21"/>
      <c r="C938" s="22"/>
      <c r="D938" s="22"/>
    </row>
    <row r="939" ht="15.75" customHeight="1">
      <c r="A939" s="21"/>
      <c r="C939" s="22"/>
      <c r="D939" s="22"/>
    </row>
    <row r="940" ht="15.75" customHeight="1">
      <c r="A940" s="21"/>
      <c r="C940" s="22"/>
      <c r="D940" s="22"/>
    </row>
    <row r="941" ht="15.75" customHeight="1">
      <c r="A941" s="21"/>
      <c r="C941" s="22"/>
      <c r="D941" s="22"/>
    </row>
    <row r="942" ht="15.75" customHeight="1">
      <c r="A942" s="21"/>
      <c r="C942" s="22"/>
      <c r="D942" s="22"/>
    </row>
    <row r="943" ht="15.75" customHeight="1">
      <c r="A943" s="21"/>
      <c r="C943" s="22"/>
      <c r="D943" s="22"/>
    </row>
    <row r="944" ht="15.75" customHeight="1">
      <c r="A944" s="21"/>
      <c r="C944" s="22"/>
      <c r="D944" s="22"/>
    </row>
    <row r="945" ht="15.75" customHeight="1">
      <c r="A945" s="21"/>
      <c r="C945" s="22"/>
      <c r="D945" s="22"/>
    </row>
    <row r="946" ht="15.75" customHeight="1">
      <c r="A946" s="21"/>
      <c r="C946" s="22"/>
      <c r="D946" s="22"/>
    </row>
    <row r="947" ht="15.75" customHeight="1">
      <c r="A947" s="21"/>
      <c r="C947" s="22"/>
      <c r="D947" s="22"/>
    </row>
    <row r="948" ht="15.75" customHeight="1">
      <c r="A948" s="21"/>
      <c r="C948" s="22"/>
      <c r="D948" s="22"/>
    </row>
    <row r="949" ht="15.75" customHeight="1">
      <c r="A949" s="21"/>
      <c r="C949" s="22"/>
      <c r="D949" s="22"/>
    </row>
    <row r="950" ht="15.75" customHeight="1">
      <c r="A950" s="21"/>
      <c r="C950" s="22"/>
      <c r="D950" s="22"/>
    </row>
    <row r="951" ht="15.75" customHeight="1">
      <c r="A951" s="21"/>
      <c r="C951" s="22"/>
      <c r="D951" s="22"/>
    </row>
    <row r="952" ht="15.75" customHeight="1">
      <c r="A952" s="21"/>
      <c r="C952" s="22"/>
      <c r="D952" s="22"/>
    </row>
    <row r="953" ht="15.75" customHeight="1">
      <c r="A953" s="21"/>
      <c r="C953" s="22"/>
      <c r="D953" s="22"/>
    </row>
    <row r="954" ht="15.75" customHeight="1">
      <c r="A954" s="21"/>
      <c r="C954" s="22"/>
      <c r="D954" s="22"/>
    </row>
    <row r="955" ht="15.75" customHeight="1">
      <c r="A955" s="21"/>
      <c r="C955" s="22"/>
      <c r="D955" s="22"/>
    </row>
    <row r="956" ht="15.75" customHeight="1">
      <c r="A956" s="21"/>
      <c r="C956" s="22"/>
      <c r="D956" s="22"/>
    </row>
    <row r="957" ht="15.75" customHeight="1">
      <c r="A957" s="21"/>
      <c r="C957" s="22"/>
      <c r="D957" s="22"/>
    </row>
    <row r="958" ht="15.75" customHeight="1">
      <c r="A958" s="21"/>
      <c r="C958" s="22"/>
      <c r="D958" s="22"/>
    </row>
    <row r="959" ht="15.75" customHeight="1">
      <c r="A959" s="21"/>
      <c r="C959" s="22"/>
      <c r="D959" s="22"/>
    </row>
    <row r="960" ht="15.75" customHeight="1">
      <c r="A960" s="21"/>
      <c r="C960" s="22"/>
      <c r="D960" s="22"/>
    </row>
    <row r="961" ht="15.75" customHeight="1">
      <c r="A961" s="21"/>
      <c r="C961" s="22"/>
      <c r="D961" s="22"/>
    </row>
    <row r="962" ht="15.75" customHeight="1">
      <c r="A962" s="21"/>
      <c r="C962" s="22"/>
      <c r="D962" s="22"/>
    </row>
    <row r="963" ht="15.75" customHeight="1">
      <c r="A963" s="21"/>
      <c r="C963" s="22"/>
      <c r="D963" s="22"/>
    </row>
    <row r="964" ht="15.75" customHeight="1">
      <c r="A964" s="21"/>
      <c r="C964" s="22"/>
      <c r="D964" s="22"/>
    </row>
    <row r="965" ht="15.75" customHeight="1">
      <c r="A965" s="21"/>
      <c r="C965" s="22"/>
      <c r="D965" s="22"/>
    </row>
    <row r="966" ht="15.75" customHeight="1">
      <c r="A966" s="21"/>
      <c r="C966" s="22"/>
      <c r="D966" s="22"/>
    </row>
    <row r="967" ht="15.75" customHeight="1">
      <c r="A967" s="21"/>
      <c r="C967" s="22"/>
      <c r="D967" s="22"/>
    </row>
    <row r="968" ht="15.75" customHeight="1">
      <c r="A968" s="21"/>
      <c r="C968" s="22"/>
      <c r="D968" s="22"/>
    </row>
    <row r="969" ht="15.75" customHeight="1">
      <c r="A969" s="21"/>
      <c r="C969" s="22"/>
      <c r="D969" s="22"/>
    </row>
    <row r="970" ht="15.75" customHeight="1">
      <c r="A970" s="21"/>
      <c r="C970" s="22"/>
      <c r="D970" s="22"/>
    </row>
    <row r="971" ht="15.75" customHeight="1">
      <c r="A971" s="21"/>
      <c r="C971" s="22"/>
      <c r="D971" s="22"/>
    </row>
    <row r="972" ht="15.75" customHeight="1">
      <c r="A972" s="21"/>
      <c r="C972" s="22"/>
      <c r="D972" s="22"/>
    </row>
    <row r="973" ht="15.75" customHeight="1">
      <c r="A973" s="21"/>
      <c r="C973" s="22"/>
      <c r="D973" s="22"/>
    </row>
    <row r="974" ht="15.75" customHeight="1">
      <c r="A974" s="21"/>
      <c r="C974" s="22"/>
      <c r="D974" s="22"/>
    </row>
    <row r="975" ht="15.75" customHeight="1">
      <c r="A975" s="21"/>
      <c r="C975" s="22"/>
      <c r="D975" s="22"/>
    </row>
    <row r="976" ht="15.75" customHeight="1">
      <c r="A976" s="21"/>
      <c r="C976" s="22"/>
      <c r="D976" s="22"/>
    </row>
    <row r="977" ht="15.75" customHeight="1">
      <c r="A977" s="21"/>
      <c r="C977" s="22"/>
      <c r="D977" s="22"/>
    </row>
    <row r="978" ht="15.75" customHeight="1">
      <c r="A978" s="21"/>
      <c r="C978" s="22"/>
      <c r="D978" s="22"/>
    </row>
    <row r="979" ht="15.75" customHeight="1">
      <c r="A979" s="21"/>
      <c r="C979" s="22"/>
      <c r="D979" s="22"/>
    </row>
    <row r="980" ht="15.75" customHeight="1">
      <c r="A980" s="21"/>
      <c r="C980" s="22"/>
      <c r="D980" s="22"/>
    </row>
    <row r="981" ht="15.75" customHeight="1">
      <c r="A981" s="21"/>
      <c r="C981" s="22"/>
      <c r="D981" s="22"/>
    </row>
    <row r="982" ht="15.75" customHeight="1">
      <c r="A982" s="21"/>
      <c r="C982" s="22"/>
      <c r="D982" s="22"/>
    </row>
    <row r="983" ht="15.75" customHeight="1">
      <c r="A983" s="21"/>
      <c r="C983" s="22"/>
      <c r="D983" s="22"/>
    </row>
    <row r="984" ht="15.75" customHeight="1">
      <c r="A984" s="21"/>
      <c r="C984" s="22"/>
      <c r="D984" s="22"/>
    </row>
    <row r="985" ht="15.75" customHeight="1">
      <c r="A985" s="21"/>
      <c r="C985" s="22"/>
      <c r="D985" s="22"/>
    </row>
    <row r="986" ht="15.75" customHeight="1">
      <c r="A986" s="21"/>
      <c r="C986" s="22"/>
      <c r="D986" s="22"/>
    </row>
    <row r="987" ht="15.75" customHeight="1">
      <c r="A987" s="21"/>
      <c r="C987" s="22"/>
      <c r="D987" s="22"/>
    </row>
    <row r="988" ht="15.75" customHeight="1">
      <c r="A988" s="21"/>
      <c r="C988" s="22"/>
      <c r="D988" s="22"/>
    </row>
    <row r="989" ht="15.75" customHeight="1">
      <c r="A989" s="21"/>
      <c r="C989" s="22"/>
      <c r="D989" s="22"/>
    </row>
    <row r="990" ht="15.75" customHeight="1">
      <c r="A990" s="21"/>
      <c r="C990" s="22"/>
      <c r="D990" s="22"/>
    </row>
    <row r="991" ht="15.75" customHeight="1">
      <c r="A991" s="21"/>
      <c r="C991" s="22"/>
      <c r="D991" s="22"/>
    </row>
    <row r="992" ht="15.75" customHeight="1">
      <c r="A992" s="21"/>
      <c r="C992" s="22"/>
      <c r="D992" s="22"/>
    </row>
    <row r="993" ht="15.75" customHeight="1">
      <c r="A993" s="21"/>
      <c r="C993" s="22"/>
      <c r="D993" s="22"/>
    </row>
    <row r="994" ht="15.75" customHeight="1">
      <c r="A994" s="21"/>
      <c r="C994" s="22"/>
      <c r="D994" s="22"/>
    </row>
    <row r="995" ht="15.75" customHeight="1">
      <c r="A995" s="21"/>
      <c r="C995" s="22"/>
      <c r="D995" s="22"/>
    </row>
    <row r="996" ht="15.75" customHeight="1">
      <c r="A996" s="21"/>
      <c r="C996" s="22"/>
      <c r="D996" s="22"/>
    </row>
    <row r="997" ht="15.75" customHeight="1">
      <c r="A997" s="21"/>
      <c r="C997" s="22"/>
      <c r="D997" s="22"/>
    </row>
    <row r="998" ht="15.75" customHeight="1">
      <c r="A998" s="21"/>
      <c r="C998" s="22"/>
      <c r="D998" s="22"/>
    </row>
    <row r="999" ht="15.75" customHeight="1">
      <c r="A999" s="21"/>
      <c r="C999" s="22"/>
      <c r="D999" s="22"/>
    </row>
    <row r="1000" ht="15.75" customHeight="1">
      <c r="A1000" s="21"/>
      <c r="C1000" s="22"/>
      <c r="D1000" s="22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4" max="4" width="15.13"/>
  </cols>
  <sheetData>
    <row r="1" ht="15.75" customHeight="1">
      <c r="A1" s="24" t="s">
        <v>359</v>
      </c>
      <c r="B1" s="9" t="s">
        <v>360</v>
      </c>
      <c r="C1" s="11" t="s">
        <v>14</v>
      </c>
      <c r="D1" s="11" t="s">
        <v>356</v>
      </c>
    </row>
    <row r="2" ht="15.75" customHeight="1">
      <c r="A2" s="8">
        <v>1.0</v>
      </c>
      <c r="B2" s="9" t="s">
        <v>361</v>
      </c>
      <c r="C2" s="10">
        <v>0.3602272900577446</v>
      </c>
      <c r="D2" s="18">
        <v>0.3534770322712678</v>
      </c>
    </row>
    <row r="3" ht="15.75" customHeight="1">
      <c r="A3" s="8">
        <v>2.0</v>
      </c>
      <c r="B3" s="9" t="s">
        <v>362</v>
      </c>
      <c r="C3" s="10">
        <v>0.23548594159467073</v>
      </c>
      <c r="D3" s="18">
        <v>0.2915013818532456</v>
      </c>
    </row>
    <row r="4" ht="15.75" customHeight="1">
      <c r="A4" s="8">
        <v>3.0</v>
      </c>
      <c r="B4" s="9" t="s">
        <v>132</v>
      </c>
      <c r="C4" s="10">
        <v>0.28122859779042153</v>
      </c>
      <c r="D4" s="18">
        <v>0.34019267335021197</v>
      </c>
    </row>
    <row r="5" ht="15.75" customHeight="1">
      <c r="A5" s="8">
        <v>4.0</v>
      </c>
      <c r="B5" s="9" t="s">
        <v>180</v>
      </c>
      <c r="C5" s="10">
        <v>0.2244322443340531</v>
      </c>
      <c r="D5" s="18">
        <v>0.24202280376642238</v>
      </c>
    </row>
    <row r="6" ht="15.75" customHeight="1">
      <c r="A6" s="8">
        <v>5.0</v>
      </c>
      <c r="B6" s="9" t="s">
        <v>215</v>
      </c>
      <c r="C6" s="10">
        <v>0.2258489825142073</v>
      </c>
      <c r="D6" s="18">
        <v>0.2881100860662193</v>
      </c>
    </row>
    <row r="7" ht="15.75" customHeight="1">
      <c r="A7" s="8">
        <v>6.0</v>
      </c>
      <c r="B7" s="9" t="s">
        <v>257</v>
      </c>
      <c r="C7" s="10">
        <v>0.5576016346037197</v>
      </c>
      <c r="D7" s="18">
        <v>0.4102790006791588</v>
      </c>
    </row>
    <row r="8" ht="15.75" customHeight="1">
      <c r="A8" s="8">
        <v>7.0</v>
      </c>
      <c r="B8" s="9" t="s">
        <v>363</v>
      </c>
      <c r="C8" s="10">
        <v>0.5467167370620261</v>
      </c>
      <c r="D8" s="18">
        <v>0.47351727007382166</v>
      </c>
    </row>
    <row r="9" ht="15.75" customHeight="1">
      <c r="A9" s="8">
        <v>8.0</v>
      </c>
      <c r="B9" s="9" t="s">
        <v>364</v>
      </c>
      <c r="C9" s="10">
        <v>0.7067104255462249</v>
      </c>
      <c r="D9" s="18">
        <v>0.49771647290025123</v>
      </c>
    </row>
    <row r="10" ht="15.75" customHeight="1">
      <c r="A10" s="8">
        <v>9.0</v>
      </c>
      <c r="B10" s="9" t="s">
        <v>365</v>
      </c>
      <c r="C10" s="10">
        <v>0.7824200718353883</v>
      </c>
      <c r="D10" s="18">
        <v>0.7682779868218784</v>
      </c>
    </row>
    <row r="11" ht="15.75" customHeight="1">
      <c r="A11" s="8">
        <v>10.0</v>
      </c>
      <c r="B11" s="9" t="s">
        <v>354</v>
      </c>
      <c r="C11" s="10">
        <v>0.4741650994226459</v>
      </c>
      <c r="D11" s="18">
        <v>0.27048906073740747</v>
      </c>
    </row>
    <row r="12" ht="15.75" customHeight="1">
      <c r="A12" s="8">
        <v>11.0</v>
      </c>
      <c r="B12" s="9" t="s">
        <v>355</v>
      </c>
      <c r="C12" s="10">
        <v>0.39167546343135085</v>
      </c>
      <c r="D12" s="18">
        <v>0.3506449237059305</v>
      </c>
    </row>
    <row r="13" ht="15.75" customHeight="1">
      <c r="A13" s="21"/>
      <c r="B13" s="27"/>
      <c r="C13" s="22"/>
      <c r="D13" s="22"/>
    </row>
    <row r="14" ht="15.75" customHeight="1">
      <c r="A14" s="21"/>
      <c r="B14" s="27"/>
      <c r="C14" s="22"/>
      <c r="D14" s="22"/>
    </row>
    <row r="15" ht="15.75" customHeight="1">
      <c r="A15" s="21"/>
      <c r="B15" s="27"/>
      <c r="C15" s="22"/>
      <c r="D15" s="22"/>
    </row>
    <row r="16" ht="15.75" customHeight="1">
      <c r="A16" s="21"/>
      <c r="B16" s="27"/>
      <c r="C16" s="22"/>
      <c r="D16" s="22"/>
    </row>
    <row r="17" ht="15.75" customHeight="1">
      <c r="A17" s="21"/>
      <c r="B17" s="27"/>
      <c r="C17" s="22"/>
      <c r="D17" s="22"/>
    </row>
    <row r="18" ht="15.75" customHeight="1">
      <c r="A18" s="21"/>
      <c r="B18" s="27"/>
      <c r="C18" s="22"/>
      <c r="D18" s="22"/>
    </row>
    <row r="19" ht="15.75" customHeight="1">
      <c r="A19" s="21"/>
      <c r="B19" s="27"/>
      <c r="C19" s="22"/>
      <c r="D19" s="22"/>
    </row>
    <row r="20" ht="15.75" customHeight="1">
      <c r="A20" s="21"/>
      <c r="B20" s="27"/>
      <c r="C20" s="22"/>
      <c r="D20" s="22"/>
    </row>
    <row r="21" ht="15.75" customHeight="1">
      <c r="A21" s="21"/>
      <c r="B21" s="27"/>
      <c r="C21" s="22"/>
      <c r="D21" s="22"/>
    </row>
    <row r="22" ht="15.75" customHeight="1">
      <c r="A22" s="21"/>
      <c r="B22" s="27"/>
      <c r="C22" s="22"/>
      <c r="D22" s="22"/>
    </row>
    <row r="23" ht="15.75" customHeight="1">
      <c r="A23" s="21"/>
      <c r="B23" s="27"/>
      <c r="C23" s="22"/>
      <c r="D23" s="22"/>
    </row>
    <row r="24" ht="15.75" customHeight="1">
      <c r="A24" s="21"/>
      <c r="B24" s="27"/>
      <c r="C24" s="22"/>
      <c r="D24" s="22"/>
    </row>
    <row r="25" ht="15.75" customHeight="1">
      <c r="A25" s="21"/>
      <c r="B25" s="27"/>
      <c r="C25" s="22"/>
      <c r="D25" s="22"/>
    </row>
    <row r="26" ht="15.75" customHeight="1">
      <c r="A26" s="21"/>
      <c r="B26" s="27"/>
      <c r="C26" s="22"/>
      <c r="D26" s="22"/>
    </row>
    <row r="27" ht="15.75" customHeight="1">
      <c r="A27" s="21"/>
      <c r="B27" s="27"/>
      <c r="C27" s="22"/>
      <c r="D27" s="22"/>
    </row>
    <row r="28" ht="15.75" customHeight="1">
      <c r="A28" s="21"/>
      <c r="B28" s="27"/>
      <c r="C28" s="22"/>
      <c r="D28" s="22"/>
    </row>
    <row r="29" ht="15.75" customHeight="1">
      <c r="A29" s="21"/>
      <c r="B29" s="27"/>
      <c r="C29" s="22"/>
      <c r="D29" s="22"/>
    </row>
    <row r="30" ht="15.75" customHeight="1">
      <c r="A30" s="21"/>
      <c r="B30" s="27"/>
      <c r="C30" s="22"/>
      <c r="D30" s="22"/>
    </row>
    <row r="31" ht="15.75" customHeight="1">
      <c r="A31" s="21"/>
      <c r="B31" s="27"/>
      <c r="C31" s="22"/>
      <c r="D31" s="22"/>
    </row>
    <row r="32" ht="15.75" customHeight="1">
      <c r="A32" s="21"/>
      <c r="B32" s="27"/>
      <c r="C32" s="22"/>
      <c r="D32" s="22"/>
    </row>
    <row r="33" ht="15.75" customHeight="1">
      <c r="A33" s="21"/>
      <c r="B33" s="27"/>
      <c r="C33" s="22"/>
      <c r="D33" s="22"/>
    </row>
    <row r="34" ht="15.75" customHeight="1">
      <c r="A34" s="21"/>
      <c r="B34" s="27"/>
      <c r="C34" s="22"/>
      <c r="D34" s="22"/>
    </row>
    <row r="35" ht="15.75" customHeight="1">
      <c r="A35" s="21"/>
      <c r="B35" s="27"/>
      <c r="C35" s="22"/>
      <c r="D35" s="22"/>
    </row>
    <row r="36" ht="15.75" customHeight="1">
      <c r="A36" s="21"/>
      <c r="B36" s="27"/>
      <c r="C36" s="22"/>
      <c r="D36" s="22"/>
    </row>
    <row r="37" ht="15.75" customHeight="1">
      <c r="A37" s="21"/>
      <c r="B37" s="27"/>
      <c r="C37" s="22"/>
      <c r="D37" s="22"/>
    </row>
    <row r="38" ht="15.75" customHeight="1">
      <c r="A38" s="21"/>
      <c r="B38" s="27"/>
      <c r="C38" s="22"/>
      <c r="D38" s="22"/>
    </row>
    <row r="39" ht="15.75" customHeight="1">
      <c r="A39" s="21"/>
      <c r="B39" s="27"/>
      <c r="C39" s="22"/>
      <c r="D39" s="22"/>
    </row>
    <row r="40" ht="15.75" customHeight="1">
      <c r="A40" s="21"/>
      <c r="B40" s="27"/>
      <c r="C40" s="22"/>
      <c r="D40" s="22"/>
    </row>
    <row r="41" ht="15.75" customHeight="1">
      <c r="A41" s="21"/>
      <c r="B41" s="27"/>
      <c r="C41" s="22"/>
      <c r="D41" s="22"/>
    </row>
    <row r="42" ht="15.75" customHeight="1">
      <c r="A42" s="21"/>
      <c r="B42" s="27"/>
      <c r="C42" s="22"/>
      <c r="D42" s="22"/>
    </row>
    <row r="43" ht="15.75" customHeight="1">
      <c r="A43" s="21"/>
      <c r="B43" s="27"/>
      <c r="C43" s="22"/>
      <c r="D43" s="22"/>
    </row>
    <row r="44" ht="15.75" customHeight="1">
      <c r="A44" s="21"/>
      <c r="B44" s="27"/>
      <c r="C44" s="22"/>
      <c r="D44" s="22"/>
    </row>
    <row r="45" ht="15.75" customHeight="1">
      <c r="A45" s="21"/>
      <c r="B45" s="27"/>
      <c r="C45" s="22"/>
      <c r="D45" s="22"/>
    </row>
    <row r="46" ht="15.75" customHeight="1">
      <c r="A46" s="21"/>
      <c r="B46" s="27"/>
      <c r="C46" s="22"/>
      <c r="D46" s="22"/>
    </row>
    <row r="47" ht="15.75" customHeight="1">
      <c r="A47" s="21"/>
      <c r="B47" s="27"/>
      <c r="C47" s="22"/>
      <c r="D47" s="22"/>
    </row>
    <row r="48" ht="15.75" customHeight="1">
      <c r="A48" s="21"/>
      <c r="B48" s="27"/>
      <c r="C48" s="22"/>
      <c r="D48" s="22"/>
    </row>
    <row r="49" ht="15.75" customHeight="1">
      <c r="A49" s="21"/>
      <c r="B49" s="27"/>
      <c r="C49" s="22"/>
      <c r="D49" s="22"/>
    </row>
    <row r="50" ht="15.75" customHeight="1">
      <c r="A50" s="21"/>
      <c r="B50" s="27"/>
      <c r="C50" s="22"/>
      <c r="D50" s="22"/>
    </row>
    <row r="51" ht="15.75" customHeight="1">
      <c r="A51" s="21"/>
      <c r="B51" s="27"/>
      <c r="C51" s="22"/>
      <c r="D51" s="22"/>
    </row>
    <row r="52" ht="15.75" customHeight="1">
      <c r="A52" s="21"/>
      <c r="B52" s="27"/>
      <c r="C52" s="22"/>
      <c r="D52" s="22"/>
    </row>
    <row r="53" ht="15.75" customHeight="1">
      <c r="A53" s="21"/>
      <c r="B53" s="27"/>
      <c r="C53" s="22"/>
      <c r="D53" s="22"/>
    </row>
    <row r="54" ht="15.75" customHeight="1">
      <c r="A54" s="21"/>
      <c r="B54" s="27"/>
      <c r="C54" s="22"/>
      <c r="D54" s="22"/>
    </row>
    <row r="55" ht="15.75" customHeight="1">
      <c r="A55" s="21"/>
      <c r="B55" s="27"/>
      <c r="C55" s="22"/>
      <c r="D55" s="22"/>
    </row>
    <row r="56" ht="15.75" customHeight="1">
      <c r="A56" s="21"/>
      <c r="B56" s="27"/>
      <c r="C56" s="22"/>
      <c r="D56" s="22"/>
    </row>
    <row r="57" ht="15.75" customHeight="1">
      <c r="A57" s="21"/>
      <c r="B57" s="27"/>
      <c r="C57" s="22"/>
      <c r="D57" s="22"/>
    </row>
    <row r="58" ht="15.75" customHeight="1">
      <c r="A58" s="21"/>
      <c r="B58" s="27"/>
      <c r="C58" s="22"/>
      <c r="D58" s="22"/>
    </row>
    <row r="59" ht="15.75" customHeight="1">
      <c r="A59" s="21"/>
      <c r="B59" s="27"/>
      <c r="C59" s="22"/>
      <c r="D59" s="22"/>
    </row>
    <row r="60" ht="15.75" customHeight="1">
      <c r="A60" s="21"/>
      <c r="B60" s="27"/>
      <c r="C60" s="22"/>
      <c r="D60" s="22"/>
    </row>
    <row r="61" ht="15.75" customHeight="1">
      <c r="A61" s="21"/>
      <c r="B61" s="27"/>
      <c r="C61" s="22"/>
      <c r="D61" s="22"/>
    </row>
    <row r="62" ht="15.75" customHeight="1">
      <c r="A62" s="21"/>
      <c r="B62" s="27"/>
      <c r="C62" s="22"/>
      <c r="D62" s="22"/>
    </row>
    <row r="63" ht="15.75" customHeight="1">
      <c r="A63" s="21"/>
      <c r="B63" s="27"/>
      <c r="C63" s="22"/>
      <c r="D63" s="22"/>
    </row>
    <row r="64" ht="15.75" customHeight="1">
      <c r="A64" s="21"/>
      <c r="B64" s="27"/>
      <c r="C64" s="22"/>
      <c r="D64" s="22"/>
    </row>
    <row r="65" ht="15.75" customHeight="1">
      <c r="A65" s="21"/>
      <c r="B65" s="27"/>
      <c r="C65" s="22"/>
      <c r="D65" s="22"/>
    </row>
    <row r="66" ht="15.75" customHeight="1">
      <c r="A66" s="21"/>
      <c r="B66" s="27"/>
      <c r="C66" s="22"/>
      <c r="D66" s="22"/>
    </row>
    <row r="67" ht="15.75" customHeight="1">
      <c r="A67" s="21"/>
      <c r="B67" s="27"/>
      <c r="C67" s="22"/>
      <c r="D67" s="22"/>
    </row>
    <row r="68" ht="15.75" customHeight="1">
      <c r="A68" s="21"/>
      <c r="B68" s="27"/>
      <c r="C68" s="22"/>
      <c r="D68" s="22"/>
    </row>
    <row r="69" ht="15.75" customHeight="1">
      <c r="A69" s="21"/>
      <c r="B69" s="27"/>
      <c r="C69" s="22"/>
      <c r="D69" s="22"/>
    </row>
    <row r="70" ht="15.75" customHeight="1">
      <c r="A70" s="21"/>
      <c r="B70" s="27"/>
      <c r="C70" s="22"/>
      <c r="D70" s="22"/>
    </row>
    <row r="71" ht="15.75" customHeight="1">
      <c r="A71" s="21"/>
      <c r="B71" s="27"/>
      <c r="C71" s="22"/>
      <c r="D71" s="22"/>
    </row>
    <row r="72" ht="15.75" customHeight="1">
      <c r="A72" s="21"/>
      <c r="B72" s="27"/>
      <c r="C72" s="22"/>
      <c r="D72" s="22"/>
    </row>
    <row r="73" ht="15.75" customHeight="1">
      <c r="A73" s="21"/>
      <c r="B73" s="27"/>
      <c r="C73" s="22"/>
      <c r="D73" s="22"/>
    </row>
    <row r="74" ht="15.75" customHeight="1">
      <c r="A74" s="21"/>
      <c r="B74" s="27"/>
      <c r="C74" s="22"/>
      <c r="D74" s="22"/>
    </row>
    <row r="75" ht="15.75" customHeight="1">
      <c r="A75" s="21"/>
      <c r="B75" s="27"/>
      <c r="C75" s="22"/>
      <c r="D75" s="22"/>
    </row>
    <row r="76" ht="15.75" customHeight="1">
      <c r="A76" s="21"/>
      <c r="B76" s="27"/>
      <c r="C76" s="22"/>
      <c r="D76" s="22"/>
    </row>
    <row r="77" ht="15.75" customHeight="1">
      <c r="A77" s="21"/>
      <c r="B77" s="27"/>
      <c r="C77" s="22"/>
      <c r="D77" s="22"/>
    </row>
    <row r="78" ht="15.75" customHeight="1">
      <c r="A78" s="21"/>
      <c r="B78" s="27"/>
      <c r="C78" s="22"/>
      <c r="D78" s="22"/>
    </row>
    <row r="79" ht="15.75" customHeight="1">
      <c r="A79" s="21"/>
      <c r="B79" s="27"/>
      <c r="C79" s="22"/>
      <c r="D79" s="22"/>
    </row>
    <row r="80" ht="15.75" customHeight="1">
      <c r="A80" s="21"/>
      <c r="B80" s="27"/>
      <c r="C80" s="22"/>
      <c r="D80" s="22"/>
    </row>
    <row r="81" ht="15.75" customHeight="1">
      <c r="A81" s="21"/>
      <c r="B81" s="27"/>
      <c r="C81" s="22"/>
      <c r="D81" s="22"/>
    </row>
    <row r="82" ht="15.75" customHeight="1">
      <c r="A82" s="21"/>
      <c r="B82" s="27"/>
      <c r="C82" s="22"/>
      <c r="D82" s="22"/>
    </row>
    <row r="83" ht="15.75" customHeight="1">
      <c r="A83" s="21"/>
      <c r="B83" s="27"/>
      <c r="C83" s="22"/>
      <c r="D83" s="22"/>
    </row>
    <row r="84" ht="15.75" customHeight="1">
      <c r="A84" s="21"/>
      <c r="B84" s="27"/>
      <c r="C84" s="22"/>
      <c r="D84" s="22"/>
    </row>
    <row r="85" ht="15.75" customHeight="1">
      <c r="A85" s="21"/>
      <c r="B85" s="27"/>
      <c r="C85" s="22"/>
      <c r="D85" s="22"/>
    </row>
    <row r="86" ht="15.75" customHeight="1">
      <c r="A86" s="21"/>
      <c r="B86" s="27"/>
      <c r="C86" s="22"/>
      <c r="D86" s="22"/>
    </row>
    <row r="87" ht="15.75" customHeight="1">
      <c r="A87" s="21"/>
      <c r="B87" s="27"/>
      <c r="C87" s="22"/>
      <c r="D87" s="22"/>
    </row>
    <row r="88" ht="15.75" customHeight="1">
      <c r="A88" s="21"/>
      <c r="B88" s="27"/>
      <c r="C88" s="22"/>
      <c r="D88" s="22"/>
    </row>
    <row r="89" ht="15.75" customHeight="1">
      <c r="A89" s="21"/>
      <c r="B89" s="27"/>
      <c r="C89" s="22"/>
      <c r="D89" s="22"/>
    </row>
    <row r="90" ht="15.75" customHeight="1">
      <c r="A90" s="21"/>
      <c r="B90" s="27"/>
      <c r="C90" s="22"/>
      <c r="D90" s="22"/>
    </row>
    <row r="91" ht="15.75" customHeight="1">
      <c r="A91" s="21"/>
      <c r="B91" s="27"/>
      <c r="C91" s="22"/>
      <c r="D91" s="22"/>
    </row>
    <row r="92" ht="15.75" customHeight="1">
      <c r="A92" s="21"/>
      <c r="B92" s="27"/>
      <c r="C92" s="22"/>
      <c r="D92" s="22"/>
    </row>
    <row r="93" ht="15.75" customHeight="1">
      <c r="A93" s="21"/>
      <c r="B93" s="27"/>
      <c r="C93" s="22"/>
      <c r="D93" s="22"/>
    </row>
    <row r="94" ht="15.75" customHeight="1">
      <c r="A94" s="21"/>
      <c r="B94" s="27"/>
      <c r="C94" s="22"/>
      <c r="D94" s="22"/>
    </row>
    <row r="95" ht="15.75" customHeight="1">
      <c r="A95" s="21"/>
      <c r="B95" s="27"/>
      <c r="C95" s="22"/>
      <c r="D95" s="22"/>
    </row>
    <row r="96" ht="15.75" customHeight="1">
      <c r="A96" s="21"/>
      <c r="B96" s="27"/>
      <c r="C96" s="22"/>
      <c r="D96" s="22"/>
    </row>
    <row r="97" ht="15.75" customHeight="1">
      <c r="A97" s="21"/>
      <c r="B97" s="27"/>
      <c r="C97" s="22"/>
      <c r="D97" s="22"/>
    </row>
    <row r="98" ht="15.75" customHeight="1">
      <c r="A98" s="21"/>
      <c r="B98" s="27"/>
      <c r="C98" s="22"/>
      <c r="D98" s="22"/>
    </row>
    <row r="99" ht="15.75" customHeight="1">
      <c r="A99" s="21"/>
      <c r="B99" s="27"/>
      <c r="C99" s="22"/>
      <c r="D99" s="22"/>
    </row>
    <row r="100" ht="15.75" customHeight="1">
      <c r="A100" s="21"/>
      <c r="B100" s="27"/>
      <c r="C100" s="22"/>
      <c r="D100" s="22"/>
    </row>
    <row r="101" ht="15.75" customHeight="1">
      <c r="A101" s="21"/>
      <c r="B101" s="27"/>
      <c r="C101" s="22"/>
      <c r="D101" s="22"/>
    </row>
    <row r="102" ht="15.75" customHeight="1">
      <c r="A102" s="21"/>
      <c r="B102" s="27"/>
      <c r="C102" s="22"/>
      <c r="D102" s="22"/>
    </row>
    <row r="103" ht="15.75" customHeight="1">
      <c r="A103" s="21"/>
      <c r="B103" s="27"/>
      <c r="C103" s="22"/>
      <c r="D103" s="22"/>
    </row>
    <row r="104" ht="15.75" customHeight="1">
      <c r="A104" s="21"/>
      <c r="B104" s="27"/>
      <c r="C104" s="22"/>
      <c r="D104" s="22"/>
    </row>
    <row r="105" ht="15.75" customHeight="1">
      <c r="A105" s="21"/>
      <c r="B105" s="27"/>
      <c r="C105" s="22"/>
      <c r="D105" s="22"/>
    </row>
    <row r="106" ht="15.75" customHeight="1">
      <c r="A106" s="21"/>
      <c r="B106" s="27"/>
      <c r="C106" s="22"/>
      <c r="D106" s="22"/>
    </row>
    <row r="107" ht="15.75" customHeight="1">
      <c r="A107" s="21"/>
      <c r="B107" s="27"/>
      <c r="C107" s="22"/>
      <c r="D107" s="22"/>
    </row>
    <row r="108" ht="15.75" customHeight="1">
      <c r="A108" s="21"/>
      <c r="B108" s="27"/>
      <c r="C108" s="22"/>
      <c r="D108" s="22"/>
    </row>
    <row r="109" ht="15.75" customHeight="1">
      <c r="A109" s="21"/>
      <c r="B109" s="27"/>
      <c r="C109" s="22"/>
      <c r="D109" s="22"/>
    </row>
    <row r="110" ht="15.75" customHeight="1">
      <c r="A110" s="21"/>
      <c r="B110" s="27"/>
      <c r="C110" s="22"/>
      <c r="D110" s="22"/>
    </row>
    <row r="111" ht="15.75" customHeight="1">
      <c r="A111" s="21"/>
      <c r="B111" s="27"/>
      <c r="C111" s="22"/>
      <c r="D111" s="22"/>
    </row>
    <row r="112" ht="15.75" customHeight="1">
      <c r="A112" s="21"/>
      <c r="B112" s="27"/>
      <c r="C112" s="22"/>
      <c r="D112" s="22"/>
    </row>
    <row r="113" ht="15.75" customHeight="1">
      <c r="A113" s="21"/>
      <c r="B113" s="27"/>
      <c r="C113" s="22"/>
      <c r="D113" s="22"/>
    </row>
    <row r="114" ht="15.75" customHeight="1">
      <c r="A114" s="21"/>
      <c r="B114" s="27"/>
      <c r="C114" s="22"/>
      <c r="D114" s="22"/>
    </row>
    <row r="115" ht="15.75" customHeight="1">
      <c r="A115" s="21"/>
      <c r="B115" s="27"/>
      <c r="C115" s="22"/>
      <c r="D115" s="22"/>
    </row>
    <row r="116" ht="15.75" customHeight="1">
      <c r="A116" s="21"/>
      <c r="B116" s="27"/>
      <c r="C116" s="22"/>
      <c r="D116" s="22"/>
    </row>
    <row r="117" ht="15.75" customHeight="1">
      <c r="A117" s="21"/>
      <c r="B117" s="27"/>
      <c r="C117" s="22"/>
      <c r="D117" s="22"/>
    </row>
    <row r="118" ht="15.75" customHeight="1">
      <c r="A118" s="21"/>
      <c r="B118" s="27"/>
      <c r="C118" s="22"/>
      <c r="D118" s="22"/>
    </row>
    <row r="119" ht="15.75" customHeight="1">
      <c r="A119" s="21"/>
      <c r="B119" s="27"/>
      <c r="C119" s="22"/>
      <c r="D119" s="22"/>
    </row>
    <row r="120" ht="15.75" customHeight="1">
      <c r="A120" s="21"/>
      <c r="B120" s="27"/>
      <c r="C120" s="22"/>
      <c r="D120" s="22"/>
    </row>
    <row r="121" ht="15.75" customHeight="1">
      <c r="A121" s="21"/>
      <c r="B121" s="27"/>
      <c r="C121" s="22"/>
      <c r="D121" s="22"/>
    </row>
    <row r="122" ht="15.75" customHeight="1">
      <c r="A122" s="21"/>
      <c r="B122" s="27"/>
      <c r="C122" s="22"/>
      <c r="D122" s="22"/>
    </row>
    <row r="123" ht="15.75" customHeight="1">
      <c r="A123" s="21"/>
      <c r="B123" s="27"/>
      <c r="C123" s="22"/>
      <c r="D123" s="22"/>
    </row>
    <row r="124" ht="15.75" customHeight="1">
      <c r="A124" s="21"/>
      <c r="B124" s="27"/>
      <c r="C124" s="22"/>
      <c r="D124" s="22"/>
    </row>
    <row r="125" ht="15.75" customHeight="1">
      <c r="A125" s="21"/>
      <c r="B125" s="27"/>
      <c r="C125" s="22"/>
      <c r="D125" s="22"/>
    </row>
    <row r="126" ht="15.75" customHeight="1">
      <c r="A126" s="21"/>
      <c r="B126" s="27"/>
      <c r="C126" s="22"/>
      <c r="D126" s="22"/>
    </row>
    <row r="127" ht="15.75" customHeight="1">
      <c r="A127" s="21"/>
      <c r="B127" s="27"/>
      <c r="C127" s="22"/>
      <c r="D127" s="22"/>
    </row>
    <row r="128" ht="15.75" customHeight="1">
      <c r="A128" s="21"/>
      <c r="B128" s="27"/>
      <c r="C128" s="22"/>
      <c r="D128" s="22"/>
    </row>
    <row r="129" ht="15.75" customHeight="1">
      <c r="A129" s="21"/>
      <c r="B129" s="27"/>
      <c r="C129" s="22"/>
      <c r="D129" s="22"/>
    </row>
    <row r="130" ht="15.75" customHeight="1">
      <c r="A130" s="21"/>
      <c r="B130" s="27"/>
      <c r="C130" s="22"/>
      <c r="D130" s="22"/>
    </row>
    <row r="131" ht="15.75" customHeight="1">
      <c r="A131" s="21"/>
      <c r="B131" s="27"/>
      <c r="C131" s="22"/>
      <c r="D131" s="22"/>
    </row>
    <row r="132" ht="15.75" customHeight="1">
      <c r="A132" s="21"/>
      <c r="B132" s="27"/>
      <c r="C132" s="22"/>
      <c r="D132" s="22"/>
    </row>
    <row r="133" ht="15.75" customHeight="1">
      <c r="A133" s="21"/>
      <c r="B133" s="27"/>
      <c r="C133" s="22"/>
      <c r="D133" s="22"/>
    </row>
    <row r="134" ht="15.75" customHeight="1">
      <c r="A134" s="21"/>
      <c r="B134" s="27"/>
      <c r="C134" s="22"/>
      <c r="D134" s="22"/>
    </row>
    <row r="135" ht="15.75" customHeight="1">
      <c r="A135" s="21"/>
      <c r="B135" s="27"/>
      <c r="C135" s="22"/>
      <c r="D135" s="22"/>
    </row>
    <row r="136" ht="15.75" customHeight="1">
      <c r="A136" s="21"/>
      <c r="B136" s="27"/>
      <c r="C136" s="22"/>
      <c r="D136" s="22"/>
    </row>
    <row r="137" ht="15.75" customHeight="1">
      <c r="A137" s="21"/>
      <c r="B137" s="27"/>
      <c r="C137" s="22"/>
      <c r="D137" s="22"/>
    </row>
    <row r="138" ht="15.75" customHeight="1">
      <c r="A138" s="21"/>
      <c r="B138" s="27"/>
      <c r="C138" s="22"/>
      <c r="D138" s="22"/>
    </row>
    <row r="139" ht="15.75" customHeight="1">
      <c r="A139" s="21"/>
      <c r="B139" s="27"/>
      <c r="C139" s="22"/>
      <c r="D139" s="22"/>
    </row>
    <row r="140" ht="15.75" customHeight="1">
      <c r="A140" s="21"/>
      <c r="B140" s="27"/>
      <c r="C140" s="22"/>
      <c r="D140" s="22"/>
    </row>
    <row r="141" ht="15.75" customHeight="1">
      <c r="A141" s="21"/>
      <c r="B141" s="27"/>
      <c r="C141" s="22"/>
      <c r="D141" s="22"/>
    </row>
    <row r="142" ht="15.75" customHeight="1">
      <c r="A142" s="21"/>
      <c r="B142" s="27"/>
      <c r="C142" s="22"/>
      <c r="D142" s="22"/>
    </row>
    <row r="143" ht="15.75" customHeight="1">
      <c r="A143" s="21"/>
      <c r="B143" s="27"/>
      <c r="C143" s="22"/>
      <c r="D143" s="22"/>
    </row>
    <row r="144" ht="15.75" customHeight="1">
      <c r="A144" s="21"/>
      <c r="B144" s="27"/>
      <c r="C144" s="22"/>
      <c r="D144" s="22"/>
    </row>
    <row r="145" ht="15.75" customHeight="1">
      <c r="A145" s="21"/>
      <c r="B145" s="27"/>
      <c r="C145" s="22"/>
      <c r="D145" s="22"/>
    </row>
    <row r="146" ht="15.75" customHeight="1">
      <c r="A146" s="21"/>
      <c r="B146" s="27"/>
      <c r="C146" s="22"/>
      <c r="D146" s="22"/>
    </row>
    <row r="147" ht="15.75" customHeight="1">
      <c r="A147" s="21"/>
      <c r="B147" s="27"/>
      <c r="C147" s="22"/>
      <c r="D147" s="22"/>
    </row>
    <row r="148" ht="15.75" customHeight="1">
      <c r="A148" s="21"/>
      <c r="B148" s="27"/>
      <c r="C148" s="22"/>
      <c r="D148" s="22"/>
    </row>
    <row r="149" ht="15.75" customHeight="1">
      <c r="A149" s="21"/>
      <c r="B149" s="27"/>
      <c r="C149" s="22"/>
      <c r="D149" s="22"/>
    </row>
    <row r="150" ht="15.75" customHeight="1">
      <c r="A150" s="21"/>
      <c r="B150" s="27"/>
      <c r="C150" s="22"/>
      <c r="D150" s="22"/>
    </row>
    <row r="151" ht="15.75" customHeight="1">
      <c r="A151" s="21"/>
      <c r="B151" s="27"/>
      <c r="C151" s="22"/>
      <c r="D151" s="22"/>
    </row>
    <row r="152" ht="15.75" customHeight="1">
      <c r="A152" s="21"/>
      <c r="B152" s="27"/>
      <c r="C152" s="22"/>
      <c r="D152" s="22"/>
    </row>
    <row r="153" ht="15.75" customHeight="1">
      <c r="A153" s="21"/>
      <c r="B153" s="27"/>
      <c r="C153" s="22"/>
      <c r="D153" s="22"/>
    </row>
    <row r="154" ht="15.75" customHeight="1">
      <c r="A154" s="21"/>
      <c r="B154" s="27"/>
      <c r="C154" s="22"/>
      <c r="D154" s="22"/>
    </row>
    <row r="155" ht="15.75" customHeight="1">
      <c r="A155" s="21"/>
      <c r="B155" s="27"/>
      <c r="C155" s="22"/>
      <c r="D155" s="22"/>
    </row>
    <row r="156" ht="15.75" customHeight="1">
      <c r="A156" s="21"/>
      <c r="B156" s="27"/>
      <c r="C156" s="22"/>
      <c r="D156" s="22"/>
    </row>
    <row r="157" ht="15.75" customHeight="1">
      <c r="A157" s="21"/>
      <c r="B157" s="27"/>
      <c r="C157" s="22"/>
      <c r="D157" s="22"/>
    </row>
    <row r="158" ht="15.75" customHeight="1">
      <c r="A158" s="21"/>
      <c r="B158" s="27"/>
      <c r="C158" s="22"/>
      <c r="D158" s="22"/>
    </row>
    <row r="159" ht="15.75" customHeight="1">
      <c r="A159" s="21"/>
      <c r="B159" s="27"/>
      <c r="C159" s="22"/>
      <c r="D159" s="22"/>
    </row>
    <row r="160" ht="15.75" customHeight="1">
      <c r="A160" s="21"/>
      <c r="B160" s="27"/>
      <c r="C160" s="22"/>
      <c r="D160" s="22"/>
    </row>
    <row r="161" ht="15.75" customHeight="1">
      <c r="A161" s="21"/>
      <c r="B161" s="27"/>
      <c r="C161" s="22"/>
      <c r="D161" s="22"/>
    </row>
    <row r="162" ht="15.75" customHeight="1">
      <c r="A162" s="21"/>
      <c r="B162" s="27"/>
      <c r="C162" s="22"/>
      <c r="D162" s="22"/>
    </row>
    <row r="163" ht="15.75" customHeight="1">
      <c r="A163" s="21"/>
      <c r="B163" s="27"/>
      <c r="C163" s="22"/>
      <c r="D163" s="22"/>
    </row>
    <row r="164" ht="15.75" customHeight="1">
      <c r="A164" s="21"/>
      <c r="B164" s="27"/>
      <c r="C164" s="22"/>
      <c r="D164" s="22"/>
    </row>
    <row r="165" ht="15.75" customHeight="1">
      <c r="A165" s="21"/>
      <c r="B165" s="27"/>
      <c r="C165" s="22"/>
      <c r="D165" s="22"/>
    </row>
    <row r="166" ht="15.75" customHeight="1">
      <c r="A166" s="21"/>
      <c r="B166" s="27"/>
      <c r="C166" s="22"/>
      <c r="D166" s="22"/>
    </row>
    <row r="167" ht="15.75" customHeight="1">
      <c r="A167" s="21"/>
      <c r="B167" s="27"/>
      <c r="C167" s="22"/>
      <c r="D167" s="22"/>
    </row>
    <row r="168" ht="15.75" customHeight="1">
      <c r="A168" s="21"/>
      <c r="B168" s="27"/>
      <c r="C168" s="22"/>
      <c r="D168" s="22"/>
    </row>
    <row r="169" ht="15.75" customHeight="1">
      <c r="A169" s="21"/>
      <c r="B169" s="27"/>
      <c r="C169" s="22"/>
      <c r="D169" s="22"/>
    </row>
    <row r="170" ht="15.75" customHeight="1">
      <c r="A170" s="21"/>
      <c r="B170" s="27"/>
      <c r="C170" s="22"/>
      <c r="D170" s="22"/>
    </row>
    <row r="171" ht="15.75" customHeight="1">
      <c r="A171" s="21"/>
      <c r="B171" s="27"/>
      <c r="C171" s="22"/>
      <c r="D171" s="22"/>
    </row>
    <row r="172" ht="15.75" customHeight="1">
      <c r="A172" s="21"/>
      <c r="B172" s="27"/>
      <c r="C172" s="22"/>
      <c r="D172" s="22"/>
    </row>
    <row r="173" ht="15.75" customHeight="1">
      <c r="A173" s="21"/>
      <c r="B173" s="27"/>
      <c r="C173" s="22"/>
      <c r="D173" s="22"/>
    </row>
    <row r="174" ht="15.75" customHeight="1">
      <c r="A174" s="21"/>
      <c r="B174" s="27"/>
      <c r="C174" s="22"/>
      <c r="D174" s="22"/>
    </row>
    <row r="175" ht="15.75" customHeight="1">
      <c r="A175" s="21"/>
      <c r="B175" s="27"/>
      <c r="C175" s="22"/>
      <c r="D175" s="22"/>
    </row>
    <row r="176" ht="15.75" customHeight="1">
      <c r="A176" s="21"/>
      <c r="B176" s="27"/>
      <c r="C176" s="22"/>
      <c r="D176" s="22"/>
    </row>
    <row r="177" ht="15.75" customHeight="1">
      <c r="A177" s="21"/>
      <c r="B177" s="27"/>
      <c r="C177" s="22"/>
      <c r="D177" s="22"/>
    </row>
    <row r="178" ht="15.75" customHeight="1">
      <c r="A178" s="21"/>
      <c r="B178" s="27"/>
      <c r="C178" s="22"/>
      <c r="D178" s="22"/>
    </row>
    <row r="179" ht="15.75" customHeight="1">
      <c r="A179" s="21"/>
      <c r="B179" s="27"/>
      <c r="C179" s="22"/>
      <c r="D179" s="22"/>
    </row>
    <row r="180" ht="15.75" customHeight="1">
      <c r="A180" s="21"/>
      <c r="B180" s="27"/>
      <c r="C180" s="22"/>
      <c r="D180" s="22"/>
    </row>
    <row r="181" ht="15.75" customHeight="1">
      <c r="A181" s="21"/>
      <c r="B181" s="27"/>
      <c r="C181" s="22"/>
      <c r="D181" s="22"/>
    </row>
    <row r="182" ht="15.75" customHeight="1">
      <c r="A182" s="21"/>
      <c r="B182" s="27"/>
      <c r="C182" s="22"/>
      <c r="D182" s="22"/>
    </row>
    <row r="183" ht="15.75" customHeight="1">
      <c r="A183" s="21"/>
      <c r="B183" s="27"/>
      <c r="C183" s="22"/>
      <c r="D183" s="22"/>
    </row>
    <row r="184" ht="15.75" customHeight="1">
      <c r="A184" s="21"/>
      <c r="B184" s="27"/>
      <c r="C184" s="22"/>
      <c r="D184" s="22"/>
    </row>
    <row r="185" ht="15.75" customHeight="1">
      <c r="A185" s="21"/>
      <c r="B185" s="27"/>
      <c r="C185" s="22"/>
      <c r="D185" s="22"/>
    </row>
    <row r="186" ht="15.75" customHeight="1">
      <c r="A186" s="21"/>
      <c r="B186" s="27"/>
      <c r="C186" s="22"/>
      <c r="D186" s="22"/>
    </row>
    <row r="187" ht="15.75" customHeight="1">
      <c r="A187" s="21"/>
      <c r="B187" s="27"/>
      <c r="C187" s="22"/>
      <c r="D187" s="22"/>
    </row>
    <row r="188" ht="15.75" customHeight="1">
      <c r="A188" s="21"/>
      <c r="B188" s="27"/>
      <c r="C188" s="22"/>
      <c r="D188" s="22"/>
    </row>
    <row r="189" ht="15.75" customHeight="1">
      <c r="A189" s="21"/>
      <c r="B189" s="27"/>
      <c r="C189" s="22"/>
      <c r="D189" s="22"/>
    </row>
    <row r="190" ht="15.75" customHeight="1">
      <c r="A190" s="21"/>
      <c r="B190" s="27"/>
      <c r="C190" s="22"/>
      <c r="D190" s="22"/>
    </row>
    <row r="191" ht="15.75" customHeight="1">
      <c r="A191" s="21"/>
      <c r="B191" s="27"/>
      <c r="C191" s="22"/>
      <c r="D191" s="22"/>
    </row>
    <row r="192" ht="15.75" customHeight="1">
      <c r="A192" s="21"/>
      <c r="B192" s="27"/>
      <c r="C192" s="22"/>
      <c r="D192" s="22"/>
    </row>
    <row r="193" ht="15.75" customHeight="1">
      <c r="A193" s="21"/>
      <c r="B193" s="27"/>
      <c r="C193" s="22"/>
      <c r="D193" s="22"/>
    </row>
    <row r="194" ht="15.75" customHeight="1">
      <c r="A194" s="21"/>
      <c r="B194" s="27"/>
      <c r="C194" s="22"/>
      <c r="D194" s="22"/>
    </row>
    <row r="195" ht="15.75" customHeight="1">
      <c r="A195" s="21"/>
      <c r="B195" s="27"/>
      <c r="C195" s="22"/>
      <c r="D195" s="22"/>
    </row>
    <row r="196" ht="15.75" customHeight="1">
      <c r="A196" s="21"/>
      <c r="B196" s="27"/>
      <c r="C196" s="22"/>
      <c r="D196" s="22"/>
    </row>
    <row r="197" ht="15.75" customHeight="1">
      <c r="A197" s="21"/>
      <c r="B197" s="27"/>
      <c r="C197" s="22"/>
      <c r="D197" s="22"/>
    </row>
    <row r="198" ht="15.75" customHeight="1">
      <c r="A198" s="21"/>
      <c r="B198" s="27"/>
      <c r="C198" s="22"/>
      <c r="D198" s="22"/>
    </row>
    <row r="199" ht="15.75" customHeight="1">
      <c r="A199" s="21"/>
      <c r="B199" s="27"/>
      <c r="C199" s="22"/>
      <c r="D199" s="22"/>
    </row>
    <row r="200" ht="15.75" customHeight="1">
      <c r="A200" s="21"/>
      <c r="B200" s="27"/>
      <c r="C200" s="22"/>
      <c r="D200" s="22"/>
    </row>
    <row r="201" ht="15.75" customHeight="1">
      <c r="A201" s="21"/>
      <c r="B201" s="27"/>
      <c r="C201" s="22"/>
      <c r="D201" s="22"/>
    </row>
    <row r="202" ht="15.75" customHeight="1">
      <c r="A202" s="21"/>
      <c r="B202" s="27"/>
      <c r="C202" s="22"/>
      <c r="D202" s="22"/>
    </row>
    <row r="203" ht="15.75" customHeight="1">
      <c r="A203" s="21"/>
      <c r="B203" s="27"/>
      <c r="C203" s="22"/>
      <c r="D203" s="22"/>
    </row>
    <row r="204" ht="15.75" customHeight="1">
      <c r="A204" s="21"/>
      <c r="B204" s="27"/>
      <c r="C204" s="22"/>
      <c r="D204" s="22"/>
    </row>
    <row r="205" ht="15.75" customHeight="1">
      <c r="A205" s="21"/>
      <c r="B205" s="27"/>
      <c r="C205" s="22"/>
      <c r="D205" s="22"/>
    </row>
    <row r="206" ht="15.75" customHeight="1">
      <c r="A206" s="21"/>
      <c r="B206" s="27"/>
      <c r="C206" s="22"/>
      <c r="D206" s="22"/>
    </row>
    <row r="207" ht="15.75" customHeight="1">
      <c r="A207" s="21"/>
      <c r="B207" s="27"/>
      <c r="C207" s="22"/>
      <c r="D207" s="22"/>
    </row>
    <row r="208" ht="15.75" customHeight="1">
      <c r="A208" s="21"/>
      <c r="B208" s="27"/>
      <c r="C208" s="22"/>
      <c r="D208" s="22"/>
    </row>
    <row r="209" ht="15.75" customHeight="1">
      <c r="A209" s="21"/>
      <c r="B209" s="27"/>
      <c r="C209" s="22"/>
      <c r="D209" s="22"/>
    </row>
    <row r="210" ht="15.75" customHeight="1">
      <c r="A210" s="21"/>
      <c r="B210" s="27"/>
      <c r="C210" s="22"/>
      <c r="D210" s="22"/>
    </row>
    <row r="211" ht="15.75" customHeight="1">
      <c r="A211" s="21"/>
      <c r="B211" s="27"/>
      <c r="C211" s="22"/>
      <c r="D211" s="22"/>
    </row>
    <row r="212" ht="15.75" customHeight="1">
      <c r="A212" s="21"/>
      <c r="B212" s="27"/>
      <c r="C212" s="22"/>
      <c r="D212" s="22"/>
    </row>
    <row r="213" ht="15.75" customHeight="1">
      <c r="A213" s="21"/>
      <c r="B213" s="27"/>
      <c r="C213" s="22"/>
      <c r="D213" s="22"/>
    </row>
    <row r="214" ht="15.75" customHeight="1">
      <c r="A214" s="21"/>
      <c r="B214" s="27"/>
      <c r="C214" s="22"/>
      <c r="D214" s="22"/>
    </row>
    <row r="215" ht="15.75" customHeight="1">
      <c r="A215" s="21"/>
      <c r="B215" s="27"/>
      <c r="C215" s="22"/>
      <c r="D215" s="22"/>
    </row>
    <row r="216" ht="15.75" customHeight="1">
      <c r="A216" s="21"/>
      <c r="B216" s="27"/>
      <c r="C216" s="22"/>
      <c r="D216" s="22"/>
    </row>
    <row r="217" ht="15.75" customHeight="1">
      <c r="A217" s="21"/>
      <c r="B217" s="27"/>
      <c r="C217" s="22"/>
      <c r="D217" s="22"/>
    </row>
    <row r="218" ht="15.75" customHeight="1">
      <c r="A218" s="21"/>
      <c r="B218" s="27"/>
      <c r="C218" s="22"/>
      <c r="D218" s="22"/>
    </row>
    <row r="219" ht="15.75" customHeight="1">
      <c r="A219" s="21"/>
      <c r="B219" s="27"/>
      <c r="C219" s="22"/>
      <c r="D219" s="22"/>
    </row>
    <row r="220" ht="15.75" customHeight="1">
      <c r="A220" s="21"/>
      <c r="B220" s="27"/>
      <c r="C220" s="22"/>
      <c r="D220" s="22"/>
    </row>
    <row r="221" ht="15.75" customHeight="1">
      <c r="A221" s="21"/>
      <c r="C221" s="22"/>
      <c r="D221" s="22"/>
    </row>
    <row r="222" ht="15.75" customHeight="1">
      <c r="A222" s="21"/>
      <c r="C222" s="22"/>
      <c r="D222" s="22"/>
    </row>
    <row r="223" ht="15.75" customHeight="1">
      <c r="A223" s="21"/>
      <c r="C223" s="22"/>
      <c r="D223" s="22"/>
    </row>
    <row r="224" ht="15.75" customHeight="1">
      <c r="A224" s="21"/>
      <c r="C224" s="22"/>
      <c r="D224" s="22"/>
    </row>
    <row r="225" ht="15.75" customHeight="1">
      <c r="A225" s="21"/>
      <c r="C225" s="22"/>
      <c r="D225" s="22"/>
    </row>
    <row r="226" ht="15.75" customHeight="1">
      <c r="A226" s="21"/>
      <c r="C226" s="22"/>
      <c r="D226" s="22"/>
    </row>
    <row r="227" ht="15.75" customHeight="1">
      <c r="A227" s="21"/>
      <c r="C227" s="22"/>
      <c r="D227" s="22"/>
    </row>
    <row r="228" ht="15.75" customHeight="1">
      <c r="A228" s="21"/>
      <c r="C228" s="22"/>
      <c r="D228" s="22"/>
    </row>
    <row r="229" ht="15.75" customHeight="1">
      <c r="A229" s="21"/>
      <c r="C229" s="22"/>
      <c r="D229" s="22"/>
    </row>
    <row r="230" ht="15.75" customHeight="1">
      <c r="A230" s="21"/>
      <c r="C230" s="22"/>
      <c r="D230" s="22"/>
    </row>
    <row r="231" ht="15.75" customHeight="1">
      <c r="A231" s="21"/>
      <c r="C231" s="22"/>
      <c r="D231" s="22"/>
    </row>
    <row r="232" ht="15.75" customHeight="1">
      <c r="A232" s="21"/>
      <c r="C232" s="22"/>
      <c r="D232" s="22"/>
    </row>
    <row r="233" ht="15.75" customHeight="1">
      <c r="A233" s="21"/>
      <c r="C233" s="22"/>
      <c r="D233" s="22"/>
    </row>
    <row r="234" ht="15.75" customHeight="1">
      <c r="A234" s="21"/>
      <c r="C234" s="22"/>
      <c r="D234" s="22"/>
    </row>
    <row r="235" ht="15.75" customHeight="1">
      <c r="A235" s="21"/>
      <c r="C235" s="22"/>
      <c r="D235" s="22"/>
    </row>
    <row r="236" ht="15.75" customHeight="1">
      <c r="A236" s="21"/>
      <c r="C236" s="22"/>
      <c r="D236" s="22"/>
    </row>
    <row r="237" ht="15.75" customHeight="1">
      <c r="A237" s="21"/>
      <c r="C237" s="22"/>
      <c r="D237" s="22"/>
    </row>
    <row r="238" ht="15.75" customHeight="1">
      <c r="A238" s="21"/>
      <c r="C238" s="22"/>
      <c r="D238" s="22"/>
    </row>
    <row r="239" ht="15.75" customHeight="1">
      <c r="A239" s="21"/>
      <c r="C239" s="22"/>
      <c r="D239" s="22"/>
    </row>
    <row r="240" ht="15.75" customHeight="1">
      <c r="A240" s="21"/>
      <c r="C240" s="22"/>
      <c r="D240" s="22"/>
    </row>
    <row r="241" ht="15.75" customHeight="1">
      <c r="A241" s="21"/>
      <c r="C241" s="22"/>
      <c r="D241" s="22"/>
    </row>
    <row r="242" ht="15.75" customHeight="1">
      <c r="A242" s="21"/>
      <c r="C242" s="22"/>
      <c r="D242" s="22"/>
    </row>
    <row r="243" ht="15.75" customHeight="1">
      <c r="A243" s="21"/>
      <c r="C243" s="22"/>
      <c r="D243" s="22"/>
    </row>
    <row r="244" ht="15.75" customHeight="1">
      <c r="A244" s="21"/>
      <c r="C244" s="22"/>
      <c r="D244" s="22"/>
    </row>
    <row r="245" ht="15.75" customHeight="1">
      <c r="A245" s="21"/>
      <c r="C245" s="22"/>
      <c r="D245" s="22"/>
    </row>
    <row r="246" ht="15.75" customHeight="1">
      <c r="A246" s="21"/>
      <c r="C246" s="22"/>
      <c r="D246" s="22"/>
    </row>
    <row r="247" ht="15.75" customHeight="1">
      <c r="A247" s="21"/>
      <c r="C247" s="22"/>
      <c r="D247" s="22"/>
    </row>
    <row r="248" ht="15.75" customHeight="1">
      <c r="A248" s="21"/>
      <c r="C248" s="22"/>
      <c r="D248" s="22"/>
    </row>
    <row r="249" ht="15.75" customHeight="1">
      <c r="A249" s="21"/>
      <c r="C249" s="22"/>
      <c r="D249" s="22"/>
    </row>
    <row r="250" ht="15.75" customHeight="1">
      <c r="A250" s="21"/>
      <c r="C250" s="22"/>
      <c r="D250" s="22"/>
    </row>
    <row r="251" ht="15.75" customHeight="1">
      <c r="A251" s="21"/>
      <c r="C251" s="22"/>
      <c r="D251" s="22"/>
    </row>
    <row r="252" ht="15.75" customHeight="1">
      <c r="A252" s="21"/>
      <c r="C252" s="22"/>
      <c r="D252" s="22"/>
    </row>
    <row r="253" ht="15.75" customHeight="1">
      <c r="A253" s="21"/>
      <c r="C253" s="22"/>
      <c r="D253" s="22"/>
    </row>
    <row r="254" ht="15.75" customHeight="1">
      <c r="A254" s="21"/>
      <c r="C254" s="22"/>
      <c r="D254" s="22"/>
    </row>
    <row r="255" ht="15.75" customHeight="1">
      <c r="A255" s="21"/>
      <c r="C255" s="22"/>
      <c r="D255" s="22"/>
    </row>
    <row r="256" ht="15.75" customHeight="1">
      <c r="A256" s="21"/>
      <c r="C256" s="22"/>
      <c r="D256" s="22"/>
    </row>
    <row r="257" ht="15.75" customHeight="1">
      <c r="A257" s="21"/>
      <c r="C257" s="22"/>
      <c r="D257" s="22"/>
    </row>
    <row r="258" ht="15.75" customHeight="1">
      <c r="A258" s="21"/>
      <c r="C258" s="22"/>
      <c r="D258" s="22"/>
    </row>
    <row r="259" ht="15.75" customHeight="1">
      <c r="A259" s="21"/>
      <c r="C259" s="22"/>
      <c r="D259" s="22"/>
    </row>
    <row r="260" ht="15.75" customHeight="1">
      <c r="A260" s="21"/>
      <c r="C260" s="22"/>
      <c r="D260" s="22"/>
    </row>
    <row r="261" ht="15.75" customHeight="1">
      <c r="A261" s="21"/>
      <c r="C261" s="22"/>
      <c r="D261" s="22"/>
    </row>
    <row r="262" ht="15.75" customHeight="1">
      <c r="A262" s="21"/>
      <c r="C262" s="22"/>
      <c r="D262" s="22"/>
    </row>
    <row r="263" ht="15.75" customHeight="1">
      <c r="A263" s="21"/>
      <c r="C263" s="22"/>
      <c r="D263" s="22"/>
    </row>
    <row r="264" ht="15.75" customHeight="1">
      <c r="A264" s="21"/>
      <c r="C264" s="22"/>
      <c r="D264" s="22"/>
    </row>
    <row r="265" ht="15.75" customHeight="1">
      <c r="A265" s="21"/>
      <c r="C265" s="22"/>
      <c r="D265" s="22"/>
    </row>
    <row r="266" ht="15.75" customHeight="1">
      <c r="A266" s="21"/>
      <c r="C266" s="22"/>
      <c r="D266" s="22"/>
    </row>
    <row r="267" ht="15.75" customHeight="1">
      <c r="A267" s="21"/>
      <c r="C267" s="22"/>
      <c r="D267" s="22"/>
    </row>
    <row r="268" ht="15.75" customHeight="1">
      <c r="A268" s="21"/>
      <c r="C268" s="22"/>
      <c r="D268" s="22"/>
    </row>
    <row r="269" ht="15.75" customHeight="1">
      <c r="A269" s="21"/>
      <c r="C269" s="22"/>
      <c r="D269" s="22"/>
    </row>
    <row r="270" ht="15.75" customHeight="1">
      <c r="A270" s="21"/>
      <c r="C270" s="22"/>
      <c r="D270" s="22"/>
    </row>
    <row r="271" ht="15.75" customHeight="1">
      <c r="A271" s="21"/>
      <c r="C271" s="22"/>
      <c r="D271" s="22"/>
    </row>
    <row r="272" ht="15.75" customHeight="1">
      <c r="A272" s="21"/>
      <c r="C272" s="22"/>
      <c r="D272" s="22"/>
    </row>
    <row r="273" ht="15.75" customHeight="1">
      <c r="A273" s="21"/>
      <c r="C273" s="22"/>
      <c r="D273" s="22"/>
    </row>
    <row r="274" ht="15.75" customHeight="1">
      <c r="A274" s="21"/>
      <c r="C274" s="22"/>
      <c r="D274" s="22"/>
    </row>
    <row r="275" ht="15.75" customHeight="1">
      <c r="A275" s="21"/>
      <c r="C275" s="22"/>
      <c r="D275" s="22"/>
    </row>
    <row r="276" ht="15.75" customHeight="1">
      <c r="A276" s="21"/>
      <c r="C276" s="22"/>
      <c r="D276" s="22"/>
    </row>
    <row r="277" ht="15.75" customHeight="1">
      <c r="A277" s="21"/>
      <c r="C277" s="22"/>
      <c r="D277" s="22"/>
    </row>
    <row r="278" ht="15.75" customHeight="1">
      <c r="A278" s="21"/>
      <c r="C278" s="22"/>
      <c r="D278" s="22"/>
    </row>
    <row r="279" ht="15.75" customHeight="1">
      <c r="A279" s="21"/>
      <c r="C279" s="22"/>
      <c r="D279" s="22"/>
    </row>
    <row r="280" ht="15.75" customHeight="1">
      <c r="A280" s="21"/>
      <c r="C280" s="22"/>
      <c r="D280" s="22"/>
    </row>
    <row r="281" ht="15.75" customHeight="1">
      <c r="A281" s="21"/>
      <c r="C281" s="22"/>
      <c r="D281" s="22"/>
    </row>
    <row r="282" ht="15.75" customHeight="1">
      <c r="A282" s="21"/>
      <c r="C282" s="22"/>
      <c r="D282" s="22"/>
    </row>
    <row r="283" ht="15.75" customHeight="1">
      <c r="A283" s="21"/>
      <c r="C283" s="22"/>
      <c r="D283" s="22"/>
    </row>
    <row r="284" ht="15.75" customHeight="1">
      <c r="A284" s="21"/>
      <c r="C284" s="22"/>
      <c r="D284" s="22"/>
    </row>
    <row r="285" ht="15.75" customHeight="1">
      <c r="A285" s="21"/>
      <c r="C285" s="22"/>
      <c r="D285" s="22"/>
    </row>
    <row r="286" ht="15.75" customHeight="1">
      <c r="A286" s="21"/>
      <c r="C286" s="22"/>
      <c r="D286" s="22"/>
    </row>
    <row r="287" ht="15.75" customHeight="1">
      <c r="A287" s="21"/>
      <c r="C287" s="22"/>
      <c r="D287" s="22"/>
    </row>
    <row r="288" ht="15.75" customHeight="1">
      <c r="A288" s="21"/>
      <c r="C288" s="22"/>
      <c r="D288" s="22"/>
    </row>
    <row r="289" ht="15.75" customHeight="1">
      <c r="A289" s="21"/>
      <c r="C289" s="22"/>
      <c r="D289" s="22"/>
    </row>
    <row r="290" ht="15.75" customHeight="1">
      <c r="A290" s="21"/>
      <c r="C290" s="22"/>
      <c r="D290" s="22"/>
    </row>
    <row r="291" ht="15.75" customHeight="1">
      <c r="A291" s="21"/>
      <c r="C291" s="22"/>
      <c r="D291" s="22"/>
    </row>
    <row r="292" ht="15.75" customHeight="1">
      <c r="A292" s="21"/>
      <c r="C292" s="22"/>
      <c r="D292" s="22"/>
    </row>
    <row r="293" ht="15.75" customHeight="1">
      <c r="A293" s="21"/>
      <c r="C293" s="22"/>
      <c r="D293" s="22"/>
    </row>
    <row r="294" ht="15.75" customHeight="1">
      <c r="A294" s="21"/>
      <c r="C294" s="22"/>
      <c r="D294" s="22"/>
    </row>
    <row r="295" ht="15.75" customHeight="1">
      <c r="A295" s="21"/>
      <c r="C295" s="22"/>
      <c r="D295" s="22"/>
    </row>
    <row r="296" ht="15.75" customHeight="1">
      <c r="A296" s="21"/>
      <c r="C296" s="22"/>
      <c r="D296" s="22"/>
    </row>
    <row r="297" ht="15.75" customHeight="1">
      <c r="A297" s="21"/>
      <c r="C297" s="22"/>
      <c r="D297" s="22"/>
    </row>
    <row r="298" ht="15.75" customHeight="1">
      <c r="A298" s="21"/>
      <c r="C298" s="22"/>
      <c r="D298" s="22"/>
    </row>
    <row r="299" ht="15.75" customHeight="1">
      <c r="A299" s="21"/>
      <c r="C299" s="22"/>
      <c r="D299" s="22"/>
    </row>
    <row r="300" ht="15.75" customHeight="1">
      <c r="A300" s="21"/>
      <c r="C300" s="22"/>
      <c r="D300" s="22"/>
    </row>
    <row r="301" ht="15.75" customHeight="1">
      <c r="A301" s="21"/>
      <c r="C301" s="22"/>
      <c r="D301" s="22"/>
    </row>
    <row r="302" ht="15.75" customHeight="1">
      <c r="A302" s="21"/>
      <c r="C302" s="22"/>
      <c r="D302" s="22"/>
    </row>
    <row r="303" ht="15.75" customHeight="1">
      <c r="A303" s="21"/>
      <c r="C303" s="22"/>
      <c r="D303" s="22"/>
    </row>
    <row r="304" ht="15.75" customHeight="1">
      <c r="A304" s="21"/>
      <c r="C304" s="22"/>
      <c r="D304" s="22"/>
    </row>
    <row r="305" ht="15.75" customHeight="1">
      <c r="A305" s="21"/>
      <c r="C305" s="22"/>
      <c r="D305" s="22"/>
    </row>
    <row r="306" ht="15.75" customHeight="1">
      <c r="A306" s="21"/>
      <c r="C306" s="22"/>
      <c r="D306" s="22"/>
    </row>
    <row r="307" ht="15.75" customHeight="1">
      <c r="A307" s="21"/>
      <c r="C307" s="22"/>
      <c r="D307" s="22"/>
    </row>
    <row r="308" ht="15.75" customHeight="1">
      <c r="A308" s="21"/>
      <c r="C308" s="22"/>
      <c r="D308" s="22"/>
    </row>
    <row r="309" ht="15.75" customHeight="1">
      <c r="A309" s="21"/>
      <c r="C309" s="22"/>
      <c r="D309" s="22"/>
    </row>
    <row r="310" ht="15.75" customHeight="1">
      <c r="A310" s="21"/>
      <c r="C310" s="22"/>
      <c r="D310" s="22"/>
    </row>
    <row r="311" ht="15.75" customHeight="1">
      <c r="A311" s="21"/>
      <c r="C311" s="22"/>
      <c r="D311" s="22"/>
    </row>
    <row r="312" ht="15.75" customHeight="1">
      <c r="A312" s="21"/>
      <c r="C312" s="22"/>
      <c r="D312" s="22"/>
    </row>
    <row r="313" ht="15.75" customHeight="1">
      <c r="A313" s="21"/>
      <c r="C313" s="22"/>
      <c r="D313" s="22"/>
    </row>
    <row r="314" ht="15.75" customHeight="1">
      <c r="A314" s="21"/>
      <c r="C314" s="22"/>
      <c r="D314" s="22"/>
    </row>
    <row r="315" ht="15.75" customHeight="1">
      <c r="A315" s="21"/>
      <c r="C315" s="22"/>
      <c r="D315" s="22"/>
    </row>
    <row r="316" ht="15.75" customHeight="1">
      <c r="A316" s="21"/>
      <c r="C316" s="22"/>
      <c r="D316" s="22"/>
    </row>
    <row r="317" ht="15.75" customHeight="1">
      <c r="A317" s="21"/>
      <c r="C317" s="22"/>
      <c r="D317" s="22"/>
    </row>
    <row r="318" ht="15.75" customHeight="1">
      <c r="A318" s="21"/>
      <c r="C318" s="22"/>
      <c r="D318" s="22"/>
    </row>
    <row r="319" ht="15.75" customHeight="1">
      <c r="A319" s="21"/>
      <c r="C319" s="22"/>
      <c r="D319" s="22"/>
    </row>
    <row r="320" ht="15.75" customHeight="1">
      <c r="A320" s="21"/>
      <c r="C320" s="22"/>
      <c r="D320" s="22"/>
    </row>
    <row r="321" ht="15.75" customHeight="1">
      <c r="A321" s="21"/>
      <c r="C321" s="22"/>
      <c r="D321" s="22"/>
    </row>
    <row r="322" ht="15.75" customHeight="1">
      <c r="A322" s="21"/>
      <c r="C322" s="22"/>
      <c r="D322" s="22"/>
    </row>
    <row r="323" ht="15.75" customHeight="1">
      <c r="A323" s="21"/>
      <c r="C323" s="22"/>
      <c r="D323" s="22"/>
    </row>
    <row r="324" ht="15.75" customHeight="1">
      <c r="A324" s="21"/>
      <c r="C324" s="22"/>
      <c r="D324" s="22"/>
    </row>
    <row r="325" ht="15.75" customHeight="1">
      <c r="A325" s="21"/>
      <c r="C325" s="22"/>
      <c r="D325" s="22"/>
    </row>
    <row r="326" ht="15.75" customHeight="1">
      <c r="A326" s="21"/>
      <c r="C326" s="22"/>
      <c r="D326" s="22"/>
    </row>
    <row r="327" ht="15.75" customHeight="1">
      <c r="A327" s="21"/>
      <c r="C327" s="22"/>
      <c r="D327" s="22"/>
    </row>
    <row r="328" ht="15.75" customHeight="1">
      <c r="A328" s="21"/>
      <c r="C328" s="22"/>
      <c r="D328" s="22"/>
    </row>
    <row r="329" ht="15.75" customHeight="1">
      <c r="A329" s="21"/>
      <c r="C329" s="22"/>
      <c r="D329" s="22"/>
    </row>
    <row r="330" ht="15.75" customHeight="1">
      <c r="A330" s="21"/>
      <c r="C330" s="22"/>
      <c r="D330" s="22"/>
    </row>
    <row r="331" ht="15.75" customHeight="1">
      <c r="A331" s="21"/>
      <c r="C331" s="22"/>
      <c r="D331" s="22"/>
    </row>
    <row r="332" ht="15.75" customHeight="1">
      <c r="A332" s="21"/>
      <c r="C332" s="22"/>
      <c r="D332" s="22"/>
    </row>
    <row r="333" ht="15.75" customHeight="1">
      <c r="A333" s="21"/>
      <c r="C333" s="22"/>
      <c r="D333" s="22"/>
    </row>
    <row r="334" ht="15.75" customHeight="1">
      <c r="A334" s="21"/>
      <c r="C334" s="22"/>
      <c r="D334" s="22"/>
    </row>
    <row r="335" ht="15.75" customHeight="1">
      <c r="A335" s="21"/>
      <c r="C335" s="22"/>
      <c r="D335" s="22"/>
    </row>
    <row r="336" ht="15.75" customHeight="1">
      <c r="A336" s="21"/>
      <c r="C336" s="22"/>
      <c r="D336" s="22"/>
    </row>
    <row r="337" ht="15.75" customHeight="1">
      <c r="A337" s="21"/>
      <c r="C337" s="22"/>
      <c r="D337" s="22"/>
    </row>
    <row r="338" ht="15.75" customHeight="1">
      <c r="A338" s="21"/>
      <c r="C338" s="22"/>
      <c r="D338" s="22"/>
    </row>
    <row r="339" ht="15.75" customHeight="1">
      <c r="A339" s="21"/>
      <c r="C339" s="22"/>
      <c r="D339" s="22"/>
    </row>
    <row r="340" ht="15.75" customHeight="1">
      <c r="A340" s="21"/>
      <c r="C340" s="22"/>
      <c r="D340" s="22"/>
    </row>
    <row r="341" ht="15.75" customHeight="1">
      <c r="A341" s="21"/>
      <c r="C341" s="22"/>
      <c r="D341" s="22"/>
    </row>
    <row r="342" ht="15.75" customHeight="1">
      <c r="A342" s="21"/>
      <c r="C342" s="22"/>
      <c r="D342" s="22"/>
    </row>
    <row r="343" ht="15.75" customHeight="1">
      <c r="A343" s="21"/>
      <c r="C343" s="22"/>
      <c r="D343" s="22"/>
    </row>
    <row r="344" ht="15.75" customHeight="1">
      <c r="A344" s="21"/>
      <c r="C344" s="22"/>
      <c r="D344" s="22"/>
    </row>
    <row r="345" ht="15.75" customHeight="1">
      <c r="A345" s="21"/>
      <c r="C345" s="22"/>
      <c r="D345" s="22"/>
    </row>
    <row r="346" ht="15.75" customHeight="1">
      <c r="A346" s="21"/>
      <c r="C346" s="22"/>
      <c r="D346" s="22"/>
    </row>
    <row r="347" ht="15.75" customHeight="1">
      <c r="A347" s="21"/>
      <c r="C347" s="22"/>
      <c r="D347" s="22"/>
    </row>
    <row r="348" ht="15.75" customHeight="1">
      <c r="A348" s="21"/>
      <c r="C348" s="22"/>
      <c r="D348" s="22"/>
    </row>
    <row r="349" ht="15.75" customHeight="1">
      <c r="A349" s="21"/>
      <c r="C349" s="22"/>
      <c r="D349" s="22"/>
    </row>
    <row r="350" ht="15.75" customHeight="1">
      <c r="A350" s="21"/>
      <c r="C350" s="22"/>
      <c r="D350" s="22"/>
    </row>
    <row r="351" ht="15.75" customHeight="1">
      <c r="A351" s="21"/>
      <c r="C351" s="22"/>
      <c r="D351" s="22"/>
    </row>
    <row r="352" ht="15.75" customHeight="1">
      <c r="A352" s="21"/>
      <c r="C352" s="22"/>
      <c r="D352" s="22"/>
    </row>
    <row r="353" ht="15.75" customHeight="1">
      <c r="A353" s="21"/>
      <c r="C353" s="22"/>
      <c r="D353" s="22"/>
    </row>
    <row r="354" ht="15.75" customHeight="1">
      <c r="A354" s="21"/>
      <c r="C354" s="22"/>
      <c r="D354" s="22"/>
    </row>
    <row r="355" ht="15.75" customHeight="1">
      <c r="A355" s="21"/>
      <c r="C355" s="22"/>
      <c r="D355" s="22"/>
    </row>
    <row r="356" ht="15.75" customHeight="1">
      <c r="A356" s="21"/>
      <c r="C356" s="22"/>
      <c r="D356" s="22"/>
    </row>
    <row r="357" ht="15.75" customHeight="1">
      <c r="A357" s="21"/>
      <c r="C357" s="22"/>
      <c r="D357" s="22"/>
    </row>
    <row r="358" ht="15.75" customHeight="1">
      <c r="A358" s="21"/>
      <c r="C358" s="22"/>
      <c r="D358" s="22"/>
    </row>
    <row r="359" ht="15.75" customHeight="1">
      <c r="A359" s="21"/>
      <c r="C359" s="22"/>
      <c r="D359" s="22"/>
    </row>
    <row r="360" ht="15.75" customHeight="1">
      <c r="A360" s="21"/>
      <c r="C360" s="22"/>
      <c r="D360" s="22"/>
    </row>
    <row r="361" ht="15.75" customHeight="1">
      <c r="A361" s="21"/>
      <c r="C361" s="22"/>
      <c r="D361" s="22"/>
    </row>
    <row r="362" ht="15.75" customHeight="1">
      <c r="A362" s="21"/>
      <c r="C362" s="22"/>
      <c r="D362" s="22"/>
    </row>
    <row r="363" ht="15.75" customHeight="1">
      <c r="A363" s="21"/>
      <c r="C363" s="22"/>
      <c r="D363" s="22"/>
    </row>
    <row r="364" ht="15.75" customHeight="1">
      <c r="A364" s="21"/>
      <c r="C364" s="22"/>
      <c r="D364" s="22"/>
    </row>
    <row r="365" ht="15.75" customHeight="1">
      <c r="A365" s="21"/>
      <c r="C365" s="22"/>
      <c r="D365" s="22"/>
    </row>
    <row r="366" ht="15.75" customHeight="1">
      <c r="A366" s="21"/>
      <c r="C366" s="22"/>
      <c r="D366" s="22"/>
    </row>
    <row r="367" ht="15.75" customHeight="1">
      <c r="A367" s="21"/>
      <c r="C367" s="22"/>
      <c r="D367" s="22"/>
    </row>
    <row r="368" ht="15.75" customHeight="1">
      <c r="A368" s="21"/>
      <c r="C368" s="22"/>
      <c r="D368" s="22"/>
    </row>
    <row r="369" ht="15.75" customHeight="1">
      <c r="A369" s="21"/>
      <c r="C369" s="22"/>
      <c r="D369" s="22"/>
    </row>
    <row r="370" ht="15.75" customHeight="1">
      <c r="A370" s="21"/>
      <c r="C370" s="22"/>
      <c r="D370" s="22"/>
    </row>
    <row r="371" ht="15.75" customHeight="1">
      <c r="A371" s="21"/>
      <c r="C371" s="22"/>
      <c r="D371" s="22"/>
    </row>
    <row r="372" ht="15.75" customHeight="1">
      <c r="A372" s="21"/>
      <c r="C372" s="22"/>
      <c r="D372" s="22"/>
    </row>
    <row r="373" ht="15.75" customHeight="1">
      <c r="A373" s="21"/>
      <c r="C373" s="22"/>
      <c r="D373" s="22"/>
    </row>
    <row r="374" ht="15.75" customHeight="1">
      <c r="A374" s="21"/>
      <c r="C374" s="22"/>
      <c r="D374" s="22"/>
    </row>
    <row r="375" ht="15.75" customHeight="1">
      <c r="A375" s="21"/>
      <c r="C375" s="22"/>
      <c r="D375" s="22"/>
    </row>
    <row r="376" ht="15.75" customHeight="1">
      <c r="A376" s="21"/>
      <c r="C376" s="22"/>
      <c r="D376" s="22"/>
    </row>
    <row r="377" ht="15.75" customHeight="1">
      <c r="A377" s="21"/>
      <c r="C377" s="22"/>
      <c r="D377" s="22"/>
    </row>
    <row r="378" ht="15.75" customHeight="1">
      <c r="A378" s="21"/>
      <c r="C378" s="22"/>
      <c r="D378" s="22"/>
    </row>
    <row r="379" ht="15.75" customHeight="1">
      <c r="A379" s="21"/>
      <c r="C379" s="22"/>
      <c r="D379" s="22"/>
    </row>
    <row r="380" ht="15.75" customHeight="1">
      <c r="A380" s="21"/>
      <c r="C380" s="22"/>
      <c r="D380" s="22"/>
    </row>
    <row r="381" ht="15.75" customHeight="1">
      <c r="A381" s="21"/>
      <c r="C381" s="22"/>
      <c r="D381" s="22"/>
    </row>
    <row r="382" ht="15.75" customHeight="1">
      <c r="A382" s="21"/>
      <c r="C382" s="22"/>
      <c r="D382" s="22"/>
    </row>
    <row r="383" ht="15.75" customHeight="1">
      <c r="A383" s="21"/>
      <c r="C383" s="22"/>
      <c r="D383" s="22"/>
    </row>
    <row r="384" ht="15.75" customHeight="1">
      <c r="A384" s="21"/>
      <c r="C384" s="22"/>
      <c r="D384" s="22"/>
    </row>
    <row r="385" ht="15.75" customHeight="1">
      <c r="A385" s="21"/>
      <c r="C385" s="22"/>
      <c r="D385" s="22"/>
    </row>
    <row r="386" ht="15.75" customHeight="1">
      <c r="A386" s="21"/>
      <c r="C386" s="22"/>
      <c r="D386" s="22"/>
    </row>
    <row r="387" ht="15.75" customHeight="1">
      <c r="A387" s="21"/>
      <c r="C387" s="22"/>
      <c r="D387" s="22"/>
    </row>
    <row r="388" ht="15.75" customHeight="1">
      <c r="A388" s="21"/>
      <c r="C388" s="22"/>
      <c r="D388" s="22"/>
    </row>
    <row r="389" ht="15.75" customHeight="1">
      <c r="A389" s="21"/>
      <c r="C389" s="22"/>
      <c r="D389" s="22"/>
    </row>
    <row r="390" ht="15.75" customHeight="1">
      <c r="A390" s="21"/>
      <c r="C390" s="22"/>
      <c r="D390" s="22"/>
    </row>
    <row r="391" ht="15.75" customHeight="1">
      <c r="A391" s="21"/>
      <c r="C391" s="22"/>
      <c r="D391" s="22"/>
    </row>
    <row r="392" ht="15.75" customHeight="1">
      <c r="A392" s="21"/>
      <c r="C392" s="22"/>
      <c r="D392" s="22"/>
    </row>
    <row r="393" ht="15.75" customHeight="1">
      <c r="A393" s="21"/>
      <c r="C393" s="22"/>
      <c r="D393" s="22"/>
    </row>
    <row r="394" ht="15.75" customHeight="1">
      <c r="A394" s="21"/>
      <c r="C394" s="22"/>
      <c r="D394" s="22"/>
    </row>
    <row r="395" ht="15.75" customHeight="1">
      <c r="A395" s="21"/>
      <c r="C395" s="22"/>
      <c r="D395" s="22"/>
    </row>
    <row r="396" ht="15.75" customHeight="1">
      <c r="A396" s="21"/>
      <c r="C396" s="22"/>
      <c r="D396" s="22"/>
    </row>
    <row r="397" ht="15.75" customHeight="1">
      <c r="A397" s="21"/>
      <c r="C397" s="22"/>
      <c r="D397" s="22"/>
    </row>
    <row r="398" ht="15.75" customHeight="1">
      <c r="A398" s="21"/>
      <c r="C398" s="22"/>
      <c r="D398" s="22"/>
    </row>
    <row r="399" ht="15.75" customHeight="1">
      <c r="A399" s="21"/>
      <c r="C399" s="22"/>
      <c r="D399" s="22"/>
    </row>
    <row r="400" ht="15.75" customHeight="1">
      <c r="A400" s="21"/>
      <c r="C400" s="22"/>
      <c r="D400" s="22"/>
    </row>
    <row r="401" ht="15.75" customHeight="1">
      <c r="A401" s="21"/>
      <c r="C401" s="22"/>
      <c r="D401" s="22"/>
    </row>
    <row r="402" ht="15.75" customHeight="1">
      <c r="A402" s="21"/>
      <c r="C402" s="22"/>
      <c r="D402" s="22"/>
    </row>
    <row r="403" ht="15.75" customHeight="1">
      <c r="A403" s="21"/>
      <c r="C403" s="22"/>
      <c r="D403" s="22"/>
    </row>
    <row r="404" ht="15.75" customHeight="1">
      <c r="A404" s="21"/>
      <c r="C404" s="22"/>
      <c r="D404" s="22"/>
    </row>
    <row r="405" ht="15.75" customHeight="1">
      <c r="A405" s="21"/>
      <c r="C405" s="22"/>
      <c r="D405" s="22"/>
    </row>
    <row r="406" ht="15.75" customHeight="1">
      <c r="A406" s="21"/>
      <c r="C406" s="22"/>
      <c r="D406" s="22"/>
    </row>
    <row r="407" ht="15.75" customHeight="1">
      <c r="A407" s="21"/>
      <c r="C407" s="22"/>
      <c r="D407" s="22"/>
    </row>
    <row r="408" ht="15.75" customHeight="1">
      <c r="A408" s="21"/>
      <c r="C408" s="22"/>
      <c r="D408" s="22"/>
    </row>
    <row r="409" ht="15.75" customHeight="1">
      <c r="A409" s="21"/>
      <c r="C409" s="22"/>
      <c r="D409" s="22"/>
    </row>
    <row r="410" ht="15.75" customHeight="1">
      <c r="A410" s="21"/>
      <c r="C410" s="22"/>
      <c r="D410" s="22"/>
    </row>
    <row r="411" ht="15.75" customHeight="1">
      <c r="A411" s="21"/>
      <c r="C411" s="22"/>
      <c r="D411" s="22"/>
    </row>
    <row r="412" ht="15.75" customHeight="1">
      <c r="A412" s="21"/>
      <c r="C412" s="22"/>
      <c r="D412" s="22"/>
    </row>
    <row r="413" ht="15.75" customHeight="1">
      <c r="A413" s="21"/>
      <c r="C413" s="22"/>
      <c r="D413" s="22"/>
    </row>
    <row r="414" ht="15.75" customHeight="1">
      <c r="A414" s="21"/>
      <c r="C414" s="22"/>
      <c r="D414" s="22"/>
    </row>
    <row r="415" ht="15.75" customHeight="1">
      <c r="A415" s="21"/>
      <c r="C415" s="22"/>
      <c r="D415" s="22"/>
    </row>
    <row r="416" ht="15.75" customHeight="1">
      <c r="A416" s="21"/>
      <c r="C416" s="22"/>
      <c r="D416" s="22"/>
    </row>
    <row r="417" ht="15.75" customHeight="1">
      <c r="A417" s="21"/>
      <c r="C417" s="22"/>
      <c r="D417" s="22"/>
    </row>
    <row r="418" ht="15.75" customHeight="1">
      <c r="A418" s="21"/>
      <c r="C418" s="22"/>
      <c r="D418" s="22"/>
    </row>
    <row r="419" ht="15.75" customHeight="1">
      <c r="A419" s="21"/>
      <c r="C419" s="22"/>
      <c r="D419" s="22"/>
    </row>
    <row r="420" ht="15.75" customHeight="1">
      <c r="A420" s="21"/>
      <c r="C420" s="22"/>
      <c r="D420" s="22"/>
    </row>
    <row r="421" ht="15.75" customHeight="1">
      <c r="A421" s="21"/>
      <c r="C421" s="22"/>
      <c r="D421" s="22"/>
    </row>
    <row r="422" ht="15.75" customHeight="1">
      <c r="A422" s="21"/>
      <c r="C422" s="22"/>
      <c r="D422" s="22"/>
    </row>
    <row r="423" ht="15.75" customHeight="1">
      <c r="A423" s="21"/>
      <c r="C423" s="22"/>
      <c r="D423" s="22"/>
    </row>
    <row r="424" ht="15.75" customHeight="1">
      <c r="A424" s="21"/>
      <c r="C424" s="22"/>
      <c r="D424" s="22"/>
    </row>
    <row r="425" ht="15.75" customHeight="1">
      <c r="A425" s="21"/>
      <c r="C425" s="22"/>
      <c r="D425" s="22"/>
    </row>
    <row r="426" ht="15.75" customHeight="1">
      <c r="A426" s="21"/>
      <c r="C426" s="22"/>
      <c r="D426" s="22"/>
    </row>
    <row r="427" ht="15.75" customHeight="1">
      <c r="A427" s="21"/>
      <c r="C427" s="22"/>
      <c r="D427" s="22"/>
    </row>
    <row r="428" ht="15.75" customHeight="1">
      <c r="A428" s="21"/>
      <c r="C428" s="22"/>
      <c r="D428" s="22"/>
    </row>
    <row r="429" ht="15.75" customHeight="1">
      <c r="A429" s="21"/>
      <c r="C429" s="22"/>
      <c r="D429" s="22"/>
    </row>
    <row r="430" ht="15.75" customHeight="1">
      <c r="A430" s="21"/>
      <c r="C430" s="22"/>
      <c r="D430" s="22"/>
    </row>
    <row r="431" ht="15.75" customHeight="1">
      <c r="A431" s="21"/>
      <c r="C431" s="22"/>
      <c r="D431" s="22"/>
    </row>
    <row r="432" ht="15.75" customHeight="1">
      <c r="A432" s="21"/>
      <c r="C432" s="22"/>
      <c r="D432" s="22"/>
    </row>
    <row r="433" ht="15.75" customHeight="1">
      <c r="A433" s="21"/>
      <c r="C433" s="22"/>
      <c r="D433" s="22"/>
    </row>
    <row r="434" ht="15.75" customHeight="1">
      <c r="A434" s="21"/>
      <c r="C434" s="22"/>
      <c r="D434" s="22"/>
    </row>
    <row r="435" ht="15.75" customHeight="1">
      <c r="A435" s="21"/>
      <c r="C435" s="22"/>
      <c r="D435" s="22"/>
    </row>
    <row r="436" ht="15.75" customHeight="1">
      <c r="A436" s="21"/>
      <c r="C436" s="22"/>
      <c r="D436" s="22"/>
    </row>
    <row r="437" ht="15.75" customHeight="1">
      <c r="A437" s="21"/>
      <c r="C437" s="22"/>
      <c r="D437" s="22"/>
    </row>
    <row r="438" ht="15.75" customHeight="1">
      <c r="A438" s="21"/>
      <c r="C438" s="22"/>
      <c r="D438" s="22"/>
    </row>
    <row r="439" ht="15.75" customHeight="1">
      <c r="A439" s="21"/>
      <c r="C439" s="22"/>
      <c r="D439" s="22"/>
    </row>
    <row r="440" ht="15.75" customHeight="1">
      <c r="A440" s="21"/>
      <c r="C440" s="22"/>
      <c r="D440" s="22"/>
    </row>
    <row r="441" ht="15.75" customHeight="1">
      <c r="A441" s="21"/>
      <c r="C441" s="22"/>
      <c r="D441" s="22"/>
    </row>
    <row r="442" ht="15.75" customHeight="1">
      <c r="A442" s="21"/>
      <c r="C442" s="22"/>
      <c r="D442" s="22"/>
    </row>
    <row r="443" ht="15.75" customHeight="1">
      <c r="A443" s="21"/>
      <c r="C443" s="22"/>
      <c r="D443" s="22"/>
    </row>
    <row r="444" ht="15.75" customHeight="1">
      <c r="A444" s="21"/>
      <c r="C444" s="22"/>
      <c r="D444" s="22"/>
    </row>
    <row r="445" ht="15.75" customHeight="1">
      <c r="A445" s="21"/>
      <c r="C445" s="22"/>
      <c r="D445" s="22"/>
    </row>
    <row r="446" ht="15.75" customHeight="1">
      <c r="A446" s="21"/>
      <c r="C446" s="22"/>
      <c r="D446" s="22"/>
    </row>
    <row r="447" ht="15.75" customHeight="1">
      <c r="A447" s="21"/>
      <c r="C447" s="22"/>
      <c r="D447" s="22"/>
    </row>
    <row r="448" ht="15.75" customHeight="1">
      <c r="A448" s="21"/>
      <c r="C448" s="22"/>
      <c r="D448" s="22"/>
    </row>
    <row r="449" ht="15.75" customHeight="1">
      <c r="A449" s="21"/>
      <c r="C449" s="22"/>
      <c r="D449" s="22"/>
    </row>
    <row r="450" ht="15.75" customHeight="1">
      <c r="A450" s="21"/>
      <c r="C450" s="22"/>
      <c r="D450" s="22"/>
    </row>
    <row r="451" ht="15.75" customHeight="1">
      <c r="A451" s="21"/>
      <c r="C451" s="22"/>
      <c r="D451" s="22"/>
    </row>
    <row r="452" ht="15.75" customHeight="1">
      <c r="A452" s="21"/>
      <c r="C452" s="22"/>
      <c r="D452" s="22"/>
    </row>
    <row r="453" ht="15.75" customHeight="1">
      <c r="A453" s="21"/>
      <c r="C453" s="22"/>
      <c r="D453" s="22"/>
    </row>
    <row r="454" ht="15.75" customHeight="1">
      <c r="A454" s="21"/>
      <c r="C454" s="22"/>
      <c r="D454" s="22"/>
    </row>
    <row r="455" ht="15.75" customHeight="1">
      <c r="A455" s="21"/>
      <c r="C455" s="22"/>
      <c r="D455" s="22"/>
    </row>
    <row r="456" ht="15.75" customHeight="1">
      <c r="A456" s="21"/>
      <c r="C456" s="22"/>
      <c r="D456" s="22"/>
    </row>
    <row r="457" ht="15.75" customHeight="1">
      <c r="A457" s="21"/>
      <c r="C457" s="22"/>
      <c r="D457" s="22"/>
    </row>
    <row r="458" ht="15.75" customHeight="1">
      <c r="A458" s="21"/>
      <c r="C458" s="22"/>
      <c r="D458" s="22"/>
    </row>
    <row r="459" ht="15.75" customHeight="1">
      <c r="A459" s="21"/>
      <c r="C459" s="22"/>
      <c r="D459" s="22"/>
    </row>
    <row r="460" ht="15.75" customHeight="1">
      <c r="A460" s="21"/>
      <c r="C460" s="22"/>
      <c r="D460" s="22"/>
    </row>
    <row r="461" ht="15.75" customHeight="1">
      <c r="A461" s="21"/>
      <c r="C461" s="22"/>
      <c r="D461" s="22"/>
    </row>
    <row r="462" ht="15.75" customHeight="1">
      <c r="A462" s="21"/>
      <c r="C462" s="22"/>
      <c r="D462" s="22"/>
    </row>
    <row r="463" ht="15.75" customHeight="1">
      <c r="A463" s="21"/>
      <c r="C463" s="22"/>
      <c r="D463" s="22"/>
    </row>
    <row r="464" ht="15.75" customHeight="1">
      <c r="A464" s="21"/>
      <c r="C464" s="22"/>
      <c r="D464" s="22"/>
    </row>
    <row r="465" ht="15.75" customHeight="1">
      <c r="A465" s="21"/>
      <c r="C465" s="22"/>
      <c r="D465" s="22"/>
    </row>
    <row r="466" ht="15.75" customHeight="1">
      <c r="A466" s="21"/>
      <c r="C466" s="22"/>
      <c r="D466" s="22"/>
    </row>
    <row r="467" ht="15.75" customHeight="1">
      <c r="A467" s="21"/>
      <c r="C467" s="22"/>
      <c r="D467" s="22"/>
    </row>
    <row r="468" ht="15.75" customHeight="1">
      <c r="A468" s="21"/>
      <c r="C468" s="22"/>
      <c r="D468" s="22"/>
    </row>
    <row r="469" ht="15.75" customHeight="1">
      <c r="A469" s="21"/>
      <c r="C469" s="22"/>
      <c r="D469" s="22"/>
    </row>
    <row r="470" ht="15.75" customHeight="1">
      <c r="A470" s="21"/>
      <c r="C470" s="22"/>
      <c r="D470" s="22"/>
    </row>
    <row r="471" ht="15.75" customHeight="1">
      <c r="A471" s="21"/>
      <c r="C471" s="22"/>
      <c r="D471" s="22"/>
    </row>
    <row r="472" ht="15.75" customHeight="1">
      <c r="A472" s="21"/>
      <c r="C472" s="22"/>
      <c r="D472" s="22"/>
    </row>
    <row r="473" ht="15.75" customHeight="1">
      <c r="A473" s="21"/>
      <c r="C473" s="22"/>
      <c r="D473" s="22"/>
    </row>
    <row r="474" ht="15.75" customHeight="1">
      <c r="A474" s="21"/>
      <c r="C474" s="22"/>
      <c r="D474" s="22"/>
    </row>
    <row r="475" ht="15.75" customHeight="1">
      <c r="A475" s="21"/>
      <c r="C475" s="22"/>
      <c r="D475" s="22"/>
    </row>
    <row r="476" ht="15.75" customHeight="1">
      <c r="A476" s="21"/>
      <c r="C476" s="22"/>
      <c r="D476" s="22"/>
    </row>
    <row r="477" ht="15.75" customHeight="1">
      <c r="A477" s="21"/>
      <c r="C477" s="22"/>
      <c r="D477" s="22"/>
    </row>
    <row r="478" ht="15.75" customHeight="1">
      <c r="A478" s="21"/>
      <c r="C478" s="22"/>
      <c r="D478" s="22"/>
    </row>
    <row r="479" ht="15.75" customHeight="1">
      <c r="A479" s="21"/>
      <c r="C479" s="22"/>
      <c r="D479" s="22"/>
    </row>
    <row r="480" ht="15.75" customHeight="1">
      <c r="A480" s="21"/>
      <c r="C480" s="22"/>
      <c r="D480" s="22"/>
    </row>
    <row r="481" ht="15.75" customHeight="1">
      <c r="A481" s="21"/>
      <c r="C481" s="22"/>
      <c r="D481" s="22"/>
    </row>
    <row r="482" ht="15.75" customHeight="1">
      <c r="A482" s="21"/>
      <c r="C482" s="22"/>
      <c r="D482" s="22"/>
    </row>
    <row r="483" ht="15.75" customHeight="1">
      <c r="A483" s="21"/>
      <c r="C483" s="22"/>
      <c r="D483" s="22"/>
    </row>
    <row r="484" ht="15.75" customHeight="1">
      <c r="A484" s="21"/>
      <c r="C484" s="22"/>
      <c r="D484" s="22"/>
    </row>
    <row r="485" ht="15.75" customHeight="1">
      <c r="A485" s="21"/>
      <c r="C485" s="22"/>
      <c r="D485" s="22"/>
    </row>
    <row r="486" ht="15.75" customHeight="1">
      <c r="A486" s="21"/>
      <c r="C486" s="22"/>
      <c r="D486" s="22"/>
    </row>
    <row r="487" ht="15.75" customHeight="1">
      <c r="A487" s="21"/>
      <c r="C487" s="22"/>
      <c r="D487" s="22"/>
    </row>
    <row r="488" ht="15.75" customHeight="1">
      <c r="A488" s="21"/>
      <c r="C488" s="22"/>
      <c r="D488" s="22"/>
    </row>
    <row r="489" ht="15.75" customHeight="1">
      <c r="A489" s="21"/>
      <c r="C489" s="22"/>
      <c r="D489" s="22"/>
    </row>
    <row r="490" ht="15.75" customHeight="1">
      <c r="A490" s="21"/>
      <c r="C490" s="22"/>
      <c r="D490" s="22"/>
    </row>
    <row r="491" ht="15.75" customHeight="1">
      <c r="A491" s="21"/>
      <c r="C491" s="22"/>
      <c r="D491" s="22"/>
    </row>
    <row r="492" ht="15.75" customHeight="1">
      <c r="A492" s="21"/>
      <c r="C492" s="22"/>
      <c r="D492" s="22"/>
    </row>
    <row r="493" ht="15.75" customHeight="1">
      <c r="A493" s="21"/>
      <c r="C493" s="22"/>
      <c r="D493" s="22"/>
    </row>
    <row r="494" ht="15.75" customHeight="1">
      <c r="A494" s="21"/>
      <c r="C494" s="22"/>
      <c r="D494" s="22"/>
    </row>
    <row r="495" ht="15.75" customHeight="1">
      <c r="A495" s="21"/>
      <c r="C495" s="22"/>
      <c r="D495" s="22"/>
    </row>
    <row r="496" ht="15.75" customHeight="1">
      <c r="A496" s="21"/>
      <c r="C496" s="22"/>
      <c r="D496" s="22"/>
    </row>
    <row r="497" ht="15.75" customHeight="1">
      <c r="A497" s="21"/>
      <c r="C497" s="22"/>
      <c r="D497" s="22"/>
    </row>
    <row r="498" ht="15.75" customHeight="1">
      <c r="A498" s="21"/>
      <c r="C498" s="22"/>
      <c r="D498" s="22"/>
    </row>
    <row r="499" ht="15.75" customHeight="1">
      <c r="A499" s="21"/>
      <c r="C499" s="22"/>
      <c r="D499" s="22"/>
    </row>
    <row r="500" ht="15.75" customHeight="1">
      <c r="A500" s="21"/>
      <c r="C500" s="22"/>
      <c r="D500" s="22"/>
    </row>
    <row r="501" ht="15.75" customHeight="1">
      <c r="A501" s="21"/>
      <c r="C501" s="22"/>
      <c r="D501" s="22"/>
    </row>
    <row r="502" ht="15.75" customHeight="1">
      <c r="A502" s="21"/>
      <c r="C502" s="22"/>
      <c r="D502" s="22"/>
    </row>
    <row r="503" ht="15.75" customHeight="1">
      <c r="A503" s="21"/>
      <c r="C503" s="22"/>
      <c r="D503" s="22"/>
    </row>
    <row r="504" ht="15.75" customHeight="1">
      <c r="A504" s="21"/>
      <c r="C504" s="22"/>
      <c r="D504" s="22"/>
    </row>
    <row r="505" ht="15.75" customHeight="1">
      <c r="A505" s="21"/>
      <c r="C505" s="22"/>
      <c r="D505" s="22"/>
    </row>
    <row r="506" ht="15.75" customHeight="1">
      <c r="A506" s="21"/>
      <c r="C506" s="22"/>
      <c r="D506" s="22"/>
    </row>
    <row r="507" ht="15.75" customHeight="1">
      <c r="A507" s="21"/>
      <c r="C507" s="22"/>
      <c r="D507" s="22"/>
    </row>
    <row r="508" ht="15.75" customHeight="1">
      <c r="A508" s="21"/>
      <c r="C508" s="22"/>
      <c r="D508" s="22"/>
    </row>
    <row r="509" ht="15.75" customHeight="1">
      <c r="A509" s="21"/>
      <c r="C509" s="22"/>
      <c r="D509" s="22"/>
    </row>
    <row r="510" ht="15.75" customHeight="1">
      <c r="A510" s="21"/>
      <c r="C510" s="22"/>
      <c r="D510" s="22"/>
    </row>
    <row r="511" ht="15.75" customHeight="1">
      <c r="A511" s="21"/>
      <c r="C511" s="22"/>
      <c r="D511" s="22"/>
    </row>
    <row r="512" ht="15.75" customHeight="1">
      <c r="A512" s="21"/>
      <c r="C512" s="22"/>
      <c r="D512" s="22"/>
    </row>
    <row r="513" ht="15.75" customHeight="1">
      <c r="A513" s="21"/>
      <c r="C513" s="22"/>
      <c r="D513" s="22"/>
    </row>
    <row r="514" ht="15.75" customHeight="1">
      <c r="A514" s="21"/>
      <c r="C514" s="22"/>
      <c r="D514" s="22"/>
    </row>
    <row r="515" ht="15.75" customHeight="1">
      <c r="A515" s="21"/>
      <c r="C515" s="22"/>
      <c r="D515" s="22"/>
    </row>
    <row r="516" ht="15.75" customHeight="1">
      <c r="A516" s="21"/>
      <c r="C516" s="22"/>
      <c r="D516" s="22"/>
    </row>
    <row r="517" ht="15.75" customHeight="1">
      <c r="A517" s="21"/>
      <c r="C517" s="22"/>
      <c r="D517" s="22"/>
    </row>
    <row r="518" ht="15.75" customHeight="1">
      <c r="A518" s="21"/>
      <c r="C518" s="22"/>
      <c r="D518" s="22"/>
    </row>
    <row r="519" ht="15.75" customHeight="1">
      <c r="A519" s="21"/>
      <c r="C519" s="22"/>
      <c r="D519" s="22"/>
    </row>
    <row r="520" ht="15.75" customHeight="1">
      <c r="A520" s="21"/>
      <c r="C520" s="22"/>
      <c r="D520" s="22"/>
    </row>
    <row r="521" ht="15.75" customHeight="1">
      <c r="A521" s="21"/>
      <c r="C521" s="22"/>
      <c r="D521" s="22"/>
    </row>
    <row r="522" ht="15.75" customHeight="1">
      <c r="A522" s="21"/>
      <c r="C522" s="22"/>
      <c r="D522" s="22"/>
    </row>
    <row r="523" ht="15.75" customHeight="1">
      <c r="A523" s="21"/>
      <c r="C523" s="22"/>
      <c r="D523" s="22"/>
    </row>
    <row r="524" ht="15.75" customHeight="1">
      <c r="A524" s="21"/>
      <c r="C524" s="22"/>
      <c r="D524" s="22"/>
    </row>
    <row r="525" ht="15.75" customHeight="1">
      <c r="A525" s="21"/>
      <c r="C525" s="22"/>
      <c r="D525" s="22"/>
    </row>
    <row r="526" ht="15.75" customHeight="1">
      <c r="A526" s="21"/>
      <c r="C526" s="22"/>
      <c r="D526" s="22"/>
    </row>
    <row r="527" ht="15.75" customHeight="1">
      <c r="A527" s="21"/>
      <c r="C527" s="22"/>
      <c r="D527" s="22"/>
    </row>
    <row r="528" ht="15.75" customHeight="1">
      <c r="A528" s="21"/>
      <c r="C528" s="22"/>
      <c r="D528" s="22"/>
    </row>
    <row r="529" ht="15.75" customHeight="1">
      <c r="A529" s="21"/>
      <c r="C529" s="22"/>
      <c r="D529" s="22"/>
    </row>
    <row r="530" ht="15.75" customHeight="1">
      <c r="A530" s="21"/>
      <c r="C530" s="22"/>
      <c r="D530" s="22"/>
    </row>
    <row r="531" ht="15.75" customHeight="1">
      <c r="A531" s="21"/>
      <c r="C531" s="22"/>
      <c r="D531" s="22"/>
    </row>
    <row r="532" ht="15.75" customHeight="1">
      <c r="A532" s="21"/>
      <c r="C532" s="22"/>
      <c r="D532" s="22"/>
    </row>
    <row r="533" ht="15.75" customHeight="1">
      <c r="A533" s="21"/>
      <c r="C533" s="22"/>
      <c r="D533" s="22"/>
    </row>
    <row r="534" ht="15.75" customHeight="1">
      <c r="A534" s="21"/>
      <c r="C534" s="22"/>
      <c r="D534" s="22"/>
    </row>
    <row r="535" ht="15.75" customHeight="1">
      <c r="A535" s="21"/>
      <c r="C535" s="22"/>
      <c r="D535" s="22"/>
    </row>
    <row r="536" ht="15.75" customHeight="1">
      <c r="A536" s="21"/>
      <c r="C536" s="22"/>
      <c r="D536" s="22"/>
    </row>
    <row r="537" ht="15.75" customHeight="1">
      <c r="A537" s="21"/>
      <c r="C537" s="22"/>
      <c r="D537" s="22"/>
    </row>
    <row r="538" ht="15.75" customHeight="1">
      <c r="A538" s="21"/>
      <c r="C538" s="22"/>
      <c r="D538" s="22"/>
    </row>
    <row r="539" ht="15.75" customHeight="1">
      <c r="A539" s="21"/>
      <c r="C539" s="22"/>
      <c r="D539" s="22"/>
    </row>
    <row r="540" ht="15.75" customHeight="1">
      <c r="A540" s="21"/>
      <c r="C540" s="22"/>
      <c r="D540" s="22"/>
    </row>
    <row r="541" ht="15.75" customHeight="1">
      <c r="A541" s="21"/>
      <c r="C541" s="22"/>
      <c r="D541" s="22"/>
    </row>
    <row r="542" ht="15.75" customHeight="1">
      <c r="A542" s="21"/>
      <c r="C542" s="22"/>
      <c r="D542" s="22"/>
    </row>
    <row r="543" ht="15.75" customHeight="1">
      <c r="A543" s="21"/>
      <c r="C543" s="22"/>
      <c r="D543" s="22"/>
    </row>
    <row r="544" ht="15.75" customHeight="1">
      <c r="A544" s="21"/>
      <c r="C544" s="22"/>
      <c r="D544" s="22"/>
    </row>
    <row r="545" ht="15.75" customHeight="1">
      <c r="A545" s="21"/>
      <c r="C545" s="22"/>
      <c r="D545" s="22"/>
    </row>
    <row r="546" ht="15.75" customHeight="1">
      <c r="A546" s="21"/>
      <c r="C546" s="22"/>
      <c r="D546" s="22"/>
    </row>
    <row r="547" ht="15.75" customHeight="1">
      <c r="A547" s="21"/>
      <c r="C547" s="22"/>
      <c r="D547" s="22"/>
    </row>
    <row r="548" ht="15.75" customHeight="1">
      <c r="A548" s="21"/>
      <c r="C548" s="22"/>
      <c r="D548" s="22"/>
    </row>
    <row r="549" ht="15.75" customHeight="1">
      <c r="A549" s="21"/>
      <c r="C549" s="22"/>
      <c r="D549" s="22"/>
    </row>
    <row r="550" ht="15.75" customHeight="1">
      <c r="A550" s="21"/>
      <c r="C550" s="22"/>
      <c r="D550" s="22"/>
    </row>
    <row r="551" ht="15.75" customHeight="1">
      <c r="A551" s="21"/>
      <c r="C551" s="22"/>
      <c r="D551" s="22"/>
    </row>
    <row r="552" ht="15.75" customHeight="1">
      <c r="A552" s="21"/>
      <c r="C552" s="22"/>
      <c r="D552" s="22"/>
    </row>
    <row r="553" ht="15.75" customHeight="1">
      <c r="A553" s="21"/>
      <c r="C553" s="22"/>
      <c r="D553" s="22"/>
    </row>
    <row r="554" ht="15.75" customHeight="1">
      <c r="A554" s="21"/>
      <c r="C554" s="22"/>
      <c r="D554" s="22"/>
    </row>
    <row r="555" ht="15.75" customHeight="1">
      <c r="A555" s="21"/>
      <c r="C555" s="22"/>
      <c r="D555" s="22"/>
    </row>
    <row r="556" ht="15.75" customHeight="1">
      <c r="A556" s="21"/>
      <c r="C556" s="22"/>
      <c r="D556" s="22"/>
    </row>
    <row r="557" ht="15.75" customHeight="1">
      <c r="A557" s="21"/>
      <c r="C557" s="22"/>
      <c r="D557" s="22"/>
    </row>
    <row r="558" ht="15.75" customHeight="1">
      <c r="A558" s="21"/>
      <c r="C558" s="22"/>
      <c r="D558" s="22"/>
    </row>
    <row r="559" ht="15.75" customHeight="1">
      <c r="A559" s="21"/>
      <c r="C559" s="22"/>
      <c r="D559" s="22"/>
    </row>
    <row r="560" ht="15.75" customHeight="1">
      <c r="A560" s="21"/>
      <c r="C560" s="22"/>
      <c r="D560" s="22"/>
    </row>
    <row r="561" ht="15.75" customHeight="1">
      <c r="A561" s="21"/>
      <c r="C561" s="22"/>
      <c r="D561" s="22"/>
    </row>
    <row r="562" ht="15.75" customHeight="1">
      <c r="A562" s="21"/>
      <c r="C562" s="22"/>
      <c r="D562" s="22"/>
    </row>
    <row r="563" ht="15.75" customHeight="1">
      <c r="A563" s="21"/>
      <c r="C563" s="22"/>
      <c r="D563" s="22"/>
    </row>
    <row r="564" ht="15.75" customHeight="1">
      <c r="A564" s="21"/>
      <c r="C564" s="22"/>
      <c r="D564" s="22"/>
    </row>
    <row r="565" ht="15.75" customHeight="1">
      <c r="A565" s="21"/>
      <c r="C565" s="22"/>
      <c r="D565" s="22"/>
    </row>
    <row r="566" ht="15.75" customHeight="1">
      <c r="A566" s="21"/>
      <c r="C566" s="22"/>
      <c r="D566" s="22"/>
    </row>
    <row r="567" ht="15.75" customHeight="1">
      <c r="A567" s="21"/>
      <c r="C567" s="22"/>
      <c r="D567" s="22"/>
    </row>
    <row r="568" ht="15.75" customHeight="1">
      <c r="A568" s="21"/>
      <c r="C568" s="22"/>
      <c r="D568" s="22"/>
    </row>
    <row r="569" ht="15.75" customHeight="1">
      <c r="A569" s="21"/>
      <c r="C569" s="22"/>
      <c r="D569" s="22"/>
    </row>
    <row r="570" ht="15.75" customHeight="1">
      <c r="A570" s="21"/>
      <c r="C570" s="22"/>
      <c r="D570" s="22"/>
    </row>
    <row r="571" ht="15.75" customHeight="1">
      <c r="A571" s="21"/>
      <c r="C571" s="22"/>
      <c r="D571" s="22"/>
    </row>
    <row r="572" ht="15.75" customHeight="1">
      <c r="A572" s="21"/>
      <c r="C572" s="22"/>
      <c r="D572" s="22"/>
    </row>
    <row r="573" ht="15.75" customHeight="1">
      <c r="A573" s="21"/>
      <c r="C573" s="22"/>
      <c r="D573" s="22"/>
    </row>
    <row r="574" ht="15.75" customHeight="1">
      <c r="A574" s="21"/>
      <c r="C574" s="22"/>
      <c r="D574" s="22"/>
    </row>
    <row r="575" ht="15.75" customHeight="1">
      <c r="A575" s="21"/>
      <c r="C575" s="22"/>
      <c r="D575" s="22"/>
    </row>
    <row r="576" ht="15.75" customHeight="1">
      <c r="A576" s="21"/>
      <c r="C576" s="22"/>
      <c r="D576" s="22"/>
    </row>
    <row r="577" ht="15.75" customHeight="1">
      <c r="A577" s="21"/>
      <c r="C577" s="22"/>
      <c r="D577" s="22"/>
    </row>
    <row r="578" ht="15.75" customHeight="1">
      <c r="A578" s="21"/>
      <c r="C578" s="22"/>
      <c r="D578" s="22"/>
    </row>
    <row r="579" ht="15.75" customHeight="1">
      <c r="A579" s="21"/>
      <c r="C579" s="22"/>
      <c r="D579" s="22"/>
    </row>
    <row r="580" ht="15.75" customHeight="1">
      <c r="A580" s="21"/>
      <c r="C580" s="22"/>
      <c r="D580" s="22"/>
    </row>
    <row r="581" ht="15.75" customHeight="1">
      <c r="A581" s="21"/>
      <c r="C581" s="22"/>
      <c r="D581" s="22"/>
    </row>
    <row r="582" ht="15.75" customHeight="1">
      <c r="A582" s="21"/>
      <c r="C582" s="22"/>
      <c r="D582" s="22"/>
    </row>
    <row r="583" ht="15.75" customHeight="1">
      <c r="A583" s="21"/>
      <c r="C583" s="22"/>
      <c r="D583" s="22"/>
    </row>
    <row r="584" ht="15.75" customHeight="1">
      <c r="A584" s="21"/>
      <c r="C584" s="22"/>
      <c r="D584" s="22"/>
    </row>
    <row r="585" ht="15.75" customHeight="1">
      <c r="A585" s="21"/>
      <c r="C585" s="22"/>
      <c r="D585" s="22"/>
    </row>
    <row r="586" ht="15.75" customHeight="1">
      <c r="A586" s="21"/>
      <c r="C586" s="22"/>
      <c r="D586" s="22"/>
    </row>
    <row r="587" ht="15.75" customHeight="1">
      <c r="A587" s="21"/>
      <c r="C587" s="22"/>
      <c r="D587" s="22"/>
    </row>
    <row r="588" ht="15.75" customHeight="1">
      <c r="A588" s="21"/>
      <c r="C588" s="22"/>
      <c r="D588" s="22"/>
    </row>
    <row r="589" ht="15.75" customHeight="1">
      <c r="A589" s="21"/>
      <c r="C589" s="22"/>
      <c r="D589" s="22"/>
    </row>
    <row r="590" ht="15.75" customHeight="1">
      <c r="A590" s="21"/>
      <c r="C590" s="22"/>
      <c r="D590" s="22"/>
    </row>
    <row r="591" ht="15.75" customHeight="1">
      <c r="A591" s="21"/>
      <c r="C591" s="22"/>
      <c r="D591" s="22"/>
    </row>
    <row r="592" ht="15.75" customHeight="1">
      <c r="A592" s="21"/>
      <c r="C592" s="22"/>
      <c r="D592" s="22"/>
    </row>
    <row r="593" ht="15.75" customHeight="1">
      <c r="A593" s="21"/>
      <c r="C593" s="22"/>
      <c r="D593" s="22"/>
    </row>
    <row r="594" ht="15.75" customHeight="1">
      <c r="A594" s="21"/>
      <c r="C594" s="22"/>
      <c r="D594" s="22"/>
    </row>
    <row r="595" ht="15.75" customHeight="1">
      <c r="A595" s="21"/>
      <c r="C595" s="22"/>
      <c r="D595" s="22"/>
    </row>
    <row r="596" ht="15.75" customHeight="1">
      <c r="A596" s="21"/>
      <c r="C596" s="22"/>
      <c r="D596" s="22"/>
    </row>
    <row r="597" ht="15.75" customHeight="1">
      <c r="A597" s="21"/>
      <c r="C597" s="22"/>
      <c r="D597" s="22"/>
    </row>
    <row r="598" ht="15.75" customHeight="1">
      <c r="A598" s="21"/>
      <c r="C598" s="22"/>
      <c r="D598" s="22"/>
    </row>
    <row r="599" ht="15.75" customHeight="1">
      <c r="A599" s="21"/>
      <c r="C599" s="22"/>
      <c r="D599" s="22"/>
    </row>
    <row r="600" ht="15.75" customHeight="1">
      <c r="A600" s="21"/>
      <c r="C600" s="22"/>
      <c r="D600" s="22"/>
    </row>
    <row r="601" ht="15.75" customHeight="1">
      <c r="A601" s="21"/>
      <c r="C601" s="22"/>
      <c r="D601" s="22"/>
    </row>
    <row r="602" ht="15.75" customHeight="1">
      <c r="A602" s="21"/>
      <c r="C602" s="22"/>
      <c r="D602" s="22"/>
    </row>
    <row r="603" ht="15.75" customHeight="1">
      <c r="A603" s="21"/>
      <c r="C603" s="22"/>
      <c r="D603" s="22"/>
    </row>
    <row r="604" ht="15.75" customHeight="1">
      <c r="A604" s="21"/>
      <c r="C604" s="22"/>
      <c r="D604" s="22"/>
    </row>
    <row r="605" ht="15.75" customHeight="1">
      <c r="A605" s="21"/>
      <c r="C605" s="22"/>
      <c r="D605" s="22"/>
    </row>
    <row r="606" ht="15.75" customHeight="1">
      <c r="A606" s="21"/>
      <c r="C606" s="22"/>
      <c r="D606" s="22"/>
    </row>
    <row r="607" ht="15.75" customHeight="1">
      <c r="A607" s="21"/>
      <c r="C607" s="22"/>
      <c r="D607" s="22"/>
    </row>
    <row r="608" ht="15.75" customHeight="1">
      <c r="A608" s="21"/>
      <c r="C608" s="22"/>
      <c r="D608" s="22"/>
    </row>
    <row r="609" ht="15.75" customHeight="1">
      <c r="A609" s="21"/>
      <c r="C609" s="22"/>
      <c r="D609" s="22"/>
    </row>
    <row r="610" ht="15.75" customHeight="1">
      <c r="A610" s="21"/>
      <c r="C610" s="22"/>
      <c r="D610" s="22"/>
    </row>
    <row r="611" ht="15.75" customHeight="1">
      <c r="A611" s="21"/>
      <c r="C611" s="22"/>
      <c r="D611" s="22"/>
    </row>
    <row r="612" ht="15.75" customHeight="1">
      <c r="A612" s="21"/>
      <c r="C612" s="22"/>
      <c r="D612" s="22"/>
    </row>
    <row r="613" ht="15.75" customHeight="1">
      <c r="A613" s="21"/>
      <c r="C613" s="22"/>
      <c r="D613" s="22"/>
    </row>
    <row r="614" ht="15.75" customHeight="1">
      <c r="A614" s="21"/>
      <c r="C614" s="22"/>
      <c r="D614" s="22"/>
    </row>
    <row r="615" ht="15.75" customHeight="1">
      <c r="A615" s="21"/>
      <c r="C615" s="22"/>
      <c r="D615" s="22"/>
    </row>
    <row r="616" ht="15.75" customHeight="1">
      <c r="A616" s="21"/>
      <c r="C616" s="22"/>
      <c r="D616" s="22"/>
    </row>
    <row r="617" ht="15.75" customHeight="1">
      <c r="A617" s="21"/>
      <c r="C617" s="22"/>
      <c r="D617" s="22"/>
    </row>
    <row r="618" ht="15.75" customHeight="1">
      <c r="A618" s="21"/>
      <c r="C618" s="22"/>
      <c r="D618" s="22"/>
    </row>
    <row r="619" ht="15.75" customHeight="1">
      <c r="A619" s="21"/>
      <c r="C619" s="22"/>
      <c r="D619" s="22"/>
    </row>
    <row r="620" ht="15.75" customHeight="1">
      <c r="A620" s="21"/>
      <c r="C620" s="22"/>
      <c r="D620" s="22"/>
    </row>
    <row r="621" ht="15.75" customHeight="1">
      <c r="A621" s="21"/>
      <c r="C621" s="22"/>
      <c r="D621" s="22"/>
    </row>
    <row r="622" ht="15.75" customHeight="1">
      <c r="A622" s="21"/>
      <c r="C622" s="22"/>
      <c r="D622" s="22"/>
    </row>
    <row r="623" ht="15.75" customHeight="1">
      <c r="A623" s="21"/>
      <c r="C623" s="22"/>
      <c r="D623" s="22"/>
    </row>
    <row r="624" ht="15.75" customHeight="1">
      <c r="A624" s="21"/>
      <c r="C624" s="22"/>
      <c r="D624" s="22"/>
    </row>
    <row r="625" ht="15.75" customHeight="1">
      <c r="A625" s="21"/>
      <c r="C625" s="22"/>
      <c r="D625" s="22"/>
    </row>
    <row r="626" ht="15.75" customHeight="1">
      <c r="A626" s="21"/>
      <c r="C626" s="22"/>
      <c r="D626" s="22"/>
    </row>
    <row r="627" ht="15.75" customHeight="1">
      <c r="A627" s="21"/>
      <c r="C627" s="22"/>
      <c r="D627" s="22"/>
    </row>
    <row r="628" ht="15.75" customHeight="1">
      <c r="A628" s="21"/>
      <c r="C628" s="22"/>
      <c r="D628" s="22"/>
    </row>
    <row r="629" ht="15.75" customHeight="1">
      <c r="A629" s="21"/>
      <c r="C629" s="22"/>
      <c r="D629" s="22"/>
    </row>
    <row r="630" ht="15.75" customHeight="1">
      <c r="A630" s="21"/>
      <c r="C630" s="22"/>
      <c r="D630" s="22"/>
    </row>
    <row r="631" ht="15.75" customHeight="1">
      <c r="A631" s="21"/>
      <c r="C631" s="22"/>
      <c r="D631" s="22"/>
    </row>
    <row r="632" ht="15.75" customHeight="1">
      <c r="A632" s="21"/>
      <c r="C632" s="22"/>
      <c r="D632" s="22"/>
    </row>
    <row r="633" ht="15.75" customHeight="1">
      <c r="A633" s="21"/>
      <c r="C633" s="22"/>
      <c r="D633" s="22"/>
    </row>
    <row r="634" ht="15.75" customHeight="1">
      <c r="A634" s="21"/>
      <c r="C634" s="22"/>
      <c r="D634" s="22"/>
    </row>
    <row r="635" ht="15.75" customHeight="1">
      <c r="A635" s="21"/>
      <c r="C635" s="22"/>
      <c r="D635" s="22"/>
    </row>
    <row r="636" ht="15.75" customHeight="1">
      <c r="A636" s="21"/>
      <c r="C636" s="22"/>
      <c r="D636" s="22"/>
    </row>
    <row r="637" ht="15.75" customHeight="1">
      <c r="A637" s="21"/>
      <c r="C637" s="22"/>
      <c r="D637" s="22"/>
    </row>
    <row r="638" ht="15.75" customHeight="1">
      <c r="A638" s="21"/>
      <c r="C638" s="22"/>
      <c r="D638" s="22"/>
    </row>
    <row r="639" ht="15.75" customHeight="1">
      <c r="A639" s="21"/>
      <c r="C639" s="22"/>
      <c r="D639" s="22"/>
    </row>
    <row r="640" ht="15.75" customHeight="1">
      <c r="A640" s="21"/>
      <c r="C640" s="22"/>
      <c r="D640" s="22"/>
    </row>
    <row r="641" ht="15.75" customHeight="1">
      <c r="A641" s="21"/>
      <c r="C641" s="22"/>
      <c r="D641" s="22"/>
    </row>
    <row r="642" ht="15.75" customHeight="1">
      <c r="A642" s="21"/>
      <c r="C642" s="22"/>
      <c r="D642" s="22"/>
    </row>
    <row r="643" ht="15.75" customHeight="1">
      <c r="A643" s="21"/>
      <c r="C643" s="22"/>
      <c r="D643" s="22"/>
    </row>
    <row r="644" ht="15.75" customHeight="1">
      <c r="A644" s="21"/>
      <c r="C644" s="22"/>
      <c r="D644" s="22"/>
    </row>
    <row r="645" ht="15.75" customHeight="1">
      <c r="A645" s="21"/>
      <c r="C645" s="22"/>
      <c r="D645" s="22"/>
    </row>
    <row r="646" ht="15.75" customHeight="1">
      <c r="A646" s="21"/>
      <c r="C646" s="22"/>
      <c r="D646" s="22"/>
    </row>
    <row r="647" ht="15.75" customHeight="1">
      <c r="A647" s="21"/>
      <c r="C647" s="22"/>
      <c r="D647" s="22"/>
    </row>
    <row r="648" ht="15.75" customHeight="1">
      <c r="A648" s="21"/>
      <c r="C648" s="22"/>
      <c r="D648" s="22"/>
    </row>
    <row r="649" ht="15.75" customHeight="1">
      <c r="A649" s="21"/>
      <c r="C649" s="22"/>
      <c r="D649" s="22"/>
    </row>
    <row r="650" ht="15.75" customHeight="1">
      <c r="A650" s="21"/>
      <c r="C650" s="22"/>
      <c r="D650" s="22"/>
    </row>
    <row r="651" ht="15.75" customHeight="1">
      <c r="A651" s="21"/>
      <c r="C651" s="22"/>
      <c r="D651" s="22"/>
    </row>
    <row r="652" ht="15.75" customHeight="1">
      <c r="A652" s="21"/>
      <c r="C652" s="22"/>
      <c r="D652" s="22"/>
    </row>
    <row r="653" ht="15.75" customHeight="1">
      <c r="A653" s="21"/>
      <c r="C653" s="22"/>
      <c r="D653" s="22"/>
    </row>
    <row r="654" ht="15.75" customHeight="1">
      <c r="A654" s="21"/>
      <c r="C654" s="22"/>
      <c r="D654" s="22"/>
    </row>
    <row r="655" ht="15.75" customHeight="1">
      <c r="A655" s="21"/>
      <c r="C655" s="22"/>
      <c r="D655" s="22"/>
    </row>
    <row r="656" ht="15.75" customHeight="1">
      <c r="A656" s="21"/>
      <c r="C656" s="22"/>
      <c r="D656" s="22"/>
    </row>
    <row r="657" ht="15.75" customHeight="1">
      <c r="A657" s="21"/>
      <c r="C657" s="22"/>
      <c r="D657" s="22"/>
    </row>
    <row r="658" ht="15.75" customHeight="1">
      <c r="A658" s="21"/>
      <c r="C658" s="22"/>
      <c r="D658" s="22"/>
    </row>
    <row r="659" ht="15.75" customHeight="1">
      <c r="A659" s="21"/>
      <c r="C659" s="22"/>
      <c r="D659" s="22"/>
    </row>
    <row r="660" ht="15.75" customHeight="1">
      <c r="A660" s="21"/>
      <c r="C660" s="22"/>
      <c r="D660" s="22"/>
    </row>
    <row r="661" ht="15.75" customHeight="1">
      <c r="A661" s="21"/>
      <c r="C661" s="22"/>
      <c r="D661" s="22"/>
    </row>
    <row r="662" ht="15.75" customHeight="1">
      <c r="A662" s="21"/>
      <c r="C662" s="22"/>
      <c r="D662" s="22"/>
    </row>
    <row r="663" ht="15.75" customHeight="1">
      <c r="A663" s="21"/>
      <c r="C663" s="22"/>
      <c r="D663" s="22"/>
    </row>
    <row r="664" ht="15.75" customHeight="1">
      <c r="A664" s="21"/>
      <c r="C664" s="22"/>
      <c r="D664" s="22"/>
    </row>
    <row r="665" ht="15.75" customHeight="1">
      <c r="A665" s="21"/>
      <c r="C665" s="22"/>
      <c r="D665" s="22"/>
    </row>
    <row r="666" ht="15.75" customHeight="1">
      <c r="A666" s="21"/>
      <c r="C666" s="22"/>
      <c r="D666" s="22"/>
    </row>
    <row r="667" ht="15.75" customHeight="1">
      <c r="A667" s="21"/>
      <c r="C667" s="22"/>
      <c r="D667" s="22"/>
    </row>
    <row r="668" ht="15.75" customHeight="1">
      <c r="A668" s="21"/>
      <c r="C668" s="22"/>
      <c r="D668" s="22"/>
    </row>
    <row r="669" ht="15.75" customHeight="1">
      <c r="A669" s="21"/>
      <c r="C669" s="22"/>
      <c r="D669" s="22"/>
    </row>
    <row r="670" ht="15.75" customHeight="1">
      <c r="A670" s="21"/>
      <c r="C670" s="22"/>
      <c r="D670" s="22"/>
    </row>
    <row r="671" ht="15.75" customHeight="1">
      <c r="A671" s="21"/>
      <c r="C671" s="22"/>
      <c r="D671" s="22"/>
    </row>
    <row r="672" ht="15.75" customHeight="1">
      <c r="A672" s="21"/>
      <c r="C672" s="22"/>
      <c r="D672" s="22"/>
    </row>
    <row r="673" ht="15.75" customHeight="1">
      <c r="A673" s="21"/>
      <c r="C673" s="22"/>
      <c r="D673" s="22"/>
    </row>
    <row r="674" ht="15.75" customHeight="1">
      <c r="A674" s="21"/>
      <c r="C674" s="22"/>
      <c r="D674" s="22"/>
    </row>
    <row r="675" ht="15.75" customHeight="1">
      <c r="A675" s="21"/>
      <c r="C675" s="22"/>
      <c r="D675" s="22"/>
    </row>
    <row r="676" ht="15.75" customHeight="1">
      <c r="A676" s="21"/>
      <c r="C676" s="22"/>
      <c r="D676" s="22"/>
    </row>
    <row r="677" ht="15.75" customHeight="1">
      <c r="A677" s="21"/>
      <c r="C677" s="22"/>
      <c r="D677" s="22"/>
    </row>
    <row r="678" ht="15.75" customHeight="1">
      <c r="A678" s="21"/>
      <c r="C678" s="22"/>
      <c r="D678" s="22"/>
    </row>
    <row r="679" ht="15.75" customHeight="1">
      <c r="A679" s="21"/>
      <c r="C679" s="22"/>
      <c r="D679" s="22"/>
    </row>
    <row r="680" ht="15.75" customHeight="1">
      <c r="A680" s="21"/>
      <c r="C680" s="22"/>
      <c r="D680" s="22"/>
    </row>
    <row r="681" ht="15.75" customHeight="1">
      <c r="A681" s="21"/>
      <c r="C681" s="22"/>
      <c r="D681" s="22"/>
    </row>
    <row r="682" ht="15.75" customHeight="1">
      <c r="A682" s="21"/>
      <c r="C682" s="22"/>
      <c r="D682" s="22"/>
    </row>
    <row r="683" ht="15.75" customHeight="1">
      <c r="A683" s="21"/>
      <c r="C683" s="22"/>
      <c r="D683" s="22"/>
    </row>
    <row r="684" ht="15.75" customHeight="1">
      <c r="A684" s="21"/>
      <c r="C684" s="22"/>
      <c r="D684" s="22"/>
    </row>
    <row r="685" ht="15.75" customHeight="1">
      <c r="A685" s="21"/>
      <c r="C685" s="22"/>
      <c r="D685" s="22"/>
    </row>
    <row r="686" ht="15.75" customHeight="1">
      <c r="A686" s="21"/>
      <c r="C686" s="22"/>
      <c r="D686" s="22"/>
    </row>
    <row r="687" ht="15.75" customHeight="1">
      <c r="A687" s="21"/>
      <c r="C687" s="22"/>
      <c r="D687" s="22"/>
    </row>
    <row r="688" ht="15.75" customHeight="1">
      <c r="A688" s="21"/>
      <c r="C688" s="22"/>
      <c r="D688" s="22"/>
    </row>
    <row r="689" ht="15.75" customHeight="1">
      <c r="A689" s="21"/>
      <c r="C689" s="22"/>
      <c r="D689" s="22"/>
    </row>
    <row r="690" ht="15.75" customHeight="1">
      <c r="A690" s="21"/>
      <c r="C690" s="22"/>
      <c r="D690" s="22"/>
    </row>
    <row r="691" ht="15.75" customHeight="1">
      <c r="A691" s="21"/>
      <c r="C691" s="22"/>
      <c r="D691" s="22"/>
    </row>
    <row r="692" ht="15.75" customHeight="1">
      <c r="A692" s="21"/>
      <c r="C692" s="22"/>
      <c r="D692" s="22"/>
    </row>
    <row r="693" ht="15.75" customHeight="1">
      <c r="A693" s="21"/>
      <c r="C693" s="22"/>
      <c r="D693" s="22"/>
    </row>
    <row r="694" ht="15.75" customHeight="1">
      <c r="A694" s="21"/>
      <c r="C694" s="22"/>
      <c r="D694" s="22"/>
    </row>
    <row r="695" ht="15.75" customHeight="1">
      <c r="A695" s="21"/>
      <c r="C695" s="22"/>
      <c r="D695" s="22"/>
    </row>
    <row r="696" ht="15.75" customHeight="1">
      <c r="A696" s="21"/>
      <c r="C696" s="22"/>
      <c r="D696" s="22"/>
    </row>
    <row r="697" ht="15.75" customHeight="1">
      <c r="A697" s="21"/>
      <c r="C697" s="22"/>
      <c r="D697" s="22"/>
    </row>
    <row r="698" ht="15.75" customHeight="1">
      <c r="A698" s="21"/>
      <c r="C698" s="22"/>
      <c r="D698" s="22"/>
    </row>
    <row r="699" ht="15.75" customHeight="1">
      <c r="A699" s="21"/>
      <c r="C699" s="22"/>
      <c r="D699" s="22"/>
    </row>
    <row r="700" ht="15.75" customHeight="1">
      <c r="A700" s="21"/>
      <c r="C700" s="22"/>
      <c r="D700" s="22"/>
    </row>
    <row r="701" ht="15.75" customHeight="1">
      <c r="A701" s="21"/>
      <c r="C701" s="22"/>
      <c r="D701" s="22"/>
    </row>
    <row r="702" ht="15.75" customHeight="1">
      <c r="A702" s="21"/>
      <c r="C702" s="22"/>
      <c r="D702" s="22"/>
    </row>
    <row r="703" ht="15.75" customHeight="1">
      <c r="A703" s="21"/>
      <c r="C703" s="22"/>
      <c r="D703" s="22"/>
    </row>
    <row r="704" ht="15.75" customHeight="1">
      <c r="A704" s="21"/>
      <c r="C704" s="22"/>
      <c r="D704" s="22"/>
    </row>
    <row r="705" ht="15.75" customHeight="1">
      <c r="A705" s="21"/>
      <c r="C705" s="22"/>
      <c r="D705" s="22"/>
    </row>
    <row r="706" ht="15.75" customHeight="1">
      <c r="A706" s="21"/>
      <c r="C706" s="22"/>
      <c r="D706" s="22"/>
    </row>
    <row r="707" ht="15.75" customHeight="1">
      <c r="A707" s="21"/>
      <c r="C707" s="22"/>
      <c r="D707" s="22"/>
    </row>
    <row r="708" ht="15.75" customHeight="1">
      <c r="A708" s="21"/>
      <c r="C708" s="22"/>
      <c r="D708" s="22"/>
    </row>
    <row r="709" ht="15.75" customHeight="1">
      <c r="A709" s="21"/>
      <c r="C709" s="22"/>
      <c r="D709" s="22"/>
    </row>
    <row r="710" ht="15.75" customHeight="1">
      <c r="A710" s="21"/>
      <c r="C710" s="22"/>
      <c r="D710" s="22"/>
    </row>
    <row r="711" ht="15.75" customHeight="1">
      <c r="A711" s="21"/>
      <c r="C711" s="22"/>
      <c r="D711" s="22"/>
    </row>
    <row r="712" ht="15.75" customHeight="1">
      <c r="A712" s="21"/>
      <c r="C712" s="22"/>
      <c r="D712" s="22"/>
    </row>
    <row r="713" ht="15.75" customHeight="1">
      <c r="A713" s="21"/>
      <c r="C713" s="22"/>
      <c r="D713" s="22"/>
    </row>
    <row r="714" ht="15.75" customHeight="1">
      <c r="A714" s="21"/>
      <c r="C714" s="22"/>
      <c r="D714" s="22"/>
    </row>
    <row r="715" ht="15.75" customHeight="1">
      <c r="A715" s="21"/>
      <c r="C715" s="22"/>
      <c r="D715" s="22"/>
    </row>
    <row r="716" ht="15.75" customHeight="1">
      <c r="A716" s="21"/>
      <c r="C716" s="22"/>
      <c r="D716" s="22"/>
    </row>
    <row r="717" ht="15.75" customHeight="1">
      <c r="A717" s="21"/>
      <c r="C717" s="22"/>
      <c r="D717" s="22"/>
    </row>
    <row r="718" ht="15.75" customHeight="1">
      <c r="A718" s="21"/>
      <c r="C718" s="22"/>
      <c r="D718" s="22"/>
    </row>
    <row r="719" ht="15.75" customHeight="1">
      <c r="A719" s="21"/>
      <c r="C719" s="22"/>
      <c r="D719" s="22"/>
    </row>
    <row r="720" ht="15.75" customHeight="1">
      <c r="A720" s="21"/>
      <c r="C720" s="22"/>
      <c r="D720" s="22"/>
    </row>
    <row r="721" ht="15.75" customHeight="1">
      <c r="A721" s="21"/>
      <c r="C721" s="22"/>
      <c r="D721" s="22"/>
    </row>
    <row r="722" ht="15.75" customHeight="1">
      <c r="A722" s="21"/>
      <c r="C722" s="22"/>
      <c r="D722" s="22"/>
    </row>
    <row r="723" ht="15.75" customHeight="1">
      <c r="A723" s="21"/>
      <c r="C723" s="22"/>
      <c r="D723" s="22"/>
    </row>
    <row r="724" ht="15.75" customHeight="1">
      <c r="A724" s="21"/>
      <c r="C724" s="22"/>
      <c r="D724" s="22"/>
    </row>
    <row r="725" ht="15.75" customHeight="1">
      <c r="A725" s="21"/>
      <c r="C725" s="22"/>
      <c r="D725" s="22"/>
    </row>
    <row r="726" ht="15.75" customHeight="1">
      <c r="A726" s="21"/>
      <c r="C726" s="22"/>
      <c r="D726" s="22"/>
    </row>
    <row r="727" ht="15.75" customHeight="1">
      <c r="A727" s="21"/>
      <c r="C727" s="22"/>
      <c r="D727" s="22"/>
    </row>
    <row r="728" ht="15.75" customHeight="1">
      <c r="A728" s="21"/>
      <c r="C728" s="22"/>
      <c r="D728" s="22"/>
    </row>
    <row r="729" ht="15.75" customHeight="1">
      <c r="A729" s="21"/>
      <c r="C729" s="22"/>
      <c r="D729" s="22"/>
    </row>
    <row r="730" ht="15.75" customHeight="1">
      <c r="A730" s="21"/>
      <c r="C730" s="22"/>
      <c r="D730" s="22"/>
    </row>
    <row r="731" ht="15.75" customHeight="1">
      <c r="A731" s="21"/>
      <c r="C731" s="22"/>
      <c r="D731" s="22"/>
    </row>
    <row r="732" ht="15.75" customHeight="1">
      <c r="A732" s="21"/>
      <c r="C732" s="22"/>
      <c r="D732" s="22"/>
    </row>
    <row r="733" ht="15.75" customHeight="1">
      <c r="A733" s="21"/>
      <c r="C733" s="22"/>
      <c r="D733" s="22"/>
    </row>
    <row r="734" ht="15.75" customHeight="1">
      <c r="A734" s="21"/>
      <c r="C734" s="22"/>
      <c r="D734" s="22"/>
    </row>
    <row r="735" ht="15.75" customHeight="1">
      <c r="A735" s="21"/>
      <c r="C735" s="22"/>
      <c r="D735" s="22"/>
    </row>
    <row r="736" ht="15.75" customHeight="1">
      <c r="A736" s="21"/>
      <c r="C736" s="22"/>
      <c r="D736" s="22"/>
    </row>
    <row r="737" ht="15.75" customHeight="1">
      <c r="A737" s="21"/>
      <c r="C737" s="22"/>
      <c r="D737" s="22"/>
    </row>
    <row r="738" ht="15.75" customHeight="1">
      <c r="A738" s="21"/>
      <c r="C738" s="22"/>
      <c r="D738" s="22"/>
    </row>
    <row r="739" ht="15.75" customHeight="1">
      <c r="A739" s="21"/>
      <c r="C739" s="22"/>
      <c r="D739" s="22"/>
    </row>
    <row r="740" ht="15.75" customHeight="1">
      <c r="A740" s="21"/>
      <c r="C740" s="22"/>
      <c r="D740" s="22"/>
    </row>
    <row r="741" ht="15.75" customHeight="1">
      <c r="A741" s="21"/>
      <c r="C741" s="22"/>
      <c r="D741" s="22"/>
    </row>
    <row r="742" ht="15.75" customHeight="1">
      <c r="A742" s="21"/>
      <c r="C742" s="22"/>
      <c r="D742" s="22"/>
    </row>
    <row r="743" ht="15.75" customHeight="1">
      <c r="A743" s="21"/>
      <c r="C743" s="22"/>
      <c r="D743" s="22"/>
    </row>
    <row r="744" ht="15.75" customHeight="1">
      <c r="A744" s="21"/>
      <c r="C744" s="22"/>
      <c r="D744" s="22"/>
    </row>
    <row r="745" ht="15.75" customHeight="1">
      <c r="A745" s="21"/>
      <c r="C745" s="22"/>
      <c r="D745" s="22"/>
    </row>
    <row r="746" ht="15.75" customHeight="1">
      <c r="A746" s="21"/>
      <c r="C746" s="22"/>
      <c r="D746" s="22"/>
    </row>
    <row r="747" ht="15.75" customHeight="1">
      <c r="A747" s="21"/>
      <c r="C747" s="22"/>
      <c r="D747" s="22"/>
    </row>
    <row r="748" ht="15.75" customHeight="1">
      <c r="A748" s="21"/>
      <c r="C748" s="22"/>
      <c r="D748" s="22"/>
    </row>
    <row r="749" ht="15.75" customHeight="1">
      <c r="A749" s="21"/>
      <c r="C749" s="22"/>
      <c r="D749" s="22"/>
    </row>
    <row r="750" ht="15.75" customHeight="1">
      <c r="A750" s="21"/>
      <c r="C750" s="22"/>
      <c r="D750" s="22"/>
    </row>
    <row r="751" ht="15.75" customHeight="1">
      <c r="A751" s="21"/>
      <c r="C751" s="22"/>
      <c r="D751" s="22"/>
    </row>
    <row r="752" ht="15.75" customHeight="1">
      <c r="A752" s="21"/>
      <c r="C752" s="22"/>
      <c r="D752" s="22"/>
    </row>
    <row r="753" ht="15.75" customHeight="1">
      <c r="A753" s="21"/>
      <c r="C753" s="22"/>
      <c r="D753" s="22"/>
    </row>
    <row r="754" ht="15.75" customHeight="1">
      <c r="A754" s="21"/>
      <c r="C754" s="22"/>
      <c r="D754" s="22"/>
    </row>
    <row r="755" ht="15.75" customHeight="1">
      <c r="A755" s="21"/>
      <c r="C755" s="22"/>
      <c r="D755" s="22"/>
    </row>
    <row r="756" ht="15.75" customHeight="1">
      <c r="A756" s="21"/>
      <c r="C756" s="22"/>
      <c r="D756" s="22"/>
    </row>
    <row r="757" ht="15.75" customHeight="1">
      <c r="A757" s="21"/>
      <c r="C757" s="22"/>
      <c r="D757" s="22"/>
    </row>
    <row r="758" ht="15.75" customHeight="1">
      <c r="A758" s="21"/>
      <c r="C758" s="22"/>
      <c r="D758" s="22"/>
    </row>
    <row r="759" ht="15.75" customHeight="1">
      <c r="A759" s="21"/>
      <c r="C759" s="22"/>
      <c r="D759" s="22"/>
    </row>
    <row r="760" ht="15.75" customHeight="1">
      <c r="A760" s="21"/>
      <c r="C760" s="22"/>
      <c r="D760" s="22"/>
    </row>
    <row r="761" ht="15.75" customHeight="1">
      <c r="A761" s="21"/>
      <c r="C761" s="22"/>
      <c r="D761" s="22"/>
    </row>
    <row r="762" ht="15.75" customHeight="1">
      <c r="A762" s="21"/>
      <c r="C762" s="22"/>
      <c r="D762" s="22"/>
    </row>
    <row r="763" ht="15.75" customHeight="1">
      <c r="A763" s="21"/>
      <c r="C763" s="22"/>
      <c r="D763" s="22"/>
    </row>
    <row r="764" ht="15.75" customHeight="1">
      <c r="A764" s="21"/>
      <c r="C764" s="22"/>
      <c r="D764" s="22"/>
    </row>
    <row r="765" ht="15.75" customHeight="1">
      <c r="A765" s="21"/>
      <c r="C765" s="22"/>
      <c r="D765" s="22"/>
    </row>
    <row r="766" ht="15.75" customHeight="1">
      <c r="A766" s="21"/>
      <c r="C766" s="22"/>
      <c r="D766" s="22"/>
    </row>
    <row r="767" ht="15.75" customHeight="1">
      <c r="A767" s="21"/>
      <c r="C767" s="22"/>
      <c r="D767" s="22"/>
    </row>
    <row r="768" ht="15.75" customHeight="1">
      <c r="A768" s="21"/>
      <c r="C768" s="22"/>
      <c r="D768" s="22"/>
    </row>
    <row r="769" ht="15.75" customHeight="1">
      <c r="A769" s="21"/>
      <c r="C769" s="22"/>
      <c r="D769" s="22"/>
    </row>
    <row r="770" ht="15.75" customHeight="1">
      <c r="A770" s="21"/>
      <c r="C770" s="22"/>
      <c r="D770" s="22"/>
    </row>
    <row r="771" ht="15.75" customHeight="1">
      <c r="A771" s="21"/>
      <c r="C771" s="22"/>
      <c r="D771" s="22"/>
    </row>
    <row r="772" ht="15.75" customHeight="1">
      <c r="A772" s="21"/>
      <c r="C772" s="22"/>
      <c r="D772" s="22"/>
    </row>
    <row r="773" ht="15.75" customHeight="1">
      <c r="A773" s="21"/>
      <c r="C773" s="22"/>
      <c r="D773" s="22"/>
    </row>
    <row r="774" ht="15.75" customHeight="1">
      <c r="A774" s="21"/>
      <c r="C774" s="22"/>
      <c r="D774" s="22"/>
    </row>
    <row r="775" ht="15.75" customHeight="1">
      <c r="A775" s="21"/>
      <c r="C775" s="22"/>
      <c r="D775" s="22"/>
    </row>
    <row r="776" ht="15.75" customHeight="1">
      <c r="A776" s="21"/>
      <c r="C776" s="22"/>
      <c r="D776" s="22"/>
    </row>
    <row r="777" ht="15.75" customHeight="1">
      <c r="A777" s="21"/>
      <c r="C777" s="22"/>
      <c r="D777" s="22"/>
    </row>
    <row r="778" ht="15.75" customHeight="1">
      <c r="A778" s="21"/>
      <c r="C778" s="22"/>
      <c r="D778" s="22"/>
    </row>
    <row r="779" ht="15.75" customHeight="1">
      <c r="A779" s="21"/>
      <c r="C779" s="22"/>
      <c r="D779" s="22"/>
    </row>
    <row r="780" ht="15.75" customHeight="1">
      <c r="A780" s="21"/>
      <c r="C780" s="22"/>
      <c r="D780" s="22"/>
    </row>
    <row r="781" ht="15.75" customHeight="1">
      <c r="A781" s="21"/>
      <c r="C781" s="22"/>
      <c r="D781" s="22"/>
    </row>
    <row r="782" ht="15.75" customHeight="1">
      <c r="A782" s="21"/>
      <c r="C782" s="22"/>
      <c r="D782" s="22"/>
    </row>
    <row r="783" ht="15.75" customHeight="1">
      <c r="A783" s="21"/>
      <c r="C783" s="22"/>
      <c r="D783" s="22"/>
    </row>
    <row r="784" ht="15.75" customHeight="1">
      <c r="A784" s="21"/>
      <c r="C784" s="22"/>
      <c r="D784" s="22"/>
    </row>
    <row r="785" ht="15.75" customHeight="1">
      <c r="A785" s="21"/>
      <c r="C785" s="22"/>
      <c r="D785" s="22"/>
    </row>
    <row r="786" ht="15.75" customHeight="1">
      <c r="A786" s="21"/>
      <c r="C786" s="22"/>
      <c r="D786" s="22"/>
    </row>
    <row r="787" ht="15.75" customHeight="1">
      <c r="A787" s="21"/>
      <c r="C787" s="22"/>
      <c r="D787" s="22"/>
    </row>
    <row r="788" ht="15.75" customHeight="1">
      <c r="A788" s="21"/>
      <c r="C788" s="22"/>
      <c r="D788" s="22"/>
    </row>
    <row r="789" ht="15.75" customHeight="1">
      <c r="A789" s="21"/>
      <c r="C789" s="22"/>
      <c r="D789" s="22"/>
    </row>
    <row r="790" ht="15.75" customHeight="1">
      <c r="A790" s="21"/>
      <c r="C790" s="22"/>
      <c r="D790" s="22"/>
    </row>
    <row r="791" ht="15.75" customHeight="1">
      <c r="A791" s="21"/>
      <c r="C791" s="22"/>
      <c r="D791" s="22"/>
    </row>
    <row r="792" ht="15.75" customHeight="1">
      <c r="A792" s="21"/>
      <c r="C792" s="22"/>
      <c r="D792" s="22"/>
    </row>
    <row r="793" ht="15.75" customHeight="1">
      <c r="A793" s="21"/>
      <c r="C793" s="22"/>
      <c r="D793" s="22"/>
    </row>
    <row r="794" ht="15.75" customHeight="1">
      <c r="A794" s="21"/>
      <c r="C794" s="22"/>
      <c r="D794" s="22"/>
    </row>
    <row r="795" ht="15.75" customHeight="1">
      <c r="A795" s="21"/>
      <c r="C795" s="22"/>
      <c r="D795" s="22"/>
    </row>
    <row r="796" ht="15.75" customHeight="1">
      <c r="A796" s="21"/>
      <c r="C796" s="22"/>
      <c r="D796" s="22"/>
    </row>
    <row r="797" ht="15.75" customHeight="1">
      <c r="A797" s="21"/>
      <c r="C797" s="22"/>
      <c r="D797" s="22"/>
    </row>
    <row r="798" ht="15.75" customHeight="1">
      <c r="A798" s="21"/>
      <c r="C798" s="22"/>
      <c r="D798" s="22"/>
    </row>
    <row r="799" ht="15.75" customHeight="1">
      <c r="A799" s="21"/>
      <c r="C799" s="22"/>
      <c r="D799" s="22"/>
    </row>
    <row r="800" ht="15.75" customHeight="1">
      <c r="A800" s="21"/>
      <c r="C800" s="22"/>
      <c r="D800" s="22"/>
    </row>
    <row r="801" ht="15.75" customHeight="1">
      <c r="A801" s="21"/>
      <c r="C801" s="22"/>
      <c r="D801" s="22"/>
    </row>
    <row r="802" ht="15.75" customHeight="1">
      <c r="A802" s="21"/>
      <c r="C802" s="22"/>
      <c r="D802" s="22"/>
    </row>
    <row r="803" ht="15.75" customHeight="1">
      <c r="A803" s="21"/>
      <c r="C803" s="22"/>
      <c r="D803" s="22"/>
    </row>
    <row r="804" ht="15.75" customHeight="1">
      <c r="A804" s="21"/>
      <c r="C804" s="22"/>
      <c r="D804" s="22"/>
    </row>
    <row r="805" ht="15.75" customHeight="1">
      <c r="A805" s="21"/>
      <c r="C805" s="22"/>
      <c r="D805" s="22"/>
    </row>
    <row r="806" ht="15.75" customHeight="1">
      <c r="A806" s="21"/>
      <c r="C806" s="22"/>
      <c r="D806" s="22"/>
    </row>
    <row r="807" ht="15.75" customHeight="1">
      <c r="A807" s="21"/>
      <c r="C807" s="22"/>
      <c r="D807" s="22"/>
    </row>
    <row r="808" ht="15.75" customHeight="1">
      <c r="A808" s="21"/>
      <c r="C808" s="22"/>
      <c r="D808" s="22"/>
    </row>
    <row r="809" ht="15.75" customHeight="1">
      <c r="A809" s="21"/>
      <c r="C809" s="22"/>
      <c r="D809" s="22"/>
    </row>
    <row r="810" ht="15.75" customHeight="1">
      <c r="A810" s="21"/>
      <c r="C810" s="22"/>
      <c r="D810" s="22"/>
    </row>
    <row r="811" ht="15.75" customHeight="1">
      <c r="A811" s="21"/>
      <c r="C811" s="22"/>
      <c r="D811" s="22"/>
    </row>
    <row r="812" ht="15.75" customHeight="1">
      <c r="A812" s="21"/>
      <c r="C812" s="22"/>
      <c r="D812" s="22"/>
    </row>
    <row r="813" ht="15.75" customHeight="1">
      <c r="A813" s="21"/>
      <c r="C813" s="22"/>
      <c r="D813" s="22"/>
    </row>
    <row r="814" ht="15.75" customHeight="1">
      <c r="A814" s="21"/>
      <c r="C814" s="22"/>
      <c r="D814" s="22"/>
    </row>
    <row r="815" ht="15.75" customHeight="1">
      <c r="A815" s="21"/>
      <c r="C815" s="22"/>
      <c r="D815" s="22"/>
    </row>
    <row r="816" ht="15.75" customHeight="1">
      <c r="A816" s="21"/>
      <c r="C816" s="22"/>
      <c r="D816" s="22"/>
    </row>
    <row r="817" ht="15.75" customHeight="1">
      <c r="A817" s="21"/>
      <c r="C817" s="22"/>
      <c r="D817" s="22"/>
    </row>
    <row r="818" ht="15.75" customHeight="1">
      <c r="A818" s="21"/>
      <c r="C818" s="22"/>
      <c r="D818" s="22"/>
    </row>
    <row r="819" ht="15.75" customHeight="1">
      <c r="A819" s="21"/>
      <c r="C819" s="22"/>
      <c r="D819" s="22"/>
    </row>
    <row r="820" ht="15.75" customHeight="1">
      <c r="A820" s="21"/>
      <c r="C820" s="22"/>
      <c r="D820" s="22"/>
    </row>
    <row r="821" ht="15.75" customHeight="1">
      <c r="A821" s="21"/>
      <c r="C821" s="22"/>
      <c r="D821" s="22"/>
    </row>
    <row r="822" ht="15.75" customHeight="1">
      <c r="A822" s="21"/>
      <c r="C822" s="22"/>
      <c r="D822" s="22"/>
    </row>
    <row r="823" ht="15.75" customHeight="1">
      <c r="A823" s="21"/>
      <c r="C823" s="22"/>
      <c r="D823" s="22"/>
    </row>
    <row r="824" ht="15.75" customHeight="1">
      <c r="A824" s="21"/>
      <c r="C824" s="22"/>
      <c r="D824" s="22"/>
    </row>
    <row r="825" ht="15.75" customHeight="1">
      <c r="A825" s="21"/>
      <c r="C825" s="22"/>
      <c r="D825" s="22"/>
    </row>
    <row r="826" ht="15.75" customHeight="1">
      <c r="A826" s="21"/>
      <c r="C826" s="22"/>
      <c r="D826" s="22"/>
    </row>
    <row r="827" ht="15.75" customHeight="1">
      <c r="A827" s="21"/>
      <c r="C827" s="22"/>
      <c r="D827" s="22"/>
    </row>
    <row r="828" ht="15.75" customHeight="1">
      <c r="A828" s="21"/>
      <c r="C828" s="22"/>
      <c r="D828" s="22"/>
    </row>
    <row r="829" ht="15.75" customHeight="1">
      <c r="A829" s="21"/>
      <c r="C829" s="22"/>
      <c r="D829" s="22"/>
    </row>
    <row r="830" ht="15.75" customHeight="1">
      <c r="A830" s="21"/>
      <c r="C830" s="22"/>
      <c r="D830" s="22"/>
    </row>
    <row r="831" ht="15.75" customHeight="1">
      <c r="A831" s="21"/>
      <c r="C831" s="22"/>
      <c r="D831" s="22"/>
    </row>
    <row r="832" ht="15.75" customHeight="1">
      <c r="A832" s="21"/>
      <c r="C832" s="22"/>
      <c r="D832" s="22"/>
    </row>
    <row r="833" ht="15.75" customHeight="1">
      <c r="A833" s="21"/>
      <c r="C833" s="22"/>
      <c r="D833" s="22"/>
    </row>
    <row r="834" ht="15.75" customHeight="1">
      <c r="A834" s="21"/>
      <c r="C834" s="22"/>
      <c r="D834" s="22"/>
    </row>
    <row r="835" ht="15.75" customHeight="1">
      <c r="A835" s="21"/>
      <c r="C835" s="22"/>
      <c r="D835" s="22"/>
    </row>
    <row r="836" ht="15.75" customHeight="1">
      <c r="A836" s="21"/>
      <c r="C836" s="22"/>
      <c r="D836" s="22"/>
    </row>
    <row r="837" ht="15.75" customHeight="1">
      <c r="A837" s="21"/>
      <c r="C837" s="22"/>
      <c r="D837" s="22"/>
    </row>
    <row r="838" ht="15.75" customHeight="1">
      <c r="A838" s="21"/>
      <c r="C838" s="22"/>
      <c r="D838" s="22"/>
    </row>
    <row r="839" ht="15.75" customHeight="1">
      <c r="A839" s="21"/>
      <c r="C839" s="22"/>
      <c r="D839" s="22"/>
    </row>
    <row r="840" ht="15.75" customHeight="1">
      <c r="A840" s="21"/>
      <c r="C840" s="22"/>
      <c r="D840" s="22"/>
    </row>
    <row r="841" ht="15.75" customHeight="1">
      <c r="A841" s="21"/>
      <c r="C841" s="22"/>
      <c r="D841" s="22"/>
    </row>
    <row r="842" ht="15.75" customHeight="1">
      <c r="A842" s="21"/>
      <c r="C842" s="22"/>
      <c r="D842" s="22"/>
    </row>
    <row r="843" ht="15.75" customHeight="1">
      <c r="A843" s="21"/>
      <c r="C843" s="22"/>
      <c r="D843" s="22"/>
    </row>
    <row r="844" ht="15.75" customHeight="1">
      <c r="A844" s="21"/>
      <c r="C844" s="22"/>
      <c r="D844" s="22"/>
    </row>
    <row r="845" ht="15.75" customHeight="1">
      <c r="A845" s="21"/>
      <c r="C845" s="22"/>
      <c r="D845" s="22"/>
    </row>
    <row r="846" ht="15.75" customHeight="1">
      <c r="A846" s="21"/>
      <c r="C846" s="22"/>
      <c r="D846" s="22"/>
    </row>
    <row r="847" ht="15.75" customHeight="1">
      <c r="A847" s="21"/>
      <c r="C847" s="22"/>
      <c r="D847" s="22"/>
    </row>
    <row r="848" ht="15.75" customHeight="1">
      <c r="A848" s="21"/>
      <c r="C848" s="22"/>
      <c r="D848" s="22"/>
    </row>
    <row r="849" ht="15.75" customHeight="1">
      <c r="A849" s="21"/>
      <c r="C849" s="22"/>
      <c r="D849" s="22"/>
    </row>
    <row r="850" ht="15.75" customHeight="1">
      <c r="A850" s="21"/>
      <c r="C850" s="22"/>
      <c r="D850" s="22"/>
    </row>
    <row r="851" ht="15.75" customHeight="1">
      <c r="A851" s="21"/>
      <c r="C851" s="22"/>
      <c r="D851" s="22"/>
    </row>
    <row r="852" ht="15.75" customHeight="1">
      <c r="A852" s="21"/>
      <c r="C852" s="22"/>
      <c r="D852" s="22"/>
    </row>
    <row r="853" ht="15.75" customHeight="1">
      <c r="A853" s="21"/>
      <c r="C853" s="22"/>
      <c r="D853" s="22"/>
    </row>
    <row r="854" ht="15.75" customHeight="1">
      <c r="A854" s="21"/>
      <c r="C854" s="22"/>
      <c r="D854" s="22"/>
    </row>
    <row r="855" ht="15.75" customHeight="1">
      <c r="A855" s="21"/>
      <c r="C855" s="22"/>
      <c r="D855" s="22"/>
    </row>
    <row r="856" ht="15.75" customHeight="1">
      <c r="A856" s="21"/>
      <c r="C856" s="22"/>
      <c r="D856" s="22"/>
    </row>
    <row r="857" ht="15.75" customHeight="1">
      <c r="A857" s="21"/>
      <c r="C857" s="22"/>
      <c r="D857" s="22"/>
    </row>
    <row r="858" ht="15.75" customHeight="1">
      <c r="A858" s="21"/>
      <c r="C858" s="22"/>
      <c r="D858" s="22"/>
    </row>
    <row r="859" ht="15.75" customHeight="1">
      <c r="A859" s="21"/>
      <c r="C859" s="22"/>
      <c r="D859" s="22"/>
    </row>
    <row r="860" ht="15.75" customHeight="1">
      <c r="A860" s="21"/>
      <c r="C860" s="22"/>
      <c r="D860" s="22"/>
    </row>
    <row r="861" ht="15.75" customHeight="1">
      <c r="A861" s="21"/>
      <c r="C861" s="22"/>
      <c r="D861" s="22"/>
    </row>
    <row r="862" ht="15.75" customHeight="1">
      <c r="A862" s="21"/>
      <c r="C862" s="22"/>
      <c r="D862" s="22"/>
    </row>
    <row r="863" ht="15.75" customHeight="1">
      <c r="A863" s="21"/>
      <c r="C863" s="22"/>
      <c r="D863" s="22"/>
    </row>
    <row r="864" ht="15.75" customHeight="1">
      <c r="A864" s="21"/>
      <c r="C864" s="22"/>
      <c r="D864" s="22"/>
    </row>
    <row r="865" ht="15.75" customHeight="1">
      <c r="A865" s="21"/>
      <c r="C865" s="22"/>
      <c r="D865" s="22"/>
    </row>
    <row r="866" ht="15.75" customHeight="1">
      <c r="A866" s="21"/>
      <c r="C866" s="22"/>
      <c r="D866" s="22"/>
    </row>
    <row r="867" ht="15.75" customHeight="1">
      <c r="A867" s="21"/>
      <c r="C867" s="22"/>
      <c r="D867" s="22"/>
    </row>
    <row r="868" ht="15.75" customHeight="1">
      <c r="A868" s="21"/>
      <c r="C868" s="22"/>
      <c r="D868" s="22"/>
    </row>
    <row r="869" ht="15.75" customHeight="1">
      <c r="A869" s="21"/>
      <c r="C869" s="22"/>
      <c r="D869" s="22"/>
    </row>
    <row r="870" ht="15.75" customHeight="1">
      <c r="A870" s="21"/>
      <c r="C870" s="22"/>
      <c r="D870" s="22"/>
    </row>
    <row r="871" ht="15.75" customHeight="1">
      <c r="A871" s="21"/>
      <c r="C871" s="22"/>
      <c r="D871" s="22"/>
    </row>
    <row r="872" ht="15.75" customHeight="1">
      <c r="A872" s="21"/>
      <c r="C872" s="22"/>
      <c r="D872" s="22"/>
    </row>
    <row r="873" ht="15.75" customHeight="1">
      <c r="A873" s="21"/>
      <c r="C873" s="22"/>
      <c r="D873" s="22"/>
    </row>
    <row r="874" ht="15.75" customHeight="1">
      <c r="A874" s="21"/>
      <c r="C874" s="22"/>
      <c r="D874" s="22"/>
    </row>
    <row r="875" ht="15.75" customHeight="1">
      <c r="A875" s="21"/>
      <c r="C875" s="22"/>
      <c r="D875" s="22"/>
    </row>
    <row r="876" ht="15.75" customHeight="1">
      <c r="A876" s="21"/>
      <c r="C876" s="22"/>
      <c r="D876" s="22"/>
    </row>
    <row r="877" ht="15.75" customHeight="1">
      <c r="A877" s="21"/>
      <c r="C877" s="22"/>
      <c r="D877" s="22"/>
    </row>
    <row r="878" ht="15.75" customHeight="1">
      <c r="A878" s="21"/>
      <c r="C878" s="22"/>
      <c r="D878" s="22"/>
    </row>
    <row r="879" ht="15.75" customHeight="1">
      <c r="A879" s="21"/>
      <c r="C879" s="22"/>
      <c r="D879" s="22"/>
    </row>
    <row r="880" ht="15.75" customHeight="1">
      <c r="A880" s="21"/>
      <c r="C880" s="22"/>
      <c r="D880" s="22"/>
    </row>
    <row r="881" ht="15.75" customHeight="1">
      <c r="A881" s="21"/>
      <c r="C881" s="22"/>
      <c r="D881" s="22"/>
    </row>
    <row r="882" ht="15.75" customHeight="1">
      <c r="A882" s="21"/>
      <c r="C882" s="22"/>
      <c r="D882" s="22"/>
    </row>
    <row r="883" ht="15.75" customHeight="1">
      <c r="A883" s="21"/>
      <c r="C883" s="22"/>
      <c r="D883" s="22"/>
    </row>
    <row r="884" ht="15.75" customHeight="1">
      <c r="A884" s="21"/>
      <c r="C884" s="22"/>
      <c r="D884" s="22"/>
    </row>
    <row r="885" ht="15.75" customHeight="1">
      <c r="A885" s="21"/>
      <c r="C885" s="22"/>
      <c r="D885" s="22"/>
    </row>
    <row r="886" ht="15.75" customHeight="1">
      <c r="A886" s="21"/>
      <c r="C886" s="22"/>
      <c r="D886" s="22"/>
    </row>
    <row r="887" ht="15.75" customHeight="1">
      <c r="A887" s="21"/>
      <c r="C887" s="22"/>
      <c r="D887" s="22"/>
    </row>
    <row r="888" ht="15.75" customHeight="1">
      <c r="A888" s="21"/>
      <c r="C888" s="22"/>
      <c r="D888" s="22"/>
    </row>
    <row r="889" ht="15.75" customHeight="1">
      <c r="A889" s="21"/>
      <c r="C889" s="22"/>
      <c r="D889" s="22"/>
    </row>
    <row r="890" ht="15.75" customHeight="1">
      <c r="A890" s="21"/>
      <c r="C890" s="22"/>
      <c r="D890" s="22"/>
    </row>
    <row r="891" ht="15.75" customHeight="1">
      <c r="A891" s="21"/>
      <c r="C891" s="22"/>
      <c r="D891" s="22"/>
    </row>
    <row r="892" ht="15.75" customHeight="1">
      <c r="A892" s="21"/>
      <c r="C892" s="22"/>
      <c r="D892" s="22"/>
    </row>
    <row r="893" ht="15.75" customHeight="1">
      <c r="A893" s="21"/>
      <c r="C893" s="22"/>
      <c r="D893" s="22"/>
    </row>
    <row r="894" ht="15.75" customHeight="1">
      <c r="A894" s="21"/>
      <c r="C894" s="22"/>
      <c r="D894" s="22"/>
    </row>
    <row r="895" ht="15.75" customHeight="1">
      <c r="A895" s="21"/>
      <c r="C895" s="22"/>
      <c r="D895" s="22"/>
    </row>
    <row r="896" ht="15.75" customHeight="1">
      <c r="A896" s="21"/>
      <c r="C896" s="22"/>
      <c r="D896" s="22"/>
    </row>
    <row r="897" ht="15.75" customHeight="1">
      <c r="A897" s="21"/>
      <c r="C897" s="22"/>
      <c r="D897" s="22"/>
    </row>
    <row r="898" ht="15.75" customHeight="1">
      <c r="A898" s="21"/>
      <c r="C898" s="22"/>
      <c r="D898" s="22"/>
    </row>
    <row r="899" ht="15.75" customHeight="1">
      <c r="A899" s="21"/>
      <c r="C899" s="22"/>
      <c r="D899" s="22"/>
    </row>
    <row r="900" ht="15.75" customHeight="1">
      <c r="A900" s="21"/>
      <c r="C900" s="22"/>
      <c r="D900" s="22"/>
    </row>
    <row r="901" ht="15.75" customHeight="1">
      <c r="A901" s="21"/>
      <c r="C901" s="22"/>
      <c r="D901" s="22"/>
    </row>
    <row r="902" ht="15.75" customHeight="1">
      <c r="A902" s="21"/>
      <c r="C902" s="22"/>
      <c r="D902" s="22"/>
    </row>
    <row r="903" ht="15.75" customHeight="1">
      <c r="A903" s="21"/>
      <c r="C903" s="22"/>
      <c r="D903" s="22"/>
    </row>
    <row r="904" ht="15.75" customHeight="1">
      <c r="A904" s="21"/>
      <c r="C904" s="22"/>
      <c r="D904" s="22"/>
    </row>
    <row r="905" ht="15.75" customHeight="1">
      <c r="A905" s="21"/>
      <c r="C905" s="22"/>
      <c r="D905" s="22"/>
    </row>
    <row r="906" ht="15.75" customHeight="1">
      <c r="A906" s="21"/>
      <c r="C906" s="22"/>
      <c r="D906" s="22"/>
    </row>
    <row r="907" ht="15.75" customHeight="1">
      <c r="A907" s="21"/>
      <c r="C907" s="22"/>
      <c r="D907" s="22"/>
    </row>
    <row r="908" ht="15.75" customHeight="1">
      <c r="A908" s="21"/>
      <c r="C908" s="22"/>
      <c r="D908" s="22"/>
    </row>
    <row r="909" ht="15.75" customHeight="1">
      <c r="A909" s="21"/>
      <c r="C909" s="22"/>
      <c r="D909" s="22"/>
    </row>
    <row r="910" ht="15.75" customHeight="1">
      <c r="A910" s="21"/>
      <c r="C910" s="22"/>
      <c r="D910" s="22"/>
    </row>
    <row r="911" ht="15.75" customHeight="1">
      <c r="A911" s="21"/>
      <c r="C911" s="22"/>
      <c r="D911" s="22"/>
    </row>
    <row r="912" ht="15.75" customHeight="1">
      <c r="A912" s="21"/>
      <c r="C912" s="22"/>
      <c r="D912" s="22"/>
    </row>
    <row r="913" ht="15.75" customHeight="1">
      <c r="A913" s="21"/>
      <c r="C913" s="22"/>
      <c r="D913" s="22"/>
    </row>
    <row r="914" ht="15.75" customHeight="1">
      <c r="A914" s="21"/>
      <c r="C914" s="22"/>
      <c r="D914" s="22"/>
    </row>
    <row r="915" ht="15.75" customHeight="1">
      <c r="A915" s="21"/>
      <c r="C915" s="22"/>
      <c r="D915" s="22"/>
    </row>
    <row r="916" ht="15.75" customHeight="1">
      <c r="A916" s="21"/>
      <c r="C916" s="22"/>
      <c r="D916" s="22"/>
    </row>
    <row r="917" ht="15.75" customHeight="1">
      <c r="A917" s="21"/>
      <c r="C917" s="22"/>
      <c r="D917" s="22"/>
    </row>
    <row r="918" ht="15.75" customHeight="1">
      <c r="A918" s="21"/>
      <c r="C918" s="22"/>
      <c r="D918" s="22"/>
    </row>
    <row r="919" ht="15.75" customHeight="1">
      <c r="A919" s="21"/>
      <c r="C919" s="22"/>
      <c r="D919" s="22"/>
    </row>
    <row r="920" ht="15.75" customHeight="1">
      <c r="A920" s="21"/>
      <c r="C920" s="22"/>
      <c r="D920" s="22"/>
    </row>
    <row r="921" ht="15.75" customHeight="1">
      <c r="A921" s="21"/>
      <c r="C921" s="22"/>
      <c r="D921" s="22"/>
    </row>
    <row r="922" ht="15.75" customHeight="1">
      <c r="A922" s="21"/>
      <c r="C922" s="22"/>
      <c r="D922" s="22"/>
    </row>
    <row r="923" ht="15.75" customHeight="1">
      <c r="A923" s="21"/>
      <c r="C923" s="22"/>
      <c r="D923" s="22"/>
    </row>
    <row r="924" ht="15.75" customHeight="1">
      <c r="A924" s="21"/>
      <c r="C924" s="22"/>
      <c r="D924" s="22"/>
    </row>
    <row r="925" ht="15.75" customHeight="1">
      <c r="A925" s="21"/>
      <c r="C925" s="22"/>
      <c r="D925" s="22"/>
    </row>
    <row r="926" ht="15.75" customHeight="1">
      <c r="A926" s="21"/>
      <c r="C926" s="22"/>
      <c r="D926" s="22"/>
    </row>
    <row r="927" ht="15.75" customHeight="1">
      <c r="A927" s="21"/>
      <c r="C927" s="22"/>
      <c r="D927" s="22"/>
    </row>
    <row r="928" ht="15.75" customHeight="1">
      <c r="A928" s="21"/>
      <c r="C928" s="22"/>
      <c r="D928" s="22"/>
    </row>
    <row r="929" ht="15.75" customHeight="1">
      <c r="A929" s="21"/>
      <c r="C929" s="22"/>
      <c r="D929" s="22"/>
    </row>
    <row r="930" ht="15.75" customHeight="1">
      <c r="A930" s="21"/>
      <c r="C930" s="22"/>
      <c r="D930" s="22"/>
    </row>
    <row r="931" ht="15.75" customHeight="1">
      <c r="A931" s="21"/>
      <c r="C931" s="22"/>
      <c r="D931" s="22"/>
    </row>
    <row r="932" ht="15.75" customHeight="1">
      <c r="A932" s="21"/>
      <c r="C932" s="22"/>
      <c r="D932" s="22"/>
    </row>
    <row r="933" ht="15.75" customHeight="1">
      <c r="A933" s="21"/>
      <c r="C933" s="22"/>
      <c r="D933" s="22"/>
    </row>
    <row r="934" ht="15.75" customHeight="1">
      <c r="A934" s="21"/>
      <c r="C934" s="22"/>
      <c r="D934" s="22"/>
    </row>
    <row r="935" ht="15.75" customHeight="1">
      <c r="A935" s="21"/>
      <c r="C935" s="22"/>
      <c r="D935" s="22"/>
    </row>
    <row r="936" ht="15.75" customHeight="1">
      <c r="A936" s="21"/>
      <c r="C936" s="22"/>
      <c r="D936" s="22"/>
    </row>
    <row r="937" ht="15.75" customHeight="1">
      <c r="A937" s="21"/>
      <c r="C937" s="22"/>
      <c r="D937" s="22"/>
    </row>
    <row r="938" ht="15.75" customHeight="1">
      <c r="A938" s="21"/>
      <c r="C938" s="22"/>
      <c r="D938" s="22"/>
    </row>
    <row r="939" ht="15.75" customHeight="1">
      <c r="A939" s="21"/>
      <c r="C939" s="22"/>
      <c r="D939" s="22"/>
    </row>
    <row r="940" ht="15.75" customHeight="1">
      <c r="A940" s="21"/>
      <c r="C940" s="22"/>
      <c r="D940" s="22"/>
    </row>
    <row r="941" ht="15.75" customHeight="1">
      <c r="A941" s="21"/>
      <c r="C941" s="22"/>
      <c r="D941" s="22"/>
    </row>
    <row r="942" ht="15.75" customHeight="1">
      <c r="A942" s="21"/>
      <c r="C942" s="22"/>
      <c r="D942" s="22"/>
    </row>
    <row r="943" ht="15.75" customHeight="1">
      <c r="A943" s="21"/>
      <c r="C943" s="22"/>
      <c r="D943" s="22"/>
    </row>
    <row r="944" ht="15.75" customHeight="1">
      <c r="A944" s="21"/>
      <c r="C944" s="22"/>
      <c r="D944" s="22"/>
    </row>
    <row r="945" ht="15.75" customHeight="1">
      <c r="A945" s="21"/>
      <c r="C945" s="22"/>
      <c r="D945" s="22"/>
    </row>
    <row r="946" ht="15.75" customHeight="1">
      <c r="A946" s="21"/>
      <c r="C946" s="22"/>
      <c r="D946" s="22"/>
    </row>
    <row r="947" ht="15.75" customHeight="1">
      <c r="A947" s="21"/>
      <c r="C947" s="22"/>
      <c r="D947" s="22"/>
    </row>
    <row r="948" ht="15.75" customHeight="1">
      <c r="A948" s="21"/>
      <c r="C948" s="22"/>
      <c r="D948" s="22"/>
    </row>
    <row r="949" ht="15.75" customHeight="1">
      <c r="A949" s="21"/>
      <c r="C949" s="22"/>
      <c r="D949" s="22"/>
    </row>
    <row r="950" ht="15.75" customHeight="1">
      <c r="A950" s="21"/>
      <c r="C950" s="22"/>
      <c r="D950" s="22"/>
    </row>
    <row r="951" ht="15.75" customHeight="1">
      <c r="A951" s="21"/>
      <c r="C951" s="22"/>
      <c r="D951" s="22"/>
    </row>
    <row r="952" ht="15.75" customHeight="1">
      <c r="A952" s="21"/>
      <c r="C952" s="22"/>
      <c r="D952" s="22"/>
    </row>
    <row r="953" ht="15.75" customHeight="1">
      <c r="A953" s="21"/>
      <c r="C953" s="22"/>
      <c r="D953" s="22"/>
    </row>
    <row r="954" ht="15.75" customHeight="1">
      <c r="A954" s="21"/>
      <c r="C954" s="22"/>
      <c r="D954" s="22"/>
    </row>
    <row r="955" ht="15.75" customHeight="1">
      <c r="A955" s="21"/>
      <c r="C955" s="22"/>
      <c r="D955" s="22"/>
    </row>
    <row r="956" ht="15.75" customHeight="1">
      <c r="A956" s="21"/>
      <c r="C956" s="22"/>
      <c r="D956" s="22"/>
    </row>
    <row r="957" ht="15.75" customHeight="1">
      <c r="A957" s="21"/>
      <c r="C957" s="22"/>
      <c r="D957" s="22"/>
    </row>
    <row r="958" ht="15.75" customHeight="1">
      <c r="A958" s="21"/>
      <c r="C958" s="22"/>
      <c r="D958" s="22"/>
    </row>
    <row r="959" ht="15.75" customHeight="1">
      <c r="A959" s="21"/>
      <c r="C959" s="22"/>
      <c r="D959" s="22"/>
    </row>
    <row r="960" ht="15.75" customHeight="1">
      <c r="A960" s="21"/>
      <c r="C960" s="22"/>
      <c r="D960" s="22"/>
    </row>
    <row r="961" ht="15.75" customHeight="1">
      <c r="A961" s="21"/>
      <c r="C961" s="22"/>
      <c r="D961" s="22"/>
    </row>
    <row r="962" ht="15.75" customHeight="1">
      <c r="A962" s="21"/>
      <c r="C962" s="22"/>
      <c r="D962" s="22"/>
    </row>
    <row r="963" ht="15.75" customHeight="1">
      <c r="A963" s="21"/>
      <c r="C963" s="22"/>
      <c r="D963" s="22"/>
    </row>
    <row r="964" ht="15.75" customHeight="1">
      <c r="A964" s="21"/>
      <c r="C964" s="22"/>
      <c r="D964" s="22"/>
    </row>
    <row r="965" ht="15.75" customHeight="1">
      <c r="A965" s="21"/>
      <c r="C965" s="22"/>
      <c r="D965" s="22"/>
    </row>
    <row r="966" ht="15.75" customHeight="1">
      <c r="A966" s="21"/>
      <c r="C966" s="22"/>
      <c r="D966" s="22"/>
    </row>
    <row r="967" ht="15.75" customHeight="1">
      <c r="A967" s="21"/>
      <c r="C967" s="22"/>
      <c r="D967" s="22"/>
    </row>
    <row r="968" ht="15.75" customHeight="1">
      <c r="A968" s="21"/>
      <c r="C968" s="22"/>
      <c r="D968" s="22"/>
    </row>
    <row r="969" ht="15.75" customHeight="1">
      <c r="A969" s="21"/>
      <c r="C969" s="22"/>
      <c r="D969" s="22"/>
    </row>
    <row r="970" ht="15.75" customHeight="1">
      <c r="A970" s="21"/>
      <c r="C970" s="22"/>
      <c r="D970" s="22"/>
    </row>
    <row r="971" ht="15.75" customHeight="1">
      <c r="A971" s="21"/>
      <c r="C971" s="22"/>
      <c r="D971" s="22"/>
    </row>
    <row r="972" ht="15.75" customHeight="1">
      <c r="A972" s="21"/>
      <c r="C972" s="22"/>
      <c r="D972" s="22"/>
    </row>
    <row r="973" ht="15.75" customHeight="1">
      <c r="A973" s="21"/>
      <c r="C973" s="22"/>
      <c r="D973" s="22"/>
    </row>
    <row r="974" ht="15.75" customHeight="1">
      <c r="A974" s="21"/>
      <c r="C974" s="22"/>
      <c r="D974" s="22"/>
    </row>
    <row r="975" ht="15.75" customHeight="1">
      <c r="A975" s="21"/>
      <c r="C975" s="22"/>
      <c r="D975" s="22"/>
    </row>
    <row r="976" ht="15.75" customHeight="1">
      <c r="A976" s="21"/>
      <c r="C976" s="22"/>
      <c r="D976" s="22"/>
    </row>
    <row r="977" ht="15.75" customHeight="1">
      <c r="A977" s="21"/>
      <c r="C977" s="22"/>
      <c r="D977" s="22"/>
    </row>
    <row r="978" ht="15.75" customHeight="1">
      <c r="A978" s="21"/>
      <c r="C978" s="22"/>
      <c r="D978" s="22"/>
    </row>
    <row r="979" ht="15.75" customHeight="1">
      <c r="A979" s="21"/>
      <c r="C979" s="22"/>
      <c r="D979" s="22"/>
    </row>
    <row r="980" ht="15.75" customHeight="1">
      <c r="A980" s="21"/>
      <c r="C980" s="22"/>
      <c r="D980" s="22"/>
    </row>
    <row r="981" ht="15.75" customHeight="1">
      <c r="A981" s="21"/>
      <c r="C981" s="22"/>
      <c r="D981" s="22"/>
    </row>
    <row r="982" ht="15.75" customHeight="1">
      <c r="A982" s="21"/>
      <c r="C982" s="22"/>
      <c r="D982" s="22"/>
    </row>
    <row r="983" ht="15.75" customHeight="1">
      <c r="A983" s="21"/>
      <c r="C983" s="22"/>
      <c r="D983" s="22"/>
    </row>
    <row r="984" ht="15.75" customHeight="1">
      <c r="A984" s="21"/>
      <c r="C984" s="22"/>
      <c r="D984" s="22"/>
    </row>
    <row r="985" ht="15.75" customHeight="1">
      <c r="A985" s="21"/>
      <c r="C985" s="22"/>
      <c r="D985" s="22"/>
    </row>
    <row r="986" ht="15.75" customHeight="1">
      <c r="A986" s="21"/>
      <c r="C986" s="22"/>
      <c r="D986" s="22"/>
    </row>
    <row r="987" ht="15.75" customHeight="1">
      <c r="A987" s="21"/>
      <c r="C987" s="22"/>
      <c r="D987" s="22"/>
    </row>
    <row r="988" ht="15.75" customHeight="1">
      <c r="A988" s="21"/>
      <c r="C988" s="22"/>
      <c r="D988" s="22"/>
    </row>
    <row r="989" ht="15.75" customHeight="1">
      <c r="A989" s="21"/>
      <c r="C989" s="22"/>
      <c r="D989" s="22"/>
    </row>
    <row r="990" ht="15.75" customHeight="1">
      <c r="A990" s="21"/>
      <c r="C990" s="22"/>
      <c r="D990" s="22"/>
    </row>
    <row r="991" ht="15.75" customHeight="1">
      <c r="A991" s="21"/>
      <c r="C991" s="22"/>
      <c r="D991" s="22"/>
    </row>
    <row r="992" ht="15.75" customHeight="1">
      <c r="A992" s="21"/>
      <c r="C992" s="22"/>
      <c r="D992" s="22"/>
    </row>
    <row r="993" ht="15.75" customHeight="1">
      <c r="A993" s="21"/>
      <c r="C993" s="22"/>
      <c r="D993" s="22"/>
    </row>
    <row r="994" ht="15.75" customHeight="1">
      <c r="A994" s="21"/>
      <c r="C994" s="22"/>
      <c r="D994" s="22"/>
    </row>
    <row r="995" ht="15.75" customHeight="1">
      <c r="A995" s="21"/>
      <c r="C995" s="22"/>
      <c r="D995" s="22"/>
    </row>
    <row r="996" ht="15.75" customHeight="1">
      <c r="A996" s="21"/>
      <c r="C996" s="22"/>
      <c r="D996" s="22"/>
    </row>
    <row r="997" ht="15.75" customHeight="1">
      <c r="A997" s="21"/>
      <c r="C997" s="22"/>
      <c r="D997" s="22"/>
    </row>
    <row r="998" ht="15.75" customHeight="1">
      <c r="A998" s="21"/>
      <c r="C998" s="22"/>
      <c r="D998" s="22"/>
    </row>
    <row r="999" ht="15.75" customHeight="1">
      <c r="A999" s="21"/>
      <c r="C999" s="22"/>
      <c r="D999" s="22"/>
    </row>
    <row r="1000" ht="15.75" customHeight="1">
      <c r="A1000" s="21"/>
      <c r="C1000" s="22"/>
      <c r="D1000" s="22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31" t="s">
        <v>359</v>
      </c>
      <c r="B1" s="32" t="s">
        <v>360</v>
      </c>
      <c r="C1" s="11" t="s">
        <v>357</v>
      </c>
      <c r="D1" s="11" t="s">
        <v>358</v>
      </c>
    </row>
    <row r="2" ht="15.75" customHeight="1">
      <c r="A2" s="33">
        <v>1.0</v>
      </c>
      <c r="B2" s="32" t="s">
        <v>361</v>
      </c>
      <c r="C2" s="10"/>
      <c r="D2" s="10"/>
    </row>
    <row r="3" ht="15.75" customHeight="1">
      <c r="A3" s="33">
        <v>2.0</v>
      </c>
      <c r="B3" s="32" t="s">
        <v>362</v>
      </c>
      <c r="C3" s="10"/>
      <c r="D3" s="10"/>
    </row>
    <row r="4" ht="15.75" customHeight="1">
      <c r="A4" s="33">
        <v>3.0</v>
      </c>
      <c r="B4" s="32" t="s">
        <v>132</v>
      </c>
      <c r="C4" s="10"/>
      <c r="D4" s="10"/>
    </row>
    <row r="5" ht="15.75" customHeight="1">
      <c r="A5" s="33">
        <v>4.0</v>
      </c>
      <c r="B5" s="32" t="s">
        <v>180</v>
      </c>
      <c r="C5" s="10"/>
      <c r="D5" s="10"/>
    </row>
    <row r="6" ht="15.75" customHeight="1">
      <c r="A6" s="33">
        <v>5.0</v>
      </c>
      <c r="B6" s="32" t="s">
        <v>215</v>
      </c>
      <c r="C6" s="10"/>
      <c r="D6" s="10"/>
    </row>
    <row r="7" ht="15.75" customHeight="1">
      <c r="A7" s="33">
        <v>6.0</v>
      </c>
      <c r="B7" s="32" t="s">
        <v>257</v>
      </c>
      <c r="C7" s="10"/>
      <c r="D7" s="10"/>
    </row>
    <row r="8" ht="15.75" customHeight="1">
      <c r="A8" s="33">
        <v>7.0</v>
      </c>
      <c r="B8" s="32" t="s">
        <v>363</v>
      </c>
      <c r="C8" s="10"/>
      <c r="D8" s="10"/>
    </row>
    <row r="9" ht="15.75" customHeight="1">
      <c r="A9" s="33">
        <v>8.0</v>
      </c>
      <c r="B9" s="32" t="s">
        <v>364</v>
      </c>
      <c r="C9" s="10"/>
      <c r="D9" s="10"/>
    </row>
    <row r="10" ht="15.75" customHeight="1">
      <c r="A10" s="33">
        <v>9.0</v>
      </c>
      <c r="B10" s="32" t="s">
        <v>365</v>
      </c>
      <c r="C10" s="10"/>
      <c r="D10" s="10"/>
    </row>
    <row r="11" ht="15.75" customHeight="1">
      <c r="A11" s="33">
        <v>10.0</v>
      </c>
      <c r="B11" s="32" t="s">
        <v>354</v>
      </c>
      <c r="C11" s="10"/>
      <c r="D11" s="10"/>
    </row>
    <row r="12" ht="15.75" customHeight="1">
      <c r="A12" s="33">
        <v>11.0</v>
      </c>
      <c r="B12" s="32" t="s">
        <v>355</v>
      </c>
      <c r="C12" s="10"/>
      <c r="D12" s="10"/>
    </row>
    <row r="13" ht="15.75" customHeight="1">
      <c r="A13" s="34"/>
      <c r="B13" s="27"/>
      <c r="C13" s="22"/>
      <c r="D13" s="22"/>
    </row>
    <row r="14" ht="15.75" customHeight="1">
      <c r="A14" s="34"/>
      <c r="B14" s="27"/>
      <c r="C14" s="22"/>
      <c r="D14" s="22"/>
    </row>
    <row r="15" ht="15.75" customHeight="1">
      <c r="A15" s="34"/>
      <c r="B15" s="27"/>
      <c r="C15" s="22"/>
      <c r="D15" s="22"/>
    </row>
    <row r="16" ht="15.75" customHeight="1">
      <c r="A16" s="34"/>
      <c r="B16" s="27"/>
      <c r="C16" s="22"/>
      <c r="D16" s="22"/>
    </row>
    <row r="17" ht="15.75" customHeight="1">
      <c r="A17" s="34"/>
      <c r="B17" s="27"/>
      <c r="C17" s="22"/>
      <c r="D17" s="22"/>
    </row>
    <row r="18" ht="15.75" customHeight="1">
      <c r="A18" s="34"/>
      <c r="B18" s="27"/>
      <c r="C18" s="22"/>
      <c r="D18" s="22"/>
    </row>
    <row r="19" ht="15.75" customHeight="1">
      <c r="A19" s="34"/>
      <c r="B19" s="27"/>
      <c r="C19" s="22"/>
      <c r="D19" s="22"/>
    </row>
    <row r="20" ht="15.75" customHeight="1">
      <c r="A20" s="34"/>
      <c r="B20" s="27"/>
      <c r="C20" s="22"/>
      <c r="D20" s="22"/>
    </row>
    <row r="21" ht="15.75" customHeight="1">
      <c r="A21" s="34"/>
      <c r="B21" s="27"/>
      <c r="C21" s="22"/>
      <c r="D21" s="22"/>
    </row>
    <row r="22" ht="15.75" customHeight="1">
      <c r="A22" s="34"/>
      <c r="B22" s="27"/>
      <c r="C22" s="22"/>
      <c r="D22" s="22"/>
    </row>
    <row r="23" ht="15.75" customHeight="1">
      <c r="A23" s="34"/>
      <c r="B23" s="27"/>
      <c r="C23" s="22"/>
      <c r="D23" s="22"/>
    </row>
    <row r="24" ht="15.75" customHeight="1">
      <c r="A24" s="34"/>
      <c r="B24" s="27"/>
      <c r="C24" s="22"/>
      <c r="D24" s="22"/>
    </row>
    <row r="25" ht="15.75" customHeight="1">
      <c r="A25" s="34"/>
      <c r="B25" s="27"/>
      <c r="C25" s="22"/>
      <c r="D25" s="22"/>
    </row>
    <row r="26" ht="15.75" customHeight="1">
      <c r="A26" s="34"/>
      <c r="B26" s="27"/>
      <c r="C26" s="22"/>
      <c r="D26" s="22"/>
    </row>
    <row r="27" ht="15.75" customHeight="1">
      <c r="A27" s="34"/>
      <c r="B27" s="27"/>
      <c r="C27" s="22"/>
      <c r="D27" s="22"/>
    </row>
    <row r="28" ht="15.75" customHeight="1">
      <c r="A28" s="34"/>
      <c r="B28" s="27"/>
      <c r="C28" s="22"/>
      <c r="D28" s="22"/>
    </row>
    <row r="29" ht="15.75" customHeight="1">
      <c r="A29" s="34"/>
      <c r="B29" s="27"/>
      <c r="C29" s="22"/>
      <c r="D29" s="22"/>
    </row>
    <row r="30" ht="15.75" customHeight="1">
      <c r="A30" s="34"/>
      <c r="B30" s="27"/>
      <c r="C30" s="22"/>
      <c r="D30" s="22"/>
    </row>
    <row r="31" ht="15.75" customHeight="1">
      <c r="A31" s="34"/>
      <c r="B31" s="27"/>
      <c r="C31" s="22"/>
      <c r="D31" s="22"/>
    </row>
    <row r="32" ht="15.75" customHeight="1">
      <c r="A32" s="34"/>
      <c r="B32" s="27"/>
      <c r="C32" s="22"/>
      <c r="D32" s="22"/>
    </row>
    <row r="33" ht="15.75" customHeight="1">
      <c r="A33" s="34"/>
      <c r="B33" s="27"/>
      <c r="C33" s="22"/>
      <c r="D33" s="22"/>
    </row>
    <row r="34" ht="15.75" customHeight="1">
      <c r="A34" s="34"/>
      <c r="B34" s="27"/>
      <c r="C34" s="22"/>
      <c r="D34" s="22"/>
    </row>
    <row r="35" ht="15.75" customHeight="1">
      <c r="A35" s="34"/>
      <c r="B35" s="27"/>
      <c r="C35" s="22"/>
      <c r="D35" s="22"/>
    </row>
    <row r="36" ht="15.75" customHeight="1">
      <c r="A36" s="34"/>
      <c r="B36" s="27"/>
      <c r="C36" s="22"/>
      <c r="D36" s="22"/>
    </row>
    <row r="37" ht="15.75" customHeight="1">
      <c r="A37" s="34"/>
      <c r="B37" s="27"/>
      <c r="C37" s="22"/>
      <c r="D37" s="22"/>
    </row>
    <row r="38" ht="15.75" customHeight="1">
      <c r="A38" s="34"/>
      <c r="B38" s="27"/>
      <c r="C38" s="22"/>
      <c r="D38" s="22"/>
    </row>
    <row r="39" ht="15.75" customHeight="1">
      <c r="A39" s="34"/>
      <c r="B39" s="27"/>
      <c r="C39" s="22"/>
      <c r="D39" s="22"/>
    </row>
    <row r="40" ht="15.75" customHeight="1">
      <c r="A40" s="34"/>
      <c r="B40" s="27"/>
      <c r="C40" s="22"/>
      <c r="D40" s="22"/>
    </row>
    <row r="41" ht="15.75" customHeight="1">
      <c r="A41" s="34"/>
      <c r="B41" s="27"/>
      <c r="C41" s="22"/>
      <c r="D41" s="22"/>
    </row>
    <row r="42" ht="15.75" customHeight="1">
      <c r="A42" s="34"/>
      <c r="B42" s="27"/>
      <c r="C42" s="22"/>
      <c r="D42" s="22"/>
    </row>
    <row r="43" ht="15.75" customHeight="1">
      <c r="A43" s="34"/>
      <c r="B43" s="27"/>
      <c r="C43" s="22"/>
      <c r="D43" s="22"/>
    </row>
    <row r="44" ht="15.75" customHeight="1">
      <c r="A44" s="34"/>
      <c r="B44" s="27"/>
      <c r="C44" s="22"/>
      <c r="D44" s="22"/>
    </row>
    <row r="45" ht="15.75" customHeight="1">
      <c r="A45" s="34"/>
      <c r="B45" s="27"/>
      <c r="C45" s="22"/>
      <c r="D45" s="22"/>
    </row>
    <row r="46" ht="15.75" customHeight="1">
      <c r="A46" s="34"/>
      <c r="B46" s="27"/>
      <c r="C46" s="22"/>
      <c r="D46" s="22"/>
    </row>
    <row r="47" ht="15.75" customHeight="1">
      <c r="A47" s="34"/>
      <c r="B47" s="27"/>
      <c r="C47" s="22"/>
      <c r="D47" s="22"/>
    </row>
    <row r="48" ht="15.75" customHeight="1">
      <c r="A48" s="34"/>
      <c r="B48" s="27"/>
      <c r="C48" s="22"/>
      <c r="D48" s="22"/>
    </row>
    <row r="49" ht="15.75" customHeight="1">
      <c r="A49" s="34"/>
      <c r="B49" s="27"/>
      <c r="C49" s="22"/>
      <c r="D49" s="22"/>
    </row>
    <row r="50" ht="15.75" customHeight="1">
      <c r="A50" s="34"/>
      <c r="B50" s="27"/>
      <c r="C50" s="22"/>
      <c r="D50" s="22"/>
    </row>
    <row r="51" ht="15.75" customHeight="1">
      <c r="A51" s="34"/>
      <c r="B51" s="27"/>
      <c r="C51" s="22"/>
      <c r="D51" s="22"/>
    </row>
    <row r="52" ht="15.75" customHeight="1">
      <c r="A52" s="34"/>
      <c r="B52" s="27"/>
      <c r="C52" s="22"/>
      <c r="D52" s="22"/>
    </row>
    <row r="53" ht="15.75" customHeight="1">
      <c r="A53" s="34"/>
      <c r="B53" s="27"/>
      <c r="C53" s="22"/>
      <c r="D53" s="22"/>
    </row>
    <row r="54" ht="15.75" customHeight="1">
      <c r="A54" s="34"/>
      <c r="B54" s="27"/>
      <c r="C54" s="22"/>
      <c r="D54" s="22"/>
    </row>
    <row r="55" ht="15.75" customHeight="1">
      <c r="A55" s="34"/>
      <c r="B55" s="27"/>
      <c r="C55" s="22"/>
      <c r="D55" s="22"/>
    </row>
    <row r="56" ht="15.75" customHeight="1">
      <c r="A56" s="34"/>
      <c r="B56" s="27"/>
      <c r="C56" s="22"/>
      <c r="D56" s="22"/>
    </row>
    <row r="57" ht="15.75" customHeight="1">
      <c r="A57" s="34"/>
      <c r="B57" s="27"/>
      <c r="C57" s="22"/>
      <c r="D57" s="22"/>
    </row>
    <row r="58" ht="15.75" customHeight="1">
      <c r="A58" s="34"/>
      <c r="B58" s="27"/>
      <c r="C58" s="22"/>
      <c r="D58" s="22"/>
    </row>
    <row r="59" ht="15.75" customHeight="1">
      <c r="A59" s="34"/>
      <c r="B59" s="27"/>
      <c r="C59" s="22"/>
      <c r="D59" s="22"/>
    </row>
    <row r="60" ht="15.75" customHeight="1">
      <c r="A60" s="34"/>
      <c r="B60" s="27"/>
      <c r="C60" s="22"/>
      <c r="D60" s="22"/>
    </row>
    <row r="61" ht="15.75" customHeight="1">
      <c r="A61" s="34"/>
      <c r="B61" s="27"/>
      <c r="C61" s="22"/>
      <c r="D61" s="22"/>
    </row>
    <row r="62" ht="15.75" customHeight="1">
      <c r="A62" s="34"/>
      <c r="B62" s="27"/>
      <c r="C62" s="22"/>
      <c r="D62" s="22"/>
    </row>
    <row r="63" ht="15.75" customHeight="1">
      <c r="A63" s="34"/>
      <c r="B63" s="27"/>
      <c r="C63" s="22"/>
      <c r="D63" s="22"/>
    </row>
    <row r="64" ht="15.75" customHeight="1">
      <c r="A64" s="34"/>
      <c r="B64" s="27"/>
      <c r="C64" s="22"/>
      <c r="D64" s="22"/>
    </row>
    <row r="65" ht="15.75" customHeight="1">
      <c r="A65" s="34"/>
      <c r="B65" s="27"/>
      <c r="C65" s="22"/>
      <c r="D65" s="22"/>
    </row>
    <row r="66" ht="15.75" customHeight="1">
      <c r="A66" s="34"/>
      <c r="B66" s="27"/>
      <c r="C66" s="22"/>
      <c r="D66" s="22"/>
    </row>
    <row r="67" ht="15.75" customHeight="1">
      <c r="A67" s="34"/>
      <c r="B67" s="27"/>
      <c r="C67" s="22"/>
      <c r="D67" s="22"/>
    </row>
    <row r="68" ht="15.75" customHeight="1">
      <c r="A68" s="34"/>
      <c r="B68" s="27"/>
      <c r="C68" s="22"/>
      <c r="D68" s="22"/>
    </row>
    <row r="69" ht="15.75" customHeight="1">
      <c r="A69" s="34"/>
      <c r="B69" s="27"/>
      <c r="C69" s="22"/>
      <c r="D69" s="22"/>
    </row>
    <row r="70" ht="15.75" customHeight="1">
      <c r="A70" s="34"/>
      <c r="B70" s="27"/>
      <c r="C70" s="22"/>
      <c r="D70" s="22"/>
    </row>
    <row r="71" ht="15.75" customHeight="1">
      <c r="A71" s="34"/>
      <c r="B71" s="27"/>
      <c r="C71" s="22"/>
      <c r="D71" s="22"/>
    </row>
    <row r="72" ht="15.75" customHeight="1">
      <c r="A72" s="34"/>
      <c r="B72" s="27"/>
      <c r="C72" s="22"/>
      <c r="D72" s="22"/>
    </row>
    <row r="73" ht="15.75" customHeight="1">
      <c r="A73" s="34"/>
      <c r="B73" s="27"/>
      <c r="C73" s="22"/>
      <c r="D73" s="22"/>
    </row>
    <row r="74" ht="15.75" customHeight="1">
      <c r="A74" s="34"/>
      <c r="B74" s="27"/>
      <c r="C74" s="22"/>
      <c r="D74" s="22"/>
    </row>
    <row r="75" ht="15.75" customHeight="1">
      <c r="A75" s="34"/>
      <c r="B75" s="27"/>
      <c r="C75" s="22"/>
      <c r="D75" s="22"/>
    </row>
    <row r="76" ht="15.75" customHeight="1">
      <c r="A76" s="34"/>
      <c r="B76" s="27"/>
      <c r="C76" s="22"/>
      <c r="D76" s="22"/>
    </row>
    <row r="77" ht="15.75" customHeight="1">
      <c r="A77" s="34"/>
      <c r="B77" s="27"/>
      <c r="C77" s="22"/>
      <c r="D77" s="22"/>
    </row>
    <row r="78" ht="15.75" customHeight="1">
      <c r="A78" s="34"/>
      <c r="B78" s="27"/>
      <c r="C78" s="22"/>
      <c r="D78" s="22"/>
    </row>
    <row r="79" ht="15.75" customHeight="1">
      <c r="A79" s="34"/>
      <c r="B79" s="27"/>
      <c r="C79" s="22"/>
      <c r="D79" s="22"/>
    </row>
    <row r="80" ht="15.75" customHeight="1">
      <c r="A80" s="34"/>
      <c r="B80" s="27"/>
      <c r="C80" s="22"/>
      <c r="D80" s="22"/>
    </row>
    <row r="81" ht="15.75" customHeight="1">
      <c r="A81" s="34"/>
      <c r="B81" s="27"/>
      <c r="C81" s="22"/>
      <c r="D81" s="22"/>
    </row>
    <row r="82" ht="15.75" customHeight="1">
      <c r="A82" s="34"/>
      <c r="B82" s="27"/>
      <c r="C82" s="22"/>
      <c r="D82" s="22"/>
    </row>
    <row r="83" ht="15.75" customHeight="1">
      <c r="A83" s="34"/>
      <c r="B83" s="27"/>
      <c r="C83" s="22"/>
      <c r="D83" s="22"/>
    </row>
    <row r="84" ht="15.75" customHeight="1">
      <c r="A84" s="34"/>
      <c r="B84" s="27"/>
      <c r="C84" s="22"/>
      <c r="D84" s="22"/>
    </row>
    <row r="85" ht="15.75" customHeight="1">
      <c r="A85" s="34"/>
      <c r="B85" s="27"/>
      <c r="C85" s="22"/>
      <c r="D85" s="22"/>
    </row>
    <row r="86" ht="15.75" customHeight="1">
      <c r="A86" s="34"/>
      <c r="B86" s="27"/>
      <c r="C86" s="22"/>
      <c r="D86" s="22"/>
    </row>
    <row r="87" ht="15.75" customHeight="1">
      <c r="A87" s="34"/>
      <c r="B87" s="27"/>
      <c r="C87" s="22"/>
      <c r="D87" s="22"/>
    </row>
    <row r="88" ht="15.75" customHeight="1">
      <c r="A88" s="34"/>
      <c r="B88" s="27"/>
      <c r="C88" s="22"/>
      <c r="D88" s="22"/>
    </row>
    <row r="89" ht="15.75" customHeight="1">
      <c r="A89" s="34"/>
      <c r="B89" s="27"/>
      <c r="C89" s="22"/>
      <c r="D89" s="22"/>
    </row>
    <row r="90" ht="15.75" customHeight="1">
      <c r="A90" s="34"/>
      <c r="B90" s="27"/>
      <c r="C90" s="22"/>
      <c r="D90" s="22"/>
    </row>
    <row r="91" ht="15.75" customHeight="1">
      <c r="A91" s="34"/>
      <c r="B91" s="27"/>
      <c r="C91" s="22"/>
      <c r="D91" s="22"/>
    </row>
    <row r="92" ht="15.75" customHeight="1">
      <c r="A92" s="34"/>
      <c r="B92" s="27"/>
      <c r="C92" s="22"/>
      <c r="D92" s="22"/>
    </row>
    <row r="93" ht="15.75" customHeight="1">
      <c r="A93" s="34"/>
      <c r="B93" s="27"/>
      <c r="C93" s="22"/>
      <c r="D93" s="22"/>
    </row>
    <row r="94" ht="15.75" customHeight="1">
      <c r="A94" s="34"/>
      <c r="B94" s="27"/>
      <c r="C94" s="22"/>
      <c r="D94" s="22"/>
    </row>
    <row r="95" ht="15.75" customHeight="1">
      <c r="A95" s="34"/>
      <c r="B95" s="27"/>
      <c r="C95" s="22"/>
      <c r="D95" s="22"/>
    </row>
    <row r="96" ht="15.75" customHeight="1">
      <c r="A96" s="34"/>
      <c r="B96" s="27"/>
      <c r="C96" s="22"/>
      <c r="D96" s="22"/>
    </row>
    <row r="97" ht="15.75" customHeight="1">
      <c r="A97" s="34"/>
      <c r="B97" s="27"/>
      <c r="C97" s="22"/>
      <c r="D97" s="22"/>
    </row>
    <row r="98" ht="15.75" customHeight="1">
      <c r="A98" s="34"/>
      <c r="B98" s="27"/>
      <c r="C98" s="22"/>
      <c r="D98" s="22"/>
    </row>
    <row r="99" ht="15.75" customHeight="1">
      <c r="A99" s="34"/>
      <c r="B99" s="27"/>
      <c r="C99" s="22"/>
      <c r="D99" s="22"/>
    </row>
    <row r="100" ht="15.75" customHeight="1">
      <c r="A100" s="34"/>
      <c r="B100" s="27"/>
      <c r="C100" s="22"/>
      <c r="D100" s="22"/>
    </row>
    <row r="101" ht="15.75" customHeight="1">
      <c r="A101" s="34"/>
      <c r="B101" s="27"/>
      <c r="C101" s="22"/>
      <c r="D101" s="22"/>
    </row>
    <row r="102" ht="15.75" customHeight="1">
      <c r="A102" s="34"/>
      <c r="B102" s="27"/>
      <c r="C102" s="22"/>
      <c r="D102" s="22"/>
    </row>
    <row r="103" ht="15.75" customHeight="1">
      <c r="A103" s="34"/>
      <c r="B103" s="27"/>
      <c r="C103" s="22"/>
      <c r="D103" s="22"/>
    </row>
    <row r="104" ht="15.75" customHeight="1">
      <c r="A104" s="34"/>
      <c r="B104" s="27"/>
      <c r="C104" s="22"/>
      <c r="D104" s="22"/>
    </row>
    <row r="105" ht="15.75" customHeight="1">
      <c r="A105" s="34"/>
      <c r="B105" s="27"/>
      <c r="C105" s="22"/>
      <c r="D105" s="22"/>
    </row>
    <row r="106" ht="15.75" customHeight="1">
      <c r="A106" s="34"/>
      <c r="B106" s="27"/>
      <c r="C106" s="22"/>
      <c r="D106" s="22"/>
    </row>
    <row r="107" ht="15.75" customHeight="1">
      <c r="A107" s="34"/>
      <c r="B107" s="27"/>
      <c r="C107" s="22"/>
      <c r="D107" s="22"/>
    </row>
    <row r="108" ht="15.75" customHeight="1">
      <c r="A108" s="34"/>
      <c r="B108" s="27"/>
      <c r="C108" s="22"/>
      <c r="D108" s="22"/>
    </row>
    <row r="109" ht="15.75" customHeight="1">
      <c r="A109" s="34"/>
      <c r="B109" s="27"/>
      <c r="C109" s="22"/>
      <c r="D109" s="22"/>
    </row>
    <row r="110" ht="15.75" customHeight="1">
      <c r="A110" s="34"/>
      <c r="B110" s="27"/>
      <c r="C110" s="22"/>
      <c r="D110" s="22"/>
    </row>
    <row r="111" ht="15.75" customHeight="1">
      <c r="A111" s="34"/>
      <c r="B111" s="27"/>
      <c r="C111" s="22"/>
      <c r="D111" s="22"/>
    </row>
    <row r="112" ht="15.75" customHeight="1">
      <c r="A112" s="34"/>
      <c r="B112" s="27"/>
      <c r="C112" s="22"/>
      <c r="D112" s="22"/>
    </row>
    <row r="113" ht="15.75" customHeight="1">
      <c r="A113" s="34"/>
      <c r="B113" s="27"/>
      <c r="C113" s="22"/>
      <c r="D113" s="22"/>
    </row>
    <row r="114" ht="15.75" customHeight="1">
      <c r="A114" s="34"/>
      <c r="B114" s="27"/>
      <c r="C114" s="22"/>
      <c r="D114" s="22"/>
    </row>
    <row r="115" ht="15.75" customHeight="1">
      <c r="A115" s="34"/>
      <c r="B115" s="27"/>
      <c r="C115" s="22"/>
      <c r="D115" s="22"/>
    </row>
    <row r="116" ht="15.75" customHeight="1">
      <c r="A116" s="34"/>
      <c r="B116" s="27"/>
      <c r="C116" s="22"/>
      <c r="D116" s="22"/>
    </row>
    <row r="117" ht="15.75" customHeight="1">
      <c r="A117" s="34"/>
      <c r="B117" s="27"/>
      <c r="C117" s="22"/>
      <c r="D117" s="22"/>
    </row>
    <row r="118" ht="15.75" customHeight="1">
      <c r="A118" s="34"/>
      <c r="B118" s="27"/>
      <c r="C118" s="22"/>
      <c r="D118" s="22"/>
    </row>
    <row r="119" ht="15.75" customHeight="1">
      <c r="A119" s="34"/>
      <c r="B119" s="27"/>
      <c r="C119" s="22"/>
      <c r="D119" s="22"/>
    </row>
    <row r="120" ht="15.75" customHeight="1">
      <c r="A120" s="34"/>
      <c r="B120" s="27"/>
      <c r="C120" s="22"/>
      <c r="D120" s="22"/>
    </row>
    <row r="121" ht="15.75" customHeight="1">
      <c r="A121" s="34"/>
      <c r="B121" s="27"/>
      <c r="C121" s="22"/>
      <c r="D121" s="22"/>
    </row>
    <row r="122" ht="15.75" customHeight="1">
      <c r="A122" s="34"/>
      <c r="B122" s="27"/>
      <c r="C122" s="22"/>
      <c r="D122" s="22"/>
    </row>
    <row r="123" ht="15.75" customHeight="1">
      <c r="A123" s="34"/>
      <c r="B123" s="27"/>
      <c r="C123" s="22"/>
      <c r="D123" s="22"/>
    </row>
    <row r="124" ht="15.75" customHeight="1">
      <c r="A124" s="34"/>
      <c r="B124" s="27"/>
      <c r="C124" s="22"/>
      <c r="D124" s="22"/>
    </row>
    <row r="125" ht="15.75" customHeight="1">
      <c r="A125" s="34"/>
      <c r="B125" s="27"/>
      <c r="C125" s="22"/>
      <c r="D125" s="22"/>
    </row>
    <row r="126" ht="15.75" customHeight="1">
      <c r="A126" s="34"/>
      <c r="B126" s="27"/>
      <c r="C126" s="22"/>
      <c r="D126" s="22"/>
    </row>
    <row r="127" ht="15.75" customHeight="1">
      <c r="A127" s="34"/>
      <c r="B127" s="27"/>
      <c r="C127" s="22"/>
      <c r="D127" s="22"/>
    </row>
    <row r="128" ht="15.75" customHeight="1">
      <c r="A128" s="34"/>
      <c r="B128" s="27"/>
      <c r="C128" s="22"/>
      <c r="D128" s="22"/>
    </row>
    <row r="129" ht="15.75" customHeight="1">
      <c r="A129" s="34"/>
      <c r="B129" s="27"/>
      <c r="C129" s="22"/>
      <c r="D129" s="22"/>
    </row>
    <row r="130" ht="15.75" customHeight="1">
      <c r="A130" s="34"/>
      <c r="B130" s="27"/>
      <c r="C130" s="22"/>
      <c r="D130" s="22"/>
    </row>
    <row r="131" ht="15.75" customHeight="1">
      <c r="A131" s="34"/>
      <c r="B131" s="27"/>
      <c r="C131" s="22"/>
      <c r="D131" s="22"/>
    </row>
    <row r="132" ht="15.75" customHeight="1">
      <c r="A132" s="34"/>
      <c r="B132" s="27"/>
      <c r="C132" s="22"/>
      <c r="D132" s="22"/>
    </row>
    <row r="133" ht="15.75" customHeight="1">
      <c r="A133" s="34"/>
      <c r="B133" s="27"/>
      <c r="C133" s="22"/>
      <c r="D133" s="22"/>
    </row>
    <row r="134" ht="15.75" customHeight="1">
      <c r="A134" s="34"/>
      <c r="B134" s="27"/>
      <c r="C134" s="22"/>
      <c r="D134" s="22"/>
    </row>
    <row r="135" ht="15.75" customHeight="1">
      <c r="A135" s="34"/>
      <c r="B135" s="27"/>
      <c r="C135" s="22"/>
      <c r="D135" s="22"/>
    </row>
    <row r="136" ht="15.75" customHeight="1">
      <c r="A136" s="34"/>
      <c r="B136" s="27"/>
      <c r="C136" s="22"/>
      <c r="D136" s="22"/>
    </row>
    <row r="137" ht="15.75" customHeight="1">
      <c r="A137" s="34"/>
      <c r="B137" s="27"/>
      <c r="C137" s="22"/>
      <c r="D137" s="22"/>
    </row>
    <row r="138" ht="15.75" customHeight="1">
      <c r="A138" s="34"/>
      <c r="B138" s="27"/>
      <c r="C138" s="22"/>
      <c r="D138" s="22"/>
    </row>
    <row r="139" ht="15.75" customHeight="1">
      <c r="A139" s="34"/>
      <c r="B139" s="27"/>
      <c r="C139" s="22"/>
      <c r="D139" s="22"/>
    </row>
    <row r="140" ht="15.75" customHeight="1">
      <c r="A140" s="34"/>
      <c r="B140" s="27"/>
      <c r="C140" s="22"/>
      <c r="D140" s="22"/>
    </row>
    <row r="141" ht="15.75" customHeight="1">
      <c r="A141" s="34"/>
      <c r="B141" s="27"/>
      <c r="C141" s="22"/>
      <c r="D141" s="22"/>
    </row>
    <row r="142" ht="15.75" customHeight="1">
      <c r="A142" s="34"/>
      <c r="B142" s="27"/>
      <c r="C142" s="22"/>
      <c r="D142" s="22"/>
    </row>
    <row r="143" ht="15.75" customHeight="1">
      <c r="A143" s="34"/>
      <c r="B143" s="27"/>
      <c r="C143" s="22"/>
      <c r="D143" s="22"/>
    </row>
    <row r="144" ht="15.75" customHeight="1">
      <c r="A144" s="34"/>
      <c r="B144" s="27"/>
      <c r="C144" s="22"/>
      <c r="D144" s="22"/>
    </row>
    <row r="145" ht="15.75" customHeight="1">
      <c r="A145" s="34"/>
      <c r="B145" s="27"/>
      <c r="C145" s="22"/>
      <c r="D145" s="22"/>
    </row>
    <row r="146" ht="15.75" customHeight="1">
      <c r="A146" s="34"/>
      <c r="B146" s="27"/>
      <c r="C146" s="22"/>
      <c r="D146" s="22"/>
    </row>
    <row r="147" ht="15.75" customHeight="1">
      <c r="A147" s="34"/>
      <c r="B147" s="27"/>
      <c r="C147" s="22"/>
      <c r="D147" s="22"/>
    </row>
    <row r="148" ht="15.75" customHeight="1">
      <c r="A148" s="34"/>
      <c r="B148" s="27"/>
      <c r="C148" s="22"/>
      <c r="D148" s="22"/>
    </row>
    <row r="149" ht="15.75" customHeight="1">
      <c r="A149" s="34"/>
      <c r="B149" s="27"/>
      <c r="C149" s="22"/>
      <c r="D149" s="22"/>
    </row>
    <row r="150" ht="15.75" customHeight="1">
      <c r="A150" s="34"/>
      <c r="B150" s="27"/>
      <c r="C150" s="22"/>
      <c r="D150" s="22"/>
    </row>
    <row r="151" ht="15.75" customHeight="1">
      <c r="A151" s="34"/>
      <c r="B151" s="27"/>
      <c r="C151" s="22"/>
      <c r="D151" s="22"/>
    </row>
    <row r="152" ht="15.75" customHeight="1">
      <c r="A152" s="34"/>
      <c r="B152" s="27"/>
      <c r="C152" s="22"/>
      <c r="D152" s="22"/>
    </row>
    <row r="153" ht="15.75" customHeight="1">
      <c r="A153" s="34"/>
      <c r="B153" s="27"/>
      <c r="C153" s="22"/>
      <c r="D153" s="22"/>
    </row>
    <row r="154" ht="15.75" customHeight="1">
      <c r="A154" s="34"/>
      <c r="B154" s="27"/>
      <c r="C154" s="22"/>
      <c r="D154" s="22"/>
    </row>
    <row r="155" ht="15.75" customHeight="1">
      <c r="A155" s="34"/>
      <c r="B155" s="27"/>
      <c r="C155" s="22"/>
      <c r="D155" s="22"/>
    </row>
    <row r="156" ht="15.75" customHeight="1">
      <c r="A156" s="34"/>
      <c r="B156" s="27"/>
      <c r="C156" s="22"/>
      <c r="D156" s="22"/>
    </row>
    <row r="157" ht="15.75" customHeight="1">
      <c r="A157" s="34"/>
      <c r="B157" s="27"/>
      <c r="C157" s="22"/>
      <c r="D157" s="22"/>
    </row>
    <row r="158" ht="15.75" customHeight="1">
      <c r="A158" s="34"/>
      <c r="B158" s="27"/>
      <c r="C158" s="22"/>
      <c r="D158" s="22"/>
    </row>
    <row r="159" ht="15.75" customHeight="1">
      <c r="A159" s="34"/>
      <c r="B159" s="27"/>
      <c r="C159" s="22"/>
      <c r="D159" s="22"/>
    </row>
    <row r="160" ht="15.75" customHeight="1">
      <c r="A160" s="34"/>
      <c r="B160" s="27"/>
      <c r="C160" s="22"/>
      <c r="D160" s="22"/>
    </row>
    <row r="161" ht="15.75" customHeight="1">
      <c r="A161" s="34"/>
      <c r="B161" s="27"/>
      <c r="C161" s="22"/>
      <c r="D161" s="22"/>
    </row>
    <row r="162" ht="15.75" customHeight="1">
      <c r="A162" s="34"/>
      <c r="B162" s="27"/>
      <c r="C162" s="22"/>
      <c r="D162" s="22"/>
    </row>
    <row r="163" ht="15.75" customHeight="1">
      <c r="A163" s="34"/>
      <c r="B163" s="27"/>
      <c r="C163" s="22"/>
      <c r="D163" s="22"/>
    </row>
    <row r="164" ht="15.75" customHeight="1">
      <c r="A164" s="34"/>
      <c r="B164" s="27"/>
      <c r="C164" s="22"/>
      <c r="D164" s="22"/>
    </row>
    <row r="165" ht="15.75" customHeight="1">
      <c r="A165" s="34"/>
      <c r="B165" s="27"/>
      <c r="C165" s="22"/>
      <c r="D165" s="22"/>
    </row>
    <row r="166" ht="15.75" customHeight="1">
      <c r="A166" s="34"/>
      <c r="B166" s="27"/>
      <c r="C166" s="22"/>
      <c r="D166" s="22"/>
    </row>
    <row r="167" ht="15.75" customHeight="1">
      <c r="A167" s="34"/>
      <c r="B167" s="27"/>
      <c r="C167" s="22"/>
      <c r="D167" s="22"/>
    </row>
    <row r="168" ht="15.75" customHeight="1">
      <c r="A168" s="34"/>
      <c r="B168" s="27"/>
      <c r="C168" s="22"/>
      <c r="D168" s="22"/>
    </row>
    <row r="169" ht="15.75" customHeight="1">
      <c r="A169" s="34"/>
      <c r="B169" s="27"/>
      <c r="C169" s="22"/>
      <c r="D169" s="22"/>
    </row>
    <row r="170" ht="15.75" customHeight="1">
      <c r="A170" s="34"/>
      <c r="B170" s="27"/>
      <c r="C170" s="22"/>
      <c r="D170" s="22"/>
    </row>
    <row r="171" ht="15.75" customHeight="1">
      <c r="A171" s="34"/>
      <c r="B171" s="27"/>
      <c r="C171" s="22"/>
      <c r="D171" s="22"/>
    </row>
    <row r="172" ht="15.75" customHeight="1">
      <c r="A172" s="34"/>
      <c r="B172" s="27"/>
      <c r="C172" s="22"/>
      <c r="D172" s="22"/>
    </row>
    <row r="173" ht="15.75" customHeight="1">
      <c r="A173" s="34"/>
      <c r="B173" s="27"/>
      <c r="C173" s="22"/>
      <c r="D173" s="22"/>
    </row>
    <row r="174" ht="15.75" customHeight="1">
      <c r="A174" s="34"/>
      <c r="B174" s="27"/>
      <c r="C174" s="22"/>
      <c r="D174" s="22"/>
    </row>
    <row r="175" ht="15.75" customHeight="1">
      <c r="A175" s="34"/>
      <c r="B175" s="27"/>
      <c r="C175" s="22"/>
      <c r="D175" s="22"/>
    </row>
    <row r="176" ht="15.75" customHeight="1">
      <c r="A176" s="34"/>
      <c r="B176" s="27"/>
      <c r="C176" s="22"/>
      <c r="D176" s="22"/>
    </row>
    <row r="177" ht="15.75" customHeight="1">
      <c r="A177" s="34"/>
      <c r="B177" s="27"/>
      <c r="C177" s="22"/>
      <c r="D177" s="22"/>
    </row>
    <row r="178" ht="15.75" customHeight="1">
      <c r="A178" s="34"/>
      <c r="B178" s="27"/>
      <c r="C178" s="22"/>
      <c r="D178" s="22"/>
    </row>
    <row r="179" ht="15.75" customHeight="1">
      <c r="A179" s="34"/>
      <c r="B179" s="27"/>
      <c r="C179" s="22"/>
      <c r="D179" s="22"/>
    </row>
    <row r="180" ht="15.75" customHeight="1">
      <c r="A180" s="34"/>
      <c r="B180" s="27"/>
      <c r="C180" s="22"/>
      <c r="D180" s="22"/>
    </row>
    <row r="181" ht="15.75" customHeight="1">
      <c r="A181" s="34"/>
      <c r="B181" s="27"/>
      <c r="C181" s="22"/>
      <c r="D181" s="22"/>
    </row>
    <row r="182" ht="15.75" customHeight="1">
      <c r="A182" s="34"/>
      <c r="B182" s="27"/>
      <c r="C182" s="22"/>
      <c r="D182" s="22"/>
    </row>
    <row r="183" ht="15.75" customHeight="1">
      <c r="A183" s="34"/>
      <c r="B183" s="27"/>
      <c r="C183" s="22"/>
      <c r="D183" s="22"/>
    </row>
    <row r="184" ht="15.75" customHeight="1">
      <c r="A184" s="34"/>
      <c r="B184" s="27"/>
      <c r="C184" s="22"/>
      <c r="D184" s="22"/>
    </row>
    <row r="185" ht="15.75" customHeight="1">
      <c r="A185" s="34"/>
      <c r="B185" s="27"/>
      <c r="C185" s="22"/>
      <c r="D185" s="22"/>
    </row>
    <row r="186" ht="15.75" customHeight="1">
      <c r="A186" s="34"/>
      <c r="B186" s="27"/>
      <c r="C186" s="22"/>
      <c r="D186" s="22"/>
    </row>
    <row r="187" ht="15.75" customHeight="1">
      <c r="A187" s="34"/>
      <c r="B187" s="27"/>
      <c r="C187" s="22"/>
      <c r="D187" s="22"/>
    </row>
    <row r="188" ht="15.75" customHeight="1">
      <c r="A188" s="34"/>
      <c r="B188" s="27"/>
      <c r="C188" s="22"/>
      <c r="D188" s="22"/>
    </row>
    <row r="189" ht="15.75" customHeight="1">
      <c r="A189" s="34"/>
      <c r="B189" s="27"/>
      <c r="C189" s="22"/>
      <c r="D189" s="22"/>
    </row>
    <row r="190" ht="15.75" customHeight="1">
      <c r="A190" s="34"/>
      <c r="B190" s="27"/>
      <c r="C190" s="22"/>
      <c r="D190" s="22"/>
    </row>
    <row r="191" ht="15.75" customHeight="1">
      <c r="A191" s="34"/>
      <c r="B191" s="27"/>
      <c r="C191" s="22"/>
      <c r="D191" s="22"/>
    </row>
    <row r="192" ht="15.75" customHeight="1">
      <c r="A192" s="34"/>
      <c r="B192" s="27"/>
      <c r="C192" s="22"/>
      <c r="D192" s="22"/>
    </row>
    <row r="193" ht="15.75" customHeight="1">
      <c r="A193" s="34"/>
      <c r="B193" s="27"/>
      <c r="C193" s="22"/>
      <c r="D193" s="22"/>
    </row>
    <row r="194" ht="15.75" customHeight="1">
      <c r="A194" s="34"/>
      <c r="B194" s="27"/>
      <c r="C194" s="22"/>
      <c r="D194" s="22"/>
    </row>
    <row r="195" ht="15.75" customHeight="1">
      <c r="A195" s="34"/>
      <c r="B195" s="27"/>
      <c r="C195" s="22"/>
      <c r="D195" s="22"/>
    </row>
    <row r="196" ht="15.75" customHeight="1">
      <c r="A196" s="34"/>
      <c r="B196" s="27"/>
      <c r="C196" s="22"/>
      <c r="D196" s="22"/>
    </row>
    <row r="197" ht="15.75" customHeight="1">
      <c r="A197" s="34"/>
      <c r="B197" s="27"/>
      <c r="C197" s="22"/>
      <c r="D197" s="22"/>
    </row>
    <row r="198" ht="15.75" customHeight="1">
      <c r="A198" s="34"/>
      <c r="B198" s="27"/>
      <c r="C198" s="22"/>
      <c r="D198" s="22"/>
    </row>
    <row r="199" ht="15.75" customHeight="1">
      <c r="A199" s="34"/>
      <c r="B199" s="27"/>
      <c r="C199" s="22"/>
      <c r="D199" s="22"/>
    </row>
    <row r="200" ht="15.75" customHeight="1">
      <c r="A200" s="34"/>
      <c r="B200" s="27"/>
      <c r="C200" s="22"/>
      <c r="D200" s="22"/>
    </row>
    <row r="201" ht="15.75" customHeight="1">
      <c r="A201" s="34"/>
      <c r="B201" s="27"/>
      <c r="C201" s="22"/>
      <c r="D201" s="22"/>
    </row>
    <row r="202" ht="15.75" customHeight="1">
      <c r="A202" s="34"/>
      <c r="B202" s="27"/>
      <c r="C202" s="22"/>
      <c r="D202" s="22"/>
    </row>
    <row r="203" ht="15.75" customHeight="1">
      <c r="A203" s="34"/>
      <c r="B203" s="27"/>
      <c r="C203" s="22"/>
      <c r="D203" s="22"/>
    </row>
    <row r="204" ht="15.75" customHeight="1">
      <c r="A204" s="34"/>
      <c r="B204" s="27"/>
      <c r="C204" s="22"/>
      <c r="D204" s="22"/>
    </row>
    <row r="205" ht="15.75" customHeight="1">
      <c r="A205" s="34"/>
      <c r="B205" s="27"/>
      <c r="C205" s="22"/>
      <c r="D205" s="22"/>
    </row>
    <row r="206" ht="15.75" customHeight="1">
      <c r="A206" s="34"/>
      <c r="B206" s="27"/>
      <c r="C206" s="22"/>
      <c r="D206" s="22"/>
    </row>
    <row r="207" ht="15.75" customHeight="1">
      <c r="A207" s="34"/>
      <c r="B207" s="27"/>
      <c r="C207" s="22"/>
      <c r="D207" s="22"/>
    </row>
    <row r="208" ht="15.75" customHeight="1">
      <c r="A208" s="34"/>
      <c r="B208" s="27"/>
      <c r="C208" s="22"/>
      <c r="D208" s="22"/>
    </row>
    <row r="209" ht="15.75" customHeight="1">
      <c r="A209" s="34"/>
      <c r="B209" s="27"/>
      <c r="C209" s="22"/>
      <c r="D209" s="22"/>
    </row>
    <row r="210" ht="15.75" customHeight="1">
      <c r="A210" s="34"/>
      <c r="B210" s="27"/>
      <c r="C210" s="22"/>
      <c r="D210" s="22"/>
    </row>
    <row r="211" ht="15.75" customHeight="1">
      <c r="A211" s="34"/>
      <c r="B211" s="27"/>
      <c r="C211" s="22"/>
      <c r="D211" s="22"/>
    </row>
    <row r="212" ht="15.75" customHeight="1">
      <c r="A212" s="34"/>
      <c r="B212" s="27"/>
      <c r="C212" s="22"/>
      <c r="D212" s="22"/>
    </row>
    <row r="213" ht="15.75" customHeight="1">
      <c r="A213" s="34"/>
      <c r="B213" s="27"/>
      <c r="C213" s="22"/>
      <c r="D213" s="22"/>
    </row>
    <row r="214" ht="15.75" customHeight="1">
      <c r="A214" s="34"/>
      <c r="B214" s="27"/>
      <c r="C214" s="22"/>
      <c r="D214" s="22"/>
    </row>
    <row r="215" ht="15.75" customHeight="1">
      <c r="A215" s="34"/>
      <c r="B215" s="27"/>
      <c r="C215" s="22"/>
      <c r="D215" s="22"/>
    </row>
    <row r="216" ht="15.75" customHeight="1">
      <c r="A216" s="34"/>
      <c r="B216" s="27"/>
      <c r="C216" s="22"/>
      <c r="D216" s="22"/>
    </row>
    <row r="217" ht="15.75" customHeight="1">
      <c r="A217" s="34"/>
      <c r="B217" s="27"/>
      <c r="C217" s="22"/>
      <c r="D217" s="22"/>
    </row>
    <row r="218" ht="15.75" customHeight="1">
      <c r="A218" s="34"/>
      <c r="B218" s="27"/>
      <c r="C218" s="22"/>
      <c r="D218" s="22"/>
    </row>
    <row r="219" ht="15.75" customHeight="1">
      <c r="A219" s="34"/>
      <c r="B219" s="27"/>
      <c r="C219" s="22"/>
      <c r="D219" s="22"/>
    </row>
    <row r="220" ht="15.75" customHeight="1">
      <c r="A220" s="34"/>
      <c r="B220" s="27"/>
      <c r="C220" s="22"/>
      <c r="D220" s="2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1" max="11" width="14.25"/>
  </cols>
  <sheetData>
    <row r="1">
      <c r="A1" s="35" t="s">
        <v>366</v>
      </c>
      <c r="B1" s="35" t="s">
        <v>367</v>
      </c>
      <c r="C1" s="36" t="s">
        <v>368</v>
      </c>
      <c r="D1" s="36" t="s">
        <v>369</v>
      </c>
      <c r="E1" s="37" t="s">
        <v>370</v>
      </c>
      <c r="F1" s="37" t="s">
        <v>371</v>
      </c>
      <c r="G1" s="38" t="s">
        <v>372</v>
      </c>
      <c r="H1" s="38" t="s">
        <v>373</v>
      </c>
      <c r="I1" s="39" t="s">
        <v>374</v>
      </c>
      <c r="J1" s="39" t="s">
        <v>375</v>
      </c>
      <c r="K1" s="40" t="s">
        <v>376</v>
      </c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>
      <c r="A2" s="42">
        <v>10.0</v>
      </c>
      <c r="B2" s="43" t="s">
        <v>377</v>
      </c>
      <c r="C2" s="42">
        <v>999.0</v>
      </c>
      <c r="D2" s="44">
        <v>1.0</v>
      </c>
      <c r="E2" s="44">
        <v>1.0</v>
      </c>
      <c r="F2" s="45">
        <v>0.75</v>
      </c>
      <c r="G2" s="45">
        <v>0.75</v>
      </c>
      <c r="H2" s="46">
        <v>0.5</v>
      </c>
      <c r="I2" s="46">
        <v>0.5</v>
      </c>
      <c r="J2" s="47">
        <v>0.0</v>
      </c>
      <c r="K2" s="48" t="s">
        <v>378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24" t="s">
        <v>0</v>
      </c>
      <c r="B1" s="9" t="s">
        <v>1</v>
      </c>
    </row>
    <row r="2" ht="15.75" customHeight="1">
      <c r="A2" s="8">
        <v>10101.0</v>
      </c>
      <c r="B2" s="9" t="s">
        <v>16</v>
      </c>
    </row>
    <row r="3" ht="15.75" customHeight="1">
      <c r="A3" s="8">
        <v>10102.0</v>
      </c>
      <c r="B3" s="9" t="s">
        <v>17</v>
      </c>
    </row>
    <row r="4" ht="15.75" customHeight="1">
      <c r="A4" s="8">
        <v>10103.0</v>
      </c>
      <c r="B4" s="9" t="s">
        <v>18</v>
      </c>
    </row>
    <row r="5" ht="15.75" customHeight="1">
      <c r="A5" s="8">
        <v>10201.0</v>
      </c>
      <c r="B5" s="9" t="s">
        <v>19</v>
      </c>
    </row>
    <row r="6" ht="15.75" customHeight="1">
      <c r="A6" s="8">
        <v>10202.0</v>
      </c>
      <c r="B6" s="9" t="s">
        <v>20</v>
      </c>
    </row>
    <row r="7" ht="15.75" customHeight="1">
      <c r="A7" s="8">
        <v>10301.0</v>
      </c>
      <c r="B7" s="9" t="s">
        <v>21</v>
      </c>
    </row>
    <row r="8" ht="15.75" customHeight="1">
      <c r="A8" s="8">
        <v>10302.0</v>
      </c>
      <c r="B8" s="9" t="s">
        <v>22</v>
      </c>
    </row>
    <row r="9" ht="15.75" customHeight="1">
      <c r="A9" s="8">
        <v>10303.0</v>
      </c>
      <c r="B9" s="9" t="s">
        <v>23</v>
      </c>
    </row>
    <row r="10" ht="15.75" customHeight="1">
      <c r="A10" s="8">
        <v>10304.0</v>
      </c>
      <c r="B10" s="9" t="s">
        <v>24</v>
      </c>
    </row>
    <row r="11" ht="15.75" customHeight="1">
      <c r="A11" s="8">
        <v>10401.0</v>
      </c>
      <c r="B11" s="9" t="s">
        <v>25</v>
      </c>
    </row>
    <row r="12" ht="15.75" customHeight="1">
      <c r="A12" s="8">
        <v>10402.0</v>
      </c>
      <c r="B12" s="9" t="s">
        <v>26</v>
      </c>
    </row>
    <row r="13" ht="15.75" customHeight="1">
      <c r="A13" s="8">
        <v>10403.0</v>
      </c>
      <c r="B13" s="9" t="s">
        <v>27</v>
      </c>
    </row>
    <row r="14" ht="15.75" customHeight="1">
      <c r="A14" s="8">
        <v>10404.0</v>
      </c>
      <c r="B14" s="9" t="s">
        <v>28</v>
      </c>
    </row>
    <row r="15" ht="15.75" customHeight="1">
      <c r="A15" s="8">
        <v>10405.0</v>
      </c>
      <c r="B15" s="9" t="s">
        <v>29</v>
      </c>
    </row>
    <row r="16" ht="15.75" customHeight="1">
      <c r="A16" s="8">
        <v>10501.0</v>
      </c>
      <c r="B16" s="9" t="s">
        <v>30</v>
      </c>
    </row>
    <row r="17" ht="15.75" customHeight="1">
      <c r="A17" s="8">
        <v>10502.0</v>
      </c>
      <c r="B17" s="9" t="s">
        <v>31</v>
      </c>
    </row>
    <row r="18" ht="15.75" customHeight="1">
      <c r="A18" s="8">
        <v>10601.0</v>
      </c>
      <c r="B18" s="9" t="s">
        <v>32</v>
      </c>
    </row>
    <row r="19" ht="15.75" customHeight="1">
      <c r="A19" s="8">
        <v>10602.0</v>
      </c>
      <c r="B19" s="9" t="s">
        <v>33</v>
      </c>
    </row>
    <row r="20" ht="15.75" customHeight="1">
      <c r="A20" s="8">
        <v>10701.0</v>
      </c>
      <c r="B20" s="9" t="s">
        <v>34</v>
      </c>
    </row>
    <row r="21" ht="15.75" customHeight="1">
      <c r="A21" s="8">
        <v>10702.0</v>
      </c>
      <c r="B21" s="9" t="s">
        <v>35</v>
      </c>
    </row>
    <row r="22" ht="15.75" customHeight="1">
      <c r="A22" s="8">
        <v>10703.0</v>
      </c>
      <c r="B22" s="9" t="s">
        <v>36</v>
      </c>
    </row>
    <row r="23" ht="15.75" customHeight="1">
      <c r="A23" s="8">
        <v>10704.0</v>
      </c>
      <c r="B23" s="9" t="s">
        <v>37</v>
      </c>
    </row>
    <row r="24" ht="15.75" customHeight="1">
      <c r="A24" s="8">
        <v>10801.0</v>
      </c>
      <c r="B24" s="9" t="s">
        <v>38</v>
      </c>
    </row>
    <row r="25" ht="15.75" customHeight="1">
      <c r="A25" s="8">
        <v>10901.0</v>
      </c>
      <c r="B25" s="9" t="s">
        <v>39</v>
      </c>
    </row>
    <row r="26" ht="15.75" customHeight="1">
      <c r="A26" s="8">
        <v>10902.0</v>
      </c>
      <c r="B26" s="9" t="s">
        <v>40</v>
      </c>
    </row>
    <row r="27" ht="15.75" customHeight="1">
      <c r="A27" s="8">
        <v>10903.0</v>
      </c>
      <c r="B27" s="9" t="s">
        <v>41</v>
      </c>
    </row>
    <row r="28" ht="15.75" customHeight="1">
      <c r="A28" s="8">
        <v>11001.0</v>
      </c>
      <c r="B28" s="9" t="s">
        <v>42</v>
      </c>
    </row>
    <row r="29" ht="15.75" customHeight="1">
      <c r="A29" s="8">
        <v>11002.0</v>
      </c>
      <c r="B29" s="9" t="s">
        <v>43</v>
      </c>
    </row>
    <row r="30" ht="15.75" customHeight="1">
      <c r="A30" s="8">
        <v>11003.0</v>
      </c>
      <c r="B30" s="9" t="s">
        <v>44</v>
      </c>
    </row>
    <row r="31" ht="15.75" customHeight="1">
      <c r="A31" s="8">
        <v>20101.0</v>
      </c>
      <c r="B31" s="9" t="s">
        <v>45</v>
      </c>
    </row>
    <row r="32" ht="15.75" customHeight="1">
      <c r="A32" s="8">
        <v>20102.0</v>
      </c>
      <c r="B32" s="9" t="s">
        <v>46</v>
      </c>
    </row>
    <row r="33" ht="15.75" customHeight="1">
      <c r="A33" s="8">
        <v>20103.0</v>
      </c>
      <c r="B33" s="9" t="s">
        <v>47</v>
      </c>
    </row>
    <row r="34" ht="15.75" customHeight="1">
      <c r="A34" s="8">
        <v>20104.0</v>
      </c>
      <c r="B34" s="9" t="s">
        <v>48</v>
      </c>
    </row>
    <row r="35" ht="15.75" customHeight="1">
      <c r="A35" s="8">
        <v>20105.0</v>
      </c>
      <c r="B35" s="9" t="s">
        <v>49</v>
      </c>
    </row>
    <row r="36" ht="15.75" customHeight="1">
      <c r="A36" s="8">
        <v>20201.0</v>
      </c>
      <c r="B36" s="9" t="s">
        <v>50</v>
      </c>
    </row>
    <row r="37" ht="15.75" customHeight="1">
      <c r="A37" s="8">
        <v>20202.0</v>
      </c>
      <c r="B37" s="9" t="s">
        <v>51</v>
      </c>
    </row>
    <row r="38" ht="15.75" customHeight="1">
      <c r="A38" s="8">
        <v>20203.0</v>
      </c>
      <c r="B38" s="9" t="s">
        <v>52</v>
      </c>
    </row>
    <row r="39" ht="15.75" customHeight="1">
      <c r="A39" s="8">
        <v>20204.0</v>
      </c>
      <c r="B39" s="9" t="s">
        <v>53</v>
      </c>
    </row>
    <row r="40" ht="15.75" customHeight="1">
      <c r="A40" s="8">
        <v>20205.0</v>
      </c>
      <c r="B40" s="9" t="s">
        <v>54</v>
      </c>
    </row>
    <row r="41" ht="15.75" customHeight="1">
      <c r="A41" s="8">
        <v>20206.0</v>
      </c>
      <c r="B41" s="9" t="s">
        <v>55</v>
      </c>
    </row>
    <row r="42" ht="15.75" customHeight="1">
      <c r="A42" s="8">
        <v>20301.0</v>
      </c>
      <c r="B42" s="9" t="s">
        <v>56</v>
      </c>
    </row>
    <row r="43" ht="15.75" customHeight="1">
      <c r="A43" s="8">
        <v>20302.0</v>
      </c>
      <c r="B43" s="9" t="s">
        <v>57</v>
      </c>
    </row>
    <row r="44" ht="15.75" customHeight="1">
      <c r="A44" s="8">
        <v>20303.0</v>
      </c>
      <c r="B44" s="9" t="s">
        <v>58</v>
      </c>
    </row>
    <row r="45" ht="15.75" customHeight="1">
      <c r="A45" s="8">
        <v>20304.0</v>
      </c>
      <c r="B45" s="9" t="s">
        <v>59</v>
      </c>
    </row>
    <row r="46" ht="15.75" customHeight="1">
      <c r="A46" s="8">
        <v>20305.0</v>
      </c>
      <c r="B46" s="9" t="s">
        <v>60</v>
      </c>
    </row>
    <row r="47" ht="15.75" customHeight="1">
      <c r="A47" s="8">
        <v>20306.0</v>
      </c>
      <c r="B47" s="9" t="s">
        <v>61</v>
      </c>
    </row>
    <row r="48" ht="15.75" customHeight="1">
      <c r="A48" s="8">
        <v>20307.0</v>
      </c>
      <c r="B48" s="9" t="s">
        <v>62</v>
      </c>
    </row>
    <row r="49" ht="15.75" customHeight="1">
      <c r="A49" s="8">
        <v>20308.0</v>
      </c>
      <c r="B49" s="9" t="s">
        <v>63</v>
      </c>
    </row>
    <row r="50" ht="15.75" customHeight="1">
      <c r="A50" s="8">
        <v>20401.0</v>
      </c>
      <c r="B50" s="9" t="s">
        <v>64</v>
      </c>
    </row>
    <row r="51" ht="15.75" customHeight="1">
      <c r="A51" s="8">
        <v>20402.0</v>
      </c>
      <c r="B51" s="9" t="s">
        <v>65</v>
      </c>
    </row>
    <row r="52" ht="15.75" customHeight="1">
      <c r="A52" s="8">
        <v>20403.0</v>
      </c>
      <c r="B52" s="9" t="s">
        <v>66</v>
      </c>
    </row>
    <row r="53" ht="15.75" customHeight="1">
      <c r="A53" s="8">
        <v>20404.0</v>
      </c>
      <c r="B53" s="9" t="s">
        <v>67</v>
      </c>
    </row>
    <row r="54" ht="15.75" customHeight="1">
      <c r="A54" s="8">
        <v>20405.0</v>
      </c>
      <c r="B54" s="9" t="s">
        <v>68</v>
      </c>
    </row>
    <row r="55" ht="15.75" customHeight="1">
      <c r="A55" s="8">
        <v>20501.0</v>
      </c>
      <c r="B55" s="9" t="s">
        <v>69</v>
      </c>
    </row>
    <row r="56" ht="15.75" customHeight="1">
      <c r="A56" s="8">
        <v>20502.0</v>
      </c>
      <c r="B56" s="9" t="s">
        <v>70</v>
      </c>
    </row>
    <row r="57" ht="15.75" customHeight="1">
      <c r="A57" s="8">
        <v>20503.0</v>
      </c>
      <c r="B57" s="9" t="s">
        <v>71</v>
      </c>
    </row>
    <row r="58" ht="15.75" customHeight="1">
      <c r="A58" s="8">
        <v>20601.0</v>
      </c>
      <c r="B58" s="9" t="s">
        <v>72</v>
      </c>
    </row>
    <row r="59" ht="15.75" customHeight="1">
      <c r="A59" s="8">
        <v>20602.0</v>
      </c>
      <c r="B59" s="9" t="s">
        <v>73</v>
      </c>
    </row>
    <row r="60" ht="15.75" customHeight="1">
      <c r="A60" s="8">
        <v>20603.0</v>
      </c>
      <c r="B60" s="9" t="s">
        <v>74</v>
      </c>
    </row>
    <row r="61" ht="15.75" customHeight="1">
      <c r="A61" s="8">
        <v>20604.0</v>
      </c>
      <c r="B61" s="9" t="s">
        <v>75</v>
      </c>
    </row>
    <row r="62" ht="15.75" customHeight="1">
      <c r="A62" s="8">
        <v>20605.0</v>
      </c>
      <c r="B62" s="9" t="s">
        <v>76</v>
      </c>
    </row>
    <row r="63" ht="15.75" customHeight="1">
      <c r="A63" s="8">
        <v>20606.0</v>
      </c>
      <c r="B63" s="9" t="s">
        <v>77</v>
      </c>
    </row>
    <row r="64" ht="15.75" customHeight="1">
      <c r="A64" s="8">
        <v>20607.0</v>
      </c>
      <c r="B64" s="9" t="s">
        <v>78</v>
      </c>
    </row>
    <row r="65" ht="15.75" customHeight="1">
      <c r="A65" s="8">
        <v>20608.0</v>
      </c>
      <c r="B65" s="9" t="s">
        <v>79</v>
      </c>
    </row>
    <row r="66" ht="15.75" customHeight="1">
      <c r="A66" s="8">
        <v>20701.0</v>
      </c>
      <c r="B66" s="9" t="s">
        <v>80</v>
      </c>
    </row>
    <row r="67" ht="15.75" customHeight="1">
      <c r="A67" s="8">
        <v>20702.0</v>
      </c>
      <c r="B67" s="9" t="s">
        <v>81</v>
      </c>
    </row>
    <row r="68" ht="15.75" customHeight="1">
      <c r="A68" s="8">
        <v>20801.0</v>
      </c>
      <c r="B68" s="9" t="s">
        <v>82</v>
      </c>
    </row>
    <row r="69" ht="15.75" customHeight="1">
      <c r="A69" s="8">
        <v>20802.0</v>
      </c>
      <c r="B69" s="9" t="s">
        <v>83</v>
      </c>
    </row>
    <row r="70" ht="15.75" customHeight="1">
      <c r="A70" s="8">
        <v>20803.0</v>
      </c>
      <c r="B70" s="9" t="s">
        <v>84</v>
      </c>
    </row>
    <row r="71" ht="15.75" customHeight="1">
      <c r="A71" s="8">
        <v>20804.0</v>
      </c>
      <c r="B71" s="9" t="s">
        <v>85</v>
      </c>
    </row>
    <row r="72" ht="15.75" customHeight="1">
      <c r="A72" s="8">
        <v>20805.0</v>
      </c>
      <c r="B72" s="9" t="s">
        <v>86</v>
      </c>
    </row>
    <row r="73" ht="15.75" customHeight="1">
      <c r="A73" s="8">
        <v>20806.0</v>
      </c>
      <c r="B73" s="9" t="s">
        <v>87</v>
      </c>
    </row>
    <row r="74" ht="15.75" customHeight="1">
      <c r="A74" s="8">
        <v>20807.0</v>
      </c>
      <c r="B74" s="9" t="s">
        <v>88</v>
      </c>
    </row>
    <row r="75" ht="15.75" customHeight="1">
      <c r="A75" s="8">
        <v>20901.0</v>
      </c>
      <c r="B75" s="9" t="s">
        <v>89</v>
      </c>
    </row>
    <row r="76" ht="15.75" customHeight="1">
      <c r="A76" s="8">
        <v>20902.0</v>
      </c>
      <c r="B76" s="9" t="s">
        <v>90</v>
      </c>
    </row>
    <row r="77" ht="15.75" customHeight="1">
      <c r="A77" s="8">
        <v>20903.0</v>
      </c>
      <c r="B77" s="9" t="s">
        <v>91</v>
      </c>
    </row>
    <row r="78" ht="15.75" customHeight="1">
      <c r="A78" s="8">
        <v>20904.0</v>
      </c>
      <c r="B78" s="9" t="s">
        <v>92</v>
      </c>
    </row>
    <row r="79" ht="15.75" customHeight="1">
      <c r="A79" s="8">
        <v>20905.0</v>
      </c>
      <c r="B79" s="9" t="s">
        <v>93</v>
      </c>
    </row>
    <row r="80" ht="15.75" customHeight="1">
      <c r="A80" s="8">
        <v>21001.0</v>
      </c>
      <c r="B80" s="9" t="s">
        <v>94</v>
      </c>
    </row>
    <row r="81" ht="15.75" customHeight="1">
      <c r="A81" s="8">
        <v>21002.0</v>
      </c>
      <c r="B81" s="9" t="s">
        <v>95</v>
      </c>
    </row>
    <row r="82" ht="15.75" customHeight="1">
      <c r="A82" s="8">
        <v>21003.0</v>
      </c>
      <c r="B82" s="9" t="s">
        <v>96</v>
      </c>
    </row>
    <row r="83" ht="15.75" customHeight="1">
      <c r="A83" s="8">
        <v>21004.0</v>
      </c>
      <c r="B83" s="9" t="s">
        <v>97</v>
      </c>
    </row>
    <row r="84" ht="15.75" customHeight="1">
      <c r="A84" s="8">
        <v>21005.0</v>
      </c>
      <c r="B84" s="9" t="s">
        <v>98</v>
      </c>
    </row>
    <row r="85" ht="15.75" customHeight="1">
      <c r="A85" s="8">
        <v>21006.0</v>
      </c>
      <c r="B85" s="9" t="s">
        <v>99</v>
      </c>
    </row>
    <row r="86" ht="15.75" customHeight="1">
      <c r="A86" s="8">
        <v>21101.0</v>
      </c>
      <c r="B86" s="9" t="s">
        <v>100</v>
      </c>
    </row>
    <row r="87" ht="15.75" customHeight="1">
      <c r="A87" s="8">
        <v>21102.0</v>
      </c>
      <c r="B87" s="9" t="s">
        <v>101</v>
      </c>
    </row>
    <row r="88" ht="15.75" customHeight="1">
      <c r="A88" s="8">
        <v>21103.0</v>
      </c>
      <c r="B88" s="9" t="s">
        <v>102</v>
      </c>
    </row>
    <row r="89" ht="15.75" customHeight="1">
      <c r="A89" s="8">
        <v>21104.0</v>
      </c>
      <c r="B89" s="9" t="s">
        <v>103</v>
      </c>
    </row>
    <row r="90" ht="15.75" customHeight="1">
      <c r="A90" s="8">
        <v>21105.0</v>
      </c>
      <c r="B90" s="9" t="s">
        <v>104</v>
      </c>
    </row>
    <row r="91" ht="15.75" customHeight="1">
      <c r="A91" s="8">
        <v>21201.0</v>
      </c>
      <c r="B91" s="9" t="s">
        <v>105</v>
      </c>
    </row>
    <row r="92" ht="15.75" customHeight="1">
      <c r="A92" s="8">
        <v>21202.0</v>
      </c>
      <c r="B92" s="9" t="s">
        <v>106</v>
      </c>
    </row>
    <row r="93" ht="15.75" customHeight="1">
      <c r="A93" s="8">
        <v>21203.0</v>
      </c>
      <c r="B93" s="9" t="s">
        <v>107</v>
      </c>
    </row>
    <row r="94" ht="15.75" customHeight="1">
      <c r="A94" s="8">
        <v>21204.0</v>
      </c>
      <c r="B94" s="9" t="s">
        <v>108</v>
      </c>
    </row>
    <row r="95" ht="15.75" customHeight="1">
      <c r="A95" s="8">
        <v>21301.0</v>
      </c>
      <c r="B95" s="9" t="s">
        <v>109</v>
      </c>
    </row>
    <row r="96" ht="15.75" customHeight="1">
      <c r="A96" s="8">
        <v>21302.0</v>
      </c>
      <c r="B96" s="9" t="s">
        <v>110</v>
      </c>
    </row>
    <row r="97" ht="15.75" customHeight="1">
      <c r="A97" s="8">
        <v>21303.0</v>
      </c>
      <c r="B97" s="9" t="s">
        <v>111</v>
      </c>
    </row>
    <row r="98" ht="15.75" customHeight="1">
      <c r="A98" s="8">
        <v>21304.0</v>
      </c>
      <c r="B98" s="9" t="s">
        <v>112</v>
      </c>
    </row>
    <row r="99" ht="15.75" customHeight="1">
      <c r="A99" s="8">
        <v>21305.0</v>
      </c>
      <c r="B99" s="9" t="s">
        <v>113</v>
      </c>
    </row>
    <row r="100" ht="15.75" customHeight="1">
      <c r="A100" s="8">
        <v>21306.0</v>
      </c>
      <c r="B100" s="9" t="s">
        <v>114</v>
      </c>
    </row>
    <row r="101" ht="15.75" customHeight="1">
      <c r="A101" s="8">
        <v>21307.0</v>
      </c>
      <c r="B101" s="9" t="s">
        <v>115</v>
      </c>
    </row>
    <row r="102" ht="15.75" customHeight="1">
      <c r="A102" s="8">
        <v>21401.0</v>
      </c>
      <c r="B102" s="9" t="s">
        <v>116</v>
      </c>
    </row>
    <row r="103" ht="15.75" customHeight="1">
      <c r="A103" s="8">
        <v>21402.0</v>
      </c>
      <c r="B103" s="9" t="s">
        <v>117</v>
      </c>
    </row>
    <row r="104" ht="15.75" customHeight="1">
      <c r="A104" s="8">
        <v>21501.0</v>
      </c>
      <c r="B104" s="9" t="s">
        <v>118</v>
      </c>
    </row>
    <row r="105" ht="15.75" customHeight="1">
      <c r="A105" s="8">
        <v>21502.0</v>
      </c>
      <c r="B105" s="9" t="s">
        <v>119</v>
      </c>
    </row>
    <row r="106" ht="15.75" customHeight="1">
      <c r="A106" s="8">
        <v>21601.0</v>
      </c>
      <c r="B106" s="9" t="s">
        <v>120</v>
      </c>
    </row>
    <row r="107" ht="15.75" customHeight="1">
      <c r="A107" s="8">
        <v>21602.0</v>
      </c>
      <c r="B107" s="9" t="s">
        <v>121</v>
      </c>
    </row>
    <row r="108" ht="15.75" customHeight="1">
      <c r="A108" s="8">
        <v>21701.0</v>
      </c>
      <c r="B108" s="9" t="s">
        <v>122</v>
      </c>
    </row>
    <row r="109" ht="15.75" customHeight="1">
      <c r="A109" s="8">
        <v>21702.0</v>
      </c>
      <c r="B109" s="9" t="s">
        <v>123</v>
      </c>
    </row>
    <row r="110" ht="15.75" customHeight="1">
      <c r="A110" s="8">
        <v>21703.0</v>
      </c>
      <c r="B110" s="9" t="s">
        <v>124</v>
      </c>
    </row>
    <row r="111" ht="15.75" customHeight="1">
      <c r="A111" s="8">
        <v>21801.0</v>
      </c>
      <c r="B111" s="9" t="s">
        <v>125</v>
      </c>
    </row>
    <row r="112" ht="15.75" customHeight="1">
      <c r="A112" s="8">
        <v>21802.0</v>
      </c>
      <c r="B112" s="9" t="s">
        <v>126</v>
      </c>
    </row>
    <row r="113" ht="15.75" customHeight="1">
      <c r="A113" s="8">
        <v>21803.0</v>
      </c>
      <c r="B113" s="9" t="s">
        <v>127</v>
      </c>
    </row>
    <row r="114" ht="15.75" customHeight="1">
      <c r="A114" s="8">
        <v>21901.0</v>
      </c>
      <c r="B114" s="9" t="s">
        <v>128</v>
      </c>
    </row>
    <row r="115" ht="15.75" customHeight="1">
      <c r="A115" s="8">
        <v>21902.0</v>
      </c>
      <c r="B115" s="9" t="s">
        <v>129</v>
      </c>
    </row>
    <row r="116" ht="15.75" customHeight="1">
      <c r="A116" s="8">
        <v>22001.0</v>
      </c>
      <c r="B116" s="9" t="s">
        <v>130</v>
      </c>
    </row>
    <row r="117" ht="15.75" customHeight="1">
      <c r="A117" s="8">
        <v>22002.0</v>
      </c>
      <c r="B117" s="9" t="s">
        <v>131</v>
      </c>
    </row>
    <row r="118" ht="15.75" customHeight="1">
      <c r="A118" s="8">
        <v>30101.0</v>
      </c>
      <c r="B118" s="9" t="s">
        <v>132</v>
      </c>
    </row>
    <row r="119" ht="15.75" customHeight="1">
      <c r="A119" s="8">
        <v>30201.0</v>
      </c>
      <c r="B119" s="9" t="s">
        <v>133</v>
      </c>
    </row>
    <row r="120" ht="15.75" customHeight="1">
      <c r="A120" s="8">
        <v>30202.0</v>
      </c>
      <c r="B120" s="9" t="s">
        <v>134</v>
      </c>
    </row>
    <row r="121" ht="15.75" customHeight="1">
      <c r="A121" s="8">
        <v>30203.0</v>
      </c>
      <c r="B121" s="9" t="s">
        <v>135</v>
      </c>
    </row>
    <row r="122" ht="15.75" customHeight="1">
      <c r="A122" s="8">
        <v>30301.0</v>
      </c>
      <c r="B122" s="9" t="s">
        <v>136</v>
      </c>
    </row>
    <row r="123" ht="15.75" customHeight="1">
      <c r="A123" s="8">
        <v>30302.0</v>
      </c>
      <c r="B123" s="9" t="s">
        <v>137</v>
      </c>
    </row>
    <row r="124" ht="15.75" customHeight="1">
      <c r="A124" s="8">
        <v>30303.0</v>
      </c>
      <c r="B124" s="9" t="s">
        <v>138</v>
      </c>
    </row>
    <row r="125" ht="15.75" customHeight="1">
      <c r="A125" s="8">
        <v>30401.0</v>
      </c>
      <c r="B125" s="9" t="s">
        <v>139</v>
      </c>
    </row>
    <row r="126" ht="15.75" customHeight="1">
      <c r="A126" s="8">
        <v>30402.0</v>
      </c>
      <c r="B126" s="9" t="s">
        <v>140</v>
      </c>
    </row>
    <row r="127" ht="15.75" customHeight="1">
      <c r="A127" s="8">
        <v>30403.0</v>
      </c>
      <c r="B127" s="9" t="s">
        <v>141</v>
      </c>
    </row>
    <row r="128" ht="15.75" customHeight="1">
      <c r="A128" s="8">
        <v>30404.0</v>
      </c>
      <c r="B128" s="9" t="s">
        <v>142</v>
      </c>
    </row>
    <row r="129" ht="15.75" customHeight="1">
      <c r="A129" s="8">
        <v>30501.0</v>
      </c>
      <c r="B129" s="9" t="s">
        <v>143</v>
      </c>
    </row>
    <row r="130" ht="15.75" customHeight="1">
      <c r="A130" s="8">
        <v>30502.0</v>
      </c>
      <c r="B130" s="9" t="s">
        <v>144</v>
      </c>
    </row>
    <row r="131" ht="15.75" customHeight="1">
      <c r="A131" s="8">
        <v>30601.0</v>
      </c>
      <c r="B131" s="9" t="s">
        <v>145</v>
      </c>
    </row>
    <row r="132" ht="15.75" customHeight="1">
      <c r="A132" s="8">
        <v>30602.0</v>
      </c>
      <c r="B132" s="9" t="s">
        <v>146</v>
      </c>
    </row>
    <row r="133" ht="15.75" customHeight="1">
      <c r="A133" s="8">
        <v>30701.0</v>
      </c>
      <c r="B133" s="9" t="s">
        <v>147</v>
      </c>
    </row>
    <row r="134" ht="15.75" customHeight="1">
      <c r="A134" s="8">
        <v>30702.0</v>
      </c>
      <c r="B134" s="9" t="s">
        <v>148</v>
      </c>
    </row>
    <row r="135" ht="15.75" customHeight="1">
      <c r="A135" s="8">
        <v>30703.0</v>
      </c>
      <c r="B135" s="9" t="s">
        <v>149</v>
      </c>
    </row>
    <row r="136" ht="15.75" customHeight="1">
      <c r="A136" s="8">
        <v>30801.0</v>
      </c>
      <c r="B136" s="9" t="s">
        <v>150</v>
      </c>
    </row>
    <row r="137" ht="15.75" customHeight="1">
      <c r="A137" s="8">
        <v>30802.0</v>
      </c>
      <c r="B137" s="9" t="s">
        <v>151</v>
      </c>
    </row>
    <row r="138" ht="15.75" customHeight="1">
      <c r="A138" s="8">
        <v>30803.0</v>
      </c>
      <c r="B138" s="9" t="s">
        <v>152</v>
      </c>
    </row>
    <row r="139" ht="15.75" customHeight="1">
      <c r="A139" s="8">
        <v>30901.0</v>
      </c>
      <c r="B139" s="9" t="s">
        <v>153</v>
      </c>
    </row>
    <row r="140" ht="15.75" customHeight="1">
      <c r="A140" s="8">
        <v>30902.0</v>
      </c>
      <c r="B140" s="9" t="s">
        <v>154</v>
      </c>
    </row>
    <row r="141" ht="15.75" customHeight="1">
      <c r="A141" s="8">
        <v>30903.0</v>
      </c>
      <c r="B141" s="9" t="s">
        <v>155</v>
      </c>
    </row>
    <row r="142" ht="15.75" customHeight="1">
      <c r="A142" s="8">
        <v>30904.0</v>
      </c>
      <c r="B142" s="9" t="s">
        <v>156</v>
      </c>
    </row>
    <row r="143" ht="15.75" customHeight="1">
      <c r="A143" s="8">
        <v>30905.0</v>
      </c>
      <c r="B143" s="9" t="s">
        <v>157</v>
      </c>
    </row>
    <row r="144" ht="15.75" customHeight="1">
      <c r="A144" s="8">
        <v>31001.0</v>
      </c>
      <c r="B144" s="9" t="s">
        <v>158</v>
      </c>
    </row>
    <row r="145" ht="15.75" customHeight="1">
      <c r="A145" s="8">
        <v>31002.0</v>
      </c>
      <c r="B145" s="9" t="s">
        <v>159</v>
      </c>
    </row>
    <row r="146" ht="15.75" customHeight="1">
      <c r="A146" s="8">
        <v>31003.0</v>
      </c>
      <c r="B146" s="9" t="s">
        <v>160</v>
      </c>
    </row>
    <row r="147" ht="15.75" customHeight="1">
      <c r="A147" s="8">
        <v>31101.0</v>
      </c>
      <c r="B147" s="9" t="s">
        <v>161</v>
      </c>
    </row>
    <row r="148" ht="15.75" customHeight="1">
      <c r="A148" s="8">
        <v>31201.0</v>
      </c>
      <c r="B148" s="9" t="s">
        <v>162</v>
      </c>
    </row>
    <row r="149" ht="15.75" customHeight="1">
      <c r="A149" s="8">
        <v>31202.0</v>
      </c>
      <c r="B149" s="9" t="s">
        <v>163</v>
      </c>
    </row>
    <row r="150" ht="15.75" customHeight="1">
      <c r="A150" s="8">
        <v>31203.0</v>
      </c>
      <c r="B150" s="9" t="s">
        <v>164</v>
      </c>
    </row>
    <row r="151" ht="15.75" customHeight="1">
      <c r="A151" s="8">
        <v>31204.0</v>
      </c>
      <c r="B151" s="9" t="s">
        <v>165</v>
      </c>
    </row>
    <row r="152" ht="15.75" customHeight="1">
      <c r="A152" s="8">
        <v>31205.0</v>
      </c>
      <c r="B152" s="9" t="s">
        <v>166</v>
      </c>
    </row>
    <row r="153" ht="15.75" customHeight="1">
      <c r="A153" s="8">
        <v>31206.0</v>
      </c>
      <c r="B153" s="9" t="s">
        <v>167</v>
      </c>
    </row>
    <row r="154" ht="15.75" customHeight="1">
      <c r="A154" s="8">
        <v>31301.0</v>
      </c>
      <c r="B154" s="9" t="s">
        <v>168</v>
      </c>
    </row>
    <row r="155" ht="15.75" customHeight="1">
      <c r="A155" s="8">
        <v>31302.0</v>
      </c>
      <c r="B155" s="9" t="s">
        <v>169</v>
      </c>
    </row>
    <row r="156" ht="15.75" customHeight="1">
      <c r="A156" s="8">
        <v>31303.0</v>
      </c>
      <c r="B156" s="9" t="s">
        <v>170</v>
      </c>
    </row>
    <row r="157" ht="15.75" customHeight="1">
      <c r="A157" s="8">
        <v>31304.0</v>
      </c>
      <c r="B157" s="9" t="s">
        <v>171</v>
      </c>
    </row>
    <row r="158" ht="15.75" customHeight="1">
      <c r="A158" s="8">
        <v>31401.0</v>
      </c>
      <c r="B158" s="9" t="s">
        <v>172</v>
      </c>
    </row>
    <row r="159" ht="15.75" customHeight="1">
      <c r="A159" s="8">
        <v>31402.0</v>
      </c>
      <c r="B159" s="9" t="s">
        <v>173</v>
      </c>
    </row>
    <row r="160" ht="15.75" customHeight="1">
      <c r="A160" s="8">
        <v>31403.0</v>
      </c>
      <c r="B160" s="9" t="s">
        <v>174</v>
      </c>
    </row>
    <row r="161" ht="15.75" customHeight="1">
      <c r="A161" s="8">
        <v>31404.0</v>
      </c>
      <c r="B161" s="9" t="s">
        <v>175</v>
      </c>
    </row>
    <row r="162" ht="15.75" customHeight="1">
      <c r="A162" s="8">
        <v>31405.0</v>
      </c>
      <c r="B162" s="9" t="s">
        <v>176</v>
      </c>
    </row>
    <row r="163" ht="15.75" customHeight="1">
      <c r="A163" s="8">
        <v>31501.0</v>
      </c>
      <c r="B163" s="9" t="s">
        <v>177</v>
      </c>
    </row>
    <row r="164" ht="15.75" customHeight="1">
      <c r="A164" s="8">
        <v>31601.0</v>
      </c>
      <c r="B164" s="9" t="s">
        <v>178</v>
      </c>
    </row>
    <row r="165" ht="15.75" customHeight="1">
      <c r="A165" s="8">
        <v>31602.0</v>
      </c>
      <c r="B165" s="9" t="s">
        <v>179</v>
      </c>
    </row>
    <row r="166" ht="15.75" customHeight="1">
      <c r="A166" s="8">
        <v>40101.0</v>
      </c>
      <c r="B166" s="9" t="s">
        <v>180</v>
      </c>
    </row>
    <row r="167" ht="15.75" customHeight="1">
      <c r="A167" s="8">
        <v>40102.0</v>
      </c>
      <c r="B167" s="9" t="s">
        <v>181</v>
      </c>
    </row>
    <row r="168" ht="15.75" customHeight="1">
      <c r="A168" s="8">
        <v>40103.0</v>
      </c>
      <c r="B168" s="9" t="s">
        <v>182</v>
      </c>
    </row>
    <row r="169" ht="15.75" customHeight="1">
      <c r="A169" s="8">
        <v>40104.0</v>
      </c>
      <c r="B169" s="9" t="s">
        <v>183</v>
      </c>
    </row>
    <row r="170" ht="15.75" customHeight="1">
      <c r="A170" s="8">
        <v>40201.0</v>
      </c>
      <c r="B170" s="9" t="s">
        <v>184</v>
      </c>
    </row>
    <row r="171" ht="15.75" customHeight="1">
      <c r="A171" s="8">
        <v>40202.0</v>
      </c>
      <c r="B171" s="9" t="s">
        <v>185</v>
      </c>
    </row>
    <row r="172" ht="15.75" customHeight="1">
      <c r="A172" s="8">
        <v>40301.0</v>
      </c>
      <c r="B172" s="9" t="s">
        <v>186</v>
      </c>
    </row>
    <row r="173" ht="15.75" customHeight="1">
      <c r="A173" s="8">
        <v>40302.0</v>
      </c>
      <c r="B173" s="9" t="s">
        <v>187</v>
      </c>
    </row>
    <row r="174" ht="15.75" customHeight="1">
      <c r="A174" s="8">
        <v>40401.0</v>
      </c>
      <c r="B174" s="9" t="s">
        <v>188</v>
      </c>
    </row>
    <row r="175" ht="15.75" customHeight="1">
      <c r="A175" s="8">
        <v>40402.0</v>
      </c>
      <c r="B175" s="9" t="s">
        <v>189</v>
      </c>
    </row>
    <row r="176" ht="15.75" customHeight="1">
      <c r="A176" s="8">
        <v>40501.0</v>
      </c>
      <c r="B176" s="9" t="s">
        <v>190</v>
      </c>
    </row>
    <row r="177" ht="15.75" customHeight="1">
      <c r="A177" s="8">
        <v>40502.0</v>
      </c>
      <c r="B177" s="9" t="s">
        <v>191</v>
      </c>
    </row>
    <row r="178" ht="15.75" customHeight="1">
      <c r="A178" s="8">
        <v>40503.0</v>
      </c>
      <c r="B178" s="9" t="s">
        <v>192</v>
      </c>
    </row>
    <row r="179" ht="15.75" customHeight="1">
      <c r="A179" s="8">
        <v>40504.0</v>
      </c>
      <c r="B179" s="9" t="s">
        <v>193</v>
      </c>
    </row>
    <row r="180" ht="15.75" customHeight="1">
      <c r="A180" s="8">
        <v>40505.0</v>
      </c>
      <c r="B180" s="9" t="s">
        <v>194</v>
      </c>
    </row>
    <row r="181" ht="15.75" customHeight="1">
      <c r="A181" s="8">
        <v>40601.0</v>
      </c>
      <c r="B181" s="9" t="s">
        <v>195</v>
      </c>
    </row>
    <row r="182" ht="15.75" customHeight="1">
      <c r="A182" s="8">
        <v>40602.0</v>
      </c>
      <c r="B182" s="9" t="s">
        <v>196</v>
      </c>
    </row>
    <row r="183" ht="15.75" customHeight="1">
      <c r="A183" s="8">
        <v>40603.0</v>
      </c>
      <c r="B183" s="9" t="s">
        <v>197</v>
      </c>
    </row>
    <row r="184" ht="15.75" customHeight="1">
      <c r="A184" s="8">
        <v>40701.0</v>
      </c>
      <c r="B184" s="9" t="s">
        <v>198</v>
      </c>
    </row>
    <row r="185" ht="15.75" customHeight="1">
      <c r="A185" s="8">
        <v>40702.0</v>
      </c>
      <c r="B185" s="9" t="s">
        <v>199</v>
      </c>
    </row>
    <row r="186" ht="15.75" customHeight="1">
      <c r="A186" s="8">
        <v>40801.0</v>
      </c>
      <c r="B186" s="9" t="s">
        <v>200</v>
      </c>
    </row>
    <row r="187" ht="15.75" customHeight="1">
      <c r="A187" s="8">
        <v>40802.0</v>
      </c>
      <c r="B187" s="9" t="s">
        <v>201</v>
      </c>
    </row>
    <row r="188" ht="15.75" customHeight="1">
      <c r="A188" s="8">
        <v>40901.0</v>
      </c>
      <c r="B188" s="9" t="s">
        <v>202</v>
      </c>
    </row>
    <row r="189" ht="15.75" customHeight="1">
      <c r="A189" s="8">
        <v>40902.0</v>
      </c>
      <c r="B189" s="9" t="s">
        <v>203</v>
      </c>
    </row>
    <row r="190" ht="15.75" customHeight="1">
      <c r="A190" s="8">
        <v>40903.0</v>
      </c>
      <c r="B190" s="9" t="s">
        <v>204</v>
      </c>
    </row>
    <row r="191" ht="15.75" customHeight="1">
      <c r="A191" s="8">
        <v>41001.0</v>
      </c>
      <c r="B191" s="9" t="s">
        <v>205</v>
      </c>
    </row>
    <row r="192" ht="15.75" customHeight="1">
      <c r="A192" s="8">
        <v>41101.0</v>
      </c>
      <c r="B192" s="9" t="s">
        <v>206</v>
      </c>
    </row>
    <row r="193" ht="15.75" customHeight="1">
      <c r="A193" s="8">
        <v>41201.0</v>
      </c>
      <c r="B193" s="9" t="s">
        <v>207</v>
      </c>
    </row>
    <row r="194" ht="15.75" customHeight="1">
      <c r="A194" s="8">
        <v>41202.0</v>
      </c>
      <c r="B194" s="9" t="s">
        <v>208</v>
      </c>
    </row>
    <row r="195" ht="15.75" customHeight="1">
      <c r="A195" s="8">
        <v>41301.0</v>
      </c>
      <c r="B195" s="9" t="s">
        <v>209</v>
      </c>
    </row>
    <row r="196" ht="15.75" customHeight="1">
      <c r="A196" s="8">
        <v>41401.0</v>
      </c>
      <c r="B196" s="9" t="s">
        <v>210</v>
      </c>
    </row>
    <row r="197" ht="15.75" customHeight="1">
      <c r="A197" s="8">
        <v>41501.0</v>
      </c>
      <c r="B197" s="9" t="s">
        <v>211</v>
      </c>
    </row>
    <row r="198" ht="15.75" customHeight="1">
      <c r="A198" s="8">
        <v>41502.0</v>
      </c>
      <c r="B198" s="9" t="s">
        <v>212</v>
      </c>
    </row>
    <row r="199" ht="15.75" customHeight="1">
      <c r="A199" s="8">
        <v>41503.0</v>
      </c>
      <c r="B199" s="9" t="s">
        <v>213</v>
      </c>
    </row>
    <row r="200" ht="15.75" customHeight="1">
      <c r="A200" s="8">
        <v>41601.0</v>
      </c>
      <c r="B200" s="9" t="s">
        <v>214</v>
      </c>
    </row>
    <row r="201" ht="15.75" customHeight="1">
      <c r="A201" s="8">
        <v>50101.0</v>
      </c>
      <c r="B201" s="9" t="s">
        <v>215</v>
      </c>
    </row>
    <row r="202" ht="15.75" customHeight="1">
      <c r="A202" s="8">
        <v>50102.0</v>
      </c>
      <c r="B202" s="9" t="s">
        <v>216</v>
      </c>
    </row>
    <row r="203" ht="15.75" customHeight="1">
      <c r="A203" s="8">
        <v>50103.0</v>
      </c>
      <c r="B203" s="9" t="s">
        <v>217</v>
      </c>
    </row>
    <row r="204" ht="15.75" customHeight="1">
      <c r="A204" s="8">
        <v>50104.0</v>
      </c>
      <c r="B204" s="9" t="s">
        <v>218</v>
      </c>
    </row>
    <row r="205" ht="15.75" customHeight="1">
      <c r="A205" s="8">
        <v>50201.0</v>
      </c>
      <c r="B205" s="9" t="s">
        <v>219</v>
      </c>
    </row>
    <row r="206" ht="15.75" customHeight="1">
      <c r="A206" s="8">
        <v>50202.0</v>
      </c>
      <c r="B206" s="9" t="s">
        <v>220</v>
      </c>
    </row>
    <row r="207" ht="15.75" customHeight="1">
      <c r="A207" s="8">
        <v>50203.0</v>
      </c>
      <c r="B207" s="9" t="s">
        <v>221</v>
      </c>
    </row>
    <row r="208" ht="15.75" customHeight="1">
      <c r="A208" s="8">
        <v>50204.0</v>
      </c>
      <c r="B208" s="9" t="s">
        <v>222</v>
      </c>
    </row>
    <row r="209" ht="15.75" customHeight="1">
      <c r="A209" s="8">
        <v>50301.0</v>
      </c>
      <c r="B209" s="9" t="s">
        <v>223</v>
      </c>
    </row>
    <row r="210" ht="15.75" customHeight="1">
      <c r="A210" s="8">
        <v>50302.0</v>
      </c>
      <c r="B210" s="9" t="s">
        <v>224</v>
      </c>
    </row>
    <row r="211" ht="15.75" customHeight="1">
      <c r="A211" s="8">
        <v>50303.0</v>
      </c>
      <c r="B211" s="9" t="s">
        <v>225</v>
      </c>
    </row>
    <row r="212" ht="15.75" customHeight="1">
      <c r="A212" s="8">
        <v>50401.0</v>
      </c>
      <c r="B212" s="9" t="s">
        <v>226</v>
      </c>
    </row>
    <row r="213" ht="15.75" customHeight="1">
      <c r="A213" s="8">
        <v>50402.0</v>
      </c>
      <c r="B213" s="9" t="s">
        <v>227</v>
      </c>
    </row>
    <row r="214" ht="15.75" customHeight="1">
      <c r="A214" s="8">
        <v>50403.0</v>
      </c>
      <c r="B214" s="9" t="s">
        <v>228</v>
      </c>
    </row>
    <row r="215" ht="15.75" customHeight="1">
      <c r="A215" s="8">
        <v>50404.0</v>
      </c>
      <c r="B215" s="9" t="s">
        <v>229</v>
      </c>
    </row>
    <row r="216" ht="15.75" customHeight="1">
      <c r="A216" s="8">
        <v>50405.0</v>
      </c>
      <c r="B216" s="9" t="s">
        <v>230</v>
      </c>
    </row>
    <row r="217" ht="15.75" customHeight="1">
      <c r="A217" s="8">
        <v>50501.0</v>
      </c>
      <c r="B217" s="9" t="s">
        <v>231</v>
      </c>
    </row>
    <row r="218" ht="15.75" customHeight="1">
      <c r="A218" s="8">
        <v>50502.0</v>
      </c>
      <c r="B218" s="9" t="s">
        <v>232</v>
      </c>
    </row>
    <row r="219" ht="15.75" customHeight="1">
      <c r="A219" s="8">
        <v>50601.0</v>
      </c>
      <c r="B219" s="9" t="s">
        <v>233</v>
      </c>
    </row>
    <row r="220" ht="15.75" customHeight="1">
      <c r="A220" s="8">
        <v>50602.0</v>
      </c>
      <c r="B220" s="9" t="s">
        <v>234</v>
      </c>
    </row>
    <row r="221" ht="15.75" customHeight="1">
      <c r="A221" s="8">
        <v>50701.0</v>
      </c>
      <c r="B221" s="9" t="s">
        <v>235</v>
      </c>
    </row>
    <row r="222" ht="15.75" customHeight="1">
      <c r="A222" s="8">
        <v>50702.0</v>
      </c>
      <c r="B222" s="9" t="s">
        <v>236</v>
      </c>
    </row>
    <row r="223" ht="15.75" customHeight="1">
      <c r="A223" s="8">
        <v>50801.0</v>
      </c>
      <c r="B223" s="9" t="s">
        <v>237</v>
      </c>
    </row>
    <row r="224" ht="15.75" customHeight="1">
      <c r="A224" s="8">
        <v>50802.0</v>
      </c>
      <c r="B224" s="9" t="s">
        <v>238</v>
      </c>
    </row>
    <row r="225" ht="15.75" customHeight="1">
      <c r="A225" s="8">
        <v>50901.0</v>
      </c>
      <c r="B225" s="9" t="s">
        <v>239</v>
      </c>
    </row>
    <row r="226" ht="15.75" customHeight="1">
      <c r="A226" s="8">
        <v>50902.0</v>
      </c>
      <c r="B226" s="9" t="s">
        <v>240</v>
      </c>
    </row>
    <row r="227" ht="15.75" customHeight="1">
      <c r="A227" s="8">
        <v>51001.0</v>
      </c>
      <c r="B227" s="9" t="s">
        <v>241</v>
      </c>
    </row>
    <row r="228" ht="15.75" customHeight="1">
      <c r="A228" s="8">
        <v>51002.0</v>
      </c>
      <c r="B228" s="9" t="s">
        <v>242</v>
      </c>
    </row>
    <row r="229" ht="15.75" customHeight="1">
      <c r="A229" s="8">
        <v>51003.0</v>
      </c>
      <c r="B229" s="9" t="s">
        <v>243</v>
      </c>
    </row>
    <row r="230" ht="15.75" customHeight="1">
      <c r="A230" s="8">
        <v>51101.0</v>
      </c>
      <c r="B230" s="9" t="s">
        <v>244</v>
      </c>
    </row>
    <row r="231" ht="15.75" customHeight="1">
      <c r="A231" s="8">
        <v>51102.0</v>
      </c>
      <c r="B231" s="9" t="s">
        <v>245</v>
      </c>
    </row>
    <row r="232" ht="15.75" customHeight="1">
      <c r="A232" s="8">
        <v>51103.0</v>
      </c>
      <c r="B232" s="9" t="s">
        <v>246</v>
      </c>
    </row>
    <row r="233" ht="15.75" customHeight="1">
      <c r="A233" s="8">
        <v>51201.0</v>
      </c>
      <c r="B233" s="9" t="s">
        <v>247</v>
      </c>
    </row>
    <row r="234" ht="15.75" customHeight="1">
      <c r="A234" s="8">
        <v>51202.0</v>
      </c>
      <c r="B234" s="9" t="s">
        <v>248</v>
      </c>
    </row>
    <row r="235" ht="15.75" customHeight="1">
      <c r="A235" s="8">
        <v>51203.0</v>
      </c>
      <c r="B235" s="9" t="s">
        <v>249</v>
      </c>
    </row>
    <row r="236" ht="15.75" customHeight="1">
      <c r="A236" s="8">
        <v>51204.0</v>
      </c>
      <c r="B236" s="9" t="s">
        <v>250</v>
      </c>
    </row>
    <row r="237" ht="15.75" customHeight="1">
      <c r="A237" s="8">
        <v>51301.0</v>
      </c>
      <c r="B237" s="9" t="s">
        <v>251</v>
      </c>
    </row>
    <row r="238" ht="15.75" customHeight="1">
      <c r="A238" s="8">
        <v>51302.0</v>
      </c>
      <c r="B238" s="9" t="s">
        <v>252</v>
      </c>
    </row>
    <row r="239" ht="15.75" customHeight="1">
      <c r="A239" s="8">
        <v>51401.0</v>
      </c>
      <c r="B239" s="9" t="s">
        <v>253</v>
      </c>
    </row>
    <row r="240" ht="15.75" customHeight="1">
      <c r="A240" s="8">
        <v>51402.0</v>
      </c>
      <c r="B240" s="9" t="s">
        <v>254</v>
      </c>
    </row>
    <row r="241" ht="15.75" customHeight="1">
      <c r="A241" s="8">
        <v>51501.0</v>
      </c>
      <c r="B241" s="9" t="s">
        <v>255</v>
      </c>
    </row>
    <row r="242" ht="15.75" customHeight="1">
      <c r="A242" s="8">
        <v>51601.0</v>
      </c>
      <c r="B242" s="9" t="s">
        <v>256</v>
      </c>
    </row>
    <row r="243" ht="15.75" customHeight="1">
      <c r="A243" s="8">
        <v>60101.0</v>
      </c>
      <c r="B243" s="9" t="s">
        <v>257</v>
      </c>
    </row>
    <row r="244" ht="15.75" customHeight="1">
      <c r="A244" s="8">
        <v>60201.0</v>
      </c>
      <c r="B244" s="9" t="s">
        <v>258</v>
      </c>
    </row>
    <row r="245" ht="15.75" customHeight="1">
      <c r="A245" s="8">
        <v>60202.0</v>
      </c>
      <c r="B245" s="9" t="s">
        <v>259</v>
      </c>
    </row>
    <row r="246" ht="15.75" customHeight="1">
      <c r="A246" s="8">
        <v>60301.0</v>
      </c>
      <c r="B246" s="9" t="s">
        <v>260</v>
      </c>
    </row>
    <row r="247" ht="15.75" customHeight="1">
      <c r="A247" s="8">
        <v>60302.0</v>
      </c>
      <c r="B247" s="9" t="s">
        <v>261</v>
      </c>
    </row>
    <row r="248" ht="15.75" customHeight="1">
      <c r="A248" s="8">
        <v>60303.0</v>
      </c>
      <c r="B248" s="9" t="s">
        <v>262</v>
      </c>
    </row>
    <row r="249" ht="15.75" customHeight="1">
      <c r="A249" s="8">
        <v>60401.0</v>
      </c>
      <c r="B249" s="9" t="s">
        <v>263</v>
      </c>
    </row>
    <row r="250" ht="15.75" customHeight="1">
      <c r="A250" s="8">
        <v>60402.0</v>
      </c>
      <c r="B250" s="9" t="s">
        <v>264</v>
      </c>
    </row>
    <row r="251" ht="15.75" customHeight="1">
      <c r="A251" s="8">
        <v>60501.0</v>
      </c>
      <c r="B251" s="9" t="s">
        <v>265</v>
      </c>
    </row>
    <row r="252" ht="15.75" customHeight="1">
      <c r="A252" s="8">
        <v>60502.0</v>
      </c>
      <c r="B252" s="9" t="s">
        <v>266</v>
      </c>
    </row>
    <row r="253" ht="15.75" customHeight="1">
      <c r="A253" s="8">
        <v>60601.0</v>
      </c>
      <c r="B253" s="9" t="s">
        <v>167</v>
      </c>
    </row>
    <row r="254" ht="15.75" customHeight="1">
      <c r="A254" s="8">
        <v>70101.0</v>
      </c>
      <c r="B254" s="9" t="s">
        <v>267</v>
      </c>
    </row>
    <row r="255" ht="15.75" customHeight="1">
      <c r="A255" s="8">
        <v>70102.0</v>
      </c>
      <c r="B255" s="9" t="s">
        <v>268</v>
      </c>
    </row>
    <row r="256" ht="15.75" customHeight="1">
      <c r="A256" s="8">
        <v>70103.0</v>
      </c>
      <c r="B256" s="9" t="s">
        <v>269</v>
      </c>
    </row>
    <row r="257" ht="15.75" customHeight="1">
      <c r="A257" s="8">
        <v>70104.0</v>
      </c>
      <c r="B257" s="9" t="s">
        <v>270</v>
      </c>
    </row>
    <row r="258" ht="15.75" customHeight="1">
      <c r="A258" s="8">
        <v>70105.0</v>
      </c>
      <c r="B258" s="9" t="s">
        <v>271</v>
      </c>
    </row>
    <row r="259" ht="15.75" customHeight="1">
      <c r="A259" s="8">
        <v>70201.0</v>
      </c>
      <c r="B259" s="9" t="s">
        <v>272</v>
      </c>
    </row>
    <row r="260" ht="15.75" customHeight="1">
      <c r="A260" s="8">
        <v>70202.0</v>
      </c>
      <c r="B260" s="9" t="s">
        <v>273</v>
      </c>
    </row>
    <row r="261" ht="15.75" customHeight="1">
      <c r="A261" s="8">
        <v>70301.0</v>
      </c>
      <c r="B261" s="9" t="s">
        <v>274</v>
      </c>
    </row>
    <row r="262" ht="15.75" customHeight="1">
      <c r="A262" s="8">
        <v>70302.0</v>
      </c>
      <c r="B262" s="9" t="s">
        <v>275</v>
      </c>
    </row>
    <row r="263" ht="15.75" customHeight="1">
      <c r="A263" s="8">
        <v>70303.0</v>
      </c>
      <c r="B263" s="9" t="s">
        <v>276</v>
      </c>
    </row>
    <row r="264" ht="15.75" customHeight="1">
      <c r="A264" s="8">
        <v>70401.0</v>
      </c>
      <c r="B264" s="9" t="s">
        <v>277</v>
      </c>
    </row>
    <row r="265" ht="15.75" customHeight="1">
      <c r="A265" s="8">
        <v>70402.0</v>
      </c>
      <c r="B265" s="9" t="s">
        <v>278</v>
      </c>
    </row>
    <row r="266" ht="15.75" customHeight="1">
      <c r="A266" s="8">
        <v>70403.0</v>
      </c>
      <c r="B266" s="9" t="s">
        <v>279</v>
      </c>
    </row>
    <row r="267" ht="15.75" customHeight="1">
      <c r="A267" s="8">
        <v>70404.0</v>
      </c>
      <c r="B267" s="9" t="s">
        <v>280</v>
      </c>
    </row>
    <row r="268" ht="15.75" customHeight="1">
      <c r="A268" s="8">
        <v>70501.0</v>
      </c>
      <c r="B268" s="9" t="s">
        <v>281</v>
      </c>
    </row>
    <row r="269" ht="15.75" customHeight="1">
      <c r="A269" s="8">
        <v>70502.0</v>
      </c>
      <c r="B269" s="9" t="s">
        <v>282</v>
      </c>
    </row>
    <row r="270" ht="15.75" customHeight="1">
      <c r="A270" s="8">
        <v>70503.0</v>
      </c>
      <c r="B270" s="9" t="s">
        <v>283</v>
      </c>
    </row>
    <row r="271" ht="15.75" customHeight="1">
      <c r="A271" s="8">
        <v>70601.0</v>
      </c>
      <c r="B271" s="9" t="s">
        <v>284</v>
      </c>
    </row>
    <row r="272" ht="15.75" customHeight="1">
      <c r="A272" s="8">
        <v>70602.0</v>
      </c>
      <c r="B272" s="9" t="s">
        <v>285</v>
      </c>
    </row>
    <row r="273" ht="15.75" customHeight="1">
      <c r="A273" s="8">
        <v>70603.0</v>
      </c>
      <c r="B273" s="9" t="s">
        <v>286</v>
      </c>
    </row>
    <row r="274" ht="15.75" customHeight="1">
      <c r="A274" s="8">
        <v>70701.0</v>
      </c>
      <c r="B274" s="9" t="s">
        <v>287</v>
      </c>
    </row>
    <row r="275" ht="15.75" customHeight="1">
      <c r="A275" s="8">
        <v>70702.0</v>
      </c>
      <c r="B275" s="9" t="s">
        <v>288</v>
      </c>
    </row>
    <row r="276" ht="15.75" customHeight="1">
      <c r="A276" s="8">
        <v>70703.0</v>
      </c>
      <c r="B276" s="9" t="s">
        <v>289</v>
      </c>
    </row>
    <row r="277" ht="15.75" customHeight="1">
      <c r="A277" s="8">
        <v>70704.0</v>
      </c>
      <c r="B277" s="9" t="s">
        <v>290</v>
      </c>
    </row>
    <row r="278" ht="15.75" customHeight="1">
      <c r="A278" s="8">
        <v>70705.0</v>
      </c>
      <c r="B278" s="9" t="s">
        <v>291</v>
      </c>
    </row>
    <row r="279" ht="15.75" customHeight="1">
      <c r="A279" s="8">
        <v>70706.0</v>
      </c>
      <c r="B279" s="9" t="s">
        <v>292</v>
      </c>
    </row>
    <row r="280" ht="15.75" customHeight="1">
      <c r="A280" s="8">
        <v>70707.0</v>
      </c>
      <c r="B280" s="9" t="s">
        <v>293</v>
      </c>
    </row>
    <row r="281" ht="15.75" customHeight="1">
      <c r="A281" s="8">
        <v>70801.0</v>
      </c>
      <c r="B281" s="9" t="s">
        <v>294</v>
      </c>
    </row>
    <row r="282" ht="15.75" customHeight="1">
      <c r="A282" s="8">
        <v>70802.0</v>
      </c>
      <c r="B282" s="9" t="s">
        <v>295</v>
      </c>
    </row>
    <row r="283" ht="15.75" customHeight="1">
      <c r="A283" s="8">
        <v>70803.0</v>
      </c>
      <c r="B283" s="9" t="s">
        <v>296</v>
      </c>
    </row>
    <row r="284" ht="15.75" customHeight="1">
      <c r="A284" s="8">
        <v>70804.0</v>
      </c>
      <c r="B284" s="9" t="s">
        <v>297</v>
      </c>
    </row>
    <row r="285" ht="15.75" customHeight="1">
      <c r="A285" s="8">
        <v>70805.0</v>
      </c>
      <c r="B285" s="9" t="s">
        <v>298</v>
      </c>
    </row>
    <row r="286" ht="15.75" customHeight="1">
      <c r="A286" s="8">
        <v>70901.0</v>
      </c>
      <c r="B286" s="9" t="s">
        <v>299</v>
      </c>
    </row>
    <row r="287" ht="15.75" customHeight="1">
      <c r="A287" s="8">
        <v>70902.0</v>
      </c>
      <c r="B287" s="9" t="s">
        <v>300</v>
      </c>
    </row>
    <row r="288" ht="15.75" customHeight="1">
      <c r="A288" s="8">
        <v>70903.0</v>
      </c>
      <c r="B288" s="9" t="s">
        <v>301</v>
      </c>
    </row>
    <row r="289" ht="15.75" customHeight="1">
      <c r="A289" s="8">
        <v>70904.0</v>
      </c>
      <c r="B289" s="9" t="s">
        <v>302</v>
      </c>
    </row>
    <row r="290" ht="15.75" customHeight="1">
      <c r="A290" s="8">
        <v>71001.0</v>
      </c>
      <c r="B290" s="9" t="s">
        <v>303</v>
      </c>
    </row>
    <row r="291" ht="15.75" customHeight="1">
      <c r="A291" s="8">
        <v>71002.0</v>
      </c>
      <c r="B291" s="9" t="s">
        <v>304</v>
      </c>
    </row>
    <row r="292" ht="15.75" customHeight="1">
      <c r="A292" s="8">
        <v>71003.0</v>
      </c>
      <c r="B292" s="9" t="s">
        <v>305</v>
      </c>
    </row>
    <row r="293" ht="15.75" customHeight="1">
      <c r="A293" s="8">
        <v>71004.0</v>
      </c>
      <c r="B293" s="9" t="s">
        <v>306</v>
      </c>
    </row>
    <row r="294" ht="15.75" customHeight="1">
      <c r="A294" s="8">
        <v>71005.0</v>
      </c>
      <c r="B294" s="9" t="s">
        <v>307</v>
      </c>
    </row>
    <row r="295" ht="15.75" customHeight="1">
      <c r="A295" s="8">
        <v>71101.0</v>
      </c>
      <c r="B295" s="9" t="s">
        <v>308</v>
      </c>
    </row>
    <row r="296" ht="15.75" customHeight="1">
      <c r="A296" s="8">
        <v>71102.0</v>
      </c>
      <c r="B296" s="9" t="s">
        <v>309</v>
      </c>
    </row>
    <row r="297" ht="15.75" customHeight="1">
      <c r="A297" s="8">
        <v>71103.0</v>
      </c>
      <c r="B297" s="9" t="s">
        <v>310</v>
      </c>
    </row>
    <row r="298" ht="15.75" customHeight="1">
      <c r="A298" s="8">
        <v>71104.0</v>
      </c>
      <c r="B298" s="9" t="s">
        <v>311</v>
      </c>
    </row>
    <row r="299" ht="15.75" customHeight="1">
      <c r="A299" s="8">
        <v>71105.0</v>
      </c>
      <c r="B299" s="9" t="s">
        <v>312</v>
      </c>
    </row>
    <row r="300" ht="15.75" customHeight="1">
      <c r="A300" s="8">
        <v>71106.0</v>
      </c>
      <c r="B300" s="9" t="s">
        <v>313</v>
      </c>
    </row>
    <row r="301" ht="15.75" customHeight="1">
      <c r="A301" s="8">
        <v>71201.0</v>
      </c>
      <c r="B301" s="9" t="s">
        <v>314</v>
      </c>
    </row>
    <row r="302" ht="15.75" customHeight="1">
      <c r="A302" s="8">
        <v>71301.0</v>
      </c>
      <c r="B302" s="9" t="s">
        <v>315</v>
      </c>
    </row>
    <row r="303" ht="15.75" customHeight="1">
      <c r="A303" s="8">
        <v>71302.0</v>
      </c>
      <c r="B303" s="9" t="s">
        <v>316</v>
      </c>
    </row>
    <row r="304" ht="15.75" customHeight="1">
      <c r="A304" s="8">
        <v>71401.0</v>
      </c>
      <c r="B304" s="9" t="s">
        <v>317</v>
      </c>
    </row>
    <row r="305" ht="15.75" customHeight="1">
      <c r="A305" s="8">
        <v>71402.0</v>
      </c>
      <c r="B305" s="9" t="s">
        <v>318</v>
      </c>
    </row>
    <row r="306" ht="15.75" customHeight="1">
      <c r="A306" s="8">
        <v>71403.0</v>
      </c>
      <c r="B306" s="9" t="s">
        <v>319</v>
      </c>
    </row>
    <row r="307" ht="15.75" customHeight="1">
      <c r="A307" s="8">
        <v>71501.0</v>
      </c>
      <c r="B307" s="9" t="s">
        <v>320</v>
      </c>
    </row>
    <row r="308" ht="15.75" customHeight="1">
      <c r="A308" s="8">
        <v>71502.0</v>
      </c>
      <c r="B308" s="9" t="s">
        <v>321</v>
      </c>
    </row>
    <row r="309" ht="15.75" customHeight="1">
      <c r="A309" s="8">
        <v>71503.0</v>
      </c>
      <c r="B309" s="9" t="s">
        <v>266</v>
      </c>
    </row>
    <row r="310" ht="15.75" customHeight="1">
      <c r="A310" s="8">
        <v>80101.0</v>
      </c>
      <c r="B310" s="9" t="s">
        <v>322</v>
      </c>
    </row>
    <row r="311" ht="15.75" customHeight="1">
      <c r="A311" s="8">
        <v>80102.0</v>
      </c>
      <c r="B311" s="9" t="s">
        <v>309</v>
      </c>
    </row>
    <row r="312" ht="15.75" customHeight="1">
      <c r="A312" s="8">
        <v>80201.0</v>
      </c>
      <c r="B312" s="9" t="s">
        <v>323</v>
      </c>
    </row>
    <row r="313" ht="15.75" customHeight="1">
      <c r="A313" s="8">
        <v>80202.0</v>
      </c>
      <c r="B313" s="9" t="s">
        <v>324</v>
      </c>
    </row>
    <row r="314" ht="15.75" customHeight="1">
      <c r="A314" s="8">
        <v>80301.0</v>
      </c>
      <c r="B314" s="9" t="s">
        <v>325</v>
      </c>
    </row>
    <row r="315" ht="15.75" customHeight="1">
      <c r="A315" s="8">
        <v>80302.0</v>
      </c>
      <c r="B315" s="9" t="s">
        <v>326</v>
      </c>
    </row>
    <row r="316" ht="15.75" customHeight="1">
      <c r="A316" s="8">
        <v>80303.0</v>
      </c>
      <c r="B316" s="9" t="s">
        <v>327</v>
      </c>
    </row>
    <row r="317" ht="15.75" customHeight="1">
      <c r="A317" s="8">
        <v>80304.0</v>
      </c>
      <c r="B317" s="9" t="s">
        <v>328</v>
      </c>
    </row>
    <row r="318" ht="15.75" customHeight="1">
      <c r="A318" s="8">
        <v>80401.0</v>
      </c>
      <c r="B318" s="9" t="s">
        <v>329</v>
      </c>
    </row>
    <row r="319" ht="15.75" customHeight="1">
      <c r="A319" s="8">
        <v>80402.0</v>
      </c>
      <c r="B319" s="9" t="s">
        <v>330</v>
      </c>
    </row>
    <row r="320" ht="15.75" customHeight="1">
      <c r="A320" s="8">
        <v>80501.0</v>
      </c>
      <c r="B320" s="9" t="s">
        <v>331</v>
      </c>
    </row>
    <row r="321" ht="15.75" customHeight="1">
      <c r="A321" s="8">
        <v>80601.0</v>
      </c>
      <c r="B321" s="9" t="s">
        <v>332</v>
      </c>
    </row>
    <row r="322" ht="15.75" customHeight="1">
      <c r="A322" s="8">
        <v>80602.0</v>
      </c>
      <c r="B322" s="9" t="s">
        <v>333</v>
      </c>
    </row>
    <row r="323" ht="15.75" customHeight="1">
      <c r="A323" s="8">
        <v>80701.0</v>
      </c>
      <c r="B323" s="9" t="s">
        <v>334</v>
      </c>
    </row>
    <row r="324" ht="15.75" customHeight="1">
      <c r="A324" s="8">
        <v>80702.0</v>
      </c>
      <c r="B324" s="9" t="s">
        <v>310</v>
      </c>
    </row>
    <row r="325" ht="15.75" customHeight="1">
      <c r="A325" s="8">
        <v>80703.0</v>
      </c>
      <c r="B325" s="9" t="s">
        <v>335</v>
      </c>
    </row>
    <row r="326" ht="15.75" customHeight="1">
      <c r="A326" s="8">
        <v>80801.0</v>
      </c>
      <c r="B326" s="9" t="s">
        <v>336</v>
      </c>
    </row>
    <row r="327" ht="15.75" customHeight="1">
      <c r="A327" s="8">
        <v>80802.0</v>
      </c>
      <c r="B327" s="9" t="s">
        <v>337</v>
      </c>
    </row>
    <row r="328" ht="15.75" customHeight="1">
      <c r="A328" s="8">
        <v>80803.0</v>
      </c>
      <c r="B328" s="9" t="s">
        <v>338</v>
      </c>
    </row>
    <row r="329" ht="15.75" customHeight="1">
      <c r="A329" s="8">
        <v>80901.0</v>
      </c>
      <c r="B329" s="9" t="s">
        <v>339</v>
      </c>
    </row>
    <row r="330" ht="15.75" customHeight="1">
      <c r="A330" s="8">
        <v>90101.0</v>
      </c>
      <c r="B330" s="9" t="s">
        <v>340</v>
      </c>
    </row>
    <row r="331" ht="15.75" customHeight="1">
      <c r="A331" s="8">
        <v>90102.0</v>
      </c>
      <c r="B331" s="9" t="s">
        <v>341</v>
      </c>
    </row>
    <row r="332" ht="15.75" customHeight="1">
      <c r="A332" s="8">
        <v>90103.0</v>
      </c>
      <c r="B332" s="9" t="s">
        <v>342</v>
      </c>
    </row>
    <row r="333" ht="15.75" customHeight="1">
      <c r="A333" s="8">
        <v>90104.0</v>
      </c>
      <c r="B333" s="9" t="s">
        <v>343</v>
      </c>
    </row>
    <row r="334" ht="15.75" customHeight="1">
      <c r="A334" s="8">
        <v>90201.0</v>
      </c>
      <c r="B334" s="9" t="s">
        <v>344</v>
      </c>
    </row>
    <row r="335" ht="15.75" customHeight="1">
      <c r="A335" s="8">
        <v>90202.0</v>
      </c>
      <c r="B335" s="9" t="s">
        <v>307</v>
      </c>
    </row>
    <row r="336" ht="15.75" customHeight="1">
      <c r="A336" s="8">
        <v>90203.0</v>
      </c>
      <c r="B336" s="9" t="s">
        <v>345</v>
      </c>
    </row>
    <row r="337" ht="15.75" customHeight="1">
      <c r="A337" s="8">
        <v>90301.0</v>
      </c>
      <c r="B337" s="9" t="s">
        <v>346</v>
      </c>
    </row>
    <row r="338" ht="15.75" customHeight="1">
      <c r="A338" s="8">
        <v>90302.0</v>
      </c>
      <c r="B338" s="9" t="s">
        <v>347</v>
      </c>
    </row>
    <row r="339" ht="15.75" customHeight="1">
      <c r="A339" s="8">
        <v>90303.0</v>
      </c>
      <c r="B339" s="9" t="s">
        <v>348</v>
      </c>
    </row>
    <row r="340" ht="15.75" customHeight="1">
      <c r="A340" s="8">
        <v>90401.0</v>
      </c>
      <c r="B340" s="9" t="s">
        <v>349</v>
      </c>
    </row>
    <row r="341" ht="15.75" customHeight="1">
      <c r="A341" s="8">
        <v>90402.0</v>
      </c>
      <c r="B341" s="9" t="s">
        <v>350</v>
      </c>
    </row>
    <row r="342" ht="15.75" customHeight="1">
      <c r="A342" s="8">
        <v>90501.0</v>
      </c>
      <c r="B342" s="9" t="s">
        <v>351</v>
      </c>
    </row>
    <row r="343" ht="15.75" customHeight="1">
      <c r="A343" s="8">
        <v>90502.0</v>
      </c>
      <c r="B343" s="9" t="s">
        <v>352</v>
      </c>
    </row>
    <row r="344" ht="15.75" customHeight="1">
      <c r="A344" s="8">
        <v>90503.0</v>
      </c>
      <c r="B344" s="9" t="s">
        <v>353</v>
      </c>
    </row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2026-05-29T04:08:58Z</dcterms:created>
  <dc:creator>Karina</dc:creator>
</cp:coreProperties>
</file>