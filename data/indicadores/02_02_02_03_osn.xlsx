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originales" sheetId="1" r:id="rId4"/>
    <sheet state="visible" name="Datos procesados 2008" sheetId="2" r:id="rId5"/>
    <sheet state="visible" name="Datos procesados 2023" sheetId="3" r:id="rId6"/>
    <sheet state="visible" name="Indicador_MUN" sheetId="4" r:id="rId7"/>
    <sheet state="visible" name="Absoluto_MUN" sheetId="5" r:id="rId8"/>
    <sheet state="visible" name="Indicador_DEP" sheetId="6" r:id="rId9"/>
    <sheet state="visible" name="Absoluto_DEP" sheetId="7" r:id="rId10"/>
    <sheet state="visible" name="Umbral" sheetId="8" r:id="rId11"/>
    <sheet state="visible" name="Mapa" sheetId="9" r:id="rId12"/>
  </sheets>
  <externalReferences>
    <externalReference r:id="rId13"/>
  </externalReferences>
  <definedNames>
    <definedName localSheetId="0" name="OLE_LINK1">'[1]3.01.03'!#REF!</definedName>
  </definedNames>
  <calcPr/>
  <extLst>
    <ext uri="GoogleSheetsCustomDataVersion2">
      <go:sheetsCustomData xmlns:go="http://customooxmlschemas.google.com/" r:id="rId14" roundtripDataChecksum="96F4MxBeBUbQc++AJDAfhHC8fevorFlLNq5vu7OpGyA="/>
    </ext>
  </extLst>
</workbook>
</file>

<file path=xl/sharedStrings.xml><?xml version="1.0" encoding="utf-8"?>
<sst xmlns="http://schemas.openxmlformats.org/spreadsheetml/2006/main" count="1552" uniqueCount="417">
  <si>
    <t>Cuadro Nº 3.01.03.03</t>
  </si>
  <si>
    <t>BOLIVIA: NIÑOS Y NIÑAS MENORES DE CINCO AÑOS CON MALNUTRICIÓN, SEGÚN TRES ÍNDICES ANTROPOMÉTRICOS: TALLA PARA LA EDAD; PESO PARA LA TALLA Y PESO PARA LA EDAD, SEGÚN ÁREA Y DEPARTAMENTO, 2008, 2016 Y 2023</t>
  </si>
  <si>
    <t>(En porcentaje)</t>
  </si>
  <si>
    <t>ÁREA Y DEPARTAMENTO</t>
  </si>
  <si>
    <t>TALLA PARA LA EDAD</t>
  </si>
  <si>
    <t>PESO PARA LA TALLA</t>
  </si>
  <si>
    <t>PESO PARA LA EDAD</t>
  </si>
  <si>
    <t>NÚMERO DE NIÑOS</t>
  </si>
  <si>
    <t>Porcentaje por debajo de  -3 DE</t>
  </si>
  <si>
    <t>Porcentaje por debajo de -2 DE (1)</t>
  </si>
  <si>
    <t>Porcentaje por encima de +2 DE</t>
  </si>
  <si>
    <t>BOLIVIA 2008</t>
  </si>
  <si>
    <t>Urbana</t>
  </si>
  <si>
    <t xml:space="preserve">Rural </t>
  </si>
  <si>
    <t>DEPARTAMENTO</t>
  </si>
  <si>
    <t xml:space="preserve">La Paz </t>
  </si>
  <si>
    <t xml:space="preserve">Oruro </t>
  </si>
  <si>
    <t xml:space="preserve">Potosí </t>
  </si>
  <si>
    <t xml:space="preserve">Chuquisaca </t>
  </si>
  <si>
    <t xml:space="preserve">Cochabamba </t>
  </si>
  <si>
    <t xml:space="preserve">Tarija </t>
  </si>
  <si>
    <t xml:space="preserve">Santa Cruz </t>
  </si>
  <si>
    <t>Beni</t>
  </si>
  <si>
    <t>Pando</t>
  </si>
  <si>
    <t>BOLIVIA 2016</t>
  </si>
  <si>
    <t xml:space="preserve">Pando </t>
  </si>
  <si>
    <t>BOLIVIA 2023</t>
  </si>
  <si>
    <t>Fuente: Ministerio de Salud - Encuesta Nacional de Demografía y Salud 2003 y 2008</t>
  </si>
  <si>
    <t>Instituto Nacional de Estadística - Encuesta de Demografia y Salud 2016 y 2023</t>
  </si>
  <si>
    <t>(*) Con coeficiente de variación superior a 20% emplearlo solo de forma referencial</t>
  </si>
  <si>
    <t>Nota: El cuadro está basado en niños y niñas que durmieron en el hogar la noche anterior a la entrevista. Cada índice se expresa en términos del número de desviaciones estándar (DE) de la mediana de los patrones internacionales de crecimiento establecidos por la Organización Mundial de la Salud (OMS). El cuadro está basado en niños y niñas con información válida para la fecha de nacimiento (mes y año), en el peso y la talla.</t>
  </si>
  <si>
    <t>(1) Incluye niños y niñas que están -3 desviaciones estándar (DE) por debajo de la mediana de los patrones de crecimiento.</t>
  </si>
  <si>
    <t>id</t>
  </si>
  <si>
    <t>Municipio</t>
  </si>
  <si>
    <t>Población 2008</t>
  </si>
  <si>
    <t>Tasa de urbanización 2008</t>
  </si>
  <si>
    <t>Porcentaje de menores de 5 años con sobrepeso (Peso para talla &gt; 2 DE), 2008 (%) (por departamento)</t>
  </si>
  <si>
    <t>Porcentaje de menores de 5 años con sobrepeso (Peso para talla &gt; 2 DE), 2008 (%) (por urbanizacion)</t>
  </si>
  <si>
    <t>Ponderaciones por urbanización</t>
  </si>
  <si>
    <t>Porcentaje de menores de 5 años con sobrepeso, 2008 (%) (ponderado por departamento y nivel de urbanización)</t>
  </si>
  <si>
    <t>Check: Numero abs</t>
  </si>
  <si>
    <t>Check: Pop dep</t>
  </si>
  <si>
    <t>Check: Desn. Dep</t>
  </si>
  <si>
    <t>Check</t>
  </si>
  <si>
    <t>Estimación menores de 5 años, 2008</t>
  </si>
  <si>
    <t>Menores de 5 años con sobrepeso, 2008 (ponderado por departamento y nivel de urbanización)</t>
  </si>
  <si>
    <t>Departamento</t>
  </si>
  <si>
    <t>Sucre</t>
  </si>
  <si>
    <t>Urbana (Urb=100)</t>
  </si>
  <si>
    <t>Chuquisaca</t>
  </si>
  <si>
    <t>Yotala</t>
  </si>
  <si>
    <t>Rural (Urb=0)</t>
  </si>
  <si>
    <t>La Paz</t>
  </si>
  <si>
    <t>Poroma</t>
  </si>
  <si>
    <t>Pendiente</t>
  </si>
  <si>
    <t>Cochabamba</t>
  </si>
  <si>
    <t>Azurduy</t>
  </si>
  <si>
    <t>Oruro</t>
  </si>
  <si>
    <t>Tarvita</t>
  </si>
  <si>
    <t>Potosí</t>
  </si>
  <si>
    <t>Zudáñez</t>
  </si>
  <si>
    <t>Tarija</t>
  </si>
  <si>
    <t>Presto</t>
  </si>
  <si>
    <t>Santa Cruz</t>
  </si>
  <si>
    <t>Mojocoya</t>
  </si>
  <si>
    <t>Icla</t>
  </si>
  <si>
    <t>Padilla</t>
  </si>
  <si>
    <t>Bolivia</t>
  </si>
  <si>
    <t>Tomina</t>
  </si>
  <si>
    <t>Gran Chaco</t>
  </si>
  <si>
    <t>Sopachuy</t>
  </si>
  <si>
    <t>Alcalá</t>
  </si>
  <si>
    <t>El Villar</t>
  </si>
  <si>
    <t>Monteagudo</t>
  </si>
  <si>
    <t>Huacareta</t>
  </si>
  <si>
    <t>Tarabuco</t>
  </si>
  <si>
    <t>Yamparáez</t>
  </si>
  <si>
    <t>Camargo</t>
  </si>
  <si>
    <t>San Lucas</t>
  </si>
  <si>
    <t>Incahuasi</t>
  </si>
  <si>
    <t>Villa Charcas</t>
  </si>
  <si>
    <t>Villa Serrano</t>
  </si>
  <si>
    <t>Villa Abecia</t>
  </si>
  <si>
    <t>Culpina</t>
  </si>
  <si>
    <t>Las Carreras</t>
  </si>
  <si>
    <t>Villa Vaca Guzmán</t>
  </si>
  <si>
    <t>Huacaya (Autonomía Guaraní Chaqueño de Huacaya)</t>
  </si>
  <si>
    <t>Macharetí</t>
  </si>
  <si>
    <t>Nuestra Señora de La Paz</t>
  </si>
  <si>
    <t>Palca</t>
  </si>
  <si>
    <t>Mecapaca</t>
  </si>
  <si>
    <t>Achocalla</t>
  </si>
  <si>
    <t>El Alto</t>
  </si>
  <si>
    <t>Achacachi</t>
  </si>
  <si>
    <t>Villa Ancoraimes</t>
  </si>
  <si>
    <t>Chua Cocani</t>
  </si>
  <si>
    <t>Huarina</t>
  </si>
  <si>
    <t>Santiago de Huata</t>
  </si>
  <si>
    <t>Huatajata</t>
  </si>
  <si>
    <t>Corocoro</t>
  </si>
  <si>
    <t>Caquiaviri</t>
  </si>
  <si>
    <t>Calacoto</t>
  </si>
  <si>
    <t>Comanche</t>
  </si>
  <si>
    <t>Charaña</t>
  </si>
  <si>
    <t>Waldo Ballivián</t>
  </si>
  <si>
    <t>Nazacara de Pacajes</t>
  </si>
  <si>
    <t>Santiago de Callapa</t>
  </si>
  <si>
    <t>Puerto Acosta</t>
  </si>
  <si>
    <t>Mocomoco</t>
  </si>
  <si>
    <t>Puerto Mayor de Carabuco</t>
  </si>
  <si>
    <t>Humanata</t>
  </si>
  <si>
    <t>Escoma</t>
  </si>
  <si>
    <t>Chuma</t>
  </si>
  <si>
    <t>Ayata</t>
  </si>
  <si>
    <t>Aucapata</t>
  </si>
  <si>
    <t>Sorata</t>
  </si>
  <si>
    <t>Guanay</t>
  </si>
  <si>
    <t>Tacacoma</t>
  </si>
  <si>
    <t>Quiabaya</t>
  </si>
  <si>
    <t>Combaya</t>
  </si>
  <si>
    <t>Tipuani</t>
  </si>
  <si>
    <t>Mapiri</t>
  </si>
  <si>
    <t>Teoponte</t>
  </si>
  <si>
    <t>Apolo</t>
  </si>
  <si>
    <t>Pelechuco</t>
  </si>
  <si>
    <t>Viacha</t>
  </si>
  <si>
    <t>Puerto Mayor de Guaqui</t>
  </si>
  <si>
    <t>Tiahuanacu</t>
  </si>
  <si>
    <t>Desaguadero</t>
  </si>
  <si>
    <t>La (Marka) San Andrés de Machaca</t>
  </si>
  <si>
    <t>Jesús de Machaka</t>
  </si>
  <si>
    <t>Taraco</t>
  </si>
  <si>
    <t>Luribay</t>
  </si>
  <si>
    <t>Sapahaqui</t>
  </si>
  <si>
    <t>Yaco</t>
  </si>
  <si>
    <t>Malla</t>
  </si>
  <si>
    <t>Cairoma</t>
  </si>
  <si>
    <t>Inquisivi</t>
  </si>
  <si>
    <t>Quime</t>
  </si>
  <si>
    <t>Cajuata</t>
  </si>
  <si>
    <t>Colquiri</t>
  </si>
  <si>
    <t>Ichoca</t>
  </si>
  <si>
    <t>Villa Libertad Licoma</t>
  </si>
  <si>
    <t>Chulumani</t>
  </si>
  <si>
    <t>Irupana</t>
  </si>
  <si>
    <t>Yanacachi</t>
  </si>
  <si>
    <t>Palos Blancos</t>
  </si>
  <si>
    <t>La Asunta</t>
  </si>
  <si>
    <t>Pucarani</t>
  </si>
  <si>
    <t>Laja</t>
  </si>
  <si>
    <t>Batallas</t>
  </si>
  <si>
    <t>Puerto Pérez</t>
  </si>
  <si>
    <t>Sicasica</t>
  </si>
  <si>
    <t>Umala</t>
  </si>
  <si>
    <t>Ayo Ayo</t>
  </si>
  <si>
    <t>Calamarca</t>
  </si>
  <si>
    <t>Patacamaya</t>
  </si>
  <si>
    <t>Colquencha</t>
  </si>
  <si>
    <t>Collana</t>
  </si>
  <si>
    <t>Coroico</t>
  </si>
  <si>
    <t>Coripata</t>
  </si>
  <si>
    <t>Ixiamas</t>
  </si>
  <si>
    <t>San Buenaventura</t>
  </si>
  <si>
    <t>Charazani</t>
  </si>
  <si>
    <t>Curva</t>
  </si>
  <si>
    <t>Copacabana</t>
  </si>
  <si>
    <t>San Pedro de Tiquina</t>
  </si>
  <si>
    <t>Tito Yupanqui</t>
  </si>
  <si>
    <t>San Pedro de Curahuara</t>
  </si>
  <si>
    <t>Papel Pampa</t>
  </si>
  <si>
    <t>Chacarilla</t>
  </si>
  <si>
    <t>Santiago de Machaca</t>
  </si>
  <si>
    <t>Catacora</t>
  </si>
  <si>
    <t>Caranavi</t>
  </si>
  <si>
    <t>Alto Beni</t>
  </si>
  <si>
    <t>Aiquile</t>
  </si>
  <si>
    <t>Pasorapa</t>
  </si>
  <si>
    <t>Omereque</t>
  </si>
  <si>
    <t>Ayopaya</t>
  </si>
  <si>
    <t>Morochata</t>
  </si>
  <si>
    <t>Cocapata</t>
  </si>
  <si>
    <t>Tarata</t>
  </si>
  <si>
    <t>Anzaldo</t>
  </si>
  <si>
    <t>Arbieto</t>
  </si>
  <si>
    <t>Sacabamba</t>
  </si>
  <si>
    <t>Arani</t>
  </si>
  <si>
    <t>Vacas</t>
  </si>
  <si>
    <t>Arque</t>
  </si>
  <si>
    <t>Tacopaya</t>
  </si>
  <si>
    <t>Capinota</t>
  </si>
  <si>
    <t>Santiváñez</t>
  </si>
  <si>
    <t>Sicaya</t>
  </si>
  <si>
    <t>Cliza</t>
  </si>
  <si>
    <t>Toco</t>
  </si>
  <si>
    <t>Tolata</t>
  </si>
  <si>
    <t>Quillacollo</t>
  </si>
  <si>
    <t>Sipesipe</t>
  </si>
  <si>
    <t>Tiquipaya</t>
  </si>
  <si>
    <t>Vinto</t>
  </si>
  <si>
    <t>Colcapirhua</t>
  </si>
  <si>
    <t>Sacaba</t>
  </si>
  <si>
    <t>Colomi</t>
  </si>
  <si>
    <t>Villa Tunari</t>
  </si>
  <si>
    <t>Tapacarí</t>
  </si>
  <si>
    <t>Totora</t>
  </si>
  <si>
    <t>Pojo</t>
  </si>
  <si>
    <t>Pocona</t>
  </si>
  <si>
    <t>Chimoré</t>
  </si>
  <si>
    <t>Puerto Villarroel</t>
  </si>
  <si>
    <t>Entre Ríos</t>
  </si>
  <si>
    <t>Mizque</t>
  </si>
  <si>
    <t>Vila Vila</t>
  </si>
  <si>
    <t>Alalay</t>
  </si>
  <si>
    <t>TIOC-Raqaypampa</t>
  </si>
  <si>
    <t>Punata</t>
  </si>
  <si>
    <t>Villa Rivero</t>
  </si>
  <si>
    <t>San Benito</t>
  </si>
  <si>
    <t>Tacachi</t>
  </si>
  <si>
    <t>Villa Gualberto Villarroel</t>
  </si>
  <si>
    <t>Bolívar</t>
  </si>
  <si>
    <t>Tiraque</t>
  </si>
  <si>
    <t>Shinahota</t>
  </si>
  <si>
    <t>Caracollo</t>
  </si>
  <si>
    <t>El Choro</t>
  </si>
  <si>
    <t>Paria</t>
  </si>
  <si>
    <t>Challapata</t>
  </si>
  <si>
    <t>Santuario de Quillacas</t>
  </si>
  <si>
    <t>Corque</t>
  </si>
  <si>
    <t>Choquecota</t>
  </si>
  <si>
    <t>Curahuara de Carangas</t>
  </si>
  <si>
    <t>Turco</t>
  </si>
  <si>
    <t>Huachacalla</t>
  </si>
  <si>
    <t>Escara</t>
  </si>
  <si>
    <t>Cruz de Machacamarca</t>
  </si>
  <si>
    <t>Yunguyo del Litoral</t>
  </si>
  <si>
    <t>Esmeralda</t>
  </si>
  <si>
    <t>Poopó</t>
  </si>
  <si>
    <t>Pazña</t>
  </si>
  <si>
    <t>Antequera</t>
  </si>
  <si>
    <t>Huanuni</t>
  </si>
  <si>
    <t>Machacamarca</t>
  </si>
  <si>
    <t>Salinas de Garci Mendoza (Autonomía Indígena Originario Campesina de Salinas)</t>
  </si>
  <si>
    <t>Pampa Aullagas</t>
  </si>
  <si>
    <t>Sabaya</t>
  </si>
  <si>
    <t>Coipasa</t>
  </si>
  <si>
    <t>Uru Chipaya (Nación Originaria Uru Chipaya)</t>
  </si>
  <si>
    <t>Toledo</t>
  </si>
  <si>
    <t>Eucaliptus</t>
  </si>
  <si>
    <t>Andamarca</t>
  </si>
  <si>
    <t>Belén de Andamarca</t>
  </si>
  <si>
    <t>Santiago de Huari</t>
  </si>
  <si>
    <t>La Rivera</t>
  </si>
  <si>
    <t>Todos Santos</t>
  </si>
  <si>
    <t>Carangas</t>
  </si>
  <si>
    <t>Santiago de Huayllamarca</t>
  </si>
  <si>
    <t>Tinguipaya</t>
  </si>
  <si>
    <t>Yocalla</t>
  </si>
  <si>
    <t>Urmiri</t>
  </si>
  <si>
    <t>Uncía</t>
  </si>
  <si>
    <t>Chayanta</t>
  </si>
  <si>
    <t>Llallagua</t>
  </si>
  <si>
    <t>Chuquihuta Ayllu Jucumani</t>
  </si>
  <si>
    <t>Betanzos</t>
  </si>
  <si>
    <t>Chaquí</t>
  </si>
  <si>
    <t>Tacobamba</t>
  </si>
  <si>
    <t>Colquechaca</t>
  </si>
  <si>
    <t>Ravelo</t>
  </si>
  <si>
    <t>Pocoata</t>
  </si>
  <si>
    <t>Ocurí</t>
  </si>
  <si>
    <t>San Pedro de Macha</t>
  </si>
  <si>
    <t>San Pedro</t>
  </si>
  <si>
    <t>Toro Toro</t>
  </si>
  <si>
    <t>Cotagaita</t>
  </si>
  <si>
    <t>Vitichi</t>
  </si>
  <si>
    <t>Sacaca</t>
  </si>
  <si>
    <t>Caripuyo</t>
  </si>
  <si>
    <t>Tupiza</t>
  </si>
  <si>
    <t>Atocha</t>
  </si>
  <si>
    <t>Colcha "K"</t>
  </si>
  <si>
    <t>San Pedro de Quemes</t>
  </si>
  <si>
    <t>San Pablo</t>
  </si>
  <si>
    <t>Mojinete</t>
  </si>
  <si>
    <t>San Antonio de Esmoruco</t>
  </si>
  <si>
    <t>Puna</t>
  </si>
  <si>
    <t>Caiza "D"</t>
  </si>
  <si>
    <t>Ckochas</t>
  </si>
  <si>
    <t>Uyuni</t>
  </si>
  <si>
    <t>Tomave</t>
  </si>
  <si>
    <t>Porco</t>
  </si>
  <si>
    <t>TIOC-Jatun Ayllu Yura</t>
  </si>
  <si>
    <t>Arampampa</t>
  </si>
  <si>
    <t>Acasio</t>
  </si>
  <si>
    <t>Llica</t>
  </si>
  <si>
    <t>Tahua</t>
  </si>
  <si>
    <t>Villazón</t>
  </si>
  <si>
    <t>San Agustín</t>
  </si>
  <si>
    <t>Padcaya</t>
  </si>
  <si>
    <t>Bermejo</t>
  </si>
  <si>
    <t>Yacuiba</t>
  </si>
  <si>
    <t>Caraparí</t>
  </si>
  <si>
    <t>Villa Montes</t>
  </si>
  <si>
    <t>Uriondo</t>
  </si>
  <si>
    <t>Yunchará</t>
  </si>
  <si>
    <t>San Lorenzo</t>
  </si>
  <si>
    <t>El Puente</t>
  </si>
  <si>
    <t>Santa Cruz de la Sierra</t>
  </si>
  <si>
    <t>Cotoca</t>
  </si>
  <si>
    <t>Porongo</t>
  </si>
  <si>
    <t>La Guardia</t>
  </si>
  <si>
    <t>El Torno</t>
  </si>
  <si>
    <t>Warnes</t>
  </si>
  <si>
    <t>Okinawa Uno</t>
  </si>
  <si>
    <t>San Ignacio</t>
  </si>
  <si>
    <t>San Miguel</t>
  </si>
  <si>
    <t>San Rafael</t>
  </si>
  <si>
    <t>Buena Vista</t>
  </si>
  <si>
    <t>San Carlos</t>
  </si>
  <si>
    <t>Yapacaní</t>
  </si>
  <si>
    <t>San Juan</t>
  </si>
  <si>
    <t>San José</t>
  </si>
  <si>
    <t>Pailón</t>
  </si>
  <si>
    <t>Roboré</t>
  </si>
  <si>
    <t>Portachuelo</t>
  </si>
  <si>
    <t>Santa Rosa</t>
  </si>
  <si>
    <t>Colpa Bélgica</t>
  </si>
  <si>
    <t>Lagunillas</t>
  </si>
  <si>
    <t>Charagua (Autonomía Guaraní Charagua Iyambae)</t>
  </si>
  <si>
    <t>Cabezas</t>
  </si>
  <si>
    <t>Cuevo</t>
  </si>
  <si>
    <t>Gutiérrez (Autonomía Indígena Kereimba Iyaambae)</t>
  </si>
  <si>
    <t>Camiri</t>
  </si>
  <si>
    <t>Boyuibe</t>
  </si>
  <si>
    <t>Vallegrande</t>
  </si>
  <si>
    <t>Trigal</t>
  </si>
  <si>
    <t>Moromoro</t>
  </si>
  <si>
    <t>Postrervalle</t>
  </si>
  <si>
    <t>Pucará</t>
  </si>
  <si>
    <t>Samaipata</t>
  </si>
  <si>
    <t>Pampagrande</t>
  </si>
  <si>
    <t>Mairana</t>
  </si>
  <si>
    <t>Quirusillas</t>
  </si>
  <si>
    <t>Montero</t>
  </si>
  <si>
    <t>General Saavedra</t>
  </si>
  <si>
    <t>Mineros</t>
  </si>
  <si>
    <t>Fernández Alonso</t>
  </si>
  <si>
    <t>Concepción</t>
  </si>
  <si>
    <t>San Javier</t>
  </si>
  <si>
    <t>San Ramón</t>
  </si>
  <si>
    <t>San Julián</t>
  </si>
  <si>
    <t>San Antonio de Lomerio</t>
  </si>
  <si>
    <t>Cuatro Cañadas</t>
  </si>
  <si>
    <t>San Matías</t>
  </si>
  <si>
    <t>Comarapa</t>
  </si>
  <si>
    <t>Saipina</t>
  </si>
  <si>
    <t>Puerto Suárez</t>
  </si>
  <si>
    <t>Puerto Quijarro</t>
  </si>
  <si>
    <t>El Carmen Rivero Tórrez</t>
  </si>
  <si>
    <t>Ascención de Guarayos</t>
  </si>
  <si>
    <t>Urubichá</t>
  </si>
  <si>
    <t>Trinidad</t>
  </si>
  <si>
    <t>Riberalta</t>
  </si>
  <si>
    <t>Guayaramerín</t>
  </si>
  <si>
    <t>Reyes</t>
  </si>
  <si>
    <t>San Borja</t>
  </si>
  <si>
    <t>Puerto Menor de Rurrenabaque</t>
  </si>
  <si>
    <t>Santa Ana</t>
  </si>
  <si>
    <t>Exaltación</t>
  </si>
  <si>
    <t>Loreto</t>
  </si>
  <si>
    <t>San Andrés</t>
  </si>
  <si>
    <t>San Joaquín</t>
  </si>
  <si>
    <t>Puerto Siles</t>
  </si>
  <si>
    <t>Magdalena</t>
  </si>
  <si>
    <t>Baures</t>
  </si>
  <si>
    <t>Huacaraje</t>
  </si>
  <si>
    <t>TIOC-Territorio Indígena Multiétnico</t>
  </si>
  <si>
    <t>Cobija</t>
  </si>
  <si>
    <t>Porvenir</t>
  </si>
  <si>
    <t>Bolpebra</t>
  </si>
  <si>
    <t>Bella Flor</t>
  </si>
  <si>
    <t>Puerto Rico</t>
  </si>
  <si>
    <t>Filadelfia</t>
  </si>
  <si>
    <t>Puerto Gonzalo Moreno</t>
  </si>
  <si>
    <t>Sena</t>
  </si>
  <si>
    <t>Ingavi</t>
  </si>
  <si>
    <t>Nueva Esperanza</t>
  </si>
  <si>
    <t>Villa Nueva</t>
  </si>
  <si>
    <t>Santos Mercado</t>
  </si>
  <si>
    <t>Promedio</t>
  </si>
  <si>
    <t>Desv. Est.</t>
  </si>
  <si>
    <t>Min</t>
  </si>
  <si>
    <t>Max</t>
  </si>
  <si>
    <t>Obs</t>
  </si>
  <si>
    <t>Población 2023</t>
  </si>
  <si>
    <t>Tasa de urbanización 2023</t>
  </si>
  <si>
    <t>Porcentaje de menores de 5 años con sobrepeso (Peso para talla &gt; 2 DE), 2023 (%) (por departamento)</t>
  </si>
  <si>
    <t>Porcentaje de menores de 5 años con sobrepeso (Peso para talla &gt; 2 DE), 2023 (%) (por urbanizacion)</t>
  </si>
  <si>
    <t>Porcentaje de menores de 5 años con sobrepeso, 2023 (%) (ponderado por departamento y nivel de urbanización)</t>
  </si>
  <si>
    <t>Estimación menores de 5 años, 2023</t>
  </si>
  <si>
    <t>Menores de 5 años con sobrepeso, 2023 (ponderado por departamento y nivel de urbanización)</t>
  </si>
  <si>
    <t>Menores de 5 años con desnutrición crónica, 2023 (ponderado por departamento y nivel de urbanización)</t>
  </si>
  <si>
    <t>Porcentaje de menores de 5 años con desnutrición crónica, 2023 (%) (ponderado por departamento y nivel de urbanización)</t>
  </si>
  <si>
    <t>sdg2_2_sobrepeso_menores_2008</t>
  </si>
  <si>
    <t>sdg2_2_sobrepeso_menores_2023</t>
  </si>
  <si>
    <t>sdg2_2_sobrepeso_menores_abs_2008</t>
  </si>
  <si>
    <t>sdg2_2_sobrepeso_menores_abs_2023</t>
  </si>
  <si>
    <t>id_departamento</t>
  </si>
  <si>
    <t>ODS</t>
  </si>
  <si>
    <t>Indicador</t>
  </si>
  <si>
    <t>Meta Alcanzada max</t>
  </si>
  <si>
    <t>Meta Alcanzada min</t>
  </si>
  <si>
    <t>Próximo a Alcanzarse max</t>
  </si>
  <si>
    <t>Próximo a Alcanzarse min</t>
  </si>
  <si>
    <t>Quedan Retos Importantes max</t>
  </si>
  <si>
    <t>Quedan Retos Importantes min</t>
  </si>
  <si>
    <t>Quedan Retos Grandes max</t>
  </si>
  <si>
    <t>Quedan Retos Grandes min</t>
  </si>
  <si>
    <t>Obesidad en niños &lt; 5 años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</si>
</sst>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0;[Red]#,##0"/>
    <numFmt numFmtId="166" formatCode="0.0&quot;*&quot;"/>
    <numFmt numFmtId="167" formatCode="_-* #,##0_-;\-* #,##0_-;_-* &quot;-&quot;??_-;_-@"/>
    <numFmt numFmtId="168" formatCode="#,##0.0"/>
    <numFmt numFmtId="169" formatCode="0.0%"/>
    <numFmt numFmtId="170" formatCode="_-* #,##0.00_-;\-* #,##0.00_-;_-* &quot;-&quot;??_-;_-@"/>
    <numFmt numFmtId="171" formatCode="_(* #,##0.0_);_(* \(#,##0.0\);_(* &quot;-&quot;??_);_(@_)"/>
  </numFmts>
  <fonts count="14">
    <font>
      <sz val="10.0"/>
      <color rgb="FF000000"/>
      <name val="Arial"/>
      <scheme val="minor"/>
    </font>
    <font>
      <sz val="10.0"/>
      <color theme="1"/>
      <name val="Arial"/>
    </font>
    <font>
      <b/>
      <sz val="10.0"/>
      <color rgb="FF17223D"/>
      <name val="Arial"/>
    </font>
    <font>
      <b/>
      <sz val="9.0"/>
      <color rgb="FFFFFFFF"/>
      <name val="Arial"/>
    </font>
    <font/>
    <font>
      <sz val="9.0"/>
      <color theme="1"/>
      <name val="Arial"/>
    </font>
    <font>
      <b/>
      <sz val="9.0"/>
      <color theme="1"/>
      <name val="Arial"/>
    </font>
    <font>
      <sz val="8.0"/>
      <color theme="1"/>
      <name val="Arial"/>
    </font>
    <font>
      <b/>
      <sz val="11.0"/>
      <color theme="1"/>
      <name val="Calibri"/>
    </font>
    <font>
      <sz val="11.0"/>
      <color theme="1"/>
      <name val="Calibri"/>
    </font>
    <font>
      <sz val="11.0"/>
      <color theme="1"/>
      <name val="Arial"/>
    </font>
    <font>
      <sz val="10.0"/>
      <color rgb="FF000000"/>
      <name val="Arial"/>
    </font>
    <font>
      <b/>
      <sz val="10.0"/>
      <color theme="1"/>
      <name val="Arial"/>
    </font>
    <font>
      <b/>
      <sz val="9.0"/>
      <color theme="1"/>
      <name val="Play"/>
    </font>
  </fonts>
  <fills count="13">
    <fill>
      <patternFill patternType="none"/>
    </fill>
    <fill>
      <patternFill patternType="lightGray"/>
    </fill>
    <fill>
      <patternFill patternType="solid">
        <fgColor rgb="FF17223D"/>
        <bgColor rgb="FF17223D"/>
      </patternFill>
    </fill>
    <fill>
      <patternFill patternType="solid">
        <fgColor rgb="FFFFFFFF"/>
        <bgColor rgb="FFFFFFFF"/>
      </patternFill>
    </fill>
    <fill>
      <patternFill patternType="solid">
        <fgColor rgb="FF44618C"/>
        <bgColor rgb="FF44618C"/>
      </patternFill>
    </fill>
    <fill>
      <patternFill patternType="solid">
        <fgColor rgb="FFC5D9F1"/>
        <bgColor rgb="FFC5D9F1"/>
      </patternFill>
    </fill>
    <fill>
      <patternFill patternType="solid">
        <fgColor rgb="FFE2EFD9"/>
        <bgColor rgb="FFE2EFD9"/>
      </patternFill>
    </fill>
    <fill>
      <patternFill patternType="solid">
        <fgColor rgb="FFF9CB9C"/>
        <bgColor rgb="FFF9CB9C"/>
      </patternFill>
    </fill>
    <fill>
      <patternFill patternType="solid">
        <fgColor rgb="FF808080"/>
        <bgColor rgb="FF808080"/>
      </patternFill>
    </fill>
    <fill>
      <patternFill patternType="solid">
        <fgColor rgb="FF00B050"/>
        <bgColor rgb="FF00B050"/>
      </patternFill>
    </fill>
    <fill>
      <patternFill patternType="solid">
        <fgColor rgb="FFFFFF00"/>
        <bgColor rgb="FFFFFF00"/>
      </patternFill>
    </fill>
    <fill>
      <patternFill patternType="solid">
        <fgColor rgb="FFE97132"/>
        <bgColor rgb="FFE97132"/>
      </patternFill>
    </fill>
    <fill>
      <patternFill patternType="solid">
        <fgColor rgb="FFEE0000"/>
        <bgColor rgb="FFEE0000"/>
      </patternFill>
    </fill>
  </fills>
  <borders count="26">
    <border/>
    <border>
      <left/>
      <right style="thin">
        <color theme="0"/>
      </right>
      <top style="thin">
        <color rgb="FF000000"/>
      </top>
    </border>
    <border>
      <left style="thin">
        <color theme="0"/>
      </left>
      <top style="thin">
        <color rgb="FF000000"/>
      </top>
      <bottom style="thin">
        <color theme="0"/>
      </bottom>
    </border>
    <border>
      <right style="thin">
        <color theme="0"/>
      </right>
      <top style="thin">
        <color rgb="FF000000"/>
      </top>
      <bottom style="thin">
        <color theme="0"/>
      </bottom>
    </border>
    <border>
      <top style="thin">
        <color rgb="FF000000"/>
      </top>
      <bottom style="thin">
        <color theme="0"/>
      </bottom>
    </border>
    <border>
      <left style="thin">
        <color theme="0"/>
      </left>
      <right style="thin">
        <color rgb="FF000000"/>
      </right>
      <top style="thin">
        <color rgb="FF000000"/>
      </top>
    </border>
    <border>
      <left/>
      <right style="thin">
        <color theme="0"/>
      </right>
      <bottom/>
    </border>
    <border>
      <left style="thin">
        <color theme="0"/>
      </left>
      <right style="thin">
        <color theme="0"/>
      </right>
      <top style="thin">
        <color theme="0"/>
      </top>
      <bottom/>
    </border>
    <border>
      <left style="thin">
        <color theme="0"/>
      </left>
      <right style="thin">
        <color rgb="FF000000"/>
      </right>
      <bottom/>
    </border>
    <border>
      <left style="thin">
        <color theme="1"/>
      </left>
      <right style="thin">
        <color theme="1"/>
      </right>
      <top/>
      <bottom/>
    </border>
    <border>
      <left/>
      <right/>
      <top/>
      <bottom/>
    </border>
    <border>
      <left style="thin">
        <color theme="1"/>
      </left>
      <right style="thin">
        <color theme="1"/>
      </right>
    </border>
    <border>
      <left style="thin">
        <color theme="1"/>
      </left>
      <right style="thin">
        <color theme="1"/>
      </right>
      <bottom style="thin">
        <color theme="1"/>
      </bottom>
    </border>
    <border>
      <left style="thin">
        <color theme="1"/>
      </left>
      <right style="thin">
        <color theme="1"/>
      </right>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style="thin">
        <color rgb="FF000000"/>
      </right>
      <top style="thin">
        <color rgb="FF000000"/>
      </top>
      <bottom/>
    </border>
    <border>
      <left style="thin">
        <color rgb="FF000000"/>
      </left>
      <right/>
      <top/>
      <bottom/>
    </border>
    <border>
      <left/>
      <right style="thin">
        <color rgb="FF000000"/>
      </right>
      <top/>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Font="1"/>
    <xf borderId="0" fillId="0" fontId="2" numFmtId="0" xfId="0" applyFont="1"/>
    <xf borderId="0" fillId="0" fontId="2" numFmtId="0" xfId="0" applyAlignment="1" applyFont="1">
      <alignment shrinkToFit="0" wrapText="1"/>
    </xf>
    <xf borderId="1" fillId="2" fontId="3" numFmtId="0" xfId="0" applyAlignment="1" applyBorder="1" applyFill="1" applyFont="1">
      <alignment horizontal="center" shrinkToFit="0" wrapText="1"/>
    </xf>
    <xf borderId="2" fillId="2" fontId="3" numFmtId="0" xfId="0" applyAlignment="1" applyBorder="1" applyFont="1">
      <alignment horizontal="center" shrinkToFit="0" wrapText="1"/>
    </xf>
    <xf borderId="3" fillId="0" fontId="4" numFmtId="0" xfId="0" applyBorder="1" applyFont="1"/>
    <xf borderId="4" fillId="0" fontId="4" numFmtId="0" xfId="0" applyBorder="1" applyFont="1"/>
    <xf borderId="5" fillId="2" fontId="3" numFmtId="0" xfId="0" applyAlignment="1" applyBorder="1" applyFont="1">
      <alignment horizontal="center" shrinkToFit="0" wrapText="1"/>
    </xf>
    <xf borderId="6" fillId="0" fontId="4" numFmtId="0" xfId="0" applyBorder="1" applyFont="1"/>
    <xf borderId="7" fillId="2" fontId="3" numFmtId="0" xfId="0" applyAlignment="1" applyBorder="1" applyFont="1">
      <alignment horizontal="center" shrinkToFit="0" wrapText="1"/>
    </xf>
    <xf borderId="8" fillId="0" fontId="4" numFmtId="0" xfId="0" applyBorder="1" applyFont="1"/>
    <xf borderId="9" fillId="3" fontId="1" numFmtId="0" xfId="0" applyBorder="1" applyFill="1" applyFont="1"/>
    <xf borderId="10" fillId="3" fontId="1" numFmtId="0" xfId="0" applyBorder="1" applyFont="1"/>
    <xf borderId="9" fillId="4" fontId="3" numFmtId="0" xfId="0" applyBorder="1" applyFill="1" applyFont="1"/>
    <xf borderId="9" fillId="4" fontId="3" numFmtId="0" xfId="0" applyAlignment="1" applyBorder="1" applyFont="1">
      <alignment horizontal="center"/>
    </xf>
    <xf borderId="9" fillId="4" fontId="3" numFmtId="3" xfId="0" applyAlignment="1" applyBorder="1" applyFont="1" applyNumberFormat="1">
      <alignment horizontal="right"/>
    </xf>
    <xf borderId="11" fillId="0" fontId="5" numFmtId="0" xfId="0" applyBorder="1" applyFont="1"/>
    <xf borderId="11" fillId="0" fontId="5" numFmtId="164" xfId="0" applyAlignment="1" applyBorder="1" applyFont="1" applyNumberFormat="1">
      <alignment horizontal="center"/>
    </xf>
    <xf borderId="11" fillId="0" fontId="5" numFmtId="165" xfId="0" applyAlignment="1" applyBorder="1" applyFont="1" applyNumberFormat="1">
      <alignment horizontal="right"/>
    </xf>
    <xf borderId="9" fillId="5" fontId="6" numFmtId="0" xfId="0" applyBorder="1" applyFill="1" applyFont="1"/>
    <xf borderId="9" fillId="5" fontId="1" numFmtId="0" xfId="0" applyBorder="1" applyFont="1"/>
    <xf borderId="9" fillId="5" fontId="1" numFmtId="164" xfId="0" applyBorder="1" applyFont="1" applyNumberFormat="1"/>
    <xf borderId="9" fillId="5" fontId="1" numFmtId="165" xfId="0" applyBorder="1" applyFont="1" applyNumberFormat="1"/>
    <xf borderId="11" fillId="0" fontId="5" numFmtId="0" xfId="0" applyAlignment="1" applyBorder="1" applyFont="1">
      <alignment shrinkToFit="0" wrapText="1"/>
    </xf>
    <xf borderId="9" fillId="4" fontId="3" numFmtId="164" xfId="0" applyAlignment="1" applyBorder="1" applyFont="1" applyNumberFormat="1">
      <alignment horizontal="center"/>
    </xf>
    <xf borderId="9" fillId="4" fontId="3" numFmtId="166" xfId="0" applyAlignment="1" applyBorder="1" applyFont="1" applyNumberFormat="1">
      <alignment horizontal="center"/>
    </xf>
    <xf borderId="11" fillId="0" fontId="5" numFmtId="166" xfId="0" applyAlignment="1" applyBorder="1" applyFont="1" applyNumberFormat="1">
      <alignment horizontal="center"/>
    </xf>
    <xf borderId="12" fillId="0" fontId="5" numFmtId="0" xfId="0" applyAlignment="1" applyBorder="1" applyFont="1">
      <alignment shrinkToFit="0" wrapText="1"/>
    </xf>
    <xf borderId="13" fillId="0" fontId="5" numFmtId="166" xfId="0" applyAlignment="1" applyBorder="1" applyFont="1" applyNumberFormat="1">
      <alignment horizontal="center"/>
    </xf>
    <xf borderId="12" fillId="0" fontId="5" numFmtId="166" xfId="0" applyAlignment="1" applyBorder="1" applyFont="1" applyNumberFormat="1">
      <alignment horizontal="center"/>
    </xf>
    <xf borderId="12" fillId="0" fontId="5" numFmtId="165" xfId="0" applyAlignment="1" applyBorder="1" applyFont="1" applyNumberFormat="1">
      <alignment horizontal="right"/>
    </xf>
    <xf borderId="12" fillId="0" fontId="5" numFmtId="164" xfId="0" applyAlignment="1" applyBorder="1" applyFont="1" applyNumberFormat="1">
      <alignment horizontal="center"/>
    </xf>
    <xf borderId="0" fillId="0" fontId="7" numFmtId="0" xfId="0" applyFont="1"/>
    <xf quotePrefix="1" borderId="0" fillId="0" fontId="7" numFmtId="0" xfId="0" applyFont="1"/>
    <xf borderId="0" fillId="0" fontId="7" numFmtId="0" xfId="0" applyAlignment="1" applyFont="1">
      <alignment shrinkToFit="0" wrapText="1"/>
    </xf>
    <xf borderId="14" fillId="0" fontId="8" numFmtId="0" xfId="0" applyAlignment="1" applyBorder="1" applyFont="1">
      <alignment horizontal="center" shrinkToFit="0" vertical="top" wrapText="1"/>
    </xf>
    <xf borderId="14" fillId="0" fontId="8" numFmtId="167" xfId="0" applyAlignment="1" applyBorder="1" applyFont="1" applyNumberFormat="1">
      <alignment horizontal="center" shrinkToFit="0" vertical="top" wrapText="1"/>
    </xf>
    <xf borderId="14" fillId="0" fontId="8" numFmtId="168" xfId="0" applyAlignment="1" applyBorder="1" applyFont="1" applyNumberFormat="1">
      <alignment horizontal="center" shrinkToFit="0" vertical="top" wrapText="1"/>
    </xf>
    <xf borderId="14" fillId="6" fontId="8" numFmtId="0" xfId="0" applyAlignment="1" applyBorder="1" applyFill="1" applyFont="1">
      <alignment horizontal="center" shrinkToFit="0" vertical="top" wrapText="1"/>
    </xf>
    <xf borderId="14" fillId="0" fontId="8" numFmtId="3" xfId="0" applyAlignment="1" applyBorder="1" applyFont="1" applyNumberFormat="1">
      <alignment horizontal="center" shrinkToFit="0" vertical="top" wrapText="1"/>
    </xf>
    <xf borderId="14" fillId="0" fontId="8" numFmtId="169" xfId="0" applyAlignment="1" applyBorder="1" applyFont="1" applyNumberFormat="1">
      <alignment horizontal="center" shrinkToFit="0" vertical="top" wrapText="1"/>
    </xf>
    <xf borderId="14" fillId="0" fontId="8" numFmtId="0" xfId="0" applyAlignment="1" applyBorder="1" applyFont="1">
      <alignment shrinkToFit="0" vertical="top" wrapText="1"/>
    </xf>
    <xf borderId="0" fillId="0" fontId="9" numFmtId="0" xfId="0" applyFont="1"/>
    <xf borderId="14" fillId="0" fontId="8" numFmtId="0" xfId="0" applyAlignment="1" applyBorder="1" applyFont="1">
      <alignment shrinkToFit="0" wrapText="1"/>
    </xf>
    <xf borderId="14" fillId="0" fontId="1" numFmtId="0" xfId="0" applyBorder="1" applyFont="1"/>
    <xf borderId="14" fillId="0" fontId="9" numFmtId="167" xfId="0" applyAlignment="1" applyBorder="1" applyFont="1" applyNumberFormat="1">
      <alignment horizontal="right"/>
    </xf>
    <xf borderId="14" fillId="0" fontId="9" numFmtId="168" xfId="0" applyAlignment="1" applyBorder="1" applyFont="1" applyNumberFormat="1">
      <alignment horizontal="right"/>
    </xf>
    <xf borderId="14" fillId="0" fontId="1" numFmtId="164" xfId="0" applyBorder="1" applyFont="1" applyNumberFormat="1"/>
    <xf borderId="14" fillId="0" fontId="9" numFmtId="164" xfId="0" applyBorder="1" applyFont="1" applyNumberFormat="1"/>
    <xf borderId="14" fillId="6" fontId="9" numFmtId="164" xfId="0" applyBorder="1" applyFont="1" applyNumberFormat="1"/>
    <xf borderId="14" fillId="0" fontId="9" numFmtId="170" xfId="0" applyAlignment="1" applyBorder="1" applyFont="1" applyNumberFormat="1">
      <alignment horizontal="right"/>
    </xf>
    <xf borderId="14" fillId="0" fontId="9" numFmtId="3" xfId="0" applyAlignment="1" applyBorder="1" applyFont="1" applyNumberFormat="1">
      <alignment horizontal="right"/>
    </xf>
    <xf borderId="14" fillId="0" fontId="9" numFmtId="169" xfId="0" applyAlignment="1" applyBorder="1" applyFont="1" applyNumberFormat="1">
      <alignment horizontal="right"/>
    </xf>
    <xf borderId="15" fillId="7" fontId="1" numFmtId="0" xfId="0" applyBorder="1" applyFill="1" applyFont="1"/>
    <xf borderId="16" fillId="7" fontId="1" numFmtId="164" xfId="0" applyBorder="1" applyFont="1" applyNumberFormat="1"/>
    <xf borderId="14" fillId="0" fontId="9" numFmtId="0" xfId="0" applyBorder="1" applyFont="1"/>
    <xf borderId="14" fillId="0" fontId="9" numFmtId="171" xfId="0" applyAlignment="1" applyBorder="1" applyFont="1" applyNumberFormat="1">
      <alignment horizontal="right"/>
    </xf>
    <xf borderId="14" fillId="0" fontId="10" numFmtId="3" xfId="0" applyBorder="1" applyFont="1" applyNumberFormat="1"/>
    <xf borderId="14" fillId="0" fontId="10" numFmtId="169" xfId="0" applyBorder="1" applyFont="1" applyNumberFormat="1"/>
    <xf borderId="17" fillId="7" fontId="1" numFmtId="0" xfId="0" applyBorder="1" applyFont="1"/>
    <xf borderId="18" fillId="7" fontId="1" numFmtId="164" xfId="0" applyBorder="1" applyFont="1" applyNumberFormat="1"/>
    <xf borderId="19" fillId="7" fontId="1" numFmtId="0" xfId="0" applyBorder="1" applyFont="1"/>
    <xf borderId="20" fillId="7" fontId="1" numFmtId="0" xfId="0" applyBorder="1" applyFont="1"/>
    <xf borderId="21" fillId="0" fontId="9" numFmtId="0" xfId="0" applyBorder="1" applyFont="1"/>
    <xf borderId="21" fillId="0" fontId="9" numFmtId="167" xfId="0" applyAlignment="1" applyBorder="1" applyFont="1" applyNumberFormat="1">
      <alignment horizontal="right"/>
    </xf>
    <xf borderId="21" fillId="0" fontId="9" numFmtId="171" xfId="0" applyAlignment="1" applyBorder="1" applyFont="1" applyNumberFormat="1">
      <alignment horizontal="right"/>
    </xf>
    <xf borderId="14" fillId="0" fontId="11" numFmtId="3" xfId="0" applyBorder="1" applyFont="1" applyNumberFormat="1"/>
    <xf borderId="14" fillId="0" fontId="9" numFmtId="3" xfId="0" applyBorder="1" applyFont="1" applyNumberFormat="1"/>
    <xf borderId="14" fillId="0" fontId="9" numFmtId="168" xfId="0" applyBorder="1" applyFont="1" applyNumberFormat="1"/>
    <xf borderId="21" fillId="0" fontId="1" numFmtId="0" xfId="0" applyBorder="1" applyFont="1"/>
    <xf borderId="21" fillId="0" fontId="9" numFmtId="3" xfId="0" applyBorder="1" applyFont="1" applyNumberFormat="1"/>
    <xf borderId="21" fillId="0" fontId="9" numFmtId="168" xfId="0" applyBorder="1" applyFont="1" applyNumberFormat="1"/>
    <xf borderId="22" fillId="6" fontId="9" numFmtId="164" xfId="0" applyBorder="1" applyFont="1" applyNumberFormat="1"/>
    <xf borderId="21" fillId="0" fontId="9" numFmtId="170" xfId="0" applyAlignment="1" applyBorder="1" applyFont="1" applyNumberFormat="1">
      <alignment horizontal="right"/>
    </xf>
    <xf borderId="21" fillId="0" fontId="9" numFmtId="168" xfId="0" applyAlignment="1" applyBorder="1" applyFont="1" applyNumberFormat="1">
      <alignment horizontal="right"/>
    </xf>
    <xf borderId="21" fillId="0" fontId="10" numFmtId="3" xfId="0" applyBorder="1" applyFont="1" applyNumberFormat="1"/>
    <xf borderId="21" fillId="0" fontId="10" numFmtId="169" xfId="0" applyBorder="1" applyFont="1" applyNumberFormat="1"/>
    <xf borderId="23" fillId="0" fontId="1" numFmtId="0" xfId="0" applyBorder="1" applyFont="1"/>
    <xf borderId="24" fillId="0" fontId="8" numFmtId="3" xfId="0" applyBorder="1" applyFont="1" applyNumberFormat="1"/>
    <xf borderId="24" fillId="0" fontId="8" numFmtId="168" xfId="0" applyBorder="1" applyFont="1" applyNumberFormat="1"/>
    <xf borderId="24" fillId="0" fontId="12" numFmtId="0" xfId="0" applyBorder="1" applyFont="1"/>
    <xf borderId="24" fillId="0" fontId="9" numFmtId="164" xfId="0" applyBorder="1" applyFont="1" applyNumberFormat="1"/>
    <xf borderId="24" fillId="0" fontId="1" numFmtId="0" xfId="0" applyBorder="1" applyFont="1"/>
    <xf borderId="24" fillId="0" fontId="1" numFmtId="164" xfId="0" applyBorder="1" applyFont="1" applyNumberFormat="1"/>
    <xf borderId="24" fillId="0" fontId="1" numFmtId="170" xfId="0" applyBorder="1" applyFont="1" applyNumberFormat="1"/>
    <xf borderId="24" fillId="0" fontId="9" numFmtId="168" xfId="0" applyAlignment="1" applyBorder="1" applyFont="1" applyNumberFormat="1">
      <alignment horizontal="right"/>
    </xf>
    <xf borderId="24" fillId="0" fontId="10" numFmtId="3" xfId="0" applyBorder="1" applyFont="1" applyNumberFormat="1"/>
    <xf borderId="24" fillId="0" fontId="10" numFmtId="169" xfId="0" applyBorder="1" applyFont="1" applyNumberFormat="1"/>
    <xf borderId="24" fillId="0" fontId="9" numFmtId="3" xfId="0" applyBorder="1" applyFont="1" applyNumberFormat="1"/>
    <xf borderId="25" fillId="0" fontId="9" numFmtId="167" xfId="0" applyBorder="1" applyFont="1" applyNumberFormat="1"/>
    <xf borderId="0" fillId="0" fontId="9" numFmtId="168" xfId="0" applyFont="1" applyNumberFormat="1"/>
    <xf borderId="0" fillId="0" fontId="10" numFmtId="3" xfId="0" applyFont="1" applyNumberFormat="1"/>
    <xf borderId="0" fillId="0" fontId="10" numFmtId="169" xfId="0" applyFont="1" applyNumberFormat="1"/>
    <xf borderId="14" fillId="6" fontId="9" numFmtId="164" xfId="0" applyAlignment="1" applyBorder="1" applyFont="1" applyNumberFormat="1">
      <alignment horizontal="right"/>
    </xf>
    <xf borderId="0" fillId="0" fontId="10" numFmtId="0" xfId="0" applyFont="1"/>
    <xf borderId="0" fillId="0" fontId="9" numFmtId="168" xfId="0" applyAlignment="1" applyFont="1" applyNumberFormat="1">
      <alignment horizontal="right"/>
    </xf>
    <xf borderId="14" fillId="6" fontId="9" numFmtId="0" xfId="0" applyAlignment="1" applyBorder="1" applyFont="1">
      <alignment horizontal="right"/>
    </xf>
    <xf borderId="14" fillId="0" fontId="12" numFmtId="0" xfId="0" applyAlignment="1" applyBorder="1" applyFont="1">
      <alignment shrinkToFit="0" wrapText="1"/>
    </xf>
    <xf borderId="0" fillId="0" fontId="1" numFmtId="164" xfId="0" applyFont="1" applyNumberFormat="1"/>
    <xf borderId="0" fillId="0" fontId="12" numFmtId="0" xfId="0" applyAlignment="1" applyFont="1">
      <alignment shrinkToFit="0" wrapText="1"/>
    </xf>
    <xf borderId="14" fillId="0" fontId="1" numFmtId="167" xfId="0" applyBorder="1" applyFont="1" applyNumberFormat="1"/>
    <xf borderId="0" fillId="0" fontId="1" numFmtId="167" xfId="0" applyFont="1" applyNumberFormat="1"/>
    <xf borderId="14" fillId="0" fontId="12" numFmtId="0" xfId="0" applyBorder="1" applyFont="1"/>
    <xf borderId="0" fillId="0" fontId="12" numFmtId="0" xfId="0" applyFont="1"/>
    <xf borderId="14" fillId="0" fontId="1" numFmtId="171" xfId="0" applyBorder="1" applyFont="1" applyNumberFormat="1"/>
    <xf borderId="21" fillId="0" fontId="1" numFmtId="171" xfId="0" applyBorder="1" applyFont="1" applyNumberFormat="1"/>
    <xf borderId="14" fillId="0" fontId="11" numFmtId="171" xfId="0" applyBorder="1" applyFont="1" applyNumberFormat="1"/>
    <xf borderId="0" fillId="0" fontId="11" numFmtId="167" xfId="0" applyFont="1" applyNumberFormat="1"/>
    <xf borderId="14" fillId="0" fontId="11" numFmtId="167" xfId="0" applyBorder="1" applyFont="1" applyNumberFormat="1"/>
    <xf borderId="14" fillId="8" fontId="8" numFmtId="0" xfId="0" applyAlignment="1" applyBorder="1" applyFill="1" applyFont="1">
      <alignment shrinkToFit="0" vertical="center" wrapText="1"/>
    </xf>
    <xf borderId="14" fillId="9" fontId="13" numFmtId="0" xfId="0" applyAlignment="1" applyBorder="1" applyFill="1" applyFont="1">
      <alignment horizontal="center" shrinkToFit="0" vertical="center" wrapText="1"/>
    </xf>
    <xf borderId="14" fillId="10" fontId="13" numFmtId="0" xfId="0" applyAlignment="1" applyBorder="1" applyFill="1" applyFont="1">
      <alignment horizontal="center" shrinkToFit="0" vertical="center" wrapText="1"/>
    </xf>
    <xf borderId="14" fillId="11" fontId="13" numFmtId="0" xfId="0" applyAlignment="1" applyBorder="1" applyFill="1" applyFont="1">
      <alignment horizontal="center" shrinkToFit="0" vertical="center" wrapText="1"/>
    </xf>
    <xf borderId="14" fillId="12" fontId="13" numFmtId="0" xfId="0" applyAlignment="1" applyBorder="1" applyFill="1" applyFont="1">
      <alignment horizontal="center" shrinkToFit="0" vertical="center" wrapText="1"/>
    </xf>
    <xf borderId="14" fillId="0" fontId="9" numFmtId="0" xfId="0" applyAlignment="1" applyBorder="1" applyFont="1">
      <alignment horizontal="right" shrinkToFit="0" vertical="center" wrapText="1"/>
    </xf>
    <xf borderId="14" fillId="0" fontId="9" numFmtId="0" xfId="0" applyAlignment="1" applyBorder="1" applyFont="1">
      <alignment shrinkToFit="0" vertical="center" wrapText="1"/>
    </xf>
    <xf borderId="0" fillId="0" fontId="1"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externalLink" Target="externalLinks/externalLink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6448425" cy="43529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3.01.03.03"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3.01.03"/>
    </sheetNames>
    <sheetDataSet>
      <sheetData sheetId="0"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7.88"/>
  </cols>
  <sheetData>
    <row r="1">
      <c r="A1" s="1"/>
      <c r="B1" s="1"/>
      <c r="C1" s="1"/>
      <c r="D1" s="1"/>
      <c r="E1" s="1"/>
      <c r="F1" s="1"/>
      <c r="G1" s="1"/>
      <c r="H1" s="1"/>
      <c r="I1" s="1"/>
      <c r="J1" s="1"/>
      <c r="K1" s="1"/>
    </row>
    <row r="2">
      <c r="A2" s="2" t="s">
        <v>0</v>
      </c>
      <c r="B2" s="1"/>
      <c r="C2" s="1"/>
      <c r="D2" s="1"/>
      <c r="E2" s="1"/>
      <c r="F2" s="1"/>
      <c r="G2" s="1"/>
      <c r="H2" s="1"/>
      <c r="I2" s="1"/>
      <c r="J2" s="1"/>
      <c r="K2" s="1"/>
    </row>
    <row r="3">
      <c r="A3" s="3" t="s">
        <v>1</v>
      </c>
      <c r="K3" s="1"/>
    </row>
    <row r="4">
      <c r="A4" s="3" t="s">
        <v>2</v>
      </c>
      <c r="B4" s="1"/>
      <c r="C4" s="1"/>
      <c r="D4" s="1"/>
      <c r="E4" s="1"/>
      <c r="F4" s="1"/>
      <c r="G4" s="1"/>
      <c r="H4" s="1"/>
      <c r="I4" s="1"/>
      <c r="J4" s="1"/>
      <c r="K4" s="1"/>
    </row>
    <row r="5">
      <c r="A5" s="4" t="s">
        <v>3</v>
      </c>
      <c r="B5" s="5" t="s">
        <v>4</v>
      </c>
      <c r="C5" s="6"/>
      <c r="D5" s="5" t="s">
        <v>5</v>
      </c>
      <c r="E5" s="7"/>
      <c r="F5" s="6"/>
      <c r="G5" s="5" t="s">
        <v>6</v>
      </c>
      <c r="H5" s="7"/>
      <c r="I5" s="6"/>
      <c r="J5" s="8" t="s">
        <v>7</v>
      </c>
      <c r="K5" s="1"/>
    </row>
    <row r="6">
      <c r="A6" s="9"/>
      <c r="B6" s="10" t="s">
        <v>8</v>
      </c>
      <c r="C6" s="10" t="s">
        <v>9</v>
      </c>
      <c r="D6" s="10" t="s">
        <v>8</v>
      </c>
      <c r="E6" s="10" t="s">
        <v>9</v>
      </c>
      <c r="F6" s="10" t="s">
        <v>10</v>
      </c>
      <c r="G6" s="10" t="s">
        <v>8</v>
      </c>
      <c r="H6" s="10" t="s">
        <v>9</v>
      </c>
      <c r="I6" s="10" t="s">
        <v>10</v>
      </c>
      <c r="J6" s="11"/>
      <c r="K6" s="1"/>
    </row>
    <row r="7">
      <c r="A7" s="12"/>
      <c r="B7" s="12"/>
      <c r="C7" s="12"/>
      <c r="D7" s="12"/>
      <c r="E7" s="12"/>
      <c r="F7" s="12"/>
      <c r="G7" s="12"/>
      <c r="H7" s="12"/>
      <c r="I7" s="12"/>
      <c r="J7" s="12"/>
      <c r="K7" s="13"/>
    </row>
    <row r="8">
      <c r="A8" s="14" t="s">
        <v>11</v>
      </c>
      <c r="B8" s="15">
        <v>7.8</v>
      </c>
      <c r="C8" s="15">
        <v>27.1</v>
      </c>
      <c r="D8" s="15">
        <v>0.4</v>
      </c>
      <c r="E8" s="15">
        <v>1.4</v>
      </c>
      <c r="F8" s="15">
        <v>8.5</v>
      </c>
      <c r="G8" s="15">
        <v>0.8</v>
      </c>
      <c r="H8" s="15">
        <v>4.3</v>
      </c>
      <c r="I8" s="15">
        <v>1.7</v>
      </c>
      <c r="J8" s="16">
        <v>8422.0</v>
      </c>
      <c r="K8" s="1"/>
    </row>
    <row r="9">
      <c r="A9" s="17" t="s">
        <v>12</v>
      </c>
      <c r="B9" s="18">
        <v>3.8</v>
      </c>
      <c r="C9" s="18">
        <v>17.2</v>
      </c>
      <c r="D9" s="18">
        <v>0.3</v>
      </c>
      <c r="E9" s="18">
        <v>1.0</v>
      </c>
      <c r="F9" s="18">
        <v>8.8</v>
      </c>
      <c r="G9" s="18">
        <v>0.3</v>
      </c>
      <c r="H9" s="18">
        <v>2.7</v>
      </c>
      <c r="I9" s="18">
        <v>2.3</v>
      </c>
      <c r="J9" s="19">
        <v>4557.0</v>
      </c>
      <c r="K9" s="1"/>
    </row>
    <row r="10">
      <c r="A10" s="17" t="s">
        <v>13</v>
      </c>
      <c r="B10" s="18">
        <v>12.4</v>
      </c>
      <c r="C10" s="18">
        <v>38.6</v>
      </c>
      <c r="D10" s="18">
        <v>0.6</v>
      </c>
      <c r="E10" s="18">
        <v>1.8</v>
      </c>
      <c r="F10" s="18">
        <v>8.2</v>
      </c>
      <c r="G10" s="18">
        <v>1.4</v>
      </c>
      <c r="H10" s="18">
        <v>6.1</v>
      </c>
      <c r="I10" s="18">
        <v>1.1</v>
      </c>
      <c r="J10" s="19">
        <v>3865.0</v>
      </c>
      <c r="K10" s="1"/>
    </row>
    <row r="11">
      <c r="A11" s="20" t="s">
        <v>14</v>
      </c>
      <c r="B11" s="21"/>
      <c r="C11" s="21"/>
      <c r="D11" s="22"/>
      <c r="E11" s="22"/>
      <c r="F11" s="22"/>
      <c r="G11" s="22"/>
      <c r="H11" s="22"/>
      <c r="I11" s="22"/>
      <c r="J11" s="23"/>
      <c r="K11" s="1"/>
    </row>
    <row r="12">
      <c r="A12" s="24" t="s">
        <v>15</v>
      </c>
      <c r="B12" s="18">
        <v>6.7</v>
      </c>
      <c r="C12" s="18">
        <v>29.8</v>
      </c>
      <c r="D12" s="18">
        <v>0.4</v>
      </c>
      <c r="E12" s="18">
        <v>1.0</v>
      </c>
      <c r="F12" s="18">
        <v>8.2</v>
      </c>
      <c r="G12" s="18">
        <v>0.8</v>
      </c>
      <c r="H12" s="18">
        <v>3.8</v>
      </c>
      <c r="I12" s="18">
        <v>1.2</v>
      </c>
      <c r="J12" s="19">
        <v>2275.0</v>
      </c>
      <c r="K12" s="1"/>
    </row>
    <row r="13">
      <c r="A13" s="24" t="s">
        <v>16</v>
      </c>
      <c r="B13" s="18">
        <v>9.0</v>
      </c>
      <c r="C13" s="18">
        <v>33.4</v>
      </c>
      <c r="D13" s="18">
        <v>0.6</v>
      </c>
      <c r="E13" s="18">
        <v>1.7</v>
      </c>
      <c r="F13" s="18">
        <v>6.3</v>
      </c>
      <c r="G13" s="18">
        <v>1.5</v>
      </c>
      <c r="H13" s="18">
        <v>7.7</v>
      </c>
      <c r="I13" s="18">
        <v>0.5</v>
      </c>
      <c r="J13" s="19">
        <v>435.0</v>
      </c>
      <c r="K13" s="1"/>
    </row>
    <row r="14">
      <c r="A14" s="24" t="s">
        <v>17</v>
      </c>
      <c r="B14" s="18">
        <v>16.7</v>
      </c>
      <c r="C14" s="18">
        <v>43.7</v>
      </c>
      <c r="D14" s="18">
        <v>0.4</v>
      </c>
      <c r="E14" s="18">
        <v>2.6</v>
      </c>
      <c r="F14" s="18">
        <v>6.7</v>
      </c>
      <c r="G14" s="18">
        <v>1.5</v>
      </c>
      <c r="H14" s="18">
        <v>8.5</v>
      </c>
      <c r="I14" s="18">
        <v>0.4</v>
      </c>
      <c r="J14" s="19">
        <v>1019.0</v>
      </c>
      <c r="K14" s="1"/>
    </row>
    <row r="15">
      <c r="A15" s="24" t="s">
        <v>18</v>
      </c>
      <c r="B15" s="18">
        <v>12.1</v>
      </c>
      <c r="C15" s="18">
        <v>35.8</v>
      </c>
      <c r="D15" s="18">
        <v>0.2</v>
      </c>
      <c r="E15" s="18">
        <v>1.5</v>
      </c>
      <c r="F15" s="18">
        <v>8.6</v>
      </c>
      <c r="G15" s="18">
        <v>1.0</v>
      </c>
      <c r="H15" s="18">
        <v>6.0</v>
      </c>
      <c r="I15" s="18">
        <v>1.6</v>
      </c>
      <c r="J15" s="19">
        <v>534.0</v>
      </c>
      <c r="K15" s="1"/>
    </row>
    <row r="16">
      <c r="A16" s="24" t="s">
        <v>19</v>
      </c>
      <c r="B16" s="18">
        <v>9.9</v>
      </c>
      <c r="C16" s="18">
        <v>30.5</v>
      </c>
      <c r="D16" s="18">
        <v>0.2</v>
      </c>
      <c r="E16" s="18">
        <v>0.8</v>
      </c>
      <c r="F16" s="18">
        <v>7.9</v>
      </c>
      <c r="G16" s="18">
        <v>0.7</v>
      </c>
      <c r="H16" s="18">
        <v>4.7</v>
      </c>
      <c r="I16" s="18">
        <v>1.1</v>
      </c>
      <c r="J16" s="19">
        <v>1571.0</v>
      </c>
      <c r="K16" s="1"/>
    </row>
    <row r="17">
      <c r="A17" s="24" t="s">
        <v>20</v>
      </c>
      <c r="B17" s="18">
        <v>3.4</v>
      </c>
      <c r="C17" s="18">
        <v>14.9</v>
      </c>
      <c r="D17" s="18">
        <v>0.4</v>
      </c>
      <c r="E17" s="18">
        <v>0.7</v>
      </c>
      <c r="F17" s="18">
        <v>11.4</v>
      </c>
      <c r="G17" s="18">
        <v>0.0</v>
      </c>
      <c r="H17" s="18">
        <v>2.0</v>
      </c>
      <c r="I17" s="18">
        <v>3.7</v>
      </c>
      <c r="J17" s="19">
        <v>310.0</v>
      </c>
      <c r="K17" s="1"/>
    </row>
    <row r="18">
      <c r="A18" s="24" t="s">
        <v>21</v>
      </c>
      <c r="B18" s="18">
        <v>2.5</v>
      </c>
      <c r="C18" s="18">
        <v>12.0</v>
      </c>
      <c r="D18" s="18">
        <v>0.8</v>
      </c>
      <c r="E18" s="18">
        <v>1.6</v>
      </c>
      <c r="F18" s="18">
        <v>10.8</v>
      </c>
      <c r="G18" s="18">
        <v>0.4</v>
      </c>
      <c r="H18" s="18">
        <v>1.7</v>
      </c>
      <c r="I18" s="18">
        <v>3.5</v>
      </c>
      <c r="J18" s="19">
        <v>1894.0</v>
      </c>
      <c r="K18" s="1"/>
    </row>
    <row r="19">
      <c r="A19" s="24" t="s">
        <v>22</v>
      </c>
      <c r="B19" s="18">
        <v>3.3</v>
      </c>
      <c r="C19" s="18">
        <v>17.8</v>
      </c>
      <c r="D19" s="18">
        <v>0.6</v>
      </c>
      <c r="E19" s="18">
        <v>1.6</v>
      </c>
      <c r="F19" s="18">
        <v>7.3</v>
      </c>
      <c r="G19" s="18">
        <v>0.3</v>
      </c>
      <c r="H19" s="18">
        <v>2.7</v>
      </c>
      <c r="I19" s="18">
        <v>2.0</v>
      </c>
      <c r="J19" s="19">
        <v>326.0</v>
      </c>
      <c r="K19" s="1"/>
    </row>
    <row r="20">
      <c r="A20" s="24" t="s">
        <v>23</v>
      </c>
      <c r="B20" s="18">
        <v>5.2</v>
      </c>
      <c r="C20" s="18">
        <v>15.0</v>
      </c>
      <c r="D20" s="18">
        <v>1.2</v>
      </c>
      <c r="E20" s="18">
        <v>1.6</v>
      </c>
      <c r="F20" s="18">
        <v>4.2</v>
      </c>
      <c r="G20" s="18">
        <v>1.0</v>
      </c>
      <c r="H20" s="18">
        <v>1.8</v>
      </c>
      <c r="I20" s="18">
        <v>2.1</v>
      </c>
      <c r="J20" s="19">
        <v>58.0</v>
      </c>
      <c r="K20" s="1"/>
    </row>
    <row r="21">
      <c r="A21" s="14" t="s">
        <v>24</v>
      </c>
      <c r="B21" s="25">
        <v>4.2863683040280165</v>
      </c>
      <c r="C21" s="25">
        <v>15.976083269604585</v>
      </c>
      <c r="D21" s="26">
        <v>0.8391238226549399</v>
      </c>
      <c r="E21" s="25">
        <v>1.885258795172786</v>
      </c>
      <c r="F21" s="25">
        <v>10.13459088520055</v>
      </c>
      <c r="G21" s="25">
        <v>0.8085523934874044</v>
      </c>
      <c r="H21" s="25">
        <v>3.0655796081925217</v>
      </c>
      <c r="I21" s="25">
        <v>3.6556807439305437</v>
      </c>
      <c r="J21" s="16">
        <v>5103.846069396784</v>
      </c>
      <c r="K21" s="1"/>
    </row>
    <row r="22">
      <c r="A22" s="17" t="s">
        <v>12</v>
      </c>
      <c r="B22" s="18">
        <v>3.3531524160219877</v>
      </c>
      <c r="C22" s="18">
        <v>12.158236655477777</v>
      </c>
      <c r="D22" s="27">
        <v>0.88783129790744</v>
      </c>
      <c r="E22" s="18">
        <v>2.020162555445784</v>
      </c>
      <c r="F22" s="18">
        <v>10.877081616165237</v>
      </c>
      <c r="G22" s="27">
        <v>0.7715710221915553</v>
      </c>
      <c r="H22" s="18">
        <v>2.6483682246335487</v>
      </c>
      <c r="I22" s="18">
        <v>4.4123787146124425</v>
      </c>
      <c r="J22" s="19">
        <v>3411.3126974486504</v>
      </c>
      <c r="K22" s="1"/>
    </row>
    <row r="23">
      <c r="A23" s="17" t="s">
        <v>13</v>
      </c>
      <c r="B23" s="18">
        <v>6.167271369798306</v>
      </c>
      <c r="C23" s="18">
        <v>23.670979481128793</v>
      </c>
      <c r="D23" s="27">
        <v>0.7409535699772791</v>
      </c>
      <c r="E23" s="18">
        <v>1.6133593348843627</v>
      </c>
      <c r="F23" s="18">
        <v>8.638095690330372</v>
      </c>
      <c r="G23" s="27">
        <v>0.8830886026762296</v>
      </c>
      <c r="H23" s="18">
        <v>3.906472032438587</v>
      </c>
      <c r="I23" s="18">
        <v>2.1305507593148603</v>
      </c>
      <c r="J23" s="19">
        <v>1692.5333719481348</v>
      </c>
      <c r="K23" s="1"/>
    </row>
    <row r="24">
      <c r="A24" s="20" t="s">
        <v>14</v>
      </c>
      <c r="B24" s="21"/>
      <c r="C24" s="21"/>
      <c r="D24" s="22"/>
      <c r="E24" s="22"/>
      <c r="F24" s="22"/>
      <c r="G24" s="22"/>
      <c r="H24" s="22"/>
      <c r="I24" s="22"/>
      <c r="J24" s="23"/>
      <c r="K24" s="1"/>
    </row>
    <row r="25">
      <c r="A25" s="24" t="s">
        <v>15</v>
      </c>
      <c r="B25" s="18">
        <v>4.339153799537381</v>
      </c>
      <c r="C25" s="18">
        <v>17.858610486408924</v>
      </c>
      <c r="D25" s="27">
        <v>0.7215594111955104</v>
      </c>
      <c r="E25" s="27">
        <v>1.6637498818965035</v>
      </c>
      <c r="F25" s="18">
        <v>6.798506218266261</v>
      </c>
      <c r="G25" s="27">
        <v>0.8855466985731172</v>
      </c>
      <c r="H25" s="18">
        <v>4.067648676148857</v>
      </c>
      <c r="I25" s="27">
        <v>3.1001115877247805</v>
      </c>
      <c r="J25" s="19">
        <v>1004.9108679961897</v>
      </c>
      <c r="K25" s="1"/>
    </row>
    <row r="26">
      <c r="A26" s="24" t="s">
        <v>16</v>
      </c>
      <c r="B26" s="18">
        <v>6.072358948807535</v>
      </c>
      <c r="C26" s="18">
        <v>25.67583980306453</v>
      </c>
      <c r="D26" s="27">
        <v>0.7377947304983135</v>
      </c>
      <c r="E26" s="27">
        <v>2.464232723841206</v>
      </c>
      <c r="F26" s="27">
        <v>6.771788109694741</v>
      </c>
      <c r="G26" s="27">
        <v>1.4898766445834624</v>
      </c>
      <c r="H26" s="27">
        <v>4.053472688360523</v>
      </c>
      <c r="I26" s="27">
        <v>0.8157935935965135</v>
      </c>
      <c r="J26" s="19">
        <v>258.8801280913303</v>
      </c>
      <c r="K26" s="1"/>
    </row>
    <row r="27">
      <c r="A27" s="24" t="s">
        <v>17</v>
      </c>
      <c r="B27" s="18">
        <v>8.068525548179291</v>
      </c>
      <c r="C27" s="18">
        <v>29.77397114602606</v>
      </c>
      <c r="D27" s="27">
        <v>1.3706778290570658</v>
      </c>
      <c r="E27" s="27">
        <v>2.3564116661468675</v>
      </c>
      <c r="F27" s="18">
        <v>7.993743050544617</v>
      </c>
      <c r="G27" s="27">
        <v>0.9528436567577938</v>
      </c>
      <c r="H27" s="18">
        <v>5.84489554213771</v>
      </c>
      <c r="I27" s="27">
        <v>2.236470481329116</v>
      </c>
      <c r="J27" s="19">
        <v>462.7284607094442</v>
      </c>
      <c r="K27" s="1"/>
    </row>
    <row r="28">
      <c r="A28" s="24" t="s">
        <v>18</v>
      </c>
      <c r="B28" s="27">
        <v>6.954968829003549</v>
      </c>
      <c r="C28" s="18">
        <v>26.196422466203447</v>
      </c>
      <c r="D28" s="27">
        <v>0.5623437359657844</v>
      </c>
      <c r="E28" s="27">
        <v>1.8276678433422227</v>
      </c>
      <c r="F28" s="18">
        <v>11.46350039514694</v>
      </c>
      <c r="G28" s="27">
        <v>0.7847647518621412</v>
      </c>
      <c r="H28" s="27">
        <v>3.6575928550581023</v>
      </c>
      <c r="I28" s="27">
        <v>4.828486261998897</v>
      </c>
      <c r="J28" s="19">
        <v>270.23685916390866</v>
      </c>
      <c r="K28" s="1"/>
    </row>
    <row r="29">
      <c r="A29" s="24" t="s">
        <v>19</v>
      </c>
      <c r="B29" s="27">
        <v>3.4246766986352934</v>
      </c>
      <c r="C29" s="18">
        <v>15.058470616095823</v>
      </c>
      <c r="D29" s="27">
        <v>0.7443992748291766</v>
      </c>
      <c r="E29" s="27">
        <v>1.858682401421755</v>
      </c>
      <c r="F29" s="18">
        <v>8.136325201518568</v>
      </c>
      <c r="G29" s="27">
        <v>0.7807891983862073</v>
      </c>
      <c r="H29" s="18">
        <v>2.9276210493490247</v>
      </c>
      <c r="I29" s="27">
        <v>3.214195242978394</v>
      </c>
      <c r="J29" s="19">
        <v>903.2509783671306</v>
      </c>
      <c r="K29" s="1"/>
    </row>
    <row r="30">
      <c r="A30" s="24" t="s">
        <v>20</v>
      </c>
      <c r="B30" s="27">
        <v>6.281508567003843</v>
      </c>
      <c r="C30" s="18">
        <v>14.69398307349854</v>
      </c>
      <c r="D30" s="27">
        <v>0.6070298630536536</v>
      </c>
      <c r="E30" s="27">
        <v>1.3896577551360048</v>
      </c>
      <c r="F30" s="18">
        <v>19.959945355432232</v>
      </c>
      <c r="G30" s="27">
        <v>0.6397245581446162</v>
      </c>
      <c r="H30" s="27">
        <v>2.1529043716681735</v>
      </c>
      <c r="I30" s="27">
        <v>5.3371930774496965</v>
      </c>
      <c r="J30" s="19">
        <v>233.09955616649955</v>
      </c>
      <c r="K30" s="1"/>
    </row>
    <row r="31">
      <c r="A31" s="24" t="s">
        <v>21</v>
      </c>
      <c r="B31" s="27">
        <v>2.622140102221247</v>
      </c>
      <c r="C31" s="18">
        <v>8.413655551872331</v>
      </c>
      <c r="D31" s="27">
        <v>1.0433937158527276</v>
      </c>
      <c r="E31" s="27">
        <v>2.17546434605391</v>
      </c>
      <c r="F31" s="18">
        <v>13.24363708052085</v>
      </c>
      <c r="G31" s="27">
        <v>0.7474448538433549</v>
      </c>
      <c r="H31" s="27">
        <v>1.717112390139109</v>
      </c>
      <c r="I31" s="18">
        <v>4.856663960294311</v>
      </c>
      <c r="J31" s="19">
        <v>1607.664734413586</v>
      </c>
      <c r="K31" s="1"/>
    </row>
    <row r="32">
      <c r="A32" s="24" t="s">
        <v>22</v>
      </c>
      <c r="B32" s="27">
        <v>3.9792191433485975</v>
      </c>
      <c r="C32" s="18">
        <v>14.800080226013648</v>
      </c>
      <c r="D32" s="27">
        <v>0.18616013245582957</v>
      </c>
      <c r="E32" s="27">
        <v>0.408734705462167</v>
      </c>
      <c r="F32" s="18">
        <v>9.65520410736849</v>
      </c>
      <c r="G32" s="27">
        <v>0.4558283860004567</v>
      </c>
      <c r="H32" s="27">
        <v>2.414435459275178</v>
      </c>
      <c r="I32" s="27">
        <v>3.489506675874673</v>
      </c>
      <c r="J32" s="19">
        <v>279.5711605835026</v>
      </c>
      <c r="K32" s="1"/>
    </row>
    <row r="33">
      <c r="A33" s="28" t="s">
        <v>25</v>
      </c>
      <c r="B33" s="29">
        <v>5.339982461191317</v>
      </c>
      <c r="C33" s="30">
        <v>16.75308637918613</v>
      </c>
      <c r="D33" s="30">
        <v>0.4441480464393893</v>
      </c>
      <c r="E33" s="30">
        <v>1.3586819641841905</v>
      </c>
      <c r="F33" s="30">
        <v>4.2056041747830015</v>
      </c>
      <c r="G33" s="30">
        <v>0.1761179679899714</v>
      </c>
      <c r="H33" s="30">
        <v>2.8080011771551803</v>
      </c>
      <c r="I33" s="30">
        <v>0.7306843463882319</v>
      </c>
      <c r="J33" s="31">
        <v>83.50332390519213</v>
      </c>
      <c r="K33" s="1"/>
    </row>
    <row r="34">
      <c r="A34" s="14" t="s">
        <v>26</v>
      </c>
      <c r="B34" s="25">
        <v>3.5</v>
      </c>
      <c r="C34" s="25">
        <v>14.4</v>
      </c>
      <c r="D34" s="25">
        <v>1.0</v>
      </c>
      <c r="E34" s="25">
        <v>2.6</v>
      </c>
      <c r="F34" s="25">
        <v>8.5</v>
      </c>
      <c r="G34" s="26">
        <v>0.5</v>
      </c>
      <c r="H34" s="25">
        <v>2.5</v>
      </c>
      <c r="I34" s="25">
        <v>2.2</v>
      </c>
      <c r="J34" s="16">
        <v>4391.0</v>
      </c>
      <c r="K34" s="1"/>
    </row>
    <row r="35">
      <c r="A35" s="17" t="s">
        <v>12</v>
      </c>
      <c r="B35" s="18">
        <v>3.0</v>
      </c>
      <c r="C35" s="18">
        <v>12.4</v>
      </c>
      <c r="D35" s="18">
        <v>1.0</v>
      </c>
      <c r="E35" s="18">
        <v>2.5</v>
      </c>
      <c r="F35" s="18">
        <v>9.5</v>
      </c>
      <c r="G35" s="27">
        <v>0.6</v>
      </c>
      <c r="H35" s="18">
        <v>2.8</v>
      </c>
      <c r="I35" s="18">
        <v>2.7</v>
      </c>
      <c r="J35" s="19">
        <v>3024.0</v>
      </c>
      <c r="K35" s="1"/>
    </row>
    <row r="36">
      <c r="A36" s="17" t="s">
        <v>13</v>
      </c>
      <c r="B36" s="18">
        <v>4.6</v>
      </c>
      <c r="C36" s="18">
        <v>18.8</v>
      </c>
      <c r="D36" s="27">
        <v>0.8</v>
      </c>
      <c r="E36" s="27">
        <v>2.6</v>
      </c>
      <c r="F36" s="18">
        <v>6.3</v>
      </c>
      <c r="G36" s="27">
        <v>0.3</v>
      </c>
      <c r="H36" s="18">
        <v>1.9</v>
      </c>
      <c r="I36" s="27">
        <v>1.1</v>
      </c>
      <c r="J36" s="19">
        <v>1367.0</v>
      </c>
      <c r="K36" s="1"/>
    </row>
    <row r="37">
      <c r="A37" s="20" t="s">
        <v>14</v>
      </c>
      <c r="B37" s="21"/>
      <c r="C37" s="21"/>
      <c r="D37" s="22"/>
      <c r="E37" s="22"/>
      <c r="F37" s="22"/>
      <c r="G37" s="22"/>
      <c r="H37" s="22"/>
      <c r="I37" s="22"/>
      <c r="J37" s="23"/>
      <c r="K37" s="1"/>
    </row>
    <row r="38">
      <c r="A38" s="24" t="s">
        <v>15</v>
      </c>
      <c r="B38" s="18">
        <v>5.0</v>
      </c>
      <c r="C38" s="18">
        <v>16.7</v>
      </c>
      <c r="D38" s="27">
        <v>0.8</v>
      </c>
      <c r="E38" s="27">
        <v>2.0</v>
      </c>
      <c r="F38" s="18">
        <v>10.4</v>
      </c>
      <c r="G38" s="27">
        <v>0.3</v>
      </c>
      <c r="H38" s="27">
        <v>2.6</v>
      </c>
      <c r="I38" s="27">
        <v>0.8</v>
      </c>
      <c r="J38" s="19">
        <v>1005.0</v>
      </c>
      <c r="K38" s="1"/>
    </row>
    <row r="39">
      <c r="A39" s="24" t="s">
        <v>16</v>
      </c>
      <c r="B39" s="27">
        <v>7.9</v>
      </c>
      <c r="C39" s="18">
        <v>24.3</v>
      </c>
      <c r="D39" s="27">
        <v>1.0</v>
      </c>
      <c r="E39" s="27">
        <v>2.9</v>
      </c>
      <c r="F39" s="27">
        <v>7.2</v>
      </c>
      <c r="G39" s="27">
        <v>0.8</v>
      </c>
      <c r="H39" s="27">
        <v>4.3</v>
      </c>
      <c r="I39" s="27">
        <v>2.4</v>
      </c>
      <c r="J39" s="19">
        <v>178.0</v>
      </c>
      <c r="K39" s="1"/>
    </row>
    <row r="40">
      <c r="A40" s="24" t="s">
        <v>17</v>
      </c>
      <c r="B40" s="27">
        <v>6.2</v>
      </c>
      <c r="C40" s="18">
        <v>26.7</v>
      </c>
      <c r="D40" s="27">
        <v>1.4</v>
      </c>
      <c r="E40" s="27">
        <v>4.3</v>
      </c>
      <c r="F40" s="18">
        <v>6.1</v>
      </c>
      <c r="G40" s="27">
        <v>0.8</v>
      </c>
      <c r="H40" s="27">
        <v>3.0</v>
      </c>
      <c r="I40" s="27">
        <v>1.1</v>
      </c>
      <c r="J40" s="19">
        <v>367.0</v>
      </c>
      <c r="K40" s="1"/>
    </row>
    <row r="41">
      <c r="A41" s="24" t="s">
        <v>18</v>
      </c>
      <c r="B41" s="27">
        <v>1.9</v>
      </c>
      <c r="C41" s="27">
        <v>13.6</v>
      </c>
      <c r="D41" s="27">
        <v>1.7</v>
      </c>
      <c r="E41" s="27">
        <v>2.0</v>
      </c>
      <c r="F41" s="27">
        <v>6.9</v>
      </c>
      <c r="G41" s="27">
        <v>1.3</v>
      </c>
      <c r="H41" s="27">
        <v>1.9</v>
      </c>
      <c r="I41" s="27">
        <v>2.3</v>
      </c>
      <c r="J41" s="19">
        <v>240.0</v>
      </c>
      <c r="K41" s="1"/>
    </row>
    <row r="42">
      <c r="A42" s="24" t="s">
        <v>19</v>
      </c>
      <c r="B42" s="27">
        <v>3.2</v>
      </c>
      <c r="C42" s="18">
        <v>12.6</v>
      </c>
      <c r="D42" s="27">
        <v>0.6</v>
      </c>
      <c r="E42" s="27">
        <v>2.1</v>
      </c>
      <c r="F42" s="18">
        <v>6.2</v>
      </c>
      <c r="G42" s="27">
        <v>0.7</v>
      </c>
      <c r="H42" s="27">
        <v>3.0</v>
      </c>
      <c r="I42" s="27">
        <v>2.5</v>
      </c>
      <c r="J42" s="19">
        <v>755.0</v>
      </c>
      <c r="K42" s="1"/>
    </row>
    <row r="43">
      <c r="A43" s="24" t="s">
        <v>20</v>
      </c>
      <c r="B43" s="27">
        <v>2.8</v>
      </c>
      <c r="C43" s="27">
        <v>9.1</v>
      </c>
      <c r="D43" s="27">
        <v>0.2</v>
      </c>
      <c r="E43" s="27">
        <v>1.5</v>
      </c>
      <c r="F43" s="18">
        <v>10.7</v>
      </c>
      <c r="G43" s="27">
        <v>0.6</v>
      </c>
      <c r="H43" s="27">
        <v>1.2</v>
      </c>
      <c r="I43" s="27">
        <v>5.3</v>
      </c>
      <c r="J43" s="19">
        <v>209.0</v>
      </c>
      <c r="K43" s="1"/>
    </row>
    <row r="44">
      <c r="A44" s="24" t="s">
        <v>21</v>
      </c>
      <c r="B44" s="27">
        <v>1.6</v>
      </c>
      <c r="C44" s="18">
        <v>10.1</v>
      </c>
      <c r="D44" s="27">
        <v>0.7</v>
      </c>
      <c r="E44" s="27">
        <v>2.6</v>
      </c>
      <c r="F44" s="18">
        <v>9.6</v>
      </c>
      <c r="G44" s="27">
        <v>0.2</v>
      </c>
      <c r="H44" s="27">
        <v>1.3</v>
      </c>
      <c r="I44" s="27">
        <v>3.0</v>
      </c>
      <c r="J44" s="19">
        <v>1323.0</v>
      </c>
      <c r="K44" s="1"/>
    </row>
    <row r="45">
      <c r="A45" s="24" t="s">
        <v>22</v>
      </c>
      <c r="B45" s="27">
        <v>4.0</v>
      </c>
      <c r="C45" s="18">
        <v>15.5</v>
      </c>
      <c r="D45" s="27">
        <v>2.5</v>
      </c>
      <c r="E45" s="27">
        <v>4.3</v>
      </c>
      <c r="F45" s="27">
        <v>7.8</v>
      </c>
      <c r="G45" s="27">
        <v>1.0</v>
      </c>
      <c r="H45" s="27">
        <v>5.9</v>
      </c>
      <c r="I45" s="27">
        <v>2.0</v>
      </c>
      <c r="J45" s="19">
        <v>238.0</v>
      </c>
      <c r="K45" s="1"/>
    </row>
    <row r="46">
      <c r="A46" s="28" t="s">
        <v>25</v>
      </c>
      <c r="B46" s="30">
        <v>2.2</v>
      </c>
      <c r="C46" s="32">
        <v>9.2</v>
      </c>
      <c r="D46" s="30">
        <v>4.0</v>
      </c>
      <c r="E46" s="30">
        <v>5.5</v>
      </c>
      <c r="F46" s="30">
        <v>4.6</v>
      </c>
      <c r="G46" s="32">
        <v>0.0</v>
      </c>
      <c r="H46" s="30">
        <v>4.1</v>
      </c>
      <c r="I46" s="30">
        <v>1.9</v>
      </c>
      <c r="J46" s="31">
        <v>75.0</v>
      </c>
      <c r="K46" s="1"/>
    </row>
    <row r="47">
      <c r="A47" s="33" t="s">
        <v>27</v>
      </c>
      <c r="K47" s="1"/>
    </row>
    <row r="48">
      <c r="A48" s="33" t="s">
        <v>28</v>
      </c>
      <c r="K48" s="1"/>
    </row>
    <row r="49">
      <c r="A49" s="34" t="s">
        <v>29</v>
      </c>
      <c r="B49" s="1"/>
      <c r="C49" s="1"/>
      <c r="D49" s="1"/>
      <c r="E49" s="1"/>
      <c r="F49" s="1"/>
      <c r="G49" s="1"/>
      <c r="H49" s="1"/>
      <c r="I49" s="1"/>
      <c r="J49" s="1"/>
      <c r="K49" s="1"/>
    </row>
    <row r="50">
      <c r="A50" s="35" t="s">
        <v>30</v>
      </c>
      <c r="K50" s="1"/>
    </row>
    <row r="51">
      <c r="A51" s="33" t="s">
        <v>31</v>
      </c>
      <c r="K51" s="1"/>
    </row>
    <row r="52">
      <c r="A52" s="1"/>
      <c r="D52" s="1"/>
      <c r="E52" s="1"/>
      <c r="F52" s="1"/>
      <c r="G52" s="1"/>
      <c r="H52" s="1"/>
      <c r="I52" s="1"/>
      <c r="J52" s="1"/>
      <c r="K52" s="1"/>
    </row>
    <row r="53">
      <c r="A53" s="1"/>
      <c r="B53" s="1"/>
      <c r="C53" s="1"/>
      <c r="D53" s="1"/>
      <c r="E53" s="1"/>
      <c r="F53" s="1"/>
      <c r="G53" s="1"/>
      <c r="H53" s="1"/>
      <c r="I53" s="1"/>
      <c r="J53" s="1"/>
      <c r="K53" s="1"/>
    </row>
    <row r="54">
      <c r="A54" s="1"/>
      <c r="B54" s="1"/>
      <c r="C54" s="1"/>
      <c r="D54" s="1"/>
      <c r="E54" s="1"/>
      <c r="F54" s="1"/>
      <c r="G54" s="1"/>
      <c r="H54" s="1"/>
      <c r="I54" s="1"/>
      <c r="J54" s="1"/>
      <c r="K54" s="1"/>
    </row>
    <row r="55">
      <c r="A55" s="1"/>
      <c r="B55" s="1"/>
      <c r="C55" s="1"/>
      <c r="D55" s="1"/>
      <c r="E55" s="1"/>
      <c r="F55" s="1"/>
      <c r="G55" s="1"/>
      <c r="H55" s="1"/>
      <c r="I55" s="1"/>
      <c r="J55" s="1"/>
      <c r="K55" s="1"/>
    </row>
    <row r="56">
      <c r="A56" s="1"/>
      <c r="B56" s="1"/>
      <c r="C56" s="1"/>
      <c r="D56" s="1"/>
      <c r="E56" s="1"/>
      <c r="F56" s="1"/>
      <c r="G56" s="1"/>
      <c r="H56" s="1"/>
      <c r="I56" s="1"/>
      <c r="J56" s="1"/>
      <c r="K56" s="1"/>
    </row>
    <row r="57">
      <c r="A57" s="1"/>
      <c r="B57" s="1"/>
      <c r="C57" s="1"/>
      <c r="D57" s="1"/>
      <c r="E57" s="1"/>
      <c r="F57" s="1"/>
      <c r="G57" s="1"/>
      <c r="H57" s="1"/>
      <c r="I57" s="1"/>
      <c r="J57" s="1"/>
      <c r="K57" s="1"/>
    </row>
    <row r="58">
      <c r="A58" s="1"/>
      <c r="B58" s="1"/>
      <c r="C58" s="1"/>
      <c r="D58" s="1"/>
      <c r="E58" s="1"/>
      <c r="F58" s="1"/>
      <c r="G58" s="1"/>
      <c r="H58" s="1"/>
      <c r="I58" s="1"/>
      <c r="J58" s="1"/>
      <c r="K58" s="1"/>
    </row>
    <row r="59">
      <c r="A59" s="1"/>
      <c r="B59" s="1"/>
      <c r="C59" s="1"/>
      <c r="D59" s="1"/>
      <c r="E59" s="1"/>
      <c r="F59" s="1"/>
      <c r="G59" s="1"/>
      <c r="H59" s="1"/>
      <c r="I59" s="1"/>
      <c r="J59" s="1"/>
      <c r="K59" s="1"/>
    </row>
    <row r="60">
      <c r="A60" s="1"/>
      <c r="B60" s="1"/>
      <c r="C60" s="1"/>
      <c r="D60" s="1"/>
      <c r="E60" s="1"/>
      <c r="F60" s="1"/>
      <c r="G60" s="1"/>
      <c r="H60" s="1"/>
      <c r="I60" s="1"/>
      <c r="J60" s="1"/>
      <c r="K60" s="1"/>
    </row>
    <row r="61">
      <c r="A61" s="1"/>
      <c r="B61" s="1"/>
      <c r="C61" s="1"/>
      <c r="D61" s="1"/>
      <c r="E61" s="1"/>
      <c r="F61" s="1"/>
      <c r="G61" s="1"/>
      <c r="H61" s="1"/>
      <c r="I61" s="1"/>
      <c r="J61" s="1"/>
      <c r="K61" s="1"/>
    </row>
    <row r="62">
      <c r="A62" s="1"/>
      <c r="B62" s="1"/>
      <c r="C62" s="1"/>
      <c r="D62" s="1"/>
      <c r="E62" s="1"/>
      <c r="F62" s="1"/>
      <c r="G62" s="1"/>
      <c r="H62" s="1"/>
      <c r="I62" s="1"/>
      <c r="J62" s="1"/>
      <c r="K62" s="1"/>
    </row>
    <row r="63">
      <c r="A63" s="1"/>
      <c r="B63" s="1"/>
      <c r="C63" s="1"/>
      <c r="D63" s="1"/>
      <c r="E63" s="1"/>
      <c r="F63" s="1"/>
      <c r="G63" s="1"/>
      <c r="H63" s="1"/>
      <c r="I63" s="1"/>
      <c r="J63" s="1"/>
      <c r="K63" s="1"/>
    </row>
    <row r="64">
      <c r="A64" s="1"/>
      <c r="B64" s="1"/>
      <c r="C64" s="1"/>
      <c r="D64" s="1"/>
      <c r="E64" s="1"/>
      <c r="F64" s="1"/>
      <c r="G64" s="1"/>
      <c r="H64" s="1"/>
      <c r="I64" s="1"/>
      <c r="J64" s="1"/>
      <c r="K64" s="1"/>
    </row>
    <row r="65">
      <c r="A65" s="1"/>
      <c r="B65" s="1"/>
      <c r="C65" s="1"/>
      <c r="D65" s="1"/>
      <c r="E65" s="1"/>
      <c r="F65" s="1"/>
      <c r="G65" s="1"/>
      <c r="H65" s="1"/>
      <c r="I65" s="1"/>
      <c r="J65" s="1"/>
      <c r="K65" s="1"/>
    </row>
    <row r="66">
      <c r="A66" s="1"/>
      <c r="B66" s="1"/>
      <c r="C66" s="1"/>
      <c r="D66" s="1"/>
      <c r="E66" s="1"/>
      <c r="F66" s="1"/>
      <c r="G66" s="1"/>
      <c r="H66" s="1"/>
      <c r="I66" s="1"/>
      <c r="J66" s="1"/>
      <c r="K66" s="1"/>
    </row>
    <row r="67">
      <c r="A67" s="1"/>
      <c r="B67" s="1"/>
      <c r="C67" s="1"/>
      <c r="D67" s="1"/>
      <c r="E67" s="1"/>
      <c r="F67" s="1"/>
      <c r="G67" s="1"/>
      <c r="H67" s="1"/>
      <c r="I67" s="1"/>
      <c r="J67" s="1"/>
      <c r="K67" s="1"/>
    </row>
    <row r="68">
      <c r="A68" s="1"/>
      <c r="B68" s="1"/>
      <c r="C68" s="1"/>
      <c r="D68" s="1"/>
      <c r="E68" s="1"/>
      <c r="F68" s="1"/>
      <c r="G68" s="1"/>
      <c r="H68" s="1"/>
      <c r="I68" s="1"/>
      <c r="J68" s="1"/>
      <c r="K68" s="1"/>
    </row>
    <row r="69">
      <c r="A69" s="1"/>
      <c r="B69" s="1"/>
      <c r="C69" s="1"/>
      <c r="D69" s="1"/>
      <c r="E69" s="1"/>
      <c r="F69" s="1"/>
      <c r="G69" s="1"/>
      <c r="H69" s="1"/>
      <c r="I69" s="1"/>
      <c r="J69" s="1"/>
      <c r="K69" s="1"/>
    </row>
    <row r="70">
      <c r="A70" s="1"/>
      <c r="B70" s="1"/>
      <c r="C70" s="1"/>
      <c r="D70" s="1"/>
      <c r="E70" s="1"/>
      <c r="F70" s="1"/>
      <c r="G70" s="1"/>
      <c r="H70" s="1"/>
      <c r="I70" s="1"/>
      <c r="J70" s="1"/>
      <c r="K70" s="1"/>
    </row>
    <row r="71">
      <c r="A71" s="1"/>
      <c r="B71" s="1"/>
      <c r="C71" s="1"/>
      <c r="D71" s="1"/>
      <c r="E71" s="1"/>
      <c r="F71" s="1"/>
      <c r="G71" s="1"/>
      <c r="H71" s="1"/>
      <c r="I71" s="1"/>
      <c r="J71" s="1"/>
      <c r="K71" s="1"/>
    </row>
    <row r="72">
      <c r="A72" s="1"/>
      <c r="B72" s="1"/>
      <c r="C72" s="1"/>
      <c r="D72" s="1"/>
      <c r="E72" s="1"/>
      <c r="F72" s="1"/>
      <c r="G72" s="1"/>
      <c r="H72" s="1"/>
      <c r="I72" s="1"/>
      <c r="J72" s="1"/>
      <c r="K72" s="1"/>
    </row>
    <row r="73">
      <c r="A73" s="1"/>
      <c r="B73" s="1"/>
      <c r="C73" s="1"/>
      <c r="D73" s="1"/>
      <c r="E73" s="1"/>
      <c r="F73" s="1"/>
      <c r="G73" s="1"/>
      <c r="H73" s="1"/>
      <c r="I73" s="1"/>
      <c r="J73" s="1"/>
      <c r="K73" s="1"/>
    </row>
    <row r="74">
      <c r="A74" s="1"/>
      <c r="B74" s="1"/>
      <c r="C74" s="1"/>
      <c r="D74" s="1"/>
      <c r="E74" s="1"/>
      <c r="F74" s="1"/>
      <c r="G74" s="1"/>
      <c r="H74" s="1"/>
      <c r="I74" s="1"/>
      <c r="J74" s="1"/>
      <c r="K74" s="1"/>
    </row>
    <row r="75">
      <c r="A75" s="1"/>
      <c r="B75" s="1"/>
      <c r="C75" s="1"/>
      <c r="D75" s="1"/>
      <c r="E75" s="1"/>
      <c r="F75" s="1"/>
      <c r="G75" s="1"/>
      <c r="H75" s="1"/>
      <c r="I75" s="1"/>
      <c r="J75" s="1"/>
      <c r="K75" s="1"/>
    </row>
    <row r="76">
      <c r="A76" s="1"/>
      <c r="B76" s="1"/>
      <c r="C76" s="1"/>
      <c r="D76" s="1"/>
      <c r="E76" s="1"/>
      <c r="F76" s="1"/>
      <c r="G76" s="1"/>
      <c r="H76" s="1"/>
      <c r="I76" s="1"/>
      <c r="J76" s="1"/>
      <c r="K76" s="1"/>
    </row>
    <row r="77">
      <c r="A77" s="1"/>
      <c r="B77" s="1"/>
      <c r="C77" s="1"/>
      <c r="D77" s="1"/>
      <c r="E77" s="1"/>
      <c r="F77" s="1"/>
      <c r="G77" s="1"/>
      <c r="H77" s="1"/>
      <c r="I77" s="1"/>
      <c r="J77" s="1"/>
      <c r="K77" s="1"/>
    </row>
    <row r="78">
      <c r="A78" s="1"/>
      <c r="B78" s="1"/>
      <c r="C78" s="1"/>
      <c r="D78" s="1"/>
      <c r="E78" s="1"/>
      <c r="F78" s="1"/>
      <c r="G78" s="1"/>
      <c r="H78" s="1"/>
      <c r="I78" s="1"/>
      <c r="J78" s="1"/>
      <c r="K78" s="1"/>
    </row>
    <row r="79">
      <c r="A79" s="1"/>
      <c r="B79" s="1"/>
      <c r="C79" s="1"/>
      <c r="D79" s="1"/>
      <c r="E79" s="1"/>
      <c r="F79" s="1"/>
      <c r="G79" s="1"/>
      <c r="H79" s="1"/>
      <c r="I79" s="1"/>
      <c r="J79" s="1"/>
      <c r="K79" s="1"/>
    </row>
    <row r="80">
      <c r="A80" s="1"/>
      <c r="B80" s="1"/>
      <c r="C80" s="1"/>
      <c r="D80" s="1"/>
      <c r="E80" s="1"/>
      <c r="F80" s="1"/>
      <c r="G80" s="1"/>
      <c r="H80" s="1"/>
      <c r="I80" s="1"/>
      <c r="J80" s="1"/>
      <c r="K80" s="1"/>
    </row>
    <row r="81">
      <c r="A81" s="1"/>
      <c r="B81" s="1"/>
      <c r="C81" s="1"/>
      <c r="D81" s="1"/>
      <c r="E81" s="1"/>
      <c r="F81" s="1"/>
      <c r="G81" s="1"/>
      <c r="H81" s="1"/>
      <c r="I81" s="1"/>
      <c r="J81" s="1"/>
      <c r="K81" s="1"/>
    </row>
    <row r="82">
      <c r="A82" s="1"/>
      <c r="B82" s="1"/>
      <c r="C82" s="1"/>
      <c r="D82" s="1"/>
      <c r="E82" s="1"/>
      <c r="F82" s="1"/>
      <c r="G82" s="1"/>
      <c r="H82" s="1"/>
      <c r="I82" s="1"/>
      <c r="J82" s="1"/>
      <c r="K82" s="1"/>
    </row>
    <row r="83">
      <c r="A83" s="1"/>
      <c r="B83" s="1"/>
      <c r="C83" s="1"/>
      <c r="D83" s="1"/>
      <c r="E83" s="1"/>
      <c r="F83" s="1"/>
      <c r="G83" s="1"/>
      <c r="H83" s="1"/>
      <c r="I83" s="1"/>
      <c r="J83" s="1"/>
      <c r="K83" s="1"/>
    </row>
    <row r="84">
      <c r="A84" s="1"/>
      <c r="B84" s="1"/>
      <c r="C84" s="1"/>
      <c r="D84" s="1"/>
      <c r="E84" s="1"/>
      <c r="F84" s="1"/>
      <c r="G84" s="1"/>
      <c r="H84" s="1"/>
      <c r="I84" s="1"/>
      <c r="J84" s="1"/>
      <c r="K84" s="1"/>
    </row>
    <row r="85">
      <c r="A85" s="1"/>
      <c r="B85" s="1"/>
      <c r="C85" s="1"/>
      <c r="D85" s="1"/>
      <c r="E85" s="1"/>
      <c r="F85" s="1"/>
      <c r="G85" s="1"/>
      <c r="H85" s="1"/>
      <c r="I85" s="1"/>
      <c r="J85" s="1"/>
      <c r="K85" s="1"/>
    </row>
    <row r="86">
      <c r="A86" s="1"/>
      <c r="B86" s="1"/>
      <c r="C86" s="1"/>
      <c r="D86" s="1"/>
      <c r="E86" s="1"/>
      <c r="F86" s="1"/>
      <c r="G86" s="1"/>
      <c r="H86" s="1"/>
      <c r="I86" s="1"/>
      <c r="J86" s="1"/>
      <c r="K86" s="1"/>
    </row>
    <row r="87">
      <c r="A87" s="1"/>
      <c r="B87" s="1"/>
      <c r="C87" s="1"/>
      <c r="D87" s="1"/>
      <c r="E87" s="1"/>
      <c r="F87" s="1"/>
      <c r="G87" s="1"/>
      <c r="H87" s="1"/>
      <c r="I87" s="1"/>
      <c r="J87" s="1"/>
      <c r="K87" s="1"/>
    </row>
    <row r="88">
      <c r="A88" s="1"/>
      <c r="B88" s="1"/>
      <c r="C88" s="1"/>
      <c r="D88" s="1"/>
      <c r="E88" s="1"/>
      <c r="F88" s="1"/>
      <c r="G88" s="1"/>
      <c r="H88" s="1"/>
      <c r="I88" s="1"/>
      <c r="J88" s="1"/>
      <c r="K88" s="1"/>
    </row>
    <row r="89">
      <c r="A89" s="1"/>
      <c r="B89" s="1"/>
      <c r="C89" s="1"/>
      <c r="D89" s="1"/>
      <c r="E89" s="1"/>
      <c r="F89" s="1"/>
      <c r="G89" s="1"/>
      <c r="H89" s="1"/>
      <c r="I89" s="1"/>
      <c r="J89" s="1"/>
      <c r="K89" s="1"/>
    </row>
    <row r="90">
      <c r="A90" s="1"/>
      <c r="B90" s="1"/>
      <c r="C90" s="1"/>
      <c r="D90" s="1"/>
      <c r="E90" s="1"/>
      <c r="F90" s="1"/>
      <c r="G90" s="1"/>
      <c r="H90" s="1"/>
      <c r="I90" s="1"/>
      <c r="J90" s="1"/>
      <c r="K90" s="1"/>
    </row>
    <row r="91">
      <c r="A91" s="1"/>
      <c r="B91" s="1"/>
      <c r="C91" s="1"/>
      <c r="D91" s="1"/>
      <c r="E91" s="1"/>
      <c r="F91" s="1"/>
      <c r="G91" s="1"/>
      <c r="H91" s="1"/>
      <c r="I91" s="1"/>
      <c r="J91" s="1"/>
      <c r="K91" s="1"/>
    </row>
    <row r="92">
      <c r="A92" s="1"/>
      <c r="B92" s="1"/>
      <c r="C92" s="1"/>
      <c r="D92" s="1"/>
      <c r="E92" s="1"/>
      <c r="F92" s="1"/>
      <c r="G92" s="1"/>
      <c r="H92" s="1"/>
      <c r="I92" s="1"/>
      <c r="J92" s="1"/>
      <c r="K92" s="1"/>
    </row>
    <row r="93">
      <c r="A93" s="1"/>
      <c r="B93" s="1"/>
      <c r="C93" s="1"/>
      <c r="D93" s="1"/>
      <c r="E93" s="1"/>
      <c r="F93" s="1"/>
      <c r="G93" s="1"/>
      <c r="H93" s="1"/>
      <c r="I93" s="1"/>
      <c r="J93" s="1"/>
      <c r="K93" s="1"/>
    </row>
    <row r="94">
      <c r="A94" s="1"/>
      <c r="B94" s="1"/>
      <c r="C94" s="1"/>
      <c r="D94" s="1"/>
      <c r="E94" s="1"/>
      <c r="F94" s="1"/>
      <c r="G94" s="1"/>
      <c r="H94" s="1"/>
      <c r="I94" s="1"/>
      <c r="J94" s="1"/>
      <c r="K94" s="1"/>
    </row>
    <row r="95">
      <c r="A95" s="1"/>
      <c r="B95" s="1"/>
      <c r="C95" s="1"/>
      <c r="D95" s="1"/>
      <c r="E95" s="1"/>
      <c r="F95" s="1"/>
      <c r="G95" s="1"/>
      <c r="H95" s="1"/>
      <c r="I95" s="1"/>
      <c r="J95" s="1"/>
      <c r="K95" s="1"/>
    </row>
    <row r="96">
      <c r="A96" s="1"/>
      <c r="B96" s="1"/>
      <c r="C96" s="1"/>
      <c r="D96" s="1"/>
      <c r="E96" s="1"/>
      <c r="F96" s="1"/>
      <c r="G96" s="1"/>
      <c r="H96" s="1"/>
      <c r="I96" s="1"/>
      <c r="J96" s="1"/>
      <c r="K96" s="1"/>
    </row>
    <row r="97">
      <c r="A97" s="1"/>
      <c r="B97" s="1"/>
      <c r="C97" s="1"/>
      <c r="D97" s="1"/>
      <c r="E97" s="1"/>
      <c r="F97" s="1"/>
      <c r="G97" s="1"/>
      <c r="H97" s="1"/>
      <c r="I97" s="1"/>
      <c r="J97" s="1"/>
      <c r="K97" s="1"/>
    </row>
    <row r="98">
      <c r="A98" s="1"/>
      <c r="B98" s="1"/>
      <c r="C98" s="1"/>
      <c r="D98" s="1"/>
      <c r="E98" s="1"/>
      <c r="F98" s="1"/>
      <c r="G98" s="1"/>
      <c r="H98" s="1"/>
      <c r="I98" s="1"/>
      <c r="J98" s="1"/>
      <c r="K98" s="1"/>
    </row>
    <row r="99">
      <c r="A99" s="1"/>
      <c r="B99" s="1"/>
      <c r="C99" s="1"/>
      <c r="D99" s="1"/>
      <c r="E99" s="1"/>
      <c r="F99" s="1"/>
      <c r="G99" s="1"/>
      <c r="H99" s="1"/>
      <c r="I99" s="1"/>
      <c r="J99" s="1"/>
      <c r="K99" s="1"/>
    </row>
    <row r="100">
      <c r="A100" s="1"/>
      <c r="B100" s="1"/>
      <c r="C100" s="1"/>
      <c r="D100" s="1"/>
      <c r="E100" s="1"/>
      <c r="F100" s="1"/>
      <c r="G100" s="1"/>
      <c r="H100" s="1"/>
      <c r="I100" s="1"/>
      <c r="J100" s="1"/>
      <c r="K100" s="1"/>
    </row>
    <row r="101">
      <c r="A101" s="1"/>
      <c r="B101" s="1"/>
      <c r="C101" s="1"/>
      <c r="D101" s="1"/>
      <c r="E101" s="1"/>
      <c r="F101" s="1"/>
      <c r="G101" s="1"/>
      <c r="H101" s="1"/>
      <c r="I101" s="1"/>
      <c r="J101" s="1"/>
      <c r="K101" s="1"/>
    </row>
    <row r="102">
      <c r="A102" s="1"/>
      <c r="B102" s="1"/>
      <c r="C102" s="1"/>
      <c r="D102" s="1"/>
      <c r="E102" s="1"/>
      <c r="F102" s="1"/>
      <c r="G102" s="1"/>
      <c r="H102" s="1"/>
      <c r="I102" s="1"/>
      <c r="J102" s="1"/>
      <c r="K102" s="1"/>
    </row>
    <row r="103">
      <c r="A103" s="1"/>
      <c r="B103" s="1"/>
      <c r="C103" s="1"/>
      <c r="D103" s="1"/>
      <c r="E103" s="1"/>
      <c r="F103" s="1"/>
      <c r="G103" s="1"/>
      <c r="H103" s="1"/>
      <c r="I103" s="1"/>
      <c r="J103" s="1"/>
      <c r="K103" s="1"/>
    </row>
    <row r="104">
      <c r="A104" s="1"/>
      <c r="B104" s="1"/>
      <c r="C104" s="1"/>
      <c r="D104" s="1"/>
      <c r="E104" s="1"/>
      <c r="F104" s="1"/>
      <c r="G104" s="1"/>
      <c r="H104" s="1"/>
      <c r="I104" s="1"/>
      <c r="J104" s="1"/>
      <c r="K104" s="1"/>
    </row>
    <row r="105">
      <c r="A105" s="1"/>
      <c r="B105" s="1"/>
      <c r="C105" s="1"/>
      <c r="D105" s="1"/>
      <c r="E105" s="1"/>
      <c r="F105" s="1"/>
      <c r="G105" s="1"/>
      <c r="H105" s="1"/>
      <c r="I105" s="1"/>
      <c r="J105" s="1"/>
      <c r="K105" s="1"/>
    </row>
    <row r="106">
      <c r="A106" s="1"/>
      <c r="B106" s="1"/>
      <c r="C106" s="1"/>
      <c r="D106" s="1"/>
      <c r="E106" s="1"/>
      <c r="F106" s="1"/>
      <c r="G106" s="1"/>
      <c r="H106" s="1"/>
      <c r="I106" s="1"/>
      <c r="J106" s="1"/>
      <c r="K106" s="1"/>
    </row>
    <row r="107">
      <c r="A107" s="1"/>
      <c r="B107" s="1"/>
      <c r="C107" s="1"/>
      <c r="D107" s="1"/>
      <c r="E107" s="1"/>
      <c r="F107" s="1"/>
      <c r="G107" s="1"/>
      <c r="H107" s="1"/>
      <c r="I107" s="1"/>
      <c r="J107" s="1"/>
      <c r="K107" s="1"/>
    </row>
    <row r="108">
      <c r="A108" s="1"/>
      <c r="B108" s="1"/>
      <c r="C108" s="1"/>
      <c r="D108" s="1"/>
      <c r="E108" s="1"/>
      <c r="F108" s="1"/>
      <c r="G108" s="1"/>
      <c r="H108" s="1"/>
      <c r="I108" s="1"/>
      <c r="J108" s="1"/>
      <c r="K108" s="1"/>
    </row>
    <row r="109">
      <c r="A109" s="1"/>
      <c r="B109" s="1"/>
      <c r="C109" s="1"/>
      <c r="D109" s="1"/>
      <c r="E109" s="1"/>
      <c r="F109" s="1"/>
      <c r="G109" s="1"/>
      <c r="H109" s="1"/>
      <c r="I109" s="1"/>
      <c r="J109" s="1"/>
      <c r="K109" s="1"/>
    </row>
    <row r="110">
      <c r="A110" s="1"/>
      <c r="B110" s="1"/>
      <c r="C110" s="1"/>
      <c r="D110" s="1"/>
      <c r="E110" s="1"/>
      <c r="F110" s="1"/>
      <c r="G110" s="1"/>
      <c r="H110" s="1"/>
      <c r="I110" s="1"/>
      <c r="J110" s="1"/>
      <c r="K110" s="1"/>
    </row>
    <row r="111">
      <c r="A111" s="1"/>
      <c r="B111" s="1"/>
      <c r="C111" s="1"/>
      <c r="D111" s="1"/>
      <c r="E111" s="1"/>
      <c r="F111" s="1"/>
      <c r="G111" s="1"/>
      <c r="H111" s="1"/>
      <c r="I111" s="1"/>
      <c r="J111" s="1"/>
      <c r="K111" s="1"/>
    </row>
    <row r="112">
      <c r="A112" s="1"/>
      <c r="B112" s="1"/>
      <c r="C112" s="1"/>
      <c r="D112" s="1"/>
      <c r="E112" s="1"/>
      <c r="F112" s="1"/>
      <c r="G112" s="1"/>
      <c r="H112" s="1"/>
      <c r="I112" s="1"/>
      <c r="J112" s="1"/>
      <c r="K112" s="1"/>
    </row>
    <row r="113">
      <c r="A113" s="1"/>
      <c r="B113" s="1"/>
      <c r="C113" s="1"/>
      <c r="D113" s="1"/>
      <c r="E113" s="1"/>
      <c r="F113" s="1"/>
      <c r="G113" s="1"/>
      <c r="H113" s="1"/>
      <c r="I113" s="1"/>
      <c r="J113" s="1"/>
      <c r="K113" s="1"/>
    </row>
    <row r="114">
      <c r="A114" s="1"/>
      <c r="B114" s="1"/>
      <c r="C114" s="1"/>
      <c r="D114" s="1"/>
      <c r="E114" s="1"/>
      <c r="F114" s="1"/>
      <c r="G114" s="1"/>
      <c r="H114" s="1"/>
      <c r="I114" s="1"/>
      <c r="J114" s="1"/>
      <c r="K114" s="1"/>
    </row>
    <row r="115">
      <c r="A115" s="1"/>
      <c r="B115" s="1"/>
      <c r="C115" s="1"/>
      <c r="D115" s="1"/>
      <c r="E115" s="1"/>
      <c r="F115" s="1"/>
      <c r="G115" s="1"/>
      <c r="H115" s="1"/>
      <c r="I115" s="1"/>
      <c r="J115" s="1"/>
      <c r="K115" s="1"/>
    </row>
    <row r="116">
      <c r="A116" s="1"/>
      <c r="B116" s="1"/>
      <c r="C116" s="1"/>
      <c r="D116" s="1"/>
      <c r="E116" s="1"/>
      <c r="F116" s="1"/>
      <c r="G116" s="1"/>
      <c r="H116" s="1"/>
      <c r="I116" s="1"/>
      <c r="J116" s="1"/>
      <c r="K116" s="1"/>
    </row>
    <row r="117">
      <c r="A117" s="1"/>
      <c r="B117" s="1"/>
      <c r="C117" s="1"/>
      <c r="D117" s="1"/>
      <c r="E117" s="1"/>
      <c r="F117" s="1"/>
      <c r="G117" s="1"/>
      <c r="H117" s="1"/>
      <c r="I117" s="1"/>
      <c r="J117" s="1"/>
      <c r="K117" s="1"/>
    </row>
    <row r="118">
      <c r="A118" s="1"/>
      <c r="B118" s="1"/>
      <c r="C118" s="1"/>
      <c r="D118" s="1"/>
      <c r="E118" s="1"/>
      <c r="F118" s="1"/>
      <c r="G118" s="1"/>
      <c r="H118" s="1"/>
      <c r="I118" s="1"/>
      <c r="J118" s="1"/>
      <c r="K118" s="1"/>
    </row>
    <row r="119">
      <c r="A119" s="1"/>
      <c r="B119" s="1"/>
      <c r="C119" s="1"/>
      <c r="D119" s="1"/>
      <c r="E119" s="1"/>
      <c r="F119" s="1"/>
      <c r="G119" s="1"/>
      <c r="H119" s="1"/>
      <c r="I119" s="1"/>
      <c r="J119" s="1"/>
      <c r="K119" s="1"/>
    </row>
    <row r="120">
      <c r="A120" s="1"/>
      <c r="B120" s="1"/>
      <c r="C120" s="1"/>
      <c r="D120" s="1"/>
      <c r="E120" s="1"/>
      <c r="F120" s="1"/>
      <c r="G120" s="1"/>
      <c r="H120" s="1"/>
      <c r="I120" s="1"/>
      <c r="J120" s="1"/>
      <c r="K120" s="1"/>
    </row>
    <row r="121">
      <c r="A121" s="1"/>
      <c r="B121" s="1"/>
      <c r="C121" s="1"/>
      <c r="D121" s="1"/>
      <c r="E121" s="1"/>
      <c r="F121" s="1"/>
      <c r="G121" s="1"/>
      <c r="H121" s="1"/>
      <c r="I121" s="1"/>
      <c r="J121" s="1"/>
      <c r="K121" s="1"/>
    </row>
    <row r="122">
      <c r="A122" s="1"/>
      <c r="B122" s="1"/>
      <c r="C122" s="1"/>
      <c r="D122" s="1"/>
      <c r="E122" s="1"/>
      <c r="F122" s="1"/>
      <c r="G122" s="1"/>
      <c r="H122" s="1"/>
      <c r="I122" s="1"/>
      <c r="J122" s="1"/>
      <c r="K122" s="1"/>
    </row>
    <row r="123">
      <c r="A123" s="1"/>
      <c r="B123" s="1"/>
      <c r="C123" s="1"/>
      <c r="D123" s="1"/>
      <c r="E123" s="1"/>
      <c r="F123" s="1"/>
      <c r="G123" s="1"/>
      <c r="H123" s="1"/>
      <c r="I123" s="1"/>
      <c r="J123" s="1"/>
      <c r="K123" s="1"/>
    </row>
    <row r="124">
      <c r="A124" s="1"/>
      <c r="B124" s="1"/>
      <c r="C124" s="1"/>
      <c r="D124" s="1"/>
      <c r="E124" s="1"/>
      <c r="F124" s="1"/>
      <c r="G124" s="1"/>
      <c r="H124" s="1"/>
      <c r="I124" s="1"/>
      <c r="J124" s="1"/>
      <c r="K124" s="1"/>
    </row>
    <row r="125">
      <c r="A125" s="1"/>
      <c r="B125" s="1"/>
      <c r="C125" s="1"/>
      <c r="D125" s="1"/>
      <c r="E125" s="1"/>
      <c r="F125" s="1"/>
      <c r="G125" s="1"/>
      <c r="H125" s="1"/>
      <c r="I125" s="1"/>
      <c r="J125" s="1"/>
      <c r="K125" s="1"/>
    </row>
    <row r="126">
      <c r="A126" s="1"/>
      <c r="B126" s="1"/>
      <c r="C126" s="1"/>
      <c r="D126" s="1"/>
      <c r="E126" s="1"/>
      <c r="F126" s="1"/>
      <c r="G126" s="1"/>
      <c r="H126" s="1"/>
      <c r="I126" s="1"/>
      <c r="J126" s="1"/>
      <c r="K126" s="1"/>
    </row>
    <row r="127">
      <c r="A127" s="1"/>
      <c r="B127" s="1"/>
      <c r="C127" s="1"/>
      <c r="D127" s="1"/>
      <c r="E127" s="1"/>
      <c r="F127" s="1"/>
      <c r="G127" s="1"/>
      <c r="H127" s="1"/>
      <c r="I127" s="1"/>
      <c r="J127" s="1"/>
      <c r="K127" s="1"/>
    </row>
    <row r="128">
      <c r="A128" s="1"/>
      <c r="B128" s="1"/>
      <c r="C128" s="1"/>
      <c r="D128" s="1"/>
      <c r="E128" s="1"/>
      <c r="F128" s="1"/>
      <c r="G128" s="1"/>
      <c r="H128" s="1"/>
      <c r="I128" s="1"/>
      <c r="J128" s="1"/>
      <c r="K128" s="1"/>
    </row>
    <row r="129">
      <c r="A129" s="1"/>
      <c r="B129" s="1"/>
      <c r="C129" s="1"/>
      <c r="D129" s="1"/>
      <c r="E129" s="1"/>
      <c r="F129" s="1"/>
      <c r="G129" s="1"/>
      <c r="H129" s="1"/>
      <c r="I129" s="1"/>
      <c r="J129" s="1"/>
      <c r="K129" s="1"/>
    </row>
    <row r="130">
      <c r="A130" s="1"/>
      <c r="B130" s="1"/>
      <c r="C130" s="1"/>
      <c r="D130" s="1"/>
      <c r="E130" s="1"/>
      <c r="F130" s="1"/>
      <c r="G130" s="1"/>
      <c r="H130" s="1"/>
      <c r="I130" s="1"/>
      <c r="J130" s="1"/>
      <c r="K130" s="1"/>
    </row>
    <row r="131">
      <c r="A131" s="1"/>
      <c r="B131" s="1"/>
      <c r="C131" s="1"/>
      <c r="D131" s="1"/>
      <c r="E131" s="1"/>
      <c r="F131" s="1"/>
      <c r="G131" s="1"/>
      <c r="H131" s="1"/>
      <c r="I131" s="1"/>
      <c r="J131" s="1"/>
      <c r="K131" s="1"/>
    </row>
    <row r="132">
      <c r="A132" s="1"/>
      <c r="B132" s="1"/>
      <c r="C132" s="1"/>
      <c r="D132" s="1"/>
      <c r="E132" s="1"/>
      <c r="F132" s="1"/>
      <c r="G132" s="1"/>
      <c r="H132" s="1"/>
      <c r="I132" s="1"/>
      <c r="J132" s="1"/>
      <c r="K132" s="1"/>
    </row>
    <row r="133">
      <c r="A133" s="1"/>
      <c r="B133" s="1"/>
      <c r="C133" s="1"/>
      <c r="D133" s="1"/>
      <c r="E133" s="1"/>
      <c r="F133" s="1"/>
      <c r="G133" s="1"/>
      <c r="H133" s="1"/>
      <c r="I133" s="1"/>
      <c r="J133" s="1"/>
      <c r="K133" s="1"/>
    </row>
    <row r="134">
      <c r="A134" s="1"/>
      <c r="B134" s="1"/>
      <c r="C134" s="1"/>
      <c r="D134" s="1"/>
      <c r="E134" s="1"/>
      <c r="F134" s="1"/>
      <c r="G134" s="1"/>
      <c r="H134" s="1"/>
      <c r="I134" s="1"/>
      <c r="J134" s="1"/>
      <c r="K134" s="1"/>
    </row>
    <row r="135">
      <c r="A135" s="1"/>
      <c r="B135" s="1"/>
      <c r="C135" s="1"/>
      <c r="D135" s="1"/>
      <c r="E135" s="1"/>
      <c r="F135" s="1"/>
      <c r="G135" s="1"/>
      <c r="H135" s="1"/>
      <c r="I135" s="1"/>
      <c r="J135" s="1"/>
      <c r="K135" s="1"/>
    </row>
    <row r="136">
      <c r="A136" s="1"/>
      <c r="B136" s="1"/>
      <c r="C136" s="1"/>
      <c r="D136" s="1"/>
      <c r="E136" s="1"/>
      <c r="F136" s="1"/>
      <c r="G136" s="1"/>
      <c r="H136" s="1"/>
      <c r="I136" s="1"/>
      <c r="J136" s="1"/>
      <c r="K136" s="1"/>
    </row>
    <row r="137">
      <c r="A137" s="1"/>
      <c r="B137" s="1"/>
      <c r="C137" s="1"/>
      <c r="D137" s="1"/>
      <c r="E137" s="1"/>
      <c r="F137" s="1"/>
      <c r="G137" s="1"/>
      <c r="H137" s="1"/>
      <c r="I137" s="1"/>
      <c r="J137" s="1"/>
      <c r="K137" s="1"/>
    </row>
    <row r="138">
      <c r="A138" s="1"/>
      <c r="B138" s="1"/>
      <c r="C138" s="1"/>
      <c r="D138" s="1"/>
      <c r="E138" s="1"/>
      <c r="F138" s="1"/>
      <c r="G138" s="1"/>
      <c r="H138" s="1"/>
      <c r="I138" s="1"/>
      <c r="J138" s="1"/>
      <c r="K138" s="1"/>
    </row>
    <row r="139">
      <c r="A139" s="1"/>
      <c r="B139" s="1"/>
      <c r="C139" s="1"/>
      <c r="D139" s="1"/>
      <c r="E139" s="1"/>
      <c r="F139" s="1"/>
      <c r="G139" s="1"/>
      <c r="H139" s="1"/>
      <c r="I139" s="1"/>
      <c r="J139" s="1"/>
      <c r="K139" s="1"/>
    </row>
    <row r="140">
      <c r="A140" s="1"/>
      <c r="B140" s="1"/>
      <c r="C140" s="1"/>
      <c r="D140" s="1"/>
      <c r="E140" s="1"/>
      <c r="F140" s="1"/>
      <c r="G140" s="1"/>
      <c r="H140" s="1"/>
      <c r="I140" s="1"/>
      <c r="J140" s="1"/>
      <c r="K140" s="1"/>
    </row>
    <row r="141">
      <c r="A141" s="1"/>
      <c r="B141" s="1"/>
      <c r="C141" s="1"/>
      <c r="D141" s="1"/>
      <c r="E141" s="1"/>
      <c r="F141" s="1"/>
      <c r="G141" s="1"/>
      <c r="H141" s="1"/>
      <c r="I141" s="1"/>
      <c r="J141" s="1"/>
      <c r="K141" s="1"/>
    </row>
    <row r="142">
      <c r="A142" s="1"/>
      <c r="B142" s="1"/>
      <c r="C142" s="1"/>
      <c r="D142" s="1"/>
      <c r="E142" s="1"/>
      <c r="F142" s="1"/>
      <c r="G142" s="1"/>
      <c r="H142" s="1"/>
      <c r="I142" s="1"/>
      <c r="J142" s="1"/>
      <c r="K142" s="1"/>
    </row>
    <row r="143">
      <c r="A143" s="1"/>
      <c r="B143" s="1"/>
      <c r="C143" s="1"/>
      <c r="D143" s="1"/>
      <c r="E143" s="1"/>
      <c r="F143" s="1"/>
      <c r="G143" s="1"/>
      <c r="H143" s="1"/>
      <c r="I143" s="1"/>
      <c r="J143" s="1"/>
      <c r="K143" s="1"/>
    </row>
    <row r="144">
      <c r="A144" s="1"/>
      <c r="B144" s="1"/>
      <c r="C144" s="1"/>
      <c r="D144" s="1"/>
      <c r="E144" s="1"/>
      <c r="F144" s="1"/>
      <c r="G144" s="1"/>
      <c r="H144" s="1"/>
      <c r="I144" s="1"/>
      <c r="J144" s="1"/>
      <c r="K144" s="1"/>
    </row>
    <row r="145">
      <c r="A145" s="1"/>
      <c r="B145" s="1"/>
      <c r="C145" s="1"/>
      <c r="D145" s="1"/>
      <c r="E145" s="1"/>
      <c r="F145" s="1"/>
      <c r="G145" s="1"/>
      <c r="H145" s="1"/>
      <c r="I145" s="1"/>
      <c r="J145" s="1"/>
      <c r="K145" s="1"/>
    </row>
    <row r="146">
      <c r="A146" s="1"/>
      <c r="B146" s="1"/>
      <c r="C146" s="1"/>
      <c r="D146" s="1"/>
      <c r="E146" s="1"/>
      <c r="F146" s="1"/>
      <c r="G146" s="1"/>
      <c r="H146" s="1"/>
      <c r="I146" s="1"/>
      <c r="J146" s="1"/>
      <c r="K146" s="1"/>
    </row>
    <row r="147">
      <c r="A147" s="1"/>
      <c r="B147" s="1"/>
      <c r="C147" s="1"/>
      <c r="D147" s="1"/>
      <c r="E147" s="1"/>
      <c r="F147" s="1"/>
      <c r="G147" s="1"/>
      <c r="H147" s="1"/>
      <c r="I147" s="1"/>
      <c r="J147" s="1"/>
      <c r="K147" s="1"/>
    </row>
    <row r="148">
      <c r="A148" s="1"/>
      <c r="B148" s="1"/>
      <c r="C148" s="1"/>
      <c r="D148" s="1"/>
      <c r="E148" s="1"/>
      <c r="F148" s="1"/>
      <c r="G148" s="1"/>
      <c r="H148" s="1"/>
      <c r="I148" s="1"/>
      <c r="J148" s="1"/>
      <c r="K148" s="1"/>
    </row>
    <row r="149">
      <c r="A149" s="1"/>
      <c r="B149" s="1"/>
      <c r="C149" s="1"/>
      <c r="D149" s="1"/>
      <c r="E149" s="1"/>
      <c r="F149" s="1"/>
      <c r="G149" s="1"/>
      <c r="H149" s="1"/>
      <c r="I149" s="1"/>
      <c r="J149" s="1"/>
      <c r="K149" s="1"/>
    </row>
    <row r="150">
      <c r="A150" s="1"/>
      <c r="B150" s="1"/>
      <c r="C150" s="1"/>
      <c r="D150" s="1"/>
      <c r="E150" s="1"/>
      <c r="F150" s="1"/>
      <c r="G150" s="1"/>
      <c r="H150" s="1"/>
      <c r="I150" s="1"/>
      <c r="J150" s="1"/>
      <c r="K150" s="1"/>
    </row>
    <row r="151">
      <c r="A151" s="1"/>
      <c r="B151" s="1"/>
      <c r="C151" s="1"/>
      <c r="D151" s="1"/>
      <c r="E151" s="1"/>
      <c r="F151" s="1"/>
      <c r="G151" s="1"/>
      <c r="H151" s="1"/>
      <c r="I151" s="1"/>
      <c r="J151" s="1"/>
      <c r="K151" s="1"/>
    </row>
    <row r="152">
      <c r="A152" s="1"/>
      <c r="B152" s="1"/>
      <c r="C152" s="1"/>
      <c r="D152" s="1"/>
      <c r="E152" s="1"/>
      <c r="F152" s="1"/>
      <c r="G152" s="1"/>
      <c r="H152" s="1"/>
      <c r="I152" s="1"/>
      <c r="J152" s="1"/>
      <c r="K152" s="1"/>
    </row>
    <row r="153">
      <c r="A153" s="1"/>
      <c r="B153" s="1"/>
      <c r="C153" s="1"/>
      <c r="D153" s="1"/>
      <c r="E153" s="1"/>
      <c r="F153" s="1"/>
      <c r="G153" s="1"/>
      <c r="H153" s="1"/>
      <c r="I153" s="1"/>
      <c r="J153" s="1"/>
      <c r="K153" s="1"/>
    </row>
    <row r="154">
      <c r="A154" s="1"/>
      <c r="B154" s="1"/>
      <c r="C154" s="1"/>
      <c r="D154" s="1"/>
      <c r="E154" s="1"/>
      <c r="F154" s="1"/>
      <c r="G154" s="1"/>
      <c r="H154" s="1"/>
      <c r="I154" s="1"/>
      <c r="J154" s="1"/>
      <c r="K154" s="1"/>
    </row>
    <row r="155">
      <c r="A155" s="1"/>
      <c r="B155" s="1"/>
      <c r="C155" s="1"/>
      <c r="D155" s="1"/>
      <c r="E155" s="1"/>
      <c r="F155" s="1"/>
      <c r="G155" s="1"/>
      <c r="H155" s="1"/>
      <c r="I155" s="1"/>
      <c r="J155" s="1"/>
      <c r="K155" s="1"/>
    </row>
    <row r="156">
      <c r="A156" s="1"/>
      <c r="B156" s="1"/>
      <c r="C156" s="1"/>
      <c r="D156" s="1"/>
      <c r="E156" s="1"/>
      <c r="F156" s="1"/>
      <c r="G156" s="1"/>
      <c r="H156" s="1"/>
      <c r="I156" s="1"/>
      <c r="J156" s="1"/>
      <c r="K156" s="1"/>
    </row>
    <row r="157">
      <c r="A157" s="1"/>
      <c r="B157" s="1"/>
      <c r="C157" s="1"/>
      <c r="D157" s="1"/>
      <c r="E157" s="1"/>
      <c r="F157" s="1"/>
      <c r="G157" s="1"/>
      <c r="H157" s="1"/>
      <c r="I157" s="1"/>
      <c r="J157" s="1"/>
      <c r="K157" s="1"/>
    </row>
    <row r="158">
      <c r="A158" s="1"/>
      <c r="B158" s="1"/>
      <c r="C158" s="1"/>
      <c r="D158" s="1"/>
      <c r="E158" s="1"/>
      <c r="F158" s="1"/>
      <c r="G158" s="1"/>
      <c r="H158" s="1"/>
      <c r="I158" s="1"/>
      <c r="J158" s="1"/>
      <c r="K158" s="1"/>
    </row>
    <row r="159">
      <c r="A159" s="1"/>
      <c r="B159" s="1"/>
      <c r="C159" s="1"/>
      <c r="D159" s="1"/>
      <c r="E159" s="1"/>
      <c r="F159" s="1"/>
      <c r="G159" s="1"/>
      <c r="H159" s="1"/>
      <c r="I159" s="1"/>
      <c r="J159" s="1"/>
      <c r="K159" s="1"/>
    </row>
    <row r="160">
      <c r="A160" s="1"/>
      <c r="B160" s="1"/>
      <c r="C160" s="1"/>
      <c r="D160" s="1"/>
      <c r="E160" s="1"/>
      <c r="F160" s="1"/>
      <c r="G160" s="1"/>
      <c r="H160" s="1"/>
      <c r="I160" s="1"/>
      <c r="J160" s="1"/>
      <c r="K160" s="1"/>
    </row>
    <row r="161">
      <c r="A161" s="1"/>
      <c r="B161" s="1"/>
      <c r="C161" s="1"/>
      <c r="D161" s="1"/>
      <c r="E161" s="1"/>
      <c r="F161" s="1"/>
      <c r="G161" s="1"/>
      <c r="H161" s="1"/>
      <c r="I161" s="1"/>
      <c r="J161" s="1"/>
      <c r="K161" s="1"/>
    </row>
    <row r="162">
      <c r="A162" s="1"/>
      <c r="B162" s="1"/>
      <c r="C162" s="1"/>
      <c r="D162" s="1"/>
      <c r="E162" s="1"/>
      <c r="F162" s="1"/>
      <c r="G162" s="1"/>
      <c r="H162" s="1"/>
      <c r="I162" s="1"/>
      <c r="J162" s="1"/>
      <c r="K162" s="1"/>
    </row>
    <row r="163">
      <c r="A163" s="1"/>
      <c r="B163" s="1"/>
      <c r="C163" s="1"/>
      <c r="D163" s="1"/>
      <c r="E163" s="1"/>
      <c r="F163" s="1"/>
      <c r="G163" s="1"/>
      <c r="H163" s="1"/>
      <c r="I163" s="1"/>
      <c r="J163" s="1"/>
      <c r="K163" s="1"/>
    </row>
    <row r="164">
      <c r="A164" s="1"/>
      <c r="B164" s="1"/>
      <c r="C164" s="1"/>
      <c r="D164" s="1"/>
      <c r="E164" s="1"/>
      <c r="F164" s="1"/>
      <c r="G164" s="1"/>
      <c r="H164" s="1"/>
      <c r="I164" s="1"/>
      <c r="J164" s="1"/>
      <c r="K164" s="1"/>
    </row>
    <row r="165">
      <c r="A165" s="1"/>
      <c r="B165" s="1"/>
      <c r="C165" s="1"/>
      <c r="D165" s="1"/>
      <c r="E165" s="1"/>
      <c r="F165" s="1"/>
      <c r="G165" s="1"/>
      <c r="H165" s="1"/>
      <c r="I165" s="1"/>
      <c r="J165" s="1"/>
      <c r="K165" s="1"/>
    </row>
    <row r="166">
      <c r="A166" s="1"/>
      <c r="B166" s="1"/>
      <c r="C166" s="1"/>
      <c r="D166" s="1"/>
      <c r="E166" s="1"/>
      <c r="F166" s="1"/>
      <c r="G166" s="1"/>
      <c r="H166" s="1"/>
      <c r="I166" s="1"/>
      <c r="J166" s="1"/>
      <c r="K166" s="1"/>
    </row>
    <row r="167">
      <c r="A167" s="1"/>
      <c r="B167" s="1"/>
      <c r="C167" s="1"/>
      <c r="D167" s="1"/>
      <c r="E167" s="1"/>
      <c r="F167" s="1"/>
      <c r="G167" s="1"/>
      <c r="H167" s="1"/>
      <c r="I167" s="1"/>
      <c r="J167" s="1"/>
      <c r="K167" s="1"/>
    </row>
    <row r="168">
      <c r="A168" s="1"/>
      <c r="B168" s="1"/>
      <c r="C168" s="1"/>
      <c r="D168" s="1"/>
      <c r="E168" s="1"/>
      <c r="F168" s="1"/>
      <c r="G168" s="1"/>
      <c r="H168" s="1"/>
      <c r="I168" s="1"/>
      <c r="J168" s="1"/>
      <c r="K168" s="1"/>
    </row>
    <row r="169">
      <c r="A169" s="1"/>
      <c r="B169" s="1"/>
      <c r="C169" s="1"/>
      <c r="D169" s="1"/>
      <c r="E169" s="1"/>
      <c r="F169" s="1"/>
      <c r="G169" s="1"/>
      <c r="H169" s="1"/>
      <c r="I169" s="1"/>
      <c r="J169" s="1"/>
      <c r="K169" s="1"/>
    </row>
    <row r="170">
      <c r="A170" s="1"/>
      <c r="B170" s="1"/>
      <c r="C170" s="1"/>
      <c r="D170" s="1"/>
      <c r="E170" s="1"/>
      <c r="F170" s="1"/>
      <c r="G170" s="1"/>
      <c r="H170" s="1"/>
      <c r="I170" s="1"/>
      <c r="J170" s="1"/>
      <c r="K170" s="1"/>
    </row>
    <row r="171">
      <c r="A171" s="1"/>
      <c r="B171" s="1"/>
      <c r="C171" s="1"/>
      <c r="D171" s="1"/>
      <c r="E171" s="1"/>
      <c r="F171" s="1"/>
      <c r="G171" s="1"/>
      <c r="H171" s="1"/>
      <c r="I171" s="1"/>
      <c r="J171" s="1"/>
      <c r="K171" s="1"/>
    </row>
    <row r="172">
      <c r="A172" s="1"/>
      <c r="B172" s="1"/>
      <c r="C172" s="1"/>
      <c r="D172" s="1"/>
      <c r="E172" s="1"/>
      <c r="F172" s="1"/>
      <c r="G172" s="1"/>
      <c r="H172" s="1"/>
      <c r="I172" s="1"/>
      <c r="J172" s="1"/>
      <c r="K172" s="1"/>
    </row>
    <row r="173">
      <c r="A173" s="1"/>
      <c r="B173" s="1"/>
      <c r="C173" s="1"/>
      <c r="D173" s="1"/>
      <c r="E173" s="1"/>
      <c r="F173" s="1"/>
      <c r="G173" s="1"/>
      <c r="H173" s="1"/>
      <c r="I173" s="1"/>
      <c r="J173" s="1"/>
      <c r="K173" s="1"/>
    </row>
    <row r="174">
      <c r="A174" s="1"/>
      <c r="B174" s="1"/>
      <c r="C174" s="1"/>
      <c r="D174" s="1"/>
      <c r="E174" s="1"/>
      <c r="F174" s="1"/>
      <c r="G174" s="1"/>
      <c r="H174" s="1"/>
      <c r="I174" s="1"/>
      <c r="J174" s="1"/>
      <c r="K174" s="1"/>
    </row>
    <row r="175">
      <c r="A175" s="1"/>
      <c r="B175" s="1"/>
      <c r="C175" s="1"/>
      <c r="D175" s="1"/>
      <c r="E175" s="1"/>
      <c r="F175" s="1"/>
      <c r="G175" s="1"/>
      <c r="H175" s="1"/>
      <c r="I175" s="1"/>
      <c r="J175" s="1"/>
      <c r="K175" s="1"/>
    </row>
    <row r="176">
      <c r="A176" s="1"/>
      <c r="B176" s="1"/>
      <c r="C176" s="1"/>
      <c r="D176" s="1"/>
      <c r="E176" s="1"/>
      <c r="F176" s="1"/>
      <c r="G176" s="1"/>
      <c r="H176" s="1"/>
      <c r="I176" s="1"/>
      <c r="J176" s="1"/>
      <c r="K176" s="1"/>
    </row>
    <row r="177">
      <c r="A177" s="1"/>
      <c r="B177" s="1"/>
      <c r="C177" s="1"/>
      <c r="D177" s="1"/>
      <c r="E177" s="1"/>
      <c r="F177" s="1"/>
      <c r="G177" s="1"/>
      <c r="H177" s="1"/>
      <c r="I177" s="1"/>
      <c r="J177" s="1"/>
      <c r="K177" s="1"/>
    </row>
    <row r="178">
      <c r="A178" s="1"/>
      <c r="B178" s="1"/>
      <c r="C178" s="1"/>
      <c r="D178" s="1"/>
      <c r="E178" s="1"/>
      <c r="F178" s="1"/>
      <c r="G178" s="1"/>
      <c r="H178" s="1"/>
      <c r="I178" s="1"/>
      <c r="J178" s="1"/>
      <c r="K178" s="1"/>
    </row>
    <row r="179">
      <c r="A179" s="1"/>
      <c r="B179" s="1"/>
      <c r="C179" s="1"/>
      <c r="D179" s="1"/>
      <c r="E179" s="1"/>
      <c r="F179" s="1"/>
      <c r="G179" s="1"/>
      <c r="H179" s="1"/>
      <c r="I179" s="1"/>
      <c r="J179" s="1"/>
      <c r="K179" s="1"/>
    </row>
    <row r="180">
      <c r="A180" s="1"/>
      <c r="B180" s="1"/>
      <c r="C180" s="1"/>
      <c r="D180" s="1"/>
      <c r="E180" s="1"/>
      <c r="F180" s="1"/>
      <c r="G180" s="1"/>
      <c r="H180" s="1"/>
      <c r="I180" s="1"/>
      <c r="J180" s="1"/>
      <c r="K180" s="1"/>
    </row>
    <row r="181">
      <c r="A181" s="1"/>
      <c r="B181" s="1"/>
      <c r="C181" s="1"/>
      <c r="D181" s="1"/>
      <c r="E181" s="1"/>
      <c r="F181" s="1"/>
      <c r="G181" s="1"/>
      <c r="H181" s="1"/>
      <c r="I181" s="1"/>
      <c r="J181" s="1"/>
      <c r="K181" s="1"/>
    </row>
    <row r="182">
      <c r="A182" s="1"/>
      <c r="B182" s="1"/>
      <c r="C182" s="1"/>
      <c r="D182" s="1"/>
      <c r="E182" s="1"/>
      <c r="F182" s="1"/>
      <c r="G182" s="1"/>
      <c r="H182" s="1"/>
      <c r="I182" s="1"/>
      <c r="J182" s="1"/>
      <c r="K182" s="1"/>
    </row>
    <row r="183">
      <c r="A183" s="1"/>
      <c r="B183" s="1"/>
      <c r="C183" s="1"/>
      <c r="D183" s="1"/>
      <c r="E183" s="1"/>
      <c r="F183" s="1"/>
      <c r="G183" s="1"/>
      <c r="H183" s="1"/>
      <c r="I183" s="1"/>
      <c r="J183" s="1"/>
      <c r="K183" s="1"/>
    </row>
    <row r="184">
      <c r="A184" s="1"/>
      <c r="B184" s="1"/>
      <c r="C184" s="1"/>
      <c r="D184" s="1"/>
      <c r="E184" s="1"/>
      <c r="F184" s="1"/>
      <c r="G184" s="1"/>
      <c r="H184" s="1"/>
      <c r="I184" s="1"/>
      <c r="J184" s="1"/>
      <c r="K184" s="1"/>
    </row>
    <row r="185">
      <c r="A185" s="1"/>
      <c r="B185" s="1"/>
      <c r="C185" s="1"/>
      <c r="D185" s="1"/>
      <c r="E185" s="1"/>
      <c r="F185" s="1"/>
      <c r="G185" s="1"/>
      <c r="H185" s="1"/>
      <c r="I185" s="1"/>
      <c r="J185" s="1"/>
      <c r="K185" s="1"/>
    </row>
    <row r="186">
      <c r="A186" s="1"/>
      <c r="B186" s="1"/>
      <c r="C186" s="1"/>
      <c r="D186" s="1"/>
      <c r="E186" s="1"/>
      <c r="F186" s="1"/>
      <c r="G186" s="1"/>
      <c r="H186" s="1"/>
      <c r="I186" s="1"/>
      <c r="J186" s="1"/>
      <c r="K186" s="1"/>
    </row>
    <row r="187">
      <c r="A187" s="1"/>
      <c r="B187" s="1"/>
      <c r="C187" s="1"/>
      <c r="D187" s="1"/>
      <c r="E187" s="1"/>
      <c r="F187" s="1"/>
      <c r="G187" s="1"/>
      <c r="H187" s="1"/>
      <c r="I187" s="1"/>
      <c r="J187" s="1"/>
      <c r="K187" s="1"/>
    </row>
    <row r="188">
      <c r="A188" s="1"/>
      <c r="B188" s="1"/>
      <c r="C188" s="1"/>
      <c r="D188" s="1"/>
      <c r="E188" s="1"/>
      <c r="F188" s="1"/>
      <c r="G188" s="1"/>
      <c r="H188" s="1"/>
      <c r="I188" s="1"/>
      <c r="J188" s="1"/>
      <c r="K188" s="1"/>
    </row>
    <row r="189">
      <c r="A189" s="1"/>
      <c r="B189" s="1"/>
      <c r="C189" s="1"/>
      <c r="D189" s="1"/>
      <c r="E189" s="1"/>
      <c r="F189" s="1"/>
      <c r="G189" s="1"/>
      <c r="H189" s="1"/>
      <c r="I189" s="1"/>
      <c r="J189" s="1"/>
      <c r="K189" s="1"/>
    </row>
    <row r="190">
      <c r="A190" s="1"/>
      <c r="B190" s="1"/>
      <c r="C190" s="1"/>
      <c r="D190" s="1"/>
      <c r="E190" s="1"/>
      <c r="F190" s="1"/>
      <c r="G190" s="1"/>
      <c r="H190" s="1"/>
      <c r="I190" s="1"/>
      <c r="J190" s="1"/>
      <c r="K190" s="1"/>
    </row>
    <row r="191">
      <c r="A191" s="1"/>
      <c r="B191" s="1"/>
      <c r="C191" s="1"/>
      <c r="D191" s="1"/>
      <c r="E191" s="1"/>
      <c r="F191" s="1"/>
      <c r="G191" s="1"/>
      <c r="H191" s="1"/>
      <c r="I191" s="1"/>
      <c r="J191" s="1"/>
      <c r="K191" s="1"/>
    </row>
    <row r="192">
      <c r="A192" s="1"/>
      <c r="B192" s="1"/>
      <c r="C192" s="1"/>
      <c r="D192" s="1"/>
      <c r="E192" s="1"/>
      <c r="F192" s="1"/>
      <c r="G192" s="1"/>
      <c r="H192" s="1"/>
      <c r="I192" s="1"/>
      <c r="J192" s="1"/>
      <c r="K192" s="1"/>
    </row>
    <row r="193">
      <c r="A193" s="1"/>
      <c r="B193" s="1"/>
      <c r="C193" s="1"/>
      <c r="D193" s="1"/>
      <c r="E193" s="1"/>
      <c r="F193" s="1"/>
      <c r="G193" s="1"/>
      <c r="H193" s="1"/>
      <c r="I193" s="1"/>
      <c r="J193" s="1"/>
      <c r="K193" s="1"/>
    </row>
    <row r="194">
      <c r="A194" s="1"/>
      <c r="B194" s="1"/>
      <c r="C194" s="1"/>
      <c r="D194" s="1"/>
      <c r="E194" s="1"/>
      <c r="F194" s="1"/>
      <c r="G194" s="1"/>
      <c r="H194" s="1"/>
      <c r="I194" s="1"/>
      <c r="J194" s="1"/>
      <c r="K194" s="1"/>
    </row>
    <row r="195">
      <c r="A195" s="1"/>
      <c r="B195" s="1"/>
      <c r="C195" s="1"/>
      <c r="D195" s="1"/>
      <c r="E195" s="1"/>
      <c r="F195" s="1"/>
      <c r="G195" s="1"/>
      <c r="H195" s="1"/>
      <c r="I195" s="1"/>
      <c r="J195" s="1"/>
      <c r="K195" s="1"/>
    </row>
    <row r="196">
      <c r="A196" s="1"/>
      <c r="B196" s="1"/>
      <c r="C196" s="1"/>
      <c r="D196" s="1"/>
      <c r="E196" s="1"/>
      <c r="F196" s="1"/>
      <c r="G196" s="1"/>
      <c r="H196" s="1"/>
      <c r="I196" s="1"/>
      <c r="J196" s="1"/>
      <c r="K196" s="1"/>
    </row>
    <row r="197">
      <c r="A197" s="1"/>
      <c r="B197" s="1"/>
      <c r="C197" s="1"/>
      <c r="D197" s="1"/>
      <c r="E197" s="1"/>
      <c r="F197" s="1"/>
      <c r="G197" s="1"/>
      <c r="H197" s="1"/>
      <c r="I197" s="1"/>
      <c r="J197" s="1"/>
      <c r="K197" s="1"/>
    </row>
    <row r="198">
      <c r="A198" s="1"/>
      <c r="B198" s="1"/>
      <c r="C198" s="1"/>
      <c r="D198" s="1"/>
      <c r="E198" s="1"/>
      <c r="F198" s="1"/>
      <c r="G198" s="1"/>
      <c r="H198" s="1"/>
      <c r="I198" s="1"/>
      <c r="J198" s="1"/>
      <c r="K198" s="1"/>
    </row>
    <row r="199">
      <c r="A199" s="1"/>
      <c r="B199" s="1"/>
      <c r="C199" s="1"/>
      <c r="D199" s="1"/>
      <c r="E199" s="1"/>
      <c r="F199" s="1"/>
      <c r="G199" s="1"/>
      <c r="H199" s="1"/>
      <c r="I199" s="1"/>
      <c r="J199" s="1"/>
      <c r="K199" s="1"/>
    </row>
    <row r="200">
      <c r="A200" s="1"/>
      <c r="B200" s="1"/>
      <c r="C200" s="1"/>
      <c r="D200" s="1"/>
      <c r="E200" s="1"/>
      <c r="F200" s="1"/>
      <c r="G200" s="1"/>
      <c r="H200" s="1"/>
      <c r="I200" s="1"/>
      <c r="J200" s="1"/>
      <c r="K200" s="1"/>
    </row>
    <row r="201">
      <c r="A201" s="1"/>
      <c r="B201" s="1"/>
      <c r="C201" s="1"/>
      <c r="D201" s="1"/>
      <c r="E201" s="1"/>
      <c r="F201" s="1"/>
      <c r="G201" s="1"/>
      <c r="H201" s="1"/>
      <c r="I201" s="1"/>
      <c r="J201" s="1"/>
      <c r="K201" s="1"/>
    </row>
    <row r="202">
      <c r="A202" s="1"/>
      <c r="B202" s="1"/>
      <c r="C202" s="1"/>
      <c r="D202" s="1"/>
      <c r="E202" s="1"/>
      <c r="F202" s="1"/>
      <c r="G202" s="1"/>
      <c r="H202" s="1"/>
      <c r="I202" s="1"/>
      <c r="J202" s="1"/>
      <c r="K202" s="1"/>
    </row>
    <row r="203">
      <c r="A203" s="1"/>
      <c r="B203" s="1"/>
      <c r="C203" s="1"/>
      <c r="D203" s="1"/>
      <c r="E203" s="1"/>
      <c r="F203" s="1"/>
      <c r="G203" s="1"/>
      <c r="H203" s="1"/>
      <c r="I203" s="1"/>
      <c r="J203" s="1"/>
      <c r="K203" s="1"/>
    </row>
    <row r="204">
      <c r="A204" s="1"/>
      <c r="B204" s="1"/>
      <c r="C204" s="1"/>
      <c r="D204" s="1"/>
      <c r="E204" s="1"/>
      <c r="F204" s="1"/>
      <c r="G204" s="1"/>
      <c r="H204" s="1"/>
      <c r="I204" s="1"/>
      <c r="J204" s="1"/>
      <c r="K204" s="1"/>
    </row>
    <row r="205">
      <c r="A205" s="1"/>
      <c r="B205" s="1"/>
      <c r="C205" s="1"/>
      <c r="D205" s="1"/>
      <c r="E205" s="1"/>
      <c r="F205" s="1"/>
      <c r="G205" s="1"/>
      <c r="H205" s="1"/>
      <c r="I205" s="1"/>
      <c r="J205" s="1"/>
      <c r="K205" s="1"/>
    </row>
    <row r="206">
      <c r="A206" s="1"/>
      <c r="B206" s="1"/>
      <c r="C206" s="1"/>
      <c r="D206" s="1"/>
      <c r="E206" s="1"/>
      <c r="F206" s="1"/>
      <c r="G206" s="1"/>
      <c r="H206" s="1"/>
      <c r="I206" s="1"/>
      <c r="J206" s="1"/>
      <c r="K206" s="1"/>
    </row>
    <row r="207">
      <c r="A207" s="1"/>
      <c r="B207" s="1"/>
      <c r="C207" s="1"/>
      <c r="D207" s="1"/>
      <c r="E207" s="1"/>
      <c r="F207" s="1"/>
      <c r="G207" s="1"/>
      <c r="H207" s="1"/>
      <c r="I207" s="1"/>
      <c r="J207" s="1"/>
      <c r="K207" s="1"/>
    </row>
    <row r="208">
      <c r="A208" s="1"/>
      <c r="B208" s="1"/>
      <c r="C208" s="1"/>
      <c r="D208" s="1"/>
      <c r="E208" s="1"/>
      <c r="F208" s="1"/>
      <c r="G208" s="1"/>
      <c r="H208" s="1"/>
      <c r="I208" s="1"/>
      <c r="J208" s="1"/>
      <c r="K208" s="1"/>
    </row>
    <row r="209">
      <c r="A209" s="1"/>
      <c r="B209" s="1"/>
      <c r="C209" s="1"/>
      <c r="D209" s="1"/>
      <c r="E209" s="1"/>
      <c r="F209" s="1"/>
      <c r="G209" s="1"/>
      <c r="H209" s="1"/>
      <c r="I209" s="1"/>
      <c r="J209" s="1"/>
      <c r="K209" s="1"/>
    </row>
    <row r="210">
      <c r="A210" s="1"/>
      <c r="B210" s="1"/>
      <c r="C210" s="1"/>
      <c r="D210" s="1"/>
      <c r="E210" s="1"/>
      <c r="F210" s="1"/>
      <c r="G210" s="1"/>
      <c r="H210" s="1"/>
      <c r="I210" s="1"/>
      <c r="J210" s="1"/>
      <c r="K210" s="1"/>
    </row>
    <row r="211">
      <c r="A211" s="1"/>
      <c r="B211" s="1"/>
      <c r="C211" s="1"/>
      <c r="D211" s="1"/>
      <c r="E211" s="1"/>
      <c r="F211" s="1"/>
      <c r="G211" s="1"/>
      <c r="H211" s="1"/>
      <c r="I211" s="1"/>
      <c r="J211" s="1"/>
      <c r="K211" s="1"/>
    </row>
    <row r="212">
      <c r="A212" s="1"/>
      <c r="B212" s="1"/>
      <c r="C212" s="1"/>
      <c r="D212" s="1"/>
      <c r="E212" s="1"/>
      <c r="F212" s="1"/>
      <c r="G212" s="1"/>
      <c r="H212" s="1"/>
      <c r="I212" s="1"/>
      <c r="J212" s="1"/>
      <c r="K212" s="1"/>
    </row>
    <row r="213">
      <c r="A213" s="1"/>
      <c r="B213" s="1"/>
      <c r="C213" s="1"/>
      <c r="D213" s="1"/>
      <c r="E213" s="1"/>
      <c r="F213" s="1"/>
      <c r="G213" s="1"/>
      <c r="H213" s="1"/>
      <c r="I213" s="1"/>
      <c r="J213" s="1"/>
      <c r="K213" s="1"/>
    </row>
    <row r="214">
      <c r="A214" s="1"/>
      <c r="B214" s="1"/>
      <c r="C214" s="1"/>
      <c r="D214" s="1"/>
      <c r="E214" s="1"/>
      <c r="F214" s="1"/>
      <c r="G214" s="1"/>
      <c r="H214" s="1"/>
      <c r="I214" s="1"/>
      <c r="J214" s="1"/>
      <c r="K214" s="1"/>
    </row>
    <row r="215">
      <c r="A215" s="1"/>
      <c r="B215" s="1"/>
      <c r="C215" s="1"/>
      <c r="D215" s="1"/>
      <c r="E215" s="1"/>
      <c r="F215" s="1"/>
      <c r="G215" s="1"/>
      <c r="H215" s="1"/>
      <c r="I215" s="1"/>
      <c r="J215" s="1"/>
      <c r="K215" s="1"/>
    </row>
    <row r="216">
      <c r="A216" s="1"/>
      <c r="B216" s="1"/>
      <c r="C216" s="1"/>
      <c r="D216" s="1"/>
      <c r="E216" s="1"/>
      <c r="F216" s="1"/>
      <c r="G216" s="1"/>
      <c r="H216" s="1"/>
      <c r="I216" s="1"/>
      <c r="J216" s="1"/>
      <c r="K216" s="1"/>
    </row>
    <row r="217">
      <c r="A217" s="1"/>
      <c r="B217" s="1"/>
      <c r="C217" s="1"/>
      <c r="D217" s="1"/>
      <c r="E217" s="1"/>
      <c r="F217" s="1"/>
      <c r="G217" s="1"/>
      <c r="H217" s="1"/>
      <c r="I217" s="1"/>
      <c r="J217" s="1"/>
      <c r="K217" s="1"/>
    </row>
    <row r="218">
      <c r="A218" s="1"/>
      <c r="B218" s="1"/>
      <c r="C218" s="1"/>
      <c r="D218" s="1"/>
      <c r="E218" s="1"/>
      <c r="F218" s="1"/>
      <c r="G218" s="1"/>
      <c r="H218" s="1"/>
      <c r="I218" s="1"/>
      <c r="J218" s="1"/>
      <c r="K218" s="1"/>
    </row>
    <row r="219">
      <c r="A219" s="1"/>
      <c r="B219" s="1"/>
      <c r="C219" s="1"/>
      <c r="D219" s="1"/>
      <c r="E219" s="1"/>
      <c r="F219" s="1"/>
      <c r="G219" s="1"/>
      <c r="H219" s="1"/>
      <c r="I219" s="1"/>
      <c r="J219" s="1"/>
      <c r="K219" s="1"/>
    </row>
    <row r="220">
      <c r="A220" s="1"/>
      <c r="B220" s="1"/>
      <c r="C220" s="1"/>
      <c r="D220" s="1"/>
      <c r="E220" s="1"/>
      <c r="F220" s="1"/>
      <c r="G220" s="1"/>
      <c r="H220" s="1"/>
      <c r="I220" s="1"/>
      <c r="J220" s="1"/>
      <c r="K220" s="1"/>
    </row>
    <row r="221">
      <c r="A221" s="1"/>
      <c r="B221" s="1"/>
      <c r="C221" s="1"/>
      <c r="D221" s="1"/>
      <c r="E221" s="1"/>
      <c r="F221" s="1"/>
      <c r="G221" s="1"/>
      <c r="H221" s="1"/>
      <c r="I221" s="1"/>
      <c r="J221" s="1"/>
      <c r="K221" s="1"/>
    </row>
    <row r="222">
      <c r="A222" s="1"/>
      <c r="B222" s="1"/>
      <c r="C222" s="1"/>
      <c r="D222" s="1"/>
      <c r="E222" s="1"/>
      <c r="F222" s="1"/>
      <c r="G222" s="1"/>
      <c r="H222" s="1"/>
      <c r="I222" s="1"/>
      <c r="J222" s="1"/>
      <c r="K222" s="1"/>
    </row>
    <row r="223">
      <c r="A223" s="1"/>
      <c r="B223" s="1"/>
      <c r="C223" s="1"/>
      <c r="D223" s="1"/>
      <c r="E223" s="1"/>
      <c r="F223" s="1"/>
      <c r="G223" s="1"/>
      <c r="H223" s="1"/>
      <c r="I223" s="1"/>
      <c r="J223" s="1"/>
      <c r="K223" s="1"/>
    </row>
    <row r="224">
      <c r="A224" s="1"/>
      <c r="B224" s="1"/>
      <c r="C224" s="1"/>
      <c r="D224" s="1"/>
      <c r="E224" s="1"/>
      <c r="F224" s="1"/>
      <c r="G224" s="1"/>
      <c r="H224" s="1"/>
      <c r="I224" s="1"/>
      <c r="J224" s="1"/>
      <c r="K224" s="1"/>
    </row>
    <row r="225">
      <c r="A225" s="1"/>
      <c r="B225" s="1"/>
      <c r="C225" s="1"/>
      <c r="D225" s="1"/>
      <c r="E225" s="1"/>
      <c r="F225" s="1"/>
      <c r="G225" s="1"/>
      <c r="H225" s="1"/>
      <c r="I225" s="1"/>
      <c r="J225" s="1"/>
      <c r="K225" s="1"/>
    </row>
    <row r="226">
      <c r="A226" s="1"/>
      <c r="B226" s="1"/>
      <c r="C226" s="1"/>
      <c r="D226" s="1"/>
      <c r="E226" s="1"/>
      <c r="F226" s="1"/>
      <c r="G226" s="1"/>
      <c r="H226" s="1"/>
      <c r="I226" s="1"/>
      <c r="J226" s="1"/>
      <c r="K226" s="1"/>
    </row>
    <row r="227">
      <c r="A227" s="1"/>
      <c r="B227" s="1"/>
      <c r="C227" s="1"/>
      <c r="D227" s="1"/>
      <c r="E227" s="1"/>
      <c r="F227" s="1"/>
      <c r="G227" s="1"/>
      <c r="H227" s="1"/>
      <c r="I227" s="1"/>
      <c r="J227" s="1"/>
      <c r="K227" s="1"/>
    </row>
    <row r="228">
      <c r="A228" s="1"/>
      <c r="B228" s="1"/>
      <c r="C228" s="1"/>
      <c r="D228" s="1"/>
      <c r="E228" s="1"/>
      <c r="F228" s="1"/>
      <c r="G228" s="1"/>
      <c r="H228" s="1"/>
      <c r="I228" s="1"/>
      <c r="J228" s="1"/>
      <c r="K228" s="1"/>
    </row>
    <row r="229">
      <c r="A229" s="1"/>
      <c r="B229" s="1"/>
      <c r="C229" s="1"/>
      <c r="D229" s="1"/>
      <c r="E229" s="1"/>
      <c r="F229" s="1"/>
      <c r="G229" s="1"/>
      <c r="H229" s="1"/>
      <c r="I229" s="1"/>
      <c r="J229" s="1"/>
      <c r="K229" s="1"/>
    </row>
    <row r="230">
      <c r="A230" s="1"/>
      <c r="B230" s="1"/>
      <c r="C230" s="1"/>
      <c r="D230" s="1"/>
      <c r="E230" s="1"/>
      <c r="F230" s="1"/>
      <c r="G230" s="1"/>
      <c r="H230" s="1"/>
      <c r="I230" s="1"/>
      <c r="J230" s="1"/>
      <c r="K230" s="1"/>
    </row>
    <row r="231">
      <c r="A231" s="1"/>
      <c r="B231" s="1"/>
      <c r="C231" s="1"/>
      <c r="D231" s="1"/>
      <c r="E231" s="1"/>
      <c r="F231" s="1"/>
      <c r="G231" s="1"/>
      <c r="H231" s="1"/>
      <c r="I231" s="1"/>
      <c r="J231" s="1"/>
      <c r="K231" s="1"/>
    </row>
    <row r="232">
      <c r="A232" s="1"/>
      <c r="B232" s="1"/>
      <c r="C232" s="1"/>
      <c r="D232" s="1"/>
      <c r="E232" s="1"/>
      <c r="F232" s="1"/>
      <c r="G232" s="1"/>
      <c r="H232" s="1"/>
      <c r="I232" s="1"/>
      <c r="J232" s="1"/>
      <c r="K232" s="1"/>
    </row>
    <row r="233">
      <c r="A233" s="1"/>
      <c r="B233" s="1"/>
      <c r="C233" s="1"/>
      <c r="D233" s="1"/>
      <c r="E233" s="1"/>
      <c r="F233" s="1"/>
      <c r="G233" s="1"/>
      <c r="H233" s="1"/>
      <c r="I233" s="1"/>
      <c r="J233" s="1"/>
      <c r="K233" s="1"/>
    </row>
    <row r="234">
      <c r="A234" s="1"/>
      <c r="B234" s="1"/>
      <c r="C234" s="1"/>
      <c r="D234" s="1"/>
      <c r="E234" s="1"/>
      <c r="F234" s="1"/>
      <c r="G234" s="1"/>
      <c r="H234" s="1"/>
      <c r="I234" s="1"/>
      <c r="J234" s="1"/>
      <c r="K234" s="1"/>
    </row>
    <row r="235">
      <c r="A235" s="1"/>
      <c r="B235" s="1"/>
      <c r="C235" s="1"/>
      <c r="D235" s="1"/>
      <c r="E235" s="1"/>
      <c r="F235" s="1"/>
      <c r="G235" s="1"/>
      <c r="H235" s="1"/>
      <c r="I235" s="1"/>
      <c r="J235" s="1"/>
      <c r="K235" s="1"/>
    </row>
    <row r="236">
      <c r="A236" s="1"/>
      <c r="B236" s="1"/>
      <c r="C236" s="1"/>
      <c r="D236" s="1"/>
      <c r="E236" s="1"/>
      <c r="F236" s="1"/>
      <c r="G236" s="1"/>
      <c r="H236" s="1"/>
      <c r="I236" s="1"/>
      <c r="J236" s="1"/>
      <c r="K236" s="1"/>
    </row>
    <row r="237">
      <c r="A237" s="1"/>
      <c r="B237" s="1"/>
      <c r="C237" s="1"/>
      <c r="D237" s="1"/>
      <c r="E237" s="1"/>
      <c r="F237" s="1"/>
      <c r="G237" s="1"/>
      <c r="H237" s="1"/>
      <c r="I237" s="1"/>
      <c r="J237" s="1"/>
      <c r="K237" s="1"/>
    </row>
    <row r="238">
      <c r="A238" s="1"/>
      <c r="B238" s="1"/>
      <c r="C238" s="1"/>
      <c r="D238" s="1"/>
      <c r="E238" s="1"/>
      <c r="F238" s="1"/>
      <c r="G238" s="1"/>
      <c r="H238" s="1"/>
      <c r="I238" s="1"/>
      <c r="J238" s="1"/>
      <c r="K238" s="1"/>
    </row>
    <row r="239">
      <c r="A239" s="1"/>
      <c r="B239" s="1"/>
      <c r="C239" s="1"/>
      <c r="D239" s="1"/>
      <c r="E239" s="1"/>
      <c r="F239" s="1"/>
      <c r="G239" s="1"/>
      <c r="H239" s="1"/>
      <c r="I239" s="1"/>
      <c r="J239" s="1"/>
      <c r="K239" s="1"/>
    </row>
    <row r="240">
      <c r="A240" s="1"/>
      <c r="B240" s="1"/>
      <c r="C240" s="1"/>
      <c r="D240" s="1"/>
      <c r="E240" s="1"/>
      <c r="F240" s="1"/>
      <c r="G240" s="1"/>
      <c r="H240" s="1"/>
      <c r="I240" s="1"/>
      <c r="J240" s="1"/>
      <c r="K240" s="1"/>
    </row>
    <row r="241">
      <c r="A241" s="1"/>
      <c r="B241" s="1"/>
      <c r="C241" s="1"/>
      <c r="D241" s="1"/>
      <c r="E241" s="1"/>
      <c r="F241" s="1"/>
      <c r="G241" s="1"/>
      <c r="H241" s="1"/>
      <c r="I241" s="1"/>
      <c r="J241" s="1"/>
      <c r="K241" s="1"/>
    </row>
    <row r="242">
      <c r="A242" s="1"/>
      <c r="B242" s="1"/>
      <c r="C242" s="1"/>
      <c r="D242" s="1"/>
      <c r="E242" s="1"/>
      <c r="F242" s="1"/>
      <c r="G242" s="1"/>
      <c r="H242" s="1"/>
      <c r="I242" s="1"/>
      <c r="J242" s="1"/>
      <c r="K242" s="1"/>
    </row>
    <row r="243">
      <c r="A243" s="1"/>
      <c r="B243" s="1"/>
      <c r="C243" s="1"/>
      <c r="D243" s="1"/>
      <c r="E243" s="1"/>
      <c r="F243" s="1"/>
      <c r="G243" s="1"/>
      <c r="H243" s="1"/>
      <c r="I243" s="1"/>
      <c r="J243" s="1"/>
      <c r="K243" s="1"/>
    </row>
    <row r="244">
      <c r="A244" s="1"/>
      <c r="B244" s="1"/>
      <c r="C244" s="1"/>
      <c r="D244" s="1"/>
      <c r="E244" s="1"/>
      <c r="F244" s="1"/>
      <c r="G244" s="1"/>
      <c r="H244" s="1"/>
      <c r="I244" s="1"/>
      <c r="J244" s="1"/>
      <c r="K244" s="1"/>
    </row>
    <row r="245">
      <c r="A245" s="1"/>
      <c r="B245" s="1"/>
      <c r="C245" s="1"/>
      <c r="D245" s="1"/>
      <c r="E245" s="1"/>
      <c r="F245" s="1"/>
      <c r="G245" s="1"/>
      <c r="H245" s="1"/>
      <c r="I245" s="1"/>
      <c r="J245" s="1"/>
      <c r="K245" s="1"/>
    </row>
    <row r="246">
      <c r="A246" s="1"/>
      <c r="B246" s="1"/>
      <c r="C246" s="1"/>
      <c r="D246" s="1"/>
      <c r="E246" s="1"/>
      <c r="F246" s="1"/>
      <c r="G246" s="1"/>
      <c r="H246" s="1"/>
      <c r="I246" s="1"/>
      <c r="J246" s="1"/>
      <c r="K246" s="1"/>
    </row>
    <row r="247">
      <c r="A247" s="1"/>
      <c r="B247" s="1"/>
      <c r="C247" s="1"/>
      <c r="D247" s="1"/>
      <c r="E247" s="1"/>
      <c r="F247" s="1"/>
      <c r="G247" s="1"/>
      <c r="H247" s="1"/>
      <c r="I247" s="1"/>
      <c r="J247" s="1"/>
      <c r="K247" s="1"/>
    </row>
    <row r="248">
      <c r="A248" s="1"/>
      <c r="B248" s="1"/>
      <c r="C248" s="1"/>
      <c r="D248" s="1"/>
      <c r="E248" s="1"/>
      <c r="F248" s="1"/>
      <c r="G248" s="1"/>
      <c r="H248" s="1"/>
      <c r="I248" s="1"/>
      <c r="J248" s="1"/>
      <c r="K248" s="1"/>
    </row>
    <row r="249">
      <c r="A249" s="1"/>
      <c r="B249" s="1"/>
      <c r="C249" s="1"/>
      <c r="D249" s="1"/>
      <c r="E249" s="1"/>
      <c r="F249" s="1"/>
      <c r="G249" s="1"/>
      <c r="H249" s="1"/>
      <c r="I249" s="1"/>
      <c r="J249" s="1"/>
      <c r="K249" s="1"/>
    </row>
    <row r="250">
      <c r="A250" s="1"/>
      <c r="B250" s="1"/>
      <c r="C250" s="1"/>
      <c r="D250" s="1"/>
      <c r="E250" s="1"/>
      <c r="F250" s="1"/>
      <c r="G250" s="1"/>
      <c r="H250" s="1"/>
      <c r="I250" s="1"/>
      <c r="J250" s="1"/>
      <c r="K250" s="1"/>
    </row>
    <row r="251">
      <c r="A251" s="1"/>
      <c r="B251" s="1"/>
      <c r="C251" s="1"/>
      <c r="D251" s="1"/>
      <c r="E251" s="1"/>
      <c r="F251" s="1"/>
      <c r="G251" s="1"/>
      <c r="H251" s="1"/>
      <c r="I251" s="1"/>
      <c r="J251" s="1"/>
      <c r="K251" s="1"/>
    </row>
    <row r="252">
      <c r="A252" s="1"/>
      <c r="B252" s="1"/>
      <c r="C252" s="1"/>
      <c r="D252" s="1"/>
      <c r="E252" s="1"/>
      <c r="F252" s="1"/>
      <c r="G252" s="1"/>
      <c r="H252" s="1"/>
      <c r="I252" s="1"/>
      <c r="J252" s="1"/>
      <c r="K252" s="1"/>
    </row>
    <row r="253">
      <c r="A253" s="1"/>
      <c r="B253" s="1"/>
      <c r="C253" s="1"/>
      <c r="D253" s="1"/>
      <c r="E253" s="1"/>
      <c r="F253" s="1"/>
      <c r="G253" s="1"/>
      <c r="H253" s="1"/>
      <c r="I253" s="1"/>
      <c r="J253" s="1"/>
      <c r="K253" s="1"/>
    </row>
    <row r="254">
      <c r="A254" s="1"/>
      <c r="B254" s="1"/>
      <c r="C254" s="1"/>
      <c r="D254" s="1"/>
      <c r="E254" s="1"/>
      <c r="F254" s="1"/>
      <c r="G254" s="1"/>
      <c r="H254" s="1"/>
      <c r="I254" s="1"/>
      <c r="J254" s="1"/>
      <c r="K254" s="1"/>
    </row>
    <row r="255">
      <c r="A255" s="1"/>
      <c r="B255" s="1"/>
      <c r="C255" s="1"/>
      <c r="D255" s="1"/>
      <c r="E255" s="1"/>
      <c r="F255" s="1"/>
      <c r="G255" s="1"/>
      <c r="H255" s="1"/>
      <c r="I255" s="1"/>
      <c r="J255" s="1"/>
      <c r="K255" s="1"/>
    </row>
    <row r="256">
      <c r="A256" s="1"/>
      <c r="B256" s="1"/>
      <c r="C256" s="1"/>
      <c r="D256" s="1"/>
      <c r="E256" s="1"/>
      <c r="F256" s="1"/>
      <c r="G256" s="1"/>
      <c r="H256" s="1"/>
      <c r="I256" s="1"/>
      <c r="J256" s="1"/>
      <c r="K256" s="1"/>
    </row>
    <row r="257">
      <c r="A257" s="1"/>
      <c r="B257" s="1"/>
      <c r="C257" s="1"/>
      <c r="D257" s="1"/>
      <c r="E257" s="1"/>
      <c r="F257" s="1"/>
      <c r="G257" s="1"/>
      <c r="H257" s="1"/>
      <c r="I257" s="1"/>
      <c r="J257" s="1"/>
      <c r="K257" s="1"/>
    </row>
    <row r="258">
      <c r="A258" s="1"/>
      <c r="B258" s="1"/>
      <c r="C258" s="1"/>
      <c r="D258" s="1"/>
      <c r="E258" s="1"/>
      <c r="F258" s="1"/>
      <c r="G258" s="1"/>
      <c r="H258" s="1"/>
      <c r="I258" s="1"/>
      <c r="J258" s="1"/>
      <c r="K258" s="1"/>
    </row>
    <row r="259">
      <c r="A259" s="1"/>
      <c r="B259" s="1"/>
      <c r="C259" s="1"/>
      <c r="D259" s="1"/>
      <c r="E259" s="1"/>
      <c r="F259" s="1"/>
      <c r="G259" s="1"/>
      <c r="H259" s="1"/>
      <c r="I259" s="1"/>
      <c r="J259" s="1"/>
      <c r="K259" s="1"/>
    </row>
    <row r="260">
      <c r="A260" s="1"/>
      <c r="B260" s="1"/>
      <c r="C260" s="1"/>
      <c r="D260" s="1"/>
      <c r="E260" s="1"/>
      <c r="F260" s="1"/>
      <c r="G260" s="1"/>
      <c r="H260" s="1"/>
      <c r="I260" s="1"/>
      <c r="J260" s="1"/>
      <c r="K260" s="1"/>
    </row>
    <row r="261">
      <c r="A261" s="1"/>
      <c r="B261" s="1"/>
      <c r="C261" s="1"/>
      <c r="D261" s="1"/>
      <c r="E261" s="1"/>
      <c r="F261" s="1"/>
      <c r="G261" s="1"/>
      <c r="H261" s="1"/>
      <c r="I261" s="1"/>
      <c r="J261" s="1"/>
      <c r="K261" s="1"/>
    </row>
    <row r="262">
      <c r="A262" s="1"/>
      <c r="B262" s="1"/>
      <c r="C262" s="1"/>
      <c r="D262" s="1"/>
      <c r="E262" s="1"/>
      <c r="F262" s="1"/>
      <c r="G262" s="1"/>
      <c r="H262" s="1"/>
      <c r="I262" s="1"/>
      <c r="J262" s="1"/>
      <c r="K262" s="1"/>
    </row>
    <row r="263">
      <c r="A263" s="1"/>
      <c r="B263" s="1"/>
      <c r="C263" s="1"/>
      <c r="D263" s="1"/>
      <c r="E263" s="1"/>
      <c r="F263" s="1"/>
      <c r="G263" s="1"/>
      <c r="H263" s="1"/>
      <c r="I263" s="1"/>
      <c r="J263" s="1"/>
      <c r="K263" s="1"/>
    </row>
    <row r="264">
      <c r="A264" s="1"/>
      <c r="B264" s="1"/>
      <c r="C264" s="1"/>
      <c r="D264" s="1"/>
      <c r="E264" s="1"/>
      <c r="F264" s="1"/>
      <c r="G264" s="1"/>
      <c r="H264" s="1"/>
      <c r="I264" s="1"/>
      <c r="J264" s="1"/>
      <c r="K264" s="1"/>
    </row>
    <row r="265">
      <c r="A265" s="1"/>
      <c r="B265" s="1"/>
      <c r="C265" s="1"/>
      <c r="D265" s="1"/>
      <c r="E265" s="1"/>
      <c r="F265" s="1"/>
      <c r="G265" s="1"/>
      <c r="H265" s="1"/>
      <c r="I265" s="1"/>
      <c r="J265" s="1"/>
      <c r="K265" s="1"/>
    </row>
    <row r="266">
      <c r="A266" s="1"/>
      <c r="B266" s="1"/>
      <c r="C266" s="1"/>
      <c r="D266" s="1"/>
      <c r="E266" s="1"/>
      <c r="F266" s="1"/>
      <c r="G266" s="1"/>
      <c r="H266" s="1"/>
      <c r="I266" s="1"/>
      <c r="J266" s="1"/>
      <c r="K266" s="1"/>
    </row>
    <row r="267">
      <c r="A267" s="1"/>
      <c r="B267" s="1"/>
      <c r="C267" s="1"/>
      <c r="D267" s="1"/>
      <c r="E267" s="1"/>
      <c r="F267" s="1"/>
      <c r="G267" s="1"/>
      <c r="H267" s="1"/>
      <c r="I267" s="1"/>
      <c r="J267" s="1"/>
      <c r="K267" s="1"/>
    </row>
    <row r="268">
      <c r="A268" s="1"/>
      <c r="B268" s="1"/>
      <c r="C268" s="1"/>
      <c r="D268" s="1"/>
      <c r="E268" s="1"/>
      <c r="F268" s="1"/>
      <c r="G268" s="1"/>
      <c r="H268" s="1"/>
      <c r="I268" s="1"/>
      <c r="J268" s="1"/>
      <c r="K268" s="1"/>
    </row>
    <row r="269">
      <c r="A269" s="1"/>
      <c r="B269" s="1"/>
      <c r="C269" s="1"/>
      <c r="D269" s="1"/>
      <c r="E269" s="1"/>
      <c r="F269" s="1"/>
      <c r="G269" s="1"/>
      <c r="H269" s="1"/>
      <c r="I269" s="1"/>
      <c r="J269" s="1"/>
      <c r="K269" s="1"/>
    </row>
    <row r="270">
      <c r="A270" s="1"/>
      <c r="B270" s="1"/>
      <c r="C270" s="1"/>
      <c r="D270" s="1"/>
      <c r="E270" s="1"/>
      <c r="F270" s="1"/>
      <c r="G270" s="1"/>
      <c r="H270" s="1"/>
      <c r="I270" s="1"/>
      <c r="J270" s="1"/>
      <c r="K270" s="1"/>
    </row>
    <row r="271">
      <c r="A271" s="1"/>
      <c r="B271" s="1"/>
      <c r="C271" s="1"/>
      <c r="D271" s="1"/>
      <c r="E271" s="1"/>
      <c r="F271" s="1"/>
      <c r="G271" s="1"/>
      <c r="H271" s="1"/>
      <c r="I271" s="1"/>
      <c r="J271" s="1"/>
      <c r="K271" s="1"/>
    </row>
    <row r="272">
      <c r="A272" s="1"/>
      <c r="B272" s="1"/>
      <c r="C272" s="1"/>
      <c r="D272" s="1"/>
      <c r="E272" s="1"/>
      <c r="F272" s="1"/>
      <c r="G272" s="1"/>
      <c r="H272" s="1"/>
      <c r="I272" s="1"/>
      <c r="J272" s="1"/>
      <c r="K272" s="1"/>
    </row>
    <row r="273">
      <c r="A273" s="1"/>
      <c r="B273" s="1"/>
      <c r="C273" s="1"/>
      <c r="D273" s="1"/>
      <c r="E273" s="1"/>
      <c r="F273" s="1"/>
      <c r="G273" s="1"/>
      <c r="H273" s="1"/>
      <c r="I273" s="1"/>
      <c r="J273" s="1"/>
      <c r="K273" s="1"/>
    </row>
    <row r="274">
      <c r="A274" s="1"/>
      <c r="B274" s="1"/>
      <c r="C274" s="1"/>
      <c r="D274" s="1"/>
      <c r="E274" s="1"/>
      <c r="F274" s="1"/>
      <c r="G274" s="1"/>
      <c r="H274" s="1"/>
      <c r="I274" s="1"/>
      <c r="J274" s="1"/>
      <c r="K274" s="1"/>
    </row>
    <row r="275">
      <c r="A275" s="1"/>
      <c r="B275" s="1"/>
      <c r="C275" s="1"/>
      <c r="D275" s="1"/>
      <c r="E275" s="1"/>
      <c r="F275" s="1"/>
      <c r="G275" s="1"/>
      <c r="H275" s="1"/>
      <c r="I275" s="1"/>
      <c r="J275" s="1"/>
      <c r="K275" s="1"/>
    </row>
    <row r="276">
      <c r="A276" s="1"/>
      <c r="B276" s="1"/>
      <c r="C276" s="1"/>
      <c r="D276" s="1"/>
      <c r="E276" s="1"/>
      <c r="F276" s="1"/>
      <c r="G276" s="1"/>
      <c r="H276" s="1"/>
      <c r="I276" s="1"/>
      <c r="J276" s="1"/>
      <c r="K276" s="1"/>
    </row>
    <row r="277">
      <c r="A277" s="1"/>
      <c r="B277" s="1"/>
      <c r="C277" s="1"/>
      <c r="D277" s="1"/>
      <c r="E277" s="1"/>
      <c r="F277" s="1"/>
      <c r="G277" s="1"/>
      <c r="H277" s="1"/>
      <c r="I277" s="1"/>
      <c r="J277" s="1"/>
      <c r="K277" s="1"/>
    </row>
    <row r="278">
      <c r="A278" s="1"/>
      <c r="B278" s="1"/>
      <c r="C278" s="1"/>
      <c r="D278" s="1"/>
      <c r="E278" s="1"/>
      <c r="F278" s="1"/>
      <c r="G278" s="1"/>
      <c r="H278" s="1"/>
      <c r="I278" s="1"/>
      <c r="J278" s="1"/>
      <c r="K278" s="1"/>
    </row>
    <row r="279">
      <c r="A279" s="1"/>
      <c r="B279" s="1"/>
      <c r="C279" s="1"/>
      <c r="D279" s="1"/>
      <c r="E279" s="1"/>
      <c r="F279" s="1"/>
      <c r="G279" s="1"/>
      <c r="H279" s="1"/>
      <c r="I279" s="1"/>
      <c r="J279" s="1"/>
      <c r="K279" s="1"/>
    </row>
    <row r="280">
      <c r="A280" s="1"/>
      <c r="B280" s="1"/>
      <c r="C280" s="1"/>
      <c r="D280" s="1"/>
      <c r="E280" s="1"/>
      <c r="F280" s="1"/>
      <c r="G280" s="1"/>
      <c r="H280" s="1"/>
      <c r="I280" s="1"/>
      <c r="J280" s="1"/>
      <c r="K280" s="1"/>
    </row>
    <row r="281">
      <c r="A281" s="1"/>
      <c r="B281" s="1"/>
      <c r="C281" s="1"/>
      <c r="D281" s="1"/>
      <c r="E281" s="1"/>
      <c r="F281" s="1"/>
      <c r="G281" s="1"/>
      <c r="H281" s="1"/>
      <c r="I281" s="1"/>
      <c r="J281" s="1"/>
      <c r="K281" s="1"/>
    </row>
    <row r="282">
      <c r="A282" s="1"/>
      <c r="B282" s="1"/>
      <c r="C282" s="1"/>
      <c r="D282" s="1"/>
      <c r="E282" s="1"/>
      <c r="F282" s="1"/>
      <c r="G282" s="1"/>
      <c r="H282" s="1"/>
      <c r="I282" s="1"/>
      <c r="J282" s="1"/>
      <c r="K282" s="1"/>
    </row>
    <row r="283">
      <c r="A283" s="1"/>
      <c r="B283" s="1"/>
      <c r="C283" s="1"/>
      <c r="D283" s="1"/>
      <c r="E283" s="1"/>
      <c r="F283" s="1"/>
      <c r="G283" s="1"/>
      <c r="H283" s="1"/>
      <c r="I283" s="1"/>
      <c r="J283" s="1"/>
      <c r="K283" s="1"/>
    </row>
    <row r="284">
      <c r="A284" s="1"/>
      <c r="B284" s="1"/>
      <c r="C284" s="1"/>
      <c r="D284" s="1"/>
      <c r="E284" s="1"/>
      <c r="F284" s="1"/>
      <c r="G284" s="1"/>
      <c r="H284" s="1"/>
      <c r="I284" s="1"/>
      <c r="J284" s="1"/>
      <c r="K284" s="1"/>
    </row>
    <row r="285">
      <c r="A285" s="1"/>
      <c r="B285" s="1"/>
      <c r="C285" s="1"/>
      <c r="D285" s="1"/>
      <c r="E285" s="1"/>
      <c r="F285" s="1"/>
      <c r="G285" s="1"/>
      <c r="H285" s="1"/>
      <c r="I285" s="1"/>
      <c r="J285" s="1"/>
      <c r="K285" s="1"/>
    </row>
    <row r="286">
      <c r="A286" s="1"/>
      <c r="B286" s="1"/>
      <c r="C286" s="1"/>
      <c r="D286" s="1"/>
      <c r="E286" s="1"/>
      <c r="F286" s="1"/>
      <c r="G286" s="1"/>
      <c r="H286" s="1"/>
      <c r="I286" s="1"/>
      <c r="J286" s="1"/>
      <c r="K286" s="1"/>
    </row>
    <row r="287">
      <c r="A287" s="1"/>
      <c r="B287" s="1"/>
      <c r="C287" s="1"/>
      <c r="D287" s="1"/>
      <c r="E287" s="1"/>
      <c r="F287" s="1"/>
      <c r="G287" s="1"/>
      <c r="H287" s="1"/>
      <c r="I287" s="1"/>
      <c r="J287" s="1"/>
      <c r="K287" s="1"/>
    </row>
    <row r="288">
      <c r="A288" s="1"/>
      <c r="B288" s="1"/>
      <c r="C288" s="1"/>
      <c r="D288" s="1"/>
      <c r="E288" s="1"/>
      <c r="F288" s="1"/>
      <c r="G288" s="1"/>
      <c r="H288" s="1"/>
      <c r="I288" s="1"/>
      <c r="J288" s="1"/>
      <c r="K288" s="1"/>
    </row>
    <row r="289">
      <c r="A289" s="1"/>
      <c r="B289" s="1"/>
      <c r="C289" s="1"/>
      <c r="D289" s="1"/>
      <c r="E289" s="1"/>
      <c r="F289" s="1"/>
      <c r="G289" s="1"/>
      <c r="H289" s="1"/>
      <c r="I289" s="1"/>
      <c r="J289" s="1"/>
      <c r="K289" s="1"/>
    </row>
    <row r="290">
      <c r="A290" s="1"/>
      <c r="B290" s="1"/>
      <c r="C290" s="1"/>
      <c r="D290" s="1"/>
      <c r="E290" s="1"/>
      <c r="F290" s="1"/>
      <c r="G290" s="1"/>
      <c r="H290" s="1"/>
      <c r="I290" s="1"/>
      <c r="J290" s="1"/>
      <c r="K290" s="1"/>
    </row>
    <row r="291">
      <c r="A291" s="1"/>
      <c r="B291" s="1"/>
      <c r="C291" s="1"/>
      <c r="D291" s="1"/>
      <c r="E291" s="1"/>
      <c r="F291" s="1"/>
      <c r="G291" s="1"/>
      <c r="H291" s="1"/>
      <c r="I291" s="1"/>
      <c r="J291" s="1"/>
      <c r="K291" s="1"/>
    </row>
    <row r="292">
      <c r="A292" s="1"/>
      <c r="B292" s="1"/>
      <c r="C292" s="1"/>
      <c r="D292" s="1"/>
      <c r="E292" s="1"/>
      <c r="F292" s="1"/>
      <c r="G292" s="1"/>
      <c r="H292" s="1"/>
      <c r="I292" s="1"/>
      <c r="J292" s="1"/>
      <c r="K292" s="1"/>
    </row>
    <row r="293">
      <c r="A293" s="1"/>
      <c r="B293" s="1"/>
      <c r="C293" s="1"/>
      <c r="D293" s="1"/>
      <c r="E293" s="1"/>
      <c r="F293" s="1"/>
      <c r="G293" s="1"/>
      <c r="H293" s="1"/>
      <c r="I293" s="1"/>
      <c r="J293" s="1"/>
      <c r="K293" s="1"/>
    </row>
    <row r="294">
      <c r="A294" s="1"/>
      <c r="B294" s="1"/>
      <c r="C294" s="1"/>
      <c r="D294" s="1"/>
      <c r="E294" s="1"/>
      <c r="F294" s="1"/>
      <c r="G294" s="1"/>
      <c r="H294" s="1"/>
      <c r="I294" s="1"/>
      <c r="J294" s="1"/>
      <c r="K294" s="1"/>
    </row>
    <row r="295">
      <c r="A295" s="1"/>
      <c r="B295" s="1"/>
      <c r="C295" s="1"/>
      <c r="D295" s="1"/>
      <c r="E295" s="1"/>
      <c r="F295" s="1"/>
      <c r="G295" s="1"/>
      <c r="H295" s="1"/>
      <c r="I295" s="1"/>
      <c r="J295" s="1"/>
      <c r="K295" s="1"/>
    </row>
    <row r="296">
      <c r="A296" s="1"/>
      <c r="B296" s="1"/>
      <c r="C296" s="1"/>
      <c r="D296" s="1"/>
      <c r="E296" s="1"/>
      <c r="F296" s="1"/>
      <c r="G296" s="1"/>
      <c r="H296" s="1"/>
      <c r="I296" s="1"/>
      <c r="J296" s="1"/>
      <c r="K296" s="1"/>
    </row>
    <row r="297">
      <c r="A297" s="1"/>
      <c r="B297" s="1"/>
      <c r="C297" s="1"/>
      <c r="D297" s="1"/>
      <c r="E297" s="1"/>
      <c r="F297" s="1"/>
      <c r="G297" s="1"/>
      <c r="H297" s="1"/>
      <c r="I297" s="1"/>
      <c r="J297" s="1"/>
      <c r="K297" s="1"/>
    </row>
    <row r="298">
      <c r="A298" s="1"/>
      <c r="B298" s="1"/>
      <c r="C298" s="1"/>
      <c r="D298" s="1"/>
      <c r="E298" s="1"/>
      <c r="F298" s="1"/>
      <c r="G298" s="1"/>
      <c r="H298" s="1"/>
      <c r="I298" s="1"/>
      <c r="J298" s="1"/>
      <c r="K298" s="1"/>
    </row>
    <row r="299">
      <c r="A299" s="1"/>
      <c r="B299" s="1"/>
      <c r="C299" s="1"/>
      <c r="D299" s="1"/>
      <c r="E299" s="1"/>
      <c r="F299" s="1"/>
      <c r="G299" s="1"/>
      <c r="H299" s="1"/>
      <c r="I299" s="1"/>
      <c r="J299" s="1"/>
      <c r="K299" s="1"/>
    </row>
    <row r="300">
      <c r="A300" s="1"/>
      <c r="B300" s="1"/>
      <c r="C300" s="1"/>
      <c r="D300" s="1"/>
      <c r="E300" s="1"/>
      <c r="F300" s="1"/>
      <c r="G300" s="1"/>
      <c r="H300" s="1"/>
      <c r="I300" s="1"/>
      <c r="J300" s="1"/>
      <c r="K300" s="1"/>
    </row>
    <row r="301">
      <c r="A301" s="1"/>
      <c r="B301" s="1"/>
      <c r="C301" s="1"/>
      <c r="D301" s="1"/>
      <c r="E301" s="1"/>
      <c r="F301" s="1"/>
      <c r="G301" s="1"/>
      <c r="H301" s="1"/>
      <c r="I301" s="1"/>
      <c r="J301" s="1"/>
      <c r="K301" s="1"/>
    </row>
    <row r="302">
      <c r="A302" s="1"/>
      <c r="B302" s="1"/>
      <c r="C302" s="1"/>
      <c r="D302" s="1"/>
      <c r="E302" s="1"/>
      <c r="F302" s="1"/>
      <c r="G302" s="1"/>
      <c r="H302" s="1"/>
      <c r="I302" s="1"/>
      <c r="J302" s="1"/>
      <c r="K302" s="1"/>
    </row>
    <row r="303">
      <c r="A303" s="1"/>
      <c r="B303" s="1"/>
      <c r="C303" s="1"/>
      <c r="D303" s="1"/>
      <c r="E303" s="1"/>
      <c r="F303" s="1"/>
      <c r="G303" s="1"/>
      <c r="H303" s="1"/>
      <c r="I303" s="1"/>
      <c r="J303" s="1"/>
      <c r="K303" s="1"/>
    </row>
    <row r="304">
      <c r="A304" s="1"/>
      <c r="B304" s="1"/>
      <c r="C304" s="1"/>
      <c r="D304" s="1"/>
      <c r="E304" s="1"/>
      <c r="F304" s="1"/>
      <c r="G304" s="1"/>
      <c r="H304" s="1"/>
      <c r="I304" s="1"/>
      <c r="J304" s="1"/>
      <c r="K304" s="1"/>
    </row>
    <row r="305">
      <c r="A305" s="1"/>
      <c r="B305" s="1"/>
      <c r="C305" s="1"/>
      <c r="D305" s="1"/>
      <c r="E305" s="1"/>
      <c r="F305" s="1"/>
      <c r="G305" s="1"/>
      <c r="H305" s="1"/>
      <c r="I305" s="1"/>
      <c r="J305" s="1"/>
      <c r="K305" s="1"/>
    </row>
    <row r="306">
      <c r="A306" s="1"/>
      <c r="B306" s="1"/>
      <c r="C306" s="1"/>
      <c r="D306" s="1"/>
      <c r="E306" s="1"/>
      <c r="F306" s="1"/>
      <c r="G306" s="1"/>
      <c r="H306" s="1"/>
      <c r="I306" s="1"/>
      <c r="J306" s="1"/>
      <c r="K306" s="1"/>
    </row>
    <row r="307">
      <c r="A307" s="1"/>
      <c r="B307" s="1"/>
      <c r="C307" s="1"/>
      <c r="D307" s="1"/>
      <c r="E307" s="1"/>
      <c r="F307" s="1"/>
      <c r="G307" s="1"/>
      <c r="H307" s="1"/>
      <c r="I307" s="1"/>
      <c r="J307" s="1"/>
      <c r="K307" s="1"/>
    </row>
    <row r="308">
      <c r="A308" s="1"/>
      <c r="B308" s="1"/>
      <c r="C308" s="1"/>
      <c r="D308" s="1"/>
      <c r="E308" s="1"/>
      <c r="F308" s="1"/>
      <c r="G308" s="1"/>
      <c r="H308" s="1"/>
      <c r="I308" s="1"/>
      <c r="J308" s="1"/>
      <c r="K308" s="1"/>
    </row>
    <row r="309">
      <c r="A309" s="1"/>
      <c r="B309" s="1"/>
      <c r="C309" s="1"/>
      <c r="D309" s="1"/>
      <c r="E309" s="1"/>
      <c r="F309" s="1"/>
      <c r="G309" s="1"/>
      <c r="H309" s="1"/>
      <c r="I309" s="1"/>
      <c r="J309" s="1"/>
      <c r="K309" s="1"/>
    </row>
    <row r="310">
      <c r="A310" s="1"/>
      <c r="B310" s="1"/>
      <c r="C310" s="1"/>
      <c r="D310" s="1"/>
      <c r="E310" s="1"/>
      <c r="F310" s="1"/>
      <c r="G310" s="1"/>
      <c r="H310" s="1"/>
      <c r="I310" s="1"/>
      <c r="J310" s="1"/>
      <c r="K310" s="1"/>
    </row>
    <row r="311">
      <c r="A311" s="1"/>
      <c r="B311" s="1"/>
      <c r="C311" s="1"/>
      <c r="D311" s="1"/>
      <c r="E311" s="1"/>
      <c r="F311" s="1"/>
      <c r="G311" s="1"/>
      <c r="H311" s="1"/>
      <c r="I311" s="1"/>
      <c r="J311" s="1"/>
      <c r="K311" s="1"/>
    </row>
    <row r="312">
      <c r="A312" s="1"/>
      <c r="B312" s="1"/>
      <c r="C312" s="1"/>
      <c r="D312" s="1"/>
      <c r="E312" s="1"/>
      <c r="F312" s="1"/>
      <c r="G312" s="1"/>
      <c r="H312" s="1"/>
      <c r="I312" s="1"/>
      <c r="J312" s="1"/>
      <c r="K312" s="1"/>
    </row>
    <row r="313">
      <c r="A313" s="1"/>
      <c r="B313" s="1"/>
      <c r="C313" s="1"/>
      <c r="D313" s="1"/>
      <c r="E313" s="1"/>
      <c r="F313" s="1"/>
      <c r="G313" s="1"/>
      <c r="H313" s="1"/>
      <c r="I313" s="1"/>
      <c r="J313" s="1"/>
      <c r="K313" s="1"/>
    </row>
    <row r="314">
      <c r="A314" s="1"/>
      <c r="B314" s="1"/>
      <c r="C314" s="1"/>
      <c r="D314" s="1"/>
      <c r="E314" s="1"/>
      <c r="F314" s="1"/>
      <c r="G314" s="1"/>
      <c r="H314" s="1"/>
      <c r="I314" s="1"/>
      <c r="J314" s="1"/>
      <c r="K314" s="1"/>
    </row>
    <row r="315">
      <c r="A315" s="1"/>
      <c r="B315" s="1"/>
      <c r="C315" s="1"/>
      <c r="D315" s="1"/>
      <c r="E315" s="1"/>
      <c r="F315" s="1"/>
      <c r="G315" s="1"/>
      <c r="H315" s="1"/>
      <c r="I315" s="1"/>
      <c r="J315" s="1"/>
      <c r="K315" s="1"/>
    </row>
    <row r="316">
      <c r="A316" s="1"/>
      <c r="B316" s="1"/>
      <c r="C316" s="1"/>
      <c r="D316" s="1"/>
      <c r="E316" s="1"/>
      <c r="F316" s="1"/>
      <c r="G316" s="1"/>
      <c r="H316" s="1"/>
      <c r="I316" s="1"/>
      <c r="J316" s="1"/>
      <c r="K316" s="1"/>
    </row>
    <row r="317">
      <c r="A317" s="1"/>
      <c r="B317" s="1"/>
      <c r="C317" s="1"/>
      <c r="D317" s="1"/>
      <c r="E317" s="1"/>
      <c r="F317" s="1"/>
      <c r="G317" s="1"/>
      <c r="H317" s="1"/>
      <c r="I317" s="1"/>
      <c r="J317" s="1"/>
      <c r="K317" s="1"/>
    </row>
    <row r="318">
      <c r="A318" s="1"/>
      <c r="B318" s="1"/>
      <c r="C318" s="1"/>
      <c r="D318" s="1"/>
      <c r="E318" s="1"/>
      <c r="F318" s="1"/>
      <c r="G318" s="1"/>
      <c r="H318" s="1"/>
      <c r="I318" s="1"/>
      <c r="J318" s="1"/>
      <c r="K318" s="1"/>
    </row>
    <row r="319">
      <c r="A319" s="1"/>
      <c r="B319" s="1"/>
      <c r="C319" s="1"/>
      <c r="D319" s="1"/>
      <c r="E319" s="1"/>
      <c r="F319" s="1"/>
      <c r="G319" s="1"/>
      <c r="H319" s="1"/>
      <c r="I319" s="1"/>
      <c r="J319" s="1"/>
      <c r="K319" s="1"/>
    </row>
    <row r="320">
      <c r="A320" s="1"/>
      <c r="B320" s="1"/>
      <c r="C320" s="1"/>
      <c r="D320" s="1"/>
      <c r="E320" s="1"/>
      <c r="F320" s="1"/>
      <c r="G320" s="1"/>
      <c r="H320" s="1"/>
      <c r="I320" s="1"/>
      <c r="J320" s="1"/>
      <c r="K320" s="1"/>
    </row>
    <row r="321">
      <c r="A321" s="1"/>
      <c r="B321" s="1"/>
      <c r="C321" s="1"/>
      <c r="D321" s="1"/>
      <c r="E321" s="1"/>
      <c r="F321" s="1"/>
      <c r="G321" s="1"/>
      <c r="H321" s="1"/>
      <c r="I321" s="1"/>
      <c r="J321" s="1"/>
      <c r="K321" s="1"/>
    </row>
    <row r="322">
      <c r="A322" s="1"/>
      <c r="B322" s="1"/>
      <c r="C322" s="1"/>
      <c r="D322" s="1"/>
      <c r="E322" s="1"/>
      <c r="F322" s="1"/>
      <c r="G322" s="1"/>
      <c r="H322" s="1"/>
      <c r="I322" s="1"/>
      <c r="J322" s="1"/>
      <c r="K322" s="1"/>
    </row>
    <row r="323">
      <c r="A323" s="1"/>
      <c r="B323" s="1"/>
      <c r="C323" s="1"/>
      <c r="D323" s="1"/>
      <c r="E323" s="1"/>
      <c r="F323" s="1"/>
      <c r="G323" s="1"/>
      <c r="H323" s="1"/>
      <c r="I323" s="1"/>
      <c r="J323" s="1"/>
      <c r="K323" s="1"/>
    </row>
    <row r="324">
      <c r="A324" s="1"/>
      <c r="B324" s="1"/>
      <c r="C324" s="1"/>
      <c r="D324" s="1"/>
      <c r="E324" s="1"/>
      <c r="F324" s="1"/>
      <c r="G324" s="1"/>
      <c r="H324" s="1"/>
      <c r="I324" s="1"/>
      <c r="J324" s="1"/>
      <c r="K324" s="1"/>
    </row>
    <row r="325">
      <c r="A325" s="1"/>
      <c r="B325" s="1"/>
      <c r="C325" s="1"/>
      <c r="D325" s="1"/>
      <c r="E325" s="1"/>
      <c r="F325" s="1"/>
      <c r="G325" s="1"/>
      <c r="H325" s="1"/>
      <c r="I325" s="1"/>
      <c r="J325" s="1"/>
      <c r="K325" s="1"/>
    </row>
    <row r="326">
      <c r="A326" s="1"/>
      <c r="B326" s="1"/>
      <c r="C326" s="1"/>
      <c r="D326" s="1"/>
      <c r="E326" s="1"/>
      <c r="F326" s="1"/>
      <c r="G326" s="1"/>
      <c r="H326" s="1"/>
      <c r="I326" s="1"/>
      <c r="J326" s="1"/>
      <c r="K326" s="1"/>
    </row>
    <row r="327">
      <c r="A327" s="1"/>
      <c r="B327" s="1"/>
      <c r="C327" s="1"/>
      <c r="D327" s="1"/>
      <c r="E327" s="1"/>
      <c r="F327" s="1"/>
      <c r="G327" s="1"/>
      <c r="H327" s="1"/>
      <c r="I327" s="1"/>
      <c r="J327" s="1"/>
      <c r="K327" s="1"/>
    </row>
    <row r="328">
      <c r="A328" s="1"/>
      <c r="B328" s="1"/>
      <c r="C328" s="1"/>
      <c r="D328" s="1"/>
      <c r="E328" s="1"/>
      <c r="F328" s="1"/>
      <c r="G328" s="1"/>
      <c r="H328" s="1"/>
      <c r="I328" s="1"/>
      <c r="J328" s="1"/>
      <c r="K328" s="1"/>
    </row>
    <row r="329">
      <c r="A329" s="1"/>
      <c r="B329" s="1"/>
      <c r="C329" s="1"/>
      <c r="D329" s="1"/>
      <c r="E329" s="1"/>
      <c r="F329" s="1"/>
      <c r="G329" s="1"/>
      <c r="H329" s="1"/>
      <c r="I329" s="1"/>
      <c r="J329" s="1"/>
      <c r="K329" s="1"/>
    </row>
    <row r="330">
      <c r="A330" s="1"/>
      <c r="B330" s="1"/>
      <c r="C330" s="1"/>
      <c r="D330" s="1"/>
      <c r="E330" s="1"/>
      <c r="F330" s="1"/>
      <c r="G330" s="1"/>
      <c r="H330" s="1"/>
      <c r="I330" s="1"/>
      <c r="J330" s="1"/>
      <c r="K330" s="1"/>
    </row>
    <row r="331">
      <c r="A331" s="1"/>
      <c r="B331" s="1"/>
      <c r="C331" s="1"/>
      <c r="D331" s="1"/>
      <c r="E331" s="1"/>
      <c r="F331" s="1"/>
      <c r="G331" s="1"/>
      <c r="H331" s="1"/>
      <c r="I331" s="1"/>
      <c r="J331" s="1"/>
      <c r="K331" s="1"/>
    </row>
    <row r="332">
      <c r="A332" s="1"/>
      <c r="B332" s="1"/>
      <c r="C332" s="1"/>
      <c r="D332" s="1"/>
      <c r="E332" s="1"/>
      <c r="F332" s="1"/>
      <c r="G332" s="1"/>
      <c r="H332" s="1"/>
      <c r="I332" s="1"/>
      <c r="J332" s="1"/>
      <c r="K332" s="1"/>
    </row>
    <row r="333">
      <c r="A333" s="1"/>
      <c r="B333" s="1"/>
      <c r="C333" s="1"/>
      <c r="D333" s="1"/>
      <c r="E333" s="1"/>
      <c r="F333" s="1"/>
      <c r="G333" s="1"/>
      <c r="H333" s="1"/>
      <c r="I333" s="1"/>
      <c r="J333" s="1"/>
      <c r="K333" s="1"/>
    </row>
    <row r="334">
      <c r="A334" s="1"/>
      <c r="B334" s="1"/>
      <c r="C334" s="1"/>
      <c r="D334" s="1"/>
      <c r="E334" s="1"/>
      <c r="F334" s="1"/>
      <c r="G334" s="1"/>
      <c r="H334" s="1"/>
      <c r="I334" s="1"/>
      <c r="J334" s="1"/>
      <c r="K334" s="1"/>
    </row>
    <row r="335">
      <c r="A335" s="1"/>
      <c r="B335" s="1"/>
      <c r="C335" s="1"/>
      <c r="D335" s="1"/>
      <c r="E335" s="1"/>
      <c r="F335" s="1"/>
      <c r="G335" s="1"/>
      <c r="H335" s="1"/>
      <c r="I335" s="1"/>
      <c r="J335" s="1"/>
      <c r="K335" s="1"/>
    </row>
    <row r="336">
      <c r="A336" s="1"/>
      <c r="B336" s="1"/>
      <c r="C336" s="1"/>
      <c r="D336" s="1"/>
      <c r="E336" s="1"/>
      <c r="F336" s="1"/>
      <c r="G336" s="1"/>
      <c r="H336" s="1"/>
      <c r="I336" s="1"/>
      <c r="J336" s="1"/>
      <c r="K336" s="1"/>
    </row>
    <row r="337">
      <c r="A337" s="1"/>
      <c r="B337" s="1"/>
      <c r="C337" s="1"/>
      <c r="D337" s="1"/>
      <c r="E337" s="1"/>
      <c r="F337" s="1"/>
      <c r="G337" s="1"/>
      <c r="H337" s="1"/>
      <c r="I337" s="1"/>
      <c r="J337" s="1"/>
      <c r="K337" s="1"/>
    </row>
    <row r="338">
      <c r="A338" s="1"/>
      <c r="B338" s="1"/>
      <c r="C338" s="1"/>
      <c r="D338" s="1"/>
      <c r="E338" s="1"/>
      <c r="F338" s="1"/>
      <c r="G338" s="1"/>
      <c r="H338" s="1"/>
      <c r="I338" s="1"/>
      <c r="J338" s="1"/>
      <c r="K338" s="1"/>
    </row>
    <row r="339">
      <c r="A339" s="1"/>
      <c r="B339" s="1"/>
      <c r="C339" s="1"/>
      <c r="D339" s="1"/>
      <c r="E339" s="1"/>
      <c r="F339" s="1"/>
      <c r="G339" s="1"/>
      <c r="H339" s="1"/>
      <c r="I339" s="1"/>
      <c r="J339" s="1"/>
      <c r="K339" s="1"/>
    </row>
    <row r="340">
      <c r="A340" s="1"/>
      <c r="B340" s="1"/>
      <c r="C340" s="1"/>
      <c r="D340" s="1"/>
      <c r="E340" s="1"/>
      <c r="F340" s="1"/>
      <c r="G340" s="1"/>
      <c r="H340" s="1"/>
      <c r="I340" s="1"/>
      <c r="J340" s="1"/>
      <c r="K340" s="1"/>
    </row>
    <row r="341">
      <c r="A341" s="1"/>
      <c r="B341" s="1"/>
      <c r="C341" s="1"/>
      <c r="D341" s="1"/>
      <c r="E341" s="1"/>
      <c r="F341" s="1"/>
      <c r="G341" s="1"/>
      <c r="H341" s="1"/>
      <c r="I341" s="1"/>
      <c r="J341" s="1"/>
      <c r="K341" s="1"/>
    </row>
    <row r="342">
      <c r="A342" s="1"/>
      <c r="B342" s="1"/>
      <c r="C342" s="1"/>
      <c r="D342" s="1"/>
      <c r="E342" s="1"/>
      <c r="F342" s="1"/>
      <c r="G342" s="1"/>
      <c r="H342" s="1"/>
      <c r="I342" s="1"/>
      <c r="J342" s="1"/>
      <c r="K342" s="1"/>
    </row>
    <row r="343">
      <c r="A343" s="1"/>
      <c r="B343" s="1"/>
      <c r="C343" s="1"/>
      <c r="D343" s="1"/>
      <c r="E343" s="1"/>
      <c r="F343" s="1"/>
      <c r="G343" s="1"/>
      <c r="H343" s="1"/>
      <c r="I343" s="1"/>
      <c r="J343" s="1"/>
      <c r="K343" s="1"/>
    </row>
    <row r="344">
      <c r="A344" s="1"/>
      <c r="B344" s="1"/>
      <c r="C344" s="1"/>
      <c r="D344" s="1"/>
      <c r="E344" s="1"/>
      <c r="F344" s="1"/>
      <c r="G344" s="1"/>
      <c r="H344" s="1"/>
      <c r="I344" s="1"/>
      <c r="J344" s="1"/>
      <c r="K344" s="1"/>
    </row>
    <row r="345">
      <c r="A345" s="1"/>
      <c r="B345" s="1"/>
      <c r="C345" s="1"/>
      <c r="D345" s="1"/>
      <c r="E345" s="1"/>
      <c r="F345" s="1"/>
      <c r="G345" s="1"/>
      <c r="H345" s="1"/>
      <c r="I345" s="1"/>
      <c r="J345" s="1"/>
      <c r="K345" s="1"/>
    </row>
    <row r="346">
      <c r="A346" s="1"/>
      <c r="B346" s="1"/>
      <c r="C346" s="1"/>
      <c r="D346" s="1"/>
      <c r="E346" s="1"/>
      <c r="F346" s="1"/>
      <c r="G346" s="1"/>
      <c r="H346" s="1"/>
      <c r="I346" s="1"/>
      <c r="J346" s="1"/>
      <c r="K346" s="1"/>
    </row>
    <row r="347">
      <c r="A347" s="1"/>
      <c r="B347" s="1"/>
      <c r="C347" s="1"/>
      <c r="D347" s="1"/>
      <c r="E347" s="1"/>
      <c r="F347" s="1"/>
      <c r="G347" s="1"/>
      <c r="H347" s="1"/>
      <c r="I347" s="1"/>
      <c r="J347" s="1"/>
      <c r="K347" s="1"/>
    </row>
    <row r="348">
      <c r="A348" s="1"/>
      <c r="B348" s="1"/>
      <c r="C348" s="1"/>
      <c r="D348" s="1"/>
      <c r="E348" s="1"/>
      <c r="F348" s="1"/>
      <c r="G348" s="1"/>
      <c r="H348" s="1"/>
      <c r="I348" s="1"/>
      <c r="J348" s="1"/>
      <c r="K348" s="1"/>
    </row>
    <row r="349">
      <c r="A349" s="1"/>
      <c r="B349" s="1"/>
      <c r="C349" s="1"/>
      <c r="D349" s="1"/>
      <c r="E349" s="1"/>
      <c r="F349" s="1"/>
      <c r="G349" s="1"/>
      <c r="H349" s="1"/>
      <c r="I349" s="1"/>
      <c r="J349" s="1"/>
      <c r="K349" s="1"/>
    </row>
    <row r="350">
      <c r="A350" s="1"/>
      <c r="B350" s="1"/>
      <c r="C350" s="1"/>
      <c r="D350" s="1"/>
      <c r="E350" s="1"/>
      <c r="F350" s="1"/>
      <c r="G350" s="1"/>
      <c r="H350" s="1"/>
      <c r="I350" s="1"/>
      <c r="J350" s="1"/>
      <c r="K350" s="1"/>
    </row>
    <row r="351">
      <c r="A351" s="1"/>
      <c r="B351" s="1"/>
      <c r="C351" s="1"/>
      <c r="D351" s="1"/>
      <c r="E351" s="1"/>
      <c r="F351" s="1"/>
      <c r="G351" s="1"/>
      <c r="H351" s="1"/>
      <c r="I351" s="1"/>
      <c r="J351" s="1"/>
      <c r="K351" s="1"/>
    </row>
    <row r="352">
      <c r="A352" s="1"/>
      <c r="B352" s="1"/>
      <c r="C352" s="1"/>
      <c r="D352" s="1"/>
      <c r="E352" s="1"/>
      <c r="F352" s="1"/>
      <c r="G352" s="1"/>
      <c r="H352" s="1"/>
      <c r="I352" s="1"/>
      <c r="J352" s="1"/>
      <c r="K352" s="1"/>
    </row>
    <row r="353">
      <c r="A353" s="1"/>
      <c r="B353" s="1"/>
      <c r="C353" s="1"/>
      <c r="D353" s="1"/>
      <c r="E353" s="1"/>
      <c r="F353" s="1"/>
      <c r="G353" s="1"/>
      <c r="H353" s="1"/>
      <c r="I353" s="1"/>
      <c r="J353" s="1"/>
      <c r="K353" s="1"/>
    </row>
    <row r="354">
      <c r="A354" s="1"/>
      <c r="B354" s="1"/>
      <c r="C354" s="1"/>
      <c r="D354" s="1"/>
      <c r="E354" s="1"/>
      <c r="F354" s="1"/>
      <c r="G354" s="1"/>
      <c r="H354" s="1"/>
      <c r="I354" s="1"/>
      <c r="J354" s="1"/>
      <c r="K354" s="1"/>
    </row>
    <row r="355">
      <c r="A355" s="1"/>
      <c r="B355" s="1"/>
      <c r="C355" s="1"/>
      <c r="D355" s="1"/>
      <c r="E355" s="1"/>
      <c r="F355" s="1"/>
      <c r="G355" s="1"/>
      <c r="H355" s="1"/>
      <c r="I355" s="1"/>
      <c r="J355" s="1"/>
      <c r="K355" s="1"/>
    </row>
    <row r="356">
      <c r="A356" s="1"/>
      <c r="B356" s="1"/>
      <c r="C356" s="1"/>
      <c r="D356" s="1"/>
      <c r="E356" s="1"/>
      <c r="F356" s="1"/>
      <c r="G356" s="1"/>
      <c r="H356" s="1"/>
      <c r="I356" s="1"/>
      <c r="J356" s="1"/>
      <c r="K356" s="1"/>
    </row>
    <row r="357">
      <c r="A357" s="1"/>
      <c r="B357" s="1"/>
      <c r="C357" s="1"/>
      <c r="D357" s="1"/>
      <c r="E357" s="1"/>
      <c r="F357" s="1"/>
      <c r="G357" s="1"/>
      <c r="H357" s="1"/>
      <c r="I357" s="1"/>
      <c r="J357" s="1"/>
      <c r="K357" s="1"/>
    </row>
    <row r="358">
      <c r="A358" s="1"/>
      <c r="B358" s="1"/>
      <c r="C358" s="1"/>
      <c r="D358" s="1"/>
      <c r="E358" s="1"/>
      <c r="F358" s="1"/>
      <c r="G358" s="1"/>
      <c r="H358" s="1"/>
      <c r="I358" s="1"/>
      <c r="J358" s="1"/>
      <c r="K358" s="1"/>
    </row>
    <row r="359">
      <c r="A359" s="1"/>
      <c r="B359" s="1"/>
      <c r="C359" s="1"/>
      <c r="D359" s="1"/>
      <c r="E359" s="1"/>
      <c r="F359" s="1"/>
      <c r="G359" s="1"/>
      <c r="H359" s="1"/>
      <c r="I359" s="1"/>
      <c r="J359" s="1"/>
      <c r="K359" s="1"/>
    </row>
    <row r="360">
      <c r="A360" s="1"/>
      <c r="B360" s="1"/>
      <c r="C360" s="1"/>
      <c r="D360" s="1"/>
      <c r="E360" s="1"/>
      <c r="F360" s="1"/>
      <c r="G360" s="1"/>
      <c r="H360" s="1"/>
      <c r="I360" s="1"/>
      <c r="J360" s="1"/>
      <c r="K360" s="1"/>
    </row>
    <row r="361">
      <c r="A361" s="1"/>
      <c r="B361" s="1"/>
      <c r="C361" s="1"/>
      <c r="D361" s="1"/>
      <c r="E361" s="1"/>
      <c r="F361" s="1"/>
      <c r="G361" s="1"/>
      <c r="H361" s="1"/>
      <c r="I361" s="1"/>
      <c r="J361" s="1"/>
      <c r="K361" s="1"/>
    </row>
    <row r="362">
      <c r="A362" s="1"/>
      <c r="B362" s="1"/>
      <c r="C362" s="1"/>
      <c r="D362" s="1"/>
      <c r="E362" s="1"/>
      <c r="F362" s="1"/>
      <c r="G362" s="1"/>
      <c r="H362" s="1"/>
      <c r="I362" s="1"/>
      <c r="J362" s="1"/>
      <c r="K362" s="1"/>
    </row>
    <row r="363">
      <c r="A363" s="1"/>
      <c r="B363" s="1"/>
      <c r="C363" s="1"/>
      <c r="D363" s="1"/>
      <c r="E363" s="1"/>
      <c r="F363" s="1"/>
      <c r="G363" s="1"/>
      <c r="H363" s="1"/>
      <c r="I363" s="1"/>
      <c r="J363" s="1"/>
      <c r="K363" s="1"/>
    </row>
    <row r="364">
      <c r="A364" s="1"/>
      <c r="B364" s="1"/>
      <c r="C364" s="1"/>
      <c r="D364" s="1"/>
      <c r="E364" s="1"/>
      <c r="F364" s="1"/>
      <c r="G364" s="1"/>
      <c r="H364" s="1"/>
      <c r="I364" s="1"/>
      <c r="J364" s="1"/>
      <c r="K364" s="1"/>
    </row>
    <row r="365">
      <c r="A365" s="1"/>
      <c r="B365" s="1"/>
      <c r="C365" s="1"/>
      <c r="D365" s="1"/>
      <c r="E365" s="1"/>
      <c r="F365" s="1"/>
      <c r="G365" s="1"/>
      <c r="H365" s="1"/>
      <c r="I365" s="1"/>
      <c r="J365" s="1"/>
      <c r="K365" s="1"/>
    </row>
    <row r="366">
      <c r="A366" s="1"/>
      <c r="B366" s="1"/>
      <c r="C366" s="1"/>
      <c r="D366" s="1"/>
      <c r="E366" s="1"/>
      <c r="F366" s="1"/>
      <c r="G366" s="1"/>
      <c r="H366" s="1"/>
      <c r="I366" s="1"/>
      <c r="J366" s="1"/>
      <c r="K366" s="1"/>
    </row>
    <row r="367">
      <c r="A367" s="1"/>
      <c r="B367" s="1"/>
      <c r="C367" s="1"/>
      <c r="D367" s="1"/>
      <c r="E367" s="1"/>
      <c r="F367" s="1"/>
      <c r="G367" s="1"/>
      <c r="H367" s="1"/>
      <c r="I367" s="1"/>
      <c r="J367" s="1"/>
      <c r="K367" s="1"/>
    </row>
    <row r="368">
      <c r="A368" s="1"/>
      <c r="B368" s="1"/>
      <c r="C368" s="1"/>
      <c r="D368" s="1"/>
      <c r="E368" s="1"/>
      <c r="F368" s="1"/>
      <c r="G368" s="1"/>
      <c r="H368" s="1"/>
      <c r="I368" s="1"/>
      <c r="J368" s="1"/>
      <c r="K368" s="1"/>
    </row>
    <row r="369">
      <c r="A369" s="1"/>
      <c r="B369" s="1"/>
      <c r="C369" s="1"/>
      <c r="D369" s="1"/>
      <c r="E369" s="1"/>
      <c r="F369" s="1"/>
      <c r="G369" s="1"/>
      <c r="H369" s="1"/>
      <c r="I369" s="1"/>
      <c r="J369" s="1"/>
      <c r="K369" s="1"/>
    </row>
    <row r="370">
      <c r="A370" s="1"/>
      <c r="B370" s="1"/>
      <c r="C370" s="1"/>
      <c r="D370" s="1"/>
      <c r="E370" s="1"/>
      <c r="F370" s="1"/>
      <c r="G370" s="1"/>
      <c r="H370" s="1"/>
      <c r="I370" s="1"/>
      <c r="J370" s="1"/>
      <c r="K370" s="1"/>
    </row>
    <row r="371">
      <c r="A371" s="1"/>
      <c r="B371" s="1"/>
      <c r="C371" s="1"/>
      <c r="D371" s="1"/>
      <c r="E371" s="1"/>
      <c r="F371" s="1"/>
      <c r="G371" s="1"/>
      <c r="H371" s="1"/>
      <c r="I371" s="1"/>
      <c r="J371" s="1"/>
      <c r="K371" s="1"/>
    </row>
    <row r="372">
      <c r="A372" s="1"/>
      <c r="B372" s="1"/>
      <c r="C372" s="1"/>
      <c r="D372" s="1"/>
      <c r="E372" s="1"/>
      <c r="F372" s="1"/>
      <c r="G372" s="1"/>
      <c r="H372" s="1"/>
      <c r="I372" s="1"/>
      <c r="J372" s="1"/>
      <c r="K372" s="1"/>
    </row>
    <row r="373">
      <c r="A373" s="1"/>
      <c r="B373" s="1"/>
      <c r="C373" s="1"/>
      <c r="D373" s="1"/>
      <c r="E373" s="1"/>
      <c r="F373" s="1"/>
      <c r="G373" s="1"/>
      <c r="H373" s="1"/>
      <c r="I373" s="1"/>
      <c r="J373" s="1"/>
      <c r="K373" s="1"/>
    </row>
    <row r="374">
      <c r="A374" s="1"/>
      <c r="B374" s="1"/>
      <c r="C374" s="1"/>
      <c r="D374" s="1"/>
      <c r="E374" s="1"/>
      <c r="F374" s="1"/>
      <c r="G374" s="1"/>
      <c r="H374" s="1"/>
      <c r="I374" s="1"/>
      <c r="J374" s="1"/>
      <c r="K374" s="1"/>
    </row>
    <row r="375">
      <c r="A375" s="1"/>
      <c r="B375" s="1"/>
      <c r="C375" s="1"/>
      <c r="D375" s="1"/>
      <c r="E375" s="1"/>
      <c r="F375" s="1"/>
      <c r="G375" s="1"/>
      <c r="H375" s="1"/>
      <c r="I375" s="1"/>
      <c r="J375" s="1"/>
      <c r="K375" s="1"/>
    </row>
    <row r="376">
      <c r="A376" s="1"/>
      <c r="B376" s="1"/>
      <c r="C376" s="1"/>
      <c r="D376" s="1"/>
      <c r="E376" s="1"/>
      <c r="F376" s="1"/>
      <c r="G376" s="1"/>
      <c r="H376" s="1"/>
      <c r="I376" s="1"/>
      <c r="J376" s="1"/>
      <c r="K376" s="1"/>
    </row>
    <row r="377">
      <c r="A377" s="1"/>
      <c r="B377" s="1"/>
      <c r="C377" s="1"/>
      <c r="D377" s="1"/>
      <c r="E377" s="1"/>
      <c r="F377" s="1"/>
      <c r="G377" s="1"/>
      <c r="H377" s="1"/>
      <c r="I377" s="1"/>
      <c r="J377" s="1"/>
      <c r="K377" s="1"/>
    </row>
    <row r="378">
      <c r="A378" s="1"/>
      <c r="B378" s="1"/>
      <c r="C378" s="1"/>
      <c r="D378" s="1"/>
      <c r="E378" s="1"/>
      <c r="F378" s="1"/>
      <c r="G378" s="1"/>
      <c r="H378" s="1"/>
      <c r="I378" s="1"/>
      <c r="J378" s="1"/>
      <c r="K378" s="1"/>
    </row>
    <row r="379">
      <c r="A379" s="1"/>
      <c r="B379" s="1"/>
      <c r="C379" s="1"/>
      <c r="D379" s="1"/>
      <c r="E379" s="1"/>
      <c r="F379" s="1"/>
      <c r="G379" s="1"/>
      <c r="H379" s="1"/>
      <c r="I379" s="1"/>
      <c r="J379" s="1"/>
      <c r="K379" s="1"/>
    </row>
    <row r="380">
      <c r="A380" s="1"/>
      <c r="B380" s="1"/>
      <c r="C380" s="1"/>
      <c r="D380" s="1"/>
      <c r="E380" s="1"/>
      <c r="F380" s="1"/>
      <c r="G380" s="1"/>
      <c r="H380" s="1"/>
      <c r="I380" s="1"/>
      <c r="J380" s="1"/>
      <c r="K380" s="1"/>
    </row>
    <row r="381">
      <c r="A381" s="1"/>
      <c r="B381" s="1"/>
      <c r="C381" s="1"/>
      <c r="D381" s="1"/>
      <c r="E381" s="1"/>
      <c r="F381" s="1"/>
      <c r="G381" s="1"/>
      <c r="H381" s="1"/>
      <c r="I381" s="1"/>
      <c r="J381" s="1"/>
      <c r="K381" s="1"/>
    </row>
    <row r="382">
      <c r="A382" s="1"/>
      <c r="B382" s="1"/>
      <c r="C382" s="1"/>
      <c r="D382" s="1"/>
      <c r="E382" s="1"/>
      <c r="F382" s="1"/>
      <c r="G382" s="1"/>
      <c r="H382" s="1"/>
      <c r="I382" s="1"/>
      <c r="J382" s="1"/>
      <c r="K382" s="1"/>
    </row>
    <row r="383">
      <c r="A383" s="1"/>
      <c r="B383" s="1"/>
      <c r="C383" s="1"/>
      <c r="D383" s="1"/>
      <c r="E383" s="1"/>
      <c r="F383" s="1"/>
      <c r="G383" s="1"/>
      <c r="H383" s="1"/>
      <c r="I383" s="1"/>
      <c r="J383" s="1"/>
      <c r="K383" s="1"/>
    </row>
    <row r="384">
      <c r="A384" s="1"/>
      <c r="B384" s="1"/>
      <c r="C384" s="1"/>
      <c r="D384" s="1"/>
      <c r="E384" s="1"/>
      <c r="F384" s="1"/>
      <c r="G384" s="1"/>
      <c r="H384" s="1"/>
      <c r="I384" s="1"/>
      <c r="J384" s="1"/>
      <c r="K384" s="1"/>
    </row>
    <row r="385">
      <c r="A385" s="1"/>
      <c r="B385" s="1"/>
      <c r="C385" s="1"/>
      <c r="D385" s="1"/>
      <c r="E385" s="1"/>
      <c r="F385" s="1"/>
      <c r="G385" s="1"/>
      <c r="H385" s="1"/>
      <c r="I385" s="1"/>
      <c r="J385" s="1"/>
      <c r="K385" s="1"/>
    </row>
    <row r="386">
      <c r="A386" s="1"/>
      <c r="B386" s="1"/>
      <c r="C386" s="1"/>
      <c r="D386" s="1"/>
      <c r="E386" s="1"/>
      <c r="F386" s="1"/>
      <c r="G386" s="1"/>
      <c r="H386" s="1"/>
      <c r="I386" s="1"/>
      <c r="J386" s="1"/>
      <c r="K386" s="1"/>
    </row>
    <row r="387">
      <c r="A387" s="1"/>
      <c r="B387" s="1"/>
      <c r="C387" s="1"/>
      <c r="D387" s="1"/>
      <c r="E387" s="1"/>
      <c r="F387" s="1"/>
      <c r="G387" s="1"/>
      <c r="H387" s="1"/>
      <c r="I387" s="1"/>
      <c r="J387" s="1"/>
      <c r="K387" s="1"/>
    </row>
    <row r="388">
      <c r="A388" s="1"/>
      <c r="B388" s="1"/>
      <c r="C388" s="1"/>
      <c r="D388" s="1"/>
      <c r="E388" s="1"/>
      <c r="F388" s="1"/>
      <c r="G388" s="1"/>
      <c r="H388" s="1"/>
      <c r="I388" s="1"/>
      <c r="J388" s="1"/>
      <c r="K388" s="1"/>
    </row>
    <row r="389">
      <c r="A389" s="1"/>
      <c r="B389" s="1"/>
      <c r="C389" s="1"/>
      <c r="D389" s="1"/>
      <c r="E389" s="1"/>
      <c r="F389" s="1"/>
      <c r="G389" s="1"/>
      <c r="H389" s="1"/>
      <c r="I389" s="1"/>
      <c r="J389" s="1"/>
      <c r="K389" s="1"/>
    </row>
    <row r="390">
      <c r="A390" s="1"/>
      <c r="B390" s="1"/>
      <c r="C390" s="1"/>
      <c r="D390" s="1"/>
      <c r="E390" s="1"/>
      <c r="F390" s="1"/>
      <c r="G390" s="1"/>
      <c r="H390" s="1"/>
      <c r="I390" s="1"/>
      <c r="J390" s="1"/>
      <c r="K390" s="1"/>
    </row>
    <row r="391">
      <c r="A391" s="1"/>
      <c r="B391" s="1"/>
      <c r="C391" s="1"/>
      <c r="D391" s="1"/>
      <c r="E391" s="1"/>
      <c r="F391" s="1"/>
      <c r="G391" s="1"/>
      <c r="H391" s="1"/>
      <c r="I391" s="1"/>
      <c r="J391" s="1"/>
      <c r="K391" s="1"/>
    </row>
    <row r="392">
      <c r="A392" s="1"/>
      <c r="B392" s="1"/>
      <c r="C392" s="1"/>
      <c r="D392" s="1"/>
      <c r="E392" s="1"/>
      <c r="F392" s="1"/>
      <c r="G392" s="1"/>
      <c r="H392" s="1"/>
      <c r="I392" s="1"/>
      <c r="J392" s="1"/>
      <c r="K392" s="1"/>
    </row>
    <row r="393">
      <c r="A393" s="1"/>
      <c r="B393" s="1"/>
      <c r="C393" s="1"/>
      <c r="D393" s="1"/>
      <c r="E393" s="1"/>
      <c r="F393" s="1"/>
      <c r="G393" s="1"/>
      <c r="H393" s="1"/>
      <c r="I393" s="1"/>
      <c r="J393" s="1"/>
      <c r="K393" s="1"/>
    </row>
    <row r="394">
      <c r="A394" s="1"/>
      <c r="B394" s="1"/>
      <c r="C394" s="1"/>
      <c r="D394" s="1"/>
      <c r="E394" s="1"/>
      <c r="F394" s="1"/>
      <c r="G394" s="1"/>
      <c r="H394" s="1"/>
      <c r="I394" s="1"/>
      <c r="J394" s="1"/>
      <c r="K394" s="1"/>
    </row>
    <row r="395">
      <c r="A395" s="1"/>
      <c r="B395" s="1"/>
      <c r="C395" s="1"/>
      <c r="D395" s="1"/>
      <c r="E395" s="1"/>
      <c r="F395" s="1"/>
      <c r="G395" s="1"/>
      <c r="H395" s="1"/>
      <c r="I395" s="1"/>
      <c r="J395" s="1"/>
      <c r="K395" s="1"/>
    </row>
    <row r="396">
      <c r="A396" s="1"/>
      <c r="B396" s="1"/>
      <c r="C396" s="1"/>
      <c r="D396" s="1"/>
      <c r="E396" s="1"/>
      <c r="F396" s="1"/>
      <c r="G396" s="1"/>
      <c r="H396" s="1"/>
      <c r="I396" s="1"/>
      <c r="J396" s="1"/>
      <c r="K396" s="1"/>
    </row>
    <row r="397">
      <c r="A397" s="1"/>
      <c r="B397" s="1"/>
      <c r="C397" s="1"/>
      <c r="D397" s="1"/>
      <c r="E397" s="1"/>
      <c r="F397" s="1"/>
      <c r="G397" s="1"/>
      <c r="H397" s="1"/>
      <c r="I397" s="1"/>
      <c r="J397" s="1"/>
      <c r="K397" s="1"/>
    </row>
    <row r="398">
      <c r="A398" s="1"/>
      <c r="B398" s="1"/>
      <c r="C398" s="1"/>
      <c r="D398" s="1"/>
      <c r="E398" s="1"/>
      <c r="F398" s="1"/>
      <c r="G398" s="1"/>
      <c r="H398" s="1"/>
      <c r="I398" s="1"/>
      <c r="J398" s="1"/>
      <c r="K398" s="1"/>
    </row>
    <row r="399">
      <c r="A399" s="1"/>
      <c r="B399" s="1"/>
      <c r="C399" s="1"/>
      <c r="D399" s="1"/>
      <c r="E399" s="1"/>
      <c r="F399" s="1"/>
      <c r="G399" s="1"/>
      <c r="H399" s="1"/>
      <c r="I399" s="1"/>
      <c r="J399" s="1"/>
      <c r="K399" s="1"/>
    </row>
    <row r="400">
      <c r="A400" s="1"/>
      <c r="B400" s="1"/>
      <c r="C400" s="1"/>
      <c r="D400" s="1"/>
      <c r="E400" s="1"/>
      <c r="F400" s="1"/>
      <c r="G400" s="1"/>
      <c r="H400" s="1"/>
      <c r="I400" s="1"/>
      <c r="J400" s="1"/>
      <c r="K400" s="1"/>
    </row>
    <row r="401">
      <c r="A401" s="1"/>
      <c r="B401" s="1"/>
      <c r="C401" s="1"/>
      <c r="D401" s="1"/>
      <c r="E401" s="1"/>
      <c r="F401" s="1"/>
      <c r="G401" s="1"/>
      <c r="H401" s="1"/>
      <c r="I401" s="1"/>
      <c r="J401" s="1"/>
      <c r="K401" s="1"/>
    </row>
    <row r="402">
      <c r="A402" s="1"/>
      <c r="B402" s="1"/>
      <c r="C402" s="1"/>
      <c r="D402" s="1"/>
      <c r="E402" s="1"/>
      <c r="F402" s="1"/>
      <c r="G402" s="1"/>
      <c r="H402" s="1"/>
      <c r="I402" s="1"/>
      <c r="J402" s="1"/>
      <c r="K402" s="1"/>
    </row>
    <row r="403">
      <c r="A403" s="1"/>
      <c r="B403" s="1"/>
      <c r="C403" s="1"/>
      <c r="D403" s="1"/>
      <c r="E403" s="1"/>
      <c r="F403" s="1"/>
      <c r="G403" s="1"/>
      <c r="H403" s="1"/>
      <c r="I403" s="1"/>
      <c r="J403" s="1"/>
      <c r="K403" s="1"/>
    </row>
    <row r="404">
      <c r="A404" s="1"/>
      <c r="B404" s="1"/>
      <c r="C404" s="1"/>
      <c r="D404" s="1"/>
      <c r="E404" s="1"/>
      <c r="F404" s="1"/>
      <c r="G404" s="1"/>
      <c r="H404" s="1"/>
      <c r="I404" s="1"/>
      <c r="J404" s="1"/>
      <c r="K404" s="1"/>
    </row>
    <row r="405">
      <c r="A405" s="1"/>
      <c r="B405" s="1"/>
      <c r="C405" s="1"/>
      <c r="D405" s="1"/>
      <c r="E405" s="1"/>
      <c r="F405" s="1"/>
      <c r="G405" s="1"/>
      <c r="H405" s="1"/>
      <c r="I405" s="1"/>
      <c r="J405" s="1"/>
      <c r="K405" s="1"/>
    </row>
    <row r="406">
      <c r="A406" s="1"/>
      <c r="B406" s="1"/>
      <c r="C406" s="1"/>
      <c r="D406" s="1"/>
      <c r="E406" s="1"/>
      <c r="F406" s="1"/>
      <c r="G406" s="1"/>
      <c r="H406" s="1"/>
      <c r="I406" s="1"/>
      <c r="J406" s="1"/>
      <c r="K406" s="1"/>
    </row>
    <row r="407">
      <c r="A407" s="1"/>
      <c r="B407" s="1"/>
      <c r="C407" s="1"/>
      <c r="D407" s="1"/>
      <c r="E407" s="1"/>
      <c r="F407" s="1"/>
      <c r="G407" s="1"/>
      <c r="H407" s="1"/>
      <c r="I407" s="1"/>
      <c r="J407" s="1"/>
      <c r="K407" s="1"/>
    </row>
    <row r="408">
      <c r="A408" s="1"/>
      <c r="B408" s="1"/>
      <c r="C408" s="1"/>
      <c r="D408" s="1"/>
      <c r="E408" s="1"/>
      <c r="F408" s="1"/>
      <c r="G408" s="1"/>
      <c r="H408" s="1"/>
      <c r="I408" s="1"/>
      <c r="J408" s="1"/>
      <c r="K408" s="1"/>
    </row>
    <row r="409">
      <c r="A409" s="1"/>
      <c r="B409" s="1"/>
      <c r="C409" s="1"/>
      <c r="D409" s="1"/>
      <c r="E409" s="1"/>
      <c r="F409" s="1"/>
      <c r="G409" s="1"/>
      <c r="H409" s="1"/>
      <c r="I409" s="1"/>
      <c r="J409" s="1"/>
      <c r="K409" s="1"/>
    </row>
    <row r="410">
      <c r="A410" s="1"/>
      <c r="B410" s="1"/>
      <c r="C410" s="1"/>
      <c r="D410" s="1"/>
      <c r="E410" s="1"/>
      <c r="F410" s="1"/>
      <c r="G410" s="1"/>
      <c r="H410" s="1"/>
      <c r="I410" s="1"/>
      <c r="J410" s="1"/>
      <c r="K410" s="1"/>
    </row>
    <row r="411">
      <c r="A411" s="1"/>
      <c r="B411" s="1"/>
      <c r="C411" s="1"/>
      <c r="D411" s="1"/>
      <c r="E411" s="1"/>
      <c r="F411" s="1"/>
      <c r="G411" s="1"/>
      <c r="H411" s="1"/>
      <c r="I411" s="1"/>
      <c r="J411" s="1"/>
      <c r="K411" s="1"/>
    </row>
    <row r="412">
      <c r="A412" s="1"/>
      <c r="B412" s="1"/>
      <c r="C412" s="1"/>
      <c r="D412" s="1"/>
      <c r="E412" s="1"/>
      <c r="F412" s="1"/>
      <c r="G412" s="1"/>
      <c r="H412" s="1"/>
      <c r="I412" s="1"/>
      <c r="J412" s="1"/>
      <c r="K412" s="1"/>
    </row>
    <row r="413">
      <c r="A413" s="1"/>
      <c r="B413" s="1"/>
      <c r="C413" s="1"/>
      <c r="D413" s="1"/>
      <c r="E413" s="1"/>
      <c r="F413" s="1"/>
      <c r="G413" s="1"/>
      <c r="H413" s="1"/>
      <c r="I413" s="1"/>
      <c r="J413" s="1"/>
      <c r="K413" s="1"/>
    </row>
    <row r="414">
      <c r="A414" s="1"/>
      <c r="B414" s="1"/>
      <c r="C414" s="1"/>
      <c r="D414" s="1"/>
      <c r="E414" s="1"/>
      <c r="F414" s="1"/>
      <c r="G414" s="1"/>
      <c r="H414" s="1"/>
      <c r="I414" s="1"/>
      <c r="J414" s="1"/>
      <c r="K414" s="1"/>
    </row>
    <row r="415">
      <c r="A415" s="1"/>
      <c r="B415" s="1"/>
      <c r="C415" s="1"/>
      <c r="D415" s="1"/>
      <c r="E415" s="1"/>
      <c r="F415" s="1"/>
      <c r="G415" s="1"/>
      <c r="H415" s="1"/>
      <c r="I415" s="1"/>
      <c r="J415" s="1"/>
      <c r="K415" s="1"/>
    </row>
    <row r="416">
      <c r="A416" s="1"/>
      <c r="B416" s="1"/>
      <c r="C416" s="1"/>
      <c r="D416" s="1"/>
      <c r="E416" s="1"/>
      <c r="F416" s="1"/>
      <c r="G416" s="1"/>
      <c r="H416" s="1"/>
      <c r="I416" s="1"/>
      <c r="J416" s="1"/>
      <c r="K416" s="1"/>
    </row>
    <row r="417">
      <c r="A417" s="1"/>
      <c r="B417" s="1"/>
      <c r="C417" s="1"/>
      <c r="D417" s="1"/>
      <c r="E417" s="1"/>
      <c r="F417" s="1"/>
      <c r="G417" s="1"/>
      <c r="H417" s="1"/>
      <c r="I417" s="1"/>
      <c r="J417" s="1"/>
      <c r="K417" s="1"/>
    </row>
    <row r="418">
      <c r="A418" s="1"/>
      <c r="B418" s="1"/>
      <c r="C418" s="1"/>
      <c r="D418" s="1"/>
      <c r="E418" s="1"/>
      <c r="F418" s="1"/>
      <c r="G418" s="1"/>
      <c r="H418" s="1"/>
      <c r="I418" s="1"/>
      <c r="J418" s="1"/>
      <c r="K418" s="1"/>
    </row>
    <row r="419">
      <c r="A419" s="1"/>
      <c r="B419" s="1"/>
      <c r="C419" s="1"/>
      <c r="D419" s="1"/>
      <c r="E419" s="1"/>
      <c r="F419" s="1"/>
      <c r="G419" s="1"/>
      <c r="H419" s="1"/>
      <c r="I419" s="1"/>
      <c r="J419" s="1"/>
      <c r="K419" s="1"/>
    </row>
    <row r="420">
      <c r="A420" s="1"/>
      <c r="B420" s="1"/>
      <c r="C420" s="1"/>
      <c r="D420" s="1"/>
      <c r="E420" s="1"/>
      <c r="F420" s="1"/>
      <c r="G420" s="1"/>
      <c r="H420" s="1"/>
      <c r="I420" s="1"/>
      <c r="J420" s="1"/>
      <c r="K420" s="1"/>
    </row>
    <row r="421">
      <c r="A421" s="1"/>
      <c r="B421" s="1"/>
      <c r="C421" s="1"/>
      <c r="D421" s="1"/>
      <c r="E421" s="1"/>
      <c r="F421" s="1"/>
      <c r="G421" s="1"/>
      <c r="H421" s="1"/>
      <c r="I421" s="1"/>
      <c r="J421" s="1"/>
      <c r="K421" s="1"/>
    </row>
    <row r="422">
      <c r="A422" s="1"/>
      <c r="B422" s="1"/>
      <c r="C422" s="1"/>
      <c r="D422" s="1"/>
      <c r="E422" s="1"/>
      <c r="F422" s="1"/>
      <c r="G422" s="1"/>
      <c r="H422" s="1"/>
      <c r="I422" s="1"/>
      <c r="J422" s="1"/>
      <c r="K422" s="1"/>
    </row>
    <row r="423">
      <c r="A423" s="1"/>
      <c r="B423" s="1"/>
      <c r="C423" s="1"/>
      <c r="D423" s="1"/>
      <c r="E423" s="1"/>
      <c r="F423" s="1"/>
      <c r="G423" s="1"/>
      <c r="H423" s="1"/>
      <c r="I423" s="1"/>
      <c r="J423" s="1"/>
      <c r="K423" s="1"/>
    </row>
    <row r="424">
      <c r="A424" s="1"/>
      <c r="B424" s="1"/>
      <c r="C424" s="1"/>
      <c r="D424" s="1"/>
      <c r="E424" s="1"/>
      <c r="F424" s="1"/>
      <c r="G424" s="1"/>
      <c r="H424" s="1"/>
      <c r="I424" s="1"/>
      <c r="J424" s="1"/>
      <c r="K424" s="1"/>
    </row>
    <row r="425">
      <c r="A425" s="1"/>
      <c r="B425" s="1"/>
      <c r="C425" s="1"/>
      <c r="D425" s="1"/>
      <c r="E425" s="1"/>
      <c r="F425" s="1"/>
      <c r="G425" s="1"/>
      <c r="H425" s="1"/>
      <c r="I425" s="1"/>
      <c r="J425" s="1"/>
      <c r="K425" s="1"/>
    </row>
    <row r="426">
      <c r="A426" s="1"/>
      <c r="B426" s="1"/>
      <c r="C426" s="1"/>
      <c r="D426" s="1"/>
      <c r="E426" s="1"/>
      <c r="F426" s="1"/>
      <c r="G426" s="1"/>
      <c r="H426" s="1"/>
      <c r="I426" s="1"/>
      <c r="J426" s="1"/>
      <c r="K426" s="1"/>
    </row>
    <row r="427">
      <c r="A427" s="1"/>
      <c r="B427" s="1"/>
      <c r="C427" s="1"/>
      <c r="D427" s="1"/>
      <c r="E427" s="1"/>
      <c r="F427" s="1"/>
      <c r="G427" s="1"/>
      <c r="H427" s="1"/>
      <c r="I427" s="1"/>
      <c r="J427" s="1"/>
      <c r="K427" s="1"/>
    </row>
    <row r="428">
      <c r="A428" s="1"/>
      <c r="B428" s="1"/>
      <c r="C428" s="1"/>
      <c r="D428" s="1"/>
      <c r="E428" s="1"/>
      <c r="F428" s="1"/>
      <c r="G428" s="1"/>
      <c r="H428" s="1"/>
      <c r="I428" s="1"/>
      <c r="J428" s="1"/>
      <c r="K428" s="1"/>
    </row>
    <row r="429">
      <c r="A429" s="1"/>
      <c r="B429" s="1"/>
      <c r="C429" s="1"/>
      <c r="D429" s="1"/>
      <c r="E429" s="1"/>
      <c r="F429" s="1"/>
      <c r="G429" s="1"/>
      <c r="H429" s="1"/>
      <c r="I429" s="1"/>
      <c r="J429" s="1"/>
      <c r="K429" s="1"/>
    </row>
    <row r="430">
      <c r="A430" s="1"/>
      <c r="B430" s="1"/>
      <c r="C430" s="1"/>
      <c r="D430" s="1"/>
      <c r="E430" s="1"/>
      <c r="F430" s="1"/>
      <c r="G430" s="1"/>
      <c r="H430" s="1"/>
      <c r="I430" s="1"/>
      <c r="J430" s="1"/>
      <c r="K430" s="1"/>
    </row>
    <row r="431">
      <c r="A431" s="1"/>
      <c r="B431" s="1"/>
      <c r="C431" s="1"/>
      <c r="D431" s="1"/>
      <c r="E431" s="1"/>
      <c r="F431" s="1"/>
      <c r="G431" s="1"/>
      <c r="H431" s="1"/>
      <c r="I431" s="1"/>
      <c r="J431" s="1"/>
      <c r="K431" s="1"/>
    </row>
    <row r="432">
      <c r="A432" s="1"/>
      <c r="B432" s="1"/>
      <c r="C432" s="1"/>
      <c r="D432" s="1"/>
      <c r="E432" s="1"/>
      <c r="F432" s="1"/>
      <c r="G432" s="1"/>
      <c r="H432" s="1"/>
      <c r="I432" s="1"/>
      <c r="J432" s="1"/>
      <c r="K432" s="1"/>
    </row>
    <row r="433">
      <c r="A433" s="1"/>
      <c r="B433" s="1"/>
      <c r="C433" s="1"/>
      <c r="D433" s="1"/>
      <c r="E433" s="1"/>
      <c r="F433" s="1"/>
      <c r="G433" s="1"/>
      <c r="H433" s="1"/>
      <c r="I433" s="1"/>
      <c r="J433" s="1"/>
      <c r="K433" s="1"/>
    </row>
    <row r="434">
      <c r="A434" s="1"/>
      <c r="B434" s="1"/>
      <c r="C434" s="1"/>
      <c r="D434" s="1"/>
      <c r="E434" s="1"/>
      <c r="F434" s="1"/>
      <c r="G434" s="1"/>
      <c r="H434" s="1"/>
      <c r="I434" s="1"/>
      <c r="J434" s="1"/>
      <c r="K434" s="1"/>
    </row>
    <row r="435">
      <c r="A435" s="1"/>
      <c r="B435" s="1"/>
      <c r="C435" s="1"/>
      <c r="D435" s="1"/>
      <c r="E435" s="1"/>
      <c r="F435" s="1"/>
      <c r="G435" s="1"/>
      <c r="H435" s="1"/>
      <c r="I435" s="1"/>
      <c r="J435" s="1"/>
      <c r="K435" s="1"/>
    </row>
    <row r="436">
      <c r="A436" s="1"/>
      <c r="B436" s="1"/>
      <c r="C436" s="1"/>
      <c r="D436" s="1"/>
      <c r="E436" s="1"/>
      <c r="F436" s="1"/>
      <c r="G436" s="1"/>
      <c r="H436" s="1"/>
      <c r="I436" s="1"/>
      <c r="J436" s="1"/>
      <c r="K436" s="1"/>
    </row>
    <row r="437">
      <c r="A437" s="1"/>
      <c r="B437" s="1"/>
      <c r="C437" s="1"/>
      <c r="D437" s="1"/>
      <c r="E437" s="1"/>
      <c r="F437" s="1"/>
      <c r="G437" s="1"/>
      <c r="H437" s="1"/>
      <c r="I437" s="1"/>
      <c r="J437" s="1"/>
      <c r="K437" s="1"/>
    </row>
    <row r="438">
      <c r="A438" s="1"/>
      <c r="B438" s="1"/>
      <c r="C438" s="1"/>
      <c r="D438" s="1"/>
      <c r="E438" s="1"/>
      <c r="F438" s="1"/>
      <c r="G438" s="1"/>
      <c r="H438" s="1"/>
      <c r="I438" s="1"/>
      <c r="J438" s="1"/>
      <c r="K438" s="1"/>
    </row>
    <row r="439">
      <c r="A439" s="1"/>
      <c r="B439" s="1"/>
      <c r="C439" s="1"/>
      <c r="D439" s="1"/>
      <c r="E439" s="1"/>
      <c r="F439" s="1"/>
      <c r="G439" s="1"/>
      <c r="H439" s="1"/>
      <c r="I439" s="1"/>
      <c r="J439" s="1"/>
      <c r="K439" s="1"/>
    </row>
    <row r="440">
      <c r="A440" s="1"/>
      <c r="B440" s="1"/>
      <c r="C440" s="1"/>
      <c r="D440" s="1"/>
      <c r="E440" s="1"/>
      <c r="F440" s="1"/>
      <c r="G440" s="1"/>
      <c r="H440" s="1"/>
      <c r="I440" s="1"/>
      <c r="J440" s="1"/>
      <c r="K440" s="1"/>
    </row>
    <row r="441">
      <c r="A441" s="1"/>
      <c r="B441" s="1"/>
      <c r="C441" s="1"/>
      <c r="D441" s="1"/>
      <c r="E441" s="1"/>
      <c r="F441" s="1"/>
      <c r="G441" s="1"/>
      <c r="H441" s="1"/>
      <c r="I441" s="1"/>
      <c r="J441" s="1"/>
      <c r="K441" s="1"/>
    </row>
    <row r="442">
      <c r="A442" s="1"/>
      <c r="B442" s="1"/>
      <c r="C442" s="1"/>
      <c r="D442" s="1"/>
      <c r="E442" s="1"/>
      <c r="F442" s="1"/>
      <c r="G442" s="1"/>
      <c r="H442" s="1"/>
      <c r="I442" s="1"/>
      <c r="J442" s="1"/>
      <c r="K442" s="1"/>
    </row>
    <row r="443">
      <c r="A443" s="1"/>
      <c r="B443" s="1"/>
      <c r="C443" s="1"/>
      <c r="D443" s="1"/>
      <c r="E443" s="1"/>
      <c r="F443" s="1"/>
      <c r="G443" s="1"/>
      <c r="H443" s="1"/>
      <c r="I443" s="1"/>
      <c r="J443" s="1"/>
      <c r="K443" s="1"/>
    </row>
    <row r="444">
      <c r="A444" s="1"/>
      <c r="B444" s="1"/>
      <c r="C444" s="1"/>
      <c r="D444" s="1"/>
      <c r="E444" s="1"/>
      <c r="F444" s="1"/>
      <c r="G444" s="1"/>
      <c r="H444" s="1"/>
      <c r="I444" s="1"/>
      <c r="J444" s="1"/>
      <c r="K444" s="1"/>
    </row>
    <row r="445">
      <c r="A445" s="1"/>
      <c r="B445" s="1"/>
      <c r="C445" s="1"/>
      <c r="D445" s="1"/>
      <c r="E445" s="1"/>
      <c r="F445" s="1"/>
      <c r="G445" s="1"/>
      <c r="H445" s="1"/>
      <c r="I445" s="1"/>
      <c r="J445" s="1"/>
      <c r="K445" s="1"/>
    </row>
    <row r="446">
      <c r="A446" s="1"/>
      <c r="B446" s="1"/>
      <c r="C446" s="1"/>
      <c r="D446" s="1"/>
      <c r="E446" s="1"/>
      <c r="F446" s="1"/>
      <c r="G446" s="1"/>
      <c r="H446" s="1"/>
      <c r="I446" s="1"/>
      <c r="J446" s="1"/>
      <c r="K446" s="1"/>
    </row>
    <row r="447">
      <c r="A447" s="1"/>
      <c r="B447" s="1"/>
      <c r="C447" s="1"/>
      <c r="D447" s="1"/>
      <c r="E447" s="1"/>
      <c r="F447" s="1"/>
      <c r="G447" s="1"/>
      <c r="H447" s="1"/>
      <c r="I447" s="1"/>
      <c r="J447" s="1"/>
      <c r="K447" s="1"/>
    </row>
    <row r="448">
      <c r="A448" s="1"/>
      <c r="B448" s="1"/>
      <c r="C448" s="1"/>
      <c r="D448" s="1"/>
      <c r="E448" s="1"/>
      <c r="F448" s="1"/>
      <c r="G448" s="1"/>
      <c r="H448" s="1"/>
      <c r="I448" s="1"/>
      <c r="J448" s="1"/>
      <c r="K448" s="1"/>
    </row>
    <row r="449">
      <c r="A449" s="1"/>
      <c r="B449" s="1"/>
      <c r="C449" s="1"/>
      <c r="D449" s="1"/>
      <c r="E449" s="1"/>
      <c r="F449" s="1"/>
      <c r="G449" s="1"/>
      <c r="H449" s="1"/>
      <c r="I449" s="1"/>
      <c r="J449" s="1"/>
      <c r="K449" s="1"/>
    </row>
    <row r="450">
      <c r="A450" s="1"/>
      <c r="B450" s="1"/>
      <c r="C450" s="1"/>
      <c r="D450" s="1"/>
      <c r="E450" s="1"/>
      <c r="F450" s="1"/>
      <c r="G450" s="1"/>
      <c r="H450" s="1"/>
      <c r="I450" s="1"/>
      <c r="J450" s="1"/>
      <c r="K450" s="1"/>
    </row>
    <row r="451">
      <c r="A451" s="1"/>
      <c r="B451" s="1"/>
      <c r="C451" s="1"/>
      <c r="D451" s="1"/>
      <c r="E451" s="1"/>
      <c r="F451" s="1"/>
      <c r="G451" s="1"/>
      <c r="H451" s="1"/>
      <c r="I451" s="1"/>
      <c r="J451" s="1"/>
      <c r="K451" s="1"/>
    </row>
    <row r="452">
      <c r="A452" s="1"/>
      <c r="B452" s="1"/>
      <c r="C452" s="1"/>
      <c r="D452" s="1"/>
      <c r="E452" s="1"/>
      <c r="F452" s="1"/>
      <c r="G452" s="1"/>
      <c r="H452" s="1"/>
      <c r="I452" s="1"/>
      <c r="J452" s="1"/>
      <c r="K452" s="1"/>
    </row>
    <row r="453">
      <c r="A453" s="1"/>
      <c r="B453" s="1"/>
      <c r="C453" s="1"/>
      <c r="D453" s="1"/>
      <c r="E453" s="1"/>
      <c r="F453" s="1"/>
      <c r="G453" s="1"/>
      <c r="H453" s="1"/>
      <c r="I453" s="1"/>
      <c r="J453" s="1"/>
      <c r="K453" s="1"/>
    </row>
    <row r="454">
      <c r="A454" s="1"/>
      <c r="B454" s="1"/>
      <c r="C454" s="1"/>
      <c r="D454" s="1"/>
      <c r="E454" s="1"/>
      <c r="F454" s="1"/>
      <c r="G454" s="1"/>
      <c r="H454" s="1"/>
      <c r="I454" s="1"/>
      <c r="J454" s="1"/>
      <c r="K454" s="1"/>
    </row>
    <row r="455">
      <c r="A455" s="1"/>
      <c r="B455" s="1"/>
      <c r="C455" s="1"/>
      <c r="D455" s="1"/>
      <c r="E455" s="1"/>
      <c r="F455" s="1"/>
      <c r="G455" s="1"/>
      <c r="H455" s="1"/>
      <c r="I455" s="1"/>
      <c r="J455" s="1"/>
      <c r="K455" s="1"/>
    </row>
    <row r="456">
      <c r="A456" s="1"/>
      <c r="B456" s="1"/>
      <c r="C456" s="1"/>
      <c r="D456" s="1"/>
      <c r="E456" s="1"/>
      <c r="F456" s="1"/>
      <c r="G456" s="1"/>
      <c r="H456" s="1"/>
      <c r="I456" s="1"/>
      <c r="J456" s="1"/>
      <c r="K456" s="1"/>
    </row>
    <row r="457">
      <c r="A457" s="1"/>
      <c r="B457" s="1"/>
      <c r="C457" s="1"/>
      <c r="D457" s="1"/>
      <c r="E457" s="1"/>
      <c r="F457" s="1"/>
      <c r="G457" s="1"/>
      <c r="H457" s="1"/>
      <c r="I457" s="1"/>
      <c r="J457" s="1"/>
      <c r="K457" s="1"/>
    </row>
    <row r="458">
      <c r="A458" s="1"/>
      <c r="B458" s="1"/>
      <c r="C458" s="1"/>
      <c r="D458" s="1"/>
      <c r="E458" s="1"/>
      <c r="F458" s="1"/>
      <c r="G458" s="1"/>
      <c r="H458" s="1"/>
      <c r="I458" s="1"/>
      <c r="J458" s="1"/>
      <c r="K458" s="1"/>
    </row>
    <row r="459">
      <c r="A459" s="1"/>
      <c r="B459" s="1"/>
      <c r="C459" s="1"/>
      <c r="D459" s="1"/>
      <c r="E459" s="1"/>
      <c r="F459" s="1"/>
      <c r="G459" s="1"/>
      <c r="H459" s="1"/>
      <c r="I459" s="1"/>
      <c r="J459" s="1"/>
      <c r="K459" s="1"/>
    </row>
    <row r="460">
      <c r="A460" s="1"/>
      <c r="B460" s="1"/>
      <c r="C460" s="1"/>
      <c r="D460" s="1"/>
      <c r="E460" s="1"/>
      <c r="F460" s="1"/>
      <c r="G460" s="1"/>
      <c r="H460" s="1"/>
      <c r="I460" s="1"/>
      <c r="J460" s="1"/>
      <c r="K460" s="1"/>
    </row>
    <row r="461">
      <c r="A461" s="1"/>
      <c r="B461" s="1"/>
      <c r="C461" s="1"/>
      <c r="D461" s="1"/>
      <c r="E461" s="1"/>
      <c r="F461" s="1"/>
      <c r="G461" s="1"/>
      <c r="H461" s="1"/>
      <c r="I461" s="1"/>
      <c r="J461" s="1"/>
      <c r="K461" s="1"/>
    </row>
    <row r="462">
      <c r="A462" s="1"/>
      <c r="B462" s="1"/>
      <c r="C462" s="1"/>
      <c r="D462" s="1"/>
      <c r="E462" s="1"/>
      <c r="F462" s="1"/>
      <c r="G462" s="1"/>
      <c r="H462" s="1"/>
      <c r="I462" s="1"/>
      <c r="J462" s="1"/>
      <c r="K462" s="1"/>
    </row>
    <row r="463">
      <c r="A463" s="1"/>
      <c r="B463" s="1"/>
      <c r="C463" s="1"/>
      <c r="D463" s="1"/>
      <c r="E463" s="1"/>
      <c r="F463" s="1"/>
      <c r="G463" s="1"/>
      <c r="H463" s="1"/>
      <c r="I463" s="1"/>
      <c r="J463" s="1"/>
      <c r="K463" s="1"/>
    </row>
    <row r="464">
      <c r="A464" s="1"/>
      <c r="B464" s="1"/>
      <c r="C464" s="1"/>
      <c r="D464" s="1"/>
      <c r="E464" s="1"/>
      <c r="F464" s="1"/>
      <c r="G464" s="1"/>
      <c r="H464" s="1"/>
      <c r="I464" s="1"/>
      <c r="J464" s="1"/>
      <c r="K464" s="1"/>
    </row>
    <row r="465">
      <c r="A465" s="1"/>
      <c r="B465" s="1"/>
      <c r="C465" s="1"/>
      <c r="D465" s="1"/>
      <c r="E465" s="1"/>
      <c r="F465" s="1"/>
      <c r="G465" s="1"/>
      <c r="H465" s="1"/>
      <c r="I465" s="1"/>
      <c r="J465" s="1"/>
      <c r="K465" s="1"/>
    </row>
    <row r="466">
      <c r="A466" s="1"/>
      <c r="B466" s="1"/>
      <c r="C466" s="1"/>
      <c r="D466" s="1"/>
      <c r="E466" s="1"/>
      <c r="F466" s="1"/>
      <c r="G466" s="1"/>
      <c r="H466" s="1"/>
      <c r="I466" s="1"/>
      <c r="J466" s="1"/>
      <c r="K466" s="1"/>
    </row>
    <row r="467">
      <c r="A467" s="1"/>
      <c r="B467" s="1"/>
      <c r="C467" s="1"/>
      <c r="D467" s="1"/>
      <c r="E467" s="1"/>
      <c r="F467" s="1"/>
      <c r="G467" s="1"/>
      <c r="H467" s="1"/>
      <c r="I467" s="1"/>
      <c r="J467" s="1"/>
      <c r="K467" s="1"/>
    </row>
    <row r="468">
      <c r="A468" s="1"/>
      <c r="B468" s="1"/>
      <c r="C468" s="1"/>
      <c r="D468" s="1"/>
      <c r="E468" s="1"/>
      <c r="F468" s="1"/>
      <c r="G468" s="1"/>
      <c r="H468" s="1"/>
      <c r="I468" s="1"/>
      <c r="J468" s="1"/>
      <c r="K468" s="1"/>
    </row>
    <row r="469">
      <c r="A469" s="1"/>
      <c r="B469" s="1"/>
      <c r="C469" s="1"/>
      <c r="D469" s="1"/>
      <c r="E469" s="1"/>
      <c r="F469" s="1"/>
      <c r="G469" s="1"/>
      <c r="H469" s="1"/>
      <c r="I469" s="1"/>
      <c r="J469" s="1"/>
      <c r="K469" s="1"/>
    </row>
    <row r="470">
      <c r="A470" s="1"/>
      <c r="B470" s="1"/>
      <c r="C470" s="1"/>
      <c r="D470" s="1"/>
      <c r="E470" s="1"/>
      <c r="F470" s="1"/>
      <c r="G470" s="1"/>
      <c r="H470" s="1"/>
      <c r="I470" s="1"/>
      <c r="J470" s="1"/>
      <c r="K470" s="1"/>
    </row>
    <row r="471">
      <c r="A471" s="1"/>
      <c r="B471" s="1"/>
      <c r="C471" s="1"/>
      <c r="D471" s="1"/>
      <c r="E471" s="1"/>
      <c r="F471" s="1"/>
      <c r="G471" s="1"/>
      <c r="H471" s="1"/>
      <c r="I471" s="1"/>
      <c r="J471" s="1"/>
      <c r="K471" s="1"/>
    </row>
    <row r="472">
      <c r="A472" s="1"/>
      <c r="B472" s="1"/>
      <c r="C472" s="1"/>
      <c r="D472" s="1"/>
      <c r="E472" s="1"/>
      <c r="F472" s="1"/>
      <c r="G472" s="1"/>
      <c r="H472" s="1"/>
      <c r="I472" s="1"/>
      <c r="J472" s="1"/>
      <c r="K472" s="1"/>
    </row>
    <row r="473">
      <c r="A473" s="1"/>
      <c r="B473" s="1"/>
      <c r="C473" s="1"/>
      <c r="D473" s="1"/>
      <c r="E473" s="1"/>
      <c r="F473" s="1"/>
      <c r="G473" s="1"/>
      <c r="H473" s="1"/>
      <c r="I473" s="1"/>
      <c r="J473" s="1"/>
      <c r="K473" s="1"/>
    </row>
    <row r="474">
      <c r="A474" s="1"/>
      <c r="B474" s="1"/>
      <c r="C474" s="1"/>
      <c r="D474" s="1"/>
      <c r="E474" s="1"/>
      <c r="F474" s="1"/>
      <c r="G474" s="1"/>
      <c r="H474" s="1"/>
      <c r="I474" s="1"/>
      <c r="J474" s="1"/>
      <c r="K474" s="1"/>
    </row>
    <row r="475">
      <c r="A475" s="1"/>
      <c r="B475" s="1"/>
      <c r="C475" s="1"/>
      <c r="D475" s="1"/>
      <c r="E475" s="1"/>
      <c r="F475" s="1"/>
      <c r="G475" s="1"/>
      <c r="H475" s="1"/>
      <c r="I475" s="1"/>
      <c r="J475" s="1"/>
      <c r="K475" s="1"/>
    </row>
    <row r="476">
      <c r="A476" s="1"/>
      <c r="B476" s="1"/>
      <c r="C476" s="1"/>
      <c r="D476" s="1"/>
      <c r="E476" s="1"/>
      <c r="F476" s="1"/>
      <c r="G476" s="1"/>
      <c r="H476" s="1"/>
      <c r="I476" s="1"/>
      <c r="J476" s="1"/>
      <c r="K476" s="1"/>
    </row>
    <row r="477">
      <c r="A477" s="1"/>
      <c r="B477" s="1"/>
      <c r="C477" s="1"/>
      <c r="D477" s="1"/>
      <c r="E477" s="1"/>
      <c r="F477" s="1"/>
      <c r="G477" s="1"/>
      <c r="H477" s="1"/>
      <c r="I477" s="1"/>
      <c r="J477" s="1"/>
      <c r="K477" s="1"/>
    </row>
    <row r="478">
      <c r="A478" s="1"/>
      <c r="B478" s="1"/>
      <c r="C478" s="1"/>
      <c r="D478" s="1"/>
      <c r="E478" s="1"/>
      <c r="F478" s="1"/>
      <c r="G478" s="1"/>
      <c r="H478" s="1"/>
      <c r="I478" s="1"/>
      <c r="J478" s="1"/>
      <c r="K478" s="1"/>
    </row>
    <row r="479">
      <c r="A479" s="1"/>
      <c r="B479" s="1"/>
      <c r="C479" s="1"/>
      <c r="D479" s="1"/>
      <c r="E479" s="1"/>
      <c r="F479" s="1"/>
      <c r="G479" s="1"/>
      <c r="H479" s="1"/>
      <c r="I479" s="1"/>
      <c r="J479" s="1"/>
      <c r="K479" s="1"/>
    </row>
    <row r="480">
      <c r="A480" s="1"/>
      <c r="B480" s="1"/>
      <c r="C480" s="1"/>
      <c r="D480" s="1"/>
      <c r="E480" s="1"/>
      <c r="F480" s="1"/>
      <c r="G480" s="1"/>
      <c r="H480" s="1"/>
      <c r="I480" s="1"/>
      <c r="J480" s="1"/>
      <c r="K480" s="1"/>
    </row>
    <row r="481">
      <c r="A481" s="1"/>
      <c r="B481" s="1"/>
      <c r="C481" s="1"/>
      <c r="D481" s="1"/>
      <c r="E481" s="1"/>
      <c r="F481" s="1"/>
      <c r="G481" s="1"/>
      <c r="H481" s="1"/>
      <c r="I481" s="1"/>
      <c r="J481" s="1"/>
      <c r="K481" s="1"/>
    </row>
    <row r="482">
      <c r="A482" s="1"/>
      <c r="B482" s="1"/>
      <c r="C482" s="1"/>
      <c r="D482" s="1"/>
      <c r="E482" s="1"/>
      <c r="F482" s="1"/>
      <c r="G482" s="1"/>
      <c r="H482" s="1"/>
      <c r="I482" s="1"/>
      <c r="J482" s="1"/>
      <c r="K482" s="1"/>
    </row>
    <row r="483">
      <c r="A483" s="1"/>
      <c r="B483" s="1"/>
      <c r="C483" s="1"/>
      <c r="D483" s="1"/>
      <c r="E483" s="1"/>
      <c r="F483" s="1"/>
      <c r="G483" s="1"/>
      <c r="H483" s="1"/>
      <c r="I483" s="1"/>
      <c r="J483" s="1"/>
      <c r="K483" s="1"/>
    </row>
    <row r="484">
      <c r="A484" s="1"/>
      <c r="B484" s="1"/>
      <c r="C484" s="1"/>
      <c r="D484" s="1"/>
      <c r="E484" s="1"/>
      <c r="F484" s="1"/>
      <c r="G484" s="1"/>
      <c r="H484" s="1"/>
      <c r="I484" s="1"/>
      <c r="J484" s="1"/>
      <c r="K484" s="1"/>
    </row>
    <row r="485">
      <c r="A485" s="1"/>
      <c r="B485" s="1"/>
      <c r="C485" s="1"/>
      <c r="D485" s="1"/>
      <c r="E485" s="1"/>
      <c r="F485" s="1"/>
      <c r="G485" s="1"/>
      <c r="H485" s="1"/>
      <c r="I485" s="1"/>
      <c r="J485" s="1"/>
      <c r="K485" s="1"/>
    </row>
    <row r="486">
      <c r="A486" s="1"/>
      <c r="B486" s="1"/>
      <c r="C486" s="1"/>
      <c r="D486" s="1"/>
      <c r="E486" s="1"/>
      <c r="F486" s="1"/>
      <c r="G486" s="1"/>
      <c r="H486" s="1"/>
      <c r="I486" s="1"/>
      <c r="J486" s="1"/>
      <c r="K486" s="1"/>
    </row>
    <row r="487">
      <c r="A487" s="1"/>
      <c r="B487" s="1"/>
      <c r="C487" s="1"/>
      <c r="D487" s="1"/>
      <c r="E487" s="1"/>
      <c r="F487" s="1"/>
      <c r="G487" s="1"/>
      <c r="H487" s="1"/>
      <c r="I487" s="1"/>
      <c r="J487" s="1"/>
      <c r="K487" s="1"/>
    </row>
    <row r="488">
      <c r="A488" s="1"/>
      <c r="B488" s="1"/>
      <c r="C488" s="1"/>
      <c r="D488" s="1"/>
      <c r="E488" s="1"/>
      <c r="F488" s="1"/>
      <c r="G488" s="1"/>
      <c r="H488" s="1"/>
      <c r="I488" s="1"/>
      <c r="J488" s="1"/>
      <c r="K488" s="1"/>
    </row>
    <row r="489">
      <c r="A489" s="1"/>
      <c r="B489" s="1"/>
      <c r="C489" s="1"/>
      <c r="D489" s="1"/>
      <c r="E489" s="1"/>
      <c r="F489" s="1"/>
      <c r="G489" s="1"/>
      <c r="H489" s="1"/>
      <c r="I489" s="1"/>
      <c r="J489" s="1"/>
      <c r="K489" s="1"/>
    </row>
    <row r="490">
      <c r="A490" s="1"/>
      <c r="B490" s="1"/>
      <c r="C490" s="1"/>
      <c r="D490" s="1"/>
      <c r="E490" s="1"/>
      <c r="F490" s="1"/>
      <c r="G490" s="1"/>
      <c r="H490" s="1"/>
      <c r="I490" s="1"/>
      <c r="J490" s="1"/>
      <c r="K490" s="1"/>
    </row>
    <row r="491">
      <c r="A491" s="1"/>
      <c r="B491" s="1"/>
      <c r="C491" s="1"/>
      <c r="D491" s="1"/>
      <c r="E491" s="1"/>
      <c r="F491" s="1"/>
      <c r="G491" s="1"/>
      <c r="H491" s="1"/>
      <c r="I491" s="1"/>
      <c r="J491" s="1"/>
      <c r="K491" s="1"/>
    </row>
    <row r="492">
      <c r="A492" s="1"/>
      <c r="B492" s="1"/>
      <c r="C492" s="1"/>
      <c r="D492" s="1"/>
      <c r="E492" s="1"/>
      <c r="F492" s="1"/>
      <c r="G492" s="1"/>
      <c r="H492" s="1"/>
      <c r="I492" s="1"/>
      <c r="J492" s="1"/>
      <c r="K492" s="1"/>
    </row>
    <row r="493">
      <c r="A493" s="1"/>
      <c r="B493" s="1"/>
      <c r="C493" s="1"/>
      <c r="D493" s="1"/>
      <c r="E493" s="1"/>
      <c r="F493" s="1"/>
      <c r="G493" s="1"/>
      <c r="H493" s="1"/>
      <c r="I493" s="1"/>
      <c r="J493" s="1"/>
      <c r="K493" s="1"/>
    </row>
    <row r="494">
      <c r="A494" s="1"/>
      <c r="B494" s="1"/>
      <c r="C494" s="1"/>
      <c r="D494" s="1"/>
      <c r="E494" s="1"/>
      <c r="F494" s="1"/>
      <c r="G494" s="1"/>
      <c r="H494" s="1"/>
      <c r="I494" s="1"/>
      <c r="J494" s="1"/>
      <c r="K494" s="1"/>
    </row>
    <row r="495">
      <c r="A495" s="1"/>
      <c r="B495" s="1"/>
      <c r="C495" s="1"/>
      <c r="D495" s="1"/>
      <c r="E495" s="1"/>
      <c r="F495" s="1"/>
      <c r="G495" s="1"/>
      <c r="H495" s="1"/>
      <c r="I495" s="1"/>
      <c r="J495" s="1"/>
      <c r="K495" s="1"/>
    </row>
    <row r="496">
      <c r="A496" s="1"/>
      <c r="B496" s="1"/>
      <c r="C496" s="1"/>
      <c r="D496" s="1"/>
      <c r="E496" s="1"/>
      <c r="F496" s="1"/>
      <c r="G496" s="1"/>
      <c r="H496" s="1"/>
      <c r="I496" s="1"/>
      <c r="J496" s="1"/>
      <c r="K496" s="1"/>
    </row>
    <row r="497">
      <c r="A497" s="1"/>
      <c r="B497" s="1"/>
      <c r="C497" s="1"/>
      <c r="D497" s="1"/>
      <c r="E497" s="1"/>
      <c r="F497" s="1"/>
      <c r="G497" s="1"/>
      <c r="H497" s="1"/>
      <c r="I497" s="1"/>
      <c r="J497" s="1"/>
      <c r="K497" s="1"/>
    </row>
    <row r="498">
      <c r="A498" s="1"/>
      <c r="B498" s="1"/>
      <c r="C498" s="1"/>
      <c r="D498" s="1"/>
      <c r="E498" s="1"/>
      <c r="F498" s="1"/>
      <c r="G498" s="1"/>
      <c r="H498" s="1"/>
      <c r="I498" s="1"/>
      <c r="J498" s="1"/>
      <c r="K498" s="1"/>
    </row>
    <row r="499">
      <c r="A499" s="1"/>
      <c r="B499" s="1"/>
      <c r="C499" s="1"/>
      <c r="D499" s="1"/>
      <c r="E499" s="1"/>
      <c r="F499" s="1"/>
      <c r="G499" s="1"/>
      <c r="H499" s="1"/>
      <c r="I499" s="1"/>
      <c r="J499" s="1"/>
      <c r="K499" s="1"/>
    </row>
    <row r="500">
      <c r="A500" s="1"/>
      <c r="B500" s="1"/>
      <c r="C500" s="1"/>
      <c r="D500" s="1"/>
      <c r="E500" s="1"/>
      <c r="F500" s="1"/>
      <c r="G500" s="1"/>
      <c r="H500" s="1"/>
      <c r="I500" s="1"/>
      <c r="J500" s="1"/>
      <c r="K500" s="1"/>
    </row>
    <row r="501">
      <c r="A501" s="1"/>
      <c r="B501" s="1"/>
      <c r="C501" s="1"/>
      <c r="D501" s="1"/>
      <c r="E501" s="1"/>
      <c r="F501" s="1"/>
      <c r="G501" s="1"/>
      <c r="H501" s="1"/>
      <c r="I501" s="1"/>
      <c r="J501" s="1"/>
      <c r="K501" s="1"/>
    </row>
    <row r="502">
      <c r="A502" s="1"/>
      <c r="B502" s="1"/>
      <c r="C502" s="1"/>
      <c r="D502" s="1"/>
      <c r="E502" s="1"/>
      <c r="F502" s="1"/>
      <c r="G502" s="1"/>
      <c r="H502" s="1"/>
      <c r="I502" s="1"/>
      <c r="J502" s="1"/>
      <c r="K502" s="1"/>
    </row>
    <row r="503">
      <c r="A503" s="1"/>
      <c r="B503" s="1"/>
      <c r="C503" s="1"/>
      <c r="D503" s="1"/>
      <c r="E503" s="1"/>
      <c r="F503" s="1"/>
      <c r="G503" s="1"/>
      <c r="H503" s="1"/>
      <c r="I503" s="1"/>
      <c r="J503" s="1"/>
      <c r="K503" s="1"/>
    </row>
    <row r="504">
      <c r="A504" s="1"/>
      <c r="B504" s="1"/>
      <c r="C504" s="1"/>
      <c r="D504" s="1"/>
      <c r="E504" s="1"/>
      <c r="F504" s="1"/>
      <c r="G504" s="1"/>
      <c r="H504" s="1"/>
      <c r="I504" s="1"/>
      <c r="J504" s="1"/>
      <c r="K504" s="1"/>
    </row>
    <row r="505">
      <c r="A505" s="1"/>
      <c r="B505" s="1"/>
      <c r="C505" s="1"/>
      <c r="D505" s="1"/>
      <c r="E505" s="1"/>
      <c r="F505" s="1"/>
      <c r="G505" s="1"/>
      <c r="H505" s="1"/>
      <c r="I505" s="1"/>
      <c r="J505" s="1"/>
      <c r="K505" s="1"/>
    </row>
    <row r="506">
      <c r="A506" s="1"/>
      <c r="B506" s="1"/>
      <c r="C506" s="1"/>
      <c r="D506" s="1"/>
      <c r="E506" s="1"/>
      <c r="F506" s="1"/>
      <c r="G506" s="1"/>
      <c r="H506" s="1"/>
      <c r="I506" s="1"/>
      <c r="J506" s="1"/>
      <c r="K506" s="1"/>
    </row>
    <row r="507">
      <c r="A507" s="1"/>
      <c r="B507" s="1"/>
      <c r="C507" s="1"/>
      <c r="D507" s="1"/>
      <c r="E507" s="1"/>
      <c r="F507" s="1"/>
      <c r="G507" s="1"/>
      <c r="H507" s="1"/>
      <c r="I507" s="1"/>
      <c r="J507" s="1"/>
      <c r="K507" s="1"/>
    </row>
    <row r="508">
      <c r="A508" s="1"/>
      <c r="B508" s="1"/>
      <c r="C508" s="1"/>
      <c r="D508" s="1"/>
      <c r="E508" s="1"/>
      <c r="F508" s="1"/>
      <c r="G508" s="1"/>
      <c r="H508" s="1"/>
      <c r="I508" s="1"/>
      <c r="J508" s="1"/>
      <c r="K508" s="1"/>
    </row>
    <row r="509">
      <c r="A509" s="1"/>
      <c r="B509" s="1"/>
      <c r="C509" s="1"/>
      <c r="D509" s="1"/>
      <c r="E509" s="1"/>
      <c r="F509" s="1"/>
      <c r="G509" s="1"/>
      <c r="H509" s="1"/>
      <c r="I509" s="1"/>
      <c r="J509" s="1"/>
      <c r="K509" s="1"/>
    </row>
    <row r="510">
      <c r="A510" s="1"/>
      <c r="B510" s="1"/>
      <c r="C510" s="1"/>
      <c r="D510" s="1"/>
      <c r="E510" s="1"/>
      <c r="F510" s="1"/>
      <c r="G510" s="1"/>
      <c r="H510" s="1"/>
      <c r="I510" s="1"/>
      <c r="J510" s="1"/>
      <c r="K510" s="1"/>
    </row>
    <row r="511">
      <c r="A511" s="1"/>
      <c r="B511" s="1"/>
      <c r="C511" s="1"/>
      <c r="D511" s="1"/>
      <c r="E511" s="1"/>
      <c r="F511" s="1"/>
      <c r="G511" s="1"/>
      <c r="H511" s="1"/>
      <c r="I511" s="1"/>
      <c r="J511" s="1"/>
      <c r="K511" s="1"/>
    </row>
    <row r="512">
      <c r="A512" s="1"/>
      <c r="B512" s="1"/>
      <c r="C512" s="1"/>
      <c r="D512" s="1"/>
      <c r="E512" s="1"/>
      <c r="F512" s="1"/>
      <c r="G512" s="1"/>
      <c r="H512" s="1"/>
      <c r="I512" s="1"/>
      <c r="J512" s="1"/>
      <c r="K512" s="1"/>
    </row>
    <row r="513">
      <c r="A513" s="1"/>
      <c r="B513" s="1"/>
      <c r="C513" s="1"/>
      <c r="D513" s="1"/>
      <c r="E513" s="1"/>
      <c r="F513" s="1"/>
      <c r="G513" s="1"/>
      <c r="H513" s="1"/>
      <c r="I513" s="1"/>
      <c r="J513" s="1"/>
      <c r="K513" s="1"/>
    </row>
    <row r="514">
      <c r="A514" s="1"/>
      <c r="B514" s="1"/>
      <c r="C514" s="1"/>
      <c r="D514" s="1"/>
      <c r="E514" s="1"/>
      <c r="F514" s="1"/>
      <c r="G514" s="1"/>
      <c r="H514" s="1"/>
      <c r="I514" s="1"/>
      <c r="J514" s="1"/>
      <c r="K514" s="1"/>
    </row>
    <row r="515">
      <c r="A515" s="1"/>
      <c r="B515" s="1"/>
      <c r="C515" s="1"/>
      <c r="D515" s="1"/>
      <c r="E515" s="1"/>
      <c r="F515" s="1"/>
      <c r="G515" s="1"/>
      <c r="H515" s="1"/>
      <c r="I515" s="1"/>
      <c r="J515" s="1"/>
      <c r="K515" s="1"/>
    </row>
    <row r="516">
      <c r="A516" s="1"/>
      <c r="B516" s="1"/>
      <c r="C516" s="1"/>
      <c r="D516" s="1"/>
      <c r="E516" s="1"/>
      <c r="F516" s="1"/>
      <c r="G516" s="1"/>
      <c r="H516" s="1"/>
      <c r="I516" s="1"/>
      <c r="J516" s="1"/>
      <c r="K516" s="1"/>
    </row>
    <row r="517">
      <c r="A517" s="1"/>
      <c r="B517" s="1"/>
      <c r="C517" s="1"/>
      <c r="D517" s="1"/>
      <c r="E517" s="1"/>
      <c r="F517" s="1"/>
      <c r="G517" s="1"/>
      <c r="H517" s="1"/>
      <c r="I517" s="1"/>
      <c r="J517" s="1"/>
      <c r="K517" s="1"/>
    </row>
    <row r="518">
      <c r="A518" s="1"/>
      <c r="B518" s="1"/>
      <c r="C518" s="1"/>
      <c r="D518" s="1"/>
      <c r="E518" s="1"/>
      <c r="F518" s="1"/>
      <c r="G518" s="1"/>
      <c r="H518" s="1"/>
      <c r="I518" s="1"/>
      <c r="J518" s="1"/>
      <c r="K518" s="1"/>
    </row>
    <row r="519">
      <c r="A519" s="1"/>
      <c r="B519" s="1"/>
      <c r="C519" s="1"/>
      <c r="D519" s="1"/>
      <c r="E519" s="1"/>
      <c r="F519" s="1"/>
      <c r="G519" s="1"/>
      <c r="H519" s="1"/>
      <c r="I519" s="1"/>
      <c r="J519" s="1"/>
      <c r="K519" s="1"/>
    </row>
    <row r="520">
      <c r="A520" s="1"/>
      <c r="B520" s="1"/>
      <c r="C520" s="1"/>
      <c r="D520" s="1"/>
      <c r="E520" s="1"/>
      <c r="F520" s="1"/>
      <c r="G520" s="1"/>
      <c r="H520" s="1"/>
      <c r="I520" s="1"/>
      <c r="J520" s="1"/>
      <c r="K520" s="1"/>
    </row>
    <row r="521">
      <c r="A521" s="1"/>
      <c r="B521" s="1"/>
      <c r="C521" s="1"/>
      <c r="D521" s="1"/>
      <c r="E521" s="1"/>
      <c r="F521" s="1"/>
      <c r="G521" s="1"/>
      <c r="H521" s="1"/>
      <c r="I521" s="1"/>
      <c r="J521" s="1"/>
      <c r="K521" s="1"/>
    </row>
    <row r="522">
      <c r="A522" s="1"/>
      <c r="B522" s="1"/>
      <c r="C522" s="1"/>
      <c r="D522" s="1"/>
      <c r="E522" s="1"/>
      <c r="F522" s="1"/>
      <c r="G522" s="1"/>
      <c r="H522" s="1"/>
      <c r="I522" s="1"/>
      <c r="J522" s="1"/>
      <c r="K522" s="1"/>
    </row>
    <row r="523">
      <c r="A523" s="1"/>
      <c r="B523" s="1"/>
      <c r="C523" s="1"/>
      <c r="D523" s="1"/>
      <c r="E523" s="1"/>
      <c r="F523" s="1"/>
      <c r="G523" s="1"/>
      <c r="H523" s="1"/>
      <c r="I523" s="1"/>
      <c r="J523" s="1"/>
      <c r="K523" s="1"/>
    </row>
    <row r="524">
      <c r="A524" s="1"/>
      <c r="B524" s="1"/>
      <c r="C524" s="1"/>
      <c r="D524" s="1"/>
      <c r="E524" s="1"/>
      <c r="F524" s="1"/>
      <c r="G524" s="1"/>
      <c r="H524" s="1"/>
      <c r="I524" s="1"/>
      <c r="J524" s="1"/>
      <c r="K524" s="1"/>
    </row>
    <row r="525">
      <c r="A525" s="1"/>
      <c r="B525" s="1"/>
      <c r="C525" s="1"/>
      <c r="D525" s="1"/>
      <c r="E525" s="1"/>
      <c r="F525" s="1"/>
      <c r="G525" s="1"/>
      <c r="H525" s="1"/>
      <c r="I525" s="1"/>
      <c r="J525" s="1"/>
      <c r="K525" s="1"/>
    </row>
    <row r="526">
      <c r="A526" s="1"/>
      <c r="B526" s="1"/>
      <c r="C526" s="1"/>
      <c r="D526" s="1"/>
      <c r="E526" s="1"/>
      <c r="F526" s="1"/>
      <c r="G526" s="1"/>
      <c r="H526" s="1"/>
      <c r="I526" s="1"/>
      <c r="J526" s="1"/>
      <c r="K526" s="1"/>
    </row>
    <row r="527">
      <c r="A527" s="1"/>
      <c r="B527" s="1"/>
      <c r="C527" s="1"/>
      <c r="D527" s="1"/>
      <c r="E527" s="1"/>
      <c r="F527" s="1"/>
      <c r="G527" s="1"/>
      <c r="H527" s="1"/>
      <c r="I527" s="1"/>
      <c r="J527" s="1"/>
      <c r="K527" s="1"/>
    </row>
    <row r="528">
      <c r="A528" s="1"/>
      <c r="B528" s="1"/>
      <c r="C528" s="1"/>
      <c r="D528" s="1"/>
      <c r="E528" s="1"/>
      <c r="F528" s="1"/>
      <c r="G528" s="1"/>
      <c r="H528" s="1"/>
      <c r="I528" s="1"/>
      <c r="J528" s="1"/>
      <c r="K528" s="1"/>
    </row>
    <row r="529">
      <c r="A529" s="1"/>
      <c r="B529" s="1"/>
      <c r="C529" s="1"/>
      <c r="D529" s="1"/>
      <c r="E529" s="1"/>
      <c r="F529" s="1"/>
      <c r="G529" s="1"/>
      <c r="H529" s="1"/>
      <c r="I529" s="1"/>
      <c r="J529" s="1"/>
      <c r="K529" s="1"/>
    </row>
    <row r="530">
      <c r="A530" s="1"/>
      <c r="B530" s="1"/>
      <c r="C530" s="1"/>
      <c r="D530" s="1"/>
      <c r="E530" s="1"/>
      <c r="F530" s="1"/>
      <c r="G530" s="1"/>
      <c r="H530" s="1"/>
      <c r="I530" s="1"/>
      <c r="J530" s="1"/>
      <c r="K530" s="1"/>
    </row>
    <row r="531">
      <c r="A531" s="1"/>
      <c r="B531" s="1"/>
      <c r="C531" s="1"/>
      <c r="D531" s="1"/>
      <c r="E531" s="1"/>
      <c r="F531" s="1"/>
      <c r="G531" s="1"/>
      <c r="H531" s="1"/>
      <c r="I531" s="1"/>
      <c r="J531" s="1"/>
      <c r="K531" s="1"/>
    </row>
    <row r="532">
      <c r="A532" s="1"/>
      <c r="B532" s="1"/>
      <c r="C532" s="1"/>
      <c r="D532" s="1"/>
      <c r="E532" s="1"/>
      <c r="F532" s="1"/>
      <c r="G532" s="1"/>
      <c r="H532" s="1"/>
      <c r="I532" s="1"/>
      <c r="J532" s="1"/>
      <c r="K532" s="1"/>
    </row>
    <row r="533">
      <c r="A533" s="1"/>
      <c r="B533" s="1"/>
      <c r="C533" s="1"/>
      <c r="D533" s="1"/>
      <c r="E533" s="1"/>
      <c r="F533" s="1"/>
      <c r="G533" s="1"/>
      <c r="H533" s="1"/>
      <c r="I533" s="1"/>
      <c r="J533" s="1"/>
      <c r="K533" s="1"/>
    </row>
    <row r="534">
      <c r="A534" s="1"/>
      <c r="B534" s="1"/>
      <c r="C534" s="1"/>
      <c r="D534" s="1"/>
      <c r="E534" s="1"/>
      <c r="F534" s="1"/>
      <c r="G534" s="1"/>
      <c r="H534" s="1"/>
      <c r="I534" s="1"/>
      <c r="J534" s="1"/>
      <c r="K534" s="1"/>
    </row>
    <row r="535">
      <c r="A535" s="1"/>
      <c r="B535" s="1"/>
      <c r="C535" s="1"/>
      <c r="D535" s="1"/>
      <c r="E535" s="1"/>
      <c r="F535" s="1"/>
      <c r="G535" s="1"/>
      <c r="H535" s="1"/>
      <c r="I535" s="1"/>
      <c r="J535" s="1"/>
      <c r="K535" s="1"/>
    </row>
    <row r="536">
      <c r="A536" s="1"/>
      <c r="B536" s="1"/>
      <c r="C536" s="1"/>
      <c r="D536" s="1"/>
      <c r="E536" s="1"/>
      <c r="F536" s="1"/>
      <c r="G536" s="1"/>
      <c r="H536" s="1"/>
      <c r="I536" s="1"/>
      <c r="J536" s="1"/>
      <c r="K536" s="1"/>
    </row>
    <row r="537">
      <c r="A537" s="1"/>
      <c r="B537" s="1"/>
      <c r="C537" s="1"/>
      <c r="D537" s="1"/>
      <c r="E537" s="1"/>
      <c r="F537" s="1"/>
      <c r="G537" s="1"/>
      <c r="H537" s="1"/>
      <c r="I537" s="1"/>
      <c r="J537" s="1"/>
      <c r="K537" s="1"/>
    </row>
    <row r="538">
      <c r="A538" s="1"/>
      <c r="B538" s="1"/>
      <c r="C538" s="1"/>
      <c r="D538" s="1"/>
      <c r="E538" s="1"/>
      <c r="F538" s="1"/>
      <c r="G538" s="1"/>
      <c r="H538" s="1"/>
      <c r="I538" s="1"/>
      <c r="J538" s="1"/>
      <c r="K538" s="1"/>
    </row>
    <row r="539">
      <c r="A539" s="1"/>
      <c r="B539" s="1"/>
      <c r="C539" s="1"/>
      <c r="D539" s="1"/>
      <c r="E539" s="1"/>
      <c r="F539" s="1"/>
      <c r="G539" s="1"/>
      <c r="H539" s="1"/>
      <c r="I539" s="1"/>
      <c r="J539" s="1"/>
      <c r="K539" s="1"/>
    </row>
    <row r="540">
      <c r="A540" s="1"/>
      <c r="B540" s="1"/>
      <c r="C540" s="1"/>
      <c r="D540" s="1"/>
      <c r="E540" s="1"/>
      <c r="F540" s="1"/>
      <c r="G540" s="1"/>
      <c r="H540" s="1"/>
      <c r="I540" s="1"/>
      <c r="J540" s="1"/>
      <c r="K540" s="1"/>
    </row>
    <row r="541">
      <c r="A541" s="1"/>
      <c r="B541" s="1"/>
      <c r="C541" s="1"/>
      <c r="D541" s="1"/>
      <c r="E541" s="1"/>
      <c r="F541" s="1"/>
      <c r="G541" s="1"/>
      <c r="H541" s="1"/>
      <c r="I541" s="1"/>
      <c r="J541" s="1"/>
      <c r="K541" s="1"/>
    </row>
    <row r="542">
      <c r="A542" s="1"/>
      <c r="B542" s="1"/>
      <c r="C542" s="1"/>
      <c r="D542" s="1"/>
      <c r="E542" s="1"/>
      <c r="F542" s="1"/>
      <c r="G542" s="1"/>
      <c r="H542" s="1"/>
      <c r="I542" s="1"/>
      <c r="J542" s="1"/>
      <c r="K542" s="1"/>
    </row>
    <row r="543">
      <c r="A543" s="1"/>
      <c r="B543" s="1"/>
      <c r="C543" s="1"/>
      <c r="D543" s="1"/>
      <c r="E543" s="1"/>
      <c r="F543" s="1"/>
      <c r="G543" s="1"/>
      <c r="H543" s="1"/>
      <c r="I543" s="1"/>
      <c r="J543" s="1"/>
      <c r="K543" s="1"/>
    </row>
    <row r="544">
      <c r="A544" s="1"/>
      <c r="B544" s="1"/>
      <c r="C544" s="1"/>
      <c r="D544" s="1"/>
      <c r="E544" s="1"/>
      <c r="F544" s="1"/>
      <c r="G544" s="1"/>
      <c r="H544" s="1"/>
      <c r="I544" s="1"/>
      <c r="J544" s="1"/>
      <c r="K544" s="1"/>
    </row>
    <row r="545">
      <c r="A545" s="1"/>
      <c r="B545" s="1"/>
      <c r="C545" s="1"/>
      <c r="D545" s="1"/>
      <c r="E545" s="1"/>
      <c r="F545" s="1"/>
      <c r="G545" s="1"/>
      <c r="H545" s="1"/>
      <c r="I545" s="1"/>
      <c r="J545" s="1"/>
      <c r="K545" s="1"/>
    </row>
    <row r="546">
      <c r="A546" s="1"/>
      <c r="B546" s="1"/>
      <c r="C546" s="1"/>
      <c r="D546" s="1"/>
      <c r="E546" s="1"/>
      <c r="F546" s="1"/>
      <c r="G546" s="1"/>
      <c r="H546" s="1"/>
      <c r="I546" s="1"/>
      <c r="J546" s="1"/>
      <c r="K546" s="1"/>
    </row>
    <row r="547">
      <c r="A547" s="1"/>
      <c r="B547" s="1"/>
      <c r="C547" s="1"/>
      <c r="D547" s="1"/>
      <c r="E547" s="1"/>
      <c r="F547" s="1"/>
      <c r="G547" s="1"/>
      <c r="H547" s="1"/>
      <c r="I547" s="1"/>
      <c r="J547" s="1"/>
      <c r="K547" s="1"/>
    </row>
    <row r="548">
      <c r="A548" s="1"/>
      <c r="B548" s="1"/>
      <c r="C548" s="1"/>
      <c r="D548" s="1"/>
      <c r="E548" s="1"/>
      <c r="F548" s="1"/>
      <c r="G548" s="1"/>
      <c r="H548" s="1"/>
      <c r="I548" s="1"/>
      <c r="J548" s="1"/>
      <c r="K548" s="1"/>
    </row>
    <row r="549">
      <c r="A549" s="1"/>
      <c r="B549" s="1"/>
      <c r="C549" s="1"/>
      <c r="D549" s="1"/>
      <c r="E549" s="1"/>
      <c r="F549" s="1"/>
      <c r="G549" s="1"/>
      <c r="H549" s="1"/>
      <c r="I549" s="1"/>
      <c r="J549" s="1"/>
      <c r="K549" s="1"/>
    </row>
    <row r="550">
      <c r="A550" s="1"/>
      <c r="B550" s="1"/>
      <c r="C550" s="1"/>
      <c r="D550" s="1"/>
      <c r="E550" s="1"/>
      <c r="F550" s="1"/>
      <c r="G550" s="1"/>
      <c r="H550" s="1"/>
      <c r="I550" s="1"/>
      <c r="J550" s="1"/>
      <c r="K550" s="1"/>
    </row>
    <row r="551">
      <c r="A551" s="1"/>
      <c r="B551" s="1"/>
      <c r="C551" s="1"/>
      <c r="D551" s="1"/>
      <c r="E551" s="1"/>
      <c r="F551" s="1"/>
      <c r="G551" s="1"/>
      <c r="H551" s="1"/>
      <c r="I551" s="1"/>
      <c r="J551" s="1"/>
      <c r="K551" s="1"/>
    </row>
    <row r="552">
      <c r="A552" s="1"/>
      <c r="B552" s="1"/>
      <c r="C552" s="1"/>
      <c r="D552" s="1"/>
      <c r="E552" s="1"/>
      <c r="F552" s="1"/>
      <c r="G552" s="1"/>
      <c r="H552" s="1"/>
      <c r="I552" s="1"/>
      <c r="J552" s="1"/>
      <c r="K552" s="1"/>
    </row>
    <row r="553">
      <c r="A553" s="1"/>
      <c r="B553" s="1"/>
      <c r="C553" s="1"/>
      <c r="D553" s="1"/>
      <c r="E553" s="1"/>
      <c r="F553" s="1"/>
      <c r="G553" s="1"/>
      <c r="H553" s="1"/>
      <c r="I553" s="1"/>
      <c r="J553" s="1"/>
      <c r="K553" s="1"/>
    </row>
    <row r="554">
      <c r="A554" s="1"/>
      <c r="B554" s="1"/>
      <c r="C554" s="1"/>
      <c r="D554" s="1"/>
      <c r="E554" s="1"/>
      <c r="F554" s="1"/>
      <c r="G554" s="1"/>
      <c r="H554" s="1"/>
      <c r="I554" s="1"/>
      <c r="J554" s="1"/>
      <c r="K554" s="1"/>
    </row>
    <row r="555">
      <c r="A555" s="1"/>
      <c r="B555" s="1"/>
      <c r="C555" s="1"/>
      <c r="D555" s="1"/>
      <c r="E555" s="1"/>
      <c r="F555" s="1"/>
      <c r="G555" s="1"/>
      <c r="H555" s="1"/>
      <c r="I555" s="1"/>
      <c r="J555" s="1"/>
      <c r="K555" s="1"/>
    </row>
    <row r="556">
      <c r="A556" s="1"/>
      <c r="B556" s="1"/>
      <c r="C556" s="1"/>
      <c r="D556" s="1"/>
      <c r="E556" s="1"/>
      <c r="F556" s="1"/>
      <c r="G556" s="1"/>
      <c r="H556" s="1"/>
      <c r="I556" s="1"/>
      <c r="J556" s="1"/>
      <c r="K556" s="1"/>
    </row>
    <row r="557">
      <c r="A557" s="1"/>
      <c r="B557" s="1"/>
      <c r="C557" s="1"/>
      <c r="D557" s="1"/>
      <c r="E557" s="1"/>
      <c r="F557" s="1"/>
      <c r="G557" s="1"/>
      <c r="H557" s="1"/>
      <c r="I557" s="1"/>
      <c r="J557" s="1"/>
      <c r="K557" s="1"/>
    </row>
    <row r="558">
      <c r="A558" s="1"/>
      <c r="B558" s="1"/>
      <c r="C558" s="1"/>
      <c r="D558" s="1"/>
      <c r="E558" s="1"/>
      <c r="F558" s="1"/>
      <c r="G558" s="1"/>
      <c r="H558" s="1"/>
      <c r="I558" s="1"/>
      <c r="J558" s="1"/>
      <c r="K558" s="1"/>
    </row>
    <row r="559">
      <c r="A559" s="1"/>
      <c r="B559" s="1"/>
      <c r="C559" s="1"/>
      <c r="D559" s="1"/>
      <c r="E559" s="1"/>
      <c r="F559" s="1"/>
      <c r="G559" s="1"/>
      <c r="H559" s="1"/>
      <c r="I559" s="1"/>
      <c r="J559" s="1"/>
      <c r="K559" s="1"/>
    </row>
    <row r="560">
      <c r="A560" s="1"/>
      <c r="B560" s="1"/>
      <c r="C560" s="1"/>
      <c r="D560" s="1"/>
      <c r="E560" s="1"/>
      <c r="F560" s="1"/>
      <c r="G560" s="1"/>
      <c r="H560" s="1"/>
      <c r="I560" s="1"/>
      <c r="J560" s="1"/>
      <c r="K560" s="1"/>
    </row>
    <row r="561">
      <c r="A561" s="1"/>
      <c r="B561" s="1"/>
      <c r="C561" s="1"/>
      <c r="D561" s="1"/>
      <c r="E561" s="1"/>
      <c r="F561" s="1"/>
      <c r="G561" s="1"/>
      <c r="H561" s="1"/>
      <c r="I561" s="1"/>
      <c r="J561" s="1"/>
      <c r="K561" s="1"/>
    </row>
    <row r="562">
      <c r="A562" s="1"/>
      <c r="B562" s="1"/>
      <c r="C562" s="1"/>
      <c r="D562" s="1"/>
      <c r="E562" s="1"/>
      <c r="F562" s="1"/>
      <c r="G562" s="1"/>
      <c r="H562" s="1"/>
      <c r="I562" s="1"/>
      <c r="J562" s="1"/>
      <c r="K562" s="1"/>
    </row>
    <row r="563">
      <c r="A563" s="1"/>
      <c r="B563" s="1"/>
      <c r="C563" s="1"/>
      <c r="D563" s="1"/>
      <c r="E563" s="1"/>
      <c r="F563" s="1"/>
      <c r="G563" s="1"/>
      <c r="H563" s="1"/>
      <c r="I563" s="1"/>
      <c r="J563" s="1"/>
      <c r="K563" s="1"/>
    </row>
    <row r="564">
      <c r="A564" s="1"/>
      <c r="B564" s="1"/>
      <c r="C564" s="1"/>
      <c r="D564" s="1"/>
      <c r="E564" s="1"/>
      <c r="F564" s="1"/>
      <c r="G564" s="1"/>
      <c r="H564" s="1"/>
      <c r="I564" s="1"/>
      <c r="J564" s="1"/>
      <c r="K564" s="1"/>
    </row>
    <row r="565">
      <c r="A565" s="1"/>
      <c r="B565" s="1"/>
      <c r="C565" s="1"/>
      <c r="D565" s="1"/>
      <c r="E565" s="1"/>
      <c r="F565" s="1"/>
      <c r="G565" s="1"/>
      <c r="H565" s="1"/>
      <c r="I565" s="1"/>
      <c r="J565" s="1"/>
      <c r="K565" s="1"/>
    </row>
    <row r="566">
      <c r="A566" s="1"/>
      <c r="B566" s="1"/>
      <c r="C566" s="1"/>
      <c r="D566" s="1"/>
      <c r="E566" s="1"/>
      <c r="F566" s="1"/>
      <c r="G566" s="1"/>
      <c r="H566" s="1"/>
      <c r="I566" s="1"/>
      <c r="J566" s="1"/>
      <c r="K566" s="1"/>
    </row>
    <row r="567">
      <c r="A567" s="1"/>
      <c r="B567" s="1"/>
      <c r="C567" s="1"/>
      <c r="D567" s="1"/>
      <c r="E567" s="1"/>
      <c r="F567" s="1"/>
      <c r="G567" s="1"/>
      <c r="H567" s="1"/>
      <c r="I567" s="1"/>
      <c r="J567" s="1"/>
      <c r="K567" s="1"/>
    </row>
    <row r="568">
      <c r="A568" s="1"/>
      <c r="B568" s="1"/>
      <c r="C568" s="1"/>
      <c r="D568" s="1"/>
      <c r="E568" s="1"/>
      <c r="F568" s="1"/>
      <c r="G568" s="1"/>
      <c r="H568" s="1"/>
      <c r="I568" s="1"/>
      <c r="J568" s="1"/>
      <c r="K568" s="1"/>
    </row>
    <row r="569">
      <c r="A569" s="1"/>
      <c r="B569" s="1"/>
      <c r="C569" s="1"/>
      <c r="D569" s="1"/>
      <c r="E569" s="1"/>
      <c r="F569" s="1"/>
      <c r="G569" s="1"/>
      <c r="H569" s="1"/>
      <c r="I569" s="1"/>
      <c r="J569" s="1"/>
      <c r="K569" s="1"/>
    </row>
    <row r="570">
      <c r="A570" s="1"/>
      <c r="B570" s="1"/>
      <c r="C570" s="1"/>
      <c r="D570" s="1"/>
      <c r="E570" s="1"/>
      <c r="F570" s="1"/>
      <c r="G570" s="1"/>
      <c r="H570" s="1"/>
      <c r="I570" s="1"/>
      <c r="J570" s="1"/>
      <c r="K570" s="1"/>
    </row>
    <row r="571">
      <c r="A571" s="1"/>
      <c r="B571" s="1"/>
      <c r="C571" s="1"/>
      <c r="D571" s="1"/>
      <c r="E571" s="1"/>
      <c r="F571" s="1"/>
      <c r="G571" s="1"/>
      <c r="H571" s="1"/>
      <c r="I571" s="1"/>
      <c r="J571" s="1"/>
      <c r="K571" s="1"/>
    </row>
    <row r="572">
      <c r="A572" s="1"/>
      <c r="B572" s="1"/>
      <c r="C572" s="1"/>
      <c r="D572" s="1"/>
      <c r="E572" s="1"/>
      <c r="F572" s="1"/>
      <c r="G572" s="1"/>
      <c r="H572" s="1"/>
      <c r="I572" s="1"/>
      <c r="J572" s="1"/>
      <c r="K572" s="1"/>
    </row>
    <row r="573">
      <c r="A573" s="1"/>
      <c r="B573" s="1"/>
      <c r="C573" s="1"/>
      <c r="D573" s="1"/>
      <c r="E573" s="1"/>
      <c r="F573" s="1"/>
      <c r="G573" s="1"/>
      <c r="H573" s="1"/>
      <c r="I573" s="1"/>
      <c r="J573" s="1"/>
      <c r="K573" s="1"/>
    </row>
    <row r="574">
      <c r="A574" s="1"/>
      <c r="B574" s="1"/>
      <c r="C574" s="1"/>
      <c r="D574" s="1"/>
      <c r="E574" s="1"/>
      <c r="F574" s="1"/>
      <c r="G574" s="1"/>
      <c r="H574" s="1"/>
      <c r="I574" s="1"/>
      <c r="J574" s="1"/>
      <c r="K574" s="1"/>
    </row>
    <row r="575">
      <c r="A575" s="1"/>
      <c r="B575" s="1"/>
      <c r="C575" s="1"/>
      <c r="D575" s="1"/>
      <c r="E575" s="1"/>
      <c r="F575" s="1"/>
      <c r="G575" s="1"/>
      <c r="H575" s="1"/>
      <c r="I575" s="1"/>
      <c r="J575" s="1"/>
      <c r="K575" s="1"/>
    </row>
    <row r="576">
      <c r="A576" s="1"/>
      <c r="B576" s="1"/>
      <c r="C576" s="1"/>
      <c r="D576" s="1"/>
      <c r="E576" s="1"/>
      <c r="F576" s="1"/>
      <c r="G576" s="1"/>
      <c r="H576" s="1"/>
      <c r="I576" s="1"/>
      <c r="J576" s="1"/>
      <c r="K576" s="1"/>
    </row>
    <row r="577">
      <c r="A577" s="1"/>
      <c r="B577" s="1"/>
      <c r="C577" s="1"/>
      <c r="D577" s="1"/>
      <c r="E577" s="1"/>
      <c r="F577" s="1"/>
      <c r="G577" s="1"/>
      <c r="H577" s="1"/>
      <c r="I577" s="1"/>
      <c r="J577" s="1"/>
      <c r="K577" s="1"/>
    </row>
    <row r="578">
      <c r="A578" s="1"/>
      <c r="B578" s="1"/>
      <c r="C578" s="1"/>
      <c r="D578" s="1"/>
      <c r="E578" s="1"/>
      <c r="F578" s="1"/>
      <c r="G578" s="1"/>
      <c r="H578" s="1"/>
      <c r="I578" s="1"/>
      <c r="J578" s="1"/>
      <c r="K578" s="1"/>
    </row>
    <row r="579">
      <c r="A579" s="1"/>
      <c r="B579" s="1"/>
      <c r="C579" s="1"/>
      <c r="D579" s="1"/>
      <c r="E579" s="1"/>
      <c r="F579" s="1"/>
      <c r="G579" s="1"/>
      <c r="H579" s="1"/>
      <c r="I579" s="1"/>
      <c r="J579" s="1"/>
      <c r="K579" s="1"/>
    </row>
    <row r="580">
      <c r="A580" s="1"/>
      <c r="B580" s="1"/>
      <c r="C580" s="1"/>
      <c r="D580" s="1"/>
      <c r="E580" s="1"/>
      <c r="F580" s="1"/>
      <c r="G580" s="1"/>
      <c r="H580" s="1"/>
      <c r="I580" s="1"/>
      <c r="J580" s="1"/>
      <c r="K580" s="1"/>
    </row>
    <row r="581">
      <c r="A581" s="1"/>
      <c r="B581" s="1"/>
      <c r="C581" s="1"/>
      <c r="D581" s="1"/>
      <c r="E581" s="1"/>
      <c r="F581" s="1"/>
      <c r="G581" s="1"/>
      <c r="H581" s="1"/>
      <c r="I581" s="1"/>
      <c r="J581" s="1"/>
      <c r="K581" s="1"/>
    </row>
    <row r="582">
      <c r="A582" s="1"/>
      <c r="B582" s="1"/>
      <c r="C582" s="1"/>
      <c r="D582" s="1"/>
      <c r="E582" s="1"/>
      <c r="F582" s="1"/>
      <c r="G582" s="1"/>
      <c r="H582" s="1"/>
      <c r="I582" s="1"/>
      <c r="J582" s="1"/>
      <c r="K582" s="1"/>
    </row>
    <row r="583">
      <c r="A583" s="1"/>
      <c r="B583" s="1"/>
      <c r="C583" s="1"/>
      <c r="D583" s="1"/>
      <c r="E583" s="1"/>
      <c r="F583" s="1"/>
      <c r="G583" s="1"/>
      <c r="H583" s="1"/>
      <c r="I583" s="1"/>
      <c r="J583" s="1"/>
      <c r="K583" s="1"/>
    </row>
    <row r="584">
      <c r="A584" s="1"/>
      <c r="B584" s="1"/>
      <c r="C584" s="1"/>
      <c r="D584" s="1"/>
      <c r="E584" s="1"/>
      <c r="F584" s="1"/>
      <c r="G584" s="1"/>
      <c r="H584" s="1"/>
      <c r="I584" s="1"/>
      <c r="J584" s="1"/>
      <c r="K584" s="1"/>
    </row>
    <row r="585">
      <c r="A585" s="1"/>
      <c r="B585" s="1"/>
      <c r="C585" s="1"/>
      <c r="D585" s="1"/>
      <c r="E585" s="1"/>
      <c r="F585" s="1"/>
      <c r="G585" s="1"/>
      <c r="H585" s="1"/>
      <c r="I585" s="1"/>
      <c r="J585" s="1"/>
      <c r="K585" s="1"/>
    </row>
    <row r="586">
      <c r="A586" s="1"/>
      <c r="B586" s="1"/>
      <c r="C586" s="1"/>
      <c r="D586" s="1"/>
      <c r="E586" s="1"/>
      <c r="F586" s="1"/>
      <c r="G586" s="1"/>
      <c r="H586" s="1"/>
      <c r="I586" s="1"/>
      <c r="J586" s="1"/>
      <c r="K586" s="1"/>
    </row>
    <row r="587">
      <c r="A587" s="1"/>
      <c r="B587" s="1"/>
      <c r="C587" s="1"/>
      <c r="D587" s="1"/>
      <c r="E587" s="1"/>
      <c r="F587" s="1"/>
      <c r="G587" s="1"/>
      <c r="H587" s="1"/>
      <c r="I587" s="1"/>
      <c r="J587" s="1"/>
      <c r="K587" s="1"/>
    </row>
    <row r="588">
      <c r="A588" s="1"/>
      <c r="B588" s="1"/>
      <c r="C588" s="1"/>
      <c r="D588" s="1"/>
      <c r="E588" s="1"/>
      <c r="F588" s="1"/>
      <c r="G588" s="1"/>
      <c r="H588" s="1"/>
      <c r="I588" s="1"/>
      <c r="J588" s="1"/>
      <c r="K588" s="1"/>
    </row>
    <row r="589">
      <c r="A589" s="1"/>
      <c r="B589" s="1"/>
      <c r="C589" s="1"/>
      <c r="D589" s="1"/>
      <c r="E589" s="1"/>
      <c r="F589" s="1"/>
      <c r="G589" s="1"/>
      <c r="H589" s="1"/>
      <c r="I589" s="1"/>
      <c r="J589" s="1"/>
      <c r="K589" s="1"/>
    </row>
    <row r="590">
      <c r="A590" s="1"/>
      <c r="B590" s="1"/>
      <c r="C590" s="1"/>
      <c r="D590" s="1"/>
      <c r="E590" s="1"/>
      <c r="F590" s="1"/>
      <c r="G590" s="1"/>
      <c r="H590" s="1"/>
      <c r="I590" s="1"/>
      <c r="J590" s="1"/>
      <c r="K590" s="1"/>
    </row>
    <row r="591">
      <c r="A591" s="1"/>
      <c r="B591" s="1"/>
      <c r="C591" s="1"/>
      <c r="D591" s="1"/>
      <c r="E591" s="1"/>
      <c r="F591" s="1"/>
      <c r="G591" s="1"/>
      <c r="H591" s="1"/>
      <c r="I591" s="1"/>
      <c r="J591" s="1"/>
      <c r="K591" s="1"/>
    </row>
    <row r="592">
      <c r="A592" s="1"/>
      <c r="B592" s="1"/>
      <c r="C592" s="1"/>
      <c r="D592" s="1"/>
      <c r="E592" s="1"/>
      <c r="F592" s="1"/>
      <c r="G592" s="1"/>
      <c r="H592" s="1"/>
      <c r="I592" s="1"/>
      <c r="J592" s="1"/>
      <c r="K592" s="1"/>
    </row>
    <row r="593">
      <c r="A593" s="1"/>
      <c r="B593" s="1"/>
      <c r="C593" s="1"/>
      <c r="D593" s="1"/>
      <c r="E593" s="1"/>
      <c r="F593" s="1"/>
      <c r="G593" s="1"/>
      <c r="H593" s="1"/>
      <c r="I593" s="1"/>
      <c r="J593" s="1"/>
      <c r="K593" s="1"/>
    </row>
    <row r="594">
      <c r="A594" s="1"/>
      <c r="B594" s="1"/>
      <c r="C594" s="1"/>
      <c r="D594" s="1"/>
      <c r="E594" s="1"/>
      <c r="F594" s="1"/>
      <c r="G594" s="1"/>
      <c r="H594" s="1"/>
      <c r="I594" s="1"/>
      <c r="J594" s="1"/>
      <c r="K594" s="1"/>
    </row>
    <row r="595">
      <c r="A595" s="1"/>
      <c r="B595" s="1"/>
      <c r="C595" s="1"/>
      <c r="D595" s="1"/>
      <c r="E595" s="1"/>
      <c r="F595" s="1"/>
      <c r="G595" s="1"/>
      <c r="H595" s="1"/>
      <c r="I595" s="1"/>
      <c r="J595" s="1"/>
      <c r="K595" s="1"/>
    </row>
    <row r="596">
      <c r="A596" s="1"/>
      <c r="B596" s="1"/>
      <c r="C596" s="1"/>
      <c r="D596" s="1"/>
      <c r="E596" s="1"/>
      <c r="F596" s="1"/>
      <c r="G596" s="1"/>
      <c r="H596" s="1"/>
      <c r="I596" s="1"/>
      <c r="J596" s="1"/>
      <c r="K596" s="1"/>
    </row>
    <row r="597">
      <c r="A597" s="1"/>
      <c r="B597" s="1"/>
      <c r="C597" s="1"/>
      <c r="D597" s="1"/>
      <c r="E597" s="1"/>
      <c r="F597" s="1"/>
      <c r="G597" s="1"/>
      <c r="H597" s="1"/>
      <c r="I597" s="1"/>
      <c r="J597" s="1"/>
      <c r="K597" s="1"/>
    </row>
    <row r="598">
      <c r="A598" s="1"/>
      <c r="B598" s="1"/>
      <c r="C598" s="1"/>
      <c r="D598" s="1"/>
      <c r="E598" s="1"/>
      <c r="F598" s="1"/>
      <c r="G598" s="1"/>
      <c r="H598" s="1"/>
      <c r="I598" s="1"/>
      <c r="J598" s="1"/>
      <c r="K598" s="1"/>
    </row>
    <row r="599">
      <c r="A599" s="1"/>
      <c r="B599" s="1"/>
      <c r="C599" s="1"/>
      <c r="D599" s="1"/>
      <c r="E599" s="1"/>
      <c r="F599" s="1"/>
      <c r="G599" s="1"/>
      <c r="H599" s="1"/>
      <c r="I599" s="1"/>
      <c r="J599" s="1"/>
      <c r="K599" s="1"/>
    </row>
    <row r="600">
      <c r="A600" s="1"/>
      <c r="B600" s="1"/>
      <c r="C600" s="1"/>
      <c r="D600" s="1"/>
      <c r="E600" s="1"/>
      <c r="F600" s="1"/>
      <c r="G600" s="1"/>
      <c r="H600" s="1"/>
      <c r="I600" s="1"/>
      <c r="J600" s="1"/>
      <c r="K600" s="1"/>
    </row>
    <row r="601">
      <c r="A601" s="1"/>
      <c r="B601" s="1"/>
      <c r="C601" s="1"/>
      <c r="D601" s="1"/>
      <c r="E601" s="1"/>
      <c r="F601" s="1"/>
      <c r="G601" s="1"/>
      <c r="H601" s="1"/>
      <c r="I601" s="1"/>
      <c r="J601" s="1"/>
      <c r="K601" s="1"/>
    </row>
    <row r="602">
      <c r="A602" s="1"/>
      <c r="B602" s="1"/>
      <c r="C602" s="1"/>
      <c r="D602" s="1"/>
      <c r="E602" s="1"/>
      <c r="F602" s="1"/>
      <c r="G602" s="1"/>
      <c r="H602" s="1"/>
      <c r="I602" s="1"/>
      <c r="J602" s="1"/>
      <c r="K602" s="1"/>
    </row>
    <row r="603">
      <c r="A603" s="1"/>
      <c r="B603" s="1"/>
      <c r="C603" s="1"/>
      <c r="D603" s="1"/>
      <c r="E603" s="1"/>
      <c r="F603" s="1"/>
      <c r="G603" s="1"/>
      <c r="H603" s="1"/>
      <c r="I603" s="1"/>
      <c r="J603" s="1"/>
      <c r="K603" s="1"/>
    </row>
    <row r="604">
      <c r="A604" s="1"/>
      <c r="B604" s="1"/>
      <c r="C604" s="1"/>
      <c r="D604" s="1"/>
      <c r="E604" s="1"/>
      <c r="F604" s="1"/>
      <c r="G604" s="1"/>
      <c r="H604" s="1"/>
      <c r="I604" s="1"/>
      <c r="J604" s="1"/>
      <c r="K604" s="1"/>
    </row>
    <row r="605">
      <c r="A605" s="1"/>
      <c r="B605" s="1"/>
      <c r="C605" s="1"/>
      <c r="D605" s="1"/>
      <c r="E605" s="1"/>
      <c r="F605" s="1"/>
      <c r="G605" s="1"/>
      <c r="H605" s="1"/>
      <c r="I605" s="1"/>
      <c r="J605" s="1"/>
      <c r="K605" s="1"/>
    </row>
    <row r="606">
      <c r="A606" s="1"/>
      <c r="B606" s="1"/>
      <c r="C606" s="1"/>
      <c r="D606" s="1"/>
      <c r="E606" s="1"/>
      <c r="F606" s="1"/>
      <c r="G606" s="1"/>
      <c r="H606" s="1"/>
      <c r="I606" s="1"/>
      <c r="J606" s="1"/>
      <c r="K606" s="1"/>
    </row>
    <row r="607">
      <c r="A607" s="1"/>
      <c r="B607" s="1"/>
      <c r="C607" s="1"/>
      <c r="D607" s="1"/>
      <c r="E607" s="1"/>
      <c r="F607" s="1"/>
      <c r="G607" s="1"/>
      <c r="H607" s="1"/>
      <c r="I607" s="1"/>
      <c r="J607" s="1"/>
      <c r="K607" s="1"/>
    </row>
    <row r="608">
      <c r="A608" s="1"/>
      <c r="B608" s="1"/>
      <c r="C608" s="1"/>
      <c r="D608" s="1"/>
      <c r="E608" s="1"/>
      <c r="F608" s="1"/>
      <c r="G608" s="1"/>
      <c r="H608" s="1"/>
      <c r="I608" s="1"/>
      <c r="J608" s="1"/>
      <c r="K608" s="1"/>
    </row>
    <row r="609">
      <c r="A609" s="1"/>
      <c r="B609" s="1"/>
      <c r="C609" s="1"/>
      <c r="D609" s="1"/>
      <c r="E609" s="1"/>
      <c r="F609" s="1"/>
      <c r="G609" s="1"/>
      <c r="H609" s="1"/>
      <c r="I609" s="1"/>
      <c r="J609" s="1"/>
      <c r="K609" s="1"/>
    </row>
    <row r="610">
      <c r="A610" s="1"/>
      <c r="B610" s="1"/>
      <c r="C610" s="1"/>
      <c r="D610" s="1"/>
      <c r="E610" s="1"/>
      <c r="F610" s="1"/>
      <c r="G610" s="1"/>
      <c r="H610" s="1"/>
      <c r="I610" s="1"/>
      <c r="J610" s="1"/>
      <c r="K610" s="1"/>
    </row>
    <row r="611">
      <c r="A611" s="1"/>
      <c r="B611" s="1"/>
      <c r="C611" s="1"/>
      <c r="D611" s="1"/>
      <c r="E611" s="1"/>
      <c r="F611" s="1"/>
      <c r="G611" s="1"/>
      <c r="H611" s="1"/>
      <c r="I611" s="1"/>
      <c r="J611" s="1"/>
      <c r="K611" s="1"/>
    </row>
    <row r="612">
      <c r="A612" s="1"/>
      <c r="B612" s="1"/>
      <c r="C612" s="1"/>
      <c r="D612" s="1"/>
      <c r="E612" s="1"/>
      <c r="F612" s="1"/>
      <c r="G612" s="1"/>
      <c r="H612" s="1"/>
      <c r="I612" s="1"/>
      <c r="J612" s="1"/>
      <c r="K612" s="1"/>
    </row>
    <row r="613">
      <c r="A613" s="1"/>
      <c r="B613" s="1"/>
      <c r="C613" s="1"/>
      <c r="D613" s="1"/>
      <c r="E613" s="1"/>
      <c r="F613" s="1"/>
      <c r="G613" s="1"/>
      <c r="H613" s="1"/>
      <c r="I613" s="1"/>
      <c r="J613" s="1"/>
      <c r="K613" s="1"/>
    </row>
    <row r="614">
      <c r="A614" s="1"/>
      <c r="B614" s="1"/>
      <c r="C614" s="1"/>
      <c r="D614" s="1"/>
      <c r="E614" s="1"/>
      <c r="F614" s="1"/>
      <c r="G614" s="1"/>
      <c r="H614" s="1"/>
      <c r="I614" s="1"/>
      <c r="J614" s="1"/>
      <c r="K614" s="1"/>
    </row>
    <row r="615">
      <c r="A615" s="1"/>
      <c r="B615" s="1"/>
      <c r="C615" s="1"/>
      <c r="D615" s="1"/>
      <c r="E615" s="1"/>
      <c r="F615" s="1"/>
      <c r="G615" s="1"/>
      <c r="H615" s="1"/>
      <c r="I615" s="1"/>
      <c r="J615" s="1"/>
      <c r="K615" s="1"/>
    </row>
    <row r="616">
      <c r="A616" s="1"/>
      <c r="B616" s="1"/>
      <c r="C616" s="1"/>
      <c r="D616" s="1"/>
      <c r="E616" s="1"/>
      <c r="F616" s="1"/>
      <c r="G616" s="1"/>
      <c r="H616" s="1"/>
      <c r="I616" s="1"/>
      <c r="J616" s="1"/>
      <c r="K616" s="1"/>
    </row>
    <row r="617">
      <c r="A617" s="1"/>
      <c r="B617" s="1"/>
      <c r="C617" s="1"/>
      <c r="D617" s="1"/>
      <c r="E617" s="1"/>
      <c r="F617" s="1"/>
      <c r="G617" s="1"/>
      <c r="H617" s="1"/>
      <c r="I617" s="1"/>
      <c r="J617" s="1"/>
      <c r="K617" s="1"/>
    </row>
    <row r="618">
      <c r="A618" s="1"/>
      <c r="B618" s="1"/>
      <c r="C618" s="1"/>
      <c r="D618" s="1"/>
      <c r="E618" s="1"/>
      <c r="F618" s="1"/>
      <c r="G618" s="1"/>
      <c r="H618" s="1"/>
      <c r="I618" s="1"/>
      <c r="J618" s="1"/>
      <c r="K618" s="1"/>
    </row>
    <row r="619">
      <c r="A619" s="1"/>
      <c r="B619" s="1"/>
      <c r="C619" s="1"/>
      <c r="D619" s="1"/>
      <c r="E619" s="1"/>
      <c r="F619" s="1"/>
      <c r="G619" s="1"/>
      <c r="H619" s="1"/>
      <c r="I619" s="1"/>
      <c r="J619" s="1"/>
      <c r="K619" s="1"/>
    </row>
    <row r="620">
      <c r="A620" s="1"/>
      <c r="B620" s="1"/>
      <c r="C620" s="1"/>
      <c r="D620" s="1"/>
      <c r="E620" s="1"/>
      <c r="F620" s="1"/>
      <c r="G620" s="1"/>
      <c r="H620" s="1"/>
      <c r="I620" s="1"/>
      <c r="J620" s="1"/>
      <c r="K620" s="1"/>
    </row>
    <row r="621">
      <c r="A621" s="1"/>
      <c r="B621" s="1"/>
      <c r="C621" s="1"/>
      <c r="D621" s="1"/>
      <c r="E621" s="1"/>
      <c r="F621" s="1"/>
      <c r="G621" s="1"/>
      <c r="H621" s="1"/>
      <c r="I621" s="1"/>
      <c r="J621" s="1"/>
      <c r="K621" s="1"/>
    </row>
    <row r="622">
      <c r="A622" s="1"/>
      <c r="B622" s="1"/>
      <c r="C622" s="1"/>
      <c r="D622" s="1"/>
      <c r="E622" s="1"/>
      <c r="F622" s="1"/>
      <c r="G622" s="1"/>
      <c r="H622" s="1"/>
      <c r="I622" s="1"/>
      <c r="J622" s="1"/>
      <c r="K622" s="1"/>
    </row>
    <row r="623">
      <c r="A623" s="1"/>
      <c r="B623" s="1"/>
      <c r="C623" s="1"/>
      <c r="D623" s="1"/>
      <c r="E623" s="1"/>
      <c r="F623" s="1"/>
      <c r="G623" s="1"/>
      <c r="H623" s="1"/>
      <c r="I623" s="1"/>
      <c r="J623" s="1"/>
      <c r="K623" s="1"/>
    </row>
    <row r="624">
      <c r="A624" s="1"/>
      <c r="B624" s="1"/>
      <c r="C624" s="1"/>
      <c r="D624" s="1"/>
      <c r="E624" s="1"/>
      <c r="F624" s="1"/>
      <c r="G624" s="1"/>
      <c r="H624" s="1"/>
      <c r="I624" s="1"/>
      <c r="J624" s="1"/>
      <c r="K624" s="1"/>
    </row>
    <row r="625">
      <c r="A625" s="1"/>
      <c r="B625" s="1"/>
      <c r="C625" s="1"/>
      <c r="D625" s="1"/>
      <c r="E625" s="1"/>
      <c r="F625" s="1"/>
      <c r="G625" s="1"/>
      <c r="H625" s="1"/>
      <c r="I625" s="1"/>
      <c r="J625" s="1"/>
      <c r="K625" s="1"/>
    </row>
    <row r="626">
      <c r="A626" s="1"/>
      <c r="B626" s="1"/>
      <c r="C626" s="1"/>
      <c r="D626" s="1"/>
      <c r="E626" s="1"/>
      <c r="F626" s="1"/>
      <c r="G626" s="1"/>
      <c r="H626" s="1"/>
      <c r="I626" s="1"/>
      <c r="J626" s="1"/>
      <c r="K626" s="1"/>
    </row>
    <row r="627">
      <c r="A627" s="1"/>
      <c r="B627" s="1"/>
      <c r="C627" s="1"/>
      <c r="D627" s="1"/>
      <c r="E627" s="1"/>
      <c r="F627" s="1"/>
      <c r="G627" s="1"/>
      <c r="H627" s="1"/>
      <c r="I627" s="1"/>
      <c r="J627" s="1"/>
      <c r="K627" s="1"/>
    </row>
    <row r="628">
      <c r="A628" s="1"/>
      <c r="B628" s="1"/>
      <c r="C628" s="1"/>
      <c r="D628" s="1"/>
      <c r="E628" s="1"/>
      <c r="F628" s="1"/>
      <c r="G628" s="1"/>
      <c r="H628" s="1"/>
      <c r="I628" s="1"/>
      <c r="J628" s="1"/>
      <c r="K628" s="1"/>
    </row>
    <row r="629">
      <c r="A629" s="1"/>
      <c r="B629" s="1"/>
      <c r="C629" s="1"/>
      <c r="D629" s="1"/>
      <c r="E629" s="1"/>
      <c r="F629" s="1"/>
      <c r="G629" s="1"/>
      <c r="H629" s="1"/>
      <c r="I629" s="1"/>
      <c r="J629" s="1"/>
      <c r="K629" s="1"/>
    </row>
    <row r="630">
      <c r="A630" s="1"/>
      <c r="B630" s="1"/>
      <c r="C630" s="1"/>
      <c r="D630" s="1"/>
      <c r="E630" s="1"/>
      <c r="F630" s="1"/>
      <c r="G630" s="1"/>
      <c r="H630" s="1"/>
      <c r="I630" s="1"/>
      <c r="J630" s="1"/>
      <c r="K630" s="1"/>
    </row>
    <row r="631">
      <c r="A631" s="1"/>
      <c r="B631" s="1"/>
      <c r="C631" s="1"/>
      <c r="D631" s="1"/>
      <c r="E631" s="1"/>
      <c r="F631" s="1"/>
      <c r="G631" s="1"/>
      <c r="H631" s="1"/>
      <c r="I631" s="1"/>
      <c r="J631" s="1"/>
      <c r="K631" s="1"/>
    </row>
    <row r="632">
      <c r="A632" s="1"/>
      <c r="B632" s="1"/>
      <c r="C632" s="1"/>
      <c r="D632" s="1"/>
      <c r="E632" s="1"/>
      <c r="F632" s="1"/>
      <c r="G632" s="1"/>
      <c r="H632" s="1"/>
      <c r="I632" s="1"/>
      <c r="J632" s="1"/>
      <c r="K632" s="1"/>
    </row>
    <row r="633">
      <c r="A633" s="1"/>
      <c r="B633" s="1"/>
      <c r="C633" s="1"/>
      <c r="D633" s="1"/>
      <c r="E633" s="1"/>
      <c r="F633" s="1"/>
      <c r="G633" s="1"/>
      <c r="H633" s="1"/>
      <c r="I633" s="1"/>
      <c r="J633" s="1"/>
      <c r="K633" s="1"/>
    </row>
    <row r="634">
      <c r="A634" s="1"/>
      <c r="B634" s="1"/>
      <c r="C634" s="1"/>
      <c r="D634" s="1"/>
      <c r="E634" s="1"/>
      <c r="F634" s="1"/>
      <c r="G634" s="1"/>
      <c r="H634" s="1"/>
      <c r="I634" s="1"/>
      <c r="J634" s="1"/>
      <c r="K634" s="1"/>
    </row>
    <row r="635">
      <c r="A635" s="1"/>
      <c r="B635" s="1"/>
      <c r="C635" s="1"/>
      <c r="D635" s="1"/>
      <c r="E635" s="1"/>
      <c r="F635" s="1"/>
      <c r="G635" s="1"/>
      <c r="H635" s="1"/>
      <c r="I635" s="1"/>
      <c r="J635" s="1"/>
      <c r="K635" s="1"/>
    </row>
    <row r="636">
      <c r="A636" s="1"/>
      <c r="B636" s="1"/>
      <c r="C636" s="1"/>
      <c r="D636" s="1"/>
      <c r="E636" s="1"/>
      <c r="F636" s="1"/>
      <c r="G636" s="1"/>
      <c r="H636" s="1"/>
      <c r="I636" s="1"/>
      <c r="J636" s="1"/>
      <c r="K636" s="1"/>
    </row>
    <row r="637">
      <c r="A637" s="1"/>
      <c r="B637" s="1"/>
      <c r="C637" s="1"/>
      <c r="D637" s="1"/>
      <c r="E637" s="1"/>
      <c r="F637" s="1"/>
      <c r="G637" s="1"/>
      <c r="H637" s="1"/>
      <c r="I637" s="1"/>
      <c r="J637" s="1"/>
      <c r="K637" s="1"/>
    </row>
    <row r="638">
      <c r="A638" s="1"/>
      <c r="B638" s="1"/>
      <c r="C638" s="1"/>
      <c r="D638" s="1"/>
      <c r="E638" s="1"/>
      <c r="F638" s="1"/>
      <c r="G638" s="1"/>
      <c r="H638" s="1"/>
      <c r="I638" s="1"/>
      <c r="J638" s="1"/>
      <c r="K638" s="1"/>
    </row>
    <row r="639">
      <c r="A639" s="1"/>
      <c r="B639" s="1"/>
      <c r="C639" s="1"/>
      <c r="D639" s="1"/>
      <c r="E639" s="1"/>
      <c r="F639" s="1"/>
      <c r="G639" s="1"/>
      <c r="H639" s="1"/>
      <c r="I639" s="1"/>
      <c r="J639" s="1"/>
      <c r="K639" s="1"/>
    </row>
    <row r="640">
      <c r="A640" s="1"/>
      <c r="B640" s="1"/>
      <c r="C640" s="1"/>
      <c r="D640" s="1"/>
      <c r="E640" s="1"/>
      <c r="F640" s="1"/>
      <c r="G640" s="1"/>
      <c r="H640" s="1"/>
      <c r="I640" s="1"/>
      <c r="J640" s="1"/>
      <c r="K640" s="1"/>
    </row>
    <row r="641">
      <c r="A641" s="1"/>
      <c r="B641" s="1"/>
      <c r="C641" s="1"/>
      <c r="D641" s="1"/>
      <c r="E641" s="1"/>
      <c r="F641" s="1"/>
      <c r="G641" s="1"/>
      <c r="H641" s="1"/>
      <c r="I641" s="1"/>
      <c r="J641" s="1"/>
      <c r="K641" s="1"/>
    </row>
    <row r="642">
      <c r="A642" s="1"/>
      <c r="B642" s="1"/>
      <c r="C642" s="1"/>
      <c r="D642" s="1"/>
      <c r="E642" s="1"/>
      <c r="F642" s="1"/>
      <c r="G642" s="1"/>
      <c r="H642" s="1"/>
      <c r="I642" s="1"/>
      <c r="J642" s="1"/>
      <c r="K642" s="1"/>
    </row>
    <row r="643">
      <c r="A643" s="1"/>
      <c r="B643" s="1"/>
      <c r="C643" s="1"/>
      <c r="D643" s="1"/>
      <c r="E643" s="1"/>
      <c r="F643" s="1"/>
      <c r="G643" s="1"/>
      <c r="H643" s="1"/>
      <c r="I643" s="1"/>
      <c r="J643" s="1"/>
      <c r="K643" s="1"/>
    </row>
    <row r="644">
      <c r="A644" s="1"/>
      <c r="B644" s="1"/>
      <c r="C644" s="1"/>
      <c r="D644" s="1"/>
      <c r="E644" s="1"/>
      <c r="F644" s="1"/>
      <c r="G644" s="1"/>
      <c r="H644" s="1"/>
      <c r="I644" s="1"/>
      <c r="J644" s="1"/>
      <c r="K644" s="1"/>
    </row>
    <row r="645">
      <c r="A645" s="1"/>
      <c r="B645" s="1"/>
      <c r="C645" s="1"/>
      <c r="D645" s="1"/>
      <c r="E645" s="1"/>
      <c r="F645" s="1"/>
      <c r="G645" s="1"/>
      <c r="H645" s="1"/>
      <c r="I645" s="1"/>
      <c r="J645" s="1"/>
      <c r="K645" s="1"/>
    </row>
    <row r="646">
      <c r="A646" s="1"/>
      <c r="B646" s="1"/>
      <c r="C646" s="1"/>
      <c r="D646" s="1"/>
      <c r="E646" s="1"/>
      <c r="F646" s="1"/>
      <c r="G646" s="1"/>
      <c r="H646" s="1"/>
      <c r="I646" s="1"/>
      <c r="J646" s="1"/>
      <c r="K646" s="1"/>
    </row>
    <row r="647">
      <c r="A647" s="1"/>
      <c r="B647" s="1"/>
      <c r="C647" s="1"/>
      <c r="D647" s="1"/>
      <c r="E647" s="1"/>
      <c r="F647" s="1"/>
      <c r="G647" s="1"/>
      <c r="H647" s="1"/>
      <c r="I647" s="1"/>
      <c r="J647" s="1"/>
      <c r="K647" s="1"/>
    </row>
    <row r="648">
      <c r="A648" s="1"/>
      <c r="B648" s="1"/>
      <c r="C648" s="1"/>
      <c r="D648" s="1"/>
      <c r="E648" s="1"/>
      <c r="F648" s="1"/>
      <c r="G648" s="1"/>
      <c r="H648" s="1"/>
      <c r="I648" s="1"/>
      <c r="J648" s="1"/>
      <c r="K648" s="1"/>
    </row>
    <row r="649">
      <c r="A649" s="1"/>
      <c r="B649" s="1"/>
      <c r="C649" s="1"/>
      <c r="D649" s="1"/>
      <c r="E649" s="1"/>
      <c r="F649" s="1"/>
      <c r="G649" s="1"/>
      <c r="H649" s="1"/>
      <c r="I649" s="1"/>
      <c r="J649" s="1"/>
      <c r="K649" s="1"/>
    </row>
    <row r="650">
      <c r="A650" s="1"/>
      <c r="B650" s="1"/>
      <c r="C650" s="1"/>
      <c r="D650" s="1"/>
      <c r="E650" s="1"/>
      <c r="F650" s="1"/>
      <c r="G650" s="1"/>
      <c r="H650" s="1"/>
      <c r="I650" s="1"/>
      <c r="J650" s="1"/>
      <c r="K650" s="1"/>
    </row>
    <row r="651">
      <c r="A651" s="1"/>
      <c r="B651" s="1"/>
      <c r="C651" s="1"/>
      <c r="D651" s="1"/>
      <c r="E651" s="1"/>
      <c r="F651" s="1"/>
      <c r="G651" s="1"/>
      <c r="H651" s="1"/>
      <c r="I651" s="1"/>
      <c r="J651" s="1"/>
      <c r="K651" s="1"/>
    </row>
    <row r="652">
      <c r="A652" s="1"/>
      <c r="B652" s="1"/>
      <c r="C652" s="1"/>
      <c r="D652" s="1"/>
      <c r="E652" s="1"/>
      <c r="F652" s="1"/>
      <c r="G652" s="1"/>
      <c r="H652" s="1"/>
      <c r="I652" s="1"/>
      <c r="J652" s="1"/>
      <c r="K652" s="1"/>
    </row>
    <row r="653">
      <c r="A653" s="1"/>
      <c r="B653" s="1"/>
      <c r="C653" s="1"/>
      <c r="D653" s="1"/>
      <c r="E653" s="1"/>
      <c r="F653" s="1"/>
      <c r="G653" s="1"/>
      <c r="H653" s="1"/>
      <c r="I653" s="1"/>
      <c r="J653" s="1"/>
      <c r="K653" s="1"/>
    </row>
    <row r="654">
      <c r="A654" s="1"/>
      <c r="B654" s="1"/>
      <c r="C654" s="1"/>
      <c r="D654" s="1"/>
      <c r="E654" s="1"/>
      <c r="F654" s="1"/>
      <c r="G654" s="1"/>
      <c r="H654" s="1"/>
      <c r="I654" s="1"/>
      <c r="J654" s="1"/>
      <c r="K654" s="1"/>
    </row>
    <row r="655">
      <c r="A655" s="1"/>
      <c r="B655" s="1"/>
      <c r="C655" s="1"/>
      <c r="D655" s="1"/>
      <c r="E655" s="1"/>
      <c r="F655" s="1"/>
      <c r="G655" s="1"/>
      <c r="H655" s="1"/>
      <c r="I655" s="1"/>
      <c r="J655" s="1"/>
      <c r="K655" s="1"/>
    </row>
    <row r="656">
      <c r="A656" s="1"/>
      <c r="B656" s="1"/>
      <c r="C656" s="1"/>
      <c r="D656" s="1"/>
      <c r="E656" s="1"/>
      <c r="F656" s="1"/>
      <c r="G656" s="1"/>
      <c r="H656" s="1"/>
      <c r="I656" s="1"/>
      <c r="J656" s="1"/>
      <c r="K656" s="1"/>
    </row>
    <row r="657">
      <c r="A657" s="1"/>
      <c r="B657" s="1"/>
      <c r="C657" s="1"/>
      <c r="D657" s="1"/>
      <c r="E657" s="1"/>
      <c r="F657" s="1"/>
      <c r="G657" s="1"/>
      <c r="H657" s="1"/>
      <c r="I657" s="1"/>
      <c r="J657" s="1"/>
      <c r="K657" s="1"/>
    </row>
    <row r="658">
      <c r="A658" s="1"/>
      <c r="B658" s="1"/>
      <c r="C658" s="1"/>
      <c r="D658" s="1"/>
      <c r="E658" s="1"/>
      <c r="F658" s="1"/>
      <c r="G658" s="1"/>
      <c r="H658" s="1"/>
      <c r="I658" s="1"/>
      <c r="J658" s="1"/>
      <c r="K658" s="1"/>
    </row>
    <row r="659">
      <c r="A659" s="1"/>
      <c r="B659" s="1"/>
      <c r="C659" s="1"/>
      <c r="D659" s="1"/>
      <c r="E659" s="1"/>
      <c r="F659" s="1"/>
      <c r="G659" s="1"/>
      <c r="H659" s="1"/>
      <c r="I659" s="1"/>
      <c r="J659" s="1"/>
      <c r="K659" s="1"/>
    </row>
    <row r="660">
      <c r="A660" s="1"/>
      <c r="B660" s="1"/>
      <c r="C660" s="1"/>
      <c r="D660" s="1"/>
      <c r="E660" s="1"/>
      <c r="F660" s="1"/>
      <c r="G660" s="1"/>
      <c r="H660" s="1"/>
      <c r="I660" s="1"/>
      <c r="J660" s="1"/>
      <c r="K660" s="1"/>
    </row>
    <row r="661">
      <c r="A661" s="1"/>
      <c r="B661" s="1"/>
      <c r="C661" s="1"/>
      <c r="D661" s="1"/>
      <c r="E661" s="1"/>
      <c r="F661" s="1"/>
      <c r="G661" s="1"/>
      <c r="H661" s="1"/>
      <c r="I661" s="1"/>
      <c r="J661" s="1"/>
      <c r="K661" s="1"/>
    </row>
    <row r="662">
      <c r="A662" s="1"/>
      <c r="B662" s="1"/>
      <c r="C662" s="1"/>
      <c r="D662" s="1"/>
      <c r="E662" s="1"/>
      <c r="F662" s="1"/>
      <c r="G662" s="1"/>
      <c r="H662" s="1"/>
      <c r="I662" s="1"/>
      <c r="J662" s="1"/>
      <c r="K662" s="1"/>
    </row>
    <row r="663">
      <c r="A663" s="1"/>
      <c r="B663" s="1"/>
      <c r="C663" s="1"/>
      <c r="D663" s="1"/>
      <c r="E663" s="1"/>
      <c r="F663" s="1"/>
      <c r="G663" s="1"/>
      <c r="H663" s="1"/>
      <c r="I663" s="1"/>
      <c r="J663" s="1"/>
      <c r="K663" s="1"/>
    </row>
    <row r="664">
      <c r="A664" s="1"/>
      <c r="B664" s="1"/>
      <c r="C664" s="1"/>
      <c r="D664" s="1"/>
      <c r="E664" s="1"/>
      <c r="F664" s="1"/>
      <c r="G664" s="1"/>
      <c r="H664" s="1"/>
      <c r="I664" s="1"/>
      <c r="J664" s="1"/>
      <c r="K664" s="1"/>
    </row>
    <row r="665">
      <c r="A665" s="1"/>
      <c r="B665" s="1"/>
      <c r="C665" s="1"/>
      <c r="D665" s="1"/>
      <c r="E665" s="1"/>
      <c r="F665" s="1"/>
      <c r="G665" s="1"/>
      <c r="H665" s="1"/>
      <c r="I665" s="1"/>
      <c r="J665" s="1"/>
      <c r="K665" s="1"/>
    </row>
    <row r="666">
      <c r="A666" s="1"/>
      <c r="B666" s="1"/>
      <c r="C666" s="1"/>
      <c r="D666" s="1"/>
      <c r="E666" s="1"/>
      <c r="F666" s="1"/>
      <c r="G666" s="1"/>
      <c r="H666" s="1"/>
      <c r="I666" s="1"/>
      <c r="J666" s="1"/>
      <c r="K666" s="1"/>
    </row>
    <row r="667">
      <c r="A667" s="1"/>
      <c r="B667" s="1"/>
      <c r="C667" s="1"/>
      <c r="D667" s="1"/>
      <c r="E667" s="1"/>
      <c r="F667" s="1"/>
      <c r="G667" s="1"/>
      <c r="H667" s="1"/>
      <c r="I667" s="1"/>
      <c r="J667" s="1"/>
      <c r="K667" s="1"/>
    </row>
    <row r="668">
      <c r="A668" s="1"/>
      <c r="B668" s="1"/>
      <c r="C668" s="1"/>
      <c r="D668" s="1"/>
      <c r="E668" s="1"/>
      <c r="F668" s="1"/>
      <c r="G668" s="1"/>
      <c r="H668" s="1"/>
      <c r="I668" s="1"/>
      <c r="J668" s="1"/>
      <c r="K668" s="1"/>
    </row>
    <row r="669">
      <c r="A669" s="1"/>
      <c r="B669" s="1"/>
      <c r="C669" s="1"/>
      <c r="D669" s="1"/>
      <c r="E669" s="1"/>
      <c r="F669" s="1"/>
      <c r="G669" s="1"/>
      <c r="H669" s="1"/>
      <c r="I669" s="1"/>
      <c r="J669" s="1"/>
      <c r="K669" s="1"/>
    </row>
    <row r="670">
      <c r="A670" s="1"/>
      <c r="B670" s="1"/>
      <c r="C670" s="1"/>
      <c r="D670" s="1"/>
      <c r="E670" s="1"/>
      <c r="F670" s="1"/>
      <c r="G670" s="1"/>
      <c r="H670" s="1"/>
      <c r="I670" s="1"/>
      <c r="J670" s="1"/>
      <c r="K670" s="1"/>
    </row>
    <row r="671">
      <c r="A671" s="1"/>
      <c r="B671" s="1"/>
      <c r="C671" s="1"/>
      <c r="D671" s="1"/>
      <c r="E671" s="1"/>
      <c r="F671" s="1"/>
      <c r="G671" s="1"/>
      <c r="H671" s="1"/>
      <c r="I671" s="1"/>
      <c r="J671" s="1"/>
      <c r="K671" s="1"/>
    </row>
    <row r="672">
      <c r="A672" s="1"/>
      <c r="B672" s="1"/>
      <c r="C672" s="1"/>
      <c r="D672" s="1"/>
      <c r="E672" s="1"/>
      <c r="F672" s="1"/>
      <c r="G672" s="1"/>
      <c r="H672" s="1"/>
      <c r="I672" s="1"/>
      <c r="J672" s="1"/>
      <c r="K672" s="1"/>
    </row>
    <row r="673">
      <c r="A673" s="1"/>
      <c r="B673" s="1"/>
      <c r="C673" s="1"/>
      <c r="D673" s="1"/>
      <c r="E673" s="1"/>
      <c r="F673" s="1"/>
      <c r="G673" s="1"/>
      <c r="H673" s="1"/>
      <c r="I673" s="1"/>
      <c r="J673" s="1"/>
      <c r="K673" s="1"/>
    </row>
    <row r="674">
      <c r="A674" s="1"/>
      <c r="B674" s="1"/>
      <c r="C674" s="1"/>
      <c r="D674" s="1"/>
      <c r="E674" s="1"/>
      <c r="F674" s="1"/>
      <c r="G674" s="1"/>
      <c r="H674" s="1"/>
      <c r="I674" s="1"/>
      <c r="J674" s="1"/>
      <c r="K674" s="1"/>
    </row>
    <row r="675">
      <c r="A675" s="1"/>
      <c r="B675" s="1"/>
      <c r="C675" s="1"/>
      <c r="D675" s="1"/>
      <c r="E675" s="1"/>
      <c r="F675" s="1"/>
      <c r="G675" s="1"/>
      <c r="H675" s="1"/>
      <c r="I675" s="1"/>
      <c r="J675" s="1"/>
      <c r="K675" s="1"/>
    </row>
    <row r="676">
      <c r="A676" s="1"/>
      <c r="B676" s="1"/>
      <c r="C676" s="1"/>
      <c r="D676" s="1"/>
      <c r="E676" s="1"/>
      <c r="F676" s="1"/>
      <c r="G676" s="1"/>
      <c r="H676" s="1"/>
      <c r="I676" s="1"/>
      <c r="J676" s="1"/>
      <c r="K676" s="1"/>
    </row>
    <row r="677">
      <c r="A677" s="1"/>
      <c r="B677" s="1"/>
      <c r="C677" s="1"/>
      <c r="D677" s="1"/>
      <c r="E677" s="1"/>
      <c r="F677" s="1"/>
      <c r="G677" s="1"/>
      <c r="H677" s="1"/>
      <c r="I677" s="1"/>
      <c r="J677" s="1"/>
      <c r="K677" s="1"/>
    </row>
    <row r="678">
      <c r="A678" s="1"/>
      <c r="B678" s="1"/>
      <c r="C678" s="1"/>
      <c r="D678" s="1"/>
      <c r="E678" s="1"/>
      <c r="F678" s="1"/>
      <c r="G678" s="1"/>
      <c r="H678" s="1"/>
      <c r="I678" s="1"/>
      <c r="J678" s="1"/>
      <c r="K678" s="1"/>
    </row>
    <row r="679">
      <c r="A679" s="1"/>
      <c r="B679" s="1"/>
      <c r="C679" s="1"/>
      <c r="D679" s="1"/>
      <c r="E679" s="1"/>
      <c r="F679" s="1"/>
      <c r="G679" s="1"/>
      <c r="H679" s="1"/>
      <c r="I679" s="1"/>
      <c r="J679" s="1"/>
      <c r="K679" s="1"/>
    </row>
    <row r="680">
      <c r="A680" s="1"/>
      <c r="B680" s="1"/>
      <c r="C680" s="1"/>
      <c r="D680" s="1"/>
      <c r="E680" s="1"/>
      <c r="F680" s="1"/>
      <c r="G680" s="1"/>
      <c r="H680" s="1"/>
      <c r="I680" s="1"/>
      <c r="J680" s="1"/>
      <c r="K680" s="1"/>
    </row>
    <row r="681">
      <c r="A681" s="1"/>
      <c r="B681" s="1"/>
      <c r="C681" s="1"/>
      <c r="D681" s="1"/>
      <c r="E681" s="1"/>
      <c r="F681" s="1"/>
      <c r="G681" s="1"/>
      <c r="H681" s="1"/>
      <c r="I681" s="1"/>
      <c r="J681" s="1"/>
      <c r="K681" s="1"/>
    </row>
    <row r="682">
      <c r="A682" s="1"/>
      <c r="B682" s="1"/>
      <c r="C682" s="1"/>
      <c r="D682" s="1"/>
      <c r="E682" s="1"/>
      <c r="F682" s="1"/>
      <c r="G682" s="1"/>
      <c r="H682" s="1"/>
      <c r="I682" s="1"/>
      <c r="J682" s="1"/>
      <c r="K682" s="1"/>
    </row>
    <row r="683">
      <c r="A683" s="1"/>
      <c r="B683" s="1"/>
      <c r="C683" s="1"/>
      <c r="D683" s="1"/>
      <c r="E683" s="1"/>
      <c r="F683" s="1"/>
      <c r="G683" s="1"/>
      <c r="H683" s="1"/>
      <c r="I683" s="1"/>
      <c r="J683" s="1"/>
      <c r="K683" s="1"/>
    </row>
    <row r="684">
      <c r="A684" s="1"/>
      <c r="B684" s="1"/>
      <c r="C684" s="1"/>
      <c r="D684" s="1"/>
      <c r="E684" s="1"/>
      <c r="F684" s="1"/>
      <c r="G684" s="1"/>
      <c r="H684" s="1"/>
      <c r="I684" s="1"/>
      <c r="J684" s="1"/>
      <c r="K684" s="1"/>
    </row>
    <row r="685">
      <c r="A685" s="1"/>
      <c r="B685" s="1"/>
      <c r="C685" s="1"/>
      <c r="D685" s="1"/>
      <c r="E685" s="1"/>
      <c r="F685" s="1"/>
      <c r="G685" s="1"/>
      <c r="H685" s="1"/>
      <c r="I685" s="1"/>
      <c r="J685" s="1"/>
      <c r="K685" s="1"/>
    </row>
    <row r="686">
      <c r="A686" s="1"/>
      <c r="B686" s="1"/>
      <c r="C686" s="1"/>
      <c r="D686" s="1"/>
      <c r="E686" s="1"/>
      <c r="F686" s="1"/>
      <c r="G686" s="1"/>
      <c r="H686" s="1"/>
      <c r="I686" s="1"/>
      <c r="J686" s="1"/>
      <c r="K686" s="1"/>
    </row>
    <row r="687">
      <c r="A687" s="1"/>
      <c r="B687" s="1"/>
      <c r="C687" s="1"/>
      <c r="D687" s="1"/>
      <c r="E687" s="1"/>
      <c r="F687" s="1"/>
      <c r="G687" s="1"/>
      <c r="H687" s="1"/>
      <c r="I687" s="1"/>
      <c r="J687" s="1"/>
      <c r="K687" s="1"/>
    </row>
    <row r="688">
      <c r="A688" s="1"/>
      <c r="B688" s="1"/>
      <c r="C688" s="1"/>
      <c r="D688" s="1"/>
      <c r="E688" s="1"/>
      <c r="F688" s="1"/>
      <c r="G688" s="1"/>
      <c r="H688" s="1"/>
      <c r="I688" s="1"/>
      <c r="J688" s="1"/>
      <c r="K688" s="1"/>
    </row>
    <row r="689">
      <c r="A689" s="1"/>
      <c r="B689" s="1"/>
      <c r="C689" s="1"/>
      <c r="D689" s="1"/>
      <c r="E689" s="1"/>
      <c r="F689" s="1"/>
      <c r="G689" s="1"/>
      <c r="H689" s="1"/>
      <c r="I689" s="1"/>
      <c r="J689" s="1"/>
      <c r="K689" s="1"/>
    </row>
    <row r="690">
      <c r="A690" s="1"/>
      <c r="B690" s="1"/>
      <c r="C690" s="1"/>
      <c r="D690" s="1"/>
      <c r="E690" s="1"/>
      <c r="F690" s="1"/>
      <c r="G690" s="1"/>
      <c r="H690" s="1"/>
      <c r="I690" s="1"/>
      <c r="J690" s="1"/>
      <c r="K690" s="1"/>
    </row>
    <row r="691">
      <c r="A691" s="1"/>
      <c r="B691" s="1"/>
      <c r="C691" s="1"/>
      <c r="D691" s="1"/>
      <c r="E691" s="1"/>
      <c r="F691" s="1"/>
      <c r="G691" s="1"/>
      <c r="H691" s="1"/>
      <c r="I691" s="1"/>
      <c r="J691" s="1"/>
      <c r="K691" s="1"/>
    </row>
    <row r="692">
      <c r="A692" s="1"/>
      <c r="B692" s="1"/>
      <c r="C692" s="1"/>
      <c r="D692" s="1"/>
      <c r="E692" s="1"/>
      <c r="F692" s="1"/>
      <c r="G692" s="1"/>
      <c r="H692" s="1"/>
      <c r="I692" s="1"/>
      <c r="J692" s="1"/>
      <c r="K692" s="1"/>
    </row>
    <row r="693">
      <c r="A693" s="1"/>
      <c r="B693" s="1"/>
      <c r="C693" s="1"/>
      <c r="D693" s="1"/>
      <c r="E693" s="1"/>
      <c r="F693" s="1"/>
      <c r="G693" s="1"/>
      <c r="H693" s="1"/>
      <c r="I693" s="1"/>
      <c r="J693" s="1"/>
      <c r="K693" s="1"/>
    </row>
    <row r="694">
      <c r="A694" s="1"/>
      <c r="B694" s="1"/>
      <c r="C694" s="1"/>
      <c r="D694" s="1"/>
      <c r="E694" s="1"/>
      <c r="F694" s="1"/>
      <c r="G694" s="1"/>
      <c r="H694" s="1"/>
      <c r="I694" s="1"/>
      <c r="J694" s="1"/>
      <c r="K694" s="1"/>
    </row>
    <row r="695">
      <c r="A695" s="1"/>
      <c r="B695" s="1"/>
      <c r="C695" s="1"/>
      <c r="D695" s="1"/>
      <c r="E695" s="1"/>
      <c r="F695" s="1"/>
      <c r="G695" s="1"/>
      <c r="H695" s="1"/>
      <c r="I695" s="1"/>
      <c r="J695" s="1"/>
      <c r="K695" s="1"/>
    </row>
    <row r="696">
      <c r="A696" s="1"/>
      <c r="B696" s="1"/>
      <c r="C696" s="1"/>
      <c r="D696" s="1"/>
      <c r="E696" s="1"/>
      <c r="F696" s="1"/>
      <c r="G696" s="1"/>
      <c r="H696" s="1"/>
      <c r="I696" s="1"/>
      <c r="J696" s="1"/>
      <c r="K696" s="1"/>
    </row>
    <row r="697">
      <c r="A697" s="1"/>
      <c r="B697" s="1"/>
      <c r="C697" s="1"/>
      <c r="D697" s="1"/>
      <c r="E697" s="1"/>
      <c r="F697" s="1"/>
      <c r="G697" s="1"/>
      <c r="H697" s="1"/>
      <c r="I697" s="1"/>
      <c r="J697" s="1"/>
      <c r="K697" s="1"/>
    </row>
    <row r="698">
      <c r="A698" s="1"/>
      <c r="B698" s="1"/>
      <c r="C698" s="1"/>
      <c r="D698" s="1"/>
      <c r="E698" s="1"/>
      <c r="F698" s="1"/>
      <c r="G698" s="1"/>
      <c r="H698" s="1"/>
      <c r="I698" s="1"/>
      <c r="J698" s="1"/>
      <c r="K698" s="1"/>
    </row>
    <row r="699">
      <c r="A699" s="1"/>
      <c r="B699" s="1"/>
      <c r="C699" s="1"/>
      <c r="D699" s="1"/>
      <c r="E699" s="1"/>
      <c r="F699" s="1"/>
      <c r="G699" s="1"/>
      <c r="H699" s="1"/>
      <c r="I699" s="1"/>
      <c r="J699" s="1"/>
      <c r="K699" s="1"/>
    </row>
    <row r="700">
      <c r="A700" s="1"/>
      <c r="B700" s="1"/>
      <c r="C700" s="1"/>
      <c r="D700" s="1"/>
      <c r="E700" s="1"/>
      <c r="F700" s="1"/>
      <c r="G700" s="1"/>
      <c r="H700" s="1"/>
      <c r="I700" s="1"/>
      <c r="J700" s="1"/>
      <c r="K700" s="1"/>
    </row>
    <row r="701">
      <c r="A701" s="1"/>
      <c r="B701" s="1"/>
      <c r="C701" s="1"/>
      <c r="D701" s="1"/>
      <c r="E701" s="1"/>
      <c r="F701" s="1"/>
      <c r="G701" s="1"/>
      <c r="H701" s="1"/>
      <c r="I701" s="1"/>
      <c r="J701" s="1"/>
      <c r="K701" s="1"/>
    </row>
    <row r="702">
      <c r="A702" s="1"/>
      <c r="B702" s="1"/>
      <c r="C702" s="1"/>
      <c r="D702" s="1"/>
      <c r="E702" s="1"/>
      <c r="F702" s="1"/>
      <c r="G702" s="1"/>
      <c r="H702" s="1"/>
      <c r="I702" s="1"/>
      <c r="J702" s="1"/>
      <c r="K702" s="1"/>
    </row>
    <row r="703">
      <c r="A703" s="1"/>
      <c r="B703" s="1"/>
      <c r="C703" s="1"/>
      <c r="D703" s="1"/>
      <c r="E703" s="1"/>
      <c r="F703" s="1"/>
      <c r="G703" s="1"/>
      <c r="H703" s="1"/>
      <c r="I703" s="1"/>
      <c r="J703" s="1"/>
      <c r="K703" s="1"/>
    </row>
    <row r="704">
      <c r="A704" s="1"/>
      <c r="B704" s="1"/>
      <c r="C704" s="1"/>
      <c r="D704" s="1"/>
      <c r="E704" s="1"/>
      <c r="F704" s="1"/>
      <c r="G704" s="1"/>
      <c r="H704" s="1"/>
      <c r="I704" s="1"/>
      <c r="J704" s="1"/>
      <c r="K704" s="1"/>
    </row>
    <row r="705">
      <c r="A705" s="1"/>
      <c r="B705" s="1"/>
      <c r="C705" s="1"/>
      <c r="D705" s="1"/>
      <c r="E705" s="1"/>
      <c r="F705" s="1"/>
      <c r="G705" s="1"/>
      <c r="H705" s="1"/>
      <c r="I705" s="1"/>
      <c r="J705" s="1"/>
      <c r="K705" s="1"/>
    </row>
    <row r="706">
      <c r="A706" s="1"/>
      <c r="B706" s="1"/>
      <c r="C706" s="1"/>
      <c r="D706" s="1"/>
      <c r="E706" s="1"/>
      <c r="F706" s="1"/>
      <c r="G706" s="1"/>
      <c r="H706" s="1"/>
      <c r="I706" s="1"/>
      <c r="J706" s="1"/>
      <c r="K706" s="1"/>
    </row>
    <row r="707">
      <c r="A707" s="1"/>
      <c r="B707" s="1"/>
      <c r="C707" s="1"/>
      <c r="D707" s="1"/>
      <c r="E707" s="1"/>
      <c r="F707" s="1"/>
      <c r="G707" s="1"/>
      <c r="H707" s="1"/>
      <c r="I707" s="1"/>
      <c r="J707" s="1"/>
      <c r="K707" s="1"/>
    </row>
    <row r="708">
      <c r="A708" s="1"/>
      <c r="B708" s="1"/>
      <c r="C708" s="1"/>
      <c r="D708" s="1"/>
      <c r="E708" s="1"/>
      <c r="F708" s="1"/>
      <c r="G708" s="1"/>
      <c r="H708" s="1"/>
      <c r="I708" s="1"/>
      <c r="J708" s="1"/>
      <c r="K708" s="1"/>
    </row>
    <row r="709">
      <c r="A709" s="1"/>
      <c r="B709" s="1"/>
      <c r="C709" s="1"/>
      <c r="D709" s="1"/>
      <c r="E709" s="1"/>
      <c r="F709" s="1"/>
      <c r="G709" s="1"/>
      <c r="H709" s="1"/>
      <c r="I709" s="1"/>
      <c r="J709" s="1"/>
      <c r="K709" s="1"/>
    </row>
    <row r="710">
      <c r="A710" s="1"/>
      <c r="B710" s="1"/>
      <c r="C710" s="1"/>
      <c r="D710" s="1"/>
      <c r="E710" s="1"/>
      <c r="F710" s="1"/>
      <c r="G710" s="1"/>
      <c r="H710" s="1"/>
      <c r="I710" s="1"/>
      <c r="J710" s="1"/>
      <c r="K710" s="1"/>
    </row>
    <row r="711">
      <c r="A711" s="1"/>
      <c r="B711" s="1"/>
      <c r="C711" s="1"/>
      <c r="D711" s="1"/>
      <c r="E711" s="1"/>
      <c r="F711" s="1"/>
      <c r="G711" s="1"/>
      <c r="H711" s="1"/>
      <c r="I711" s="1"/>
      <c r="J711" s="1"/>
      <c r="K711" s="1"/>
    </row>
    <row r="712">
      <c r="A712" s="1"/>
      <c r="B712" s="1"/>
      <c r="C712" s="1"/>
      <c r="D712" s="1"/>
      <c r="E712" s="1"/>
      <c r="F712" s="1"/>
      <c r="G712" s="1"/>
      <c r="H712" s="1"/>
      <c r="I712" s="1"/>
      <c r="J712" s="1"/>
      <c r="K712" s="1"/>
    </row>
    <row r="713">
      <c r="A713" s="1"/>
      <c r="B713" s="1"/>
      <c r="C713" s="1"/>
      <c r="D713" s="1"/>
      <c r="E713" s="1"/>
      <c r="F713" s="1"/>
      <c r="G713" s="1"/>
      <c r="H713" s="1"/>
      <c r="I713" s="1"/>
      <c r="J713" s="1"/>
      <c r="K713" s="1"/>
    </row>
    <row r="714">
      <c r="A714" s="1"/>
      <c r="B714" s="1"/>
      <c r="C714" s="1"/>
      <c r="D714" s="1"/>
      <c r="E714" s="1"/>
      <c r="F714" s="1"/>
      <c r="G714" s="1"/>
      <c r="H714" s="1"/>
      <c r="I714" s="1"/>
      <c r="J714" s="1"/>
      <c r="K714" s="1"/>
    </row>
    <row r="715">
      <c r="A715" s="1"/>
      <c r="B715" s="1"/>
      <c r="C715" s="1"/>
      <c r="D715" s="1"/>
      <c r="E715" s="1"/>
      <c r="F715" s="1"/>
      <c r="G715" s="1"/>
      <c r="H715" s="1"/>
      <c r="I715" s="1"/>
      <c r="J715" s="1"/>
      <c r="K715" s="1"/>
    </row>
    <row r="716">
      <c r="A716" s="1"/>
      <c r="B716" s="1"/>
      <c r="C716" s="1"/>
      <c r="D716" s="1"/>
      <c r="E716" s="1"/>
      <c r="F716" s="1"/>
      <c r="G716" s="1"/>
      <c r="H716" s="1"/>
      <c r="I716" s="1"/>
      <c r="J716" s="1"/>
      <c r="K716" s="1"/>
    </row>
    <row r="717">
      <c r="A717" s="1"/>
      <c r="B717" s="1"/>
      <c r="C717" s="1"/>
      <c r="D717" s="1"/>
      <c r="E717" s="1"/>
      <c r="F717" s="1"/>
      <c r="G717" s="1"/>
      <c r="H717" s="1"/>
      <c r="I717" s="1"/>
      <c r="J717" s="1"/>
      <c r="K717" s="1"/>
    </row>
    <row r="718">
      <c r="A718" s="1"/>
      <c r="B718" s="1"/>
      <c r="C718" s="1"/>
      <c r="D718" s="1"/>
      <c r="E718" s="1"/>
      <c r="F718" s="1"/>
      <c r="G718" s="1"/>
      <c r="H718" s="1"/>
      <c r="I718" s="1"/>
      <c r="J718" s="1"/>
      <c r="K718" s="1"/>
    </row>
    <row r="719">
      <c r="A719" s="1"/>
      <c r="B719" s="1"/>
      <c r="C719" s="1"/>
      <c r="D719" s="1"/>
      <c r="E719" s="1"/>
      <c r="F719" s="1"/>
      <c r="G719" s="1"/>
      <c r="H719" s="1"/>
      <c r="I719" s="1"/>
      <c r="J719" s="1"/>
      <c r="K719" s="1"/>
    </row>
    <row r="720">
      <c r="A720" s="1"/>
      <c r="B720" s="1"/>
      <c r="C720" s="1"/>
      <c r="D720" s="1"/>
      <c r="E720" s="1"/>
      <c r="F720" s="1"/>
      <c r="G720" s="1"/>
      <c r="H720" s="1"/>
      <c r="I720" s="1"/>
      <c r="J720" s="1"/>
      <c r="K720" s="1"/>
    </row>
    <row r="721">
      <c r="A721" s="1"/>
      <c r="B721" s="1"/>
      <c r="C721" s="1"/>
      <c r="D721" s="1"/>
      <c r="E721" s="1"/>
      <c r="F721" s="1"/>
      <c r="G721" s="1"/>
      <c r="H721" s="1"/>
      <c r="I721" s="1"/>
      <c r="J721" s="1"/>
      <c r="K721" s="1"/>
    </row>
    <row r="722">
      <c r="A722" s="1"/>
      <c r="B722" s="1"/>
      <c r="C722" s="1"/>
      <c r="D722" s="1"/>
      <c r="E722" s="1"/>
      <c r="F722" s="1"/>
      <c r="G722" s="1"/>
      <c r="H722" s="1"/>
      <c r="I722" s="1"/>
      <c r="J722" s="1"/>
      <c r="K722" s="1"/>
    </row>
    <row r="723">
      <c r="A723" s="1"/>
      <c r="B723" s="1"/>
      <c r="C723" s="1"/>
      <c r="D723" s="1"/>
      <c r="E723" s="1"/>
      <c r="F723" s="1"/>
      <c r="G723" s="1"/>
      <c r="H723" s="1"/>
      <c r="I723" s="1"/>
      <c r="J723" s="1"/>
      <c r="K723" s="1"/>
    </row>
    <row r="724">
      <c r="A724" s="1"/>
      <c r="B724" s="1"/>
      <c r="C724" s="1"/>
      <c r="D724" s="1"/>
      <c r="E724" s="1"/>
      <c r="F724" s="1"/>
      <c r="G724" s="1"/>
      <c r="H724" s="1"/>
      <c r="I724" s="1"/>
      <c r="J724" s="1"/>
      <c r="K724" s="1"/>
    </row>
    <row r="725">
      <c r="A725" s="1"/>
      <c r="B725" s="1"/>
      <c r="C725" s="1"/>
      <c r="D725" s="1"/>
      <c r="E725" s="1"/>
      <c r="F725" s="1"/>
      <c r="G725" s="1"/>
      <c r="H725" s="1"/>
      <c r="I725" s="1"/>
      <c r="J725" s="1"/>
      <c r="K725" s="1"/>
    </row>
    <row r="726">
      <c r="A726" s="1"/>
      <c r="B726" s="1"/>
      <c r="C726" s="1"/>
      <c r="D726" s="1"/>
      <c r="E726" s="1"/>
      <c r="F726" s="1"/>
      <c r="G726" s="1"/>
      <c r="H726" s="1"/>
      <c r="I726" s="1"/>
      <c r="J726" s="1"/>
      <c r="K726" s="1"/>
    </row>
    <row r="727">
      <c r="A727" s="1"/>
      <c r="B727" s="1"/>
      <c r="C727" s="1"/>
      <c r="D727" s="1"/>
      <c r="E727" s="1"/>
      <c r="F727" s="1"/>
      <c r="G727" s="1"/>
      <c r="H727" s="1"/>
      <c r="I727" s="1"/>
      <c r="J727" s="1"/>
      <c r="K727" s="1"/>
    </row>
    <row r="728">
      <c r="A728" s="1"/>
      <c r="B728" s="1"/>
      <c r="C728" s="1"/>
      <c r="D728" s="1"/>
      <c r="E728" s="1"/>
      <c r="F728" s="1"/>
      <c r="G728" s="1"/>
      <c r="H728" s="1"/>
      <c r="I728" s="1"/>
      <c r="J728" s="1"/>
      <c r="K728" s="1"/>
    </row>
    <row r="729">
      <c r="A729" s="1"/>
      <c r="B729" s="1"/>
      <c r="C729" s="1"/>
      <c r="D729" s="1"/>
      <c r="E729" s="1"/>
      <c r="F729" s="1"/>
      <c r="G729" s="1"/>
      <c r="H729" s="1"/>
      <c r="I729" s="1"/>
      <c r="J729" s="1"/>
      <c r="K729" s="1"/>
    </row>
    <row r="730">
      <c r="A730" s="1"/>
      <c r="B730" s="1"/>
      <c r="C730" s="1"/>
      <c r="D730" s="1"/>
      <c r="E730" s="1"/>
      <c r="F730" s="1"/>
      <c r="G730" s="1"/>
      <c r="H730" s="1"/>
      <c r="I730" s="1"/>
      <c r="J730" s="1"/>
      <c r="K730" s="1"/>
    </row>
    <row r="731">
      <c r="A731" s="1"/>
      <c r="B731" s="1"/>
      <c r="C731" s="1"/>
      <c r="D731" s="1"/>
      <c r="E731" s="1"/>
      <c r="F731" s="1"/>
      <c r="G731" s="1"/>
      <c r="H731" s="1"/>
      <c r="I731" s="1"/>
      <c r="J731" s="1"/>
      <c r="K731" s="1"/>
    </row>
    <row r="732">
      <c r="A732" s="1"/>
      <c r="B732" s="1"/>
      <c r="C732" s="1"/>
      <c r="D732" s="1"/>
      <c r="E732" s="1"/>
      <c r="F732" s="1"/>
      <c r="G732" s="1"/>
      <c r="H732" s="1"/>
      <c r="I732" s="1"/>
      <c r="J732" s="1"/>
      <c r="K732" s="1"/>
    </row>
    <row r="733">
      <c r="A733" s="1"/>
      <c r="B733" s="1"/>
      <c r="C733" s="1"/>
      <c r="D733" s="1"/>
      <c r="E733" s="1"/>
      <c r="F733" s="1"/>
      <c r="G733" s="1"/>
      <c r="H733" s="1"/>
      <c r="I733" s="1"/>
      <c r="J733" s="1"/>
      <c r="K733" s="1"/>
    </row>
    <row r="734">
      <c r="A734" s="1"/>
      <c r="B734" s="1"/>
      <c r="C734" s="1"/>
      <c r="D734" s="1"/>
      <c r="E734" s="1"/>
      <c r="F734" s="1"/>
      <c r="G734" s="1"/>
      <c r="H734" s="1"/>
      <c r="I734" s="1"/>
      <c r="J734" s="1"/>
      <c r="K734" s="1"/>
    </row>
    <row r="735">
      <c r="A735" s="1"/>
      <c r="B735" s="1"/>
      <c r="C735" s="1"/>
      <c r="D735" s="1"/>
      <c r="E735" s="1"/>
      <c r="F735" s="1"/>
      <c r="G735" s="1"/>
      <c r="H735" s="1"/>
      <c r="I735" s="1"/>
      <c r="J735" s="1"/>
      <c r="K735" s="1"/>
    </row>
    <row r="736">
      <c r="A736" s="1"/>
      <c r="B736" s="1"/>
      <c r="C736" s="1"/>
      <c r="D736" s="1"/>
      <c r="E736" s="1"/>
      <c r="F736" s="1"/>
      <c r="G736" s="1"/>
      <c r="H736" s="1"/>
      <c r="I736" s="1"/>
      <c r="J736" s="1"/>
      <c r="K736" s="1"/>
    </row>
    <row r="737">
      <c r="A737" s="1"/>
      <c r="B737" s="1"/>
      <c r="C737" s="1"/>
      <c r="D737" s="1"/>
      <c r="E737" s="1"/>
      <c r="F737" s="1"/>
      <c r="G737" s="1"/>
      <c r="H737" s="1"/>
      <c r="I737" s="1"/>
      <c r="J737" s="1"/>
      <c r="K737" s="1"/>
    </row>
    <row r="738">
      <c r="A738" s="1"/>
      <c r="B738" s="1"/>
      <c r="C738" s="1"/>
      <c r="D738" s="1"/>
      <c r="E738" s="1"/>
      <c r="F738" s="1"/>
      <c r="G738" s="1"/>
      <c r="H738" s="1"/>
      <c r="I738" s="1"/>
      <c r="J738" s="1"/>
      <c r="K738" s="1"/>
    </row>
    <row r="739">
      <c r="A739" s="1"/>
      <c r="B739" s="1"/>
      <c r="C739" s="1"/>
      <c r="D739" s="1"/>
      <c r="E739" s="1"/>
      <c r="F739" s="1"/>
      <c r="G739" s="1"/>
      <c r="H739" s="1"/>
      <c r="I739" s="1"/>
      <c r="J739" s="1"/>
      <c r="K739" s="1"/>
    </row>
    <row r="740">
      <c r="A740" s="1"/>
      <c r="B740" s="1"/>
      <c r="C740" s="1"/>
      <c r="D740" s="1"/>
      <c r="E740" s="1"/>
      <c r="F740" s="1"/>
      <c r="G740" s="1"/>
      <c r="H740" s="1"/>
      <c r="I740" s="1"/>
      <c r="J740" s="1"/>
      <c r="K740" s="1"/>
    </row>
    <row r="741">
      <c r="A741" s="1"/>
      <c r="B741" s="1"/>
      <c r="C741" s="1"/>
      <c r="D741" s="1"/>
      <c r="E741" s="1"/>
      <c r="F741" s="1"/>
      <c r="G741" s="1"/>
      <c r="H741" s="1"/>
      <c r="I741" s="1"/>
      <c r="J741" s="1"/>
      <c r="K741" s="1"/>
    </row>
    <row r="742">
      <c r="A742" s="1"/>
      <c r="B742" s="1"/>
      <c r="C742" s="1"/>
      <c r="D742" s="1"/>
      <c r="E742" s="1"/>
      <c r="F742" s="1"/>
      <c r="G742" s="1"/>
      <c r="H742" s="1"/>
      <c r="I742" s="1"/>
      <c r="J742" s="1"/>
      <c r="K742" s="1"/>
    </row>
    <row r="743">
      <c r="A743" s="1"/>
      <c r="B743" s="1"/>
      <c r="C743" s="1"/>
      <c r="D743" s="1"/>
      <c r="E743" s="1"/>
      <c r="F743" s="1"/>
      <c r="G743" s="1"/>
      <c r="H743" s="1"/>
      <c r="I743" s="1"/>
      <c r="J743" s="1"/>
      <c r="K743" s="1"/>
    </row>
    <row r="744">
      <c r="A744" s="1"/>
      <c r="B744" s="1"/>
      <c r="C744" s="1"/>
      <c r="D744" s="1"/>
      <c r="E744" s="1"/>
      <c r="F744" s="1"/>
      <c r="G744" s="1"/>
      <c r="H744" s="1"/>
      <c r="I744" s="1"/>
      <c r="J744" s="1"/>
      <c r="K744" s="1"/>
    </row>
    <row r="745">
      <c r="A745" s="1"/>
      <c r="B745" s="1"/>
      <c r="C745" s="1"/>
      <c r="D745" s="1"/>
      <c r="E745" s="1"/>
      <c r="F745" s="1"/>
      <c r="G745" s="1"/>
      <c r="H745" s="1"/>
      <c r="I745" s="1"/>
      <c r="J745" s="1"/>
      <c r="K745" s="1"/>
    </row>
    <row r="746">
      <c r="A746" s="1"/>
      <c r="B746" s="1"/>
      <c r="C746" s="1"/>
      <c r="D746" s="1"/>
      <c r="E746" s="1"/>
      <c r="F746" s="1"/>
      <c r="G746" s="1"/>
      <c r="H746" s="1"/>
      <c r="I746" s="1"/>
      <c r="J746" s="1"/>
      <c r="K746" s="1"/>
    </row>
    <row r="747">
      <c r="A747" s="1"/>
      <c r="B747" s="1"/>
      <c r="C747" s="1"/>
      <c r="D747" s="1"/>
      <c r="E747" s="1"/>
      <c r="F747" s="1"/>
      <c r="G747" s="1"/>
      <c r="H747" s="1"/>
      <c r="I747" s="1"/>
      <c r="J747" s="1"/>
      <c r="K747" s="1"/>
    </row>
    <row r="748">
      <c r="A748" s="1"/>
      <c r="B748" s="1"/>
      <c r="C748" s="1"/>
      <c r="D748" s="1"/>
      <c r="E748" s="1"/>
      <c r="F748" s="1"/>
      <c r="G748" s="1"/>
      <c r="H748" s="1"/>
      <c r="I748" s="1"/>
      <c r="J748" s="1"/>
      <c r="K748" s="1"/>
    </row>
    <row r="749">
      <c r="A749" s="1"/>
      <c r="B749" s="1"/>
      <c r="C749" s="1"/>
      <c r="D749" s="1"/>
      <c r="E749" s="1"/>
      <c r="F749" s="1"/>
      <c r="G749" s="1"/>
      <c r="H749" s="1"/>
      <c r="I749" s="1"/>
      <c r="J749" s="1"/>
      <c r="K749" s="1"/>
    </row>
    <row r="750">
      <c r="A750" s="1"/>
      <c r="B750" s="1"/>
      <c r="C750" s="1"/>
      <c r="D750" s="1"/>
      <c r="E750" s="1"/>
      <c r="F750" s="1"/>
      <c r="G750" s="1"/>
      <c r="H750" s="1"/>
      <c r="I750" s="1"/>
      <c r="J750" s="1"/>
      <c r="K750" s="1"/>
    </row>
    <row r="751">
      <c r="A751" s="1"/>
      <c r="B751" s="1"/>
      <c r="C751" s="1"/>
      <c r="D751" s="1"/>
      <c r="E751" s="1"/>
      <c r="F751" s="1"/>
      <c r="G751" s="1"/>
      <c r="H751" s="1"/>
      <c r="I751" s="1"/>
      <c r="J751" s="1"/>
      <c r="K751" s="1"/>
    </row>
    <row r="752">
      <c r="A752" s="1"/>
      <c r="B752" s="1"/>
      <c r="C752" s="1"/>
      <c r="D752" s="1"/>
      <c r="E752" s="1"/>
      <c r="F752" s="1"/>
      <c r="G752" s="1"/>
      <c r="H752" s="1"/>
      <c r="I752" s="1"/>
      <c r="J752" s="1"/>
      <c r="K752" s="1"/>
    </row>
    <row r="753">
      <c r="A753" s="1"/>
      <c r="B753" s="1"/>
      <c r="C753" s="1"/>
      <c r="D753" s="1"/>
      <c r="E753" s="1"/>
      <c r="F753" s="1"/>
      <c r="G753" s="1"/>
      <c r="H753" s="1"/>
      <c r="I753" s="1"/>
      <c r="J753" s="1"/>
      <c r="K753" s="1"/>
    </row>
    <row r="754">
      <c r="A754" s="1"/>
      <c r="B754" s="1"/>
      <c r="C754" s="1"/>
      <c r="D754" s="1"/>
      <c r="E754" s="1"/>
      <c r="F754" s="1"/>
      <c r="G754" s="1"/>
      <c r="H754" s="1"/>
      <c r="I754" s="1"/>
      <c r="J754" s="1"/>
      <c r="K754" s="1"/>
    </row>
    <row r="755">
      <c r="A755" s="1"/>
      <c r="B755" s="1"/>
      <c r="C755" s="1"/>
      <c r="D755" s="1"/>
      <c r="E755" s="1"/>
      <c r="F755" s="1"/>
      <c r="G755" s="1"/>
      <c r="H755" s="1"/>
      <c r="I755" s="1"/>
      <c r="J755" s="1"/>
      <c r="K755" s="1"/>
    </row>
    <row r="756">
      <c r="A756" s="1"/>
      <c r="B756" s="1"/>
      <c r="C756" s="1"/>
      <c r="D756" s="1"/>
      <c r="E756" s="1"/>
      <c r="F756" s="1"/>
      <c r="G756" s="1"/>
      <c r="H756" s="1"/>
      <c r="I756" s="1"/>
      <c r="J756" s="1"/>
      <c r="K756" s="1"/>
    </row>
    <row r="757">
      <c r="A757" s="1"/>
      <c r="B757" s="1"/>
      <c r="C757" s="1"/>
      <c r="D757" s="1"/>
      <c r="E757" s="1"/>
      <c r="F757" s="1"/>
      <c r="G757" s="1"/>
      <c r="H757" s="1"/>
      <c r="I757" s="1"/>
      <c r="J757" s="1"/>
      <c r="K757" s="1"/>
    </row>
    <row r="758">
      <c r="A758" s="1"/>
      <c r="B758" s="1"/>
      <c r="C758" s="1"/>
      <c r="D758" s="1"/>
      <c r="E758" s="1"/>
      <c r="F758" s="1"/>
      <c r="G758" s="1"/>
      <c r="H758" s="1"/>
      <c r="I758" s="1"/>
      <c r="J758" s="1"/>
      <c r="K758" s="1"/>
    </row>
    <row r="759">
      <c r="A759" s="1"/>
      <c r="B759" s="1"/>
      <c r="C759" s="1"/>
      <c r="D759" s="1"/>
      <c r="E759" s="1"/>
      <c r="F759" s="1"/>
      <c r="G759" s="1"/>
      <c r="H759" s="1"/>
      <c r="I759" s="1"/>
      <c r="J759" s="1"/>
      <c r="K759" s="1"/>
    </row>
    <row r="760">
      <c r="A760" s="1"/>
      <c r="B760" s="1"/>
      <c r="C760" s="1"/>
      <c r="D760" s="1"/>
      <c r="E760" s="1"/>
      <c r="F760" s="1"/>
      <c r="G760" s="1"/>
      <c r="H760" s="1"/>
      <c r="I760" s="1"/>
      <c r="J760" s="1"/>
      <c r="K760" s="1"/>
    </row>
    <row r="761">
      <c r="A761" s="1"/>
      <c r="B761" s="1"/>
      <c r="C761" s="1"/>
      <c r="D761" s="1"/>
      <c r="E761" s="1"/>
      <c r="F761" s="1"/>
      <c r="G761" s="1"/>
      <c r="H761" s="1"/>
      <c r="I761" s="1"/>
      <c r="J761" s="1"/>
      <c r="K761" s="1"/>
    </row>
    <row r="762">
      <c r="A762" s="1"/>
      <c r="B762" s="1"/>
      <c r="C762" s="1"/>
      <c r="D762" s="1"/>
      <c r="E762" s="1"/>
      <c r="F762" s="1"/>
      <c r="G762" s="1"/>
      <c r="H762" s="1"/>
      <c r="I762" s="1"/>
      <c r="J762" s="1"/>
      <c r="K762" s="1"/>
    </row>
    <row r="763">
      <c r="A763" s="1"/>
      <c r="B763" s="1"/>
      <c r="C763" s="1"/>
      <c r="D763" s="1"/>
      <c r="E763" s="1"/>
      <c r="F763" s="1"/>
      <c r="G763" s="1"/>
      <c r="H763" s="1"/>
      <c r="I763" s="1"/>
      <c r="J763" s="1"/>
      <c r="K763" s="1"/>
    </row>
    <row r="764">
      <c r="A764" s="1"/>
      <c r="B764" s="1"/>
      <c r="C764" s="1"/>
      <c r="D764" s="1"/>
      <c r="E764" s="1"/>
      <c r="F764" s="1"/>
      <c r="G764" s="1"/>
      <c r="H764" s="1"/>
      <c r="I764" s="1"/>
      <c r="J764" s="1"/>
      <c r="K764" s="1"/>
    </row>
    <row r="765">
      <c r="A765" s="1"/>
      <c r="B765" s="1"/>
      <c r="C765" s="1"/>
      <c r="D765" s="1"/>
      <c r="E765" s="1"/>
      <c r="F765" s="1"/>
      <c r="G765" s="1"/>
      <c r="H765" s="1"/>
      <c r="I765" s="1"/>
      <c r="J765" s="1"/>
      <c r="K765" s="1"/>
    </row>
    <row r="766">
      <c r="A766" s="1"/>
      <c r="B766" s="1"/>
      <c r="C766" s="1"/>
      <c r="D766" s="1"/>
      <c r="E766" s="1"/>
      <c r="F766" s="1"/>
      <c r="G766" s="1"/>
      <c r="H766" s="1"/>
      <c r="I766" s="1"/>
      <c r="J766" s="1"/>
      <c r="K766" s="1"/>
    </row>
    <row r="767">
      <c r="A767" s="1"/>
      <c r="B767" s="1"/>
      <c r="C767" s="1"/>
      <c r="D767" s="1"/>
      <c r="E767" s="1"/>
      <c r="F767" s="1"/>
      <c r="G767" s="1"/>
      <c r="H767" s="1"/>
      <c r="I767" s="1"/>
      <c r="J767" s="1"/>
      <c r="K767" s="1"/>
    </row>
    <row r="768">
      <c r="A768" s="1"/>
      <c r="B768" s="1"/>
      <c r="C768" s="1"/>
      <c r="D768" s="1"/>
      <c r="E768" s="1"/>
      <c r="F768" s="1"/>
      <c r="G768" s="1"/>
      <c r="H768" s="1"/>
      <c r="I768" s="1"/>
      <c r="J768" s="1"/>
      <c r="K768" s="1"/>
    </row>
    <row r="769">
      <c r="A769" s="1"/>
      <c r="B769" s="1"/>
      <c r="C769" s="1"/>
      <c r="D769" s="1"/>
      <c r="E769" s="1"/>
      <c r="F769" s="1"/>
      <c r="G769" s="1"/>
      <c r="H769" s="1"/>
      <c r="I769" s="1"/>
      <c r="J769" s="1"/>
      <c r="K769" s="1"/>
    </row>
    <row r="770">
      <c r="A770" s="1"/>
      <c r="B770" s="1"/>
      <c r="C770" s="1"/>
      <c r="D770" s="1"/>
      <c r="E770" s="1"/>
      <c r="F770" s="1"/>
      <c r="G770" s="1"/>
      <c r="H770" s="1"/>
      <c r="I770" s="1"/>
      <c r="J770" s="1"/>
      <c r="K770" s="1"/>
    </row>
    <row r="771">
      <c r="A771" s="1"/>
      <c r="B771" s="1"/>
      <c r="C771" s="1"/>
      <c r="D771" s="1"/>
      <c r="E771" s="1"/>
      <c r="F771" s="1"/>
      <c r="G771" s="1"/>
      <c r="H771" s="1"/>
      <c r="I771" s="1"/>
      <c r="J771" s="1"/>
      <c r="K771" s="1"/>
    </row>
    <row r="772">
      <c r="A772" s="1"/>
      <c r="B772" s="1"/>
      <c r="C772" s="1"/>
      <c r="D772" s="1"/>
      <c r="E772" s="1"/>
      <c r="F772" s="1"/>
      <c r="G772" s="1"/>
      <c r="H772" s="1"/>
      <c r="I772" s="1"/>
      <c r="J772" s="1"/>
      <c r="K772" s="1"/>
    </row>
    <row r="773">
      <c r="A773" s="1"/>
      <c r="B773" s="1"/>
      <c r="C773" s="1"/>
      <c r="D773" s="1"/>
      <c r="E773" s="1"/>
      <c r="F773" s="1"/>
      <c r="G773" s="1"/>
      <c r="H773" s="1"/>
      <c r="I773" s="1"/>
      <c r="J773" s="1"/>
      <c r="K773" s="1"/>
    </row>
    <row r="774">
      <c r="A774" s="1"/>
      <c r="B774" s="1"/>
      <c r="C774" s="1"/>
      <c r="D774" s="1"/>
      <c r="E774" s="1"/>
      <c r="F774" s="1"/>
      <c r="G774" s="1"/>
      <c r="H774" s="1"/>
      <c r="I774" s="1"/>
      <c r="J774" s="1"/>
      <c r="K774" s="1"/>
    </row>
    <row r="775">
      <c r="A775" s="1"/>
      <c r="B775" s="1"/>
      <c r="C775" s="1"/>
      <c r="D775" s="1"/>
      <c r="E775" s="1"/>
      <c r="F775" s="1"/>
      <c r="G775" s="1"/>
      <c r="H775" s="1"/>
      <c r="I775" s="1"/>
      <c r="J775" s="1"/>
      <c r="K775" s="1"/>
    </row>
    <row r="776">
      <c r="A776" s="1"/>
      <c r="B776" s="1"/>
      <c r="C776" s="1"/>
      <c r="D776" s="1"/>
      <c r="E776" s="1"/>
      <c r="F776" s="1"/>
      <c r="G776" s="1"/>
      <c r="H776" s="1"/>
      <c r="I776" s="1"/>
      <c r="J776" s="1"/>
      <c r="K776" s="1"/>
    </row>
    <row r="777">
      <c r="A777" s="1"/>
      <c r="B777" s="1"/>
      <c r="C777" s="1"/>
      <c r="D777" s="1"/>
      <c r="E777" s="1"/>
      <c r="F777" s="1"/>
      <c r="G777" s="1"/>
      <c r="H777" s="1"/>
      <c r="I777" s="1"/>
      <c r="J777" s="1"/>
      <c r="K777" s="1"/>
    </row>
    <row r="778">
      <c r="A778" s="1"/>
      <c r="B778" s="1"/>
      <c r="C778" s="1"/>
      <c r="D778" s="1"/>
      <c r="E778" s="1"/>
      <c r="F778" s="1"/>
      <c r="G778" s="1"/>
      <c r="H778" s="1"/>
      <c r="I778" s="1"/>
      <c r="J778" s="1"/>
      <c r="K778" s="1"/>
    </row>
    <row r="779">
      <c r="A779" s="1"/>
      <c r="B779" s="1"/>
      <c r="C779" s="1"/>
      <c r="D779" s="1"/>
      <c r="E779" s="1"/>
      <c r="F779" s="1"/>
      <c r="G779" s="1"/>
      <c r="H779" s="1"/>
      <c r="I779" s="1"/>
      <c r="J779" s="1"/>
      <c r="K779" s="1"/>
    </row>
    <row r="780">
      <c r="A780" s="1"/>
      <c r="B780" s="1"/>
      <c r="C780" s="1"/>
      <c r="D780" s="1"/>
      <c r="E780" s="1"/>
      <c r="F780" s="1"/>
      <c r="G780" s="1"/>
      <c r="H780" s="1"/>
      <c r="I780" s="1"/>
      <c r="J780" s="1"/>
      <c r="K780" s="1"/>
    </row>
    <row r="781">
      <c r="A781" s="1"/>
      <c r="B781" s="1"/>
      <c r="C781" s="1"/>
      <c r="D781" s="1"/>
      <c r="E781" s="1"/>
      <c r="F781" s="1"/>
      <c r="G781" s="1"/>
      <c r="H781" s="1"/>
      <c r="I781" s="1"/>
      <c r="J781" s="1"/>
      <c r="K781" s="1"/>
    </row>
    <row r="782">
      <c r="A782" s="1"/>
      <c r="B782" s="1"/>
      <c r="C782" s="1"/>
      <c r="D782" s="1"/>
      <c r="E782" s="1"/>
      <c r="F782" s="1"/>
      <c r="G782" s="1"/>
      <c r="H782" s="1"/>
      <c r="I782" s="1"/>
      <c r="J782" s="1"/>
      <c r="K782" s="1"/>
    </row>
    <row r="783">
      <c r="A783" s="1"/>
      <c r="B783" s="1"/>
      <c r="C783" s="1"/>
      <c r="D783" s="1"/>
      <c r="E783" s="1"/>
      <c r="F783" s="1"/>
      <c r="G783" s="1"/>
      <c r="H783" s="1"/>
      <c r="I783" s="1"/>
      <c r="J783" s="1"/>
      <c r="K783" s="1"/>
    </row>
    <row r="784">
      <c r="A784" s="1"/>
      <c r="B784" s="1"/>
      <c r="C784" s="1"/>
      <c r="D784" s="1"/>
      <c r="E784" s="1"/>
      <c r="F784" s="1"/>
      <c r="G784" s="1"/>
      <c r="H784" s="1"/>
      <c r="I784" s="1"/>
      <c r="J784" s="1"/>
      <c r="K784" s="1"/>
    </row>
    <row r="785">
      <c r="A785" s="1"/>
      <c r="B785" s="1"/>
      <c r="C785" s="1"/>
      <c r="D785" s="1"/>
      <c r="E785" s="1"/>
      <c r="F785" s="1"/>
      <c r="G785" s="1"/>
      <c r="H785" s="1"/>
      <c r="I785" s="1"/>
      <c r="J785" s="1"/>
      <c r="K785" s="1"/>
    </row>
    <row r="786">
      <c r="A786" s="1"/>
      <c r="B786" s="1"/>
      <c r="C786" s="1"/>
      <c r="D786" s="1"/>
      <c r="E786" s="1"/>
      <c r="F786" s="1"/>
      <c r="G786" s="1"/>
      <c r="H786" s="1"/>
      <c r="I786" s="1"/>
      <c r="J786" s="1"/>
      <c r="K786" s="1"/>
    </row>
    <row r="787">
      <c r="A787" s="1"/>
      <c r="B787" s="1"/>
      <c r="C787" s="1"/>
      <c r="D787" s="1"/>
      <c r="E787" s="1"/>
      <c r="F787" s="1"/>
      <c r="G787" s="1"/>
      <c r="H787" s="1"/>
      <c r="I787" s="1"/>
      <c r="J787" s="1"/>
      <c r="K787" s="1"/>
    </row>
    <row r="788">
      <c r="A788" s="1"/>
      <c r="B788" s="1"/>
      <c r="C788" s="1"/>
      <c r="D788" s="1"/>
      <c r="E788" s="1"/>
      <c r="F788" s="1"/>
      <c r="G788" s="1"/>
      <c r="H788" s="1"/>
      <c r="I788" s="1"/>
      <c r="J788" s="1"/>
      <c r="K788" s="1"/>
    </row>
    <row r="789">
      <c r="A789" s="1"/>
      <c r="B789" s="1"/>
      <c r="C789" s="1"/>
      <c r="D789" s="1"/>
      <c r="E789" s="1"/>
      <c r="F789" s="1"/>
      <c r="G789" s="1"/>
      <c r="H789" s="1"/>
      <c r="I789" s="1"/>
      <c r="J789" s="1"/>
      <c r="K789" s="1"/>
    </row>
    <row r="790">
      <c r="A790" s="1"/>
      <c r="B790" s="1"/>
      <c r="C790" s="1"/>
      <c r="D790" s="1"/>
      <c r="E790" s="1"/>
      <c r="F790" s="1"/>
      <c r="G790" s="1"/>
      <c r="H790" s="1"/>
      <c r="I790" s="1"/>
      <c r="J790" s="1"/>
      <c r="K790" s="1"/>
    </row>
    <row r="791">
      <c r="A791" s="1"/>
      <c r="B791" s="1"/>
      <c r="C791" s="1"/>
      <c r="D791" s="1"/>
      <c r="E791" s="1"/>
      <c r="F791" s="1"/>
      <c r="G791" s="1"/>
      <c r="H791" s="1"/>
      <c r="I791" s="1"/>
      <c r="J791" s="1"/>
      <c r="K791" s="1"/>
    </row>
    <row r="792">
      <c r="A792" s="1"/>
      <c r="B792" s="1"/>
      <c r="C792" s="1"/>
      <c r="D792" s="1"/>
      <c r="E792" s="1"/>
      <c r="F792" s="1"/>
      <c r="G792" s="1"/>
      <c r="H792" s="1"/>
      <c r="I792" s="1"/>
      <c r="J792" s="1"/>
      <c r="K792" s="1"/>
    </row>
    <row r="793">
      <c r="A793" s="1"/>
      <c r="B793" s="1"/>
      <c r="C793" s="1"/>
      <c r="D793" s="1"/>
      <c r="E793" s="1"/>
      <c r="F793" s="1"/>
      <c r="G793" s="1"/>
      <c r="H793" s="1"/>
      <c r="I793" s="1"/>
      <c r="J793" s="1"/>
      <c r="K793" s="1"/>
    </row>
    <row r="794">
      <c r="A794" s="1"/>
      <c r="B794" s="1"/>
      <c r="C794" s="1"/>
      <c r="D794" s="1"/>
      <c r="E794" s="1"/>
      <c r="F794" s="1"/>
      <c r="G794" s="1"/>
      <c r="H794" s="1"/>
      <c r="I794" s="1"/>
      <c r="J794" s="1"/>
      <c r="K794" s="1"/>
    </row>
    <row r="795">
      <c r="A795" s="1"/>
      <c r="B795" s="1"/>
      <c r="C795" s="1"/>
      <c r="D795" s="1"/>
      <c r="E795" s="1"/>
      <c r="F795" s="1"/>
      <c r="G795" s="1"/>
      <c r="H795" s="1"/>
      <c r="I795" s="1"/>
      <c r="J795" s="1"/>
      <c r="K795" s="1"/>
    </row>
    <row r="796">
      <c r="A796" s="1"/>
      <c r="B796" s="1"/>
      <c r="C796" s="1"/>
      <c r="D796" s="1"/>
      <c r="E796" s="1"/>
      <c r="F796" s="1"/>
      <c r="G796" s="1"/>
      <c r="H796" s="1"/>
      <c r="I796" s="1"/>
      <c r="J796" s="1"/>
      <c r="K796" s="1"/>
    </row>
    <row r="797">
      <c r="A797" s="1"/>
      <c r="B797" s="1"/>
      <c r="C797" s="1"/>
      <c r="D797" s="1"/>
      <c r="E797" s="1"/>
      <c r="F797" s="1"/>
      <c r="G797" s="1"/>
      <c r="H797" s="1"/>
      <c r="I797" s="1"/>
      <c r="J797" s="1"/>
      <c r="K797" s="1"/>
    </row>
    <row r="798">
      <c r="A798" s="1"/>
      <c r="B798" s="1"/>
      <c r="C798" s="1"/>
      <c r="D798" s="1"/>
      <c r="E798" s="1"/>
      <c r="F798" s="1"/>
      <c r="G798" s="1"/>
      <c r="H798" s="1"/>
      <c r="I798" s="1"/>
      <c r="J798" s="1"/>
      <c r="K798" s="1"/>
    </row>
    <row r="799">
      <c r="A799" s="1"/>
      <c r="B799" s="1"/>
      <c r="C799" s="1"/>
      <c r="D799" s="1"/>
      <c r="E799" s="1"/>
      <c r="F799" s="1"/>
      <c r="G799" s="1"/>
      <c r="H799" s="1"/>
      <c r="I799" s="1"/>
      <c r="J799" s="1"/>
      <c r="K799" s="1"/>
    </row>
    <row r="800">
      <c r="A800" s="1"/>
      <c r="B800" s="1"/>
      <c r="C800" s="1"/>
      <c r="D800" s="1"/>
      <c r="E800" s="1"/>
      <c r="F800" s="1"/>
      <c r="G800" s="1"/>
      <c r="H800" s="1"/>
      <c r="I800" s="1"/>
      <c r="J800" s="1"/>
      <c r="K800" s="1"/>
    </row>
    <row r="801">
      <c r="A801" s="1"/>
      <c r="B801" s="1"/>
      <c r="C801" s="1"/>
      <c r="D801" s="1"/>
      <c r="E801" s="1"/>
      <c r="F801" s="1"/>
      <c r="G801" s="1"/>
      <c r="H801" s="1"/>
      <c r="I801" s="1"/>
      <c r="J801" s="1"/>
      <c r="K801" s="1"/>
    </row>
    <row r="802">
      <c r="A802" s="1"/>
      <c r="B802" s="1"/>
      <c r="C802" s="1"/>
      <c r="D802" s="1"/>
      <c r="E802" s="1"/>
      <c r="F802" s="1"/>
      <c r="G802" s="1"/>
      <c r="H802" s="1"/>
      <c r="I802" s="1"/>
      <c r="J802" s="1"/>
      <c r="K802" s="1"/>
    </row>
    <row r="803">
      <c r="A803" s="1"/>
      <c r="B803" s="1"/>
      <c r="C803" s="1"/>
      <c r="D803" s="1"/>
      <c r="E803" s="1"/>
      <c r="F803" s="1"/>
      <c r="G803" s="1"/>
      <c r="H803" s="1"/>
      <c r="I803" s="1"/>
      <c r="J803" s="1"/>
      <c r="K803" s="1"/>
    </row>
    <row r="804">
      <c r="A804" s="1"/>
      <c r="B804" s="1"/>
      <c r="C804" s="1"/>
      <c r="D804" s="1"/>
      <c r="E804" s="1"/>
      <c r="F804" s="1"/>
      <c r="G804" s="1"/>
      <c r="H804" s="1"/>
      <c r="I804" s="1"/>
      <c r="J804" s="1"/>
      <c r="K804" s="1"/>
    </row>
    <row r="805">
      <c r="A805" s="1"/>
      <c r="B805" s="1"/>
      <c r="C805" s="1"/>
      <c r="D805" s="1"/>
      <c r="E805" s="1"/>
      <c r="F805" s="1"/>
      <c r="G805" s="1"/>
      <c r="H805" s="1"/>
      <c r="I805" s="1"/>
      <c r="J805" s="1"/>
      <c r="K805" s="1"/>
    </row>
    <row r="806">
      <c r="A806" s="1"/>
      <c r="B806" s="1"/>
      <c r="C806" s="1"/>
      <c r="D806" s="1"/>
      <c r="E806" s="1"/>
      <c r="F806" s="1"/>
      <c r="G806" s="1"/>
      <c r="H806" s="1"/>
      <c r="I806" s="1"/>
      <c r="J806" s="1"/>
      <c r="K806" s="1"/>
    </row>
    <row r="807">
      <c r="A807" s="1"/>
      <c r="B807" s="1"/>
      <c r="C807" s="1"/>
      <c r="D807" s="1"/>
      <c r="E807" s="1"/>
      <c r="F807" s="1"/>
      <c r="G807" s="1"/>
      <c r="H807" s="1"/>
      <c r="I807" s="1"/>
      <c r="J807" s="1"/>
      <c r="K807" s="1"/>
    </row>
    <row r="808">
      <c r="A808" s="1"/>
      <c r="B808" s="1"/>
      <c r="C808" s="1"/>
      <c r="D808" s="1"/>
      <c r="E808" s="1"/>
      <c r="F808" s="1"/>
      <c r="G808" s="1"/>
      <c r="H808" s="1"/>
      <c r="I808" s="1"/>
      <c r="J808" s="1"/>
      <c r="K808" s="1"/>
    </row>
    <row r="809">
      <c r="A809" s="1"/>
      <c r="B809" s="1"/>
      <c r="C809" s="1"/>
      <c r="D809" s="1"/>
      <c r="E809" s="1"/>
      <c r="F809" s="1"/>
      <c r="G809" s="1"/>
      <c r="H809" s="1"/>
      <c r="I809" s="1"/>
      <c r="J809" s="1"/>
      <c r="K809" s="1"/>
    </row>
    <row r="810">
      <c r="A810" s="1"/>
      <c r="B810" s="1"/>
      <c r="C810" s="1"/>
      <c r="D810" s="1"/>
      <c r="E810" s="1"/>
      <c r="F810" s="1"/>
      <c r="G810" s="1"/>
      <c r="H810" s="1"/>
      <c r="I810" s="1"/>
      <c r="J810" s="1"/>
      <c r="K810" s="1"/>
    </row>
    <row r="811">
      <c r="A811" s="1"/>
      <c r="B811" s="1"/>
      <c r="C811" s="1"/>
      <c r="D811" s="1"/>
      <c r="E811" s="1"/>
      <c r="F811" s="1"/>
      <c r="G811" s="1"/>
      <c r="H811" s="1"/>
      <c r="I811" s="1"/>
      <c r="J811" s="1"/>
      <c r="K811" s="1"/>
    </row>
    <row r="812">
      <c r="A812" s="1"/>
      <c r="B812" s="1"/>
      <c r="C812" s="1"/>
      <c r="D812" s="1"/>
      <c r="E812" s="1"/>
      <c r="F812" s="1"/>
      <c r="G812" s="1"/>
      <c r="H812" s="1"/>
      <c r="I812" s="1"/>
      <c r="J812" s="1"/>
      <c r="K812" s="1"/>
    </row>
    <row r="813">
      <c r="A813" s="1"/>
      <c r="B813" s="1"/>
      <c r="C813" s="1"/>
      <c r="D813" s="1"/>
      <c r="E813" s="1"/>
      <c r="F813" s="1"/>
      <c r="G813" s="1"/>
      <c r="H813" s="1"/>
      <c r="I813" s="1"/>
      <c r="J813" s="1"/>
      <c r="K813" s="1"/>
    </row>
    <row r="814">
      <c r="A814" s="1"/>
      <c r="B814" s="1"/>
      <c r="C814" s="1"/>
      <c r="D814" s="1"/>
      <c r="E814" s="1"/>
      <c r="F814" s="1"/>
      <c r="G814" s="1"/>
      <c r="H814" s="1"/>
      <c r="I814" s="1"/>
      <c r="J814" s="1"/>
      <c r="K814" s="1"/>
    </row>
    <row r="815">
      <c r="A815" s="1"/>
      <c r="B815" s="1"/>
      <c r="C815" s="1"/>
      <c r="D815" s="1"/>
      <c r="E815" s="1"/>
      <c r="F815" s="1"/>
      <c r="G815" s="1"/>
      <c r="H815" s="1"/>
      <c r="I815" s="1"/>
      <c r="J815" s="1"/>
      <c r="K815" s="1"/>
    </row>
    <row r="816">
      <c r="A816" s="1"/>
      <c r="B816" s="1"/>
      <c r="C816" s="1"/>
      <c r="D816" s="1"/>
      <c r="E816" s="1"/>
      <c r="F816" s="1"/>
      <c r="G816" s="1"/>
      <c r="H816" s="1"/>
      <c r="I816" s="1"/>
      <c r="J816" s="1"/>
      <c r="K816" s="1"/>
    </row>
    <row r="817">
      <c r="A817" s="1"/>
      <c r="B817" s="1"/>
      <c r="C817" s="1"/>
      <c r="D817" s="1"/>
      <c r="E817" s="1"/>
      <c r="F817" s="1"/>
      <c r="G817" s="1"/>
      <c r="H817" s="1"/>
      <c r="I817" s="1"/>
      <c r="J817" s="1"/>
      <c r="K817" s="1"/>
    </row>
    <row r="818">
      <c r="A818" s="1"/>
      <c r="B818" s="1"/>
      <c r="C818" s="1"/>
      <c r="D818" s="1"/>
      <c r="E818" s="1"/>
      <c r="F818" s="1"/>
      <c r="G818" s="1"/>
      <c r="H818" s="1"/>
      <c r="I818" s="1"/>
      <c r="J818" s="1"/>
      <c r="K818" s="1"/>
    </row>
    <row r="819">
      <c r="A819" s="1"/>
      <c r="B819" s="1"/>
      <c r="C819" s="1"/>
      <c r="D819" s="1"/>
      <c r="E819" s="1"/>
      <c r="F819" s="1"/>
      <c r="G819" s="1"/>
      <c r="H819" s="1"/>
      <c r="I819" s="1"/>
      <c r="J819" s="1"/>
      <c r="K819" s="1"/>
    </row>
    <row r="820">
      <c r="A820" s="1"/>
      <c r="B820" s="1"/>
      <c r="C820" s="1"/>
      <c r="D820" s="1"/>
      <c r="E820" s="1"/>
      <c r="F820" s="1"/>
      <c r="G820" s="1"/>
      <c r="H820" s="1"/>
      <c r="I820" s="1"/>
      <c r="J820" s="1"/>
      <c r="K820" s="1"/>
    </row>
    <row r="821">
      <c r="A821" s="1"/>
      <c r="B821" s="1"/>
      <c r="C821" s="1"/>
      <c r="D821" s="1"/>
      <c r="E821" s="1"/>
      <c r="F821" s="1"/>
      <c r="G821" s="1"/>
      <c r="H821" s="1"/>
      <c r="I821" s="1"/>
      <c r="J821" s="1"/>
      <c r="K821" s="1"/>
    </row>
    <row r="822">
      <c r="A822" s="1"/>
      <c r="B822" s="1"/>
      <c r="C822" s="1"/>
      <c r="D822" s="1"/>
      <c r="E822" s="1"/>
      <c r="F822" s="1"/>
      <c r="G822" s="1"/>
      <c r="H822" s="1"/>
      <c r="I822" s="1"/>
      <c r="J822" s="1"/>
      <c r="K822" s="1"/>
    </row>
    <row r="823">
      <c r="A823" s="1"/>
      <c r="B823" s="1"/>
      <c r="C823" s="1"/>
      <c r="D823" s="1"/>
      <c r="E823" s="1"/>
      <c r="F823" s="1"/>
      <c r="G823" s="1"/>
      <c r="H823" s="1"/>
      <c r="I823" s="1"/>
      <c r="J823" s="1"/>
      <c r="K823" s="1"/>
    </row>
    <row r="824">
      <c r="A824" s="1"/>
      <c r="B824" s="1"/>
      <c r="C824" s="1"/>
      <c r="D824" s="1"/>
      <c r="E824" s="1"/>
      <c r="F824" s="1"/>
      <c r="G824" s="1"/>
      <c r="H824" s="1"/>
      <c r="I824" s="1"/>
      <c r="J824" s="1"/>
      <c r="K824" s="1"/>
    </row>
    <row r="825">
      <c r="A825" s="1"/>
      <c r="B825" s="1"/>
      <c r="C825" s="1"/>
      <c r="D825" s="1"/>
      <c r="E825" s="1"/>
      <c r="F825" s="1"/>
      <c r="G825" s="1"/>
      <c r="H825" s="1"/>
      <c r="I825" s="1"/>
      <c r="J825" s="1"/>
      <c r="K825" s="1"/>
    </row>
    <row r="826">
      <c r="A826" s="1"/>
      <c r="B826" s="1"/>
      <c r="C826" s="1"/>
      <c r="D826" s="1"/>
      <c r="E826" s="1"/>
      <c r="F826" s="1"/>
      <c r="G826" s="1"/>
      <c r="H826" s="1"/>
      <c r="I826" s="1"/>
      <c r="J826" s="1"/>
      <c r="K826" s="1"/>
    </row>
    <row r="827">
      <c r="A827" s="1"/>
      <c r="B827" s="1"/>
      <c r="C827" s="1"/>
      <c r="D827" s="1"/>
      <c r="E827" s="1"/>
      <c r="F827" s="1"/>
      <c r="G827" s="1"/>
      <c r="H827" s="1"/>
      <c r="I827" s="1"/>
      <c r="J827" s="1"/>
      <c r="K827" s="1"/>
    </row>
    <row r="828">
      <c r="A828" s="1"/>
      <c r="B828" s="1"/>
      <c r="C828" s="1"/>
      <c r="D828" s="1"/>
      <c r="E828" s="1"/>
      <c r="F828" s="1"/>
      <c r="G828" s="1"/>
      <c r="H828" s="1"/>
      <c r="I828" s="1"/>
      <c r="J828" s="1"/>
      <c r="K828" s="1"/>
    </row>
    <row r="829">
      <c r="A829" s="1"/>
      <c r="B829" s="1"/>
      <c r="C829" s="1"/>
      <c r="D829" s="1"/>
      <c r="E829" s="1"/>
      <c r="F829" s="1"/>
      <c r="G829" s="1"/>
      <c r="H829" s="1"/>
      <c r="I829" s="1"/>
      <c r="J829" s="1"/>
      <c r="K829" s="1"/>
    </row>
    <row r="830">
      <c r="A830" s="1"/>
      <c r="B830" s="1"/>
      <c r="C830" s="1"/>
      <c r="D830" s="1"/>
      <c r="E830" s="1"/>
      <c r="F830" s="1"/>
      <c r="G830" s="1"/>
      <c r="H830" s="1"/>
      <c r="I830" s="1"/>
      <c r="J830" s="1"/>
      <c r="K830" s="1"/>
    </row>
    <row r="831">
      <c r="A831" s="1"/>
      <c r="B831" s="1"/>
      <c r="C831" s="1"/>
      <c r="D831" s="1"/>
      <c r="E831" s="1"/>
      <c r="F831" s="1"/>
      <c r="G831" s="1"/>
      <c r="H831" s="1"/>
      <c r="I831" s="1"/>
      <c r="J831" s="1"/>
      <c r="K831" s="1"/>
    </row>
    <row r="832">
      <c r="A832" s="1"/>
      <c r="B832" s="1"/>
      <c r="C832" s="1"/>
      <c r="D832" s="1"/>
      <c r="E832" s="1"/>
      <c r="F832" s="1"/>
      <c r="G832" s="1"/>
      <c r="H832" s="1"/>
      <c r="I832" s="1"/>
      <c r="J832" s="1"/>
      <c r="K832" s="1"/>
    </row>
    <row r="833">
      <c r="A833" s="1"/>
      <c r="B833" s="1"/>
      <c r="C833" s="1"/>
      <c r="D833" s="1"/>
      <c r="E833" s="1"/>
      <c r="F833" s="1"/>
      <c r="G833" s="1"/>
      <c r="H833" s="1"/>
      <c r="I833" s="1"/>
      <c r="J833" s="1"/>
      <c r="K833" s="1"/>
    </row>
    <row r="834">
      <c r="A834" s="1"/>
      <c r="B834" s="1"/>
      <c r="C834" s="1"/>
      <c r="D834" s="1"/>
      <c r="E834" s="1"/>
      <c r="F834" s="1"/>
      <c r="G834" s="1"/>
      <c r="H834" s="1"/>
      <c r="I834" s="1"/>
      <c r="J834" s="1"/>
      <c r="K834" s="1"/>
    </row>
    <row r="835">
      <c r="A835" s="1"/>
      <c r="B835" s="1"/>
      <c r="C835" s="1"/>
      <c r="D835" s="1"/>
      <c r="E835" s="1"/>
      <c r="F835" s="1"/>
      <c r="G835" s="1"/>
      <c r="H835" s="1"/>
      <c r="I835" s="1"/>
      <c r="J835" s="1"/>
      <c r="K835" s="1"/>
    </row>
    <row r="836">
      <c r="A836" s="1"/>
      <c r="B836" s="1"/>
      <c r="C836" s="1"/>
      <c r="D836" s="1"/>
      <c r="E836" s="1"/>
      <c r="F836" s="1"/>
      <c r="G836" s="1"/>
      <c r="H836" s="1"/>
      <c r="I836" s="1"/>
      <c r="J836" s="1"/>
      <c r="K836" s="1"/>
    </row>
    <row r="837">
      <c r="A837" s="1"/>
      <c r="B837" s="1"/>
      <c r="C837" s="1"/>
      <c r="D837" s="1"/>
      <c r="E837" s="1"/>
      <c r="F837" s="1"/>
      <c r="G837" s="1"/>
      <c r="H837" s="1"/>
      <c r="I837" s="1"/>
      <c r="J837" s="1"/>
      <c r="K837" s="1"/>
    </row>
    <row r="838">
      <c r="A838" s="1"/>
      <c r="B838" s="1"/>
      <c r="C838" s="1"/>
      <c r="D838" s="1"/>
      <c r="E838" s="1"/>
      <c r="F838" s="1"/>
      <c r="G838" s="1"/>
      <c r="H838" s="1"/>
      <c r="I838" s="1"/>
      <c r="J838" s="1"/>
      <c r="K838" s="1"/>
    </row>
    <row r="839">
      <c r="A839" s="1"/>
      <c r="B839" s="1"/>
      <c r="C839" s="1"/>
      <c r="D839" s="1"/>
      <c r="E839" s="1"/>
      <c r="F839" s="1"/>
      <c r="G839" s="1"/>
      <c r="H839" s="1"/>
      <c r="I839" s="1"/>
      <c r="J839" s="1"/>
      <c r="K839" s="1"/>
    </row>
    <row r="840">
      <c r="A840" s="1"/>
      <c r="B840" s="1"/>
      <c r="C840" s="1"/>
      <c r="D840" s="1"/>
      <c r="E840" s="1"/>
      <c r="F840" s="1"/>
      <c r="G840" s="1"/>
      <c r="H840" s="1"/>
      <c r="I840" s="1"/>
      <c r="J840" s="1"/>
      <c r="K840" s="1"/>
    </row>
    <row r="841">
      <c r="A841" s="1"/>
      <c r="B841" s="1"/>
      <c r="C841" s="1"/>
      <c r="D841" s="1"/>
      <c r="E841" s="1"/>
      <c r="F841" s="1"/>
      <c r="G841" s="1"/>
      <c r="H841" s="1"/>
      <c r="I841" s="1"/>
      <c r="J841" s="1"/>
      <c r="K841" s="1"/>
    </row>
    <row r="842">
      <c r="A842" s="1"/>
      <c r="B842" s="1"/>
      <c r="C842" s="1"/>
      <c r="D842" s="1"/>
      <c r="E842" s="1"/>
      <c r="F842" s="1"/>
      <c r="G842" s="1"/>
      <c r="H842" s="1"/>
      <c r="I842" s="1"/>
      <c r="J842" s="1"/>
      <c r="K842" s="1"/>
    </row>
    <row r="843">
      <c r="A843" s="1"/>
      <c r="B843" s="1"/>
      <c r="C843" s="1"/>
      <c r="D843" s="1"/>
      <c r="E843" s="1"/>
      <c r="F843" s="1"/>
      <c r="G843" s="1"/>
      <c r="H843" s="1"/>
      <c r="I843" s="1"/>
      <c r="J843" s="1"/>
      <c r="K843" s="1"/>
    </row>
    <row r="844">
      <c r="A844" s="1"/>
      <c r="B844" s="1"/>
      <c r="C844" s="1"/>
      <c r="D844" s="1"/>
      <c r="E844" s="1"/>
      <c r="F844" s="1"/>
      <c r="G844" s="1"/>
      <c r="H844" s="1"/>
      <c r="I844" s="1"/>
      <c r="J844" s="1"/>
      <c r="K844" s="1"/>
    </row>
    <row r="845">
      <c r="A845" s="1"/>
      <c r="B845" s="1"/>
      <c r="C845" s="1"/>
      <c r="D845" s="1"/>
      <c r="E845" s="1"/>
      <c r="F845" s="1"/>
      <c r="G845" s="1"/>
      <c r="H845" s="1"/>
      <c r="I845" s="1"/>
      <c r="J845" s="1"/>
      <c r="K845" s="1"/>
    </row>
    <row r="846">
      <c r="A846" s="1"/>
      <c r="B846" s="1"/>
      <c r="C846" s="1"/>
      <c r="D846" s="1"/>
      <c r="E846" s="1"/>
      <c r="F846" s="1"/>
      <c r="G846" s="1"/>
      <c r="H846" s="1"/>
      <c r="I846" s="1"/>
      <c r="J846" s="1"/>
      <c r="K846" s="1"/>
    </row>
    <row r="847">
      <c r="A847" s="1"/>
      <c r="B847" s="1"/>
      <c r="C847" s="1"/>
      <c r="D847" s="1"/>
      <c r="E847" s="1"/>
      <c r="F847" s="1"/>
      <c r="G847" s="1"/>
      <c r="H847" s="1"/>
      <c r="I847" s="1"/>
      <c r="J847" s="1"/>
      <c r="K847" s="1"/>
    </row>
    <row r="848">
      <c r="A848" s="1"/>
      <c r="B848" s="1"/>
      <c r="C848" s="1"/>
      <c r="D848" s="1"/>
      <c r="E848" s="1"/>
      <c r="F848" s="1"/>
      <c r="G848" s="1"/>
      <c r="H848" s="1"/>
      <c r="I848" s="1"/>
      <c r="J848" s="1"/>
      <c r="K848" s="1"/>
    </row>
    <row r="849">
      <c r="A849" s="1"/>
      <c r="B849" s="1"/>
      <c r="C849" s="1"/>
      <c r="D849" s="1"/>
      <c r="E849" s="1"/>
      <c r="F849" s="1"/>
      <c r="G849" s="1"/>
      <c r="H849" s="1"/>
      <c r="I849" s="1"/>
      <c r="J849" s="1"/>
      <c r="K849" s="1"/>
    </row>
    <row r="850">
      <c r="A850" s="1"/>
      <c r="B850" s="1"/>
      <c r="C850" s="1"/>
      <c r="D850" s="1"/>
      <c r="E850" s="1"/>
      <c r="F850" s="1"/>
      <c r="G850" s="1"/>
      <c r="H850" s="1"/>
      <c r="I850" s="1"/>
      <c r="J850" s="1"/>
      <c r="K850" s="1"/>
    </row>
    <row r="851">
      <c r="A851" s="1"/>
      <c r="B851" s="1"/>
      <c r="C851" s="1"/>
      <c r="D851" s="1"/>
      <c r="E851" s="1"/>
      <c r="F851" s="1"/>
      <c r="G851" s="1"/>
      <c r="H851" s="1"/>
      <c r="I851" s="1"/>
      <c r="J851" s="1"/>
      <c r="K851" s="1"/>
    </row>
    <row r="852">
      <c r="A852" s="1"/>
      <c r="B852" s="1"/>
      <c r="C852" s="1"/>
      <c r="D852" s="1"/>
      <c r="E852" s="1"/>
      <c r="F852" s="1"/>
      <c r="G852" s="1"/>
      <c r="H852" s="1"/>
      <c r="I852" s="1"/>
      <c r="J852" s="1"/>
      <c r="K852" s="1"/>
    </row>
    <row r="853">
      <c r="A853" s="1"/>
      <c r="B853" s="1"/>
      <c r="C853" s="1"/>
      <c r="D853" s="1"/>
      <c r="E853" s="1"/>
      <c r="F853" s="1"/>
      <c r="G853" s="1"/>
      <c r="H853" s="1"/>
      <c r="I853" s="1"/>
      <c r="J853" s="1"/>
      <c r="K853" s="1"/>
    </row>
    <row r="854">
      <c r="A854" s="1"/>
      <c r="B854" s="1"/>
      <c r="C854" s="1"/>
      <c r="D854" s="1"/>
      <c r="E854" s="1"/>
      <c r="F854" s="1"/>
      <c r="G854" s="1"/>
      <c r="H854" s="1"/>
      <c r="I854" s="1"/>
      <c r="J854" s="1"/>
      <c r="K854" s="1"/>
    </row>
    <row r="855">
      <c r="A855" s="1"/>
      <c r="B855" s="1"/>
      <c r="C855" s="1"/>
      <c r="D855" s="1"/>
      <c r="E855" s="1"/>
      <c r="F855" s="1"/>
      <c r="G855" s="1"/>
      <c r="H855" s="1"/>
      <c r="I855" s="1"/>
      <c r="J855" s="1"/>
      <c r="K855" s="1"/>
    </row>
    <row r="856">
      <c r="A856" s="1"/>
      <c r="B856" s="1"/>
      <c r="C856" s="1"/>
      <c r="D856" s="1"/>
      <c r="E856" s="1"/>
      <c r="F856" s="1"/>
      <c r="G856" s="1"/>
      <c r="H856" s="1"/>
      <c r="I856" s="1"/>
      <c r="J856" s="1"/>
      <c r="K856" s="1"/>
    </row>
    <row r="857">
      <c r="A857" s="1"/>
      <c r="B857" s="1"/>
      <c r="C857" s="1"/>
      <c r="D857" s="1"/>
      <c r="E857" s="1"/>
      <c r="F857" s="1"/>
      <c r="G857" s="1"/>
      <c r="H857" s="1"/>
      <c r="I857" s="1"/>
      <c r="J857" s="1"/>
      <c r="K857" s="1"/>
    </row>
    <row r="858">
      <c r="A858" s="1"/>
      <c r="B858" s="1"/>
      <c r="C858" s="1"/>
      <c r="D858" s="1"/>
      <c r="E858" s="1"/>
      <c r="F858" s="1"/>
      <c r="G858" s="1"/>
      <c r="H858" s="1"/>
      <c r="I858" s="1"/>
      <c r="J858" s="1"/>
      <c r="K858" s="1"/>
    </row>
    <row r="859">
      <c r="A859" s="1"/>
      <c r="B859" s="1"/>
      <c r="C859" s="1"/>
      <c r="D859" s="1"/>
      <c r="E859" s="1"/>
      <c r="F859" s="1"/>
      <c r="G859" s="1"/>
      <c r="H859" s="1"/>
      <c r="I859" s="1"/>
      <c r="J859" s="1"/>
      <c r="K859" s="1"/>
    </row>
    <row r="860">
      <c r="A860" s="1"/>
      <c r="B860" s="1"/>
      <c r="C860" s="1"/>
      <c r="D860" s="1"/>
      <c r="E860" s="1"/>
      <c r="F860" s="1"/>
      <c r="G860" s="1"/>
      <c r="H860" s="1"/>
      <c r="I860" s="1"/>
      <c r="J860" s="1"/>
      <c r="K860" s="1"/>
    </row>
    <row r="861">
      <c r="A861" s="1"/>
      <c r="B861" s="1"/>
      <c r="C861" s="1"/>
      <c r="D861" s="1"/>
      <c r="E861" s="1"/>
      <c r="F861" s="1"/>
      <c r="G861" s="1"/>
      <c r="H861" s="1"/>
      <c r="I861" s="1"/>
      <c r="J861" s="1"/>
      <c r="K861" s="1"/>
    </row>
    <row r="862">
      <c r="A862" s="1"/>
      <c r="B862" s="1"/>
      <c r="C862" s="1"/>
      <c r="D862" s="1"/>
      <c r="E862" s="1"/>
      <c r="F862" s="1"/>
      <c r="G862" s="1"/>
      <c r="H862" s="1"/>
      <c r="I862" s="1"/>
      <c r="J862" s="1"/>
      <c r="K862" s="1"/>
    </row>
    <row r="863">
      <c r="A863" s="1"/>
      <c r="B863" s="1"/>
      <c r="C863" s="1"/>
      <c r="D863" s="1"/>
      <c r="E863" s="1"/>
      <c r="F863" s="1"/>
      <c r="G863" s="1"/>
      <c r="H863" s="1"/>
      <c r="I863" s="1"/>
      <c r="J863" s="1"/>
      <c r="K863" s="1"/>
    </row>
    <row r="864">
      <c r="A864" s="1"/>
      <c r="B864" s="1"/>
      <c r="C864" s="1"/>
      <c r="D864" s="1"/>
      <c r="E864" s="1"/>
      <c r="F864" s="1"/>
      <c r="G864" s="1"/>
      <c r="H864" s="1"/>
      <c r="I864" s="1"/>
      <c r="J864" s="1"/>
      <c r="K864" s="1"/>
    </row>
    <row r="865">
      <c r="A865" s="1"/>
      <c r="B865" s="1"/>
      <c r="C865" s="1"/>
      <c r="D865" s="1"/>
      <c r="E865" s="1"/>
      <c r="F865" s="1"/>
      <c r="G865" s="1"/>
      <c r="H865" s="1"/>
      <c r="I865" s="1"/>
      <c r="J865" s="1"/>
      <c r="K865" s="1"/>
    </row>
    <row r="866">
      <c r="A866" s="1"/>
      <c r="B866" s="1"/>
      <c r="C866" s="1"/>
      <c r="D866" s="1"/>
      <c r="E866" s="1"/>
      <c r="F866" s="1"/>
      <c r="G866" s="1"/>
      <c r="H866" s="1"/>
      <c r="I866" s="1"/>
      <c r="J866" s="1"/>
      <c r="K866" s="1"/>
    </row>
    <row r="867">
      <c r="A867" s="1"/>
      <c r="B867" s="1"/>
      <c r="C867" s="1"/>
      <c r="D867" s="1"/>
      <c r="E867" s="1"/>
      <c r="F867" s="1"/>
      <c r="G867" s="1"/>
      <c r="H867" s="1"/>
      <c r="I867" s="1"/>
      <c r="J867" s="1"/>
      <c r="K867" s="1"/>
    </row>
    <row r="868">
      <c r="A868" s="1"/>
      <c r="B868" s="1"/>
      <c r="C868" s="1"/>
      <c r="D868" s="1"/>
      <c r="E868" s="1"/>
      <c r="F868" s="1"/>
      <c r="G868" s="1"/>
      <c r="H868" s="1"/>
      <c r="I868" s="1"/>
      <c r="J868" s="1"/>
      <c r="K868" s="1"/>
    </row>
    <row r="869">
      <c r="A869" s="1"/>
      <c r="B869" s="1"/>
      <c r="C869" s="1"/>
      <c r="D869" s="1"/>
      <c r="E869" s="1"/>
      <c r="F869" s="1"/>
      <c r="G869" s="1"/>
      <c r="H869" s="1"/>
      <c r="I869" s="1"/>
      <c r="J869" s="1"/>
      <c r="K869" s="1"/>
    </row>
    <row r="870">
      <c r="A870" s="1"/>
      <c r="B870" s="1"/>
      <c r="C870" s="1"/>
      <c r="D870" s="1"/>
      <c r="E870" s="1"/>
      <c r="F870" s="1"/>
      <c r="G870" s="1"/>
      <c r="H870" s="1"/>
      <c r="I870" s="1"/>
      <c r="J870" s="1"/>
      <c r="K870" s="1"/>
    </row>
    <row r="871">
      <c r="A871" s="1"/>
      <c r="B871" s="1"/>
      <c r="C871" s="1"/>
      <c r="D871" s="1"/>
      <c r="E871" s="1"/>
      <c r="F871" s="1"/>
      <c r="G871" s="1"/>
      <c r="H871" s="1"/>
      <c r="I871" s="1"/>
      <c r="J871" s="1"/>
      <c r="K871" s="1"/>
    </row>
    <row r="872">
      <c r="A872" s="1"/>
      <c r="B872" s="1"/>
      <c r="C872" s="1"/>
      <c r="D872" s="1"/>
      <c r="E872" s="1"/>
      <c r="F872" s="1"/>
      <c r="G872" s="1"/>
      <c r="H872" s="1"/>
      <c r="I872" s="1"/>
      <c r="J872" s="1"/>
      <c r="K872" s="1"/>
    </row>
    <row r="873">
      <c r="A873" s="1"/>
      <c r="B873" s="1"/>
      <c r="C873" s="1"/>
      <c r="D873" s="1"/>
      <c r="E873" s="1"/>
      <c r="F873" s="1"/>
      <c r="G873" s="1"/>
      <c r="H873" s="1"/>
      <c r="I873" s="1"/>
      <c r="J873" s="1"/>
      <c r="K873" s="1"/>
    </row>
    <row r="874">
      <c r="A874" s="1"/>
      <c r="B874" s="1"/>
      <c r="C874" s="1"/>
      <c r="D874" s="1"/>
      <c r="E874" s="1"/>
      <c r="F874" s="1"/>
      <c r="G874" s="1"/>
      <c r="H874" s="1"/>
      <c r="I874" s="1"/>
      <c r="J874" s="1"/>
      <c r="K874" s="1"/>
    </row>
    <row r="875">
      <c r="A875" s="1"/>
      <c r="B875" s="1"/>
      <c r="C875" s="1"/>
      <c r="D875" s="1"/>
      <c r="E875" s="1"/>
      <c r="F875" s="1"/>
      <c r="G875" s="1"/>
      <c r="H875" s="1"/>
      <c r="I875" s="1"/>
      <c r="J875" s="1"/>
      <c r="K875" s="1"/>
    </row>
    <row r="876">
      <c r="A876" s="1"/>
      <c r="B876" s="1"/>
      <c r="C876" s="1"/>
      <c r="D876" s="1"/>
      <c r="E876" s="1"/>
      <c r="F876" s="1"/>
      <c r="G876" s="1"/>
      <c r="H876" s="1"/>
      <c r="I876" s="1"/>
      <c r="J876" s="1"/>
      <c r="K876" s="1"/>
    </row>
    <row r="877">
      <c r="A877" s="1"/>
      <c r="B877" s="1"/>
      <c r="C877" s="1"/>
      <c r="D877" s="1"/>
      <c r="E877" s="1"/>
      <c r="F877" s="1"/>
      <c r="G877" s="1"/>
      <c r="H877" s="1"/>
      <c r="I877" s="1"/>
      <c r="J877" s="1"/>
      <c r="K877" s="1"/>
    </row>
    <row r="878">
      <c r="A878" s="1"/>
      <c r="B878" s="1"/>
      <c r="C878" s="1"/>
      <c r="D878" s="1"/>
      <c r="E878" s="1"/>
      <c r="F878" s="1"/>
      <c r="G878" s="1"/>
      <c r="H878" s="1"/>
      <c r="I878" s="1"/>
      <c r="J878" s="1"/>
      <c r="K878" s="1"/>
    </row>
    <row r="879">
      <c r="A879" s="1"/>
      <c r="B879" s="1"/>
      <c r="C879" s="1"/>
      <c r="D879" s="1"/>
      <c r="E879" s="1"/>
      <c r="F879" s="1"/>
      <c r="G879" s="1"/>
      <c r="H879" s="1"/>
      <c r="I879" s="1"/>
      <c r="J879" s="1"/>
      <c r="K879" s="1"/>
    </row>
    <row r="880">
      <c r="A880" s="1"/>
      <c r="B880" s="1"/>
      <c r="C880" s="1"/>
      <c r="D880" s="1"/>
      <c r="E880" s="1"/>
      <c r="F880" s="1"/>
      <c r="G880" s="1"/>
      <c r="H880" s="1"/>
      <c r="I880" s="1"/>
      <c r="J880" s="1"/>
      <c r="K880" s="1"/>
    </row>
    <row r="881">
      <c r="A881" s="1"/>
      <c r="B881" s="1"/>
      <c r="C881" s="1"/>
      <c r="D881" s="1"/>
      <c r="E881" s="1"/>
      <c r="F881" s="1"/>
      <c r="G881" s="1"/>
      <c r="H881" s="1"/>
      <c r="I881" s="1"/>
      <c r="J881" s="1"/>
      <c r="K881" s="1"/>
    </row>
    <row r="882">
      <c r="A882" s="1"/>
      <c r="B882" s="1"/>
      <c r="C882" s="1"/>
      <c r="D882" s="1"/>
      <c r="E882" s="1"/>
      <c r="F882" s="1"/>
      <c r="G882" s="1"/>
      <c r="H882" s="1"/>
      <c r="I882" s="1"/>
      <c r="J882" s="1"/>
      <c r="K882" s="1"/>
    </row>
    <row r="883">
      <c r="A883" s="1"/>
      <c r="B883" s="1"/>
      <c r="C883" s="1"/>
      <c r="D883" s="1"/>
      <c r="E883" s="1"/>
      <c r="F883" s="1"/>
      <c r="G883" s="1"/>
      <c r="H883" s="1"/>
      <c r="I883" s="1"/>
      <c r="J883" s="1"/>
      <c r="K883" s="1"/>
    </row>
    <row r="884">
      <c r="A884" s="1"/>
      <c r="B884" s="1"/>
      <c r="C884" s="1"/>
      <c r="D884" s="1"/>
      <c r="E884" s="1"/>
      <c r="F884" s="1"/>
      <c r="G884" s="1"/>
      <c r="H884" s="1"/>
      <c r="I884" s="1"/>
      <c r="J884" s="1"/>
      <c r="K884" s="1"/>
    </row>
    <row r="885">
      <c r="A885" s="1"/>
      <c r="B885" s="1"/>
      <c r="C885" s="1"/>
      <c r="D885" s="1"/>
      <c r="E885" s="1"/>
      <c r="F885" s="1"/>
      <c r="G885" s="1"/>
      <c r="H885" s="1"/>
      <c r="I885" s="1"/>
      <c r="J885" s="1"/>
      <c r="K885" s="1"/>
    </row>
    <row r="886">
      <c r="A886" s="1"/>
      <c r="B886" s="1"/>
      <c r="C886" s="1"/>
      <c r="D886" s="1"/>
      <c r="E886" s="1"/>
      <c r="F886" s="1"/>
      <c r="G886" s="1"/>
      <c r="H886" s="1"/>
      <c r="I886" s="1"/>
      <c r="J886" s="1"/>
      <c r="K886" s="1"/>
    </row>
    <row r="887">
      <c r="A887" s="1"/>
      <c r="B887" s="1"/>
      <c r="C887" s="1"/>
      <c r="D887" s="1"/>
      <c r="E887" s="1"/>
      <c r="F887" s="1"/>
      <c r="G887" s="1"/>
      <c r="H887" s="1"/>
      <c r="I887" s="1"/>
      <c r="J887" s="1"/>
      <c r="K887" s="1"/>
    </row>
    <row r="888">
      <c r="A888" s="1"/>
      <c r="B888" s="1"/>
      <c r="C888" s="1"/>
      <c r="D888" s="1"/>
      <c r="E888" s="1"/>
      <c r="F888" s="1"/>
      <c r="G888" s="1"/>
      <c r="H888" s="1"/>
      <c r="I888" s="1"/>
      <c r="J888" s="1"/>
      <c r="K888" s="1"/>
    </row>
    <row r="889">
      <c r="A889" s="1"/>
      <c r="B889" s="1"/>
      <c r="C889" s="1"/>
      <c r="D889" s="1"/>
      <c r="E889" s="1"/>
      <c r="F889" s="1"/>
      <c r="G889" s="1"/>
      <c r="H889" s="1"/>
      <c r="I889" s="1"/>
      <c r="J889" s="1"/>
      <c r="K889" s="1"/>
    </row>
    <row r="890">
      <c r="A890" s="1"/>
      <c r="B890" s="1"/>
      <c r="C890" s="1"/>
      <c r="D890" s="1"/>
      <c r="E890" s="1"/>
      <c r="F890" s="1"/>
      <c r="G890" s="1"/>
      <c r="H890" s="1"/>
      <c r="I890" s="1"/>
      <c r="J890" s="1"/>
      <c r="K890" s="1"/>
    </row>
    <row r="891">
      <c r="A891" s="1"/>
      <c r="B891" s="1"/>
      <c r="C891" s="1"/>
      <c r="D891" s="1"/>
      <c r="E891" s="1"/>
      <c r="F891" s="1"/>
      <c r="G891" s="1"/>
      <c r="H891" s="1"/>
      <c r="I891" s="1"/>
      <c r="J891" s="1"/>
      <c r="K891" s="1"/>
    </row>
    <row r="892">
      <c r="A892" s="1"/>
      <c r="B892" s="1"/>
      <c r="C892" s="1"/>
      <c r="D892" s="1"/>
      <c r="E892" s="1"/>
      <c r="F892" s="1"/>
      <c r="G892" s="1"/>
      <c r="H892" s="1"/>
      <c r="I892" s="1"/>
      <c r="J892" s="1"/>
      <c r="K892" s="1"/>
    </row>
    <row r="893">
      <c r="A893" s="1"/>
      <c r="B893" s="1"/>
      <c r="C893" s="1"/>
      <c r="D893" s="1"/>
      <c r="E893" s="1"/>
      <c r="F893" s="1"/>
      <c r="G893" s="1"/>
      <c r="H893" s="1"/>
      <c r="I893" s="1"/>
      <c r="J893" s="1"/>
      <c r="K893" s="1"/>
    </row>
    <row r="894">
      <c r="A894" s="1"/>
      <c r="B894" s="1"/>
      <c r="C894" s="1"/>
      <c r="D894" s="1"/>
      <c r="E894" s="1"/>
      <c r="F894" s="1"/>
      <c r="G894" s="1"/>
      <c r="H894" s="1"/>
      <c r="I894" s="1"/>
      <c r="J894" s="1"/>
      <c r="K894" s="1"/>
    </row>
    <row r="895">
      <c r="A895" s="1"/>
      <c r="B895" s="1"/>
      <c r="C895" s="1"/>
      <c r="D895" s="1"/>
      <c r="E895" s="1"/>
      <c r="F895" s="1"/>
      <c r="G895" s="1"/>
      <c r="H895" s="1"/>
      <c r="I895" s="1"/>
      <c r="J895" s="1"/>
      <c r="K895" s="1"/>
    </row>
    <row r="896">
      <c r="A896" s="1"/>
      <c r="B896" s="1"/>
      <c r="C896" s="1"/>
      <c r="D896" s="1"/>
      <c r="E896" s="1"/>
      <c r="F896" s="1"/>
      <c r="G896" s="1"/>
      <c r="H896" s="1"/>
      <c r="I896" s="1"/>
      <c r="J896" s="1"/>
      <c r="K896" s="1"/>
    </row>
    <row r="897">
      <c r="A897" s="1"/>
      <c r="B897" s="1"/>
      <c r="C897" s="1"/>
      <c r="D897" s="1"/>
      <c r="E897" s="1"/>
      <c r="F897" s="1"/>
      <c r="G897" s="1"/>
      <c r="H897" s="1"/>
      <c r="I897" s="1"/>
      <c r="J897" s="1"/>
      <c r="K897" s="1"/>
    </row>
    <row r="898">
      <c r="A898" s="1"/>
      <c r="B898" s="1"/>
      <c r="C898" s="1"/>
      <c r="D898" s="1"/>
      <c r="E898" s="1"/>
      <c r="F898" s="1"/>
      <c r="G898" s="1"/>
      <c r="H898" s="1"/>
      <c r="I898" s="1"/>
      <c r="J898" s="1"/>
      <c r="K898" s="1"/>
    </row>
    <row r="899">
      <c r="A899" s="1"/>
      <c r="B899" s="1"/>
      <c r="C899" s="1"/>
      <c r="D899" s="1"/>
      <c r="E899" s="1"/>
      <c r="F899" s="1"/>
      <c r="G899" s="1"/>
      <c r="H899" s="1"/>
      <c r="I899" s="1"/>
      <c r="J899" s="1"/>
      <c r="K899" s="1"/>
    </row>
    <row r="900">
      <c r="A900" s="1"/>
      <c r="B900" s="1"/>
      <c r="C900" s="1"/>
      <c r="D900" s="1"/>
      <c r="E900" s="1"/>
      <c r="F900" s="1"/>
      <c r="G900" s="1"/>
      <c r="H900" s="1"/>
      <c r="I900" s="1"/>
      <c r="J900" s="1"/>
      <c r="K900" s="1"/>
    </row>
    <row r="901">
      <c r="A901" s="1"/>
      <c r="B901" s="1"/>
      <c r="C901" s="1"/>
      <c r="D901" s="1"/>
      <c r="E901" s="1"/>
      <c r="F901" s="1"/>
      <c r="G901" s="1"/>
      <c r="H901" s="1"/>
      <c r="I901" s="1"/>
      <c r="J901" s="1"/>
      <c r="K901" s="1"/>
    </row>
    <row r="902">
      <c r="A902" s="1"/>
      <c r="B902" s="1"/>
      <c r="C902" s="1"/>
      <c r="D902" s="1"/>
      <c r="E902" s="1"/>
      <c r="F902" s="1"/>
      <c r="G902" s="1"/>
      <c r="H902" s="1"/>
      <c r="I902" s="1"/>
      <c r="J902" s="1"/>
      <c r="K902" s="1"/>
    </row>
    <row r="903">
      <c r="A903" s="1"/>
      <c r="B903" s="1"/>
      <c r="C903" s="1"/>
      <c r="D903" s="1"/>
      <c r="E903" s="1"/>
      <c r="F903" s="1"/>
      <c r="G903" s="1"/>
      <c r="H903" s="1"/>
      <c r="I903" s="1"/>
      <c r="J903" s="1"/>
      <c r="K903" s="1"/>
    </row>
    <row r="904">
      <c r="A904" s="1"/>
      <c r="B904" s="1"/>
      <c r="C904" s="1"/>
      <c r="D904" s="1"/>
      <c r="E904" s="1"/>
      <c r="F904" s="1"/>
      <c r="G904" s="1"/>
      <c r="H904" s="1"/>
      <c r="I904" s="1"/>
      <c r="J904" s="1"/>
      <c r="K904" s="1"/>
    </row>
    <row r="905">
      <c r="A905" s="1"/>
      <c r="B905" s="1"/>
      <c r="C905" s="1"/>
      <c r="D905" s="1"/>
      <c r="E905" s="1"/>
      <c r="F905" s="1"/>
      <c r="G905" s="1"/>
      <c r="H905" s="1"/>
      <c r="I905" s="1"/>
      <c r="J905" s="1"/>
      <c r="K905" s="1"/>
    </row>
    <row r="906">
      <c r="A906" s="1"/>
      <c r="B906" s="1"/>
      <c r="C906" s="1"/>
      <c r="D906" s="1"/>
      <c r="E906" s="1"/>
      <c r="F906" s="1"/>
      <c r="G906" s="1"/>
      <c r="H906" s="1"/>
      <c r="I906" s="1"/>
      <c r="J906" s="1"/>
      <c r="K906" s="1"/>
    </row>
    <row r="907">
      <c r="A907" s="1"/>
      <c r="B907" s="1"/>
      <c r="C907" s="1"/>
      <c r="D907" s="1"/>
      <c r="E907" s="1"/>
      <c r="F907" s="1"/>
      <c r="G907" s="1"/>
      <c r="H907" s="1"/>
      <c r="I907" s="1"/>
      <c r="J907" s="1"/>
      <c r="K907" s="1"/>
    </row>
    <row r="908">
      <c r="A908" s="1"/>
      <c r="B908" s="1"/>
      <c r="C908" s="1"/>
      <c r="D908" s="1"/>
      <c r="E908" s="1"/>
      <c r="F908" s="1"/>
      <c r="G908" s="1"/>
      <c r="H908" s="1"/>
      <c r="I908" s="1"/>
      <c r="J908" s="1"/>
      <c r="K908" s="1"/>
    </row>
    <row r="909">
      <c r="A909" s="1"/>
      <c r="B909" s="1"/>
      <c r="C909" s="1"/>
      <c r="D909" s="1"/>
      <c r="E909" s="1"/>
      <c r="F909" s="1"/>
      <c r="G909" s="1"/>
      <c r="H909" s="1"/>
      <c r="I909" s="1"/>
      <c r="J909" s="1"/>
      <c r="K909" s="1"/>
    </row>
    <row r="910">
      <c r="A910" s="1"/>
      <c r="B910" s="1"/>
      <c r="C910" s="1"/>
      <c r="D910" s="1"/>
      <c r="E910" s="1"/>
      <c r="F910" s="1"/>
      <c r="G910" s="1"/>
      <c r="H910" s="1"/>
      <c r="I910" s="1"/>
      <c r="J910" s="1"/>
      <c r="K910" s="1"/>
    </row>
    <row r="911">
      <c r="A911" s="1"/>
      <c r="B911" s="1"/>
      <c r="C911" s="1"/>
      <c r="D911" s="1"/>
      <c r="E911" s="1"/>
      <c r="F911" s="1"/>
      <c r="G911" s="1"/>
      <c r="H911" s="1"/>
      <c r="I911" s="1"/>
      <c r="J911" s="1"/>
      <c r="K911" s="1"/>
    </row>
    <row r="912">
      <c r="A912" s="1"/>
      <c r="B912" s="1"/>
      <c r="C912" s="1"/>
      <c r="D912" s="1"/>
      <c r="E912" s="1"/>
      <c r="F912" s="1"/>
      <c r="G912" s="1"/>
      <c r="H912" s="1"/>
      <c r="I912" s="1"/>
      <c r="J912" s="1"/>
      <c r="K912" s="1"/>
    </row>
    <row r="913">
      <c r="A913" s="1"/>
      <c r="B913" s="1"/>
      <c r="C913" s="1"/>
      <c r="D913" s="1"/>
      <c r="E913" s="1"/>
      <c r="F913" s="1"/>
      <c r="G913" s="1"/>
      <c r="H913" s="1"/>
      <c r="I913" s="1"/>
      <c r="J913" s="1"/>
      <c r="K913" s="1"/>
    </row>
    <row r="914">
      <c r="A914" s="1"/>
      <c r="B914" s="1"/>
      <c r="C914" s="1"/>
      <c r="D914" s="1"/>
      <c r="E914" s="1"/>
      <c r="F914" s="1"/>
      <c r="G914" s="1"/>
      <c r="H914" s="1"/>
      <c r="I914" s="1"/>
      <c r="J914" s="1"/>
      <c r="K914" s="1"/>
    </row>
    <row r="915">
      <c r="A915" s="1"/>
      <c r="B915" s="1"/>
      <c r="C915" s="1"/>
      <c r="D915" s="1"/>
      <c r="E915" s="1"/>
      <c r="F915" s="1"/>
      <c r="G915" s="1"/>
      <c r="H915" s="1"/>
      <c r="I915" s="1"/>
      <c r="J915" s="1"/>
      <c r="K915" s="1"/>
    </row>
    <row r="916">
      <c r="A916" s="1"/>
      <c r="B916" s="1"/>
      <c r="C916" s="1"/>
      <c r="D916" s="1"/>
      <c r="E916" s="1"/>
      <c r="F916" s="1"/>
      <c r="G916" s="1"/>
      <c r="H916" s="1"/>
      <c r="I916" s="1"/>
      <c r="J916" s="1"/>
      <c r="K916" s="1"/>
    </row>
    <row r="917">
      <c r="A917" s="1"/>
      <c r="B917" s="1"/>
      <c r="C917" s="1"/>
      <c r="D917" s="1"/>
      <c r="E917" s="1"/>
      <c r="F917" s="1"/>
      <c r="G917" s="1"/>
      <c r="H917" s="1"/>
      <c r="I917" s="1"/>
      <c r="J917" s="1"/>
      <c r="K917" s="1"/>
    </row>
    <row r="918">
      <c r="A918" s="1"/>
      <c r="B918" s="1"/>
      <c r="C918" s="1"/>
      <c r="D918" s="1"/>
      <c r="E918" s="1"/>
      <c r="F918" s="1"/>
      <c r="G918" s="1"/>
      <c r="H918" s="1"/>
      <c r="I918" s="1"/>
      <c r="J918" s="1"/>
      <c r="K918" s="1"/>
    </row>
    <row r="919">
      <c r="A919" s="1"/>
      <c r="B919" s="1"/>
      <c r="C919" s="1"/>
      <c r="D919" s="1"/>
      <c r="E919" s="1"/>
      <c r="F919" s="1"/>
      <c r="G919" s="1"/>
      <c r="H919" s="1"/>
      <c r="I919" s="1"/>
      <c r="J919" s="1"/>
      <c r="K919" s="1"/>
    </row>
    <row r="920">
      <c r="A920" s="1"/>
      <c r="B920" s="1"/>
      <c r="C920" s="1"/>
      <c r="D920" s="1"/>
      <c r="E920" s="1"/>
      <c r="F920" s="1"/>
      <c r="G920" s="1"/>
      <c r="H920" s="1"/>
      <c r="I920" s="1"/>
      <c r="J920" s="1"/>
      <c r="K920" s="1"/>
    </row>
    <row r="921">
      <c r="A921" s="1"/>
      <c r="B921" s="1"/>
      <c r="C921" s="1"/>
      <c r="D921" s="1"/>
      <c r="E921" s="1"/>
      <c r="F921" s="1"/>
      <c r="G921" s="1"/>
      <c r="H921" s="1"/>
      <c r="I921" s="1"/>
      <c r="J921" s="1"/>
      <c r="K921" s="1"/>
    </row>
    <row r="922">
      <c r="A922" s="1"/>
      <c r="B922" s="1"/>
      <c r="C922" s="1"/>
      <c r="D922" s="1"/>
      <c r="E922" s="1"/>
      <c r="F922" s="1"/>
      <c r="G922" s="1"/>
      <c r="H922" s="1"/>
      <c r="I922" s="1"/>
      <c r="J922" s="1"/>
      <c r="K922" s="1"/>
    </row>
    <row r="923">
      <c r="A923" s="1"/>
      <c r="B923" s="1"/>
      <c r="C923" s="1"/>
      <c r="D923" s="1"/>
      <c r="E923" s="1"/>
      <c r="F923" s="1"/>
      <c r="G923" s="1"/>
      <c r="H923" s="1"/>
      <c r="I923" s="1"/>
      <c r="J923" s="1"/>
      <c r="K923" s="1"/>
    </row>
    <row r="924">
      <c r="A924" s="1"/>
      <c r="B924" s="1"/>
      <c r="C924" s="1"/>
      <c r="D924" s="1"/>
      <c r="E924" s="1"/>
      <c r="F924" s="1"/>
      <c r="G924" s="1"/>
      <c r="H924" s="1"/>
      <c r="I924" s="1"/>
      <c r="J924" s="1"/>
      <c r="K924" s="1"/>
    </row>
    <row r="925">
      <c r="A925" s="1"/>
      <c r="B925" s="1"/>
      <c r="C925" s="1"/>
      <c r="D925" s="1"/>
      <c r="E925" s="1"/>
      <c r="F925" s="1"/>
      <c r="G925" s="1"/>
      <c r="H925" s="1"/>
      <c r="I925" s="1"/>
      <c r="J925" s="1"/>
      <c r="K925" s="1"/>
    </row>
    <row r="926">
      <c r="A926" s="1"/>
      <c r="B926" s="1"/>
      <c r="C926" s="1"/>
      <c r="D926" s="1"/>
      <c r="E926" s="1"/>
      <c r="F926" s="1"/>
      <c r="G926" s="1"/>
      <c r="H926" s="1"/>
      <c r="I926" s="1"/>
      <c r="J926" s="1"/>
      <c r="K926" s="1"/>
    </row>
    <row r="927">
      <c r="A927" s="1"/>
      <c r="B927" s="1"/>
      <c r="C927" s="1"/>
      <c r="D927" s="1"/>
      <c r="E927" s="1"/>
      <c r="F927" s="1"/>
      <c r="G927" s="1"/>
      <c r="H927" s="1"/>
      <c r="I927" s="1"/>
      <c r="J927" s="1"/>
      <c r="K927" s="1"/>
    </row>
    <row r="928">
      <c r="A928" s="1"/>
      <c r="B928" s="1"/>
      <c r="C928" s="1"/>
      <c r="D928" s="1"/>
      <c r="E928" s="1"/>
      <c r="F928" s="1"/>
      <c r="G928" s="1"/>
      <c r="H928" s="1"/>
      <c r="I928" s="1"/>
      <c r="J928" s="1"/>
      <c r="K928" s="1"/>
    </row>
    <row r="929">
      <c r="A929" s="1"/>
      <c r="B929" s="1"/>
      <c r="C929" s="1"/>
      <c r="D929" s="1"/>
      <c r="E929" s="1"/>
      <c r="F929" s="1"/>
      <c r="G929" s="1"/>
      <c r="H929" s="1"/>
      <c r="I929" s="1"/>
      <c r="J929" s="1"/>
      <c r="K929" s="1"/>
    </row>
    <row r="930">
      <c r="A930" s="1"/>
      <c r="B930" s="1"/>
      <c r="C930" s="1"/>
      <c r="D930" s="1"/>
      <c r="E930" s="1"/>
      <c r="F930" s="1"/>
      <c r="G930" s="1"/>
      <c r="H930" s="1"/>
      <c r="I930" s="1"/>
      <c r="J930" s="1"/>
      <c r="K930" s="1"/>
    </row>
    <row r="931">
      <c r="A931" s="1"/>
      <c r="B931" s="1"/>
      <c r="C931" s="1"/>
      <c r="D931" s="1"/>
      <c r="E931" s="1"/>
      <c r="F931" s="1"/>
      <c r="G931" s="1"/>
      <c r="H931" s="1"/>
      <c r="I931" s="1"/>
      <c r="J931" s="1"/>
      <c r="K931" s="1"/>
    </row>
    <row r="932">
      <c r="A932" s="1"/>
      <c r="B932" s="1"/>
      <c r="C932" s="1"/>
      <c r="D932" s="1"/>
      <c r="E932" s="1"/>
      <c r="F932" s="1"/>
      <c r="G932" s="1"/>
      <c r="H932" s="1"/>
      <c r="I932" s="1"/>
      <c r="J932" s="1"/>
      <c r="K932" s="1"/>
    </row>
    <row r="933">
      <c r="A933" s="1"/>
      <c r="B933" s="1"/>
      <c r="C933" s="1"/>
      <c r="D933" s="1"/>
      <c r="E933" s="1"/>
      <c r="F933" s="1"/>
      <c r="G933" s="1"/>
      <c r="H933" s="1"/>
      <c r="I933" s="1"/>
      <c r="J933" s="1"/>
      <c r="K933" s="1"/>
    </row>
    <row r="934">
      <c r="A934" s="1"/>
      <c r="B934" s="1"/>
      <c r="C934" s="1"/>
      <c r="D934" s="1"/>
      <c r="E934" s="1"/>
      <c r="F934" s="1"/>
      <c r="G934" s="1"/>
      <c r="H934" s="1"/>
      <c r="I934" s="1"/>
      <c r="J934" s="1"/>
      <c r="K934" s="1"/>
    </row>
    <row r="935">
      <c r="A935" s="1"/>
      <c r="B935" s="1"/>
      <c r="C935" s="1"/>
      <c r="D935" s="1"/>
      <c r="E935" s="1"/>
      <c r="F935" s="1"/>
      <c r="G935" s="1"/>
      <c r="H935" s="1"/>
      <c r="I935" s="1"/>
      <c r="J935" s="1"/>
      <c r="K935" s="1"/>
    </row>
    <row r="936">
      <c r="A936" s="1"/>
      <c r="B936" s="1"/>
      <c r="C936" s="1"/>
      <c r="D936" s="1"/>
      <c r="E936" s="1"/>
      <c r="F936" s="1"/>
      <c r="G936" s="1"/>
      <c r="H936" s="1"/>
      <c r="I936" s="1"/>
      <c r="J936" s="1"/>
      <c r="K936" s="1"/>
    </row>
    <row r="937">
      <c r="A937" s="1"/>
      <c r="B937" s="1"/>
      <c r="C937" s="1"/>
      <c r="D937" s="1"/>
      <c r="E937" s="1"/>
      <c r="F937" s="1"/>
      <c r="G937" s="1"/>
      <c r="H937" s="1"/>
      <c r="I937" s="1"/>
      <c r="J937" s="1"/>
      <c r="K937" s="1"/>
    </row>
    <row r="938">
      <c r="A938" s="1"/>
      <c r="B938" s="1"/>
      <c r="C938" s="1"/>
      <c r="D938" s="1"/>
      <c r="E938" s="1"/>
      <c r="F938" s="1"/>
      <c r="G938" s="1"/>
      <c r="H938" s="1"/>
      <c r="I938" s="1"/>
      <c r="J938" s="1"/>
      <c r="K938" s="1"/>
    </row>
    <row r="939">
      <c r="A939" s="1"/>
      <c r="B939" s="1"/>
      <c r="C939" s="1"/>
      <c r="D939" s="1"/>
      <c r="E939" s="1"/>
      <c r="F939" s="1"/>
      <c r="G939" s="1"/>
      <c r="H939" s="1"/>
      <c r="I939" s="1"/>
      <c r="J939" s="1"/>
      <c r="K939" s="1"/>
    </row>
    <row r="940">
      <c r="A940" s="1"/>
      <c r="B940" s="1"/>
      <c r="C940" s="1"/>
      <c r="D940" s="1"/>
      <c r="E940" s="1"/>
      <c r="F940" s="1"/>
      <c r="G940" s="1"/>
      <c r="H940" s="1"/>
      <c r="I940" s="1"/>
      <c r="J940" s="1"/>
      <c r="K940" s="1"/>
    </row>
    <row r="941">
      <c r="A941" s="1"/>
      <c r="B941" s="1"/>
      <c r="C941" s="1"/>
      <c r="D941" s="1"/>
      <c r="E941" s="1"/>
      <c r="F941" s="1"/>
      <c r="G941" s="1"/>
      <c r="H941" s="1"/>
      <c r="I941" s="1"/>
      <c r="J941" s="1"/>
      <c r="K941" s="1"/>
    </row>
    <row r="942">
      <c r="A942" s="1"/>
      <c r="B942" s="1"/>
      <c r="C942" s="1"/>
      <c r="D942" s="1"/>
      <c r="E942" s="1"/>
      <c r="F942" s="1"/>
      <c r="G942" s="1"/>
      <c r="H942" s="1"/>
      <c r="I942" s="1"/>
      <c r="J942" s="1"/>
      <c r="K942" s="1"/>
    </row>
    <row r="943">
      <c r="A943" s="1"/>
      <c r="B943" s="1"/>
      <c r="C943" s="1"/>
      <c r="D943" s="1"/>
      <c r="E943" s="1"/>
      <c r="F943" s="1"/>
      <c r="G943" s="1"/>
      <c r="H943" s="1"/>
      <c r="I943" s="1"/>
      <c r="J943" s="1"/>
      <c r="K943" s="1"/>
    </row>
    <row r="944">
      <c r="A944" s="1"/>
      <c r="B944" s="1"/>
      <c r="C944" s="1"/>
      <c r="D944" s="1"/>
      <c r="E944" s="1"/>
      <c r="F944" s="1"/>
      <c r="G944" s="1"/>
      <c r="H944" s="1"/>
      <c r="I944" s="1"/>
      <c r="J944" s="1"/>
      <c r="K944" s="1"/>
    </row>
    <row r="945">
      <c r="A945" s="1"/>
      <c r="B945" s="1"/>
      <c r="C945" s="1"/>
      <c r="D945" s="1"/>
      <c r="E945" s="1"/>
      <c r="F945" s="1"/>
      <c r="G945" s="1"/>
      <c r="H945" s="1"/>
      <c r="I945" s="1"/>
      <c r="J945" s="1"/>
      <c r="K945" s="1"/>
    </row>
    <row r="946">
      <c r="A946" s="1"/>
      <c r="B946" s="1"/>
      <c r="C946" s="1"/>
      <c r="D946" s="1"/>
      <c r="E946" s="1"/>
      <c r="F946" s="1"/>
      <c r="G946" s="1"/>
      <c r="H946" s="1"/>
      <c r="I946" s="1"/>
      <c r="J946" s="1"/>
      <c r="K946" s="1"/>
    </row>
    <row r="947">
      <c r="A947" s="1"/>
      <c r="B947" s="1"/>
      <c r="C947" s="1"/>
      <c r="D947" s="1"/>
      <c r="E947" s="1"/>
      <c r="F947" s="1"/>
      <c r="G947" s="1"/>
      <c r="H947" s="1"/>
      <c r="I947" s="1"/>
      <c r="J947" s="1"/>
      <c r="K947" s="1"/>
    </row>
    <row r="948">
      <c r="A948" s="1"/>
      <c r="B948" s="1"/>
      <c r="C948" s="1"/>
      <c r="D948" s="1"/>
      <c r="E948" s="1"/>
      <c r="F948" s="1"/>
      <c r="G948" s="1"/>
      <c r="H948" s="1"/>
      <c r="I948" s="1"/>
      <c r="J948" s="1"/>
      <c r="K948" s="1"/>
    </row>
    <row r="949">
      <c r="A949" s="1"/>
      <c r="B949" s="1"/>
      <c r="C949" s="1"/>
      <c r="D949" s="1"/>
      <c r="E949" s="1"/>
      <c r="F949" s="1"/>
      <c r="G949" s="1"/>
      <c r="H949" s="1"/>
      <c r="I949" s="1"/>
      <c r="J949" s="1"/>
      <c r="K949" s="1"/>
    </row>
    <row r="950">
      <c r="A950" s="1"/>
      <c r="B950" s="1"/>
      <c r="C950" s="1"/>
      <c r="D950" s="1"/>
      <c r="E950" s="1"/>
      <c r="F950" s="1"/>
      <c r="G950" s="1"/>
      <c r="H950" s="1"/>
      <c r="I950" s="1"/>
      <c r="J950" s="1"/>
      <c r="K950" s="1"/>
    </row>
    <row r="951">
      <c r="A951" s="1"/>
      <c r="B951" s="1"/>
      <c r="C951" s="1"/>
      <c r="D951" s="1"/>
      <c r="E951" s="1"/>
      <c r="F951" s="1"/>
      <c r="G951" s="1"/>
      <c r="H951" s="1"/>
      <c r="I951" s="1"/>
      <c r="J951" s="1"/>
      <c r="K951" s="1"/>
    </row>
    <row r="952">
      <c r="A952" s="1"/>
      <c r="B952" s="1"/>
      <c r="C952" s="1"/>
      <c r="D952" s="1"/>
      <c r="E952" s="1"/>
      <c r="F952" s="1"/>
      <c r="G952" s="1"/>
      <c r="H952" s="1"/>
      <c r="I952" s="1"/>
      <c r="J952" s="1"/>
      <c r="K952" s="1"/>
    </row>
    <row r="953">
      <c r="A953" s="1"/>
      <c r="B953" s="1"/>
      <c r="C953" s="1"/>
      <c r="D953" s="1"/>
      <c r="E953" s="1"/>
      <c r="F953" s="1"/>
      <c r="G953" s="1"/>
      <c r="H953" s="1"/>
      <c r="I953" s="1"/>
      <c r="J953" s="1"/>
      <c r="K953" s="1"/>
    </row>
    <row r="954">
      <c r="A954" s="1"/>
      <c r="B954" s="1"/>
      <c r="C954" s="1"/>
      <c r="D954" s="1"/>
      <c r="E954" s="1"/>
      <c r="F954" s="1"/>
      <c r="G954" s="1"/>
      <c r="H954" s="1"/>
      <c r="I954" s="1"/>
      <c r="J954" s="1"/>
      <c r="K954" s="1"/>
    </row>
    <row r="955">
      <c r="A955" s="1"/>
      <c r="B955" s="1"/>
      <c r="C955" s="1"/>
      <c r="D955" s="1"/>
      <c r="E955" s="1"/>
      <c r="F955" s="1"/>
      <c r="G955" s="1"/>
      <c r="H955" s="1"/>
      <c r="I955" s="1"/>
      <c r="J955" s="1"/>
      <c r="K955" s="1"/>
    </row>
    <row r="956">
      <c r="A956" s="1"/>
      <c r="B956" s="1"/>
      <c r="C956" s="1"/>
      <c r="D956" s="1"/>
      <c r="E956" s="1"/>
      <c r="F956" s="1"/>
      <c r="G956" s="1"/>
      <c r="H956" s="1"/>
      <c r="I956" s="1"/>
      <c r="J956" s="1"/>
      <c r="K956" s="1"/>
    </row>
    <row r="957">
      <c r="A957" s="1"/>
      <c r="B957" s="1"/>
      <c r="C957" s="1"/>
      <c r="D957" s="1"/>
      <c r="E957" s="1"/>
      <c r="F957" s="1"/>
      <c r="G957" s="1"/>
      <c r="H957" s="1"/>
      <c r="I957" s="1"/>
      <c r="J957" s="1"/>
      <c r="K957" s="1"/>
    </row>
    <row r="958">
      <c r="A958" s="1"/>
      <c r="B958" s="1"/>
      <c r="C958" s="1"/>
      <c r="D958" s="1"/>
      <c r="E958" s="1"/>
      <c r="F958" s="1"/>
      <c r="G958" s="1"/>
      <c r="H958" s="1"/>
      <c r="I958" s="1"/>
      <c r="J958" s="1"/>
      <c r="K958" s="1"/>
    </row>
    <row r="959">
      <c r="A959" s="1"/>
      <c r="B959" s="1"/>
      <c r="C959" s="1"/>
      <c r="D959" s="1"/>
      <c r="E959" s="1"/>
      <c r="F959" s="1"/>
      <c r="G959" s="1"/>
      <c r="H959" s="1"/>
      <c r="I959" s="1"/>
      <c r="J959" s="1"/>
      <c r="K959" s="1"/>
    </row>
    <row r="960">
      <c r="A960" s="1"/>
      <c r="B960" s="1"/>
      <c r="C960" s="1"/>
      <c r="D960" s="1"/>
      <c r="E960" s="1"/>
      <c r="F960" s="1"/>
      <c r="G960" s="1"/>
      <c r="H960" s="1"/>
      <c r="I960" s="1"/>
      <c r="J960" s="1"/>
      <c r="K960" s="1"/>
    </row>
    <row r="961">
      <c r="A961" s="1"/>
      <c r="B961" s="1"/>
      <c r="C961" s="1"/>
      <c r="D961" s="1"/>
      <c r="E961" s="1"/>
      <c r="F961" s="1"/>
      <c r="G961" s="1"/>
      <c r="H961" s="1"/>
      <c r="I961" s="1"/>
      <c r="J961" s="1"/>
      <c r="K961" s="1"/>
    </row>
    <row r="962">
      <c r="A962" s="1"/>
      <c r="B962" s="1"/>
      <c r="C962" s="1"/>
      <c r="D962" s="1"/>
      <c r="E962" s="1"/>
      <c r="F962" s="1"/>
      <c r="G962" s="1"/>
      <c r="H962" s="1"/>
      <c r="I962" s="1"/>
      <c r="J962" s="1"/>
      <c r="K962" s="1"/>
    </row>
    <row r="963">
      <c r="A963" s="1"/>
      <c r="B963" s="1"/>
      <c r="C963" s="1"/>
      <c r="D963" s="1"/>
      <c r="E963" s="1"/>
      <c r="F963" s="1"/>
      <c r="G963" s="1"/>
      <c r="H963" s="1"/>
      <c r="I963" s="1"/>
      <c r="J963" s="1"/>
      <c r="K963" s="1"/>
    </row>
    <row r="964">
      <c r="A964" s="1"/>
      <c r="B964" s="1"/>
      <c r="C964" s="1"/>
      <c r="D964" s="1"/>
      <c r="E964" s="1"/>
      <c r="F964" s="1"/>
      <c r="G964" s="1"/>
      <c r="H964" s="1"/>
      <c r="I964" s="1"/>
      <c r="J964" s="1"/>
      <c r="K964" s="1"/>
    </row>
    <row r="965">
      <c r="A965" s="1"/>
      <c r="B965" s="1"/>
      <c r="C965" s="1"/>
      <c r="D965" s="1"/>
      <c r="E965" s="1"/>
      <c r="F965" s="1"/>
      <c r="G965" s="1"/>
      <c r="H965" s="1"/>
      <c r="I965" s="1"/>
      <c r="J965" s="1"/>
      <c r="K965" s="1"/>
    </row>
    <row r="966">
      <c r="A966" s="1"/>
      <c r="B966" s="1"/>
      <c r="C966" s="1"/>
      <c r="D966" s="1"/>
      <c r="E966" s="1"/>
      <c r="F966" s="1"/>
      <c r="G966" s="1"/>
      <c r="H966" s="1"/>
      <c r="I966" s="1"/>
      <c r="J966" s="1"/>
      <c r="K966" s="1"/>
    </row>
    <row r="967">
      <c r="A967" s="1"/>
      <c r="B967" s="1"/>
      <c r="C967" s="1"/>
      <c r="D967" s="1"/>
      <c r="E967" s="1"/>
      <c r="F967" s="1"/>
      <c r="G967" s="1"/>
      <c r="H967" s="1"/>
      <c r="I967" s="1"/>
      <c r="J967" s="1"/>
      <c r="K967" s="1"/>
    </row>
    <row r="968">
      <c r="A968" s="1"/>
      <c r="B968" s="1"/>
      <c r="C968" s="1"/>
      <c r="D968" s="1"/>
      <c r="E968" s="1"/>
      <c r="F968" s="1"/>
      <c r="G968" s="1"/>
      <c r="H968" s="1"/>
      <c r="I968" s="1"/>
      <c r="J968" s="1"/>
      <c r="K968" s="1"/>
    </row>
    <row r="969">
      <c r="A969" s="1"/>
      <c r="B969" s="1"/>
      <c r="C969" s="1"/>
      <c r="D969" s="1"/>
      <c r="E969" s="1"/>
      <c r="F969" s="1"/>
      <c r="G969" s="1"/>
      <c r="H969" s="1"/>
      <c r="I969" s="1"/>
      <c r="J969" s="1"/>
      <c r="K969" s="1"/>
    </row>
    <row r="970">
      <c r="A970" s="1"/>
      <c r="B970" s="1"/>
      <c r="C970" s="1"/>
      <c r="D970" s="1"/>
      <c r="E970" s="1"/>
      <c r="F970" s="1"/>
      <c r="G970" s="1"/>
      <c r="H970" s="1"/>
      <c r="I970" s="1"/>
      <c r="J970" s="1"/>
      <c r="K970" s="1"/>
    </row>
    <row r="971">
      <c r="A971" s="1"/>
      <c r="B971" s="1"/>
      <c r="C971" s="1"/>
      <c r="D971" s="1"/>
      <c r="E971" s="1"/>
      <c r="F971" s="1"/>
      <c r="G971" s="1"/>
      <c r="H971" s="1"/>
      <c r="I971" s="1"/>
      <c r="J971" s="1"/>
      <c r="K971" s="1"/>
    </row>
    <row r="972">
      <c r="A972" s="1"/>
      <c r="B972" s="1"/>
      <c r="C972" s="1"/>
      <c r="D972" s="1"/>
      <c r="E972" s="1"/>
      <c r="F972" s="1"/>
      <c r="G972" s="1"/>
      <c r="H972" s="1"/>
      <c r="I972" s="1"/>
      <c r="J972" s="1"/>
      <c r="K972" s="1"/>
    </row>
    <row r="973">
      <c r="A973" s="1"/>
      <c r="B973" s="1"/>
      <c r="C973" s="1"/>
      <c r="D973" s="1"/>
      <c r="E973" s="1"/>
      <c r="F973" s="1"/>
      <c r="G973" s="1"/>
      <c r="H973" s="1"/>
      <c r="I973" s="1"/>
      <c r="J973" s="1"/>
      <c r="K973" s="1"/>
    </row>
    <row r="974">
      <c r="A974" s="1"/>
      <c r="B974" s="1"/>
      <c r="C974" s="1"/>
      <c r="D974" s="1"/>
      <c r="E974" s="1"/>
      <c r="F974" s="1"/>
      <c r="G974" s="1"/>
      <c r="H974" s="1"/>
      <c r="I974" s="1"/>
      <c r="J974" s="1"/>
      <c r="K974" s="1"/>
    </row>
    <row r="975">
      <c r="A975" s="1"/>
      <c r="B975" s="1"/>
      <c r="C975" s="1"/>
      <c r="D975" s="1"/>
      <c r="E975" s="1"/>
      <c r="F975" s="1"/>
      <c r="G975" s="1"/>
      <c r="H975" s="1"/>
      <c r="I975" s="1"/>
      <c r="J975" s="1"/>
      <c r="K975" s="1"/>
    </row>
    <row r="976">
      <c r="A976" s="1"/>
      <c r="B976" s="1"/>
      <c r="C976" s="1"/>
      <c r="D976" s="1"/>
      <c r="E976" s="1"/>
      <c r="F976" s="1"/>
      <c r="G976" s="1"/>
      <c r="H976" s="1"/>
      <c r="I976" s="1"/>
      <c r="J976" s="1"/>
      <c r="K976" s="1"/>
    </row>
    <row r="977">
      <c r="A977" s="1"/>
      <c r="B977" s="1"/>
      <c r="C977" s="1"/>
      <c r="D977" s="1"/>
      <c r="E977" s="1"/>
      <c r="F977" s="1"/>
      <c r="G977" s="1"/>
      <c r="H977" s="1"/>
      <c r="I977" s="1"/>
      <c r="J977" s="1"/>
      <c r="K977" s="1"/>
    </row>
    <row r="978">
      <c r="A978" s="1"/>
      <c r="B978" s="1"/>
      <c r="C978" s="1"/>
      <c r="D978" s="1"/>
      <c r="E978" s="1"/>
      <c r="F978" s="1"/>
      <c r="G978" s="1"/>
      <c r="H978" s="1"/>
      <c r="I978" s="1"/>
      <c r="J978" s="1"/>
      <c r="K978" s="1"/>
    </row>
    <row r="979">
      <c r="A979" s="1"/>
      <c r="B979" s="1"/>
      <c r="C979" s="1"/>
      <c r="D979" s="1"/>
      <c r="E979" s="1"/>
      <c r="F979" s="1"/>
      <c r="G979" s="1"/>
      <c r="H979" s="1"/>
      <c r="I979" s="1"/>
      <c r="J979" s="1"/>
      <c r="K979" s="1"/>
    </row>
    <row r="980">
      <c r="A980" s="1"/>
      <c r="B980" s="1"/>
      <c r="C980" s="1"/>
      <c r="D980" s="1"/>
      <c r="E980" s="1"/>
      <c r="F980" s="1"/>
      <c r="G980" s="1"/>
      <c r="H980" s="1"/>
      <c r="I980" s="1"/>
      <c r="J980" s="1"/>
      <c r="K980" s="1"/>
    </row>
    <row r="981">
      <c r="A981" s="1"/>
      <c r="B981" s="1"/>
      <c r="C981" s="1"/>
      <c r="D981" s="1"/>
      <c r="E981" s="1"/>
      <c r="F981" s="1"/>
      <c r="G981" s="1"/>
      <c r="H981" s="1"/>
      <c r="I981" s="1"/>
      <c r="J981" s="1"/>
      <c r="K981" s="1"/>
    </row>
    <row r="982">
      <c r="A982" s="1"/>
      <c r="B982" s="1"/>
      <c r="C982" s="1"/>
      <c r="D982" s="1"/>
      <c r="E982" s="1"/>
      <c r="F982" s="1"/>
      <c r="G982" s="1"/>
      <c r="H982" s="1"/>
      <c r="I982" s="1"/>
      <c r="J982" s="1"/>
      <c r="K982" s="1"/>
    </row>
    <row r="983">
      <c r="A983" s="1"/>
      <c r="B983" s="1"/>
      <c r="C983" s="1"/>
      <c r="D983" s="1"/>
      <c r="E983" s="1"/>
      <c r="F983" s="1"/>
      <c r="G983" s="1"/>
      <c r="H983" s="1"/>
      <c r="I983" s="1"/>
      <c r="J983" s="1"/>
      <c r="K983" s="1"/>
    </row>
    <row r="984">
      <c r="A984" s="1"/>
      <c r="B984" s="1"/>
      <c r="C984" s="1"/>
      <c r="D984" s="1"/>
      <c r="E984" s="1"/>
      <c r="F984" s="1"/>
      <c r="G984" s="1"/>
      <c r="H984" s="1"/>
      <c r="I984" s="1"/>
      <c r="J984" s="1"/>
      <c r="K984" s="1"/>
    </row>
    <row r="985">
      <c r="A985" s="1"/>
      <c r="B985" s="1"/>
      <c r="C985" s="1"/>
      <c r="D985" s="1"/>
      <c r="E985" s="1"/>
      <c r="F985" s="1"/>
      <c r="G985" s="1"/>
      <c r="H985" s="1"/>
      <c r="I985" s="1"/>
      <c r="J985" s="1"/>
      <c r="K985" s="1"/>
    </row>
    <row r="986">
      <c r="A986" s="1"/>
      <c r="B986" s="1"/>
      <c r="C986" s="1"/>
      <c r="D986" s="1"/>
      <c r="E986" s="1"/>
      <c r="F986" s="1"/>
      <c r="G986" s="1"/>
      <c r="H986" s="1"/>
      <c r="I986" s="1"/>
      <c r="J986" s="1"/>
      <c r="K986" s="1"/>
    </row>
    <row r="987">
      <c r="A987" s="1"/>
      <c r="B987" s="1"/>
      <c r="C987" s="1"/>
      <c r="D987" s="1"/>
      <c r="E987" s="1"/>
      <c r="F987" s="1"/>
      <c r="G987" s="1"/>
      <c r="H987" s="1"/>
      <c r="I987" s="1"/>
      <c r="J987" s="1"/>
      <c r="K987" s="1"/>
    </row>
    <row r="988">
      <c r="A988" s="1"/>
      <c r="B988" s="1"/>
      <c r="C988" s="1"/>
      <c r="D988" s="1"/>
      <c r="E988" s="1"/>
      <c r="F988" s="1"/>
      <c r="G988" s="1"/>
      <c r="H988" s="1"/>
      <c r="I988" s="1"/>
      <c r="J988" s="1"/>
      <c r="K988" s="1"/>
    </row>
    <row r="989">
      <c r="A989" s="1"/>
      <c r="B989" s="1"/>
      <c r="C989" s="1"/>
      <c r="D989" s="1"/>
      <c r="E989" s="1"/>
      <c r="F989" s="1"/>
      <c r="G989" s="1"/>
      <c r="H989" s="1"/>
      <c r="I989" s="1"/>
      <c r="J989" s="1"/>
      <c r="K989" s="1"/>
    </row>
    <row r="990">
      <c r="A990" s="1"/>
      <c r="B990" s="1"/>
      <c r="C990" s="1"/>
      <c r="D990" s="1"/>
      <c r="E990" s="1"/>
      <c r="F990" s="1"/>
      <c r="G990" s="1"/>
      <c r="H990" s="1"/>
      <c r="I990" s="1"/>
      <c r="J990" s="1"/>
      <c r="K990" s="1"/>
    </row>
    <row r="991">
      <c r="A991" s="1"/>
      <c r="B991" s="1"/>
      <c r="C991" s="1"/>
      <c r="D991" s="1"/>
      <c r="E991" s="1"/>
      <c r="F991" s="1"/>
      <c r="G991" s="1"/>
      <c r="H991" s="1"/>
      <c r="I991" s="1"/>
      <c r="J991" s="1"/>
      <c r="K991" s="1"/>
    </row>
    <row r="992">
      <c r="A992" s="1"/>
      <c r="B992" s="1"/>
      <c r="C992" s="1"/>
      <c r="D992" s="1"/>
      <c r="E992" s="1"/>
      <c r="F992" s="1"/>
      <c r="G992" s="1"/>
      <c r="H992" s="1"/>
      <c r="I992" s="1"/>
      <c r="J992" s="1"/>
      <c r="K992" s="1"/>
    </row>
    <row r="993">
      <c r="A993" s="1"/>
      <c r="B993" s="1"/>
      <c r="C993" s="1"/>
      <c r="D993" s="1"/>
      <c r="E993" s="1"/>
      <c r="F993" s="1"/>
      <c r="G993" s="1"/>
      <c r="H993" s="1"/>
      <c r="I993" s="1"/>
      <c r="J993" s="1"/>
      <c r="K993" s="1"/>
    </row>
    <row r="994">
      <c r="A994" s="1"/>
      <c r="B994" s="1"/>
      <c r="C994" s="1"/>
      <c r="D994" s="1"/>
      <c r="E994" s="1"/>
      <c r="F994" s="1"/>
      <c r="G994" s="1"/>
      <c r="H994" s="1"/>
      <c r="I994" s="1"/>
      <c r="J994" s="1"/>
      <c r="K994" s="1"/>
    </row>
    <row r="995">
      <c r="A995" s="1"/>
      <c r="B995" s="1"/>
      <c r="C995" s="1"/>
      <c r="D995" s="1"/>
      <c r="E995" s="1"/>
      <c r="F995" s="1"/>
      <c r="G995" s="1"/>
      <c r="H995" s="1"/>
      <c r="I995" s="1"/>
      <c r="J995" s="1"/>
      <c r="K995" s="1"/>
    </row>
    <row r="996">
      <c r="A996" s="1"/>
      <c r="B996" s="1"/>
      <c r="C996" s="1"/>
      <c r="D996" s="1"/>
      <c r="E996" s="1"/>
      <c r="F996" s="1"/>
      <c r="G996" s="1"/>
      <c r="H996" s="1"/>
      <c r="I996" s="1"/>
      <c r="J996" s="1"/>
      <c r="K996" s="1"/>
    </row>
    <row r="997">
      <c r="A997" s="1"/>
      <c r="B997" s="1"/>
      <c r="C997" s="1"/>
      <c r="D997" s="1"/>
      <c r="E997" s="1"/>
      <c r="F997" s="1"/>
      <c r="G997" s="1"/>
      <c r="H997" s="1"/>
      <c r="I997" s="1"/>
      <c r="J997" s="1"/>
      <c r="K997" s="1"/>
    </row>
    <row r="998">
      <c r="A998" s="1"/>
      <c r="B998" s="1"/>
      <c r="C998" s="1"/>
      <c r="D998" s="1"/>
      <c r="E998" s="1"/>
      <c r="F998" s="1"/>
      <c r="G998" s="1"/>
      <c r="H998" s="1"/>
      <c r="I998" s="1"/>
      <c r="J998" s="1"/>
      <c r="K998" s="1"/>
    </row>
    <row r="999">
      <c r="A999" s="1"/>
      <c r="B999" s="1"/>
      <c r="C999" s="1"/>
      <c r="D999" s="1"/>
      <c r="E999" s="1"/>
      <c r="F999" s="1"/>
      <c r="G999" s="1"/>
      <c r="H999" s="1"/>
      <c r="I999" s="1"/>
      <c r="J999" s="1"/>
      <c r="K999" s="1"/>
    </row>
    <row r="1000">
      <c r="A1000" s="1"/>
      <c r="B1000" s="1"/>
      <c r="C1000" s="1"/>
      <c r="D1000" s="1"/>
      <c r="E1000" s="1"/>
      <c r="F1000" s="1"/>
      <c r="G1000" s="1"/>
      <c r="H1000" s="1"/>
      <c r="I1000" s="1"/>
      <c r="J1000" s="1"/>
      <c r="K1000" s="1"/>
    </row>
  </sheetData>
  <mergeCells count="11">
    <mergeCell ref="A48:J48"/>
    <mergeCell ref="A50:J50"/>
    <mergeCell ref="A51:J51"/>
    <mergeCell ref="A52:C52"/>
    <mergeCell ref="A3:J3"/>
    <mergeCell ref="A5:A6"/>
    <mergeCell ref="B5:C5"/>
    <mergeCell ref="D5:F5"/>
    <mergeCell ref="G5:I5"/>
    <mergeCell ref="J5:J6"/>
    <mergeCell ref="A47:J47"/>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5" max="15" width="14.13"/>
    <col customWidth="1" min="16" max="16" width="8.75"/>
  </cols>
  <sheetData>
    <row r="1" ht="60.75" customHeight="1">
      <c r="A1" s="36" t="s">
        <v>32</v>
      </c>
      <c r="B1" s="36" t="s">
        <v>33</v>
      </c>
      <c r="C1" s="37" t="s">
        <v>34</v>
      </c>
      <c r="D1" s="38" t="s">
        <v>35</v>
      </c>
      <c r="E1" s="36" t="s">
        <v>36</v>
      </c>
      <c r="F1" s="36" t="s">
        <v>37</v>
      </c>
      <c r="G1" s="36" t="s">
        <v>38</v>
      </c>
      <c r="H1" s="39" t="s">
        <v>39</v>
      </c>
      <c r="I1" s="36" t="s">
        <v>40</v>
      </c>
      <c r="J1" s="40" t="s">
        <v>41</v>
      </c>
      <c r="K1" s="40" t="s">
        <v>42</v>
      </c>
      <c r="L1" s="41" t="s">
        <v>43</v>
      </c>
      <c r="M1" s="42" t="s">
        <v>44</v>
      </c>
      <c r="N1" s="39" t="s">
        <v>45</v>
      </c>
      <c r="O1" s="43"/>
      <c r="P1" s="43"/>
      <c r="Q1" s="42" t="s">
        <v>46</v>
      </c>
      <c r="R1" s="42" t="s">
        <v>44</v>
      </c>
      <c r="S1" s="42" t="s">
        <v>45</v>
      </c>
      <c r="T1" s="44" t="s">
        <v>39</v>
      </c>
      <c r="U1" s="43"/>
      <c r="V1" s="43"/>
      <c r="W1" s="43"/>
      <c r="X1" s="43"/>
      <c r="Y1" s="43"/>
    </row>
    <row r="2" ht="15.0" customHeight="1">
      <c r="A2" s="45">
        <v>10101.0</v>
      </c>
      <c r="B2" s="45" t="s">
        <v>47</v>
      </c>
      <c r="C2" s="46">
        <v>244637.0</v>
      </c>
      <c r="D2" s="47">
        <v>90.9</v>
      </c>
      <c r="E2" s="48">
        <v>8.6</v>
      </c>
      <c r="F2" s="49">
        <f t="shared" ref="F2:F344" si="2">$P$3+$P$4*D2</f>
        <v>8.7454</v>
      </c>
      <c r="G2" s="49">
        <f t="shared" ref="G2:G30" si="3">0.98*F2/F$345</f>
        <v>1.028652343</v>
      </c>
      <c r="H2" s="50">
        <f t="shared" ref="H2:H344" si="4">E2*G2</f>
        <v>8.846410147</v>
      </c>
      <c r="I2" s="51">
        <f t="shared" ref="I2:I344" si="5">C2*H2/100</f>
        <v>21641.59239</v>
      </c>
      <c r="J2" s="52">
        <f>SUM(C2:C30)</f>
        <v>562960</v>
      </c>
      <c r="K2" s="52">
        <f>SUM(I2:I30)</f>
        <v>48267.48499</v>
      </c>
      <c r="L2" s="53">
        <f>K2/J2</f>
        <v>0.08573874697</v>
      </c>
      <c r="M2" s="52">
        <v>26825.0</v>
      </c>
      <c r="N2" s="46">
        <f t="shared" ref="N2:N344" si="6">+(H2*M2)/100</f>
        <v>2373.049522</v>
      </c>
      <c r="O2" s="54" t="s">
        <v>48</v>
      </c>
      <c r="P2" s="55">
        <v>8.8</v>
      </c>
      <c r="Q2" s="56" t="s">
        <v>49</v>
      </c>
      <c r="R2" s="46">
        <f t="shared" ref="R2:S2" si="1">+SUM(M2:M30)</f>
        <v>68965</v>
      </c>
      <c r="S2" s="46">
        <f t="shared" si="1"/>
        <v>5896.127795</v>
      </c>
      <c r="T2" s="57">
        <f t="shared" ref="T2:T12" si="8">+(S2*100)/R2</f>
        <v>8.549449423</v>
      </c>
    </row>
    <row r="3" ht="15.0" customHeight="1">
      <c r="A3" s="45">
        <v>10102.0</v>
      </c>
      <c r="B3" s="45" t="s">
        <v>50</v>
      </c>
      <c r="C3" s="46">
        <v>9474.0</v>
      </c>
      <c r="D3" s="47">
        <v>0.0</v>
      </c>
      <c r="E3" s="48">
        <v>8.6</v>
      </c>
      <c r="F3" s="49">
        <f t="shared" si="2"/>
        <v>8.2</v>
      </c>
      <c r="G3" s="49">
        <f t="shared" si="3"/>
        <v>0.9645012475</v>
      </c>
      <c r="H3" s="50">
        <f t="shared" si="4"/>
        <v>8.294710728</v>
      </c>
      <c r="I3" s="51">
        <f t="shared" si="5"/>
        <v>785.8408944</v>
      </c>
      <c r="J3" s="58"/>
      <c r="K3" s="58"/>
      <c r="L3" s="59"/>
      <c r="M3" s="52">
        <v>1072.0</v>
      </c>
      <c r="N3" s="46">
        <f t="shared" si="6"/>
        <v>88.91929901</v>
      </c>
      <c r="O3" s="60" t="s">
        <v>51</v>
      </c>
      <c r="P3" s="61">
        <v>8.2</v>
      </c>
      <c r="Q3" s="56" t="s">
        <v>52</v>
      </c>
      <c r="R3" s="46">
        <f t="shared" ref="R3:S3" si="7">+SUM(M31:M117)</f>
        <v>269074</v>
      </c>
      <c r="S3" s="46">
        <f t="shared" si="7"/>
        <v>22079.74085</v>
      </c>
      <c r="T3" s="57">
        <f t="shared" si="8"/>
        <v>8.205824736</v>
      </c>
    </row>
    <row r="4" ht="15.0" customHeight="1">
      <c r="A4" s="45">
        <v>10103.0</v>
      </c>
      <c r="B4" s="45" t="s">
        <v>53</v>
      </c>
      <c r="C4" s="46">
        <v>16690.0</v>
      </c>
      <c r="D4" s="47">
        <v>0.0</v>
      </c>
      <c r="E4" s="48">
        <v>8.6</v>
      </c>
      <c r="F4" s="49">
        <f t="shared" si="2"/>
        <v>8.2</v>
      </c>
      <c r="G4" s="49">
        <f t="shared" si="3"/>
        <v>0.9645012475</v>
      </c>
      <c r="H4" s="50">
        <f t="shared" si="4"/>
        <v>8.294710728</v>
      </c>
      <c r="I4" s="51">
        <f t="shared" si="5"/>
        <v>1384.387221</v>
      </c>
      <c r="J4" s="58"/>
      <c r="K4" s="58"/>
      <c r="L4" s="59"/>
      <c r="M4" s="52">
        <v>2425.0</v>
      </c>
      <c r="N4" s="46">
        <f t="shared" si="6"/>
        <v>201.1467352</v>
      </c>
      <c r="O4" s="62" t="s">
        <v>54</v>
      </c>
      <c r="P4" s="63">
        <f>(P2-P3)/(100-0)</f>
        <v>0.006</v>
      </c>
      <c r="Q4" s="56" t="s">
        <v>55</v>
      </c>
      <c r="R4" s="46">
        <f t="shared" ref="R4:S4" si="9">+SUM(M118:M165)</f>
        <v>191211</v>
      </c>
      <c r="S4" s="46">
        <f t="shared" si="9"/>
        <v>15058.38622</v>
      </c>
      <c r="T4" s="57">
        <f t="shared" si="8"/>
        <v>7.875271937</v>
      </c>
    </row>
    <row r="5" ht="15.0" customHeight="1">
      <c r="A5" s="45">
        <v>10201.0</v>
      </c>
      <c r="B5" s="45" t="s">
        <v>56</v>
      </c>
      <c r="C5" s="46">
        <v>10905.0</v>
      </c>
      <c r="D5" s="47">
        <v>0.0</v>
      </c>
      <c r="E5" s="48">
        <v>8.6</v>
      </c>
      <c r="F5" s="49">
        <f t="shared" si="2"/>
        <v>8.2</v>
      </c>
      <c r="G5" s="49">
        <f t="shared" si="3"/>
        <v>0.9645012475</v>
      </c>
      <c r="H5" s="50">
        <f t="shared" si="4"/>
        <v>8.294710728</v>
      </c>
      <c r="I5" s="51">
        <f t="shared" si="5"/>
        <v>904.5382049</v>
      </c>
      <c r="J5" s="58"/>
      <c r="K5" s="58"/>
      <c r="L5" s="59"/>
      <c r="M5" s="52">
        <v>1607.0</v>
      </c>
      <c r="N5" s="46">
        <f t="shared" si="6"/>
        <v>133.2960014</v>
      </c>
      <c r="Q5" s="56" t="s">
        <v>57</v>
      </c>
      <c r="R5" s="46">
        <f t="shared" ref="R5:S5" si="10">+SUM(M166:M200)</f>
        <v>51544</v>
      </c>
      <c r="S5" s="46">
        <f t="shared" si="10"/>
        <v>3242.437307</v>
      </c>
      <c r="T5" s="57">
        <f t="shared" si="8"/>
        <v>6.29062026</v>
      </c>
    </row>
    <row r="6" ht="15.0" customHeight="1">
      <c r="A6" s="45">
        <v>10202.0</v>
      </c>
      <c r="B6" s="45" t="s">
        <v>58</v>
      </c>
      <c r="C6" s="46">
        <v>14977.0</v>
      </c>
      <c r="D6" s="47">
        <v>0.0</v>
      </c>
      <c r="E6" s="48">
        <v>8.6</v>
      </c>
      <c r="F6" s="49">
        <f t="shared" si="2"/>
        <v>8.2</v>
      </c>
      <c r="G6" s="49">
        <f t="shared" si="3"/>
        <v>0.9645012475</v>
      </c>
      <c r="H6" s="50">
        <f t="shared" si="4"/>
        <v>8.294710728</v>
      </c>
      <c r="I6" s="51">
        <f t="shared" si="5"/>
        <v>1242.298826</v>
      </c>
      <c r="J6" s="58"/>
      <c r="K6" s="58"/>
      <c r="L6" s="59"/>
      <c r="M6" s="52">
        <v>2095.0</v>
      </c>
      <c r="N6" s="46">
        <f t="shared" si="6"/>
        <v>173.7741898</v>
      </c>
      <c r="Q6" s="56" t="s">
        <v>59</v>
      </c>
      <c r="R6" s="46">
        <f t="shared" ref="R6:S6" si="11">+SUM(M201:M242)</f>
        <v>98276</v>
      </c>
      <c r="S6" s="46">
        <f t="shared" si="11"/>
        <v>6589.103821</v>
      </c>
      <c r="T6" s="57">
        <f t="shared" si="8"/>
        <v>6.704692724</v>
      </c>
    </row>
    <row r="7" ht="15.0" customHeight="1">
      <c r="A7" s="45">
        <v>10301.0</v>
      </c>
      <c r="B7" s="45" t="s">
        <v>60</v>
      </c>
      <c r="C7" s="46">
        <v>9930.0</v>
      </c>
      <c r="D7" s="47">
        <v>23.4</v>
      </c>
      <c r="E7" s="48">
        <v>8.6</v>
      </c>
      <c r="F7" s="49">
        <f t="shared" si="2"/>
        <v>8.3404</v>
      </c>
      <c r="G7" s="49">
        <f t="shared" si="3"/>
        <v>0.9810153908</v>
      </c>
      <c r="H7" s="50">
        <f t="shared" si="4"/>
        <v>8.436732361</v>
      </c>
      <c r="I7" s="51">
        <f t="shared" si="5"/>
        <v>837.7675234</v>
      </c>
      <c r="J7" s="58"/>
      <c r="K7" s="58"/>
      <c r="L7" s="59"/>
      <c r="M7" s="52">
        <v>1094.0</v>
      </c>
      <c r="N7" s="46">
        <f t="shared" si="6"/>
        <v>92.29785203</v>
      </c>
      <c r="Q7" s="56" t="s">
        <v>61</v>
      </c>
      <c r="R7" s="46">
        <f t="shared" ref="R7:S7" si="12">+SUM(M243:M253)</f>
        <v>49723</v>
      </c>
      <c r="S7" s="46">
        <f t="shared" si="12"/>
        <v>5661.00531</v>
      </c>
      <c r="T7" s="57">
        <f t="shared" si="8"/>
        <v>11.38508399</v>
      </c>
    </row>
    <row r="8" ht="15.0" customHeight="1">
      <c r="A8" s="45">
        <v>10302.0</v>
      </c>
      <c r="B8" s="45" t="s">
        <v>62</v>
      </c>
      <c r="C8" s="46">
        <v>11115.0</v>
      </c>
      <c r="D8" s="47">
        <v>15.0</v>
      </c>
      <c r="E8" s="48">
        <v>8.6</v>
      </c>
      <c r="F8" s="49">
        <f t="shared" si="2"/>
        <v>8.29</v>
      </c>
      <c r="G8" s="49">
        <f t="shared" si="3"/>
        <v>0.9750872368</v>
      </c>
      <c r="H8" s="50">
        <f t="shared" si="4"/>
        <v>8.385750236</v>
      </c>
      <c r="I8" s="51">
        <f t="shared" si="5"/>
        <v>932.0761388</v>
      </c>
      <c r="J8" s="58"/>
      <c r="K8" s="58"/>
      <c r="L8" s="59"/>
      <c r="M8" s="52">
        <v>1543.0</v>
      </c>
      <c r="N8" s="46">
        <f t="shared" si="6"/>
        <v>129.3921261</v>
      </c>
      <c r="Q8" s="56" t="s">
        <v>63</v>
      </c>
      <c r="R8" s="46">
        <f t="shared" ref="R8:S8" si="13">+SUM(M254:M309)</f>
        <v>293010</v>
      </c>
      <c r="S8" s="46">
        <f t="shared" si="13"/>
        <v>31576.1049</v>
      </c>
      <c r="T8" s="57">
        <f t="shared" si="8"/>
        <v>10.77645981</v>
      </c>
    </row>
    <row r="9" ht="15.0" customHeight="1">
      <c r="A9" s="45">
        <v>10303.0</v>
      </c>
      <c r="B9" s="45" t="s">
        <v>64</v>
      </c>
      <c r="C9" s="46">
        <v>8016.0</v>
      </c>
      <c r="D9" s="47">
        <v>0.0</v>
      </c>
      <c r="E9" s="48">
        <v>8.6</v>
      </c>
      <c r="F9" s="49">
        <f t="shared" si="2"/>
        <v>8.2</v>
      </c>
      <c r="G9" s="49">
        <f t="shared" si="3"/>
        <v>0.9645012475</v>
      </c>
      <c r="H9" s="50">
        <f t="shared" si="4"/>
        <v>8.294710728</v>
      </c>
      <c r="I9" s="51">
        <f t="shared" si="5"/>
        <v>664.904012</v>
      </c>
      <c r="J9" s="58"/>
      <c r="K9" s="58"/>
      <c r="L9" s="59"/>
      <c r="M9" s="52">
        <v>1059.0</v>
      </c>
      <c r="N9" s="46">
        <f t="shared" si="6"/>
        <v>87.84098661</v>
      </c>
      <c r="Q9" s="56" t="s">
        <v>22</v>
      </c>
      <c r="R9" s="46">
        <f t="shared" ref="R9:S9" si="14">+SUM(M310:M329)</f>
        <v>54651</v>
      </c>
      <c r="S9" s="46">
        <f t="shared" si="14"/>
        <v>4003.801556</v>
      </c>
      <c r="T9" s="57">
        <f t="shared" si="8"/>
        <v>7.326126798</v>
      </c>
    </row>
    <row r="10" ht="15.0" customHeight="1">
      <c r="A10" s="45">
        <v>10304.0</v>
      </c>
      <c r="B10" s="45" t="s">
        <v>65</v>
      </c>
      <c r="C10" s="46">
        <v>7921.0</v>
      </c>
      <c r="D10" s="47">
        <v>0.0</v>
      </c>
      <c r="E10" s="48">
        <v>8.6</v>
      </c>
      <c r="F10" s="49">
        <f t="shared" si="2"/>
        <v>8.2</v>
      </c>
      <c r="G10" s="49">
        <f t="shared" si="3"/>
        <v>0.9645012475</v>
      </c>
      <c r="H10" s="50">
        <f t="shared" si="4"/>
        <v>8.294710728</v>
      </c>
      <c r="I10" s="51">
        <f t="shared" si="5"/>
        <v>657.0240368</v>
      </c>
      <c r="J10" s="58"/>
      <c r="K10" s="58"/>
      <c r="L10" s="59"/>
      <c r="M10" s="52">
        <v>1042.0</v>
      </c>
      <c r="N10" s="46">
        <f t="shared" si="6"/>
        <v>86.43088579</v>
      </c>
      <c r="Q10" s="56" t="s">
        <v>23</v>
      </c>
      <c r="R10" s="46">
        <f t="shared" ref="R10:S10" si="15">+SUM(M330:M344)</f>
        <v>12614</v>
      </c>
      <c r="S10" s="46">
        <f t="shared" si="15"/>
        <v>532.0954006</v>
      </c>
      <c r="T10" s="57">
        <f t="shared" si="8"/>
        <v>4.218292378</v>
      </c>
    </row>
    <row r="11" ht="15.0" customHeight="1">
      <c r="A11" s="45">
        <v>10401.0</v>
      </c>
      <c r="B11" s="45" t="s">
        <v>66</v>
      </c>
      <c r="C11" s="46">
        <v>11136.0</v>
      </c>
      <c r="D11" s="47">
        <v>28.2</v>
      </c>
      <c r="E11" s="48">
        <v>8.6</v>
      </c>
      <c r="F11" s="49">
        <f t="shared" si="2"/>
        <v>8.3692</v>
      </c>
      <c r="G11" s="49">
        <f t="shared" si="3"/>
        <v>0.9844029074</v>
      </c>
      <c r="H11" s="50">
        <f t="shared" si="4"/>
        <v>8.465865004</v>
      </c>
      <c r="I11" s="51">
        <f t="shared" si="5"/>
        <v>942.7587268</v>
      </c>
      <c r="J11" s="58"/>
      <c r="K11" s="58"/>
      <c r="L11" s="59"/>
      <c r="M11" s="52">
        <v>1303.0</v>
      </c>
      <c r="N11" s="46">
        <f t="shared" si="6"/>
        <v>110.310221</v>
      </c>
      <c r="Q11" s="64" t="s">
        <v>67</v>
      </c>
      <c r="R11" s="65">
        <f t="shared" ref="R11:S11" si="16">SUM(R2:R10)</f>
        <v>1089068</v>
      </c>
      <c r="S11" s="65">
        <f t="shared" si="16"/>
        <v>94638.80316</v>
      </c>
      <c r="T11" s="66">
        <f t="shared" si="8"/>
        <v>8.68988926</v>
      </c>
    </row>
    <row r="12" ht="15.0" customHeight="1">
      <c r="A12" s="45">
        <v>10402.0</v>
      </c>
      <c r="B12" s="45" t="s">
        <v>68</v>
      </c>
      <c r="C12" s="46">
        <v>8700.0</v>
      </c>
      <c r="D12" s="47">
        <v>0.0</v>
      </c>
      <c r="E12" s="48">
        <v>8.6</v>
      </c>
      <c r="F12" s="49">
        <f t="shared" si="2"/>
        <v>8.2</v>
      </c>
      <c r="G12" s="49">
        <f t="shared" si="3"/>
        <v>0.9645012475</v>
      </c>
      <c r="H12" s="50">
        <f t="shared" si="4"/>
        <v>8.294710728</v>
      </c>
      <c r="I12" s="51">
        <f t="shared" si="5"/>
        <v>721.6398334</v>
      </c>
      <c r="J12" s="58"/>
      <c r="K12" s="58"/>
      <c r="L12" s="59"/>
      <c r="M12" s="52">
        <v>1135.0</v>
      </c>
      <c r="N12" s="46">
        <f t="shared" si="6"/>
        <v>94.14496677</v>
      </c>
      <c r="Q12" s="56" t="s">
        <v>69</v>
      </c>
      <c r="R12" s="67">
        <f t="shared" ref="R12:S12" si="17">SUM(M246:M248)</f>
        <v>16208</v>
      </c>
      <c r="S12" s="67">
        <f t="shared" si="17"/>
        <v>1850.671909</v>
      </c>
      <c r="T12" s="57">
        <f t="shared" si="8"/>
        <v>11.41826202</v>
      </c>
    </row>
    <row r="13" ht="15.0" customHeight="1">
      <c r="A13" s="45">
        <v>10403.0</v>
      </c>
      <c r="B13" s="45" t="s">
        <v>70</v>
      </c>
      <c r="C13" s="46">
        <v>7286.0</v>
      </c>
      <c r="D13" s="47">
        <v>18.6</v>
      </c>
      <c r="E13" s="48">
        <v>8.6</v>
      </c>
      <c r="F13" s="49">
        <f t="shared" si="2"/>
        <v>8.3116</v>
      </c>
      <c r="G13" s="49">
        <f t="shared" si="3"/>
        <v>0.9776278742</v>
      </c>
      <c r="H13" s="50">
        <f t="shared" si="4"/>
        <v>8.407599718</v>
      </c>
      <c r="I13" s="51">
        <f t="shared" si="5"/>
        <v>612.5777155</v>
      </c>
      <c r="J13" s="58"/>
      <c r="K13" s="58"/>
      <c r="L13" s="59"/>
      <c r="M13" s="52">
        <v>970.0</v>
      </c>
      <c r="N13" s="46">
        <f t="shared" si="6"/>
        <v>81.55371727</v>
      </c>
    </row>
    <row r="14" ht="15.0" customHeight="1">
      <c r="A14" s="45">
        <v>10404.0</v>
      </c>
      <c r="B14" s="45" t="s">
        <v>71</v>
      </c>
      <c r="C14" s="46">
        <v>4586.0</v>
      </c>
      <c r="D14" s="47">
        <v>0.0</v>
      </c>
      <c r="E14" s="48">
        <v>8.6</v>
      </c>
      <c r="F14" s="49">
        <f t="shared" si="2"/>
        <v>8.2</v>
      </c>
      <c r="G14" s="49">
        <f t="shared" si="3"/>
        <v>0.9645012475</v>
      </c>
      <c r="H14" s="50">
        <f t="shared" si="4"/>
        <v>8.294710728</v>
      </c>
      <c r="I14" s="51">
        <f t="shared" si="5"/>
        <v>380.395434</v>
      </c>
      <c r="J14" s="58"/>
      <c r="K14" s="58"/>
      <c r="L14" s="59"/>
      <c r="M14" s="52">
        <v>551.0</v>
      </c>
      <c r="N14" s="46">
        <f t="shared" si="6"/>
        <v>45.70385611</v>
      </c>
    </row>
    <row r="15" ht="15.0" customHeight="1">
      <c r="A15" s="45">
        <v>10405.0</v>
      </c>
      <c r="B15" s="45" t="s">
        <v>72</v>
      </c>
      <c r="C15" s="46">
        <v>4509.0</v>
      </c>
      <c r="D15" s="47">
        <v>0.0</v>
      </c>
      <c r="E15" s="48">
        <v>8.6</v>
      </c>
      <c r="F15" s="49">
        <f t="shared" si="2"/>
        <v>8.2</v>
      </c>
      <c r="G15" s="49">
        <f t="shared" si="3"/>
        <v>0.9645012475</v>
      </c>
      <c r="H15" s="50">
        <f t="shared" si="4"/>
        <v>8.294710728</v>
      </c>
      <c r="I15" s="51">
        <f t="shared" si="5"/>
        <v>374.0085067</v>
      </c>
      <c r="J15" s="58"/>
      <c r="K15" s="58"/>
      <c r="L15" s="59"/>
      <c r="M15" s="52">
        <v>514.0</v>
      </c>
      <c r="N15" s="46">
        <f t="shared" si="6"/>
        <v>42.63481314</v>
      </c>
    </row>
    <row r="16" ht="15.0" customHeight="1">
      <c r="A16" s="45">
        <v>10501.0</v>
      </c>
      <c r="B16" s="45" t="s">
        <v>73</v>
      </c>
      <c r="C16" s="46">
        <v>25103.0</v>
      </c>
      <c r="D16" s="47">
        <v>40.0</v>
      </c>
      <c r="E16" s="48">
        <v>8.6</v>
      </c>
      <c r="F16" s="49">
        <f t="shared" si="2"/>
        <v>8.44</v>
      </c>
      <c r="G16" s="49">
        <f t="shared" si="3"/>
        <v>0.9927305523</v>
      </c>
      <c r="H16" s="50">
        <f t="shared" si="4"/>
        <v>8.53748275</v>
      </c>
      <c r="I16" s="51">
        <f t="shared" si="5"/>
        <v>2143.164295</v>
      </c>
      <c r="J16" s="58"/>
      <c r="K16" s="58"/>
      <c r="L16" s="59"/>
      <c r="M16" s="52">
        <v>2991.0</v>
      </c>
      <c r="N16" s="46">
        <f t="shared" si="6"/>
        <v>255.356109</v>
      </c>
    </row>
    <row r="17" ht="15.0" customHeight="1">
      <c r="A17" s="45">
        <v>10502.0</v>
      </c>
      <c r="B17" s="45" t="s">
        <v>74</v>
      </c>
      <c r="C17" s="46">
        <v>8952.0</v>
      </c>
      <c r="D17" s="47">
        <v>0.0</v>
      </c>
      <c r="E17" s="48">
        <v>8.6</v>
      </c>
      <c r="F17" s="49">
        <f t="shared" si="2"/>
        <v>8.2</v>
      </c>
      <c r="G17" s="49">
        <f t="shared" si="3"/>
        <v>0.9645012475</v>
      </c>
      <c r="H17" s="50">
        <f t="shared" si="4"/>
        <v>8.294710728</v>
      </c>
      <c r="I17" s="51">
        <f t="shared" si="5"/>
        <v>742.5425044</v>
      </c>
      <c r="J17" s="58"/>
      <c r="K17" s="58"/>
      <c r="L17" s="59"/>
      <c r="M17" s="52">
        <v>1269.0</v>
      </c>
      <c r="N17" s="46">
        <f t="shared" si="6"/>
        <v>105.2598791</v>
      </c>
    </row>
    <row r="18" ht="15.0" customHeight="1">
      <c r="A18" s="45">
        <v>10601.0</v>
      </c>
      <c r="B18" s="45" t="s">
        <v>75</v>
      </c>
      <c r="C18" s="46">
        <v>17893.0</v>
      </c>
      <c r="D18" s="47">
        <v>15.7</v>
      </c>
      <c r="E18" s="48">
        <v>8.6</v>
      </c>
      <c r="F18" s="49">
        <f t="shared" si="2"/>
        <v>8.2942</v>
      </c>
      <c r="G18" s="49">
        <f t="shared" si="3"/>
        <v>0.9755812496</v>
      </c>
      <c r="H18" s="50">
        <f t="shared" si="4"/>
        <v>8.389998747</v>
      </c>
      <c r="I18" s="51">
        <f t="shared" si="5"/>
        <v>1501.222476</v>
      </c>
      <c r="J18" s="58"/>
      <c r="K18" s="58"/>
      <c r="L18" s="59"/>
      <c r="M18" s="52">
        <v>2355.0</v>
      </c>
      <c r="N18" s="46">
        <f t="shared" si="6"/>
        <v>197.5844705</v>
      </c>
    </row>
    <row r="19" ht="15.0" customHeight="1">
      <c r="A19" s="45">
        <v>10602.0</v>
      </c>
      <c r="B19" s="45" t="s">
        <v>76</v>
      </c>
      <c r="C19" s="46">
        <v>10075.0</v>
      </c>
      <c r="D19" s="47">
        <v>0.0</v>
      </c>
      <c r="E19" s="48">
        <v>8.6</v>
      </c>
      <c r="F19" s="49">
        <f t="shared" si="2"/>
        <v>8.2</v>
      </c>
      <c r="G19" s="49">
        <f t="shared" si="3"/>
        <v>0.9645012475</v>
      </c>
      <c r="H19" s="50">
        <f t="shared" si="4"/>
        <v>8.294710728</v>
      </c>
      <c r="I19" s="51">
        <f t="shared" si="5"/>
        <v>835.6921059</v>
      </c>
      <c r="J19" s="58"/>
      <c r="K19" s="58"/>
      <c r="L19" s="59"/>
      <c r="M19" s="52">
        <v>1179.0</v>
      </c>
      <c r="N19" s="46">
        <f t="shared" si="6"/>
        <v>97.79463949</v>
      </c>
    </row>
    <row r="20" ht="15.0" customHeight="1">
      <c r="A20" s="45">
        <v>10701.0</v>
      </c>
      <c r="B20" s="45" t="s">
        <v>77</v>
      </c>
      <c r="C20" s="46">
        <v>15189.0</v>
      </c>
      <c r="D20" s="47">
        <v>32.8</v>
      </c>
      <c r="E20" s="48">
        <v>8.6</v>
      </c>
      <c r="F20" s="49">
        <f t="shared" si="2"/>
        <v>8.3968</v>
      </c>
      <c r="G20" s="49">
        <f t="shared" si="3"/>
        <v>0.9876492774</v>
      </c>
      <c r="H20" s="50">
        <f t="shared" si="4"/>
        <v>8.493783786</v>
      </c>
      <c r="I20" s="51">
        <f t="shared" si="5"/>
        <v>1290.120819</v>
      </c>
      <c r="J20" s="58"/>
      <c r="K20" s="58"/>
      <c r="L20" s="59"/>
      <c r="M20" s="52">
        <v>1843.0</v>
      </c>
      <c r="N20" s="46">
        <f t="shared" si="6"/>
        <v>156.5404352</v>
      </c>
    </row>
    <row r="21" ht="15.0" customHeight="1">
      <c r="A21" s="45">
        <v>10702.0</v>
      </c>
      <c r="B21" s="45" t="s">
        <v>78</v>
      </c>
      <c r="C21" s="46">
        <v>32371.0</v>
      </c>
      <c r="D21" s="47">
        <v>0.0</v>
      </c>
      <c r="E21" s="48">
        <v>8.6</v>
      </c>
      <c r="F21" s="49">
        <f t="shared" si="2"/>
        <v>8.2</v>
      </c>
      <c r="G21" s="49">
        <f t="shared" si="3"/>
        <v>0.9645012475</v>
      </c>
      <c r="H21" s="50">
        <f t="shared" si="4"/>
        <v>8.294710728</v>
      </c>
      <c r="I21" s="51">
        <f t="shared" si="5"/>
        <v>2685.08081</v>
      </c>
      <c r="J21" s="58"/>
      <c r="K21" s="58"/>
      <c r="L21" s="59"/>
      <c r="M21" s="52">
        <v>4770.0</v>
      </c>
      <c r="N21" s="46">
        <f t="shared" si="6"/>
        <v>395.6577017</v>
      </c>
    </row>
    <row r="22" ht="15.0" customHeight="1">
      <c r="A22" s="45">
        <v>10703.0</v>
      </c>
      <c r="B22" s="45" t="s">
        <v>79</v>
      </c>
      <c r="C22" s="46">
        <v>12203.0</v>
      </c>
      <c r="D22" s="47">
        <v>0.0</v>
      </c>
      <c r="E22" s="48">
        <v>8.6</v>
      </c>
      <c r="F22" s="49">
        <f t="shared" si="2"/>
        <v>8.2</v>
      </c>
      <c r="G22" s="49">
        <f t="shared" si="3"/>
        <v>0.9645012475</v>
      </c>
      <c r="H22" s="50">
        <f t="shared" si="4"/>
        <v>8.294710728</v>
      </c>
      <c r="I22" s="51">
        <f t="shared" si="5"/>
        <v>1012.20355</v>
      </c>
      <c r="J22" s="58"/>
      <c r="K22" s="58"/>
      <c r="L22" s="59"/>
      <c r="M22" s="52">
        <v>1869.0</v>
      </c>
      <c r="N22" s="46">
        <f t="shared" si="6"/>
        <v>155.0281435</v>
      </c>
    </row>
    <row r="23">
      <c r="A23" s="45">
        <v>10704.0</v>
      </c>
      <c r="B23" s="45" t="s">
        <v>80</v>
      </c>
      <c r="C23" s="46">
        <v>14751.0</v>
      </c>
      <c r="D23" s="47">
        <v>11.2</v>
      </c>
      <c r="E23" s="48">
        <v>8.6</v>
      </c>
      <c r="F23" s="49">
        <f t="shared" si="2"/>
        <v>8.2672</v>
      </c>
      <c r="G23" s="49">
        <f t="shared" si="3"/>
        <v>0.9724054528</v>
      </c>
      <c r="H23" s="50">
        <f t="shared" si="4"/>
        <v>8.362686894</v>
      </c>
      <c r="I23" s="51">
        <f t="shared" si="5"/>
        <v>1233.579944</v>
      </c>
      <c r="J23" s="58"/>
      <c r="K23" s="58"/>
      <c r="L23" s="59"/>
      <c r="M23" s="52">
        <v>2231.0</v>
      </c>
      <c r="N23" s="46">
        <f t="shared" si="6"/>
        <v>186.5715446</v>
      </c>
    </row>
    <row r="24">
      <c r="A24" s="45">
        <v>10801.0</v>
      </c>
      <c r="B24" s="45" t="s">
        <v>81</v>
      </c>
      <c r="C24" s="46">
        <v>11606.0</v>
      </c>
      <c r="D24" s="47">
        <v>27.2</v>
      </c>
      <c r="E24" s="48">
        <v>8.6</v>
      </c>
      <c r="F24" s="49">
        <f t="shared" si="2"/>
        <v>8.3632</v>
      </c>
      <c r="G24" s="49">
        <f t="shared" si="3"/>
        <v>0.9836971748</v>
      </c>
      <c r="H24" s="50">
        <f t="shared" si="4"/>
        <v>8.459795703</v>
      </c>
      <c r="I24" s="51">
        <f t="shared" si="5"/>
        <v>981.8438893</v>
      </c>
      <c r="J24" s="58"/>
      <c r="K24" s="58"/>
      <c r="L24" s="59"/>
      <c r="M24" s="52">
        <v>1375.0</v>
      </c>
      <c r="N24" s="46">
        <f t="shared" si="6"/>
        <v>116.3221909</v>
      </c>
    </row>
    <row r="25">
      <c r="A25" s="45">
        <v>10901.0</v>
      </c>
      <c r="B25" s="45" t="s">
        <v>82</v>
      </c>
      <c r="C25" s="46">
        <v>3398.0</v>
      </c>
      <c r="D25" s="47">
        <v>0.0</v>
      </c>
      <c r="E25" s="48">
        <v>8.6</v>
      </c>
      <c r="F25" s="49">
        <f t="shared" si="2"/>
        <v>8.2</v>
      </c>
      <c r="G25" s="49">
        <f t="shared" si="3"/>
        <v>0.9645012475</v>
      </c>
      <c r="H25" s="50">
        <f t="shared" si="4"/>
        <v>8.294710728</v>
      </c>
      <c r="I25" s="51">
        <f t="shared" si="5"/>
        <v>281.8542706</v>
      </c>
      <c r="J25" s="58"/>
      <c r="K25" s="58"/>
      <c r="L25" s="59"/>
      <c r="M25" s="52">
        <v>414.0</v>
      </c>
      <c r="N25" s="46">
        <f t="shared" si="6"/>
        <v>34.34010242</v>
      </c>
    </row>
    <row r="26">
      <c r="A26" s="45">
        <v>10902.0</v>
      </c>
      <c r="B26" s="45" t="s">
        <v>83</v>
      </c>
      <c r="C26" s="46">
        <v>17672.0</v>
      </c>
      <c r="D26" s="47">
        <v>14.2</v>
      </c>
      <c r="E26" s="48">
        <v>8.6</v>
      </c>
      <c r="F26" s="49">
        <f t="shared" si="2"/>
        <v>8.2852</v>
      </c>
      <c r="G26" s="49">
        <f t="shared" si="3"/>
        <v>0.9745226507</v>
      </c>
      <c r="H26" s="50">
        <f t="shared" si="4"/>
        <v>8.380894796</v>
      </c>
      <c r="I26" s="51">
        <f t="shared" si="5"/>
        <v>1481.071728</v>
      </c>
      <c r="J26" s="58"/>
      <c r="K26" s="58"/>
      <c r="L26" s="59"/>
      <c r="M26" s="52">
        <v>2398.0</v>
      </c>
      <c r="N26" s="46">
        <f t="shared" si="6"/>
        <v>200.9738572</v>
      </c>
    </row>
    <row r="27">
      <c r="A27" s="45">
        <v>10903.0</v>
      </c>
      <c r="B27" s="45" t="s">
        <v>84</v>
      </c>
      <c r="C27" s="46">
        <v>3895.0</v>
      </c>
      <c r="D27" s="47">
        <v>0.0</v>
      </c>
      <c r="E27" s="48">
        <v>8.6</v>
      </c>
      <c r="F27" s="49">
        <f t="shared" si="2"/>
        <v>8.2</v>
      </c>
      <c r="G27" s="49">
        <f t="shared" si="3"/>
        <v>0.9645012475</v>
      </c>
      <c r="H27" s="50">
        <f t="shared" si="4"/>
        <v>8.294710728</v>
      </c>
      <c r="I27" s="51">
        <f t="shared" si="5"/>
        <v>323.0789829</v>
      </c>
      <c r="J27" s="58"/>
      <c r="K27" s="58"/>
      <c r="L27" s="59"/>
      <c r="M27" s="52">
        <v>417.0</v>
      </c>
      <c r="N27" s="46">
        <f t="shared" si="6"/>
        <v>34.58894374</v>
      </c>
    </row>
    <row r="28">
      <c r="A28" s="45">
        <v>11001.0</v>
      </c>
      <c r="B28" s="45" t="s">
        <v>85</v>
      </c>
      <c r="C28" s="46">
        <v>10094.0</v>
      </c>
      <c r="D28" s="47">
        <v>29.0</v>
      </c>
      <c r="E28" s="48">
        <v>8.6</v>
      </c>
      <c r="F28" s="49">
        <f t="shared" si="2"/>
        <v>8.374</v>
      </c>
      <c r="G28" s="49">
        <f t="shared" si="3"/>
        <v>0.9849674935</v>
      </c>
      <c r="H28" s="50">
        <f t="shared" si="4"/>
        <v>8.470720444</v>
      </c>
      <c r="I28" s="51">
        <f t="shared" si="5"/>
        <v>855.0345216</v>
      </c>
      <c r="J28" s="58"/>
      <c r="K28" s="58"/>
      <c r="L28" s="59"/>
      <c r="M28" s="52">
        <v>1350.0</v>
      </c>
      <c r="N28" s="46">
        <f t="shared" si="6"/>
        <v>114.354726</v>
      </c>
    </row>
    <row r="29">
      <c r="A29" s="45">
        <v>11002.0</v>
      </c>
      <c r="B29" s="45" t="s">
        <v>86</v>
      </c>
      <c r="C29" s="46">
        <v>2470.0</v>
      </c>
      <c r="D29" s="47">
        <v>0.0</v>
      </c>
      <c r="E29" s="48">
        <v>8.6</v>
      </c>
      <c r="F29" s="49">
        <f t="shared" si="2"/>
        <v>8.2</v>
      </c>
      <c r="G29" s="49">
        <f t="shared" si="3"/>
        <v>0.9645012475</v>
      </c>
      <c r="H29" s="50">
        <f t="shared" si="4"/>
        <v>8.294710728</v>
      </c>
      <c r="I29" s="51">
        <f t="shared" si="5"/>
        <v>204.879355</v>
      </c>
      <c r="J29" s="58"/>
      <c r="K29" s="58"/>
      <c r="L29" s="59"/>
      <c r="M29" s="52">
        <v>343.0</v>
      </c>
      <c r="N29" s="46">
        <f t="shared" si="6"/>
        <v>28.4508578</v>
      </c>
    </row>
    <row r="30">
      <c r="A30" s="45">
        <v>11003.0</v>
      </c>
      <c r="B30" s="45" t="s">
        <v>87</v>
      </c>
      <c r="C30" s="46">
        <v>7406.0</v>
      </c>
      <c r="D30" s="47">
        <v>0.0</v>
      </c>
      <c r="E30" s="48">
        <v>8.6</v>
      </c>
      <c r="F30" s="49">
        <f t="shared" si="2"/>
        <v>8.2</v>
      </c>
      <c r="G30" s="49">
        <f t="shared" si="3"/>
        <v>0.9645012475</v>
      </c>
      <c r="H30" s="50">
        <f t="shared" si="4"/>
        <v>8.294710728</v>
      </c>
      <c r="I30" s="51">
        <f t="shared" si="5"/>
        <v>614.3062766</v>
      </c>
      <c r="J30" s="58"/>
      <c r="K30" s="58"/>
      <c r="L30" s="59"/>
      <c r="M30" s="52">
        <v>926.0</v>
      </c>
      <c r="N30" s="46">
        <f t="shared" si="6"/>
        <v>76.80902135</v>
      </c>
    </row>
    <row r="31">
      <c r="A31" s="45">
        <v>20101.0</v>
      </c>
      <c r="B31" s="45" t="s">
        <v>88</v>
      </c>
      <c r="C31" s="46">
        <v>776223.0</v>
      </c>
      <c r="D31" s="47">
        <v>99.2</v>
      </c>
      <c r="E31" s="48">
        <v>8.2</v>
      </c>
      <c r="F31" s="49">
        <f t="shared" si="2"/>
        <v>8.7952</v>
      </c>
      <c r="G31" s="49">
        <f t="shared" ref="G31:G200" si="18">0.97*F31/F$345</f>
        <v>1.0239537</v>
      </c>
      <c r="H31" s="50">
        <f t="shared" si="4"/>
        <v>8.396420338</v>
      </c>
      <c r="I31" s="51">
        <f t="shared" si="5"/>
        <v>65174.94584</v>
      </c>
      <c r="J31" s="52">
        <f>SUM(C31:C117)</f>
        <v>2584995</v>
      </c>
      <c r="K31" s="52">
        <f>SUM(I31:I117)</f>
        <v>212179.7301</v>
      </c>
      <c r="L31" s="53">
        <f>K31/J31</f>
        <v>0.08208129228</v>
      </c>
      <c r="M31" s="52">
        <v>68247.0</v>
      </c>
      <c r="N31" s="46">
        <f t="shared" si="6"/>
        <v>5730.304988</v>
      </c>
    </row>
    <row r="32">
      <c r="A32" s="45">
        <v>20102.0</v>
      </c>
      <c r="B32" s="45" t="s">
        <v>89</v>
      </c>
      <c r="C32" s="46">
        <v>15736.0</v>
      </c>
      <c r="D32" s="47">
        <v>0.0</v>
      </c>
      <c r="E32" s="48">
        <v>8.2</v>
      </c>
      <c r="F32" s="49">
        <f t="shared" si="2"/>
        <v>8.2</v>
      </c>
      <c r="G32" s="49">
        <f t="shared" si="18"/>
        <v>0.954659398</v>
      </c>
      <c r="H32" s="50">
        <f t="shared" si="4"/>
        <v>7.828207064</v>
      </c>
      <c r="I32" s="51">
        <f t="shared" si="5"/>
        <v>1231.846664</v>
      </c>
      <c r="J32" s="58"/>
      <c r="K32" s="58"/>
      <c r="L32" s="59"/>
      <c r="M32" s="52">
        <v>1775.0</v>
      </c>
      <c r="N32" s="46">
        <f t="shared" si="6"/>
        <v>138.9506754</v>
      </c>
    </row>
    <row r="33">
      <c r="A33" s="45">
        <v>20103.0</v>
      </c>
      <c r="B33" s="45" t="s">
        <v>90</v>
      </c>
      <c r="C33" s="46">
        <v>14361.0</v>
      </c>
      <c r="D33" s="47">
        <v>0.0</v>
      </c>
      <c r="E33" s="48">
        <v>8.2</v>
      </c>
      <c r="F33" s="49">
        <f t="shared" si="2"/>
        <v>8.2</v>
      </c>
      <c r="G33" s="49">
        <f t="shared" si="18"/>
        <v>0.954659398</v>
      </c>
      <c r="H33" s="50">
        <f t="shared" si="4"/>
        <v>7.828207064</v>
      </c>
      <c r="I33" s="51">
        <f t="shared" si="5"/>
        <v>1124.208816</v>
      </c>
      <c r="J33" s="58"/>
      <c r="K33" s="58"/>
      <c r="L33" s="59"/>
      <c r="M33" s="52">
        <v>1358.0</v>
      </c>
      <c r="N33" s="46">
        <f t="shared" si="6"/>
        <v>106.3070519</v>
      </c>
    </row>
    <row r="34">
      <c r="A34" s="45">
        <v>20104.0</v>
      </c>
      <c r="B34" s="45" t="s">
        <v>91</v>
      </c>
      <c r="C34" s="46">
        <v>19769.0</v>
      </c>
      <c r="D34" s="47">
        <v>78.1</v>
      </c>
      <c r="E34" s="48">
        <v>8.2</v>
      </c>
      <c r="F34" s="49">
        <f t="shared" si="2"/>
        <v>8.6686</v>
      </c>
      <c r="G34" s="49">
        <f t="shared" si="18"/>
        <v>1.00921469</v>
      </c>
      <c r="H34" s="50">
        <f t="shared" si="4"/>
        <v>8.275560458</v>
      </c>
      <c r="I34" s="51">
        <f t="shared" si="5"/>
        <v>1635.995547</v>
      </c>
      <c r="J34" s="58"/>
      <c r="K34" s="58"/>
      <c r="L34" s="59"/>
      <c r="M34" s="52">
        <v>2095.0</v>
      </c>
      <c r="N34" s="46">
        <f t="shared" si="6"/>
        <v>173.3729916</v>
      </c>
    </row>
    <row r="35">
      <c r="A35" s="45">
        <v>20105.0</v>
      </c>
      <c r="B35" s="45" t="s">
        <v>92</v>
      </c>
      <c r="C35" s="46">
        <v>776272.0</v>
      </c>
      <c r="D35" s="47">
        <v>99.7</v>
      </c>
      <c r="E35" s="48">
        <v>8.2</v>
      </c>
      <c r="F35" s="49">
        <f t="shared" si="2"/>
        <v>8.7982</v>
      </c>
      <c r="G35" s="49">
        <f t="shared" si="18"/>
        <v>1.024302965</v>
      </c>
      <c r="H35" s="50">
        <f t="shared" si="4"/>
        <v>8.399284316</v>
      </c>
      <c r="I35" s="51">
        <f t="shared" si="5"/>
        <v>65201.29234</v>
      </c>
      <c r="J35" s="58"/>
      <c r="K35" s="58"/>
      <c r="L35" s="59"/>
      <c r="M35" s="52">
        <v>91029.0</v>
      </c>
      <c r="N35" s="46">
        <f t="shared" si="6"/>
        <v>7645.78452</v>
      </c>
    </row>
    <row r="36">
      <c r="A36" s="45">
        <v>20201.0</v>
      </c>
      <c r="B36" s="45" t="s">
        <v>93</v>
      </c>
      <c r="C36" s="46">
        <v>45991.0</v>
      </c>
      <c r="D36" s="47">
        <v>18.8</v>
      </c>
      <c r="E36" s="48">
        <v>8.2</v>
      </c>
      <c r="F36" s="49">
        <f t="shared" si="2"/>
        <v>8.3128</v>
      </c>
      <c r="G36" s="49">
        <f t="shared" si="18"/>
        <v>0.9677917859</v>
      </c>
      <c r="H36" s="50">
        <f t="shared" si="4"/>
        <v>7.935892644</v>
      </c>
      <c r="I36" s="51">
        <f t="shared" si="5"/>
        <v>3649.796386</v>
      </c>
      <c r="J36" s="58"/>
      <c r="K36" s="58"/>
      <c r="L36" s="59"/>
      <c r="M36" s="52">
        <v>4318.0</v>
      </c>
      <c r="N36" s="46">
        <f t="shared" si="6"/>
        <v>342.6718444</v>
      </c>
    </row>
    <row r="37">
      <c r="A37" s="45">
        <v>20202.0</v>
      </c>
      <c r="B37" s="45" t="s">
        <v>94</v>
      </c>
      <c r="C37" s="46">
        <v>13886.0</v>
      </c>
      <c r="D37" s="47">
        <v>0.0</v>
      </c>
      <c r="E37" s="48">
        <v>8.2</v>
      </c>
      <c r="F37" s="49">
        <f t="shared" si="2"/>
        <v>8.2</v>
      </c>
      <c r="G37" s="49">
        <f t="shared" si="18"/>
        <v>0.954659398</v>
      </c>
      <c r="H37" s="50">
        <f t="shared" si="4"/>
        <v>7.828207064</v>
      </c>
      <c r="I37" s="51">
        <f t="shared" si="5"/>
        <v>1087.024833</v>
      </c>
      <c r="J37" s="58"/>
      <c r="K37" s="58"/>
      <c r="L37" s="59"/>
      <c r="M37" s="52">
        <v>1245.0</v>
      </c>
      <c r="N37" s="46">
        <f t="shared" si="6"/>
        <v>97.46117795</v>
      </c>
    </row>
    <row r="38">
      <c r="A38" s="45">
        <v>20203.0</v>
      </c>
      <c r="B38" s="45" t="s">
        <v>95</v>
      </c>
      <c r="C38" s="46">
        <v>5198.0</v>
      </c>
      <c r="D38" s="47">
        <v>0.0</v>
      </c>
      <c r="E38" s="48">
        <v>8.2</v>
      </c>
      <c r="F38" s="49">
        <f t="shared" si="2"/>
        <v>8.2</v>
      </c>
      <c r="G38" s="49">
        <f t="shared" si="18"/>
        <v>0.954659398</v>
      </c>
      <c r="H38" s="50">
        <f t="shared" si="4"/>
        <v>7.828207064</v>
      </c>
      <c r="I38" s="51">
        <f t="shared" si="5"/>
        <v>406.9102032</v>
      </c>
      <c r="J38" s="58"/>
      <c r="K38" s="58"/>
      <c r="L38" s="59"/>
      <c r="M38" s="52">
        <v>405.0</v>
      </c>
      <c r="N38" s="46">
        <f t="shared" si="6"/>
        <v>31.70423861</v>
      </c>
    </row>
    <row r="39">
      <c r="A39" s="45">
        <v>20204.0</v>
      </c>
      <c r="B39" s="45" t="s">
        <v>96</v>
      </c>
      <c r="C39" s="46">
        <v>8072.0</v>
      </c>
      <c r="D39" s="47">
        <v>0.0</v>
      </c>
      <c r="E39" s="48">
        <v>8.2</v>
      </c>
      <c r="F39" s="49">
        <f t="shared" si="2"/>
        <v>8.2</v>
      </c>
      <c r="G39" s="49">
        <f t="shared" si="18"/>
        <v>0.954659398</v>
      </c>
      <c r="H39" s="50">
        <f t="shared" si="4"/>
        <v>7.828207064</v>
      </c>
      <c r="I39" s="51">
        <f t="shared" si="5"/>
        <v>631.8928742</v>
      </c>
      <c r="J39" s="58"/>
      <c r="K39" s="58"/>
      <c r="L39" s="59"/>
      <c r="M39" s="52">
        <v>600.0</v>
      </c>
      <c r="N39" s="46">
        <f t="shared" si="6"/>
        <v>46.96924238</v>
      </c>
    </row>
    <row r="40">
      <c r="A40" s="45">
        <v>20205.0</v>
      </c>
      <c r="B40" s="45" t="s">
        <v>97</v>
      </c>
      <c r="C40" s="46">
        <v>8306.0</v>
      </c>
      <c r="D40" s="47">
        <v>0.0</v>
      </c>
      <c r="E40" s="48">
        <v>8.2</v>
      </c>
      <c r="F40" s="49">
        <f t="shared" si="2"/>
        <v>8.2</v>
      </c>
      <c r="G40" s="49">
        <f t="shared" si="18"/>
        <v>0.954659398</v>
      </c>
      <c r="H40" s="50">
        <f t="shared" si="4"/>
        <v>7.828207064</v>
      </c>
      <c r="I40" s="51">
        <f t="shared" si="5"/>
        <v>650.2108787</v>
      </c>
      <c r="J40" s="58"/>
      <c r="K40" s="58"/>
      <c r="L40" s="59"/>
      <c r="M40" s="52">
        <v>629.0</v>
      </c>
      <c r="N40" s="46">
        <f t="shared" si="6"/>
        <v>49.23942243</v>
      </c>
    </row>
    <row r="41">
      <c r="A41" s="45">
        <v>20206.0</v>
      </c>
      <c r="B41" s="45" t="s">
        <v>98</v>
      </c>
      <c r="C41" s="46">
        <v>3520.0</v>
      </c>
      <c r="D41" s="47">
        <v>0.0</v>
      </c>
      <c r="E41" s="48">
        <v>8.2</v>
      </c>
      <c r="F41" s="49">
        <f t="shared" si="2"/>
        <v>8.2</v>
      </c>
      <c r="G41" s="49">
        <f t="shared" si="18"/>
        <v>0.954659398</v>
      </c>
      <c r="H41" s="50">
        <f t="shared" si="4"/>
        <v>7.828207064</v>
      </c>
      <c r="I41" s="51">
        <f t="shared" si="5"/>
        <v>275.5528886</v>
      </c>
      <c r="J41" s="58"/>
      <c r="K41" s="58"/>
      <c r="L41" s="59"/>
      <c r="M41" s="52">
        <v>289.0</v>
      </c>
      <c r="N41" s="46">
        <f t="shared" si="6"/>
        <v>22.62351841</v>
      </c>
    </row>
    <row r="42">
      <c r="A42" s="45">
        <v>20301.0</v>
      </c>
      <c r="B42" s="45" t="s">
        <v>99</v>
      </c>
      <c r="C42" s="46">
        <v>11071.0</v>
      </c>
      <c r="D42" s="47">
        <v>0.0</v>
      </c>
      <c r="E42" s="48">
        <v>8.2</v>
      </c>
      <c r="F42" s="49">
        <f t="shared" si="2"/>
        <v>8.2</v>
      </c>
      <c r="G42" s="49">
        <f t="shared" si="18"/>
        <v>0.954659398</v>
      </c>
      <c r="H42" s="50">
        <f t="shared" si="4"/>
        <v>7.828207064</v>
      </c>
      <c r="I42" s="51">
        <f t="shared" si="5"/>
        <v>866.660804</v>
      </c>
      <c r="J42" s="58"/>
      <c r="K42" s="58"/>
      <c r="L42" s="59"/>
      <c r="M42" s="52">
        <v>1025.0</v>
      </c>
      <c r="N42" s="46">
        <f t="shared" si="6"/>
        <v>80.2391224</v>
      </c>
    </row>
    <row r="43">
      <c r="A43" s="45">
        <v>20302.0</v>
      </c>
      <c r="B43" s="45" t="s">
        <v>100</v>
      </c>
      <c r="C43" s="46">
        <v>13674.0</v>
      </c>
      <c r="D43" s="47">
        <v>0.0</v>
      </c>
      <c r="E43" s="48">
        <v>8.2</v>
      </c>
      <c r="F43" s="49">
        <f t="shared" si="2"/>
        <v>8.2</v>
      </c>
      <c r="G43" s="49">
        <f t="shared" si="18"/>
        <v>0.954659398</v>
      </c>
      <c r="H43" s="50">
        <f t="shared" si="4"/>
        <v>7.828207064</v>
      </c>
      <c r="I43" s="51">
        <f t="shared" si="5"/>
        <v>1070.429034</v>
      </c>
      <c r="J43" s="58"/>
      <c r="K43" s="58"/>
      <c r="L43" s="59"/>
      <c r="M43" s="52">
        <v>1261.0</v>
      </c>
      <c r="N43" s="46">
        <f t="shared" si="6"/>
        <v>98.71369108</v>
      </c>
    </row>
    <row r="44">
      <c r="A44" s="45">
        <v>20303.0</v>
      </c>
      <c r="B44" s="45" t="s">
        <v>101</v>
      </c>
      <c r="C44" s="46">
        <v>9493.0</v>
      </c>
      <c r="D44" s="47">
        <v>0.0</v>
      </c>
      <c r="E44" s="48">
        <v>8.2</v>
      </c>
      <c r="F44" s="49">
        <f t="shared" si="2"/>
        <v>8.2</v>
      </c>
      <c r="G44" s="49">
        <f t="shared" si="18"/>
        <v>0.954659398</v>
      </c>
      <c r="H44" s="50">
        <f t="shared" si="4"/>
        <v>7.828207064</v>
      </c>
      <c r="I44" s="51">
        <f t="shared" si="5"/>
        <v>743.1316966</v>
      </c>
      <c r="J44" s="58"/>
      <c r="K44" s="58"/>
      <c r="L44" s="59"/>
      <c r="M44" s="52">
        <v>772.0</v>
      </c>
      <c r="N44" s="46">
        <f t="shared" si="6"/>
        <v>60.43375853</v>
      </c>
    </row>
    <row r="45">
      <c r="A45" s="45">
        <v>20304.0</v>
      </c>
      <c r="B45" s="45" t="s">
        <v>102</v>
      </c>
      <c r="C45" s="46">
        <v>3873.0</v>
      </c>
      <c r="D45" s="47">
        <v>0.0</v>
      </c>
      <c r="E45" s="48">
        <v>8.2</v>
      </c>
      <c r="F45" s="49">
        <f t="shared" si="2"/>
        <v>8.2</v>
      </c>
      <c r="G45" s="49">
        <f t="shared" si="18"/>
        <v>0.954659398</v>
      </c>
      <c r="H45" s="50">
        <f t="shared" si="4"/>
        <v>7.828207064</v>
      </c>
      <c r="I45" s="51">
        <f t="shared" si="5"/>
        <v>303.1864596</v>
      </c>
      <c r="J45" s="58"/>
      <c r="K45" s="58"/>
      <c r="L45" s="59"/>
      <c r="M45" s="52">
        <v>383.0</v>
      </c>
      <c r="N45" s="46">
        <f t="shared" si="6"/>
        <v>29.98203305</v>
      </c>
    </row>
    <row r="46">
      <c r="A46" s="45">
        <v>20305.0</v>
      </c>
      <c r="B46" s="45" t="s">
        <v>103</v>
      </c>
      <c r="C46" s="46">
        <v>3071.0</v>
      </c>
      <c r="D46" s="47">
        <v>0.0</v>
      </c>
      <c r="E46" s="48">
        <v>8.2</v>
      </c>
      <c r="F46" s="49">
        <f t="shared" si="2"/>
        <v>8.2</v>
      </c>
      <c r="G46" s="49">
        <f t="shared" si="18"/>
        <v>0.954659398</v>
      </c>
      <c r="H46" s="50">
        <f t="shared" si="4"/>
        <v>7.828207064</v>
      </c>
      <c r="I46" s="51">
        <f t="shared" si="5"/>
        <v>240.4042389</v>
      </c>
      <c r="J46" s="58"/>
      <c r="K46" s="58"/>
      <c r="L46" s="59"/>
      <c r="M46" s="52">
        <v>303.0</v>
      </c>
      <c r="N46" s="46">
        <f t="shared" si="6"/>
        <v>23.7194674</v>
      </c>
    </row>
    <row r="47">
      <c r="A47" s="45">
        <v>20306.0</v>
      </c>
      <c r="B47" s="45" t="s">
        <v>104</v>
      </c>
      <c r="C47" s="46">
        <v>3828.0</v>
      </c>
      <c r="D47" s="47">
        <v>25.5</v>
      </c>
      <c r="E47" s="48">
        <v>8.2</v>
      </c>
      <c r="F47" s="49">
        <f t="shared" si="2"/>
        <v>8.353</v>
      </c>
      <c r="G47" s="49">
        <f t="shared" si="18"/>
        <v>0.9724719453</v>
      </c>
      <c r="H47" s="50">
        <f t="shared" si="4"/>
        <v>7.974269952</v>
      </c>
      <c r="I47" s="51">
        <f t="shared" si="5"/>
        <v>305.2550538</v>
      </c>
      <c r="J47" s="58"/>
      <c r="K47" s="58"/>
      <c r="L47" s="59"/>
      <c r="M47" s="52">
        <v>423.0</v>
      </c>
      <c r="N47" s="46">
        <f t="shared" si="6"/>
        <v>33.7311619</v>
      </c>
    </row>
    <row r="48">
      <c r="A48" s="45">
        <v>20307.0</v>
      </c>
      <c r="B48" s="45" t="s">
        <v>105</v>
      </c>
      <c r="C48" s="46">
        <v>491.0</v>
      </c>
      <c r="D48" s="47">
        <v>0.0</v>
      </c>
      <c r="E48" s="48">
        <v>8.2</v>
      </c>
      <c r="F48" s="49">
        <f t="shared" si="2"/>
        <v>8.2</v>
      </c>
      <c r="G48" s="49">
        <f t="shared" si="18"/>
        <v>0.954659398</v>
      </c>
      <c r="H48" s="50">
        <f t="shared" si="4"/>
        <v>7.828207064</v>
      </c>
      <c r="I48" s="51">
        <f t="shared" si="5"/>
        <v>38.43649668</v>
      </c>
      <c r="J48" s="58"/>
      <c r="K48" s="58"/>
      <c r="L48" s="59"/>
      <c r="M48" s="52">
        <v>44.0</v>
      </c>
      <c r="N48" s="46">
        <f t="shared" si="6"/>
        <v>3.444411108</v>
      </c>
    </row>
    <row r="49">
      <c r="A49" s="45">
        <v>20308.0</v>
      </c>
      <c r="B49" s="45" t="s">
        <v>106</v>
      </c>
      <c r="C49" s="46">
        <v>7584.0</v>
      </c>
      <c r="D49" s="47">
        <v>0.0</v>
      </c>
      <c r="E49" s="48">
        <v>8.2</v>
      </c>
      <c r="F49" s="49">
        <f t="shared" si="2"/>
        <v>8.2</v>
      </c>
      <c r="G49" s="49">
        <f t="shared" si="18"/>
        <v>0.954659398</v>
      </c>
      <c r="H49" s="50">
        <f t="shared" si="4"/>
        <v>7.828207064</v>
      </c>
      <c r="I49" s="51">
        <f t="shared" si="5"/>
        <v>593.6912237</v>
      </c>
      <c r="J49" s="58"/>
      <c r="K49" s="58"/>
      <c r="L49" s="59"/>
      <c r="M49" s="52">
        <v>679.0</v>
      </c>
      <c r="N49" s="46">
        <f t="shared" si="6"/>
        <v>53.15352596</v>
      </c>
    </row>
    <row r="50">
      <c r="A50" s="45">
        <v>20401.0</v>
      </c>
      <c r="B50" s="45" t="s">
        <v>107</v>
      </c>
      <c r="C50" s="46">
        <v>11942.0</v>
      </c>
      <c r="D50" s="47">
        <v>0.0</v>
      </c>
      <c r="E50" s="48">
        <v>8.2</v>
      </c>
      <c r="F50" s="49">
        <f t="shared" si="2"/>
        <v>8.2</v>
      </c>
      <c r="G50" s="49">
        <f t="shared" si="18"/>
        <v>0.954659398</v>
      </c>
      <c r="H50" s="50">
        <f t="shared" si="4"/>
        <v>7.828207064</v>
      </c>
      <c r="I50" s="51">
        <f t="shared" si="5"/>
        <v>934.8444876</v>
      </c>
      <c r="J50" s="58"/>
      <c r="K50" s="58"/>
      <c r="L50" s="59"/>
      <c r="M50" s="52">
        <v>1009.0</v>
      </c>
      <c r="N50" s="46">
        <f t="shared" si="6"/>
        <v>78.98660927</v>
      </c>
    </row>
    <row r="51">
      <c r="A51" s="45">
        <v>20402.0</v>
      </c>
      <c r="B51" s="45" t="s">
        <v>108</v>
      </c>
      <c r="C51" s="46">
        <v>16235.0</v>
      </c>
      <c r="D51" s="47">
        <v>0.0</v>
      </c>
      <c r="E51" s="48">
        <v>8.2</v>
      </c>
      <c r="F51" s="49">
        <f t="shared" si="2"/>
        <v>8.2</v>
      </c>
      <c r="G51" s="49">
        <f t="shared" si="18"/>
        <v>0.954659398</v>
      </c>
      <c r="H51" s="50">
        <f t="shared" si="4"/>
        <v>7.828207064</v>
      </c>
      <c r="I51" s="51">
        <f t="shared" si="5"/>
        <v>1270.909417</v>
      </c>
      <c r="J51" s="58"/>
      <c r="K51" s="58"/>
      <c r="L51" s="59"/>
      <c r="M51" s="52">
        <v>1611.0</v>
      </c>
      <c r="N51" s="46">
        <f t="shared" si="6"/>
        <v>126.1124158</v>
      </c>
    </row>
    <row r="52">
      <c r="A52" s="45">
        <v>20403.0</v>
      </c>
      <c r="B52" s="45" t="s">
        <v>109</v>
      </c>
      <c r="C52" s="46">
        <v>14637.0</v>
      </c>
      <c r="D52" s="47">
        <v>0.0</v>
      </c>
      <c r="E52" s="48">
        <v>8.2</v>
      </c>
      <c r="F52" s="49">
        <f t="shared" si="2"/>
        <v>8.2</v>
      </c>
      <c r="G52" s="49">
        <f t="shared" si="18"/>
        <v>0.954659398</v>
      </c>
      <c r="H52" s="50">
        <f t="shared" si="4"/>
        <v>7.828207064</v>
      </c>
      <c r="I52" s="51">
        <f t="shared" si="5"/>
        <v>1145.814668</v>
      </c>
      <c r="J52" s="58"/>
      <c r="K52" s="58"/>
      <c r="L52" s="59"/>
      <c r="M52" s="52">
        <v>1377.0</v>
      </c>
      <c r="N52" s="46">
        <f t="shared" si="6"/>
        <v>107.7944113</v>
      </c>
    </row>
    <row r="53">
      <c r="A53" s="45">
        <v>20404.0</v>
      </c>
      <c r="B53" s="45" t="s">
        <v>110</v>
      </c>
      <c r="C53" s="46">
        <v>5435.0</v>
      </c>
      <c r="D53" s="47">
        <v>0.0</v>
      </c>
      <c r="E53" s="48">
        <v>8.2</v>
      </c>
      <c r="F53" s="49">
        <f t="shared" si="2"/>
        <v>8.2</v>
      </c>
      <c r="G53" s="49">
        <f t="shared" si="18"/>
        <v>0.954659398</v>
      </c>
      <c r="H53" s="50">
        <f t="shared" si="4"/>
        <v>7.828207064</v>
      </c>
      <c r="I53" s="51">
        <f t="shared" si="5"/>
        <v>425.4630539</v>
      </c>
      <c r="J53" s="58"/>
      <c r="K53" s="58"/>
      <c r="L53" s="59"/>
      <c r="M53" s="52">
        <v>521.0</v>
      </c>
      <c r="N53" s="46">
        <f t="shared" si="6"/>
        <v>40.7849588</v>
      </c>
    </row>
    <row r="54">
      <c r="A54" s="45">
        <v>20405.0</v>
      </c>
      <c r="B54" s="45" t="s">
        <v>111</v>
      </c>
      <c r="C54" s="46">
        <v>7206.0</v>
      </c>
      <c r="D54" s="47">
        <v>0.0</v>
      </c>
      <c r="E54" s="48">
        <v>8.2</v>
      </c>
      <c r="F54" s="49">
        <f t="shared" si="2"/>
        <v>8.2</v>
      </c>
      <c r="G54" s="49">
        <f t="shared" si="18"/>
        <v>0.954659398</v>
      </c>
      <c r="H54" s="50">
        <f t="shared" si="4"/>
        <v>7.828207064</v>
      </c>
      <c r="I54" s="51">
        <f t="shared" si="5"/>
        <v>564.100601</v>
      </c>
      <c r="J54" s="58"/>
      <c r="K54" s="58"/>
      <c r="L54" s="59"/>
      <c r="M54" s="52">
        <v>535.0</v>
      </c>
      <c r="N54" s="46">
        <f t="shared" si="6"/>
        <v>41.88090779</v>
      </c>
    </row>
    <row r="55">
      <c r="A55" s="45">
        <v>20501.0</v>
      </c>
      <c r="B55" s="45" t="s">
        <v>112</v>
      </c>
      <c r="C55" s="46">
        <v>11971.0</v>
      </c>
      <c r="D55" s="47">
        <v>0.0</v>
      </c>
      <c r="E55" s="48">
        <v>8.2</v>
      </c>
      <c r="F55" s="49">
        <f t="shared" si="2"/>
        <v>8.2</v>
      </c>
      <c r="G55" s="49">
        <f t="shared" si="18"/>
        <v>0.954659398</v>
      </c>
      <c r="H55" s="50">
        <f t="shared" si="4"/>
        <v>7.828207064</v>
      </c>
      <c r="I55" s="51">
        <f t="shared" si="5"/>
        <v>937.1146676</v>
      </c>
      <c r="J55" s="58"/>
      <c r="K55" s="58"/>
      <c r="L55" s="59"/>
      <c r="M55" s="52">
        <v>1314.0</v>
      </c>
      <c r="N55" s="46">
        <f t="shared" si="6"/>
        <v>102.8626408</v>
      </c>
    </row>
    <row r="56">
      <c r="A56" s="45">
        <v>20502.0</v>
      </c>
      <c r="B56" s="45" t="s">
        <v>113</v>
      </c>
      <c r="C56" s="46">
        <v>8313.0</v>
      </c>
      <c r="D56" s="47">
        <v>0.0</v>
      </c>
      <c r="E56" s="48">
        <v>8.2</v>
      </c>
      <c r="F56" s="49">
        <f t="shared" si="2"/>
        <v>8.2</v>
      </c>
      <c r="G56" s="49">
        <f t="shared" si="18"/>
        <v>0.954659398</v>
      </c>
      <c r="H56" s="50">
        <f t="shared" si="4"/>
        <v>7.828207064</v>
      </c>
      <c r="I56" s="51">
        <f t="shared" si="5"/>
        <v>650.7588532</v>
      </c>
      <c r="J56" s="58"/>
      <c r="K56" s="58"/>
      <c r="L56" s="59"/>
      <c r="M56" s="52">
        <v>1062.0</v>
      </c>
      <c r="N56" s="46">
        <f t="shared" si="6"/>
        <v>83.13555902</v>
      </c>
    </row>
    <row r="57">
      <c r="A57" s="45">
        <v>20503.0</v>
      </c>
      <c r="B57" s="45" t="s">
        <v>114</v>
      </c>
      <c r="C57" s="46">
        <v>5004.0</v>
      </c>
      <c r="D57" s="47">
        <v>0.0</v>
      </c>
      <c r="E57" s="48">
        <v>8.2</v>
      </c>
      <c r="F57" s="49">
        <f t="shared" si="2"/>
        <v>8.2</v>
      </c>
      <c r="G57" s="49">
        <f t="shared" si="18"/>
        <v>0.954659398</v>
      </c>
      <c r="H57" s="50">
        <f t="shared" si="4"/>
        <v>7.828207064</v>
      </c>
      <c r="I57" s="51">
        <f t="shared" si="5"/>
        <v>391.7234815</v>
      </c>
      <c r="J57" s="58"/>
      <c r="K57" s="58"/>
      <c r="L57" s="59"/>
      <c r="M57" s="52">
        <v>612.0</v>
      </c>
      <c r="N57" s="46">
        <f t="shared" si="6"/>
        <v>47.90862723</v>
      </c>
    </row>
    <row r="58">
      <c r="A58" s="45">
        <v>20601.0</v>
      </c>
      <c r="B58" s="45" t="s">
        <v>115</v>
      </c>
      <c r="C58" s="46">
        <v>21847.0</v>
      </c>
      <c r="D58" s="47">
        <v>11.8</v>
      </c>
      <c r="E58" s="48">
        <v>8.2</v>
      </c>
      <c r="F58" s="49">
        <f t="shared" si="2"/>
        <v>8.2708</v>
      </c>
      <c r="G58" s="49">
        <f t="shared" si="18"/>
        <v>0.962902067</v>
      </c>
      <c r="H58" s="50">
        <f t="shared" si="4"/>
        <v>7.895796949</v>
      </c>
      <c r="I58" s="51">
        <f t="shared" si="5"/>
        <v>1724.99476</v>
      </c>
      <c r="J58" s="58"/>
      <c r="K58" s="58"/>
      <c r="L58" s="59"/>
      <c r="M58" s="52">
        <v>2296.0</v>
      </c>
      <c r="N58" s="46">
        <f t="shared" si="6"/>
        <v>181.287498</v>
      </c>
    </row>
    <row r="59">
      <c r="A59" s="45">
        <v>20602.0</v>
      </c>
      <c r="B59" s="45" t="s">
        <v>116</v>
      </c>
      <c r="C59" s="46">
        <v>13603.0</v>
      </c>
      <c r="D59" s="47">
        <v>30.2</v>
      </c>
      <c r="E59" s="48">
        <v>8.2</v>
      </c>
      <c r="F59" s="49">
        <f t="shared" si="2"/>
        <v>8.3812</v>
      </c>
      <c r="G59" s="49">
        <f t="shared" si="18"/>
        <v>0.9757550423</v>
      </c>
      <c r="H59" s="50">
        <f t="shared" si="4"/>
        <v>8.001191347</v>
      </c>
      <c r="I59" s="51">
        <f t="shared" si="5"/>
        <v>1088.402059</v>
      </c>
      <c r="J59" s="58"/>
      <c r="K59" s="58"/>
      <c r="L59" s="59"/>
      <c r="M59" s="52">
        <v>1635.0</v>
      </c>
      <c r="N59" s="46">
        <f t="shared" si="6"/>
        <v>130.8194785</v>
      </c>
    </row>
    <row r="60">
      <c r="A60" s="45">
        <v>20603.0</v>
      </c>
      <c r="B60" s="45" t="s">
        <v>117</v>
      </c>
      <c r="C60" s="46">
        <v>7486.0</v>
      </c>
      <c r="D60" s="47">
        <v>0.0</v>
      </c>
      <c r="E60" s="48">
        <v>8.2</v>
      </c>
      <c r="F60" s="49">
        <f t="shared" si="2"/>
        <v>8.2</v>
      </c>
      <c r="G60" s="49">
        <f t="shared" si="18"/>
        <v>0.954659398</v>
      </c>
      <c r="H60" s="50">
        <f t="shared" si="4"/>
        <v>7.828207064</v>
      </c>
      <c r="I60" s="51">
        <f t="shared" si="5"/>
        <v>586.0195808</v>
      </c>
      <c r="J60" s="58"/>
      <c r="K60" s="58"/>
      <c r="L60" s="59"/>
      <c r="M60" s="52">
        <v>891.0</v>
      </c>
      <c r="N60" s="46">
        <f t="shared" si="6"/>
        <v>69.74932494</v>
      </c>
    </row>
    <row r="61">
      <c r="A61" s="45">
        <v>20604.0</v>
      </c>
      <c r="B61" s="45" t="s">
        <v>118</v>
      </c>
      <c r="C61" s="46">
        <v>2646.0</v>
      </c>
      <c r="D61" s="47">
        <v>0.0</v>
      </c>
      <c r="E61" s="48">
        <v>8.2</v>
      </c>
      <c r="F61" s="49">
        <f t="shared" si="2"/>
        <v>8.2</v>
      </c>
      <c r="G61" s="49">
        <f t="shared" si="18"/>
        <v>0.954659398</v>
      </c>
      <c r="H61" s="50">
        <f t="shared" si="4"/>
        <v>7.828207064</v>
      </c>
      <c r="I61" s="51">
        <f t="shared" si="5"/>
        <v>207.1343589</v>
      </c>
      <c r="J61" s="58"/>
      <c r="K61" s="58"/>
      <c r="L61" s="59"/>
      <c r="M61" s="52">
        <v>320.0</v>
      </c>
      <c r="N61" s="46">
        <f t="shared" si="6"/>
        <v>25.0502626</v>
      </c>
    </row>
    <row r="62">
      <c r="A62" s="45">
        <v>20605.0</v>
      </c>
      <c r="B62" s="45" t="s">
        <v>119</v>
      </c>
      <c r="C62" s="46">
        <v>3353.0</v>
      </c>
      <c r="D62" s="47">
        <v>0.0</v>
      </c>
      <c r="E62" s="48">
        <v>8.2</v>
      </c>
      <c r="F62" s="49">
        <f t="shared" si="2"/>
        <v>8.2</v>
      </c>
      <c r="G62" s="49">
        <f t="shared" si="18"/>
        <v>0.954659398</v>
      </c>
      <c r="H62" s="50">
        <f t="shared" si="4"/>
        <v>7.828207064</v>
      </c>
      <c r="I62" s="51">
        <f t="shared" si="5"/>
        <v>262.4797829</v>
      </c>
      <c r="J62" s="58"/>
      <c r="K62" s="58"/>
      <c r="L62" s="59"/>
      <c r="M62" s="52">
        <v>260.0</v>
      </c>
      <c r="N62" s="46">
        <f t="shared" si="6"/>
        <v>20.35333837</v>
      </c>
    </row>
    <row r="63">
      <c r="A63" s="45">
        <v>20606.0</v>
      </c>
      <c r="B63" s="45" t="s">
        <v>120</v>
      </c>
      <c r="C63" s="46">
        <v>9744.0</v>
      </c>
      <c r="D63" s="47">
        <v>25.7</v>
      </c>
      <c r="E63" s="48">
        <v>8.2</v>
      </c>
      <c r="F63" s="49">
        <f t="shared" si="2"/>
        <v>8.3542</v>
      </c>
      <c r="G63" s="49">
        <f t="shared" si="18"/>
        <v>0.9726116516</v>
      </c>
      <c r="H63" s="50">
        <f t="shared" si="4"/>
        <v>7.975415543</v>
      </c>
      <c r="I63" s="51">
        <f t="shared" si="5"/>
        <v>777.1244905</v>
      </c>
      <c r="J63" s="58"/>
      <c r="K63" s="58"/>
      <c r="L63" s="59"/>
      <c r="M63" s="52">
        <v>1202.0</v>
      </c>
      <c r="N63" s="46">
        <f t="shared" si="6"/>
        <v>95.86449483</v>
      </c>
    </row>
    <row r="64">
      <c r="A64" s="45">
        <v>20607.0</v>
      </c>
      <c r="B64" s="45" t="s">
        <v>121</v>
      </c>
      <c r="C64" s="46">
        <v>12343.0</v>
      </c>
      <c r="D64" s="47">
        <v>37.2</v>
      </c>
      <c r="E64" s="48">
        <v>8.2</v>
      </c>
      <c r="F64" s="49">
        <f t="shared" si="2"/>
        <v>8.4232</v>
      </c>
      <c r="G64" s="49">
        <f t="shared" si="18"/>
        <v>0.9806447612</v>
      </c>
      <c r="H64" s="50">
        <f t="shared" si="4"/>
        <v>8.041287042</v>
      </c>
      <c r="I64" s="51">
        <f t="shared" si="5"/>
        <v>992.5360595</v>
      </c>
      <c r="J64" s="58"/>
      <c r="K64" s="58"/>
      <c r="L64" s="59"/>
      <c r="M64" s="52">
        <v>1745.0</v>
      </c>
      <c r="N64" s="46">
        <f t="shared" si="6"/>
        <v>140.3204589</v>
      </c>
    </row>
    <row r="65">
      <c r="A65" s="45">
        <v>20608.0</v>
      </c>
      <c r="B65" s="45" t="s">
        <v>122</v>
      </c>
      <c r="C65" s="46">
        <v>8534.0</v>
      </c>
      <c r="D65" s="47">
        <v>0.0</v>
      </c>
      <c r="E65" s="48">
        <v>8.2</v>
      </c>
      <c r="F65" s="49">
        <f t="shared" si="2"/>
        <v>8.2</v>
      </c>
      <c r="G65" s="49">
        <f t="shared" si="18"/>
        <v>0.954659398</v>
      </c>
      <c r="H65" s="50">
        <f t="shared" si="4"/>
        <v>7.828207064</v>
      </c>
      <c r="I65" s="51">
        <f t="shared" si="5"/>
        <v>668.0591908</v>
      </c>
      <c r="J65" s="58"/>
      <c r="K65" s="58"/>
      <c r="L65" s="59"/>
      <c r="M65" s="52">
        <v>1049.0</v>
      </c>
      <c r="N65" s="46">
        <f t="shared" si="6"/>
        <v>82.1178921</v>
      </c>
    </row>
    <row r="66">
      <c r="A66" s="45">
        <v>20701.0</v>
      </c>
      <c r="B66" s="45" t="s">
        <v>123</v>
      </c>
      <c r="C66" s="46">
        <v>17749.0</v>
      </c>
      <c r="D66" s="47">
        <v>25.8</v>
      </c>
      <c r="E66" s="48">
        <v>8.2</v>
      </c>
      <c r="F66" s="49">
        <f t="shared" si="2"/>
        <v>8.3548</v>
      </c>
      <c r="G66" s="49">
        <f t="shared" si="18"/>
        <v>0.9726815047</v>
      </c>
      <c r="H66" s="50">
        <f t="shared" si="4"/>
        <v>7.975988339</v>
      </c>
      <c r="I66" s="51">
        <f t="shared" si="5"/>
        <v>1415.65817</v>
      </c>
      <c r="J66" s="58"/>
      <c r="K66" s="58"/>
      <c r="L66" s="59"/>
      <c r="M66" s="52">
        <v>2383.0</v>
      </c>
      <c r="N66" s="46">
        <f t="shared" si="6"/>
        <v>190.0678021</v>
      </c>
    </row>
    <row r="67">
      <c r="A67" s="45">
        <v>20702.0</v>
      </c>
      <c r="B67" s="45" t="s">
        <v>124</v>
      </c>
      <c r="C67" s="46">
        <v>6175.0</v>
      </c>
      <c r="D67" s="47">
        <v>0.0</v>
      </c>
      <c r="E67" s="48">
        <v>8.2</v>
      </c>
      <c r="F67" s="49">
        <f t="shared" si="2"/>
        <v>8.2</v>
      </c>
      <c r="G67" s="49">
        <f t="shared" si="18"/>
        <v>0.954659398</v>
      </c>
      <c r="H67" s="50">
        <f t="shared" si="4"/>
        <v>7.828207064</v>
      </c>
      <c r="I67" s="51">
        <f t="shared" si="5"/>
        <v>483.3917862</v>
      </c>
      <c r="J67" s="58"/>
      <c r="K67" s="58"/>
      <c r="L67" s="59"/>
      <c r="M67" s="52">
        <v>775.0</v>
      </c>
      <c r="N67" s="46">
        <f t="shared" si="6"/>
        <v>60.66860475</v>
      </c>
    </row>
    <row r="68">
      <c r="A68" s="45">
        <v>20801.0</v>
      </c>
      <c r="B68" s="45" t="s">
        <v>125</v>
      </c>
      <c r="C68" s="46">
        <v>68314.0</v>
      </c>
      <c r="D68" s="47">
        <v>72.4</v>
      </c>
      <c r="E68" s="48">
        <v>8.2</v>
      </c>
      <c r="F68" s="49">
        <f t="shared" si="2"/>
        <v>8.6344</v>
      </c>
      <c r="G68" s="49">
        <f t="shared" si="18"/>
        <v>1.005233062</v>
      </c>
      <c r="H68" s="50">
        <f t="shared" si="4"/>
        <v>8.242911106</v>
      </c>
      <c r="I68" s="51">
        <f t="shared" si="5"/>
        <v>5631.062293</v>
      </c>
      <c r="J68" s="58"/>
      <c r="K68" s="58"/>
      <c r="L68" s="59"/>
      <c r="M68" s="52">
        <v>7150.0</v>
      </c>
      <c r="N68" s="46">
        <f t="shared" si="6"/>
        <v>589.3681441</v>
      </c>
    </row>
    <row r="69">
      <c r="A69" s="45">
        <v>20802.0</v>
      </c>
      <c r="B69" s="45" t="s">
        <v>126</v>
      </c>
      <c r="C69" s="46">
        <v>7378.0</v>
      </c>
      <c r="D69" s="47">
        <v>0.0</v>
      </c>
      <c r="E69" s="48">
        <v>8.2</v>
      </c>
      <c r="F69" s="49">
        <f t="shared" si="2"/>
        <v>8.2</v>
      </c>
      <c r="G69" s="49">
        <f t="shared" si="18"/>
        <v>0.954659398</v>
      </c>
      <c r="H69" s="50">
        <f t="shared" si="4"/>
        <v>7.828207064</v>
      </c>
      <c r="I69" s="51">
        <f t="shared" si="5"/>
        <v>577.5651172</v>
      </c>
      <c r="J69" s="58"/>
      <c r="K69" s="58"/>
      <c r="L69" s="59"/>
      <c r="M69" s="52">
        <v>549.0</v>
      </c>
      <c r="N69" s="46">
        <f t="shared" si="6"/>
        <v>42.97685678</v>
      </c>
    </row>
    <row r="70">
      <c r="A70" s="45">
        <v>20803.0</v>
      </c>
      <c r="B70" s="45" t="s">
        <v>127</v>
      </c>
      <c r="C70" s="46">
        <v>11869.0</v>
      </c>
      <c r="D70" s="47">
        <v>10.6</v>
      </c>
      <c r="E70" s="48">
        <v>8.2</v>
      </c>
      <c r="F70" s="49">
        <f t="shared" si="2"/>
        <v>8.2636</v>
      </c>
      <c r="G70" s="49">
        <f t="shared" si="18"/>
        <v>0.9620638295</v>
      </c>
      <c r="H70" s="50">
        <f t="shared" si="4"/>
        <v>7.888923402</v>
      </c>
      <c r="I70" s="51">
        <f t="shared" si="5"/>
        <v>936.3363185</v>
      </c>
      <c r="J70" s="58"/>
      <c r="K70" s="58"/>
      <c r="L70" s="59"/>
      <c r="M70" s="52">
        <v>992.0</v>
      </c>
      <c r="N70" s="46">
        <f t="shared" si="6"/>
        <v>78.25812014</v>
      </c>
    </row>
    <row r="71">
      <c r="A71" s="45">
        <v>20804.0</v>
      </c>
      <c r="B71" s="45" t="s">
        <v>128</v>
      </c>
      <c r="C71" s="46">
        <v>6258.0</v>
      </c>
      <c r="D71" s="47">
        <v>53.2</v>
      </c>
      <c r="E71" s="48">
        <v>8.2</v>
      </c>
      <c r="F71" s="49">
        <f t="shared" si="2"/>
        <v>8.5192</v>
      </c>
      <c r="G71" s="49">
        <f t="shared" si="18"/>
        <v>0.9918212614</v>
      </c>
      <c r="H71" s="50">
        <f t="shared" si="4"/>
        <v>8.132934344</v>
      </c>
      <c r="I71" s="51">
        <f t="shared" si="5"/>
        <v>508.9590312</v>
      </c>
      <c r="J71" s="58"/>
      <c r="K71" s="58"/>
      <c r="L71" s="59"/>
      <c r="M71" s="52">
        <v>607.0</v>
      </c>
      <c r="N71" s="46">
        <f t="shared" si="6"/>
        <v>49.36691147</v>
      </c>
    </row>
    <row r="72">
      <c r="A72" s="45">
        <v>20805.0</v>
      </c>
      <c r="B72" s="45" t="s">
        <v>129</v>
      </c>
      <c r="C72" s="46">
        <v>6201.0</v>
      </c>
      <c r="D72" s="47">
        <v>0.0</v>
      </c>
      <c r="E72" s="48">
        <v>8.2</v>
      </c>
      <c r="F72" s="49">
        <f t="shared" si="2"/>
        <v>8.2</v>
      </c>
      <c r="G72" s="49">
        <f t="shared" si="18"/>
        <v>0.954659398</v>
      </c>
      <c r="H72" s="50">
        <f t="shared" si="4"/>
        <v>7.828207064</v>
      </c>
      <c r="I72" s="51">
        <f t="shared" si="5"/>
        <v>485.42712</v>
      </c>
      <c r="J72" s="58"/>
      <c r="K72" s="58"/>
      <c r="L72" s="59"/>
      <c r="M72" s="52">
        <v>495.0</v>
      </c>
      <c r="N72" s="46">
        <f t="shared" si="6"/>
        <v>38.74962497</v>
      </c>
    </row>
    <row r="73">
      <c r="A73" s="45">
        <v>20806.0</v>
      </c>
      <c r="B73" s="45" t="s">
        <v>130</v>
      </c>
      <c r="C73" s="46">
        <v>14387.0</v>
      </c>
      <c r="D73" s="47">
        <v>0.0</v>
      </c>
      <c r="E73" s="48">
        <v>8.2</v>
      </c>
      <c r="F73" s="49">
        <f t="shared" si="2"/>
        <v>8.2</v>
      </c>
      <c r="G73" s="49">
        <f t="shared" si="18"/>
        <v>0.954659398</v>
      </c>
      <c r="H73" s="50">
        <f t="shared" si="4"/>
        <v>7.828207064</v>
      </c>
      <c r="I73" s="51">
        <f t="shared" si="5"/>
        <v>1126.24415</v>
      </c>
      <c r="J73" s="58"/>
      <c r="K73" s="58"/>
      <c r="L73" s="59"/>
      <c r="M73" s="52">
        <v>1248.0</v>
      </c>
      <c r="N73" s="46">
        <f t="shared" si="6"/>
        <v>97.69602416</v>
      </c>
    </row>
    <row r="74">
      <c r="A74" s="45">
        <v>20807.0</v>
      </c>
      <c r="B74" s="45" t="s">
        <v>131</v>
      </c>
      <c r="C74" s="46">
        <v>6355.0</v>
      </c>
      <c r="D74" s="47">
        <v>0.0</v>
      </c>
      <c r="E74" s="48">
        <v>8.2</v>
      </c>
      <c r="F74" s="49">
        <f t="shared" si="2"/>
        <v>8.2</v>
      </c>
      <c r="G74" s="49">
        <f t="shared" si="18"/>
        <v>0.954659398</v>
      </c>
      <c r="H74" s="50">
        <f t="shared" si="4"/>
        <v>7.828207064</v>
      </c>
      <c r="I74" s="51">
        <f t="shared" si="5"/>
        <v>497.4825589</v>
      </c>
      <c r="J74" s="58"/>
      <c r="K74" s="58"/>
      <c r="L74" s="59"/>
      <c r="M74" s="52">
        <v>435.0</v>
      </c>
      <c r="N74" s="46">
        <f t="shared" si="6"/>
        <v>34.05270073</v>
      </c>
    </row>
    <row r="75">
      <c r="A75" s="45">
        <v>20901.0</v>
      </c>
      <c r="B75" s="45" t="s">
        <v>132</v>
      </c>
      <c r="C75" s="46">
        <v>10363.0</v>
      </c>
      <c r="D75" s="47">
        <v>0.0</v>
      </c>
      <c r="E75" s="48">
        <v>8.2</v>
      </c>
      <c r="F75" s="49">
        <f t="shared" si="2"/>
        <v>8.2</v>
      </c>
      <c r="G75" s="49">
        <f t="shared" si="18"/>
        <v>0.954659398</v>
      </c>
      <c r="H75" s="50">
        <f t="shared" si="4"/>
        <v>7.828207064</v>
      </c>
      <c r="I75" s="51">
        <f t="shared" si="5"/>
        <v>811.237098</v>
      </c>
      <c r="J75" s="58"/>
      <c r="K75" s="58"/>
      <c r="L75" s="59"/>
      <c r="M75" s="52">
        <v>936.0</v>
      </c>
      <c r="N75" s="46">
        <f t="shared" si="6"/>
        <v>73.27201812</v>
      </c>
    </row>
    <row r="76">
      <c r="A76" s="45">
        <v>20902.0</v>
      </c>
      <c r="B76" s="45" t="s">
        <v>133</v>
      </c>
      <c r="C76" s="46">
        <v>12232.0</v>
      </c>
      <c r="D76" s="47">
        <v>0.0</v>
      </c>
      <c r="E76" s="48">
        <v>8.2</v>
      </c>
      <c r="F76" s="49">
        <f t="shared" si="2"/>
        <v>8.2</v>
      </c>
      <c r="G76" s="49">
        <f t="shared" si="18"/>
        <v>0.954659398</v>
      </c>
      <c r="H76" s="50">
        <f t="shared" si="4"/>
        <v>7.828207064</v>
      </c>
      <c r="I76" s="51">
        <f t="shared" si="5"/>
        <v>957.5462881</v>
      </c>
      <c r="J76" s="58"/>
      <c r="K76" s="58"/>
      <c r="L76" s="59"/>
      <c r="M76" s="52">
        <v>1167.0</v>
      </c>
      <c r="N76" s="46">
        <f t="shared" si="6"/>
        <v>91.35517644</v>
      </c>
    </row>
    <row r="77">
      <c r="A77" s="45">
        <v>20903.0</v>
      </c>
      <c r="B77" s="45" t="s">
        <v>134</v>
      </c>
      <c r="C77" s="46">
        <v>7515.0</v>
      </c>
      <c r="D77" s="47">
        <v>0.0</v>
      </c>
      <c r="E77" s="48">
        <v>8.2</v>
      </c>
      <c r="F77" s="49">
        <f t="shared" si="2"/>
        <v>8.2</v>
      </c>
      <c r="G77" s="49">
        <f t="shared" si="18"/>
        <v>0.954659398</v>
      </c>
      <c r="H77" s="50">
        <f t="shared" si="4"/>
        <v>7.828207064</v>
      </c>
      <c r="I77" s="51">
        <f t="shared" si="5"/>
        <v>588.2897609</v>
      </c>
      <c r="J77" s="58"/>
      <c r="K77" s="58"/>
      <c r="L77" s="59"/>
      <c r="M77" s="52">
        <v>807.0</v>
      </c>
      <c r="N77" s="46">
        <f t="shared" si="6"/>
        <v>63.17363101</v>
      </c>
    </row>
    <row r="78">
      <c r="A78" s="45">
        <v>20904.0</v>
      </c>
      <c r="B78" s="45" t="s">
        <v>135</v>
      </c>
      <c r="C78" s="46">
        <v>4654.0</v>
      </c>
      <c r="D78" s="47">
        <v>0.0</v>
      </c>
      <c r="E78" s="48">
        <v>8.2</v>
      </c>
      <c r="F78" s="49">
        <f t="shared" si="2"/>
        <v>8.2</v>
      </c>
      <c r="G78" s="49">
        <f t="shared" si="18"/>
        <v>0.954659398</v>
      </c>
      <c r="H78" s="50">
        <f t="shared" si="4"/>
        <v>7.828207064</v>
      </c>
      <c r="I78" s="51">
        <f t="shared" si="5"/>
        <v>364.3247568</v>
      </c>
      <c r="J78" s="58"/>
      <c r="K78" s="58"/>
      <c r="L78" s="59"/>
      <c r="M78" s="52">
        <v>579.0</v>
      </c>
      <c r="N78" s="46">
        <f t="shared" si="6"/>
        <v>45.3253189</v>
      </c>
    </row>
    <row r="79">
      <c r="A79" s="45">
        <v>20905.0</v>
      </c>
      <c r="B79" s="45" t="s">
        <v>136</v>
      </c>
      <c r="C79" s="46">
        <v>11349.0</v>
      </c>
      <c r="D79" s="47">
        <v>0.0</v>
      </c>
      <c r="E79" s="48">
        <v>8.2</v>
      </c>
      <c r="F79" s="49">
        <f t="shared" si="2"/>
        <v>8.2</v>
      </c>
      <c r="G79" s="49">
        <f t="shared" si="18"/>
        <v>0.954659398</v>
      </c>
      <c r="H79" s="50">
        <f t="shared" si="4"/>
        <v>7.828207064</v>
      </c>
      <c r="I79" s="51">
        <f t="shared" si="5"/>
        <v>888.4232197</v>
      </c>
      <c r="J79" s="58"/>
      <c r="K79" s="58"/>
      <c r="L79" s="59"/>
      <c r="M79" s="52">
        <v>1322.0</v>
      </c>
      <c r="N79" s="46">
        <f t="shared" si="6"/>
        <v>103.4888974</v>
      </c>
    </row>
    <row r="80">
      <c r="A80" s="45">
        <v>21001.0</v>
      </c>
      <c r="B80" s="45" t="s">
        <v>137</v>
      </c>
      <c r="C80" s="46">
        <v>15236.0</v>
      </c>
      <c r="D80" s="47">
        <v>0.0</v>
      </c>
      <c r="E80" s="48">
        <v>8.2</v>
      </c>
      <c r="F80" s="49">
        <f t="shared" si="2"/>
        <v>8.2</v>
      </c>
      <c r="G80" s="49">
        <f t="shared" si="18"/>
        <v>0.954659398</v>
      </c>
      <c r="H80" s="50">
        <f t="shared" si="4"/>
        <v>7.828207064</v>
      </c>
      <c r="I80" s="51">
        <f t="shared" si="5"/>
        <v>1192.705628</v>
      </c>
      <c r="J80" s="58"/>
      <c r="K80" s="58"/>
      <c r="L80" s="59"/>
      <c r="M80" s="52">
        <v>1836.0</v>
      </c>
      <c r="N80" s="46">
        <f t="shared" si="6"/>
        <v>143.7258817</v>
      </c>
    </row>
    <row r="81">
      <c r="A81" s="45">
        <v>21002.0</v>
      </c>
      <c r="B81" s="45" t="s">
        <v>138</v>
      </c>
      <c r="C81" s="46">
        <v>7929.0</v>
      </c>
      <c r="D81" s="47">
        <v>36.2</v>
      </c>
      <c r="E81" s="48">
        <v>8.2</v>
      </c>
      <c r="F81" s="49">
        <f t="shared" si="2"/>
        <v>8.4172</v>
      </c>
      <c r="G81" s="49">
        <f t="shared" si="18"/>
        <v>0.9799462299</v>
      </c>
      <c r="H81" s="50">
        <f t="shared" si="4"/>
        <v>8.035559085</v>
      </c>
      <c r="I81" s="51">
        <f t="shared" si="5"/>
        <v>637.1394799</v>
      </c>
      <c r="J81" s="58"/>
      <c r="K81" s="58"/>
      <c r="L81" s="59"/>
      <c r="M81" s="52">
        <v>856.0</v>
      </c>
      <c r="N81" s="46">
        <f t="shared" si="6"/>
        <v>68.78438577</v>
      </c>
    </row>
    <row r="82">
      <c r="A82" s="45">
        <v>21003.0</v>
      </c>
      <c r="B82" s="45" t="s">
        <v>139</v>
      </c>
      <c r="C82" s="46">
        <v>9476.0</v>
      </c>
      <c r="D82" s="47">
        <v>0.0</v>
      </c>
      <c r="E82" s="48">
        <v>8.2</v>
      </c>
      <c r="F82" s="49">
        <f t="shared" si="2"/>
        <v>8.2</v>
      </c>
      <c r="G82" s="49">
        <f t="shared" si="18"/>
        <v>0.954659398</v>
      </c>
      <c r="H82" s="50">
        <f t="shared" si="4"/>
        <v>7.828207064</v>
      </c>
      <c r="I82" s="51">
        <f t="shared" si="5"/>
        <v>741.8009014</v>
      </c>
      <c r="J82" s="58"/>
      <c r="K82" s="58"/>
      <c r="L82" s="59"/>
      <c r="M82" s="52">
        <v>1114.0</v>
      </c>
      <c r="N82" s="46">
        <f t="shared" si="6"/>
        <v>87.20622669</v>
      </c>
    </row>
    <row r="83">
      <c r="A83" s="45">
        <v>21004.0</v>
      </c>
      <c r="B83" s="45" t="s">
        <v>140</v>
      </c>
      <c r="C83" s="46">
        <v>19159.0</v>
      </c>
      <c r="D83" s="47">
        <v>27.3</v>
      </c>
      <c r="E83" s="48">
        <v>8.2</v>
      </c>
      <c r="F83" s="49">
        <f t="shared" si="2"/>
        <v>8.3638</v>
      </c>
      <c r="G83" s="49">
        <f t="shared" si="18"/>
        <v>0.9737293016</v>
      </c>
      <c r="H83" s="50">
        <f t="shared" si="4"/>
        <v>7.984580273</v>
      </c>
      <c r="I83" s="51">
        <f t="shared" si="5"/>
        <v>1529.765735</v>
      </c>
      <c r="J83" s="58"/>
      <c r="K83" s="58"/>
      <c r="L83" s="59"/>
      <c r="M83" s="52">
        <v>2382.0</v>
      </c>
      <c r="N83" s="46">
        <f t="shared" si="6"/>
        <v>190.1927021</v>
      </c>
    </row>
    <row r="84">
      <c r="A84" s="45">
        <v>21005.0</v>
      </c>
      <c r="B84" s="45" t="s">
        <v>141</v>
      </c>
      <c r="C84" s="46">
        <v>7522.0</v>
      </c>
      <c r="D84" s="47">
        <v>0.0</v>
      </c>
      <c r="E84" s="48">
        <v>8.2</v>
      </c>
      <c r="F84" s="49">
        <f t="shared" si="2"/>
        <v>8.2</v>
      </c>
      <c r="G84" s="49">
        <f t="shared" si="18"/>
        <v>0.954659398</v>
      </c>
      <c r="H84" s="50">
        <f t="shared" si="4"/>
        <v>7.828207064</v>
      </c>
      <c r="I84" s="51">
        <f t="shared" si="5"/>
        <v>588.8377353</v>
      </c>
      <c r="J84" s="58"/>
      <c r="K84" s="58"/>
      <c r="L84" s="59"/>
      <c r="M84" s="52">
        <v>913.0</v>
      </c>
      <c r="N84" s="46">
        <f t="shared" si="6"/>
        <v>71.47153049</v>
      </c>
    </row>
    <row r="85">
      <c r="A85" s="45">
        <v>21006.0</v>
      </c>
      <c r="B85" s="45" t="s">
        <v>142</v>
      </c>
      <c r="C85" s="46">
        <v>4488.0</v>
      </c>
      <c r="D85" s="47">
        <v>27.1</v>
      </c>
      <c r="E85" s="48">
        <v>8.2</v>
      </c>
      <c r="F85" s="49">
        <f t="shared" si="2"/>
        <v>8.3626</v>
      </c>
      <c r="G85" s="49">
        <f t="shared" si="18"/>
        <v>0.9735895954</v>
      </c>
      <c r="H85" s="50">
        <f t="shared" si="4"/>
        <v>7.983434682</v>
      </c>
      <c r="I85" s="51">
        <f t="shared" si="5"/>
        <v>358.2965485</v>
      </c>
      <c r="J85" s="58"/>
      <c r="K85" s="58"/>
      <c r="L85" s="59"/>
      <c r="M85" s="52">
        <v>394.0</v>
      </c>
      <c r="N85" s="46">
        <f t="shared" si="6"/>
        <v>31.45473265</v>
      </c>
    </row>
    <row r="86">
      <c r="A86" s="45">
        <v>21101.0</v>
      </c>
      <c r="B86" s="45" t="s">
        <v>143</v>
      </c>
      <c r="C86" s="46">
        <v>16143.0</v>
      </c>
      <c r="D86" s="47">
        <v>14.9</v>
      </c>
      <c r="E86" s="48">
        <v>8.2</v>
      </c>
      <c r="F86" s="49">
        <f t="shared" si="2"/>
        <v>8.2894</v>
      </c>
      <c r="G86" s="49">
        <f t="shared" si="18"/>
        <v>0.9650675139</v>
      </c>
      <c r="H86" s="50">
        <f t="shared" si="4"/>
        <v>7.913553614</v>
      </c>
      <c r="I86" s="51">
        <f t="shared" si="5"/>
        <v>1277.48496</v>
      </c>
      <c r="J86" s="58"/>
      <c r="K86" s="58"/>
      <c r="L86" s="59"/>
      <c r="M86" s="52">
        <v>1708.0</v>
      </c>
      <c r="N86" s="46">
        <f t="shared" si="6"/>
        <v>135.1634957</v>
      </c>
    </row>
    <row r="87">
      <c r="A87" s="45">
        <v>21102.0</v>
      </c>
      <c r="B87" s="45" t="s">
        <v>144</v>
      </c>
      <c r="C87" s="46">
        <v>15133.0</v>
      </c>
      <c r="D87" s="47">
        <v>0.0</v>
      </c>
      <c r="E87" s="48">
        <v>8.2</v>
      </c>
      <c r="F87" s="49">
        <f t="shared" si="2"/>
        <v>8.2</v>
      </c>
      <c r="G87" s="49">
        <f t="shared" si="18"/>
        <v>0.954659398</v>
      </c>
      <c r="H87" s="50">
        <f t="shared" si="4"/>
        <v>7.828207064</v>
      </c>
      <c r="I87" s="51">
        <f t="shared" si="5"/>
        <v>1184.642575</v>
      </c>
      <c r="J87" s="58"/>
      <c r="K87" s="58"/>
      <c r="L87" s="59"/>
      <c r="M87" s="52">
        <v>1611.0</v>
      </c>
      <c r="N87" s="46">
        <f t="shared" si="6"/>
        <v>126.1124158</v>
      </c>
    </row>
    <row r="88">
      <c r="A88" s="45">
        <v>21103.0</v>
      </c>
      <c r="B88" s="45" t="s">
        <v>145</v>
      </c>
      <c r="C88" s="46">
        <v>5631.0</v>
      </c>
      <c r="D88" s="47">
        <v>0.0</v>
      </c>
      <c r="E88" s="48">
        <v>8.2</v>
      </c>
      <c r="F88" s="49">
        <f t="shared" si="2"/>
        <v>8.2</v>
      </c>
      <c r="G88" s="49">
        <f t="shared" si="18"/>
        <v>0.954659398</v>
      </c>
      <c r="H88" s="50">
        <f t="shared" si="4"/>
        <v>7.828207064</v>
      </c>
      <c r="I88" s="51">
        <f t="shared" si="5"/>
        <v>440.8063398</v>
      </c>
      <c r="J88" s="58"/>
      <c r="K88" s="58"/>
      <c r="L88" s="59"/>
      <c r="M88" s="52">
        <v>565.0</v>
      </c>
      <c r="N88" s="46">
        <f t="shared" si="6"/>
        <v>44.22936991</v>
      </c>
    </row>
    <row r="89">
      <c r="A89" s="45">
        <v>21104.0</v>
      </c>
      <c r="B89" s="45" t="s">
        <v>146</v>
      </c>
      <c r="C89" s="46">
        <v>21842.0</v>
      </c>
      <c r="D89" s="47">
        <v>20.5</v>
      </c>
      <c r="E89" s="48">
        <v>8.2</v>
      </c>
      <c r="F89" s="49">
        <f t="shared" si="2"/>
        <v>8.323</v>
      </c>
      <c r="G89" s="49">
        <f t="shared" si="18"/>
        <v>0.968979289</v>
      </c>
      <c r="H89" s="50">
        <f t="shared" si="4"/>
        <v>7.94563017</v>
      </c>
      <c r="I89" s="51">
        <f t="shared" si="5"/>
        <v>1735.484542</v>
      </c>
      <c r="J89" s="58"/>
      <c r="K89" s="58"/>
      <c r="L89" s="59"/>
      <c r="M89" s="52">
        <v>2831.0</v>
      </c>
      <c r="N89" s="46">
        <f t="shared" si="6"/>
        <v>224.9407901</v>
      </c>
    </row>
    <row r="90">
      <c r="A90" s="45">
        <v>21105.0</v>
      </c>
      <c r="B90" s="45" t="s">
        <v>147</v>
      </c>
      <c r="C90" s="46">
        <v>32119.0</v>
      </c>
      <c r="D90" s="47">
        <v>3.8</v>
      </c>
      <c r="E90" s="48">
        <v>8.2</v>
      </c>
      <c r="F90" s="49">
        <f t="shared" si="2"/>
        <v>8.2228</v>
      </c>
      <c r="G90" s="49">
        <f t="shared" si="18"/>
        <v>0.9573138168</v>
      </c>
      <c r="H90" s="50">
        <f t="shared" si="4"/>
        <v>7.849973298</v>
      </c>
      <c r="I90" s="51">
        <f t="shared" si="5"/>
        <v>2521.332924</v>
      </c>
      <c r="J90" s="58"/>
      <c r="K90" s="58"/>
      <c r="L90" s="59"/>
      <c r="M90" s="52">
        <v>4650.0</v>
      </c>
      <c r="N90" s="46">
        <f t="shared" si="6"/>
        <v>365.0237584</v>
      </c>
    </row>
    <row r="91">
      <c r="A91" s="45">
        <v>21201.0</v>
      </c>
      <c r="B91" s="45" t="s">
        <v>148</v>
      </c>
      <c r="C91" s="46">
        <v>28104.0</v>
      </c>
      <c r="D91" s="47">
        <v>0.0</v>
      </c>
      <c r="E91" s="48">
        <v>8.2</v>
      </c>
      <c r="F91" s="49">
        <f t="shared" si="2"/>
        <v>8.2</v>
      </c>
      <c r="G91" s="49">
        <f t="shared" si="18"/>
        <v>0.954659398</v>
      </c>
      <c r="H91" s="50">
        <f t="shared" si="4"/>
        <v>7.828207064</v>
      </c>
      <c r="I91" s="51">
        <f t="shared" si="5"/>
        <v>2200.039313</v>
      </c>
      <c r="J91" s="58"/>
      <c r="K91" s="58"/>
      <c r="L91" s="59"/>
      <c r="M91" s="52">
        <v>2938.0</v>
      </c>
      <c r="N91" s="46">
        <f t="shared" si="6"/>
        <v>229.9927235</v>
      </c>
    </row>
    <row r="92">
      <c r="A92" s="45">
        <v>21202.0</v>
      </c>
      <c r="B92" s="45" t="s">
        <v>149</v>
      </c>
      <c r="C92" s="46">
        <v>21542.0</v>
      </c>
      <c r="D92" s="47">
        <v>0.0</v>
      </c>
      <c r="E92" s="48">
        <v>8.2</v>
      </c>
      <c r="F92" s="49">
        <f t="shared" si="2"/>
        <v>8.2</v>
      </c>
      <c r="G92" s="49">
        <f t="shared" si="18"/>
        <v>0.954659398</v>
      </c>
      <c r="H92" s="50">
        <f t="shared" si="4"/>
        <v>7.828207064</v>
      </c>
      <c r="I92" s="51">
        <f t="shared" si="5"/>
        <v>1686.352366</v>
      </c>
      <c r="J92" s="58"/>
      <c r="K92" s="58"/>
      <c r="L92" s="59"/>
      <c r="M92" s="52">
        <v>2031.0</v>
      </c>
      <c r="N92" s="46">
        <f t="shared" si="6"/>
        <v>158.9908855</v>
      </c>
    </row>
    <row r="93">
      <c r="A93" s="45">
        <v>21203.0</v>
      </c>
      <c r="B93" s="45" t="s">
        <v>150</v>
      </c>
      <c r="C93" s="46">
        <v>18698.0</v>
      </c>
      <c r="D93" s="47">
        <v>8.3</v>
      </c>
      <c r="E93" s="48">
        <v>8.2</v>
      </c>
      <c r="F93" s="49">
        <f t="shared" si="2"/>
        <v>8.2498</v>
      </c>
      <c r="G93" s="49">
        <f t="shared" si="18"/>
        <v>0.9604572076</v>
      </c>
      <c r="H93" s="50">
        <f t="shared" si="4"/>
        <v>7.875749102</v>
      </c>
      <c r="I93" s="51">
        <f t="shared" si="5"/>
        <v>1472.607567</v>
      </c>
      <c r="J93" s="58"/>
      <c r="K93" s="58"/>
      <c r="L93" s="59"/>
      <c r="M93" s="52">
        <v>1833.0</v>
      </c>
      <c r="N93" s="46">
        <f t="shared" si="6"/>
        <v>144.362481</v>
      </c>
    </row>
    <row r="94">
      <c r="A94" s="45">
        <v>21204.0</v>
      </c>
      <c r="B94" s="45" t="s">
        <v>151</v>
      </c>
      <c r="C94" s="46">
        <v>6982.0</v>
      </c>
      <c r="D94" s="47">
        <v>0.0</v>
      </c>
      <c r="E94" s="48">
        <v>8.2</v>
      </c>
      <c r="F94" s="49">
        <f t="shared" si="2"/>
        <v>8.2</v>
      </c>
      <c r="G94" s="49">
        <f t="shared" si="18"/>
        <v>0.954659398</v>
      </c>
      <c r="H94" s="50">
        <f t="shared" si="4"/>
        <v>7.828207064</v>
      </c>
      <c r="I94" s="51">
        <f t="shared" si="5"/>
        <v>546.5654172</v>
      </c>
      <c r="J94" s="58"/>
      <c r="K94" s="58"/>
      <c r="L94" s="59"/>
      <c r="M94" s="52">
        <v>609.0</v>
      </c>
      <c r="N94" s="46">
        <f t="shared" si="6"/>
        <v>47.67378102</v>
      </c>
    </row>
    <row r="95">
      <c r="A95" s="45">
        <v>21301.0</v>
      </c>
      <c r="B95" s="45" t="s">
        <v>152</v>
      </c>
      <c r="C95" s="46">
        <v>29678.0</v>
      </c>
      <c r="D95" s="47">
        <v>31.8</v>
      </c>
      <c r="E95" s="48">
        <v>8.2</v>
      </c>
      <c r="F95" s="49">
        <f t="shared" si="2"/>
        <v>8.3908</v>
      </c>
      <c r="G95" s="49">
        <f t="shared" si="18"/>
        <v>0.9768726923</v>
      </c>
      <c r="H95" s="50">
        <f t="shared" si="4"/>
        <v>8.010356077</v>
      </c>
      <c r="I95" s="51">
        <f t="shared" si="5"/>
        <v>2377.313477</v>
      </c>
      <c r="J95" s="58"/>
      <c r="K95" s="58"/>
      <c r="L95" s="59"/>
      <c r="M95" s="52">
        <v>3291.0</v>
      </c>
      <c r="N95" s="46">
        <f t="shared" si="6"/>
        <v>263.6208185</v>
      </c>
    </row>
    <row r="96">
      <c r="A96" s="45">
        <v>21302.0</v>
      </c>
      <c r="B96" s="45" t="s">
        <v>153</v>
      </c>
      <c r="C96" s="46">
        <v>9150.0</v>
      </c>
      <c r="D96" s="47">
        <v>0.0</v>
      </c>
      <c r="E96" s="48">
        <v>8.2</v>
      </c>
      <c r="F96" s="49">
        <f t="shared" si="2"/>
        <v>8.2</v>
      </c>
      <c r="G96" s="49">
        <f t="shared" si="18"/>
        <v>0.954659398</v>
      </c>
      <c r="H96" s="50">
        <f t="shared" si="4"/>
        <v>7.828207064</v>
      </c>
      <c r="I96" s="51">
        <f t="shared" si="5"/>
        <v>716.2809463</v>
      </c>
      <c r="J96" s="58"/>
      <c r="K96" s="58"/>
      <c r="L96" s="59"/>
      <c r="M96" s="52">
        <v>919.0</v>
      </c>
      <c r="N96" s="46">
        <f t="shared" si="6"/>
        <v>71.94122292</v>
      </c>
    </row>
    <row r="97">
      <c r="A97" s="45">
        <v>21303.0</v>
      </c>
      <c r="B97" s="45" t="s">
        <v>154</v>
      </c>
      <c r="C97" s="46">
        <v>7501.0</v>
      </c>
      <c r="D97" s="47">
        <v>0.0</v>
      </c>
      <c r="E97" s="48">
        <v>8.2</v>
      </c>
      <c r="F97" s="49">
        <f t="shared" si="2"/>
        <v>8.2</v>
      </c>
      <c r="G97" s="49">
        <f t="shared" si="18"/>
        <v>0.954659398</v>
      </c>
      <c r="H97" s="50">
        <f t="shared" si="4"/>
        <v>7.828207064</v>
      </c>
      <c r="I97" s="51">
        <f t="shared" si="5"/>
        <v>587.1938119</v>
      </c>
      <c r="J97" s="58"/>
      <c r="K97" s="58"/>
      <c r="L97" s="59"/>
      <c r="M97" s="52">
        <v>802.0</v>
      </c>
      <c r="N97" s="46">
        <f t="shared" si="6"/>
        <v>62.78222065</v>
      </c>
    </row>
    <row r="98">
      <c r="A98" s="45">
        <v>21304.0</v>
      </c>
      <c r="B98" s="45" t="s">
        <v>155</v>
      </c>
      <c r="C98" s="46">
        <v>12304.0</v>
      </c>
      <c r="D98" s="47">
        <v>0.0</v>
      </c>
      <c r="E98" s="48">
        <v>8.2</v>
      </c>
      <c r="F98" s="49">
        <f t="shared" si="2"/>
        <v>8.2</v>
      </c>
      <c r="G98" s="49">
        <f t="shared" si="18"/>
        <v>0.954659398</v>
      </c>
      <c r="H98" s="50">
        <f t="shared" si="4"/>
        <v>7.828207064</v>
      </c>
      <c r="I98" s="51">
        <f t="shared" si="5"/>
        <v>963.1825971</v>
      </c>
      <c r="J98" s="58"/>
      <c r="K98" s="58"/>
      <c r="L98" s="59"/>
      <c r="M98" s="52">
        <v>1232.0</v>
      </c>
      <c r="N98" s="46">
        <f t="shared" si="6"/>
        <v>96.44351103</v>
      </c>
    </row>
    <row r="99">
      <c r="A99" s="45">
        <v>21305.0</v>
      </c>
      <c r="B99" s="45" t="s">
        <v>156</v>
      </c>
      <c r="C99" s="46">
        <v>21833.0</v>
      </c>
      <c r="D99" s="47">
        <v>46.6</v>
      </c>
      <c r="E99" s="48">
        <v>8.2</v>
      </c>
      <c r="F99" s="49">
        <f t="shared" si="2"/>
        <v>8.4796</v>
      </c>
      <c r="G99" s="49">
        <f t="shared" si="18"/>
        <v>0.9872109551</v>
      </c>
      <c r="H99" s="50">
        <f t="shared" si="4"/>
        <v>8.095129832</v>
      </c>
      <c r="I99" s="51">
        <f t="shared" si="5"/>
        <v>1767.409696</v>
      </c>
      <c r="J99" s="58"/>
      <c r="K99" s="58"/>
      <c r="L99" s="59"/>
      <c r="M99" s="52">
        <v>2551.0</v>
      </c>
      <c r="N99" s="46">
        <f t="shared" si="6"/>
        <v>206.506762</v>
      </c>
    </row>
    <row r="100">
      <c r="A100" s="45">
        <v>21306.0</v>
      </c>
      <c r="B100" s="45" t="s">
        <v>157</v>
      </c>
      <c r="C100" s="46">
        <v>9203.0</v>
      </c>
      <c r="D100" s="47">
        <v>30.5</v>
      </c>
      <c r="E100" s="48">
        <v>8.2</v>
      </c>
      <c r="F100" s="49">
        <f t="shared" si="2"/>
        <v>8.383</v>
      </c>
      <c r="G100" s="49">
        <f t="shared" si="18"/>
        <v>0.9759646017</v>
      </c>
      <c r="H100" s="50">
        <f t="shared" si="4"/>
        <v>8.002909734</v>
      </c>
      <c r="I100" s="51">
        <f t="shared" si="5"/>
        <v>736.5077828</v>
      </c>
      <c r="J100" s="58"/>
      <c r="K100" s="58"/>
      <c r="L100" s="59"/>
      <c r="M100" s="52">
        <v>1010.0</v>
      </c>
      <c r="N100" s="46">
        <f t="shared" si="6"/>
        <v>80.82938831</v>
      </c>
    </row>
    <row r="101">
      <c r="A101" s="45">
        <v>21307.0</v>
      </c>
      <c r="B101" s="45" t="s">
        <v>158</v>
      </c>
      <c r="C101" s="46">
        <v>4273.0</v>
      </c>
      <c r="D101" s="47">
        <v>35.9</v>
      </c>
      <c r="E101" s="48">
        <v>8.2</v>
      </c>
      <c r="F101" s="49">
        <f t="shared" si="2"/>
        <v>8.4154</v>
      </c>
      <c r="G101" s="49">
        <f t="shared" si="18"/>
        <v>0.9797366705</v>
      </c>
      <c r="H101" s="50">
        <f t="shared" si="4"/>
        <v>8.033840698</v>
      </c>
      <c r="I101" s="51">
        <f t="shared" si="5"/>
        <v>343.286013</v>
      </c>
      <c r="J101" s="58"/>
      <c r="K101" s="58"/>
      <c r="L101" s="59"/>
      <c r="M101" s="52">
        <v>415.0</v>
      </c>
      <c r="N101" s="46">
        <f t="shared" si="6"/>
        <v>33.3404389</v>
      </c>
    </row>
    <row r="102">
      <c r="A102" s="45">
        <v>21401.0</v>
      </c>
      <c r="B102" s="45" t="s">
        <v>159</v>
      </c>
      <c r="C102" s="46">
        <v>16793.0</v>
      </c>
      <c r="D102" s="47">
        <v>14.2</v>
      </c>
      <c r="E102" s="48">
        <v>8.2</v>
      </c>
      <c r="F102" s="49">
        <f t="shared" si="2"/>
        <v>8.2852</v>
      </c>
      <c r="G102" s="49">
        <f t="shared" si="18"/>
        <v>0.964578542</v>
      </c>
      <c r="H102" s="50">
        <f t="shared" si="4"/>
        <v>7.909544045</v>
      </c>
      <c r="I102" s="51">
        <f t="shared" si="5"/>
        <v>1328.249731</v>
      </c>
      <c r="J102" s="58"/>
      <c r="K102" s="58"/>
      <c r="L102" s="59"/>
      <c r="M102" s="52">
        <v>1676.0</v>
      </c>
      <c r="N102" s="46">
        <f t="shared" si="6"/>
        <v>132.5639582</v>
      </c>
    </row>
    <row r="103">
      <c r="A103" s="45">
        <v>21402.0</v>
      </c>
      <c r="B103" s="45" t="s">
        <v>160</v>
      </c>
      <c r="C103" s="46">
        <v>14935.0</v>
      </c>
      <c r="D103" s="47">
        <v>7.0</v>
      </c>
      <c r="E103" s="48">
        <v>8.2</v>
      </c>
      <c r="F103" s="49">
        <f t="shared" si="2"/>
        <v>8.242</v>
      </c>
      <c r="G103" s="49">
        <f t="shared" si="18"/>
        <v>0.9595491169</v>
      </c>
      <c r="H103" s="50">
        <f t="shared" si="4"/>
        <v>7.868302759</v>
      </c>
      <c r="I103" s="51">
        <f t="shared" si="5"/>
        <v>1175.131017</v>
      </c>
      <c r="J103" s="58"/>
      <c r="K103" s="58"/>
      <c r="L103" s="59"/>
      <c r="M103" s="52">
        <v>1568.0</v>
      </c>
      <c r="N103" s="46">
        <f t="shared" si="6"/>
        <v>123.3749873</v>
      </c>
    </row>
    <row r="104">
      <c r="A104" s="45">
        <v>21501.0</v>
      </c>
      <c r="B104" s="45" t="s">
        <v>161</v>
      </c>
      <c r="C104" s="46">
        <v>8003.0</v>
      </c>
      <c r="D104" s="47">
        <v>27.4</v>
      </c>
      <c r="E104" s="48">
        <v>8.2</v>
      </c>
      <c r="F104" s="49">
        <f t="shared" si="2"/>
        <v>8.3644</v>
      </c>
      <c r="G104" s="49">
        <f t="shared" si="18"/>
        <v>0.9737991547</v>
      </c>
      <c r="H104" s="50">
        <f t="shared" si="4"/>
        <v>7.985153069</v>
      </c>
      <c r="I104" s="51">
        <f t="shared" si="5"/>
        <v>639.0518001</v>
      </c>
      <c r="J104" s="58"/>
      <c r="K104" s="58"/>
      <c r="L104" s="59"/>
      <c r="M104" s="52">
        <v>1178.0</v>
      </c>
      <c r="N104" s="46">
        <f t="shared" si="6"/>
        <v>94.06510315</v>
      </c>
    </row>
    <row r="105">
      <c r="A105" s="45">
        <v>21502.0</v>
      </c>
      <c r="B105" s="45" t="s">
        <v>162</v>
      </c>
      <c r="C105" s="46">
        <v>7799.0</v>
      </c>
      <c r="D105" s="47">
        <v>38.5</v>
      </c>
      <c r="E105" s="48">
        <v>8.2</v>
      </c>
      <c r="F105" s="49">
        <f t="shared" si="2"/>
        <v>8.431</v>
      </c>
      <c r="G105" s="49">
        <f t="shared" si="18"/>
        <v>0.9815528518</v>
      </c>
      <c r="H105" s="50">
        <f t="shared" si="4"/>
        <v>8.048733385</v>
      </c>
      <c r="I105" s="51">
        <f t="shared" si="5"/>
        <v>627.7207167</v>
      </c>
      <c r="J105" s="58"/>
      <c r="K105" s="58"/>
      <c r="L105" s="59"/>
      <c r="M105" s="52">
        <v>1098.0</v>
      </c>
      <c r="N105" s="46">
        <f t="shared" si="6"/>
        <v>88.37509257</v>
      </c>
    </row>
    <row r="106">
      <c r="A106" s="45">
        <v>21601.0</v>
      </c>
      <c r="B106" s="45" t="s">
        <v>163</v>
      </c>
      <c r="C106" s="46">
        <v>11619.0</v>
      </c>
      <c r="D106" s="47">
        <v>16.2</v>
      </c>
      <c r="E106" s="48">
        <v>8.2</v>
      </c>
      <c r="F106" s="49">
        <f t="shared" si="2"/>
        <v>8.2972</v>
      </c>
      <c r="G106" s="49">
        <f t="shared" si="18"/>
        <v>0.9659756046</v>
      </c>
      <c r="H106" s="50">
        <f t="shared" si="4"/>
        <v>7.920999957</v>
      </c>
      <c r="I106" s="51">
        <f t="shared" si="5"/>
        <v>920.340985</v>
      </c>
      <c r="J106" s="58"/>
      <c r="K106" s="58"/>
      <c r="L106" s="59"/>
      <c r="M106" s="52">
        <v>1506.0</v>
      </c>
      <c r="N106" s="46">
        <f t="shared" si="6"/>
        <v>119.2902594</v>
      </c>
    </row>
    <row r="107">
      <c r="A107" s="45">
        <v>21602.0</v>
      </c>
      <c r="B107" s="45" t="s">
        <v>164</v>
      </c>
      <c r="C107" s="46">
        <v>2895.0</v>
      </c>
      <c r="D107" s="47">
        <v>0.0</v>
      </c>
      <c r="E107" s="48">
        <v>8.2</v>
      </c>
      <c r="F107" s="49">
        <f t="shared" si="2"/>
        <v>8.2</v>
      </c>
      <c r="G107" s="49">
        <f t="shared" si="18"/>
        <v>0.954659398</v>
      </c>
      <c r="H107" s="50">
        <f t="shared" si="4"/>
        <v>7.828207064</v>
      </c>
      <c r="I107" s="51">
        <f t="shared" si="5"/>
        <v>226.6265945</v>
      </c>
      <c r="J107" s="58"/>
      <c r="K107" s="58"/>
      <c r="L107" s="59"/>
      <c r="M107" s="52">
        <v>378.0</v>
      </c>
      <c r="N107" s="46">
        <f t="shared" si="6"/>
        <v>29.5906227</v>
      </c>
    </row>
    <row r="108">
      <c r="A108" s="45">
        <v>21701.0</v>
      </c>
      <c r="B108" s="45" t="s">
        <v>165</v>
      </c>
      <c r="C108" s="46">
        <v>14806.0</v>
      </c>
      <c r="D108" s="47">
        <v>34.8</v>
      </c>
      <c r="E108" s="48">
        <v>8.2</v>
      </c>
      <c r="F108" s="49">
        <f t="shared" si="2"/>
        <v>8.4088</v>
      </c>
      <c r="G108" s="49">
        <f t="shared" si="18"/>
        <v>0.9789682861</v>
      </c>
      <c r="H108" s="50">
        <f t="shared" si="4"/>
        <v>8.027539946</v>
      </c>
      <c r="I108" s="51">
        <f t="shared" si="5"/>
        <v>1188.557564</v>
      </c>
      <c r="J108" s="58"/>
      <c r="K108" s="58"/>
      <c r="L108" s="59"/>
      <c r="M108" s="52">
        <v>1409.0</v>
      </c>
      <c r="N108" s="46">
        <f t="shared" si="6"/>
        <v>113.1080378</v>
      </c>
    </row>
    <row r="109">
      <c r="A109" s="45">
        <v>21702.0</v>
      </c>
      <c r="B109" s="45" t="s">
        <v>166</v>
      </c>
      <c r="C109" s="46">
        <v>6067.0</v>
      </c>
      <c r="D109" s="47">
        <v>0.0</v>
      </c>
      <c r="E109" s="48">
        <v>8.2</v>
      </c>
      <c r="F109" s="49">
        <f t="shared" si="2"/>
        <v>8.2</v>
      </c>
      <c r="G109" s="49">
        <f t="shared" si="18"/>
        <v>0.954659398</v>
      </c>
      <c r="H109" s="50">
        <f t="shared" si="4"/>
        <v>7.828207064</v>
      </c>
      <c r="I109" s="51">
        <f t="shared" si="5"/>
        <v>474.9373226</v>
      </c>
      <c r="J109" s="58"/>
      <c r="K109" s="58"/>
      <c r="L109" s="59"/>
      <c r="M109" s="52">
        <v>441.0</v>
      </c>
      <c r="N109" s="46">
        <f t="shared" si="6"/>
        <v>34.52239315</v>
      </c>
    </row>
    <row r="110">
      <c r="A110" s="45">
        <v>21703.0</v>
      </c>
      <c r="B110" s="45" t="s">
        <v>167</v>
      </c>
      <c r="C110" s="46">
        <v>4789.0</v>
      </c>
      <c r="D110" s="47">
        <v>35.1</v>
      </c>
      <c r="E110" s="48">
        <v>8.2</v>
      </c>
      <c r="F110" s="49">
        <f t="shared" si="2"/>
        <v>8.4106</v>
      </c>
      <c r="G110" s="49">
        <f t="shared" si="18"/>
        <v>0.9791778455</v>
      </c>
      <c r="H110" s="50">
        <f t="shared" si="4"/>
        <v>8.029258333</v>
      </c>
      <c r="I110" s="51">
        <f t="shared" si="5"/>
        <v>384.5211816</v>
      </c>
      <c r="J110" s="58"/>
      <c r="K110" s="58"/>
      <c r="L110" s="59"/>
      <c r="M110" s="52">
        <v>305.0</v>
      </c>
      <c r="N110" s="46">
        <f t="shared" si="6"/>
        <v>24.48923792</v>
      </c>
    </row>
    <row r="111">
      <c r="A111" s="45">
        <v>21801.0</v>
      </c>
      <c r="B111" s="45" t="s">
        <v>168</v>
      </c>
      <c r="C111" s="46">
        <v>8583.0</v>
      </c>
      <c r="D111" s="47">
        <v>0.0</v>
      </c>
      <c r="E111" s="48">
        <v>8.2</v>
      </c>
      <c r="F111" s="49">
        <f t="shared" si="2"/>
        <v>8.2</v>
      </c>
      <c r="G111" s="49">
        <f t="shared" si="18"/>
        <v>0.954659398</v>
      </c>
      <c r="H111" s="50">
        <f t="shared" si="4"/>
        <v>7.828207064</v>
      </c>
      <c r="I111" s="51">
        <f t="shared" si="5"/>
        <v>671.8950123</v>
      </c>
      <c r="J111" s="58"/>
      <c r="K111" s="58"/>
      <c r="L111" s="59"/>
      <c r="M111" s="52">
        <v>749.0</v>
      </c>
      <c r="N111" s="46">
        <f t="shared" si="6"/>
        <v>58.63327091</v>
      </c>
    </row>
    <row r="112">
      <c r="A112" s="45">
        <v>21802.0</v>
      </c>
      <c r="B112" s="45" t="s">
        <v>169</v>
      </c>
      <c r="C112" s="46">
        <v>6658.0</v>
      </c>
      <c r="D112" s="47">
        <v>0.0</v>
      </c>
      <c r="E112" s="48">
        <v>8.2</v>
      </c>
      <c r="F112" s="49">
        <f t="shared" si="2"/>
        <v>8.2</v>
      </c>
      <c r="G112" s="49">
        <f t="shared" si="18"/>
        <v>0.954659398</v>
      </c>
      <c r="H112" s="50">
        <f t="shared" si="4"/>
        <v>7.828207064</v>
      </c>
      <c r="I112" s="51">
        <f t="shared" si="5"/>
        <v>521.2020263</v>
      </c>
      <c r="J112" s="58"/>
      <c r="K112" s="58"/>
      <c r="L112" s="59"/>
      <c r="M112" s="52">
        <v>646.0</v>
      </c>
      <c r="N112" s="46">
        <f t="shared" si="6"/>
        <v>50.57021763</v>
      </c>
    </row>
    <row r="113">
      <c r="A113" s="45">
        <v>21803.0</v>
      </c>
      <c r="B113" s="45" t="s">
        <v>170</v>
      </c>
      <c r="C113" s="46">
        <v>1845.0</v>
      </c>
      <c r="D113" s="47">
        <v>0.0</v>
      </c>
      <c r="E113" s="48">
        <v>8.2</v>
      </c>
      <c r="F113" s="49">
        <f t="shared" si="2"/>
        <v>8.2</v>
      </c>
      <c r="G113" s="49">
        <f t="shared" si="18"/>
        <v>0.954659398</v>
      </c>
      <c r="H113" s="50">
        <f t="shared" si="4"/>
        <v>7.828207064</v>
      </c>
      <c r="I113" s="51">
        <f t="shared" si="5"/>
        <v>144.4304203</v>
      </c>
      <c r="J113" s="58"/>
      <c r="K113" s="58"/>
      <c r="L113" s="59"/>
      <c r="M113" s="52">
        <v>205.0</v>
      </c>
      <c r="N113" s="46">
        <f t="shared" si="6"/>
        <v>16.04782448</v>
      </c>
    </row>
    <row r="114">
      <c r="A114" s="45">
        <v>21901.0</v>
      </c>
      <c r="B114" s="45" t="s">
        <v>171</v>
      </c>
      <c r="C114" s="46">
        <v>4524.0</v>
      </c>
      <c r="D114" s="47">
        <v>0.0</v>
      </c>
      <c r="E114" s="48">
        <v>8.2</v>
      </c>
      <c r="F114" s="49">
        <f t="shared" si="2"/>
        <v>8.2</v>
      </c>
      <c r="G114" s="49">
        <f t="shared" si="18"/>
        <v>0.954659398</v>
      </c>
      <c r="H114" s="50">
        <f t="shared" si="4"/>
        <v>7.828207064</v>
      </c>
      <c r="I114" s="51">
        <f t="shared" si="5"/>
        <v>354.1480876</v>
      </c>
      <c r="J114" s="58"/>
      <c r="K114" s="58"/>
      <c r="L114" s="59"/>
      <c r="M114" s="52">
        <v>341.0</v>
      </c>
      <c r="N114" s="46">
        <f t="shared" si="6"/>
        <v>26.69418609</v>
      </c>
    </row>
    <row r="115">
      <c r="A115" s="45">
        <v>21902.0</v>
      </c>
      <c r="B115" s="45" t="s">
        <v>172</v>
      </c>
      <c r="C115" s="46">
        <v>2464.0</v>
      </c>
      <c r="D115" s="47">
        <v>0.0</v>
      </c>
      <c r="E115" s="48">
        <v>8.2</v>
      </c>
      <c r="F115" s="49">
        <f t="shared" si="2"/>
        <v>8.2</v>
      </c>
      <c r="G115" s="49">
        <f t="shared" si="18"/>
        <v>0.954659398</v>
      </c>
      <c r="H115" s="50">
        <f t="shared" si="4"/>
        <v>7.828207064</v>
      </c>
      <c r="I115" s="51">
        <f t="shared" si="5"/>
        <v>192.8870221</v>
      </c>
      <c r="J115" s="58"/>
      <c r="K115" s="58"/>
      <c r="L115" s="59"/>
      <c r="M115" s="52">
        <v>250.0</v>
      </c>
      <c r="N115" s="46">
        <f t="shared" si="6"/>
        <v>19.57051766</v>
      </c>
    </row>
    <row r="116">
      <c r="A116" s="45">
        <v>22001.0</v>
      </c>
      <c r="B116" s="45" t="s">
        <v>173</v>
      </c>
      <c r="C116" s="46">
        <v>47686.0</v>
      </c>
      <c r="D116" s="47">
        <v>27.0</v>
      </c>
      <c r="E116" s="48">
        <v>8.2</v>
      </c>
      <c r="F116" s="49">
        <f t="shared" si="2"/>
        <v>8.362</v>
      </c>
      <c r="G116" s="49">
        <f t="shared" si="18"/>
        <v>0.9735197422</v>
      </c>
      <c r="H116" s="50">
        <f t="shared" si="4"/>
        <v>7.982861886</v>
      </c>
      <c r="I116" s="51">
        <f t="shared" si="5"/>
        <v>3806.707519</v>
      </c>
      <c r="J116" s="58"/>
      <c r="K116" s="58"/>
      <c r="L116" s="59"/>
      <c r="M116" s="52">
        <v>5835.0</v>
      </c>
      <c r="N116" s="46">
        <f t="shared" si="6"/>
        <v>465.7999911</v>
      </c>
    </row>
    <row r="117">
      <c r="A117" s="45">
        <v>22002.0</v>
      </c>
      <c r="B117" s="45" t="s">
        <v>174</v>
      </c>
      <c r="C117" s="46">
        <v>10066.0</v>
      </c>
      <c r="D117" s="47">
        <v>0.0</v>
      </c>
      <c r="E117" s="48">
        <v>8.2</v>
      </c>
      <c r="F117" s="49">
        <f t="shared" si="2"/>
        <v>8.2</v>
      </c>
      <c r="G117" s="49">
        <f t="shared" si="18"/>
        <v>0.954659398</v>
      </c>
      <c r="H117" s="50">
        <f t="shared" si="4"/>
        <v>7.828207064</v>
      </c>
      <c r="I117" s="51">
        <f t="shared" si="5"/>
        <v>787.9873231</v>
      </c>
      <c r="J117" s="58"/>
      <c r="K117" s="58"/>
      <c r="L117" s="59"/>
      <c r="M117" s="52">
        <v>1234.0</v>
      </c>
      <c r="N117" s="46">
        <f t="shared" si="6"/>
        <v>96.60007517</v>
      </c>
    </row>
    <row r="118">
      <c r="A118" s="45">
        <v>30101.0</v>
      </c>
      <c r="B118" s="45" t="s">
        <v>55</v>
      </c>
      <c r="C118" s="46">
        <v>590199.0</v>
      </c>
      <c r="D118" s="47">
        <v>100.0</v>
      </c>
      <c r="E118" s="48">
        <v>7.9</v>
      </c>
      <c r="F118" s="49">
        <f t="shared" si="2"/>
        <v>8.8</v>
      </c>
      <c r="G118" s="49">
        <f t="shared" si="18"/>
        <v>1.024512525</v>
      </c>
      <c r="H118" s="50">
        <f t="shared" si="4"/>
        <v>8.093648945</v>
      </c>
      <c r="I118" s="51">
        <f t="shared" si="5"/>
        <v>47768.63514</v>
      </c>
      <c r="J118" s="52">
        <f>SUM(C118:C165)</f>
        <v>1651108</v>
      </c>
      <c r="K118" s="52">
        <f>SUM(I118:I165)</f>
        <v>130420.5515</v>
      </c>
      <c r="L118" s="53">
        <f>K118/J118</f>
        <v>0.07898971572</v>
      </c>
      <c r="M118" s="52">
        <v>61004.0</v>
      </c>
      <c r="N118" s="46">
        <f t="shared" si="6"/>
        <v>4937.449603</v>
      </c>
    </row>
    <row r="119">
      <c r="A119" s="45">
        <v>30201.0</v>
      </c>
      <c r="B119" s="45" t="s">
        <v>175</v>
      </c>
      <c r="C119" s="46">
        <v>24363.0</v>
      </c>
      <c r="D119" s="47">
        <v>31.7</v>
      </c>
      <c r="E119" s="48">
        <v>7.9</v>
      </c>
      <c r="F119" s="49">
        <f t="shared" si="2"/>
        <v>8.3902</v>
      </c>
      <c r="G119" s="49">
        <f t="shared" si="18"/>
        <v>0.9768028392</v>
      </c>
      <c r="H119" s="50">
        <f t="shared" si="4"/>
        <v>7.71674243</v>
      </c>
      <c r="I119" s="51">
        <f t="shared" si="5"/>
        <v>1880.029958</v>
      </c>
      <c r="J119" s="58"/>
      <c r="K119" s="58"/>
      <c r="L119" s="59"/>
      <c r="M119" s="52">
        <v>3198.0</v>
      </c>
      <c r="N119" s="46">
        <f t="shared" si="6"/>
        <v>246.7814229</v>
      </c>
    </row>
    <row r="120">
      <c r="A120" s="45">
        <v>30202.0</v>
      </c>
      <c r="B120" s="45" t="s">
        <v>176</v>
      </c>
      <c r="C120" s="46">
        <v>6055.0</v>
      </c>
      <c r="D120" s="47">
        <v>29.1</v>
      </c>
      <c r="E120" s="48">
        <v>7.9</v>
      </c>
      <c r="F120" s="49">
        <f t="shared" si="2"/>
        <v>8.3746</v>
      </c>
      <c r="G120" s="49">
        <f t="shared" si="18"/>
        <v>0.9749866579</v>
      </c>
      <c r="H120" s="50">
        <f t="shared" si="4"/>
        <v>7.702394597</v>
      </c>
      <c r="I120" s="51">
        <f t="shared" si="5"/>
        <v>466.3799929</v>
      </c>
      <c r="J120" s="58"/>
      <c r="K120" s="58"/>
      <c r="L120" s="59"/>
      <c r="M120" s="52">
        <v>685.0</v>
      </c>
      <c r="N120" s="46">
        <f t="shared" si="6"/>
        <v>52.76140299</v>
      </c>
    </row>
    <row r="121">
      <c r="A121" s="45">
        <v>30203.0</v>
      </c>
      <c r="B121" s="45" t="s">
        <v>177</v>
      </c>
      <c r="C121" s="46">
        <v>5799.0</v>
      </c>
      <c r="D121" s="47">
        <v>0.0</v>
      </c>
      <c r="E121" s="48">
        <v>7.9</v>
      </c>
      <c r="F121" s="49">
        <f t="shared" si="2"/>
        <v>8.2</v>
      </c>
      <c r="G121" s="49">
        <f t="shared" si="18"/>
        <v>0.954659398</v>
      </c>
      <c r="H121" s="50">
        <f t="shared" si="4"/>
        <v>7.541809244</v>
      </c>
      <c r="I121" s="51">
        <f t="shared" si="5"/>
        <v>437.3495181</v>
      </c>
      <c r="J121" s="58"/>
      <c r="K121" s="58"/>
      <c r="L121" s="59"/>
      <c r="M121" s="52">
        <v>753.0</v>
      </c>
      <c r="N121" s="46">
        <f t="shared" si="6"/>
        <v>56.78982361</v>
      </c>
    </row>
    <row r="122">
      <c r="A122" s="45">
        <v>30301.0</v>
      </c>
      <c r="B122" s="45" t="s">
        <v>178</v>
      </c>
      <c r="C122" s="46">
        <v>24810.0</v>
      </c>
      <c r="D122" s="47">
        <v>2.7</v>
      </c>
      <c r="E122" s="48">
        <v>7.9</v>
      </c>
      <c r="F122" s="49">
        <f t="shared" si="2"/>
        <v>8.2162</v>
      </c>
      <c r="G122" s="49">
        <f t="shared" si="18"/>
        <v>0.9565454325</v>
      </c>
      <c r="H122" s="50">
        <f t="shared" si="4"/>
        <v>7.556708916</v>
      </c>
      <c r="I122" s="51">
        <f t="shared" si="5"/>
        <v>1874.819482</v>
      </c>
      <c r="J122" s="58"/>
      <c r="K122" s="58"/>
      <c r="L122" s="59"/>
      <c r="M122" s="52">
        <v>3482.0</v>
      </c>
      <c r="N122" s="46">
        <f t="shared" si="6"/>
        <v>263.1246045</v>
      </c>
    </row>
    <row r="123">
      <c r="A123" s="45">
        <v>30302.0</v>
      </c>
      <c r="B123" s="45" t="s">
        <v>179</v>
      </c>
      <c r="C123" s="46">
        <v>14352.0</v>
      </c>
      <c r="D123" s="47">
        <v>0.0</v>
      </c>
      <c r="E123" s="48">
        <v>7.9</v>
      </c>
      <c r="F123" s="49">
        <f t="shared" si="2"/>
        <v>8.2</v>
      </c>
      <c r="G123" s="49">
        <f t="shared" si="18"/>
        <v>0.954659398</v>
      </c>
      <c r="H123" s="50">
        <f t="shared" si="4"/>
        <v>7.541809244</v>
      </c>
      <c r="I123" s="51">
        <f t="shared" si="5"/>
        <v>1082.400463</v>
      </c>
      <c r="J123" s="58"/>
      <c r="K123" s="58"/>
      <c r="L123" s="59"/>
      <c r="M123" s="52">
        <v>2013.0</v>
      </c>
      <c r="N123" s="46">
        <f t="shared" si="6"/>
        <v>151.8166201</v>
      </c>
    </row>
    <row r="124">
      <c r="A124" s="45">
        <v>30303.0</v>
      </c>
      <c r="B124" s="45" t="s">
        <v>180</v>
      </c>
      <c r="C124" s="46">
        <v>17707.0</v>
      </c>
      <c r="D124" s="47">
        <v>0.0</v>
      </c>
      <c r="E124" s="48">
        <v>7.9</v>
      </c>
      <c r="F124" s="49">
        <f t="shared" si="2"/>
        <v>8.2</v>
      </c>
      <c r="G124" s="49">
        <f t="shared" si="18"/>
        <v>0.954659398</v>
      </c>
      <c r="H124" s="50">
        <f t="shared" si="4"/>
        <v>7.541809244</v>
      </c>
      <c r="I124" s="51">
        <f t="shared" si="5"/>
        <v>1335.428163</v>
      </c>
      <c r="J124" s="58"/>
      <c r="K124" s="58"/>
      <c r="L124" s="59"/>
      <c r="M124" s="52">
        <v>2598.0</v>
      </c>
      <c r="N124" s="46">
        <f t="shared" si="6"/>
        <v>195.9362042</v>
      </c>
    </row>
    <row r="125">
      <c r="A125" s="45">
        <v>30401.0</v>
      </c>
      <c r="B125" s="45" t="s">
        <v>181</v>
      </c>
      <c r="C125" s="46">
        <v>8414.0</v>
      </c>
      <c r="D125" s="47">
        <v>44.3</v>
      </c>
      <c r="E125" s="48">
        <v>7.9</v>
      </c>
      <c r="F125" s="49">
        <f t="shared" si="2"/>
        <v>8.4658</v>
      </c>
      <c r="G125" s="49">
        <f t="shared" si="18"/>
        <v>0.9856043332</v>
      </c>
      <c r="H125" s="50">
        <f t="shared" si="4"/>
        <v>7.786274232</v>
      </c>
      <c r="I125" s="51">
        <f t="shared" si="5"/>
        <v>655.1371139</v>
      </c>
      <c r="J125" s="58"/>
      <c r="K125" s="58"/>
      <c r="L125" s="59"/>
      <c r="M125" s="52">
        <v>909.0</v>
      </c>
      <c r="N125" s="46">
        <f t="shared" si="6"/>
        <v>70.77723277</v>
      </c>
    </row>
    <row r="126">
      <c r="A126" s="45">
        <v>30402.0</v>
      </c>
      <c r="B126" s="45" t="s">
        <v>182</v>
      </c>
      <c r="C126" s="46">
        <v>7895.0</v>
      </c>
      <c r="D126" s="47">
        <v>0.0</v>
      </c>
      <c r="E126" s="48">
        <v>7.9</v>
      </c>
      <c r="F126" s="49">
        <f t="shared" si="2"/>
        <v>8.2</v>
      </c>
      <c r="G126" s="49">
        <f t="shared" si="18"/>
        <v>0.954659398</v>
      </c>
      <c r="H126" s="50">
        <f t="shared" si="4"/>
        <v>7.541809244</v>
      </c>
      <c r="I126" s="51">
        <f t="shared" si="5"/>
        <v>595.4258399</v>
      </c>
      <c r="J126" s="58"/>
      <c r="K126" s="58"/>
      <c r="L126" s="59"/>
      <c r="M126" s="52">
        <v>995.0</v>
      </c>
      <c r="N126" s="46">
        <f t="shared" si="6"/>
        <v>75.04100198</v>
      </c>
    </row>
    <row r="127">
      <c r="A127" s="45">
        <v>30403.0</v>
      </c>
      <c r="B127" s="45" t="s">
        <v>183</v>
      </c>
      <c r="C127" s="46">
        <v>14533.0</v>
      </c>
      <c r="D127" s="47">
        <v>13.0</v>
      </c>
      <c r="E127" s="48">
        <v>7.9</v>
      </c>
      <c r="F127" s="49">
        <f t="shared" si="2"/>
        <v>8.278</v>
      </c>
      <c r="G127" s="49">
        <f t="shared" si="18"/>
        <v>0.9637403045</v>
      </c>
      <c r="H127" s="50">
        <f t="shared" si="4"/>
        <v>7.613548406</v>
      </c>
      <c r="I127" s="51">
        <f t="shared" si="5"/>
        <v>1106.47699</v>
      </c>
      <c r="J127" s="58"/>
      <c r="K127" s="58"/>
      <c r="L127" s="59"/>
      <c r="M127" s="52">
        <v>1449.0</v>
      </c>
      <c r="N127" s="46">
        <f t="shared" si="6"/>
        <v>110.3203164</v>
      </c>
    </row>
    <row r="128">
      <c r="A128" s="45">
        <v>30404.0</v>
      </c>
      <c r="B128" s="45" t="s">
        <v>184</v>
      </c>
      <c r="C128" s="46">
        <v>4494.0</v>
      </c>
      <c r="D128" s="47">
        <v>0.0</v>
      </c>
      <c r="E128" s="48">
        <v>7.9</v>
      </c>
      <c r="F128" s="49">
        <f t="shared" si="2"/>
        <v>8.2</v>
      </c>
      <c r="G128" s="49">
        <f t="shared" si="18"/>
        <v>0.954659398</v>
      </c>
      <c r="H128" s="50">
        <f t="shared" si="4"/>
        <v>7.541809244</v>
      </c>
      <c r="I128" s="51">
        <f t="shared" si="5"/>
        <v>338.9289074</v>
      </c>
      <c r="J128" s="58"/>
      <c r="K128" s="58"/>
      <c r="L128" s="59"/>
      <c r="M128" s="52">
        <v>552.0</v>
      </c>
      <c r="N128" s="46">
        <f t="shared" si="6"/>
        <v>41.63078703</v>
      </c>
    </row>
    <row r="129">
      <c r="A129" s="45">
        <v>30501.0</v>
      </c>
      <c r="B129" s="45" t="s">
        <v>185</v>
      </c>
      <c r="C129" s="46">
        <v>10245.0</v>
      </c>
      <c r="D129" s="47">
        <v>34.8</v>
      </c>
      <c r="E129" s="48">
        <v>7.9</v>
      </c>
      <c r="F129" s="49">
        <f t="shared" si="2"/>
        <v>8.4088</v>
      </c>
      <c r="G129" s="49">
        <f t="shared" si="18"/>
        <v>0.9789682861</v>
      </c>
      <c r="H129" s="50">
        <f t="shared" si="4"/>
        <v>7.73384946</v>
      </c>
      <c r="I129" s="51">
        <f t="shared" si="5"/>
        <v>792.3328772</v>
      </c>
      <c r="J129" s="58"/>
      <c r="K129" s="58"/>
      <c r="L129" s="59"/>
      <c r="M129" s="52">
        <v>1006.0</v>
      </c>
      <c r="N129" s="46">
        <f t="shared" si="6"/>
        <v>77.80252557</v>
      </c>
    </row>
    <row r="130">
      <c r="A130" s="45">
        <v>30502.0</v>
      </c>
      <c r="B130" s="45" t="s">
        <v>186</v>
      </c>
      <c r="C130" s="46">
        <v>10239.0</v>
      </c>
      <c r="D130" s="47">
        <v>0.0</v>
      </c>
      <c r="E130" s="48">
        <v>7.9</v>
      </c>
      <c r="F130" s="49">
        <f t="shared" si="2"/>
        <v>8.2</v>
      </c>
      <c r="G130" s="49">
        <f t="shared" si="18"/>
        <v>0.954659398</v>
      </c>
      <c r="H130" s="50">
        <f t="shared" si="4"/>
        <v>7.541809244</v>
      </c>
      <c r="I130" s="51">
        <f t="shared" si="5"/>
        <v>772.2058485</v>
      </c>
      <c r="J130" s="58"/>
      <c r="K130" s="58"/>
      <c r="L130" s="59"/>
      <c r="M130" s="52">
        <v>1254.0</v>
      </c>
      <c r="N130" s="46">
        <f t="shared" si="6"/>
        <v>94.57428793</v>
      </c>
    </row>
    <row r="131">
      <c r="A131" s="45">
        <v>30601.0</v>
      </c>
      <c r="B131" s="45" t="s">
        <v>187</v>
      </c>
      <c r="C131" s="46">
        <v>11037.0</v>
      </c>
      <c r="D131" s="47">
        <v>0.0</v>
      </c>
      <c r="E131" s="48">
        <v>7.9</v>
      </c>
      <c r="F131" s="49">
        <f t="shared" si="2"/>
        <v>8.2</v>
      </c>
      <c r="G131" s="49">
        <f t="shared" si="18"/>
        <v>0.954659398</v>
      </c>
      <c r="H131" s="50">
        <f t="shared" si="4"/>
        <v>7.541809244</v>
      </c>
      <c r="I131" s="51">
        <f t="shared" si="5"/>
        <v>832.3894863</v>
      </c>
      <c r="J131" s="58"/>
      <c r="K131" s="58"/>
      <c r="L131" s="59"/>
      <c r="M131" s="52">
        <v>1822.0</v>
      </c>
      <c r="N131" s="46">
        <f t="shared" si="6"/>
        <v>137.4117644</v>
      </c>
    </row>
    <row r="132">
      <c r="A132" s="45">
        <v>30602.0</v>
      </c>
      <c r="B132" s="45" t="s">
        <v>188</v>
      </c>
      <c r="C132" s="46">
        <v>10764.0</v>
      </c>
      <c r="D132" s="47">
        <v>0.0</v>
      </c>
      <c r="E132" s="48">
        <v>7.9</v>
      </c>
      <c r="F132" s="49">
        <f t="shared" si="2"/>
        <v>8.2</v>
      </c>
      <c r="G132" s="49">
        <f t="shared" si="18"/>
        <v>0.954659398</v>
      </c>
      <c r="H132" s="50">
        <f t="shared" si="4"/>
        <v>7.541809244</v>
      </c>
      <c r="I132" s="51">
        <f t="shared" si="5"/>
        <v>811.8003471</v>
      </c>
      <c r="J132" s="58"/>
      <c r="K132" s="58"/>
      <c r="L132" s="59"/>
      <c r="M132" s="52">
        <v>1513.0</v>
      </c>
      <c r="N132" s="46">
        <f t="shared" si="6"/>
        <v>114.1075739</v>
      </c>
    </row>
    <row r="133">
      <c r="A133" s="45">
        <v>30701.0</v>
      </c>
      <c r="B133" s="45" t="s">
        <v>189</v>
      </c>
      <c r="C133" s="46">
        <v>18556.0</v>
      </c>
      <c r="D133" s="47">
        <v>46.2</v>
      </c>
      <c r="E133" s="48">
        <v>7.9</v>
      </c>
      <c r="F133" s="49">
        <f t="shared" si="2"/>
        <v>8.4772</v>
      </c>
      <c r="G133" s="49">
        <f t="shared" si="18"/>
        <v>0.9869315426</v>
      </c>
      <c r="H133" s="50">
        <f t="shared" si="4"/>
        <v>7.796759186</v>
      </c>
      <c r="I133" s="51">
        <f t="shared" si="5"/>
        <v>1446.766635</v>
      </c>
      <c r="J133" s="58"/>
      <c r="K133" s="58"/>
      <c r="L133" s="59"/>
      <c r="M133" s="52">
        <v>2333.0</v>
      </c>
      <c r="N133" s="46">
        <f t="shared" si="6"/>
        <v>181.8983918</v>
      </c>
    </row>
    <row r="134">
      <c r="A134" s="45">
        <v>30702.0</v>
      </c>
      <c r="B134" s="45" t="s">
        <v>190</v>
      </c>
      <c r="C134" s="46">
        <v>6482.0</v>
      </c>
      <c r="D134" s="47">
        <v>0.0</v>
      </c>
      <c r="E134" s="48">
        <v>7.9</v>
      </c>
      <c r="F134" s="49">
        <f t="shared" si="2"/>
        <v>8.2</v>
      </c>
      <c r="G134" s="49">
        <f t="shared" si="18"/>
        <v>0.954659398</v>
      </c>
      <c r="H134" s="50">
        <f t="shared" si="4"/>
        <v>7.541809244</v>
      </c>
      <c r="I134" s="51">
        <f t="shared" si="5"/>
        <v>488.8600752</v>
      </c>
      <c r="J134" s="58"/>
      <c r="K134" s="58"/>
      <c r="L134" s="59"/>
      <c r="M134" s="52">
        <v>625.0</v>
      </c>
      <c r="N134" s="46">
        <f t="shared" si="6"/>
        <v>47.13630778</v>
      </c>
    </row>
    <row r="135">
      <c r="A135" s="45">
        <v>30703.0</v>
      </c>
      <c r="B135" s="45" t="s">
        <v>191</v>
      </c>
      <c r="C135" s="46">
        <v>3193.0</v>
      </c>
      <c r="D135" s="47">
        <v>0.0</v>
      </c>
      <c r="E135" s="48">
        <v>7.9</v>
      </c>
      <c r="F135" s="49">
        <f t="shared" si="2"/>
        <v>8.2</v>
      </c>
      <c r="G135" s="49">
        <f t="shared" si="18"/>
        <v>0.954659398</v>
      </c>
      <c r="H135" s="50">
        <f t="shared" si="4"/>
        <v>7.541809244</v>
      </c>
      <c r="I135" s="51">
        <f t="shared" si="5"/>
        <v>240.8099692</v>
      </c>
      <c r="J135" s="58"/>
      <c r="K135" s="58"/>
      <c r="L135" s="59"/>
      <c r="M135" s="52">
        <v>412.0</v>
      </c>
      <c r="N135" s="46">
        <f t="shared" si="6"/>
        <v>31.07225409</v>
      </c>
    </row>
    <row r="136">
      <c r="A136" s="45">
        <v>30801.0</v>
      </c>
      <c r="B136" s="45" t="s">
        <v>192</v>
      </c>
      <c r="C136" s="46">
        <v>21116.0</v>
      </c>
      <c r="D136" s="47">
        <v>49.0</v>
      </c>
      <c r="E136" s="48">
        <v>7.9</v>
      </c>
      <c r="F136" s="49">
        <f t="shared" si="2"/>
        <v>8.494</v>
      </c>
      <c r="G136" s="49">
        <f t="shared" si="18"/>
        <v>0.9888874301</v>
      </c>
      <c r="H136" s="50">
        <f t="shared" si="4"/>
        <v>7.812210698</v>
      </c>
      <c r="I136" s="51">
        <f t="shared" si="5"/>
        <v>1649.626411</v>
      </c>
      <c r="J136" s="58"/>
      <c r="K136" s="58"/>
      <c r="L136" s="59"/>
      <c r="M136" s="52">
        <v>2140.0</v>
      </c>
      <c r="N136" s="46">
        <f t="shared" si="6"/>
        <v>167.1813089</v>
      </c>
    </row>
    <row r="137">
      <c r="A137" s="45">
        <v>30802.0</v>
      </c>
      <c r="B137" s="45" t="s">
        <v>193</v>
      </c>
      <c r="C137" s="46">
        <v>6929.0</v>
      </c>
      <c r="D137" s="47">
        <v>0.0</v>
      </c>
      <c r="E137" s="48">
        <v>7.9</v>
      </c>
      <c r="F137" s="49">
        <f t="shared" si="2"/>
        <v>8.2</v>
      </c>
      <c r="G137" s="49">
        <f t="shared" si="18"/>
        <v>0.954659398</v>
      </c>
      <c r="H137" s="50">
        <f t="shared" si="4"/>
        <v>7.541809244</v>
      </c>
      <c r="I137" s="51">
        <f t="shared" si="5"/>
        <v>522.5719626</v>
      </c>
      <c r="J137" s="58"/>
      <c r="K137" s="58"/>
      <c r="L137" s="59"/>
      <c r="M137" s="52">
        <v>606.0</v>
      </c>
      <c r="N137" s="46">
        <f t="shared" si="6"/>
        <v>45.70336402</v>
      </c>
    </row>
    <row r="138">
      <c r="A138" s="45">
        <v>30803.0</v>
      </c>
      <c r="B138" s="45" t="s">
        <v>194</v>
      </c>
      <c r="C138" s="46">
        <v>5460.0</v>
      </c>
      <c r="D138" s="47">
        <v>53.8</v>
      </c>
      <c r="E138" s="48">
        <v>7.9</v>
      </c>
      <c r="F138" s="49">
        <f t="shared" si="2"/>
        <v>8.5228</v>
      </c>
      <c r="G138" s="49">
        <f t="shared" si="18"/>
        <v>0.9922403802</v>
      </c>
      <c r="H138" s="50">
        <f t="shared" si="4"/>
        <v>7.838699004</v>
      </c>
      <c r="I138" s="51">
        <f t="shared" si="5"/>
        <v>427.9929656</v>
      </c>
      <c r="J138" s="58"/>
      <c r="K138" s="58"/>
      <c r="L138" s="59"/>
      <c r="M138" s="52">
        <v>545.0</v>
      </c>
      <c r="N138" s="46">
        <f t="shared" si="6"/>
        <v>42.72090957</v>
      </c>
    </row>
    <row r="139">
      <c r="A139" s="45">
        <v>30901.0</v>
      </c>
      <c r="B139" s="45" t="s">
        <v>195</v>
      </c>
      <c r="C139" s="46">
        <v>125191.0</v>
      </c>
      <c r="D139" s="47">
        <v>87.9</v>
      </c>
      <c r="E139" s="48">
        <v>7.9</v>
      </c>
      <c r="F139" s="49">
        <f t="shared" si="2"/>
        <v>8.7274</v>
      </c>
      <c r="G139" s="49">
        <f t="shared" si="18"/>
        <v>1.016060296</v>
      </c>
      <c r="H139" s="50">
        <f t="shared" si="4"/>
        <v>8.026876341</v>
      </c>
      <c r="I139" s="51">
        <f t="shared" si="5"/>
        <v>10048.92676</v>
      </c>
      <c r="J139" s="58"/>
      <c r="K139" s="58"/>
      <c r="L139" s="59"/>
      <c r="M139" s="52">
        <v>13909.0</v>
      </c>
      <c r="N139" s="46">
        <f t="shared" si="6"/>
        <v>1116.45823</v>
      </c>
    </row>
    <row r="140">
      <c r="A140" s="45">
        <v>30902.0</v>
      </c>
      <c r="B140" s="45" t="s">
        <v>196</v>
      </c>
      <c r="C140" s="46">
        <v>37850.0</v>
      </c>
      <c r="D140" s="47">
        <v>25.5</v>
      </c>
      <c r="E140" s="48">
        <v>7.9</v>
      </c>
      <c r="F140" s="49">
        <f t="shared" si="2"/>
        <v>8.353</v>
      </c>
      <c r="G140" s="49">
        <f t="shared" si="18"/>
        <v>0.9724719453</v>
      </c>
      <c r="H140" s="50">
        <f t="shared" si="4"/>
        <v>7.682528368</v>
      </c>
      <c r="I140" s="51">
        <f t="shared" si="5"/>
        <v>2907.836987</v>
      </c>
      <c r="J140" s="58"/>
      <c r="K140" s="58"/>
      <c r="L140" s="59"/>
      <c r="M140" s="52">
        <v>4609.0</v>
      </c>
      <c r="N140" s="46">
        <f t="shared" si="6"/>
        <v>354.0877325</v>
      </c>
    </row>
    <row r="141">
      <c r="A141" s="45">
        <v>30903.0</v>
      </c>
      <c r="B141" s="45" t="s">
        <v>197</v>
      </c>
      <c r="C141" s="46">
        <v>48045.0</v>
      </c>
      <c r="D141" s="47">
        <v>84.1</v>
      </c>
      <c r="E141" s="48">
        <v>7.9</v>
      </c>
      <c r="F141" s="49">
        <f t="shared" si="2"/>
        <v>8.7046</v>
      </c>
      <c r="G141" s="49">
        <f t="shared" si="18"/>
        <v>1.013405878</v>
      </c>
      <c r="H141" s="50">
        <f t="shared" si="4"/>
        <v>8.005906433</v>
      </c>
      <c r="I141" s="51">
        <f t="shared" si="5"/>
        <v>3846.437746</v>
      </c>
      <c r="J141" s="58"/>
      <c r="K141" s="58"/>
      <c r="L141" s="59"/>
      <c r="M141" s="52">
        <v>5421.0</v>
      </c>
      <c r="N141" s="46">
        <f t="shared" si="6"/>
        <v>434.0001877</v>
      </c>
    </row>
    <row r="142">
      <c r="A142" s="45">
        <v>30904.0</v>
      </c>
      <c r="B142" s="45" t="s">
        <v>198</v>
      </c>
      <c r="C142" s="46">
        <v>44521.0</v>
      </c>
      <c r="D142" s="47">
        <v>66.6</v>
      </c>
      <c r="E142" s="48">
        <v>7.9</v>
      </c>
      <c r="F142" s="49">
        <f t="shared" si="2"/>
        <v>8.5996</v>
      </c>
      <c r="G142" s="49">
        <f t="shared" si="18"/>
        <v>1.00118158</v>
      </c>
      <c r="H142" s="50">
        <f t="shared" si="4"/>
        <v>7.909334485</v>
      </c>
      <c r="I142" s="51">
        <f t="shared" si="5"/>
        <v>3521.314806</v>
      </c>
      <c r="J142" s="58"/>
      <c r="K142" s="58"/>
      <c r="L142" s="59"/>
      <c r="M142" s="52">
        <v>5320.0</v>
      </c>
      <c r="N142" s="46">
        <f t="shared" si="6"/>
        <v>420.7765946</v>
      </c>
    </row>
    <row r="143">
      <c r="A143" s="45">
        <v>30905.0</v>
      </c>
      <c r="B143" s="45" t="s">
        <v>199</v>
      </c>
      <c r="C143" s="46">
        <v>48350.0</v>
      </c>
      <c r="D143" s="47">
        <v>99.7</v>
      </c>
      <c r="E143" s="48">
        <v>7.9</v>
      </c>
      <c r="F143" s="49">
        <f t="shared" si="2"/>
        <v>8.7982</v>
      </c>
      <c r="G143" s="49">
        <f t="shared" si="18"/>
        <v>1.024302965</v>
      </c>
      <c r="H143" s="50">
        <f t="shared" si="4"/>
        <v>8.091993426</v>
      </c>
      <c r="I143" s="51">
        <f t="shared" si="5"/>
        <v>3912.478822</v>
      </c>
      <c r="J143" s="58"/>
      <c r="K143" s="58"/>
      <c r="L143" s="59"/>
      <c r="M143" s="52">
        <v>5105.0</v>
      </c>
      <c r="N143" s="46">
        <f t="shared" si="6"/>
        <v>413.0962644</v>
      </c>
    </row>
    <row r="144">
      <c r="A144" s="45">
        <v>31001.0</v>
      </c>
      <c r="B144" s="45" t="s">
        <v>200</v>
      </c>
      <c r="C144" s="46">
        <v>152333.0</v>
      </c>
      <c r="D144" s="47">
        <v>84.1</v>
      </c>
      <c r="E144" s="48">
        <v>7.9</v>
      </c>
      <c r="F144" s="49">
        <f t="shared" si="2"/>
        <v>8.7046</v>
      </c>
      <c r="G144" s="49">
        <f t="shared" si="18"/>
        <v>1.013405878</v>
      </c>
      <c r="H144" s="50">
        <f t="shared" si="4"/>
        <v>8.005906433</v>
      </c>
      <c r="I144" s="51">
        <f t="shared" si="5"/>
        <v>12195.63745</v>
      </c>
      <c r="J144" s="58"/>
      <c r="K144" s="58"/>
      <c r="L144" s="59"/>
      <c r="M144" s="52">
        <v>17190.0</v>
      </c>
      <c r="N144" s="46">
        <f t="shared" si="6"/>
        <v>1376.215316</v>
      </c>
    </row>
    <row r="145">
      <c r="A145" s="45">
        <v>31002.0</v>
      </c>
      <c r="B145" s="45" t="s">
        <v>201</v>
      </c>
      <c r="C145" s="46">
        <v>18589.0</v>
      </c>
      <c r="D145" s="47">
        <v>20.7</v>
      </c>
      <c r="E145" s="48">
        <v>7.9</v>
      </c>
      <c r="F145" s="49">
        <f t="shared" si="2"/>
        <v>8.3242</v>
      </c>
      <c r="G145" s="49">
        <f t="shared" si="18"/>
        <v>0.9691189953</v>
      </c>
      <c r="H145" s="50">
        <f t="shared" si="4"/>
        <v>7.656040063</v>
      </c>
      <c r="I145" s="51">
        <f t="shared" si="5"/>
        <v>1423.181287</v>
      </c>
      <c r="J145" s="58"/>
      <c r="K145" s="58"/>
      <c r="L145" s="59"/>
      <c r="M145" s="52">
        <v>2514.0</v>
      </c>
      <c r="N145" s="46">
        <f t="shared" si="6"/>
        <v>192.4728472</v>
      </c>
    </row>
    <row r="146">
      <c r="A146" s="45">
        <v>31003.0</v>
      </c>
      <c r="B146" s="45" t="s">
        <v>202</v>
      </c>
      <c r="C146" s="46">
        <v>64659.0</v>
      </c>
      <c r="D146" s="47">
        <v>10.9</v>
      </c>
      <c r="E146" s="48">
        <v>7.9</v>
      </c>
      <c r="F146" s="49">
        <f t="shared" si="2"/>
        <v>8.2654</v>
      </c>
      <c r="G146" s="49">
        <f t="shared" si="18"/>
        <v>0.9622733888</v>
      </c>
      <c r="H146" s="50">
        <f t="shared" si="4"/>
        <v>7.601959772</v>
      </c>
      <c r="I146" s="51">
        <f t="shared" si="5"/>
        <v>4915.351169</v>
      </c>
      <c r="J146" s="58"/>
      <c r="K146" s="58"/>
      <c r="L146" s="59"/>
      <c r="M146" s="52">
        <v>9268.0</v>
      </c>
      <c r="N146" s="46">
        <f t="shared" si="6"/>
        <v>704.5496317</v>
      </c>
    </row>
    <row r="147">
      <c r="A147" s="45">
        <v>31101.0</v>
      </c>
      <c r="B147" s="45" t="s">
        <v>203</v>
      </c>
      <c r="C147" s="46">
        <v>25096.0</v>
      </c>
      <c r="D147" s="47">
        <v>0.0</v>
      </c>
      <c r="E147" s="48">
        <v>7.9</v>
      </c>
      <c r="F147" s="49">
        <f t="shared" si="2"/>
        <v>8.2</v>
      </c>
      <c r="G147" s="49">
        <f t="shared" si="18"/>
        <v>0.954659398</v>
      </c>
      <c r="H147" s="50">
        <f t="shared" si="4"/>
        <v>7.541809244</v>
      </c>
      <c r="I147" s="51">
        <f t="shared" si="5"/>
        <v>1892.692448</v>
      </c>
      <c r="J147" s="58"/>
      <c r="K147" s="58"/>
      <c r="L147" s="59"/>
      <c r="M147" s="52">
        <v>3380.0</v>
      </c>
      <c r="N147" s="46">
        <f t="shared" si="6"/>
        <v>254.9131525</v>
      </c>
    </row>
    <row r="148">
      <c r="A148" s="45">
        <v>31201.0</v>
      </c>
      <c r="B148" s="45" t="s">
        <v>204</v>
      </c>
      <c r="C148" s="46">
        <v>14033.0</v>
      </c>
      <c r="D148" s="47">
        <v>0.0</v>
      </c>
      <c r="E148" s="48">
        <v>7.9</v>
      </c>
      <c r="F148" s="49">
        <f t="shared" si="2"/>
        <v>8.2</v>
      </c>
      <c r="G148" s="49">
        <f t="shared" si="18"/>
        <v>0.954659398</v>
      </c>
      <c r="H148" s="50">
        <f t="shared" si="4"/>
        <v>7.541809244</v>
      </c>
      <c r="I148" s="51">
        <f t="shared" si="5"/>
        <v>1058.342091</v>
      </c>
      <c r="J148" s="58"/>
      <c r="K148" s="58"/>
      <c r="L148" s="59"/>
      <c r="M148" s="52">
        <v>2030.0</v>
      </c>
      <c r="N148" s="46">
        <f t="shared" si="6"/>
        <v>153.0987277</v>
      </c>
    </row>
    <row r="149">
      <c r="A149" s="45">
        <v>31202.0</v>
      </c>
      <c r="B149" s="45" t="s">
        <v>205</v>
      </c>
      <c r="C149" s="46">
        <v>10650.0</v>
      </c>
      <c r="D149" s="47">
        <v>0.0</v>
      </c>
      <c r="E149" s="48">
        <v>7.9</v>
      </c>
      <c r="F149" s="49">
        <f t="shared" si="2"/>
        <v>8.2</v>
      </c>
      <c r="G149" s="49">
        <f t="shared" si="18"/>
        <v>0.954659398</v>
      </c>
      <c r="H149" s="50">
        <f t="shared" si="4"/>
        <v>7.541809244</v>
      </c>
      <c r="I149" s="51">
        <f t="shared" si="5"/>
        <v>803.2026845</v>
      </c>
      <c r="J149" s="58"/>
      <c r="K149" s="58"/>
      <c r="L149" s="59"/>
      <c r="M149" s="52">
        <v>1614.0</v>
      </c>
      <c r="N149" s="46">
        <f t="shared" si="6"/>
        <v>121.7248012</v>
      </c>
    </row>
    <row r="150">
      <c r="A150" s="45">
        <v>31203.0</v>
      </c>
      <c r="B150" s="45" t="s">
        <v>206</v>
      </c>
      <c r="C150" s="46">
        <v>11746.0</v>
      </c>
      <c r="D150" s="47">
        <v>0.0</v>
      </c>
      <c r="E150" s="48">
        <v>7.9</v>
      </c>
      <c r="F150" s="49">
        <f t="shared" si="2"/>
        <v>8.2</v>
      </c>
      <c r="G150" s="49">
        <f t="shared" si="18"/>
        <v>0.954659398</v>
      </c>
      <c r="H150" s="50">
        <f t="shared" si="4"/>
        <v>7.541809244</v>
      </c>
      <c r="I150" s="51">
        <f t="shared" si="5"/>
        <v>885.8609139</v>
      </c>
      <c r="J150" s="58"/>
      <c r="K150" s="58"/>
      <c r="L150" s="59"/>
      <c r="M150" s="52">
        <v>1510.0</v>
      </c>
      <c r="N150" s="46">
        <f t="shared" si="6"/>
        <v>113.8813196</v>
      </c>
    </row>
    <row r="151">
      <c r="A151" s="45">
        <v>31204.0</v>
      </c>
      <c r="B151" s="45" t="s">
        <v>207</v>
      </c>
      <c r="C151" s="46">
        <v>19226.0</v>
      </c>
      <c r="D151" s="47">
        <v>27.8</v>
      </c>
      <c r="E151" s="48">
        <v>7.9</v>
      </c>
      <c r="F151" s="49">
        <f t="shared" si="2"/>
        <v>8.3668</v>
      </c>
      <c r="G151" s="49">
        <f t="shared" si="18"/>
        <v>0.9740785673</v>
      </c>
      <c r="H151" s="50">
        <f t="shared" si="4"/>
        <v>7.695220681</v>
      </c>
      <c r="I151" s="51">
        <f t="shared" si="5"/>
        <v>1479.483128</v>
      </c>
      <c r="J151" s="58"/>
      <c r="K151" s="58"/>
      <c r="L151" s="59"/>
      <c r="M151" s="52">
        <v>2714.0</v>
      </c>
      <c r="N151" s="46">
        <f t="shared" si="6"/>
        <v>208.8482893</v>
      </c>
    </row>
    <row r="152">
      <c r="A152" s="45">
        <v>31205.0</v>
      </c>
      <c r="B152" s="45" t="s">
        <v>208</v>
      </c>
      <c r="C152" s="46">
        <v>44504.0</v>
      </c>
      <c r="D152" s="47">
        <v>23.4</v>
      </c>
      <c r="E152" s="48">
        <v>7.9</v>
      </c>
      <c r="F152" s="49">
        <f t="shared" si="2"/>
        <v>8.3404</v>
      </c>
      <c r="G152" s="49">
        <f t="shared" si="18"/>
        <v>0.9710050297</v>
      </c>
      <c r="H152" s="50">
        <f t="shared" si="4"/>
        <v>7.670939734</v>
      </c>
      <c r="I152" s="51">
        <f t="shared" si="5"/>
        <v>3413.875019</v>
      </c>
      <c r="J152" s="58"/>
      <c r="K152" s="58"/>
      <c r="L152" s="59"/>
      <c r="M152" s="52">
        <v>6149.0</v>
      </c>
      <c r="N152" s="46">
        <f t="shared" si="6"/>
        <v>471.6860843</v>
      </c>
    </row>
    <row r="153">
      <c r="A153" s="45">
        <v>31206.0</v>
      </c>
      <c r="B153" s="45" t="s">
        <v>209</v>
      </c>
      <c r="C153" s="46">
        <v>28145.0</v>
      </c>
      <c r="D153" s="47">
        <v>38.3</v>
      </c>
      <c r="E153" s="48">
        <v>7.9</v>
      </c>
      <c r="F153" s="49">
        <f t="shared" si="2"/>
        <v>8.4298</v>
      </c>
      <c r="G153" s="49">
        <f t="shared" si="18"/>
        <v>0.9814131456</v>
      </c>
      <c r="H153" s="50">
        <f t="shared" si="4"/>
        <v>7.75316385</v>
      </c>
      <c r="I153" s="51">
        <f t="shared" si="5"/>
        <v>2182.127966</v>
      </c>
      <c r="J153" s="58"/>
      <c r="K153" s="58"/>
      <c r="L153" s="59"/>
      <c r="M153" s="52">
        <v>3770.0</v>
      </c>
      <c r="N153" s="46">
        <f t="shared" si="6"/>
        <v>292.2942771</v>
      </c>
    </row>
    <row r="154">
      <c r="A154" s="45">
        <v>31301.0</v>
      </c>
      <c r="B154" s="45" t="s">
        <v>210</v>
      </c>
      <c r="C154" s="46">
        <v>20412.0</v>
      </c>
      <c r="D154" s="47">
        <v>15.7</v>
      </c>
      <c r="E154" s="48">
        <v>7.9</v>
      </c>
      <c r="F154" s="49">
        <f t="shared" si="2"/>
        <v>8.2942</v>
      </c>
      <c r="G154" s="49">
        <f t="shared" si="18"/>
        <v>0.9656263389</v>
      </c>
      <c r="H154" s="50">
        <f t="shared" si="4"/>
        <v>7.628448078</v>
      </c>
      <c r="I154" s="51">
        <f t="shared" si="5"/>
        <v>1557.118822</v>
      </c>
      <c r="J154" s="58"/>
      <c r="K154" s="58"/>
      <c r="L154" s="59"/>
      <c r="M154" s="52">
        <v>2897.0</v>
      </c>
      <c r="N154" s="46">
        <f t="shared" si="6"/>
        <v>220.9961408</v>
      </c>
    </row>
    <row r="155">
      <c r="A155" s="45">
        <v>31302.0</v>
      </c>
      <c r="B155" s="45" t="s">
        <v>211</v>
      </c>
      <c r="C155" s="46">
        <v>5143.0</v>
      </c>
      <c r="D155" s="47">
        <v>0.0</v>
      </c>
      <c r="E155" s="48">
        <v>7.9</v>
      </c>
      <c r="F155" s="49">
        <f t="shared" si="2"/>
        <v>8.2</v>
      </c>
      <c r="G155" s="49">
        <f t="shared" si="18"/>
        <v>0.954659398</v>
      </c>
      <c r="H155" s="50">
        <f t="shared" si="4"/>
        <v>7.541809244</v>
      </c>
      <c r="I155" s="51">
        <f t="shared" si="5"/>
        <v>387.8752494</v>
      </c>
      <c r="J155" s="58"/>
      <c r="K155" s="58"/>
      <c r="L155" s="59"/>
      <c r="M155" s="52">
        <v>760.0</v>
      </c>
      <c r="N155" s="46">
        <f t="shared" si="6"/>
        <v>57.31775026</v>
      </c>
    </row>
    <row r="156">
      <c r="A156" s="45">
        <v>31303.0</v>
      </c>
      <c r="B156" s="45" t="s">
        <v>212</v>
      </c>
      <c r="C156" s="46">
        <v>3987.0</v>
      </c>
      <c r="D156" s="47">
        <v>0.0</v>
      </c>
      <c r="E156" s="48">
        <v>7.9</v>
      </c>
      <c r="F156" s="49">
        <f t="shared" si="2"/>
        <v>8.2</v>
      </c>
      <c r="G156" s="49">
        <f t="shared" si="18"/>
        <v>0.954659398</v>
      </c>
      <c r="H156" s="50">
        <f t="shared" si="4"/>
        <v>7.541809244</v>
      </c>
      <c r="I156" s="51">
        <f t="shared" si="5"/>
        <v>300.6919346</v>
      </c>
      <c r="J156" s="58"/>
      <c r="K156" s="58"/>
      <c r="L156" s="59"/>
      <c r="M156" s="52">
        <v>624.0</v>
      </c>
      <c r="N156" s="46">
        <f t="shared" si="6"/>
        <v>47.06088969</v>
      </c>
    </row>
    <row r="157">
      <c r="A157" s="45">
        <v>31304.0</v>
      </c>
      <c r="B157" s="45" t="s">
        <v>213</v>
      </c>
      <c r="C157" s="46">
        <v>6400.0</v>
      </c>
      <c r="D157" s="47">
        <v>0.0</v>
      </c>
      <c r="E157" s="48">
        <v>7.9</v>
      </c>
      <c r="F157" s="49">
        <f t="shared" si="2"/>
        <v>8.2</v>
      </c>
      <c r="G157" s="49">
        <f t="shared" si="18"/>
        <v>0.954659398</v>
      </c>
      <c r="H157" s="50">
        <f t="shared" si="4"/>
        <v>7.541809244</v>
      </c>
      <c r="I157" s="51">
        <f t="shared" si="5"/>
        <v>482.6757916</v>
      </c>
      <c r="J157" s="58"/>
      <c r="K157" s="58"/>
      <c r="L157" s="59"/>
      <c r="M157" s="52">
        <v>1017.0</v>
      </c>
      <c r="N157" s="46">
        <f t="shared" si="6"/>
        <v>76.70020002</v>
      </c>
    </row>
    <row r="158">
      <c r="A158" s="45">
        <v>31401.0</v>
      </c>
      <c r="B158" s="45" t="s">
        <v>214</v>
      </c>
      <c r="C158" s="46">
        <v>27888.0</v>
      </c>
      <c r="D158" s="47">
        <v>63.7</v>
      </c>
      <c r="E158" s="48">
        <v>7.9</v>
      </c>
      <c r="F158" s="49">
        <f t="shared" si="2"/>
        <v>8.5822</v>
      </c>
      <c r="G158" s="49">
        <f t="shared" si="18"/>
        <v>0.9991558397</v>
      </c>
      <c r="H158" s="50">
        <f t="shared" si="4"/>
        <v>7.893331134</v>
      </c>
      <c r="I158" s="51">
        <f t="shared" si="5"/>
        <v>2201.292187</v>
      </c>
      <c r="J158" s="58"/>
      <c r="K158" s="58"/>
      <c r="L158" s="59"/>
      <c r="M158" s="52">
        <v>2675.0</v>
      </c>
      <c r="N158" s="46">
        <f t="shared" si="6"/>
        <v>211.1466078</v>
      </c>
    </row>
    <row r="159">
      <c r="A159" s="45">
        <v>31402.0</v>
      </c>
      <c r="B159" s="45" t="s">
        <v>215</v>
      </c>
      <c r="C159" s="46">
        <v>7307.0</v>
      </c>
      <c r="D159" s="47">
        <v>0.0</v>
      </c>
      <c r="E159" s="48">
        <v>7.9</v>
      </c>
      <c r="F159" s="49">
        <f t="shared" si="2"/>
        <v>8.2</v>
      </c>
      <c r="G159" s="49">
        <f t="shared" si="18"/>
        <v>0.954659398</v>
      </c>
      <c r="H159" s="50">
        <f t="shared" si="4"/>
        <v>7.541809244</v>
      </c>
      <c r="I159" s="51">
        <f t="shared" si="5"/>
        <v>551.0800015</v>
      </c>
      <c r="J159" s="58"/>
      <c r="K159" s="58"/>
      <c r="L159" s="59"/>
      <c r="M159" s="52">
        <v>809.0</v>
      </c>
      <c r="N159" s="46">
        <f t="shared" si="6"/>
        <v>61.01323679</v>
      </c>
    </row>
    <row r="160">
      <c r="A160" s="45">
        <v>31403.0</v>
      </c>
      <c r="B160" s="45" t="s">
        <v>216</v>
      </c>
      <c r="C160" s="46">
        <v>13256.0</v>
      </c>
      <c r="D160" s="47">
        <v>45.7</v>
      </c>
      <c r="E160" s="48">
        <v>7.9</v>
      </c>
      <c r="F160" s="49">
        <f t="shared" si="2"/>
        <v>8.4742</v>
      </c>
      <c r="G160" s="49">
        <f t="shared" si="18"/>
        <v>0.9865822769</v>
      </c>
      <c r="H160" s="50">
        <f t="shared" si="4"/>
        <v>7.793999988</v>
      </c>
      <c r="I160" s="51">
        <f t="shared" si="5"/>
        <v>1033.172638</v>
      </c>
      <c r="J160" s="58"/>
      <c r="K160" s="58"/>
      <c r="L160" s="59"/>
      <c r="M160" s="52">
        <v>1329.0</v>
      </c>
      <c r="N160" s="46">
        <f t="shared" si="6"/>
        <v>103.5822598</v>
      </c>
    </row>
    <row r="161">
      <c r="A161" s="45">
        <v>31404.0</v>
      </c>
      <c r="B161" s="45" t="s">
        <v>217</v>
      </c>
      <c r="C161" s="46">
        <v>1220.0</v>
      </c>
      <c r="D161" s="47">
        <v>0.0</v>
      </c>
      <c r="E161" s="48">
        <v>7.9</v>
      </c>
      <c r="F161" s="49">
        <f t="shared" si="2"/>
        <v>8.2</v>
      </c>
      <c r="G161" s="49">
        <f t="shared" si="18"/>
        <v>0.954659398</v>
      </c>
      <c r="H161" s="50">
        <f t="shared" si="4"/>
        <v>7.541809244</v>
      </c>
      <c r="I161" s="51">
        <f t="shared" si="5"/>
        <v>92.01007278</v>
      </c>
      <c r="J161" s="58"/>
      <c r="K161" s="58"/>
      <c r="L161" s="59"/>
      <c r="M161" s="52">
        <v>105.0</v>
      </c>
      <c r="N161" s="46">
        <f t="shared" si="6"/>
        <v>7.918899707</v>
      </c>
    </row>
    <row r="162">
      <c r="A162" s="45">
        <v>31405.0</v>
      </c>
      <c r="B162" s="45" t="s">
        <v>218</v>
      </c>
      <c r="C162" s="46">
        <v>2468.0</v>
      </c>
      <c r="D162" s="47">
        <v>0.0</v>
      </c>
      <c r="E162" s="48">
        <v>7.9</v>
      </c>
      <c r="F162" s="49">
        <f t="shared" si="2"/>
        <v>8.2</v>
      </c>
      <c r="G162" s="49">
        <f t="shared" si="18"/>
        <v>0.954659398</v>
      </c>
      <c r="H162" s="50">
        <f t="shared" si="4"/>
        <v>7.541809244</v>
      </c>
      <c r="I162" s="51">
        <f t="shared" si="5"/>
        <v>186.1318522</v>
      </c>
      <c r="J162" s="58"/>
      <c r="K162" s="58"/>
      <c r="L162" s="59"/>
      <c r="M162" s="52">
        <v>282.0</v>
      </c>
      <c r="N162" s="46">
        <f t="shared" si="6"/>
        <v>21.26790207</v>
      </c>
    </row>
    <row r="163">
      <c r="A163" s="45">
        <v>31501.0</v>
      </c>
      <c r="B163" s="45" t="s">
        <v>219</v>
      </c>
      <c r="C163" s="46">
        <v>7772.0</v>
      </c>
      <c r="D163" s="47">
        <v>0.0</v>
      </c>
      <c r="E163" s="48">
        <v>7.9</v>
      </c>
      <c r="F163" s="49">
        <f t="shared" si="2"/>
        <v>8.2</v>
      </c>
      <c r="G163" s="49">
        <f t="shared" si="18"/>
        <v>0.954659398</v>
      </c>
      <c r="H163" s="50">
        <f t="shared" si="4"/>
        <v>7.541809244</v>
      </c>
      <c r="I163" s="51">
        <f t="shared" si="5"/>
        <v>586.1494145</v>
      </c>
      <c r="J163" s="58"/>
      <c r="K163" s="58"/>
      <c r="L163" s="59"/>
      <c r="M163" s="52">
        <v>1026.0</v>
      </c>
      <c r="N163" s="46">
        <f t="shared" si="6"/>
        <v>77.37896285</v>
      </c>
    </row>
    <row r="164">
      <c r="A164" s="45">
        <v>31601.0</v>
      </c>
      <c r="B164" s="45" t="s">
        <v>220</v>
      </c>
      <c r="C164" s="46">
        <v>21064.0</v>
      </c>
      <c r="D164" s="47">
        <v>7.2</v>
      </c>
      <c r="E164" s="48">
        <v>7.9</v>
      </c>
      <c r="F164" s="49">
        <f t="shared" si="2"/>
        <v>8.2432</v>
      </c>
      <c r="G164" s="49">
        <f t="shared" si="18"/>
        <v>0.9596888232</v>
      </c>
      <c r="H164" s="50">
        <f t="shared" si="4"/>
        <v>7.581541703</v>
      </c>
      <c r="I164" s="51">
        <f t="shared" si="5"/>
        <v>1596.975944</v>
      </c>
      <c r="J164" s="58"/>
      <c r="K164" s="58"/>
      <c r="L164" s="59"/>
      <c r="M164" s="52">
        <v>2840.0</v>
      </c>
      <c r="N164" s="46">
        <f t="shared" si="6"/>
        <v>215.3157844</v>
      </c>
    </row>
    <row r="165">
      <c r="A165" s="45">
        <v>31602.0</v>
      </c>
      <c r="B165" s="45" t="s">
        <v>221</v>
      </c>
      <c r="C165" s="46">
        <v>18611.0</v>
      </c>
      <c r="D165" s="47">
        <v>27.9</v>
      </c>
      <c r="E165" s="48">
        <v>7.9</v>
      </c>
      <c r="F165" s="49">
        <f t="shared" si="2"/>
        <v>8.3674</v>
      </c>
      <c r="G165" s="49">
        <f t="shared" si="18"/>
        <v>0.9741484204</v>
      </c>
      <c r="H165" s="50">
        <f t="shared" si="4"/>
        <v>7.695772521</v>
      </c>
      <c r="I165" s="51">
        <f t="shared" si="5"/>
        <v>1432.260224</v>
      </c>
      <c r="J165" s="45"/>
      <c r="K165" s="45"/>
      <c r="L165" s="45"/>
      <c r="M165" s="52">
        <v>2450.0</v>
      </c>
      <c r="N165" s="46">
        <f t="shared" si="6"/>
        <v>188.5464268</v>
      </c>
    </row>
    <row r="166">
      <c r="A166" s="45">
        <v>40101.0</v>
      </c>
      <c r="B166" s="45" t="s">
        <v>57</v>
      </c>
      <c r="C166" s="46">
        <v>241874.0</v>
      </c>
      <c r="D166" s="47">
        <v>100.0</v>
      </c>
      <c r="E166" s="45">
        <v>6.3</v>
      </c>
      <c r="F166" s="49">
        <f t="shared" si="2"/>
        <v>8.8</v>
      </c>
      <c r="G166" s="49">
        <f t="shared" si="18"/>
        <v>1.024512525</v>
      </c>
      <c r="H166" s="50">
        <f t="shared" si="4"/>
        <v>6.454428906</v>
      </c>
      <c r="I166" s="51">
        <f t="shared" si="5"/>
        <v>15611.58537</v>
      </c>
      <c r="J166" s="52">
        <f>SUM(C166:C200)</f>
        <v>457447</v>
      </c>
      <c r="K166" s="52">
        <f>SUM(I166:I200)</f>
        <v>28776.07693</v>
      </c>
      <c r="L166" s="53">
        <f>K166/J166</f>
        <v>0.06290581626</v>
      </c>
      <c r="M166" s="52">
        <v>26933.0</v>
      </c>
      <c r="N166" s="46">
        <f t="shared" si="6"/>
        <v>1738.371337</v>
      </c>
    </row>
    <row r="167">
      <c r="A167" s="45">
        <v>40102.0</v>
      </c>
      <c r="B167" s="45" t="s">
        <v>222</v>
      </c>
      <c r="C167" s="46">
        <v>22207.0</v>
      </c>
      <c r="D167" s="47">
        <v>22.5</v>
      </c>
      <c r="E167" s="45">
        <v>6.3</v>
      </c>
      <c r="F167" s="49">
        <f t="shared" si="2"/>
        <v>8.335</v>
      </c>
      <c r="G167" s="49">
        <f t="shared" si="18"/>
        <v>0.9703763515</v>
      </c>
      <c r="H167" s="50">
        <f t="shared" si="4"/>
        <v>6.113371015</v>
      </c>
      <c r="I167" s="51">
        <f t="shared" si="5"/>
        <v>1357.596301</v>
      </c>
      <c r="J167" s="58"/>
      <c r="K167" s="58"/>
      <c r="L167" s="59"/>
      <c r="M167" s="52">
        <v>2573.0</v>
      </c>
      <c r="N167" s="46">
        <f t="shared" si="6"/>
        <v>157.2970362</v>
      </c>
    </row>
    <row r="168">
      <c r="A168" s="45">
        <v>40103.0</v>
      </c>
      <c r="B168" s="45" t="s">
        <v>223</v>
      </c>
      <c r="C168" s="46">
        <v>7629.0</v>
      </c>
      <c r="D168" s="47">
        <v>0.0</v>
      </c>
      <c r="E168" s="45">
        <v>6.3</v>
      </c>
      <c r="F168" s="49">
        <f t="shared" si="2"/>
        <v>8.2</v>
      </c>
      <c r="G168" s="49">
        <f t="shared" si="18"/>
        <v>0.954659398</v>
      </c>
      <c r="H168" s="50">
        <f t="shared" si="4"/>
        <v>6.014354208</v>
      </c>
      <c r="I168" s="51">
        <f t="shared" si="5"/>
        <v>458.8350825</v>
      </c>
      <c r="J168" s="58"/>
      <c r="K168" s="58"/>
      <c r="L168" s="59"/>
      <c r="M168" s="52">
        <v>786.0</v>
      </c>
      <c r="N168" s="46">
        <f t="shared" si="6"/>
        <v>47.27282407</v>
      </c>
    </row>
    <row r="169">
      <c r="A169" s="45">
        <v>40104.0</v>
      </c>
      <c r="B169" s="45" t="s">
        <v>224</v>
      </c>
      <c r="C169" s="46">
        <v>13258.0</v>
      </c>
      <c r="D169" s="47">
        <v>0.0</v>
      </c>
      <c r="E169" s="45">
        <v>6.3</v>
      </c>
      <c r="F169" s="49">
        <f t="shared" si="2"/>
        <v>8.2</v>
      </c>
      <c r="G169" s="49">
        <f t="shared" si="18"/>
        <v>0.954659398</v>
      </c>
      <c r="H169" s="50">
        <f t="shared" si="4"/>
        <v>6.014354208</v>
      </c>
      <c r="I169" s="51">
        <f t="shared" si="5"/>
        <v>797.3830808</v>
      </c>
      <c r="J169" s="58"/>
      <c r="K169" s="58"/>
      <c r="L169" s="59"/>
      <c r="M169" s="52">
        <v>1556.0</v>
      </c>
      <c r="N169" s="46">
        <f t="shared" si="6"/>
        <v>93.58335147</v>
      </c>
    </row>
    <row r="170">
      <c r="A170" s="45">
        <v>40201.0</v>
      </c>
      <c r="B170" s="45" t="s">
        <v>225</v>
      </c>
      <c r="C170" s="46">
        <v>27264.0</v>
      </c>
      <c r="D170" s="47">
        <v>39.4</v>
      </c>
      <c r="E170" s="45">
        <v>6.3</v>
      </c>
      <c r="F170" s="49">
        <f t="shared" si="2"/>
        <v>8.4364</v>
      </c>
      <c r="G170" s="49">
        <f t="shared" si="18"/>
        <v>0.9821815299</v>
      </c>
      <c r="H170" s="50">
        <f t="shared" si="4"/>
        <v>6.187743639</v>
      </c>
      <c r="I170" s="51">
        <f t="shared" si="5"/>
        <v>1687.026426</v>
      </c>
      <c r="J170" s="58"/>
      <c r="K170" s="58"/>
      <c r="L170" s="59"/>
      <c r="M170" s="52">
        <v>3282.0</v>
      </c>
      <c r="N170" s="46">
        <f t="shared" si="6"/>
        <v>203.0817462</v>
      </c>
    </row>
    <row r="171">
      <c r="A171" s="45">
        <v>40202.0</v>
      </c>
      <c r="B171" s="45" t="s">
        <v>226</v>
      </c>
      <c r="C171" s="46">
        <v>3780.0</v>
      </c>
      <c r="D171" s="47">
        <v>0.0</v>
      </c>
      <c r="E171" s="45">
        <v>6.3</v>
      </c>
      <c r="F171" s="49">
        <f t="shared" si="2"/>
        <v>8.2</v>
      </c>
      <c r="G171" s="49">
        <f t="shared" si="18"/>
        <v>0.954659398</v>
      </c>
      <c r="H171" s="50">
        <f t="shared" si="4"/>
        <v>6.014354208</v>
      </c>
      <c r="I171" s="51">
        <f t="shared" si="5"/>
        <v>227.342589</v>
      </c>
      <c r="J171" s="58"/>
      <c r="K171" s="58"/>
      <c r="L171" s="59"/>
      <c r="M171" s="52">
        <v>422.0</v>
      </c>
      <c r="N171" s="46">
        <f t="shared" si="6"/>
        <v>25.38057476</v>
      </c>
    </row>
    <row r="172">
      <c r="A172" s="45">
        <v>40301.0</v>
      </c>
      <c r="B172" s="45" t="s">
        <v>227</v>
      </c>
      <c r="C172" s="46">
        <v>8976.0</v>
      </c>
      <c r="D172" s="47">
        <v>0.0</v>
      </c>
      <c r="E172" s="45">
        <v>6.3</v>
      </c>
      <c r="F172" s="49">
        <f t="shared" si="2"/>
        <v>8.2</v>
      </c>
      <c r="G172" s="49">
        <f t="shared" si="18"/>
        <v>0.954659398</v>
      </c>
      <c r="H172" s="50">
        <f t="shared" si="4"/>
        <v>6.014354208</v>
      </c>
      <c r="I172" s="51">
        <f t="shared" si="5"/>
        <v>539.8484337</v>
      </c>
      <c r="J172" s="58"/>
      <c r="K172" s="58"/>
      <c r="L172" s="59"/>
      <c r="M172" s="52">
        <v>930.0</v>
      </c>
      <c r="N172" s="46">
        <f t="shared" si="6"/>
        <v>55.93349413</v>
      </c>
    </row>
    <row r="173">
      <c r="A173" s="45">
        <v>40302.0</v>
      </c>
      <c r="B173" s="45" t="s">
        <v>228</v>
      </c>
      <c r="C173" s="46">
        <v>1765.0</v>
      </c>
      <c r="D173" s="47">
        <v>0.0</v>
      </c>
      <c r="E173" s="45">
        <v>6.3</v>
      </c>
      <c r="F173" s="49">
        <f t="shared" si="2"/>
        <v>8.2</v>
      </c>
      <c r="G173" s="49">
        <f t="shared" si="18"/>
        <v>0.954659398</v>
      </c>
      <c r="H173" s="50">
        <f t="shared" si="4"/>
        <v>6.014354208</v>
      </c>
      <c r="I173" s="51">
        <f t="shared" si="5"/>
        <v>106.1533518</v>
      </c>
      <c r="J173" s="58"/>
      <c r="K173" s="58"/>
      <c r="L173" s="59"/>
      <c r="M173" s="52">
        <v>189.0</v>
      </c>
      <c r="N173" s="46">
        <f t="shared" si="6"/>
        <v>11.36712945</v>
      </c>
    </row>
    <row r="174">
      <c r="A174" s="45">
        <v>40401.0</v>
      </c>
      <c r="B174" s="45" t="s">
        <v>229</v>
      </c>
      <c r="C174" s="46">
        <v>4582.0</v>
      </c>
      <c r="D174" s="47">
        <v>0.0</v>
      </c>
      <c r="E174" s="45">
        <v>6.3</v>
      </c>
      <c r="F174" s="49">
        <f t="shared" si="2"/>
        <v>8.2</v>
      </c>
      <c r="G174" s="49">
        <f t="shared" si="18"/>
        <v>0.954659398</v>
      </c>
      <c r="H174" s="50">
        <f t="shared" si="4"/>
        <v>6.014354208</v>
      </c>
      <c r="I174" s="51">
        <f t="shared" si="5"/>
        <v>275.5777098</v>
      </c>
      <c r="J174" s="58"/>
      <c r="K174" s="58"/>
      <c r="L174" s="59"/>
      <c r="M174" s="52">
        <v>481.0</v>
      </c>
      <c r="N174" s="46">
        <f t="shared" si="6"/>
        <v>28.92904374</v>
      </c>
    </row>
    <row r="175">
      <c r="A175" s="45">
        <v>40402.0</v>
      </c>
      <c r="B175" s="45" t="s">
        <v>230</v>
      </c>
      <c r="C175" s="46">
        <v>4826.0</v>
      </c>
      <c r="D175" s="47">
        <v>0.0</v>
      </c>
      <c r="E175" s="45">
        <v>6.3</v>
      </c>
      <c r="F175" s="49">
        <f t="shared" si="2"/>
        <v>8.2</v>
      </c>
      <c r="G175" s="49">
        <f t="shared" si="18"/>
        <v>0.954659398</v>
      </c>
      <c r="H175" s="50">
        <f t="shared" si="4"/>
        <v>6.014354208</v>
      </c>
      <c r="I175" s="51">
        <f t="shared" si="5"/>
        <v>290.2527341</v>
      </c>
      <c r="J175" s="58"/>
      <c r="K175" s="58"/>
      <c r="L175" s="59"/>
      <c r="M175" s="52">
        <v>495.0</v>
      </c>
      <c r="N175" s="46">
        <f t="shared" si="6"/>
        <v>29.77105333</v>
      </c>
    </row>
    <row r="176">
      <c r="A176" s="45">
        <v>40501.0</v>
      </c>
      <c r="B176" s="45" t="s">
        <v>231</v>
      </c>
      <c r="C176" s="46">
        <v>1238.0</v>
      </c>
      <c r="D176" s="47">
        <v>0.0</v>
      </c>
      <c r="E176" s="45">
        <v>6.3</v>
      </c>
      <c r="F176" s="49">
        <f t="shared" si="2"/>
        <v>8.2</v>
      </c>
      <c r="G176" s="49">
        <f t="shared" si="18"/>
        <v>0.954659398</v>
      </c>
      <c r="H176" s="50">
        <f t="shared" si="4"/>
        <v>6.014354208</v>
      </c>
      <c r="I176" s="51">
        <f t="shared" si="5"/>
        <v>74.45770509</v>
      </c>
      <c r="J176" s="58"/>
      <c r="K176" s="58"/>
      <c r="L176" s="59"/>
      <c r="M176" s="52">
        <v>117.0</v>
      </c>
      <c r="N176" s="46">
        <f t="shared" si="6"/>
        <v>7.036794423</v>
      </c>
    </row>
    <row r="177">
      <c r="A177" s="45">
        <v>40502.0</v>
      </c>
      <c r="B177" s="45" t="s">
        <v>232</v>
      </c>
      <c r="C177" s="46">
        <v>3001.0</v>
      </c>
      <c r="D177" s="47">
        <v>0.0</v>
      </c>
      <c r="E177" s="45">
        <v>6.3</v>
      </c>
      <c r="F177" s="49">
        <f t="shared" si="2"/>
        <v>8.2</v>
      </c>
      <c r="G177" s="49">
        <f t="shared" si="18"/>
        <v>0.954659398</v>
      </c>
      <c r="H177" s="50">
        <f t="shared" si="4"/>
        <v>6.014354208</v>
      </c>
      <c r="I177" s="51">
        <f t="shared" si="5"/>
        <v>180.4907698</v>
      </c>
      <c r="J177" s="58"/>
      <c r="K177" s="58"/>
      <c r="L177" s="59"/>
      <c r="M177" s="52">
        <v>324.0</v>
      </c>
      <c r="N177" s="46">
        <f t="shared" si="6"/>
        <v>19.48650763</v>
      </c>
    </row>
    <row r="178">
      <c r="A178" s="45">
        <v>40503.0</v>
      </c>
      <c r="B178" s="45" t="s">
        <v>233</v>
      </c>
      <c r="C178" s="46">
        <v>1568.0</v>
      </c>
      <c r="D178" s="47">
        <v>0.0</v>
      </c>
      <c r="E178" s="45">
        <v>6.3</v>
      </c>
      <c r="F178" s="49">
        <f t="shared" si="2"/>
        <v>8.2</v>
      </c>
      <c r="G178" s="49">
        <f t="shared" si="18"/>
        <v>0.954659398</v>
      </c>
      <c r="H178" s="50">
        <f t="shared" si="4"/>
        <v>6.014354208</v>
      </c>
      <c r="I178" s="51">
        <f t="shared" si="5"/>
        <v>94.30507398</v>
      </c>
      <c r="J178" s="58"/>
      <c r="K178" s="58"/>
      <c r="L178" s="59"/>
      <c r="M178" s="52">
        <v>200.0</v>
      </c>
      <c r="N178" s="46">
        <f t="shared" si="6"/>
        <v>12.02870842</v>
      </c>
    </row>
    <row r="179">
      <c r="A179" s="45">
        <v>40504.0</v>
      </c>
      <c r="B179" s="45" t="s">
        <v>234</v>
      </c>
      <c r="C179" s="46">
        <v>407.0</v>
      </c>
      <c r="D179" s="47">
        <v>0.0</v>
      </c>
      <c r="E179" s="45">
        <v>6.3</v>
      </c>
      <c r="F179" s="49">
        <f t="shared" si="2"/>
        <v>8.2</v>
      </c>
      <c r="G179" s="49">
        <f t="shared" si="18"/>
        <v>0.954659398</v>
      </c>
      <c r="H179" s="50">
        <f t="shared" si="4"/>
        <v>6.014354208</v>
      </c>
      <c r="I179" s="51">
        <f t="shared" si="5"/>
        <v>24.47842163</v>
      </c>
      <c r="J179" s="58"/>
      <c r="K179" s="58"/>
      <c r="L179" s="59"/>
      <c r="M179" s="52">
        <v>42.0</v>
      </c>
      <c r="N179" s="46">
        <f t="shared" si="6"/>
        <v>2.526028767</v>
      </c>
    </row>
    <row r="180">
      <c r="A180" s="45">
        <v>40505.0</v>
      </c>
      <c r="B180" s="45" t="s">
        <v>235</v>
      </c>
      <c r="C180" s="46">
        <v>2066.0</v>
      </c>
      <c r="D180" s="47">
        <v>0.0</v>
      </c>
      <c r="E180" s="45">
        <v>6.3</v>
      </c>
      <c r="F180" s="49">
        <f t="shared" si="2"/>
        <v>8.2</v>
      </c>
      <c r="G180" s="49">
        <f t="shared" si="18"/>
        <v>0.954659398</v>
      </c>
      <c r="H180" s="50">
        <f t="shared" si="4"/>
        <v>6.014354208</v>
      </c>
      <c r="I180" s="51">
        <f t="shared" si="5"/>
        <v>124.2565579</v>
      </c>
      <c r="J180" s="58"/>
      <c r="K180" s="58"/>
      <c r="L180" s="59"/>
      <c r="M180" s="52">
        <v>275.0</v>
      </c>
      <c r="N180" s="46">
        <f t="shared" si="6"/>
        <v>16.53947407</v>
      </c>
    </row>
    <row r="181">
      <c r="A181" s="45">
        <v>40601.0</v>
      </c>
      <c r="B181" s="45" t="s">
        <v>236</v>
      </c>
      <c r="C181" s="46">
        <v>7069.0</v>
      </c>
      <c r="D181" s="47">
        <v>30.7</v>
      </c>
      <c r="E181" s="45">
        <v>6.3</v>
      </c>
      <c r="F181" s="49">
        <f t="shared" si="2"/>
        <v>8.3842</v>
      </c>
      <c r="G181" s="49">
        <f t="shared" si="18"/>
        <v>0.9761043079</v>
      </c>
      <c r="H181" s="50">
        <f t="shared" si="4"/>
        <v>6.14945714</v>
      </c>
      <c r="I181" s="51">
        <f t="shared" si="5"/>
        <v>434.7051252</v>
      </c>
      <c r="J181" s="58"/>
      <c r="K181" s="58"/>
      <c r="L181" s="59"/>
      <c r="M181" s="52">
        <v>685.0</v>
      </c>
      <c r="N181" s="46">
        <f t="shared" si="6"/>
        <v>42.12378141</v>
      </c>
    </row>
    <row r="182">
      <c r="A182" s="45">
        <v>40602.0</v>
      </c>
      <c r="B182" s="45" t="s">
        <v>237</v>
      </c>
      <c r="C182" s="46">
        <v>5778.0</v>
      </c>
      <c r="D182" s="47">
        <v>0.0</v>
      </c>
      <c r="E182" s="45">
        <v>6.3</v>
      </c>
      <c r="F182" s="49">
        <f t="shared" si="2"/>
        <v>8.2</v>
      </c>
      <c r="G182" s="49">
        <f t="shared" si="18"/>
        <v>0.954659398</v>
      </c>
      <c r="H182" s="50">
        <f t="shared" si="4"/>
        <v>6.014354208</v>
      </c>
      <c r="I182" s="51">
        <f t="shared" si="5"/>
        <v>347.5093861</v>
      </c>
      <c r="J182" s="58"/>
      <c r="K182" s="58"/>
      <c r="L182" s="59"/>
      <c r="M182" s="52">
        <v>664.0</v>
      </c>
      <c r="N182" s="46">
        <f t="shared" si="6"/>
        <v>39.93531194</v>
      </c>
    </row>
    <row r="183">
      <c r="A183" s="45">
        <v>40603.0</v>
      </c>
      <c r="B183" s="45" t="s">
        <v>238</v>
      </c>
      <c r="C183" s="46">
        <v>3296.0</v>
      </c>
      <c r="D183" s="47">
        <v>0.0</v>
      </c>
      <c r="E183" s="45">
        <v>6.3</v>
      </c>
      <c r="F183" s="49">
        <f t="shared" si="2"/>
        <v>8.2</v>
      </c>
      <c r="G183" s="49">
        <f t="shared" si="18"/>
        <v>0.954659398</v>
      </c>
      <c r="H183" s="50">
        <f t="shared" si="4"/>
        <v>6.014354208</v>
      </c>
      <c r="I183" s="51">
        <f t="shared" si="5"/>
        <v>198.2331147</v>
      </c>
      <c r="J183" s="58"/>
      <c r="K183" s="58"/>
      <c r="L183" s="59"/>
      <c r="M183" s="52">
        <v>414.0</v>
      </c>
      <c r="N183" s="46">
        <f t="shared" si="6"/>
        <v>24.89942642</v>
      </c>
    </row>
    <row r="184">
      <c r="A184" s="45">
        <v>40701.0</v>
      </c>
      <c r="B184" s="45" t="s">
        <v>239</v>
      </c>
      <c r="C184" s="46">
        <v>22768.0</v>
      </c>
      <c r="D184" s="47">
        <v>80.7</v>
      </c>
      <c r="E184" s="45">
        <v>6.3</v>
      </c>
      <c r="F184" s="49">
        <f t="shared" si="2"/>
        <v>8.6842</v>
      </c>
      <c r="G184" s="49">
        <f t="shared" si="18"/>
        <v>1.011030871</v>
      </c>
      <c r="H184" s="50">
        <f t="shared" si="4"/>
        <v>6.369494489</v>
      </c>
      <c r="I184" s="51">
        <f t="shared" si="5"/>
        <v>1450.206505</v>
      </c>
      <c r="J184" s="58"/>
      <c r="K184" s="58"/>
      <c r="L184" s="59"/>
      <c r="M184" s="52">
        <v>2925.0</v>
      </c>
      <c r="N184" s="46">
        <f t="shared" si="6"/>
        <v>186.3077138</v>
      </c>
    </row>
    <row r="185">
      <c r="A185" s="45">
        <v>40702.0</v>
      </c>
      <c r="B185" s="45" t="s">
        <v>240</v>
      </c>
      <c r="C185" s="46">
        <v>4587.0</v>
      </c>
      <c r="D185" s="47">
        <v>55.5</v>
      </c>
      <c r="E185" s="45">
        <v>6.3</v>
      </c>
      <c r="F185" s="49">
        <f t="shared" si="2"/>
        <v>8.533</v>
      </c>
      <c r="G185" s="49">
        <f t="shared" si="18"/>
        <v>0.9934278833</v>
      </c>
      <c r="H185" s="50">
        <f t="shared" si="4"/>
        <v>6.258595665</v>
      </c>
      <c r="I185" s="51">
        <f t="shared" si="5"/>
        <v>287.0817832</v>
      </c>
      <c r="J185" s="58"/>
      <c r="K185" s="58"/>
      <c r="L185" s="59"/>
      <c r="M185" s="52">
        <v>503.0</v>
      </c>
      <c r="N185" s="46">
        <f t="shared" si="6"/>
        <v>31.4807362</v>
      </c>
    </row>
    <row r="186">
      <c r="A186" s="45">
        <v>40801.0</v>
      </c>
      <c r="B186" s="45" t="s">
        <v>241</v>
      </c>
      <c r="C186" s="46">
        <v>10731.0</v>
      </c>
      <c r="D186" s="47">
        <v>0.0</v>
      </c>
      <c r="E186" s="45">
        <v>6.3</v>
      </c>
      <c r="F186" s="49">
        <f t="shared" si="2"/>
        <v>8.2</v>
      </c>
      <c r="G186" s="49">
        <f t="shared" si="18"/>
        <v>0.954659398</v>
      </c>
      <c r="H186" s="50">
        <f t="shared" si="4"/>
        <v>6.014354208</v>
      </c>
      <c r="I186" s="51">
        <f t="shared" si="5"/>
        <v>645.40035</v>
      </c>
      <c r="J186" s="58"/>
      <c r="K186" s="58"/>
      <c r="L186" s="59"/>
      <c r="M186" s="52">
        <v>1244.0</v>
      </c>
      <c r="N186" s="46">
        <f t="shared" si="6"/>
        <v>74.81856634</v>
      </c>
    </row>
    <row r="187">
      <c r="A187" s="45">
        <v>40802.0</v>
      </c>
      <c r="B187" s="45" t="s">
        <v>242</v>
      </c>
      <c r="C187" s="46">
        <v>2974.0</v>
      </c>
      <c r="D187" s="47">
        <v>0.0</v>
      </c>
      <c r="E187" s="45">
        <v>6.3</v>
      </c>
      <c r="F187" s="49">
        <f t="shared" si="2"/>
        <v>8.2</v>
      </c>
      <c r="G187" s="49">
        <f t="shared" si="18"/>
        <v>0.954659398</v>
      </c>
      <c r="H187" s="50">
        <f t="shared" si="4"/>
        <v>6.014354208</v>
      </c>
      <c r="I187" s="51">
        <f t="shared" si="5"/>
        <v>178.8668941</v>
      </c>
      <c r="J187" s="58"/>
      <c r="K187" s="58"/>
      <c r="L187" s="59"/>
      <c r="M187" s="52">
        <v>386.0</v>
      </c>
      <c r="N187" s="46">
        <f t="shared" si="6"/>
        <v>23.21540724</v>
      </c>
    </row>
    <row r="188">
      <c r="A188" s="45">
        <v>40901.0</v>
      </c>
      <c r="B188" s="45" t="s">
        <v>243</v>
      </c>
      <c r="C188" s="46">
        <v>6806.0</v>
      </c>
      <c r="D188" s="47">
        <v>0.0</v>
      </c>
      <c r="E188" s="45">
        <v>6.3</v>
      </c>
      <c r="F188" s="49">
        <f t="shared" si="2"/>
        <v>8.2</v>
      </c>
      <c r="G188" s="49">
        <f t="shared" si="18"/>
        <v>0.954659398</v>
      </c>
      <c r="H188" s="50">
        <f t="shared" si="4"/>
        <v>6.014354208</v>
      </c>
      <c r="I188" s="51">
        <f t="shared" si="5"/>
        <v>409.3369474</v>
      </c>
      <c r="J188" s="58"/>
      <c r="K188" s="58"/>
      <c r="L188" s="59"/>
      <c r="M188" s="52">
        <v>897.0</v>
      </c>
      <c r="N188" s="46">
        <f t="shared" si="6"/>
        <v>53.94875724</v>
      </c>
    </row>
    <row r="189">
      <c r="A189" s="45">
        <v>40902.0</v>
      </c>
      <c r="B189" s="45" t="s">
        <v>244</v>
      </c>
      <c r="C189" s="46">
        <v>799.0</v>
      </c>
      <c r="D189" s="47">
        <v>0.0</v>
      </c>
      <c r="E189" s="45">
        <v>6.3</v>
      </c>
      <c r="F189" s="49">
        <f t="shared" si="2"/>
        <v>8.2</v>
      </c>
      <c r="G189" s="49">
        <f t="shared" si="18"/>
        <v>0.954659398</v>
      </c>
      <c r="H189" s="50">
        <f t="shared" si="4"/>
        <v>6.014354208</v>
      </c>
      <c r="I189" s="51">
        <f t="shared" si="5"/>
        <v>48.05469012</v>
      </c>
      <c r="J189" s="58"/>
      <c r="K189" s="58"/>
      <c r="L189" s="59"/>
      <c r="M189" s="52">
        <v>104.0</v>
      </c>
      <c r="N189" s="46">
        <f t="shared" si="6"/>
        <v>6.254928376</v>
      </c>
    </row>
    <row r="190">
      <c r="A190" s="45">
        <v>40903.0</v>
      </c>
      <c r="B190" s="45" t="s">
        <v>245</v>
      </c>
      <c r="C190" s="46">
        <v>1934.0</v>
      </c>
      <c r="D190" s="47">
        <v>0.0</v>
      </c>
      <c r="E190" s="45">
        <v>6.3</v>
      </c>
      <c r="F190" s="49">
        <f t="shared" si="2"/>
        <v>8.2</v>
      </c>
      <c r="G190" s="49">
        <f t="shared" si="18"/>
        <v>0.954659398</v>
      </c>
      <c r="H190" s="50">
        <f t="shared" si="4"/>
        <v>6.014354208</v>
      </c>
      <c r="I190" s="51">
        <f t="shared" si="5"/>
        <v>116.3176104</v>
      </c>
      <c r="J190" s="58"/>
      <c r="K190" s="58"/>
      <c r="L190" s="59"/>
      <c r="M190" s="52">
        <v>277.0</v>
      </c>
      <c r="N190" s="46">
        <f t="shared" si="6"/>
        <v>16.65976116</v>
      </c>
    </row>
    <row r="191">
      <c r="A191" s="45">
        <v>41001.0</v>
      </c>
      <c r="B191" s="45" t="s">
        <v>246</v>
      </c>
      <c r="C191" s="46">
        <v>9281.0</v>
      </c>
      <c r="D191" s="47">
        <v>0.0</v>
      </c>
      <c r="E191" s="45">
        <v>6.3</v>
      </c>
      <c r="F191" s="49">
        <f t="shared" si="2"/>
        <v>8.2</v>
      </c>
      <c r="G191" s="49">
        <f t="shared" si="18"/>
        <v>0.954659398</v>
      </c>
      <c r="H191" s="50">
        <f t="shared" si="4"/>
        <v>6.014354208</v>
      </c>
      <c r="I191" s="51">
        <f t="shared" si="5"/>
        <v>558.192214</v>
      </c>
      <c r="J191" s="58"/>
      <c r="K191" s="58"/>
      <c r="L191" s="59"/>
      <c r="M191" s="52">
        <v>924.0</v>
      </c>
      <c r="N191" s="46">
        <f t="shared" si="6"/>
        <v>55.57263288</v>
      </c>
    </row>
    <row r="192">
      <c r="A192" s="45">
        <v>41101.0</v>
      </c>
      <c r="B192" s="45" t="s">
        <v>247</v>
      </c>
      <c r="C192" s="46">
        <v>5324.0</v>
      </c>
      <c r="D192" s="47">
        <v>48.3</v>
      </c>
      <c r="E192" s="45">
        <v>6.3</v>
      </c>
      <c r="F192" s="49">
        <f t="shared" si="2"/>
        <v>8.4898</v>
      </c>
      <c r="G192" s="49">
        <f t="shared" si="18"/>
        <v>0.9883984582</v>
      </c>
      <c r="H192" s="50">
        <f t="shared" si="4"/>
        <v>6.226910287</v>
      </c>
      <c r="I192" s="51">
        <f t="shared" si="5"/>
        <v>331.5207037</v>
      </c>
      <c r="J192" s="58"/>
      <c r="K192" s="58"/>
      <c r="L192" s="59"/>
      <c r="M192" s="52">
        <v>600.0</v>
      </c>
      <c r="N192" s="46">
        <f t="shared" si="6"/>
        <v>37.36146172</v>
      </c>
    </row>
    <row r="193">
      <c r="A193" s="45">
        <v>41201.0</v>
      </c>
      <c r="B193" s="45" t="s">
        <v>248</v>
      </c>
      <c r="C193" s="46">
        <v>4988.0</v>
      </c>
      <c r="D193" s="47">
        <v>0.0</v>
      </c>
      <c r="E193" s="45">
        <v>6.3</v>
      </c>
      <c r="F193" s="49">
        <f t="shared" si="2"/>
        <v>8.2</v>
      </c>
      <c r="G193" s="49">
        <f t="shared" si="18"/>
        <v>0.954659398</v>
      </c>
      <c r="H193" s="50">
        <f t="shared" si="4"/>
        <v>6.014354208</v>
      </c>
      <c r="I193" s="51">
        <f t="shared" si="5"/>
        <v>299.9959879</v>
      </c>
      <c r="J193" s="58"/>
      <c r="K193" s="58"/>
      <c r="L193" s="59"/>
      <c r="M193" s="52">
        <v>487.0</v>
      </c>
      <c r="N193" s="46">
        <f t="shared" si="6"/>
        <v>29.28990499</v>
      </c>
    </row>
    <row r="194">
      <c r="A194" s="45">
        <v>41202.0</v>
      </c>
      <c r="B194" s="45" t="s">
        <v>249</v>
      </c>
      <c r="C194" s="46">
        <v>1846.0</v>
      </c>
      <c r="D194" s="47">
        <v>0.0</v>
      </c>
      <c r="E194" s="45">
        <v>6.3</v>
      </c>
      <c r="F194" s="49">
        <f t="shared" si="2"/>
        <v>8.2</v>
      </c>
      <c r="G194" s="49">
        <f t="shared" si="18"/>
        <v>0.954659398</v>
      </c>
      <c r="H194" s="50">
        <f t="shared" si="4"/>
        <v>6.014354208</v>
      </c>
      <c r="I194" s="51">
        <f t="shared" si="5"/>
        <v>111.0249787</v>
      </c>
      <c r="J194" s="58"/>
      <c r="K194" s="58"/>
      <c r="L194" s="59"/>
      <c r="M194" s="52">
        <v>203.0</v>
      </c>
      <c r="N194" s="46">
        <f t="shared" si="6"/>
        <v>12.20913904</v>
      </c>
    </row>
    <row r="195">
      <c r="A195" s="45">
        <v>41301.0</v>
      </c>
      <c r="B195" s="45" t="s">
        <v>204</v>
      </c>
      <c r="C195" s="46">
        <v>5316.0</v>
      </c>
      <c r="D195" s="47">
        <v>0.0</v>
      </c>
      <c r="E195" s="45">
        <v>6.3</v>
      </c>
      <c r="F195" s="49">
        <f t="shared" si="2"/>
        <v>8.2</v>
      </c>
      <c r="G195" s="49">
        <f t="shared" si="18"/>
        <v>0.954659398</v>
      </c>
      <c r="H195" s="50">
        <f t="shared" si="4"/>
        <v>6.014354208</v>
      </c>
      <c r="I195" s="51">
        <f t="shared" si="5"/>
        <v>319.7230697</v>
      </c>
      <c r="J195" s="58"/>
      <c r="K195" s="58"/>
      <c r="L195" s="59"/>
      <c r="M195" s="52">
        <v>597.0</v>
      </c>
      <c r="N195" s="46">
        <f t="shared" si="6"/>
        <v>35.90569462</v>
      </c>
    </row>
    <row r="196">
      <c r="A196" s="45">
        <v>41401.0</v>
      </c>
      <c r="B196" s="45" t="s">
        <v>250</v>
      </c>
      <c r="C196" s="46">
        <v>12170.0</v>
      </c>
      <c r="D196" s="47">
        <v>31.7</v>
      </c>
      <c r="E196" s="45">
        <v>6.3</v>
      </c>
      <c r="F196" s="49">
        <f t="shared" si="2"/>
        <v>8.3902</v>
      </c>
      <c r="G196" s="49">
        <f t="shared" si="18"/>
        <v>0.9768028392</v>
      </c>
      <c r="H196" s="50">
        <f t="shared" si="4"/>
        <v>6.153857887</v>
      </c>
      <c r="I196" s="51">
        <f t="shared" si="5"/>
        <v>748.9245048</v>
      </c>
      <c r="J196" s="58"/>
      <c r="K196" s="58"/>
      <c r="L196" s="59"/>
      <c r="M196" s="52">
        <v>1303.0</v>
      </c>
      <c r="N196" s="46">
        <f t="shared" si="6"/>
        <v>80.18476827</v>
      </c>
    </row>
    <row r="197">
      <c r="A197" s="45">
        <v>41501.0</v>
      </c>
      <c r="B197" s="45" t="s">
        <v>251</v>
      </c>
      <c r="C197" s="46">
        <v>466.0</v>
      </c>
      <c r="D197" s="47">
        <v>0.0</v>
      </c>
      <c r="E197" s="45">
        <v>6.3</v>
      </c>
      <c r="F197" s="49">
        <f t="shared" si="2"/>
        <v>8.2</v>
      </c>
      <c r="G197" s="49">
        <f t="shared" si="18"/>
        <v>0.954659398</v>
      </c>
      <c r="H197" s="50">
        <f t="shared" si="4"/>
        <v>6.014354208</v>
      </c>
      <c r="I197" s="51">
        <f t="shared" si="5"/>
        <v>28.02689061</v>
      </c>
      <c r="J197" s="58"/>
      <c r="K197" s="58"/>
      <c r="L197" s="59"/>
      <c r="M197" s="52">
        <v>62.0</v>
      </c>
      <c r="N197" s="46">
        <f t="shared" si="6"/>
        <v>3.728899609</v>
      </c>
    </row>
    <row r="198">
      <c r="A198" s="45">
        <v>41502.0</v>
      </c>
      <c r="B198" s="45" t="s">
        <v>252</v>
      </c>
      <c r="C198" s="46">
        <v>603.0</v>
      </c>
      <c r="D198" s="47">
        <v>0.0</v>
      </c>
      <c r="E198" s="45">
        <v>6.3</v>
      </c>
      <c r="F198" s="49">
        <f t="shared" si="2"/>
        <v>8.2</v>
      </c>
      <c r="G198" s="49">
        <f t="shared" si="18"/>
        <v>0.954659398</v>
      </c>
      <c r="H198" s="50">
        <f t="shared" si="4"/>
        <v>6.014354208</v>
      </c>
      <c r="I198" s="51">
        <f t="shared" si="5"/>
        <v>36.26655587</v>
      </c>
      <c r="J198" s="58"/>
      <c r="K198" s="58"/>
      <c r="L198" s="59"/>
      <c r="M198" s="52">
        <v>73.0</v>
      </c>
      <c r="N198" s="46">
        <f t="shared" si="6"/>
        <v>4.390478572</v>
      </c>
    </row>
    <row r="199">
      <c r="A199" s="45">
        <v>41503.0</v>
      </c>
      <c r="B199" s="45" t="s">
        <v>253</v>
      </c>
      <c r="C199" s="46">
        <v>663.0</v>
      </c>
      <c r="D199" s="47">
        <v>0.0</v>
      </c>
      <c r="E199" s="45">
        <v>6.3</v>
      </c>
      <c r="F199" s="49">
        <f t="shared" si="2"/>
        <v>8.2</v>
      </c>
      <c r="G199" s="49">
        <f t="shared" si="18"/>
        <v>0.954659398</v>
      </c>
      <c r="H199" s="50">
        <f t="shared" si="4"/>
        <v>6.014354208</v>
      </c>
      <c r="I199" s="51">
        <f t="shared" si="5"/>
        <v>39.8751684</v>
      </c>
      <c r="J199" s="58"/>
      <c r="K199" s="58"/>
      <c r="L199" s="59"/>
      <c r="M199" s="52">
        <v>92.0</v>
      </c>
      <c r="N199" s="46">
        <f t="shared" si="6"/>
        <v>5.533205871</v>
      </c>
    </row>
    <row r="200">
      <c r="A200" s="45">
        <v>41601.0</v>
      </c>
      <c r="B200" s="45" t="s">
        <v>254</v>
      </c>
      <c r="C200" s="46">
        <v>5607.0</v>
      </c>
      <c r="D200" s="47">
        <v>0.0</v>
      </c>
      <c r="E200" s="45">
        <v>6.3</v>
      </c>
      <c r="F200" s="49">
        <f t="shared" si="2"/>
        <v>8.2</v>
      </c>
      <c r="G200" s="49">
        <f t="shared" si="18"/>
        <v>0.954659398</v>
      </c>
      <c r="H200" s="50">
        <f t="shared" si="4"/>
        <v>6.014354208</v>
      </c>
      <c r="I200" s="51">
        <f t="shared" si="5"/>
        <v>337.2248404</v>
      </c>
      <c r="J200" s="45"/>
      <c r="K200" s="45"/>
      <c r="L200" s="45"/>
      <c r="M200" s="52">
        <v>499.0</v>
      </c>
      <c r="N200" s="46">
        <f t="shared" si="6"/>
        <v>30.0116275</v>
      </c>
    </row>
    <row r="201">
      <c r="A201" s="45">
        <v>50101.0</v>
      </c>
      <c r="B201" s="45" t="s">
        <v>59</v>
      </c>
      <c r="C201" s="46">
        <v>174486.0</v>
      </c>
      <c r="D201" s="47">
        <v>91.9</v>
      </c>
      <c r="E201" s="48">
        <v>6.7</v>
      </c>
      <c r="F201" s="49">
        <f t="shared" si="2"/>
        <v>8.7514</v>
      </c>
      <c r="G201" s="49">
        <f t="shared" ref="G201:G242" si="19">0.99*F201/F$345</f>
        <v>1.039861729</v>
      </c>
      <c r="H201" s="50">
        <f t="shared" si="4"/>
        <v>6.967073585</v>
      </c>
      <c r="I201" s="51">
        <f t="shared" si="5"/>
        <v>12156.56802</v>
      </c>
      <c r="J201" s="52">
        <f>SUM(C201:C242)</f>
        <v>785064</v>
      </c>
      <c r="K201" s="52">
        <f>SUM(I201:I242)</f>
        <v>52679.42356</v>
      </c>
      <c r="L201" s="53">
        <f>K201/J201</f>
        <v>0.06710207519</v>
      </c>
      <c r="M201" s="52">
        <v>21392.0</v>
      </c>
      <c r="N201" s="46">
        <f t="shared" si="6"/>
        <v>1490.396381</v>
      </c>
    </row>
    <row r="202">
      <c r="A202" s="45">
        <v>50102.0</v>
      </c>
      <c r="B202" s="45" t="s">
        <v>255</v>
      </c>
      <c r="C202" s="46">
        <v>25234.0</v>
      </c>
      <c r="D202" s="47">
        <v>0.0</v>
      </c>
      <c r="E202" s="48">
        <v>6.7</v>
      </c>
      <c r="F202" s="49">
        <f t="shared" si="2"/>
        <v>8.2</v>
      </c>
      <c r="G202" s="49">
        <f t="shared" si="19"/>
        <v>0.974343097</v>
      </c>
      <c r="H202" s="50">
        <f t="shared" si="4"/>
        <v>6.52809875</v>
      </c>
      <c r="I202" s="51">
        <f t="shared" si="5"/>
        <v>1647.300438</v>
      </c>
      <c r="J202" s="58"/>
      <c r="K202" s="58"/>
      <c r="L202" s="59"/>
      <c r="M202" s="52">
        <v>3605.0</v>
      </c>
      <c r="N202" s="46">
        <f t="shared" si="6"/>
        <v>235.3379599</v>
      </c>
    </row>
    <row r="203">
      <c r="A203" s="45">
        <v>50103.0</v>
      </c>
      <c r="B203" s="45" t="s">
        <v>256</v>
      </c>
      <c r="C203" s="46">
        <v>8640.0</v>
      </c>
      <c r="D203" s="47">
        <v>0.0</v>
      </c>
      <c r="E203" s="48">
        <v>6.7</v>
      </c>
      <c r="F203" s="49">
        <f t="shared" si="2"/>
        <v>8.2</v>
      </c>
      <c r="G203" s="49">
        <f t="shared" si="19"/>
        <v>0.974343097</v>
      </c>
      <c r="H203" s="50">
        <f t="shared" si="4"/>
        <v>6.52809875</v>
      </c>
      <c r="I203" s="51">
        <f t="shared" si="5"/>
        <v>564.027732</v>
      </c>
      <c r="J203" s="58"/>
      <c r="K203" s="58"/>
      <c r="L203" s="59"/>
      <c r="M203" s="52">
        <v>847.0</v>
      </c>
      <c r="N203" s="46">
        <f t="shared" si="6"/>
        <v>55.29299641</v>
      </c>
    </row>
    <row r="204">
      <c r="A204" s="45">
        <v>50104.0</v>
      </c>
      <c r="B204" s="45" t="s">
        <v>257</v>
      </c>
      <c r="C204" s="46">
        <v>2492.0</v>
      </c>
      <c r="D204" s="47">
        <v>0.0</v>
      </c>
      <c r="E204" s="48">
        <v>6.7</v>
      </c>
      <c r="F204" s="49">
        <f t="shared" si="2"/>
        <v>8.2</v>
      </c>
      <c r="G204" s="49">
        <f t="shared" si="19"/>
        <v>0.974343097</v>
      </c>
      <c r="H204" s="50">
        <f t="shared" si="4"/>
        <v>6.52809875</v>
      </c>
      <c r="I204" s="51">
        <f t="shared" si="5"/>
        <v>162.6802208</v>
      </c>
      <c r="J204" s="58"/>
      <c r="K204" s="58"/>
      <c r="L204" s="59"/>
      <c r="M204" s="52">
        <v>271.0</v>
      </c>
      <c r="N204" s="46">
        <f t="shared" si="6"/>
        <v>17.69114761</v>
      </c>
    </row>
    <row r="205">
      <c r="A205" s="45">
        <v>50201.0</v>
      </c>
      <c r="B205" s="45" t="s">
        <v>258</v>
      </c>
      <c r="C205" s="46">
        <v>20814.0</v>
      </c>
      <c r="D205" s="47">
        <v>36.8</v>
      </c>
      <c r="E205" s="48">
        <v>6.7</v>
      </c>
      <c r="F205" s="49">
        <f t="shared" si="2"/>
        <v>8.4208</v>
      </c>
      <c r="G205" s="49">
        <f t="shared" si="19"/>
        <v>1.000579067</v>
      </c>
      <c r="H205" s="50">
        <f t="shared" si="4"/>
        <v>6.70387975</v>
      </c>
      <c r="I205" s="51">
        <f t="shared" si="5"/>
        <v>1395.345531</v>
      </c>
      <c r="J205" s="58"/>
      <c r="K205" s="58"/>
      <c r="L205" s="59"/>
      <c r="M205" s="52">
        <v>2512.0</v>
      </c>
      <c r="N205" s="46">
        <f t="shared" si="6"/>
        <v>168.4014593</v>
      </c>
    </row>
    <row r="206">
      <c r="A206" s="45">
        <v>50202.0</v>
      </c>
      <c r="B206" s="45" t="s">
        <v>259</v>
      </c>
      <c r="C206" s="46">
        <v>15415.0</v>
      </c>
      <c r="D206" s="47">
        <v>14.9</v>
      </c>
      <c r="E206" s="48">
        <v>6.7</v>
      </c>
      <c r="F206" s="49">
        <f t="shared" si="2"/>
        <v>8.2894</v>
      </c>
      <c r="G206" s="49">
        <f t="shared" si="19"/>
        <v>0.9849658132</v>
      </c>
      <c r="H206" s="50">
        <f t="shared" si="4"/>
        <v>6.599270948</v>
      </c>
      <c r="I206" s="51">
        <f t="shared" si="5"/>
        <v>1017.277617</v>
      </c>
      <c r="J206" s="58"/>
      <c r="K206" s="58"/>
      <c r="L206" s="59"/>
      <c r="M206" s="52">
        <v>2034.0</v>
      </c>
      <c r="N206" s="46">
        <f t="shared" si="6"/>
        <v>134.2291711</v>
      </c>
    </row>
    <row r="207">
      <c r="A207" s="45">
        <v>50203.0</v>
      </c>
      <c r="B207" s="45" t="s">
        <v>260</v>
      </c>
      <c r="C207" s="46">
        <v>39579.0</v>
      </c>
      <c r="D207" s="47">
        <v>83.2</v>
      </c>
      <c r="E207" s="48">
        <v>6.7</v>
      </c>
      <c r="F207" s="49">
        <f t="shared" si="2"/>
        <v>8.6992</v>
      </c>
      <c r="G207" s="49">
        <f t="shared" si="19"/>
        <v>1.033659204</v>
      </c>
      <c r="H207" s="50">
        <f t="shared" si="4"/>
        <v>6.925516664</v>
      </c>
      <c r="I207" s="51">
        <f t="shared" si="5"/>
        <v>2741.05024</v>
      </c>
      <c r="J207" s="58"/>
      <c r="K207" s="58"/>
      <c r="L207" s="59"/>
      <c r="M207" s="52">
        <v>4818.0</v>
      </c>
      <c r="N207" s="46">
        <f t="shared" si="6"/>
        <v>333.6713929</v>
      </c>
    </row>
    <row r="208">
      <c r="A208" s="45">
        <v>50204.0</v>
      </c>
      <c r="B208" s="45" t="s">
        <v>261</v>
      </c>
      <c r="C208" s="46">
        <v>7458.0</v>
      </c>
      <c r="D208" s="47">
        <v>0.0</v>
      </c>
      <c r="E208" s="48">
        <v>6.7</v>
      </c>
      <c r="F208" s="49">
        <f t="shared" si="2"/>
        <v>8.2</v>
      </c>
      <c r="G208" s="49">
        <f t="shared" si="19"/>
        <v>0.974343097</v>
      </c>
      <c r="H208" s="50">
        <f t="shared" si="4"/>
        <v>6.52809875</v>
      </c>
      <c r="I208" s="51">
        <f t="shared" si="5"/>
        <v>486.8656047</v>
      </c>
      <c r="J208" s="58"/>
      <c r="K208" s="58"/>
      <c r="L208" s="59"/>
      <c r="M208" s="52">
        <v>1136.0</v>
      </c>
      <c r="N208" s="46">
        <f t="shared" si="6"/>
        <v>74.1592018</v>
      </c>
    </row>
    <row r="209">
      <c r="A209" s="45">
        <v>50301.0</v>
      </c>
      <c r="B209" s="45" t="s">
        <v>262</v>
      </c>
      <c r="C209" s="46">
        <v>34790.0</v>
      </c>
      <c r="D209" s="47">
        <v>13.0</v>
      </c>
      <c r="E209" s="48">
        <v>6.7</v>
      </c>
      <c r="F209" s="49">
        <f t="shared" si="2"/>
        <v>8.278</v>
      </c>
      <c r="G209" s="49">
        <f t="shared" si="19"/>
        <v>0.9836112386</v>
      </c>
      <c r="H209" s="50">
        <f t="shared" si="4"/>
        <v>6.590195299</v>
      </c>
      <c r="I209" s="51">
        <f t="shared" si="5"/>
        <v>2292.728944</v>
      </c>
      <c r="J209" s="58"/>
      <c r="K209" s="58"/>
      <c r="L209" s="59"/>
      <c r="M209" s="52">
        <v>4273.0</v>
      </c>
      <c r="N209" s="46">
        <f t="shared" si="6"/>
        <v>281.5990451</v>
      </c>
    </row>
    <row r="210">
      <c r="A210" s="45">
        <v>50302.0</v>
      </c>
      <c r="B210" s="45" t="s">
        <v>263</v>
      </c>
      <c r="C210" s="46">
        <v>9813.0</v>
      </c>
      <c r="D210" s="47">
        <v>0.0</v>
      </c>
      <c r="E210" s="48">
        <v>6.7</v>
      </c>
      <c r="F210" s="49">
        <f t="shared" si="2"/>
        <v>8.2</v>
      </c>
      <c r="G210" s="49">
        <f t="shared" si="19"/>
        <v>0.974343097</v>
      </c>
      <c r="H210" s="50">
        <f t="shared" si="4"/>
        <v>6.52809875</v>
      </c>
      <c r="I210" s="51">
        <f t="shared" si="5"/>
        <v>640.6023303</v>
      </c>
      <c r="J210" s="58"/>
      <c r="K210" s="58"/>
      <c r="L210" s="59"/>
      <c r="M210" s="52">
        <v>1037.0</v>
      </c>
      <c r="N210" s="46">
        <f t="shared" si="6"/>
        <v>67.69638403</v>
      </c>
    </row>
    <row r="211">
      <c r="A211" s="45">
        <v>50303.0</v>
      </c>
      <c r="B211" s="45" t="s">
        <v>264</v>
      </c>
      <c r="C211" s="46">
        <v>12169.0</v>
      </c>
      <c r="D211" s="47">
        <v>0.0</v>
      </c>
      <c r="E211" s="48">
        <v>6.7</v>
      </c>
      <c r="F211" s="49">
        <f t="shared" si="2"/>
        <v>8.2</v>
      </c>
      <c r="G211" s="49">
        <f t="shared" si="19"/>
        <v>0.974343097</v>
      </c>
      <c r="H211" s="50">
        <f t="shared" si="4"/>
        <v>6.52809875</v>
      </c>
      <c r="I211" s="51">
        <f t="shared" si="5"/>
        <v>794.4043368</v>
      </c>
      <c r="J211" s="58"/>
      <c r="K211" s="58"/>
      <c r="L211" s="59"/>
      <c r="M211" s="52">
        <v>1615.0</v>
      </c>
      <c r="N211" s="46">
        <f t="shared" si="6"/>
        <v>105.4287948</v>
      </c>
    </row>
    <row r="212">
      <c r="A212" s="45">
        <v>50401.0</v>
      </c>
      <c r="B212" s="45" t="s">
        <v>265</v>
      </c>
      <c r="C212" s="46">
        <v>14735.0</v>
      </c>
      <c r="D212" s="47">
        <v>17.8</v>
      </c>
      <c r="E212" s="48">
        <v>6.7</v>
      </c>
      <c r="F212" s="49">
        <f t="shared" si="2"/>
        <v>8.3068</v>
      </c>
      <c r="G212" s="49">
        <f t="shared" si="19"/>
        <v>0.9870333217</v>
      </c>
      <c r="H212" s="50">
        <f t="shared" si="4"/>
        <v>6.613123255</v>
      </c>
      <c r="I212" s="51">
        <f t="shared" si="5"/>
        <v>974.4437117</v>
      </c>
      <c r="J212" s="58"/>
      <c r="K212" s="58"/>
      <c r="L212" s="59"/>
      <c r="M212" s="52">
        <v>2046.0</v>
      </c>
      <c r="N212" s="46">
        <f t="shared" si="6"/>
        <v>135.3045018</v>
      </c>
    </row>
    <row r="213">
      <c r="A213" s="45">
        <v>50402.0</v>
      </c>
      <c r="B213" s="45" t="s">
        <v>266</v>
      </c>
      <c r="C213" s="46">
        <v>20967.0</v>
      </c>
      <c r="D213" s="47">
        <v>0.0</v>
      </c>
      <c r="E213" s="48">
        <v>6.7</v>
      </c>
      <c r="F213" s="49">
        <f t="shared" si="2"/>
        <v>8.2</v>
      </c>
      <c r="G213" s="49">
        <f t="shared" si="19"/>
        <v>0.974343097</v>
      </c>
      <c r="H213" s="50">
        <f t="shared" si="4"/>
        <v>6.52809875</v>
      </c>
      <c r="I213" s="51">
        <f t="shared" si="5"/>
        <v>1368.746465</v>
      </c>
      <c r="J213" s="58"/>
      <c r="K213" s="58"/>
      <c r="L213" s="59"/>
      <c r="M213" s="52">
        <v>2777.0</v>
      </c>
      <c r="N213" s="46">
        <f t="shared" si="6"/>
        <v>181.2853023</v>
      </c>
    </row>
    <row r="214">
      <c r="A214" s="45">
        <v>50403.0</v>
      </c>
      <c r="B214" s="45" t="s">
        <v>267</v>
      </c>
      <c r="C214" s="46">
        <v>24070.0</v>
      </c>
      <c r="D214" s="47">
        <v>0.0</v>
      </c>
      <c r="E214" s="48">
        <v>6.7</v>
      </c>
      <c r="F214" s="49">
        <f t="shared" si="2"/>
        <v>8.2</v>
      </c>
      <c r="G214" s="49">
        <f t="shared" si="19"/>
        <v>0.974343097</v>
      </c>
      <c r="H214" s="50">
        <f t="shared" si="4"/>
        <v>6.52809875</v>
      </c>
      <c r="I214" s="51">
        <f t="shared" si="5"/>
        <v>1571.313369</v>
      </c>
      <c r="J214" s="58"/>
      <c r="K214" s="58"/>
      <c r="L214" s="59"/>
      <c r="M214" s="52">
        <v>3025.0</v>
      </c>
      <c r="N214" s="46">
        <f t="shared" si="6"/>
        <v>197.4749872</v>
      </c>
    </row>
    <row r="215">
      <c r="A215" s="45">
        <v>50404.0</v>
      </c>
      <c r="B215" s="45" t="s">
        <v>268</v>
      </c>
      <c r="C215" s="46">
        <v>16990.0</v>
      </c>
      <c r="D215" s="47">
        <v>0.0</v>
      </c>
      <c r="E215" s="48">
        <v>6.7</v>
      </c>
      <c r="F215" s="49">
        <f t="shared" si="2"/>
        <v>8.2</v>
      </c>
      <c r="G215" s="49">
        <f t="shared" si="19"/>
        <v>0.974343097</v>
      </c>
      <c r="H215" s="50">
        <f t="shared" si="4"/>
        <v>6.52809875</v>
      </c>
      <c r="I215" s="51">
        <f t="shared" si="5"/>
        <v>1109.123978</v>
      </c>
      <c r="J215" s="58"/>
      <c r="K215" s="58"/>
      <c r="L215" s="59"/>
      <c r="M215" s="52">
        <v>2504.0</v>
      </c>
      <c r="N215" s="46">
        <f t="shared" si="6"/>
        <v>163.4635927</v>
      </c>
    </row>
    <row r="216">
      <c r="A216" s="45">
        <v>50405.0</v>
      </c>
      <c r="B216" s="45" t="s">
        <v>269</v>
      </c>
      <c r="C216" s="46">
        <v>18951.0</v>
      </c>
      <c r="D216" s="47">
        <v>0.0</v>
      </c>
      <c r="E216" s="48">
        <v>6.7</v>
      </c>
      <c r="F216" s="49">
        <f t="shared" si="2"/>
        <v>8.2</v>
      </c>
      <c r="G216" s="49">
        <f t="shared" si="19"/>
        <v>0.974343097</v>
      </c>
      <c r="H216" s="50">
        <f t="shared" si="4"/>
        <v>6.52809875</v>
      </c>
      <c r="I216" s="51">
        <f t="shared" si="5"/>
        <v>1237.139994</v>
      </c>
      <c r="J216" s="58"/>
      <c r="K216" s="58"/>
      <c r="L216" s="59"/>
      <c r="M216" s="52">
        <v>2756.0</v>
      </c>
      <c r="N216" s="46">
        <f t="shared" si="6"/>
        <v>179.9144015</v>
      </c>
    </row>
    <row r="217">
      <c r="A217" s="45">
        <v>50501.0</v>
      </c>
      <c r="B217" s="45" t="s">
        <v>270</v>
      </c>
      <c r="C217" s="46">
        <v>29149.0</v>
      </c>
      <c r="D217" s="47">
        <v>0.0</v>
      </c>
      <c r="E217" s="48">
        <v>6.7</v>
      </c>
      <c r="F217" s="49">
        <f t="shared" si="2"/>
        <v>8.2</v>
      </c>
      <c r="G217" s="49">
        <f t="shared" si="19"/>
        <v>0.974343097</v>
      </c>
      <c r="H217" s="50">
        <f t="shared" si="4"/>
        <v>6.52809875</v>
      </c>
      <c r="I217" s="51">
        <f t="shared" si="5"/>
        <v>1902.875505</v>
      </c>
      <c r="J217" s="58"/>
      <c r="K217" s="58"/>
      <c r="L217" s="59"/>
      <c r="M217" s="52">
        <v>3979.0</v>
      </c>
      <c r="N217" s="46">
        <f t="shared" si="6"/>
        <v>259.7530492</v>
      </c>
    </row>
    <row r="218">
      <c r="A218" s="45">
        <v>50502.0</v>
      </c>
      <c r="B218" s="45" t="s">
        <v>271</v>
      </c>
      <c r="C218" s="46">
        <v>10748.0</v>
      </c>
      <c r="D218" s="47">
        <v>0.0</v>
      </c>
      <c r="E218" s="48">
        <v>6.7</v>
      </c>
      <c r="F218" s="49">
        <f t="shared" si="2"/>
        <v>8.2</v>
      </c>
      <c r="G218" s="49">
        <f t="shared" si="19"/>
        <v>0.974343097</v>
      </c>
      <c r="H218" s="50">
        <f t="shared" si="4"/>
        <v>6.52809875</v>
      </c>
      <c r="I218" s="51">
        <f t="shared" si="5"/>
        <v>701.6400536</v>
      </c>
      <c r="J218" s="58"/>
      <c r="K218" s="58"/>
      <c r="L218" s="59"/>
      <c r="M218" s="52">
        <v>1459.0</v>
      </c>
      <c r="N218" s="46">
        <f t="shared" si="6"/>
        <v>95.24496076</v>
      </c>
    </row>
    <row r="219">
      <c r="A219" s="45">
        <v>50601.0</v>
      </c>
      <c r="B219" s="45" t="s">
        <v>272</v>
      </c>
      <c r="C219" s="46">
        <v>28973.0</v>
      </c>
      <c r="D219" s="47">
        <v>12.9</v>
      </c>
      <c r="E219" s="48">
        <v>6.7</v>
      </c>
      <c r="F219" s="49">
        <f t="shared" si="2"/>
        <v>8.2774</v>
      </c>
      <c r="G219" s="49">
        <f t="shared" si="19"/>
        <v>0.9835399452</v>
      </c>
      <c r="H219" s="50">
        <f t="shared" si="4"/>
        <v>6.589717633</v>
      </c>
      <c r="I219" s="51">
        <f t="shared" si="5"/>
        <v>1909.23889</v>
      </c>
      <c r="J219" s="58"/>
      <c r="K219" s="58"/>
      <c r="L219" s="59"/>
      <c r="M219" s="52">
        <v>3212.0</v>
      </c>
      <c r="N219" s="46">
        <f t="shared" si="6"/>
        <v>211.6617304</v>
      </c>
    </row>
    <row r="220">
      <c r="A220" s="45">
        <v>50602.0</v>
      </c>
      <c r="B220" s="45" t="s">
        <v>273</v>
      </c>
      <c r="C220" s="46">
        <v>10883.0</v>
      </c>
      <c r="D220" s="47">
        <v>0.0</v>
      </c>
      <c r="E220" s="48">
        <v>6.7</v>
      </c>
      <c r="F220" s="49">
        <f t="shared" si="2"/>
        <v>8.2</v>
      </c>
      <c r="G220" s="49">
        <f t="shared" si="19"/>
        <v>0.974343097</v>
      </c>
      <c r="H220" s="50">
        <f t="shared" si="4"/>
        <v>6.52809875</v>
      </c>
      <c r="I220" s="51">
        <f t="shared" si="5"/>
        <v>710.4529869</v>
      </c>
      <c r="J220" s="58"/>
      <c r="K220" s="58"/>
      <c r="L220" s="59"/>
      <c r="M220" s="52">
        <v>1183.0</v>
      </c>
      <c r="N220" s="46">
        <f t="shared" si="6"/>
        <v>77.22740821</v>
      </c>
    </row>
    <row r="221">
      <c r="A221" s="45">
        <v>50701.0</v>
      </c>
      <c r="B221" s="45" t="s">
        <v>274</v>
      </c>
      <c r="C221" s="46">
        <v>19289.0</v>
      </c>
      <c r="D221" s="47">
        <v>7.8</v>
      </c>
      <c r="E221" s="48">
        <v>6.7</v>
      </c>
      <c r="F221" s="49">
        <f t="shared" si="2"/>
        <v>8.2468</v>
      </c>
      <c r="G221" s="49">
        <f t="shared" si="19"/>
        <v>0.979903982</v>
      </c>
      <c r="H221" s="50">
        <f t="shared" si="4"/>
        <v>6.565356679</v>
      </c>
      <c r="I221" s="51">
        <f t="shared" si="5"/>
        <v>1266.39165</v>
      </c>
      <c r="J221" s="58"/>
      <c r="K221" s="58"/>
      <c r="L221" s="59"/>
      <c r="M221" s="52">
        <v>2737.0</v>
      </c>
      <c r="N221" s="46">
        <f t="shared" si="6"/>
        <v>179.6938123</v>
      </c>
    </row>
    <row r="222">
      <c r="A222" s="45">
        <v>50702.0</v>
      </c>
      <c r="B222" s="45" t="s">
        <v>275</v>
      </c>
      <c r="C222" s="46">
        <v>8823.0</v>
      </c>
      <c r="D222" s="47">
        <v>0.0</v>
      </c>
      <c r="E222" s="48">
        <v>6.7</v>
      </c>
      <c r="F222" s="49">
        <f t="shared" si="2"/>
        <v>8.2</v>
      </c>
      <c r="G222" s="49">
        <f t="shared" si="19"/>
        <v>0.974343097</v>
      </c>
      <c r="H222" s="50">
        <f t="shared" si="4"/>
        <v>6.52809875</v>
      </c>
      <c r="I222" s="51">
        <f t="shared" si="5"/>
        <v>575.9741527</v>
      </c>
      <c r="J222" s="58"/>
      <c r="K222" s="58"/>
      <c r="L222" s="59"/>
      <c r="M222" s="52">
        <v>1166.0</v>
      </c>
      <c r="N222" s="46">
        <f t="shared" si="6"/>
        <v>76.11763142</v>
      </c>
    </row>
    <row r="223">
      <c r="A223" s="45">
        <v>50801.0</v>
      </c>
      <c r="B223" s="45" t="s">
        <v>276</v>
      </c>
      <c r="C223" s="46">
        <v>42459.0</v>
      </c>
      <c r="D223" s="47">
        <v>59.6</v>
      </c>
      <c r="E223" s="48">
        <v>6.7</v>
      </c>
      <c r="F223" s="49">
        <f t="shared" si="2"/>
        <v>8.5576</v>
      </c>
      <c r="G223" s="49">
        <f t="shared" si="19"/>
        <v>1.016833962</v>
      </c>
      <c r="H223" s="50">
        <f t="shared" si="4"/>
        <v>6.812787544</v>
      </c>
      <c r="I223" s="51">
        <f t="shared" si="5"/>
        <v>2892.641463</v>
      </c>
      <c r="J223" s="58"/>
      <c r="K223" s="58"/>
      <c r="L223" s="59"/>
      <c r="M223" s="52">
        <v>4766.0</v>
      </c>
      <c r="N223" s="46">
        <f t="shared" si="6"/>
        <v>324.6974543</v>
      </c>
    </row>
    <row r="224">
      <c r="A224" s="45">
        <v>50802.0</v>
      </c>
      <c r="B224" s="45" t="s">
        <v>277</v>
      </c>
      <c r="C224" s="46">
        <v>10617.0</v>
      </c>
      <c r="D224" s="47">
        <v>42.6</v>
      </c>
      <c r="E224" s="48">
        <v>6.7</v>
      </c>
      <c r="F224" s="49">
        <f t="shared" si="2"/>
        <v>8.4556</v>
      </c>
      <c r="G224" s="49">
        <f t="shared" si="19"/>
        <v>1.004714084</v>
      </c>
      <c r="H224" s="50">
        <f t="shared" si="4"/>
        <v>6.731584364</v>
      </c>
      <c r="I224" s="51">
        <f t="shared" si="5"/>
        <v>714.692312</v>
      </c>
      <c r="J224" s="58"/>
      <c r="K224" s="58"/>
      <c r="L224" s="59"/>
      <c r="M224" s="52">
        <v>1418.0</v>
      </c>
      <c r="N224" s="46">
        <f t="shared" si="6"/>
        <v>95.45386629</v>
      </c>
    </row>
    <row r="225">
      <c r="A225" s="45">
        <v>50901.0</v>
      </c>
      <c r="B225" s="45" t="s">
        <v>278</v>
      </c>
      <c r="C225" s="46">
        <v>11778.0</v>
      </c>
      <c r="D225" s="47">
        <v>0.0</v>
      </c>
      <c r="E225" s="48">
        <v>6.7</v>
      </c>
      <c r="F225" s="49">
        <f t="shared" si="2"/>
        <v>8.2</v>
      </c>
      <c r="G225" s="49">
        <f t="shared" si="19"/>
        <v>0.974343097</v>
      </c>
      <c r="H225" s="50">
        <f t="shared" si="4"/>
        <v>6.52809875</v>
      </c>
      <c r="I225" s="51">
        <f t="shared" si="5"/>
        <v>768.8794707</v>
      </c>
      <c r="J225" s="58"/>
      <c r="K225" s="58"/>
      <c r="L225" s="59"/>
      <c r="M225" s="52">
        <v>1382.0</v>
      </c>
      <c r="N225" s="46">
        <f t="shared" si="6"/>
        <v>90.21832472</v>
      </c>
    </row>
    <row r="226">
      <c r="A226" s="45">
        <v>50902.0</v>
      </c>
      <c r="B226" s="45" t="s">
        <v>279</v>
      </c>
      <c r="C226" s="46">
        <v>971.0</v>
      </c>
      <c r="D226" s="47">
        <v>0.0</v>
      </c>
      <c r="E226" s="48">
        <v>6.7</v>
      </c>
      <c r="F226" s="49">
        <f t="shared" si="2"/>
        <v>8.2</v>
      </c>
      <c r="G226" s="49">
        <f t="shared" si="19"/>
        <v>0.974343097</v>
      </c>
      <c r="H226" s="50">
        <f t="shared" si="4"/>
        <v>6.52809875</v>
      </c>
      <c r="I226" s="51">
        <f t="shared" si="5"/>
        <v>63.38783886</v>
      </c>
      <c r="J226" s="58"/>
      <c r="K226" s="58"/>
      <c r="L226" s="59"/>
      <c r="M226" s="52">
        <v>87.0</v>
      </c>
      <c r="N226" s="46">
        <f t="shared" si="6"/>
        <v>5.679445912</v>
      </c>
    </row>
    <row r="227">
      <c r="A227" s="45">
        <v>51001.0</v>
      </c>
      <c r="B227" s="45" t="s">
        <v>280</v>
      </c>
      <c r="C227" s="46">
        <v>3063.0</v>
      </c>
      <c r="D227" s="47">
        <v>0.0</v>
      </c>
      <c r="E227" s="48">
        <v>6.7</v>
      </c>
      <c r="F227" s="49">
        <f t="shared" si="2"/>
        <v>8.2</v>
      </c>
      <c r="G227" s="49">
        <f t="shared" si="19"/>
        <v>0.974343097</v>
      </c>
      <c r="H227" s="50">
        <f t="shared" si="4"/>
        <v>6.52809875</v>
      </c>
      <c r="I227" s="51">
        <f t="shared" si="5"/>
        <v>199.9556647</v>
      </c>
      <c r="J227" s="58"/>
      <c r="K227" s="58"/>
      <c r="L227" s="59"/>
      <c r="M227" s="52">
        <v>425.0</v>
      </c>
      <c r="N227" s="46">
        <f t="shared" si="6"/>
        <v>27.74441969</v>
      </c>
    </row>
    <row r="228">
      <c r="A228" s="45">
        <v>51002.0</v>
      </c>
      <c r="B228" s="45" t="s">
        <v>281</v>
      </c>
      <c r="C228" s="46">
        <v>1011.0</v>
      </c>
      <c r="D228" s="47">
        <v>0.0</v>
      </c>
      <c r="E228" s="48">
        <v>6.7</v>
      </c>
      <c r="F228" s="49">
        <f t="shared" si="2"/>
        <v>8.2</v>
      </c>
      <c r="G228" s="49">
        <f t="shared" si="19"/>
        <v>0.974343097</v>
      </c>
      <c r="H228" s="50">
        <f t="shared" si="4"/>
        <v>6.52809875</v>
      </c>
      <c r="I228" s="51">
        <f t="shared" si="5"/>
        <v>65.99907836</v>
      </c>
      <c r="J228" s="58"/>
      <c r="K228" s="58"/>
      <c r="L228" s="59"/>
      <c r="M228" s="52">
        <v>136.0</v>
      </c>
      <c r="N228" s="46">
        <f t="shared" si="6"/>
        <v>8.8782143</v>
      </c>
    </row>
    <row r="229">
      <c r="A229" s="45">
        <v>51003.0</v>
      </c>
      <c r="B229" s="45" t="s">
        <v>282</v>
      </c>
      <c r="C229" s="46">
        <v>2059.0</v>
      </c>
      <c r="D229" s="47">
        <v>0.0</v>
      </c>
      <c r="E229" s="48">
        <v>6.7</v>
      </c>
      <c r="F229" s="49">
        <f t="shared" si="2"/>
        <v>8.2</v>
      </c>
      <c r="G229" s="49">
        <f t="shared" si="19"/>
        <v>0.974343097</v>
      </c>
      <c r="H229" s="50">
        <f t="shared" si="4"/>
        <v>6.52809875</v>
      </c>
      <c r="I229" s="51">
        <f t="shared" si="5"/>
        <v>134.4135533</v>
      </c>
      <c r="J229" s="58"/>
      <c r="K229" s="58"/>
      <c r="L229" s="59"/>
      <c r="M229" s="52">
        <v>275.0</v>
      </c>
      <c r="N229" s="46">
        <f t="shared" si="6"/>
        <v>17.95227156</v>
      </c>
    </row>
    <row r="230">
      <c r="A230" s="45">
        <v>51101.0</v>
      </c>
      <c r="B230" s="45" t="s">
        <v>283</v>
      </c>
      <c r="C230" s="46">
        <v>22533.0</v>
      </c>
      <c r="D230" s="47">
        <v>0.0</v>
      </c>
      <c r="E230" s="48">
        <v>6.7</v>
      </c>
      <c r="F230" s="49">
        <f t="shared" si="2"/>
        <v>8.2</v>
      </c>
      <c r="G230" s="49">
        <f t="shared" si="19"/>
        <v>0.974343097</v>
      </c>
      <c r="H230" s="50">
        <f t="shared" si="4"/>
        <v>6.52809875</v>
      </c>
      <c r="I230" s="51">
        <f t="shared" si="5"/>
        <v>1470.976491</v>
      </c>
      <c r="J230" s="58"/>
      <c r="K230" s="58"/>
      <c r="L230" s="59"/>
      <c r="M230" s="52">
        <v>2538.0</v>
      </c>
      <c r="N230" s="46">
        <f t="shared" si="6"/>
        <v>165.6831463</v>
      </c>
    </row>
    <row r="231">
      <c r="A231" s="45">
        <v>51102.0</v>
      </c>
      <c r="B231" s="45" t="s">
        <v>284</v>
      </c>
      <c r="C231" s="46">
        <v>11648.0</v>
      </c>
      <c r="D231" s="47">
        <v>13.9</v>
      </c>
      <c r="E231" s="48">
        <v>6.7</v>
      </c>
      <c r="F231" s="49">
        <f t="shared" si="2"/>
        <v>8.2834</v>
      </c>
      <c r="G231" s="49">
        <f t="shared" si="19"/>
        <v>0.9842528792</v>
      </c>
      <c r="H231" s="50">
        <f t="shared" si="4"/>
        <v>6.594494291</v>
      </c>
      <c r="I231" s="51">
        <f t="shared" si="5"/>
        <v>768.126695</v>
      </c>
      <c r="J231" s="58"/>
      <c r="K231" s="58"/>
      <c r="L231" s="59"/>
      <c r="M231" s="52">
        <v>1209.0</v>
      </c>
      <c r="N231" s="46">
        <f t="shared" si="6"/>
        <v>79.72743597</v>
      </c>
    </row>
    <row r="232">
      <c r="A232" s="45">
        <v>51103.0</v>
      </c>
      <c r="B232" s="45" t="s">
        <v>285</v>
      </c>
      <c r="C232" s="46">
        <v>16203.0</v>
      </c>
      <c r="D232" s="47">
        <v>0.0</v>
      </c>
      <c r="E232" s="48">
        <v>6.7</v>
      </c>
      <c r="F232" s="49">
        <f t="shared" si="2"/>
        <v>8.2</v>
      </c>
      <c r="G232" s="49">
        <f t="shared" si="19"/>
        <v>0.974343097</v>
      </c>
      <c r="H232" s="50">
        <f t="shared" si="4"/>
        <v>6.52809875</v>
      </c>
      <c r="I232" s="51">
        <f t="shared" si="5"/>
        <v>1057.74784</v>
      </c>
      <c r="J232" s="58"/>
      <c r="K232" s="58"/>
      <c r="L232" s="59"/>
      <c r="M232" s="52">
        <v>2413.0</v>
      </c>
      <c r="N232" s="46">
        <f t="shared" si="6"/>
        <v>157.5230228</v>
      </c>
    </row>
    <row r="233">
      <c r="A233" s="45">
        <v>51201.0</v>
      </c>
      <c r="B233" s="45" t="s">
        <v>286</v>
      </c>
      <c r="C233" s="46">
        <v>25684.0</v>
      </c>
      <c r="D233" s="47">
        <v>59.4</v>
      </c>
      <c r="E233" s="48">
        <v>6.7</v>
      </c>
      <c r="F233" s="49">
        <f t="shared" si="2"/>
        <v>8.5564</v>
      </c>
      <c r="G233" s="49">
        <f t="shared" si="19"/>
        <v>1.016691375</v>
      </c>
      <c r="H233" s="50">
        <f t="shared" si="4"/>
        <v>6.811832212</v>
      </c>
      <c r="I233" s="51">
        <f t="shared" si="5"/>
        <v>1749.550985</v>
      </c>
      <c r="J233" s="58"/>
      <c r="K233" s="58"/>
      <c r="L233" s="59"/>
      <c r="M233" s="52">
        <v>3136.0</v>
      </c>
      <c r="N233" s="46">
        <f t="shared" si="6"/>
        <v>213.6190582</v>
      </c>
    </row>
    <row r="234">
      <c r="A234" s="45">
        <v>51202.0</v>
      </c>
      <c r="B234" s="45" t="s">
        <v>287</v>
      </c>
      <c r="C234" s="46">
        <v>8533.0</v>
      </c>
      <c r="D234" s="47">
        <v>0.0</v>
      </c>
      <c r="E234" s="48">
        <v>6.7</v>
      </c>
      <c r="F234" s="49">
        <f t="shared" si="2"/>
        <v>8.2</v>
      </c>
      <c r="G234" s="49">
        <f t="shared" si="19"/>
        <v>0.974343097</v>
      </c>
      <c r="H234" s="50">
        <f t="shared" si="4"/>
        <v>6.52809875</v>
      </c>
      <c r="I234" s="51">
        <f t="shared" si="5"/>
        <v>557.0426663</v>
      </c>
      <c r="J234" s="58"/>
      <c r="K234" s="58"/>
      <c r="L234" s="59"/>
      <c r="M234" s="52">
        <v>978.0</v>
      </c>
      <c r="N234" s="46">
        <f t="shared" si="6"/>
        <v>63.84480577</v>
      </c>
    </row>
    <row r="235">
      <c r="A235" s="45">
        <v>51203.0</v>
      </c>
      <c r="B235" s="45" t="s">
        <v>288</v>
      </c>
      <c r="C235" s="46">
        <v>9082.0</v>
      </c>
      <c r="D235" s="47">
        <v>47.5</v>
      </c>
      <c r="E235" s="48">
        <v>6.7</v>
      </c>
      <c r="F235" s="49">
        <f t="shared" si="2"/>
        <v>8.485</v>
      </c>
      <c r="G235" s="49">
        <f t="shared" si="19"/>
        <v>1.008207461</v>
      </c>
      <c r="H235" s="50">
        <f t="shared" si="4"/>
        <v>6.754989987</v>
      </c>
      <c r="I235" s="51">
        <f t="shared" si="5"/>
        <v>613.4881906</v>
      </c>
      <c r="J235" s="58"/>
      <c r="K235" s="58"/>
      <c r="L235" s="59"/>
      <c r="M235" s="52">
        <v>1380.0</v>
      </c>
      <c r="N235" s="46">
        <f t="shared" si="6"/>
        <v>93.21886182</v>
      </c>
    </row>
    <row r="236">
      <c r="A236" s="45">
        <v>51204.0</v>
      </c>
      <c r="B236" s="45" t="s">
        <v>289</v>
      </c>
      <c r="C236" s="46">
        <v>5520.0</v>
      </c>
      <c r="D236" s="47">
        <v>0.0</v>
      </c>
      <c r="E236" s="48">
        <v>6.7</v>
      </c>
      <c r="F236" s="49">
        <f t="shared" si="2"/>
        <v>8.2</v>
      </c>
      <c r="G236" s="49">
        <f t="shared" si="19"/>
        <v>0.974343097</v>
      </c>
      <c r="H236" s="50">
        <f t="shared" si="4"/>
        <v>6.52809875</v>
      </c>
      <c r="I236" s="51">
        <f t="shared" si="5"/>
        <v>360.351051</v>
      </c>
      <c r="J236" s="58"/>
      <c r="K236" s="58"/>
      <c r="L236" s="59"/>
      <c r="M236" s="52">
        <v>715.0</v>
      </c>
      <c r="N236" s="46">
        <f t="shared" si="6"/>
        <v>46.67590606</v>
      </c>
    </row>
    <row r="237">
      <c r="A237" s="45">
        <v>51301.0</v>
      </c>
      <c r="B237" s="45" t="s">
        <v>290</v>
      </c>
      <c r="C237" s="46">
        <v>4421.0</v>
      </c>
      <c r="D237" s="47">
        <v>0.0</v>
      </c>
      <c r="E237" s="48">
        <v>6.7</v>
      </c>
      <c r="F237" s="49">
        <f t="shared" si="2"/>
        <v>8.2</v>
      </c>
      <c r="G237" s="49">
        <f t="shared" si="19"/>
        <v>0.974343097</v>
      </c>
      <c r="H237" s="50">
        <f t="shared" si="4"/>
        <v>6.52809875</v>
      </c>
      <c r="I237" s="51">
        <f t="shared" si="5"/>
        <v>288.6072457</v>
      </c>
      <c r="J237" s="58"/>
      <c r="K237" s="58"/>
      <c r="L237" s="59"/>
      <c r="M237" s="52">
        <v>642.0</v>
      </c>
      <c r="N237" s="46">
        <f t="shared" si="6"/>
        <v>41.91039397</v>
      </c>
    </row>
    <row r="238">
      <c r="A238" s="45">
        <v>51302.0</v>
      </c>
      <c r="B238" s="45" t="s">
        <v>291</v>
      </c>
      <c r="C238" s="46">
        <v>6017.0</v>
      </c>
      <c r="D238" s="47">
        <v>0.0</v>
      </c>
      <c r="E238" s="48">
        <v>6.7</v>
      </c>
      <c r="F238" s="49">
        <f t="shared" si="2"/>
        <v>8.2</v>
      </c>
      <c r="G238" s="49">
        <f t="shared" si="19"/>
        <v>0.974343097</v>
      </c>
      <c r="H238" s="50">
        <f t="shared" si="4"/>
        <v>6.52809875</v>
      </c>
      <c r="I238" s="51">
        <f t="shared" si="5"/>
        <v>392.7957018</v>
      </c>
      <c r="J238" s="58"/>
      <c r="K238" s="58"/>
      <c r="L238" s="59"/>
      <c r="M238" s="52">
        <v>830.0</v>
      </c>
      <c r="N238" s="46">
        <f t="shared" si="6"/>
        <v>54.18321962</v>
      </c>
    </row>
    <row r="239">
      <c r="A239" s="45">
        <v>51401.0</v>
      </c>
      <c r="B239" s="45" t="s">
        <v>292</v>
      </c>
      <c r="C239" s="46">
        <v>3696.0</v>
      </c>
      <c r="D239" s="47">
        <v>0.0</v>
      </c>
      <c r="E239" s="48">
        <v>6.7</v>
      </c>
      <c r="F239" s="49">
        <f t="shared" si="2"/>
        <v>8.2</v>
      </c>
      <c r="G239" s="49">
        <f t="shared" si="19"/>
        <v>0.974343097</v>
      </c>
      <c r="H239" s="50">
        <f t="shared" si="4"/>
        <v>6.52809875</v>
      </c>
      <c r="I239" s="51">
        <f t="shared" si="5"/>
        <v>241.2785298</v>
      </c>
      <c r="J239" s="58"/>
      <c r="K239" s="58"/>
      <c r="L239" s="59"/>
      <c r="M239" s="52">
        <v>379.0</v>
      </c>
      <c r="N239" s="46">
        <f t="shared" si="6"/>
        <v>24.74149426</v>
      </c>
    </row>
    <row r="240">
      <c r="A240" s="45">
        <v>51402.0</v>
      </c>
      <c r="B240" s="45" t="s">
        <v>293</v>
      </c>
      <c r="C240" s="46">
        <v>1869.0</v>
      </c>
      <c r="D240" s="47">
        <v>0.0</v>
      </c>
      <c r="E240" s="48">
        <v>6.7</v>
      </c>
      <c r="F240" s="49">
        <f t="shared" si="2"/>
        <v>8.2</v>
      </c>
      <c r="G240" s="49">
        <f t="shared" si="19"/>
        <v>0.974343097</v>
      </c>
      <c r="H240" s="50">
        <f t="shared" si="4"/>
        <v>6.52809875</v>
      </c>
      <c r="I240" s="51">
        <f t="shared" si="5"/>
        <v>122.0101656</v>
      </c>
      <c r="J240" s="45"/>
      <c r="K240" s="45"/>
      <c r="L240" s="45"/>
      <c r="M240" s="52">
        <v>201.0</v>
      </c>
      <c r="N240" s="46">
        <f t="shared" si="6"/>
        <v>13.12147849</v>
      </c>
    </row>
    <row r="241">
      <c r="A241" s="45">
        <v>51501.0</v>
      </c>
      <c r="B241" s="45" t="s">
        <v>294</v>
      </c>
      <c r="C241" s="46">
        <v>41764.0</v>
      </c>
      <c r="D241" s="47">
        <v>78.2</v>
      </c>
      <c r="E241" s="48">
        <v>6.7</v>
      </c>
      <c r="F241" s="49">
        <f t="shared" si="2"/>
        <v>8.6692</v>
      </c>
      <c r="G241" s="49">
        <f t="shared" si="19"/>
        <v>1.030094534</v>
      </c>
      <c r="H241" s="50">
        <f t="shared" si="4"/>
        <v>6.901633376</v>
      </c>
      <c r="I241" s="51">
        <f t="shared" si="5"/>
        <v>2882.398163</v>
      </c>
      <c r="J241" s="58"/>
      <c r="K241" s="58"/>
      <c r="L241" s="59"/>
      <c r="M241" s="52">
        <v>4807.0</v>
      </c>
      <c r="N241" s="46">
        <f t="shared" si="6"/>
        <v>331.7615164</v>
      </c>
    </row>
    <row r="242">
      <c r="A242" s="45">
        <v>51601.0</v>
      </c>
      <c r="B242" s="45" t="s">
        <v>295</v>
      </c>
      <c r="C242" s="46">
        <v>1668.0</v>
      </c>
      <c r="D242" s="47">
        <v>0.0</v>
      </c>
      <c r="E242" s="48">
        <v>6.7</v>
      </c>
      <c r="F242" s="49">
        <f t="shared" si="2"/>
        <v>8.2</v>
      </c>
      <c r="G242" s="49">
        <f t="shared" si="19"/>
        <v>0.974343097</v>
      </c>
      <c r="H242" s="50">
        <f t="shared" si="4"/>
        <v>6.52809875</v>
      </c>
      <c r="I242" s="51">
        <f t="shared" si="5"/>
        <v>108.8886871</v>
      </c>
      <c r="J242" s="58"/>
      <c r="K242" s="58"/>
      <c r="L242" s="59"/>
      <c r="M242" s="52">
        <v>175.0</v>
      </c>
      <c r="N242" s="46">
        <f t="shared" si="6"/>
        <v>11.42417281</v>
      </c>
    </row>
    <row r="243">
      <c r="A243" s="45">
        <v>60101.0</v>
      </c>
      <c r="B243" s="45" t="s">
        <v>61</v>
      </c>
      <c r="C243" s="46">
        <v>186496.0</v>
      </c>
      <c r="D243" s="47">
        <v>87.8</v>
      </c>
      <c r="E243" s="48">
        <v>11.4</v>
      </c>
      <c r="F243" s="49">
        <f t="shared" si="2"/>
        <v>8.7268</v>
      </c>
      <c r="G243" s="49">
        <f t="shared" ref="G243:G253" si="20">0.97*F243/F$345</f>
        <v>1.015990443</v>
      </c>
      <c r="H243" s="50">
        <f t="shared" si="4"/>
        <v>11.58229105</v>
      </c>
      <c r="I243" s="51">
        <f t="shared" si="5"/>
        <v>21600.50952</v>
      </c>
      <c r="J243" s="52">
        <f>SUM(C243:C253)</f>
        <v>449959</v>
      </c>
      <c r="K243" s="52">
        <f>SUM(I243:I253)</f>
        <v>51277.47982</v>
      </c>
      <c r="L243" s="53">
        <f>K243/J243</f>
        <v>0.1139603382</v>
      </c>
      <c r="M243" s="52">
        <v>18847.0</v>
      </c>
      <c r="N243" s="46">
        <f t="shared" si="6"/>
        <v>2182.914395</v>
      </c>
    </row>
    <row r="244">
      <c r="A244" s="45">
        <v>60201.0</v>
      </c>
      <c r="B244" s="45" t="s">
        <v>296</v>
      </c>
      <c r="C244" s="46">
        <v>18892.0</v>
      </c>
      <c r="D244" s="47">
        <v>0.0</v>
      </c>
      <c r="E244" s="48">
        <v>11.4</v>
      </c>
      <c r="F244" s="49">
        <f t="shared" si="2"/>
        <v>8.2</v>
      </c>
      <c r="G244" s="49">
        <f t="shared" si="20"/>
        <v>0.954659398</v>
      </c>
      <c r="H244" s="50">
        <f t="shared" si="4"/>
        <v>10.88311714</v>
      </c>
      <c r="I244" s="51">
        <f t="shared" si="5"/>
        <v>2056.03849</v>
      </c>
      <c r="J244" s="58"/>
      <c r="K244" s="58"/>
      <c r="L244" s="59"/>
      <c r="M244" s="52">
        <v>2237.0</v>
      </c>
      <c r="N244" s="46">
        <f t="shared" si="6"/>
        <v>243.4553304</v>
      </c>
    </row>
    <row r="245">
      <c r="A245" s="45">
        <v>60202.0</v>
      </c>
      <c r="B245" s="45" t="s">
        <v>297</v>
      </c>
      <c r="C245" s="46">
        <v>34070.0</v>
      </c>
      <c r="D245" s="47">
        <v>83.0</v>
      </c>
      <c r="E245" s="48">
        <v>11.4</v>
      </c>
      <c r="F245" s="49">
        <f t="shared" si="2"/>
        <v>8.698</v>
      </c>
      <c r="G245" s="49">
        <f t="shared" si="20"/>
        <v>1.012637493</v>
      </c>
      <c r="H245" s="50">
        <f t="shared" si="4"/>
        <v>11.54406742</v>
      </c>
      <c r="I245" s="51">
        <f t="shared" si="5"/>
        <v>3933.063771</v>
      </c>
      <c r="J245" s="58"/>
      <c r="K245" s="58"/>
      <c r="L245" s="59"/>
      <c r="M245" s="52">
        <v>3760.0</v>
      </c>
      <c r="N245" s="46">
        <f t="shared" si="6"/>
        <v>434.0569351</v>
      </c>
    </row>
    <row r="246">
      <c r="A246" s="45">
        <v>60301.0</v>
      </c>
      <c r="B246" s="45" t="s">
        <v>298</v>
      </c>
      <c r="C246" s="46">
        <v>89072.0</v>
      </c>
      <c r="D246" s="47">
        <v>72.4</v>
      </c>
      <c r="E246" s="48">
        <v>11.4</v>
      </c>
      <c r="F246" s="49">
        <f t="shared" si="2"/>
        <v>8.6344</v>
      </c>
      <c r="G246" s="49">
        <f t="shared" si="20"/>
        <v>1.005233062</v>
      </c>
      <c r="H246" s="50">
        <f t="shared" si="4"/>
        <v>11.4596569</v>
      </c>
      <c r="I246" s="51">
        <f t="shared" si="5"/>
        <v>10207.3456</v>
      </c>
      <c r="J246" s="58"/>
      <c r="K246" s="58"/>
      <c r="L246" s="59"/>
      <c r="M246" s="52">
        <v>10696.0</v>
      </c>
      <c r="N246" s="46">
        <f t="shared" si="6"/>
        <v>1225.724902</v>
      </c>
    </row>
    <row r="247">
      <c r="A247" s="45">
        <v>60302.0</v>
      </c>
      <c r="B247" s="45" t="s">
        <v>299</v>
      </c>
      <c r="C247" s="46">
        <v>13064.0</v>
      </c>
      <c r="D247" s="47">
        <v>14.7</v>
      </c>
      <c r="E247" s="48">
        <v>11.4</v>
      </c>
      <c r="F247" s="49">
        <f t="shared" si="2"/>
        <v>8.2882</v>
      </c>
      <c r="G247" s="49">
        <f t="shared" si="20"/>
        <v>0.9649278077</v>
      </c>
      <c r="H247" s="50">
        <f t="shared" si="4"/>
        <v>11.00017701</v>
      </c>
      <c r="I247" s="51">
        <f t="shared" si="5"/>
        <v>1437.063124</v>
      </c>
      <c r="J247" s="58"/>
      <c r="K247" s="58"/>
      <c r="L247" s="59"/>
      <c r="M247" s="52">
        <v>1495.0</v>
      </c>
      <c r="N247" s="46">
        <f t="shared" si="6"/>
        <v>164.4526463</v>
      </c>
    </row>
    <row r="248">
      <c r="A248" s="45">
        <v>60303.0</v>
      </c>
      <c r="B248" s="45" t="s">
        <v>300</v>
      </c>
      <c r="C248" s="46">
        <v>34012.0</v>
      </c>
      <c r="D248" s="47">
        <v>72.9</v>
      </c>
      <c r="E248" s="48">
        <v>11.4</v>
      </c>
      <c r="F248" s="49">
        <f t="shared" si="2"/>
        <v>8.6374</v>
      </c>
      <c r="G248" s="49">
        <f t="shared" si="20"/>
        <v>1.005582327</v>
      </c>
      <c r="H248" s="50">
        <f t="shared" si="4"/>
        <v>11.46363853</v>
      </c>
      <c r="I248" s="51">
        <f t="shared" si="5"/>
        <v>3899.012738</v>
      </c>
      <c r="J248" s="58"/>
      <c r="K248" s="58"/>
      <c r="L248" s="59"/>
      <c r="M248" s="52">
        <v>4017.0</v>
      </c>
      <c r="N248" s="46">
        <f t="shared" si="6"/>
        <v>460.4943598</v>
      </c>
    </row>
    <row r="249">
      <c r="A249" s="45">
        <v>60401.0</v>
      </c>
      <c r="B249" s="45" t="s">
        <v>301</v>
      </c>
      <c r="C249" s="46">
        <v>13890.0</v>
      </c>
      <c r="D249" s="47">
        <v>0.0</v>
      </c>
      <c r="E249" s="48">
        <v>11.4</v>
      </c>
      <c r="F249" s="49">
        <f t="shared" si="2"/>
        <v>8.2</v>
      </c>
      <c r="G249" s="49">
        <f t="shared" si="20"/>
        <v>0.954659398</v>
      </c>
      <c r="H249" s="50">
        <f t="shared" si="4"/>
        <v>10.88311714</v>
      </c>
      <c r="I249" s="51">
        <f t="shared" si="5"/>
        <v>1511.66497</v>
      </c>
      <c r="J249" s="58"/>
      <c r="K249" s="58"/>
      <c r="L249" s="59"/>
      <c r="M249" s="52">
        <v>1459.0</v>
      </c>
      <c r="N249" s="46">
        <f t="shared" si="6"/>
        <v>158.784679</v>
      </c>
    </row>
    <row r="250">
      <c r="A250" s="45">
        <v>60402.0</v>
      </c>
      <c r="B250" s="45" t="s">
        <v>302</v>
      </c>
      <c r="C250" s="46">
        <v>5375.0</v>
      </c>
      <c r="D250" s="47">
        <v>0.0</v>
      </c>
      <c r="E250" s="48">
        <v>11.4</v>
      </c>
      <c r="F250" s="49">
        <f t="shared" si="2"/>
        <v>8.2</v>
      </c>
      <c r="G250" s="49">
        <f t="shared" si="20"/>
        <v>0.954659398</v>
      </c>
      <c r="H250" s="50">
        <f t="shared" si="4"/>
        <v>10.88311714</v>
      </c>
      <c r="I250" s="51">
        <f t="shared" si="5"/>
        <v>584.9675461</v>
      </c>
      <c r="J250" s="58"/>
      <c r="K250" s="58"/>
      <c r="L250" s="59"/>
      <c r="M250" s="52">
        <v>683.0</v>
      </c>
      <c r="N250" s="46">
        <f t="shared" si="6"/>
        <v>74.33169005</v>
      </c>
    </row>
    <row r="251">
      <c r="A251" s="45">
        <v>60501.0</v>
      </c>
      <c r="B251" s="45" t="s">
        <v>303</v>
      </c>
      <c r="C251" s="46">
        <v>22958.0</v>
      </c>
      <c r="D251" s="47">
        <v>13.8</v>
      </c>
      <c r="E251" s="48">
        <v>11.4</v>
      </c>
      <c r="F251" s="49">
        <f t="shared" si="2"/>
        <v>8.2828</v>
      </c>
      <c r="G251" s="49">
        <f t="shared" si="20"/>
        <v>0.9642991295</v>
      </c>
      <c r="H251" s="50">
        <f t="shared" si="4"/>
        <v>10.99301008</v>
      </c>
      <c r="I251" s="51">
        <f t="shared" si="5"/>
        <v>2523.775253</v>
      </c>
      <c r="J251" s="45"/>
      <c r="K251" s="45"/>
      <c r="L251" s="45"/>
      <c r="M251" s="52">
        <v>2615.0</v>
      </c>
      <c r="N251" s="46">
        <f t="shared" si="6"/>
        <v>287.4672135</v>
      </c>
    </row>
    <row r="252">
      <c r="A252" s="45">
        <v>60502.0</v>
      </c>
      <c r="B252" s="45" t="s">
        <v>304</v>
      </c>
      <c r="C252" s="46">
        <v>11103.0</v>
      </c>
      <c r="D252" s="47">
        <v>0.0</v>
      </c>
      <c r="E252" s="48">
        <v>11.4</v>
      </c>
      <c r="F252" s="49">
        <f t="shared" si="2"/>
        <v>8.2</v>
      </c>
      <c r="G252" s="49">
        <f t="shared" si="20"/>
        <v>0.954659398</v>
      </c>
      <c r="H252" s="50">
        <f t="shared" si="4"/>
        <v>10.88311714</v>
      </c>
      <c r="I252" s="51">
        <f t="shared" si="5"/>
        <v>1208.352496</v>
      </c>
      <c r="J252" s="58"/>
      <c r="K252" s="58"/>
      <c r="L252" s="59"/>
      <c r="M252" s="52">
        <v>1327.0</v>
      </c>
      <c r="N252" s="46">
        <f t="shared" si="6"/>
        <v>144.4189644</v>
      </c>
    </row>
    <row r="253">
      <c r="A253" s="45">
        <v>60601.0</v>
      </c>
      <c r="B253" s="45" t="s">
        <v>209</v>
      </c>
      <c r="C253" s="46">
        <v>21027.0</v>
      </c>
      <c r="D253" s="47">
        <v>16.3</v>
      </c>
      <c r="E253" s="48">
        <v>11.4</v>
      </c>
      <c r="F253" s="49">
        <f t="shared" si="2"/>
        <v>8.2978</v>
      </c>
      <c r="G253" s="49">
        <f t="shared" si="20"/>
        <v>0.9660454577</v>
      </c>
      <c r="H253" s="50">
        <f t="shared" si="4"/>
        <v>11.01291822</v>
      </c>
      <c r="I253" s="51">
        <f t="shared" si="5"/>
        <v>2315.686314</v>
      </c>
      <c r="J253" s="58"/>
      <c r="K253" s="58"/>
      <c r="L253" s="59"/>
      <c r="M253" s="52">
        <v>2587.0</v>
      </c>
      <c r="N253" s="46">
        <f t="shared" si="6"/>
        <v>284.9041943</v>
      </c>
    </row>
    <row r="254">
      <c r="A254" s="45">
        <v>70101.0</v>
      </c>
      <c r="B254" s="45" t="s">
        <v>305</v>
      </c>
      <c r="C254" s="46">
        <v>1330735.0</v>
      </c>
      <c r="D254" s="47">
        <v>98.9</v>
      </c>
      <c r="E254" s="48">
        <v>10.8</v>
      </c>
      <c r="F254" s="49">
        <f t="shared" si="2"/>
        <v>8.7934</v>
      </c>
      <c r="G254" s="49">
        <f t="shared" ref="G254:G309" si="21">0.96*F254/F$345</f>
        <v>1.013190077</v>
      </c>
      <c r="H254" s="50">
        <f t="shared" si="4"/>
        <v>10.94245283</v>
      </c>
      <c r="I254" s="51">
        <f t="shared" si="5"/>
        <v>145615.0497</v>
      </c>
      <c r="J254" s="52">
        <f>SUM(C254:C309)</f>
        <v>2429288</v>
      </c>
      <c r="K254" s="52">
        <f>SUM(I254:I309)</f>
        <v>262310.0186</v>
      </c>
      <c r="L254" s="53">
        <f>K254/J254</f>
        <v>0.1079781478</v>
      </c>
      <c r="M254" s="52">
        <v>148561.0</v>
      </c>
      <c r="N254" s="46">
        <f t="shared" si="6"/>
        <v>16256.21735</v>
      </c>
    </row>
    <row r="255">
      <c r="A255" s="45">
        <v>70102.0</v>
      </c>
      <c r="B255" s="45" t="s">
        <v>306</v>
      </c>
      <c r="C255" s="46">
        <v>48648.0</v>
      </c>
      <c r="D255" s="47">
        <v>56.8</v>
      </c>
      <c r="E255" s="48">
        <v>10.8</v>
      </c>
      <c r="F255" s="49">
        <f t="shared" si="2"/>
        <v>8.5408</v>
      </c>
      <c r="G255" s="49">
        <f t="shared" si="21"/>
        <v>0.9840850877</v>
      </c>
      <c r="H255" s="50">
        <f t="shared" si="4"/>
        <v>10.62811895</v>
      </c>
      <c r="I255" s="51">
        <f t="shared" si="5"/>
        <v>5170.367305</v>
      </c>
      <c r="J255" s="58"/>
      <c r="K255" s="58"/>
      <c r="L255" s="59"/>
      <c r="M255" s="52">
        <v>6703.0</v>
      </c>
      <c r="N255" s="46">
        <f t="shared" si="6"/>
        <v>712.402813</v>
      </c>
    </row>
    <row r="256">
      <c r="A256" s="45">
        <v>70103.0</v>
      </c>
      <c r="B256" s="45" t="s">
        <v>307</v>
      </c>
      <c r="C256" s="46">
        <v>13778.0</v>
      </c>
      <c r="D256" s="47">
        <v>16.9</v>
      </c>
      <c r="E256" s="48">
        <v>10.8</v>
      </c>
      <c r="F256" s="49">
        <f t="shared" si="2"/>
        <v>8.3014</v>
      </c>
      <c r="G256" s="49">
        <f t="shared" si="21"/>
        <v>0.9565010241</v>
      </c>
      <c r="H256" s="50">
        <f t="shared" si="4"/>
        <v>10.33021106</v>
      </c>
      <c r="I256" s="51">
        <f t="shared" si="5"/>
        <v>1423.29648</v>
      </c>
      <c r="J256" s="58"/>
      <c r="K256" s="58"/>
      <c r="L256" s="59"/>
      <c r="M256" s="52">
        <v>1665.0</v>
      </c>
      <c r="N256" s="46">
        <f t="shared" si="6"/>
        <v>171.9980142</v>
      </c>
    </row>
    <row r="257">
      <c r="A257" s="45">
        <v>70104.0</v>
      </c>
      <c r="B257" s="45" t="s">
        <v>308</v>
      </c>
      <c r="C257" s="46">
        <v>71200.0</v>
      </c>
      <c r="D257" s="47">
        <v>79.8</v>
      </c>
      <c r="E257" s="48">
        <v>10.8</v>
      </c>
      <c r="F257" s="49">
        <f t="shared" si="2"/>
        <v>8.6788</v>
      </c>
      <c r="G257" s="49">
        <f t="shared" si="21"/>
        <v>0.9999856757</v>
      </c>
      <c r="H257" s="50">
        <f t="shared" si="4"/>
        <v>10.7998453</v>
      </c>
      <c r="I257" s="51">
        <f t="shared" si="5"/>
        <v>7689.489852</v>
      </c>
      <c r="J257" s="58"/>
      <c r="K257" s="58"/>
      <c r="L257" s="59"/>
      <c r="M257" s="52">
        <v>8666.0</v>
      </c>
      <c r="N257" s="46">
        <f t="shared" si="6"/>
        <v>935.9145935</v>
      </c>
    </row>
    <row r="258">
      <c r="A258" s="45">
        <v>70105.0</v>
      </c>
      <c r="B258" s="45" t="s">
        <v>309</v>
      </c>
      <c r="C258" s="46">
        <v>45401.0</v>
      </c>
      <c r="D258" s="47">
        <v>58.9</v>
      </c>
      <c r="E258" s="48">
        <v>10.8</v>
      </c>
      <c r="F258" s="49">
        <f t="shared" si="2"/>
        <v>8.5534</v>
      </c>
      <c r="G258" s="49">
        <f t="shared" si="21"/>
        <v>0.9855368805</v>
      </c>
      <c r="H258" s="50">
        <f t="shared" si="4"/>
        <v>10.64379831</v>
      </c>
      <c r="I258" s="51">
        <f t="shared" si="5"/>
        <v>4832.39087</v>
      </c>
      <c r="J258" s="58"/>
      <c r="K258" s="58"/>
      <c r="L258" s="59"/>
      <c r="M258" s="52">
        <v>5468.0</v>
      </c>
      <c r="N258" s="46">
        <f t="shared" si="6"/>
        <v>582.0028915</v>
      </c>
    </row>
    <row r="259">
      <c r="A259" s="45">
        <v>70201.0</v>
      </c>
      <c r="B259" s="45" t="s">
        <v>310</v>
      </c>
      <c r="C259" s="46">
        <v>77829.0</v>
      </c>
      <c r="D259" s="47">
        <v>69.7</v>
      </c>
      <c r="E259" s="48">
        <v>10.8</v>
      </c>
      <c r="F259" s="49">
        <f t="shared" si="2"/>
        <v>8.6182</v>
      </c>
      <c r="G259" s="49">
        <f t="shared" si="21"/>
        <v>0.9930032435</v>
      </c>
      <c r="H259" s="50">
        <f t="shared" si="4"/>
        <v>10.72443503</v>
      </c>
      <c r="I259" s="51">
        <f t="shared" si="5"/>
        <v>8346.72054</v>
      </c>
      <c r="J259" s="58"/>
      <c r="K259" s="58"/>
      <c r="L259" s="59"/>
      <c r="M259" s="52">
        <v>10257.0</v>
      </c>
      <c r="N259" s="46">
        <f t="shared" si="6"/>
        <v>1100.005301</v>
      </c>
    </row>
    <row r="260">
      <c r="A260" s="45">
        <v>70202.0</v>
      </c>
      <c r="B260" s="45" t="s">
        <v>311</v>
      </c>
      <c r="C260" s="46">
        <v>12183.0</v>
      </c>
      <c r="D260" s="47">
        <v>45.4</v>
      </c>
      <c r="E260" s="48">
        <v>10.8</v>
      </c>
      <c r="F260" s="49">
        <f t="shared" si="2"/>
        <v>8.4724</v>
      </c>
      <c r="G260" s="49">
        <f t="shared" si="21"/>
        <v>0.9762039266</v>
      </c>
      <c r="H260" s="50">
        <f t="shared" si="4"/>
        <v>10.54300241</v>
      </c>
      <c r="I260" s="51">
        <f t="shared" si="5"/>
        <v>1284.453983</v>
      </c>
      <c r="J260" s="58"/>
      <c r="K260" s="58"/>
      <c r="L260" s="59"/>
      <c r="M260" s="52">
        <v>1702.0</v>
      </c>
      <c r="N260" s="46">
        <f t="shared" si="6"/>
        <v>179.441901</v>
      </c>
    </row>
    <row r="261">
      <c r="A261" s="45">
        <v>70301.0</v>
      </c>
      <c r="B261" s="45" t="s">
        <v>312</v>
      </c>
      <c r="C261" s="46">
        <v>48380.0</v>
      </c>
      <c r="D261" s="47">
        <v>45.1</v>
      </c>
      <c r="E261" s="48">
        <v>10.8</v>
      </c>
      <c r="F261" s="49">
        <f t="shared" si="2"/>
        <v>8.4706</v>
      </c>
      <c r="G261" s="49">
        <f t="shared" si="21"/>
        <v>0.9759965277</v>
      </c>
      <c r="H261" s="50">
        <f t="shared" si="4"/>
        <v>10.5407625</v>
      </c>
      <c r="I261" s="51">
        <f t="shared" si="5"/>
        <v>5099.620897</v>
      </c>
      <c r="J261" s="58"/>
      <c r="K261" s="58"/>
      <c r="L261" s="59"/>
      <c r="M261" s="52">
        <v>7126.0</v>
      </c>
      <c r="N261" s="46">
        <f t="shared" si="6"/>
        <v>751.1347357</v>
      </c>
    </row>
    <row r="262">
      <c r="A262" s="45">
        <v>70302.0</v>
      </c>
      <c r="B262" s="45" t="s">
        <v>313</v>
      </c>
      <c r="C262" s="46">
        <v>10944.0</v>
      </c>
      <c r="D262" s="47">
        <v>40.4</v>
      </c>
      <c r="E262" s="48">
        <v>10.8</v>
      </c>
      <c r="F262" s="49">
        <f t="shared" si="2"/>
        <v>8.4424</v>
      </c>
      <c r="G262" s="49">
        <f t="shared" si="21"/>
        <v>0.9727472771</v>
      </c>
      <c r="H262" s="50">
        <f t="shared" si="4"/>
        <v>10.50567059</v>
      </c>
      <c r="I262" s="51">
        <f t="shared" si="5"/>
        <v>1149.74059</v>
      </c>
      <c r="J262" s="58"/>
      <c r="K262" s="58"/>
      <c r="L262" s="59"/>
      <c r="M262" s="52">
        <v>1532.0</v>
      </c>
      <c r="N262" s="46">
        <f t="shared" si="6"/>
        <v>160.9468735</v>
      </c>
    </row>
    <row r="263">
      <c r="A263" s="45">
        <v>70303.0</v>
      </c>
      <c r="B263" s="45" t="s">
        <v>314</v>
      </c>
      <c r="C263" s="46">
        <v>5731.0</v>
      </c>
      <c r="D263" s="47">
        <v>47.8</v>
      </c>
      <c r="E263" s="48">
        <v>10.8</v>
      </c>
      <c r="F263" s="49">
        <f t="shared" si="2"/>
        <v>8.4868</v>
      </c>
      <c r="G263" s="49">
        <f t="shared" si="21"/>
        <v>0.9778631184</v>
      </c>
      <c r="H263" s="50">
        <f t="shared" si="4"/>
        <v>10.56092168</v>
      </c>
      <c r="I263" s="51">
        <f t="shared" si="5"/>
        <v>605.2464214</v>
      </c>
      <c r="J263" s="58"/>
      <c r="K263" s="58"/>
      <c r="L263" s="59"/>
      <c r="M263" s="52">
        <v>904.0</v>
      </c>
      <c r="N263" s="46">
        <f t="shared" si="6"/>
        <v>95.47073198</v>
      </c>
    </row>
    <row r="264">
      <c r="A264" s="45">
        <v>70401.0</v>
      </c>
      <c r="B264" s="45" t="s">
        <v>315</v>
      </c>
      <c r="C264" s="46">
        <v>13022.0</v>
      </c>
      <c r="D264" s="47">
        <v>32.2</v>
      </c>
      <c r="E264" s="48">
        <v>10.8</v>
      </c>
      <c r="F264" s="49">
        <f t="shared" si="2"/>
        <v>8.3932</v>
      </c>
      <c r="G264" s="49">
        <f t="shared" si="21"/>
        <v>0.9670783718</v>
      </c>
      <c r="H264" s="50">
        <f t="shared" si="4"/>
        <v>10.44444642</v>
      </c>
      <c r="I264" s="51">
        <f t="shared" si="5"/>
        <v>1360.075812</v>
      </c>
      <c r="J264" s="58"/>
      <c r="K264" s="58"/>
      <c r="L264" s="59"/>
      <c r="M264" s="52">
        <v>1637.0</v>
      </c>
      <c r="N264" s="46">
        <f t="shared" si="6"/>
        <v>170.9755878</v>
      </c>
    </row>
    <row r="265">
      <c r="A265" s="45">
        <v>70402.0</v>
      </c>
      <c r="B265" s="45" t="s">
        <v>316</v>
      </c>
      <c r="C265" s="46">
        <v>18787.0</v>
      </c>
      <c r="D265" s="47">
        <v>62.9</v>
      </c>
      <c r="E265" s="48">
        <v>10.8</v>
      </c>
      <c r="F265" s="49">
        <f t="shared" si="2"/>
        <v>8.5774</v>
      </c>
      <c r="G265" s="49">
        <f t="shared" si="21"/>
        <v>0.9883022001</v>
      </c>
      <c r="H265" s="50">
        <f t="shared" si="4"/>
        <v>10.67366376</v>
      </c>
      <c r="I265" s="51">
        <f t="shared" si="5"/>
        <v>2005.261211</v>
      </c>
      <c r="J265" s="58"/>
      <c r="K265" s="58"/>
      <c r="L265" s="59"/>
      <c r="M265" s="52">
        <v>2431.0</v>
      </c>
      <c r="N265" s="46">
        <f t="shared" si="6"/>
        <v>259.476766</v>
      </c>
    </row>
    <row r="266">
      <c r="A266" s="45">
        <v>70403.0</v>
      </c>
      <c r="B266" s="45" t="s">
        <v>317</v>
      </c>
      <c r="C266" s="46">
        <v>43642.0</v>
      </c>
      <c r="D266" s="47">
        <v>58.7</v>
      </c>
      <c r="E266" s="48">
        <v>10.8</v>
      </c>
      <c r="F266" s="49">
        <f t="shared" si="2"/>
        <v>8.5522</v>
      </c>
      <c r="G266" s="49">
        <f t="shared" si="21"/>
        <v>0.9853986145</v>
      </c>
      <c r="H266" s="50">
        <f t="shared" si="4"/>
        <v>10.64230504</v>
      </c>
      <c r="I266" s="51">
        <f t="shared" si="5"/>
        <v>4644.514764</v>
      </c>
      <c r="J266" s="58"/>
      <c r="K266" s="58"/>
      <c r="L266" s="59"/>
      <c r="M266" s="52">
        <v>5515.0</v>
      </c>
      <c r="N266" s="46">
        <f t="shared" si="6"/>
        <v>586.9231228</v>
      </c>
    </row>
    <row r="267">
      <c r="A267" s="45">
        <v>70404.0</v>
      </c>
      <c r="B267" s="45" t="s">
        <v>318</v>
      </c>
      <c r="C267" s="46">
        <v>9169.0</v>
      </c>
      <c r="D267" s="47">
        <v>50.4</v>
      </c>
      <c r="E267" s="48">
        <v>10.8</v>
      </c>
      <c r="F267" s="49">
        <f t="shared" si="2"/>
        <v>8.5024</v>
      </c>
      <c r="G267" s="49">
        <f t="shared" si="21"/>
        <v>0.9796605762</v>
      </c>
      <c r="H267" s="50">
        <f t="shared" si="4"/>
        <v>10.58033422</v>
      </c>
      <c r="I267" s="51">
        <f t="shared" si="5"/>
        <v>970.1108449</v>
      </c>
      <c r="J267" s="58"/>
      <c r="K267" s="58"/>
      <c r="L267" s="59"/>
      <c r="M267" s="52">
        <v>1233.0</v>
      </c>
      <c r="N267" s="46">
        <f t="shared" si="6"/>
        <v>130.455521</v>
      </c>
    </row>
    <row r="268">
      <c r="A268" s="45">
        <v>70501.0</v>
      </c>
      <c r="B268" s="45" t="s">
        <v>319</v>
      </c>
      <c r="C268" s="46">
        <v>24441.0</v>
      </c>
      <c r="D268" s="47">
        <v>47.7</v>
      </c>
      <c r="E268" s="48">
        <v>10.8</v>
      </c>
      <c r="F268" s="49">
        <f t="shared" si="2"/>
        <v>8.4862</v>
      </c>
      <c r="G268" s="49">
        <f t="shared" si="21"/>
        <v>0.9777939854</v>
      </c>
      <c r="H268" s="50">
        <f t="shared" si="4"/>
        <v>10.56017504</v>
      </c>
      <c r="I268" s="51">
        <f t="shared" si="5"/>
        <v>2581.012382</v>
      </c>
      <c r="J268" s="58"/>
      <c r="K268" s="58"/>
      <c r="L268" s="59"/>
      <c r="M268" s="52">
        <v>3401.0</v>
      </c>
      <c r="N268" s="46">
        <f t="shared" si="6"/>
        <v>359.1515532</v>
      </c>
    </row>
    <row r="269">
      <c r="A269" s="45">
        <v>70502.0</v>
      </c>
      <c r="B269" s="45" t="s">
        <v>320</v>
      </c>
      <c r="C269" s="46">
        <v>34467.0</v>
      </c>
      <c r="D269" s="47">
        <v>25.6</v>
      </c>
      <c r="E269" s="48">
        <v>10.8</v>
      </c>
      <c r="F269" s="49">
        <f t="shared" si="2"/>
        <v>8.3536</v>
      </c>
      <c r="G269" s="49">
        <f t="shared" si="21"/>
        <v>0.9625155944</v>
      </c>
      <c r="H269" s="50">
        <f t="shared" si="4"/>
        <v>10.39516842</v>
      </c>
      <c r="I269" s="51">
        <f t="shared" si="5"/>
        <v>3582.902699</v>
      </c>
      <c r="J269" s="58"/>
      <c r="K269" s="58"/>
      <c r="L269" s="59"/>
      <c r="M269" s="52">
        <v>5781.0</v>
      </c>
      <c r="N269" s="46">
        <f t="shared" si="6"/>
        <v>600.9446863</v>
      </c>
    </row>
    <row r="270">
      <c r="A270" s="45">
        <v>70503.0</v>
      </c>
      <c r="B270" s="45" t="s">
        <v>321</v>
      </c>
      <c r="C270" s="46">
        <v>15495.0</v>
      </c>
      <c r="D270" s="47">
        <v>66.8</v>
      </c>
      <c r="E270" s="48">
        <v>10.8</v>
      </c>
      <c r="F270" s="49">
        <f t="shared" si="2"/>
        <v>8.6008</v>
      </c>
      <c r="G270" s="49">
        <f t="shared" si="21"/>
        <v>0.9909983868</v>
      </c>
      <c r="H270" s="50">
        <f t="shared" si="4"/>
        <v>10.70278258</v>
      </c>
      <c r="I270" s="51">
        <f t="shared" si="5"/>
        <v>1658.39616</v>
      </c>
      <c r="J270" s="58"/>
      <c r="K270" s="58"/>
      <c r="L270" s="59"/>
      <c r="M270" s="52">
        <v>1693.0</v>
      </c>
      <c r="N270" s="46">
        <f t="shared" si="6"/>
        <v>181.198109</v>
      </c>
    </row>
    <row r="271">
      <c r="A271" s="45">
        <v>70601.0</v>
      </c>
      <c r="B271" s="45" t="s">
        <v>322</v>
      </c>
      <c r="C271" s="46">
        <v>17348.0</v>
      </c>
      <c r="D271" s="47">
        <v>75.3</v>
      </c>
      <c r="E271" s="48">
        <v>10.8</v>
      </c>
      <c r="F271" s="49">
        <f t="shared" si="2"/>
        <v>8.6518</v>
      </c>
      <c r="G271" s="49">
        <f t="shared" si="21"/>
        <v>0.9968746911</v>
      </c>
      <c r="H271" s="50">
        <f t="shared" si="4"/>
        <v>10.76624666</v>
      </c>
      <c r="I271" s="51">
        <f t="shared" si="5"/>
        <v>1867.728471</v>
      </c>
      <c r="J271" s="58"/>
      <c r="K271" s="58"/>
      <c r="L271" s="59"/>
      <c r="M271" s="52">
        <v>2147.0</v>
      </c>
      <c r="N271" s="46">
        <f t="shared" si="6"/>
        <v>231.1513159</v>
      </c>
    </row>
    <row r="272">
      <c r="A272" s="45">
        <v>70602.0</v>
      </c>
      <c r="B272" s="45" t="s">
        <v>323</v>
      </c>
      <c r="C272" s="46">
        <v>17702.0</v>
      </c>
      <c r="D272" s="47">
        <v>27.3</v>
      </c>
      <c r="E272" s="48">
        <v>10.8</v>
      </c>
      <c r="F272" s="49">
        <f t="shared" si="2"/>
        <v>8.3638</v>
      </c>
      <c r="G272" s="49">
        <f t="shared" si="21"/>
        <v>0.9636908552</v>
      </c>
      <c r="H272" s="50">
        <f t="shared" si="4"/>
        <v>10.40786124</v>
      </c>
      <c r="I272" s="51">
        <f t="shared" si="5"/>
        <v>1842.399596</v>
      </c>
      <c r="J272" s="58"/>
      <c r="K272" s="58"/>
      <c r="L272" s="59"/>
      <c r="M272" s="52">
        <v>2301.0</v>
      </c>
      <c r="N272" s="46">
        <f t="shared" si="6"/>
        <v>239.484887</v>
      </c>
    </row>
    <row r="273">
      <c r="A273" s="45">
        <v>70603.0</v>
      </c>
      <c r="B273" s="45" t="s">
        <v>324</v>
      </c>
      <c r="C273" s="46">
        <v>6143.0</v>
      </c>
      <c r="D273" s="47">
        <v>77.1</v>
      </c>
      <c r="E273" s="48">
        <v>10.8</v>
      </c>
      <c r="F273" s="49">
        <f t="shared" si="2"/>
        <v>8.6626</v>
      </c>
      <c r="G273" s="49">
        <f t="shared" si="21"/>
        <v>0.9981190849</v>
      </c>
      <c r="H273" s="50">
        <f t="shared" si="4"/>
        <v>10.77968612</v>
      </c>
      <c r="I273" s="51">
        <f t="shared" si="5"/>
        <v>662.1961182</v>
      </c>
      <c r="J273" s="58"/>
      <c r="K273" s="58"/>
      <c r="L273" s="59"/>
      <c r="M273" s="52">
        <v>849.0</v>
      </c>
      <c r="N273" s="46">
        <f t="shared" si="6"/>
        <v>91.51953513</v>
      </c>
    </row>
    <row r="274">
      <c r="A274" s="45">
        <v>70701.0</v>
      </c>
      <c r="B274" s="45" t="s">
        <v>325</v>
      </c>
      <c r="C274" s="46">
        <v>5336.0</v>
      </c>
      <c r="D274" s="47">
        <v>0.0</v>
      </c>
      <c r="E274" s="48">
        <v>10.8</v>
      </c>
      <c r="F274" s="49">
        <f t="shared" si="2"/>
        <v>8.2</v>
      </c>
      <c r="G274" s="49">
        <f t="shared" si="21"/>
        <v>0.9448175486</v>
      </c>
      <c r="H274" s="50">
        <f t="shared" si="4"/>
        <v>10.20402952</v>
      </c>
      <c r="I274" s="51">
        <f t="shared" si="5"/>
        <v>544.4870154</v>
      </c>
      <c r="J274" s="58"/>
      <c r="K274" s="58"/>
      <c r="L274" s="59"/>
      <c r="M274" s="52">
        <v>732.0</v>
      </c>
      <c r="N274" s="46">
        <f t="shared" si="6"/>
        <v>74.69349612</v>
      </c>
    </row>
    <row r="275">
      <c r="A275" s="45">
        <v>70702.0</v>
      </c>
      <c r="B275" s="45" t="s">
        <v>326</v>
      </c>
      <c r="C275" s="46">
        <v>29365.0</v>
      </c>
      <c r="D275" s="47">
        <v>11.0</v>
      </c>
      <c r="E275" s="48">
        <v>10.8</v>
      </c>
      <c r="F275" s="49">
        <f t="shared" si="2"/>
        <v>8.266</v>
      </c>
      <c r="G275" s="49">
        <f t="shared" si="21"/>
        <v>0.9524221776</v>
      </c>
      <c r="H275" s="50">
        <f t="shared" si="4"/>
        <v>10.28615952</v>
      </c>
      <c r="I275" s="51">
        <f t="shared" si="5"/>
        <v>3020.530743</v>
      </c>
      <c r="J275" s="58"/>
      <c r="K275" s="58"/>
      <c r="L275" s="59"/>
      <c r="M275" s="52">
        <v>4594.0</v>
      </c>
      <c r="N275" s="46">
        <f t="shared" si="6"/>
        <v>472.5461683</v>
      </c>
    </row>
    <row r="276">
      <c r="A276" s="45">
        <v>70703.0</v>
      </c>
      <c r="B276" s="45" t="s">
        <v>327</v>
      </c>
      <c r="C276" s="46">
        <v>24929.0</v>
      </c>
      <c r="D276" s="47">
        <v>14.9</v>
      </c>
      <c r="E276" s="48">
        <v>10.8</v>
      </c>
      <c r="F276" s="49">
        <f t="shared" si="2"/>
        <v>8.2894</v>
      </c>
      <c r="G276" s="49">
        <f t="shared" si="21"/>
        <v>0.9551183643</v>
      </c>
      <c r="H276" s="50">
        <f t="shared" si="4"/>
        <v>10.31527833</v>
      </c>
      <c r="I276" s="51">
        <f t="shared" si="5"/>
        <v>2571.495736</v>
      </c>
      <c r="J276" s="58"/>
      <c r="K276" s="58"/>
      <c r="L276" s="59"/>
      <c r="M276" s="52">
        <v>3727.0</v>
      </c>
      <c r="N276" s="46">
        <f t="shared" si="6"/>
        <v>384.4504235</v>
      </c>
    </row>
    <row r="277">
      <c r="A277" s="45">
        <v>70704.0</v>
      </c>
      <c r="B277" s="45" t="s">
        <v>328</v>
      </c>
      <c r="C277" s="46">
        <v>4453.0</v>
      </c>
      <c r="D277" s="47">
        <v>31.2</v>
      </c>
      <c r="E277" s="48">
        <v>10.8</v>
      </c>
      <c r="F277" s="49">
        <f t="shared" si="2"/>
        <v>8.3872</v>
      </c>
      <c r="G277" s="49">
        <f t="shared" si="21"/>
        <v>0.9663870419</v>
      </c>
      <c r="H277" s="50">
        <f t="shared" si="4"/>
        <v>10.43698005</v>
      </c>
      <c r="I277" s="51">
        <f t="shared" si="5"/>
        <v>464.7587217</v>
      </c>
      <c r="J277" s="58"/>
      <c r="K277" s="58"/>
      <c r="L277" s="59"/>
      <c r="M277" s="52">
        <v>575.0</v>
      </c>
      <c r="N277" s="46">
        <f t="shared" si="6"/>
        <v>60.0126353</v>
      </c>
    </row>
    <row r="278">
      <c r="A278" s="45">
        <v>70705.0</v>
      </c>
      <c r="B278" s="45" t="s">
        <v>329</v>
      </c>
      <c r="C278" s="46">
        <v>11953.0</v>
      </c>
      <c r="D278" s="47">
        <v>0.0</v>
      </c>
      <c r="E278" s="48">
        <v>10.8</v>
      </c>
      <c r="F278" s="49">
        <f t="shared" si="2"/>
        <v>8.2</v>
      </c>
      <c r="G278" s="49">
        <f t="shared" si="21"/>
        <v>0.9448175486</v>
      </c>
      <c r="H278" s="50">
        <f t="shared" si="4"/>
        <v>10.20402952</v>
      </c>
      <c r="I278" s="51">
        <f t="shared" si="5"/>
        <v>1219.687649</v>
      </c>
      <c r="J278" s="58"/>
      <c r="K278" s="58"/>
      <c r="L278" s="59"/>
      <c r="M278" s="52">
        <v>1881.0</v>
      </c>
      <c r="N278" s="46">
        <f t="shared" si="6"/>
        <v>191.9377954</v>
      </c>
    </row>
    <row r="279">
      <c r="A279" s="45">
        <v>70706.0</v>
      </c>
      <c r="B279" s="45" t="s">
        <v>330</v>
      </c>
      <c r="C279" s="46">
        <v>32769.0</v>
      </c>
      <c r="D279" s="47">
        <v>85.5</v>
      </c>
      <c r="E279" s="48">
        <v>10.8</v>
      </c>
      <c r="F279" s="49">
        <f t="shared" si="2"/>
        <v>8.713</v>
      </c>
      <c r="G279" s="49">
        <f t="shared" si="21"/>
        <v>1.003926256</v>
      </c>
      <c r="H279" s="50">
        <f t="shared" si="4"/>
        <v>10.84240357</v>
      </c>
      <c r="I279" s="51">
        <f t="shared" si="5"/>
        <v>3552.947225</v>
      </c>
      <c r="J279" s="58"/>
      <c r="K279" s="58"/>
      <c r="L279" s="59"/>
      <c r="M279" s="52">
        <v>3484.0</v>
      </c>
      <c r="N279" s="46">
        <f t="shared" si="6"/>
        <v>377.7493403</v>
      </c>
    </row>
    <row r="280">
      <c r="A280" s="45">
        <v>70707.0</v>
      </c>
      <c r="B280" s="45" t="s">
        <v>331</v>
      </c>
      <c r="C280" s="46">
        <v>4703.0</v>
      </c>
      <c r="D280" s="47">
        <v>68.8</v>
      </c>
      <c r="E280" s="48">
        <v>10.8</v>
      </c>
      <c r="F280" s="49">
        <f t="shared" si="2"/>
        <v>8.6128</v>
      </c>
      <c r="G280" s="49">
        <f t="shared" si="21"/>
        <v>0.9923810466</v>
      </c>
      <c r="H280" s="50">
        <f t="shared" si="4"/>
        <v>10.7177153</v>
      </c>
      <c r="I280" s="51">
        <f t="shared" si="5"/>
        <v>504.0541507</v>
      </c>
      <c r="J280" s="58"/>
      <c r="K280" s="58"/>
      <c r="L280" s="59"/>
      <c r="M280" s="52">
        <v>550.0</v>
      </c>
      <c r="N280" s="46">
        <f t="shared" si="6"/>
        <v>58.94743417</v>
      </c>
    </row>
    <row r="281">
      <c r="A281" s="45">
        <v>70801.0</v>
      </c>
      <c r="B281" s="45" t="s">
        <v>332</v>
      </c>
      <c r="C281" s="46">
        <v>17073.0</v>
      </c>
      <c r="D281" s="47">
        <v>54.4</v>
      </c>
      <c r="E281" s="48">
        <v>10.8</v>
      </c>
      <c r="F281" s="49">
        <f t="shared" si="2"/>
        <v>8.5264</v>
      </c>
      <c r="G281" s="49">
        <f t="shared" si="21"/>
        <v>0.9824258959</v>
      </c>
      <c r="H281" s="50">
        <f t="shared" si="4"/>
        <v>10.61019968</v>
      </c>
      <c r="I281" s="51">
        <f t="shared" si="5"/>
        <v>1811.479391</v>
      </c>
      <c r="J281" s="58"/>
      <c r="K281" s="58"/>
      <c r="L281" s="59"/>
      <c r="M281" s="52">
        <v>1718.0</v>
      </c>
      <c r="N281" s="46">
        <f t="shared" si="6"/>
        <v>182.2832304</v>
      </c>
    </row>
    <row r="282">
      <c r="A282" s="45">
        <v>70802.0</v>
      </c>
      <c r="B282" s="45" t="s">
        <v>333</v>
      </c>
      <c r="C282" s="46">
        <v>2134.0</v>
      </c>
      <c r="D282" s="47">
        <v>0.0</v>
      </c>
      <c r="E282" s="48">
        <v>10.8</v>
      </c>
      <c r="F282" s="49">
        <f t="shared" si="2"/>
        <v>8.2</v>
      </c>
      <c r="G282" s="49">
        <f t="shared" si="21"/>
        <v>0.9448175486</v>
      </c>
      <c r="H282" s="50">
        <f t="shared" si="4"/>
        <v>10.20402952</v>
      </c>
      <c r="I282" s="51">
        <f t="shared" si="5"/>
        <v>217.7539901</v>
      </c>
      <c r="J282" s="58"/>
      <c r="K282" s="58"/>
      <c r="L282" s="59"/>
      <c r="M282" s="52">
        <v>212.0</v>
      </c>
      <c r="N282" s="46">
        <f t="shared" si="6"/>
        <v>21.63254259</v>
      </c>
    </row>
    <row r="283">
      <c r="A283" s="45">
        <v>70803.0</v>
      </c>
      <c r="B283" s="45" t="s">
        <v>334</v>
      </c>
      <c r="C283" s="46">
        <v>2985.0</v>
      </c>
      <c r="D283" s="47">
        <v>0.0</v>
      </c>
      <c r="E283" s="48">
        <v>10.8</v>
      </c>
      <c r="F283" s="49">
        <f t="shared" si="2"/>
        <v>8.2</v>
      </c>
      <c r="G283" s="49">
        <f t="shared" si="21"/>
        <v>0.9448175486</v>
      </c>
      <c r="H283" s="50">
        <f t="shared" si="4"/>
        <v>10.20402952</v>
      </c>
      <c r="I283" s="51">
        <f t="shared" si="5"/>
        <v>304.5902813</v>
      </c>
      <c r="J283" s="58"/>
      <c r="K283" s="58"/>
      <c r="L283" s="59"/>
      <c r="M283" s="52">
        <v>324.0</v>
      </c>
      <c r="N283" s="46">
        <f t="shared" si="6"/>
        <v>33.06105566</v>
      </c>
    </row>
    <row r="284">
      <c r="A284" s="45">
        <v>70804.0</v>
      </c>
      <c r="B284" s="45" t="s">
        <v>335</v>
      </c>
      <c r="C284" s="46">
        <v>2446.0</v>
      </c>
      <c r="D284" s="47">
        <v>0.0</v>
      </c>
      <c r="E284" s="48">
        <v>10.8</v>
      </c>
      <c r="F284" s="49">
        <f t="shared" si="2"/>
        <v>8.2</v>
      </c>
      <c r="G284" s="49">
        <f t="shared" si="21"/>
        <v>0.9448175486</v>
      </c>
      <c r="H284" s="50">
        <f t="shared" si="4"/>
        <v>10.20402952</v>
      </c>
      <c r="I284" s="51">
        <f t="shared" si="5"/>
        <v>249.5905622</v>
      </c>
      <c r="J284" s="58"/>
      <c r="K284" s="58"/>
      <c r="L284" s="59"/>
      <c r="M284" s="52">
        <v>271.0</v>
      </c>
      <c r="N284" s="46">
        <f t="shared" si="6"/>
        <v>27.65292001</v>
      </c>
    </row>
    <row r="285">
      <c r="A285" s="45">
        <v>70805.0</v>
      </c>
      <c r="B285" s="45" t="s">
        <v>336</v>
      </c>
      <c r="C285" s="46">
        <v>2248.0</v>
      </c>
      <c r="D285" s="47">
        <v>0.0</v>
      </c>
      <c r="E285" s="48">
        <v>10.8</v>
      </c>
      <c r="F285" s="49">
        <f t="shared" si="2"/>
        <v>8.2</v>
      </c>
      <c r="G285" s="49">
        <f t="shared" si="21"/>
        <v>0.9448175486</v>
      </c>
      <c r="H285" s="50">
        <f t="shared" si="4"/>
        <v>10.20402952</v>
      </c>
      <c r="I285" s="51">
        <f t="shared" si="5"/>
        <v>229.3865837</v>
      </c>
      <c r="J285" s="58"/>
      <c r="K285" s="58"/>
      <c r="L285" s="59"/>
      <c r="M285" s="52">
        <v>252.0</v>
      </c>
      <c r="N285" s="46">
        <f t="shared" si="6"/>
        <v>25.7141544</v>
      </c>
    </row>
    <row r="286">
      <c r="A286" s="45">
        <v>70901.0</v>
      </c>
      <c r="B286" s="45" t="s">
        <v>337</v>
      </c>
      <c r="C286" s="46">
        <v>10205.0</v>
      </c>
      <c r="D286" s="47">
        <v>37.6</v>
      </c>
      <c r="E286" s="48">
        <v>10.8</v>
      </c>
      <c r="F286" s="49">
        <f t="shared" si="2"/>
        <v>8.4256</v>
      </c>
      <c r="G286" s="49">
        <f t="shared" si="21"/>
        <v>0.9708115533</v>
      </c>
      <c r="H286" s="50">
        <f t="shared" si="4"/>
        <v>10.48476478</v>
      </c>
      <c r="I286" s="51">
        <f t="shared" si="5"/>
        <v>1069.970245</v>
      </c>
      <c r="J286" s="58"/>
      <c r="K286" s="58"/>
      <c r="L286" s="59"/>
      <c r="M286" s="52">
        <v>1108.0</v>
      </c>
      <c r="N286" s="46">
        <f t="shared" si="6"/>
        <v>116.1711937</v>
      </c>
    </row>
    <row r="287">
      <c r="A287" s="45">
        <v>70902.0</v>
      </c>
      <c r="B287" s="45" t="s">
        <v>338</v>
      </c>
      <c r="C287" s="46">
        <v>8738.0</v>
      </c>
      <c r="D287" s="47">
        <v>36.7</v>
      </c>
      <c r="E287" s="48">
        <v>10.8</v>
      </c>
      <c r="F287" s="49">
        <f t="shared" si="2"/>
        <v>8.4202</v>
      </c>
      <c r="G287" s="49">
        <f t="shared" si="21"/>
        <v>0.9701893564</v>
      </c>
      <c r="H287" s="50">
        <f t="shared" si="4"/>
        <v>10.47804505</v>
      </c>
      <c r="I287" s="51">
        <f t="shared" si="5"/>
        <v>915.5715764</v>
      </c>
      <c r="J287" s="58"/>
      <c r="K287" s="58"/>
      <c r="L287" s="59"/>
      <c r="M287" s="52">
        <v>1044.0</v>
      </c>
      <c r="N287" s="46">
        <f t="shared" si="6"/>
        <v>109.3907903</v>
      </c>
    </row>
    <row r="288">
      <c r="A288" s="45">
        <v>70903.0</v>
      </c>
      <c r="B288" s="45" t="s">
        <v>339</v>
      </c>
      <c r="C288" s="46">
        <v>9293.0</v>
      </c>
      <c r="D288" s="47">
        <v>60.5</v>
      </c>
      <c r="E288" s="48">
        <v>10.8</v>
      </c>
      <c r="F288" s="49">
        <f t="shared" si="2"/>
        <v>8.563</v>
      </c>
      <c r="G288" s="49">
        <f t="shared" si="21"/>
        <v>0.9866430083</v>
      </c>
      <c r="H288" s="50">
        <f t="shared" si="4"/>
        <v>10.65574449</v>
      </c>
      <c r="I288" s="51">
        <f t="shared" si="5"/>
        <v>990.2383355</v>
      </c>
      <c r="J288" s="58"/>
      <c r="K288" s="58"/>
      <c r="L288" s="59"/>
      <c r="M288" s="52">
        <v>1126.0</v>
      </c>
      <c r="N288" s="46">
        <f t="shared" si="6"/>
        <v>119.983683</v>
      </c>
    </row>
    <row r="289">
      <c r="A289" s="45">
        <v>70904.0</v>
      </c>
      <c r="B289" s="45" t="s">
        <v>340</v>
      </c>
      <c r="C289" s="46">
        <v>2643.0</v>
      </c>
      <c r="D289" s="47">
        <v>0.0</v>
      </c>
      <c r="E289" s="48">
        <v>10.8</v>
      </c>
      <c r="F289" s="49">
        <f t="shared" si="2"/>
        <v>8.2</v>
      </c>
      <c r="G289" s="49">
        <f t="shared" si="21"/>
        <v>0.9448175486</v>
      </c>
      <c r="H289" s="50">
        <f t="shared" si="4"/>
        <v>10.20402952</v>
      </c>
      <c r="I289" s="51">
        <f t="shared" si="5"/>
        <v>269.6925003</v>
      </c>
      <c r="J289" s="58"/>
      <c r="K289" s="58"/>
      <c r="L289" s="59"/>
      <c r="M289" s="52">
        <v>314.0</v>
      </c>
      <c r="N289" s="46">
        <f t="shared" si="6"/>
        <v>32.04065271</v>
      </c>
    </row>
    <row r="290">
      <c r="A290" s="45">
        <v>71001.0</v>
      </c>
      <c r="B290" s="45" t="s">
        <v>341</v>
      </c>
      <c r="C290" s="46">
        <v>98908.0</v>
      </c>
      <c r="D290" s="47">
        <v>97.8</v>
      </c>
      <c r="E290" s="48">
        <v>10.8</v>
      </c>
      <c r="F290" s="49">
        <f t="shared" si="2"/>
        <v>8.7868</v>
      </c>
      <c r="G290" s="49">
        <f t="shared" si="21"/>
        <v>1.012429614</v>
      </c>
      <c r="H290" s="50">
        <f t="shared" si="4"/>
        <v>10.93423983</v>
      </c>
      <c r="I290" s="51">
        <f t="shared" si="5"/>
        <v>10814.83793</v>
      </c>
      <c r="J290" s="58"/>
      <c r="K290" s="58"/>
      <c r="L290" s="59"/>
      <c r="M290" s="52">
        <v>11612.0</v>
      </c>
      <c r="N290" s="46">
        <f t="shared" si="6"/>
        <v>1269.683929</v>
      </c>
    </row>
    <row r="291">
      <c r="A291" s="45">
        <v>71002.0</v>
      </c>
      <c r="B291" s="45" t="s">
        <v>342</v>
      </c>
      <c r="C291" s="46">
        <v>15076.0</v>
      </c>
      <c r="D291" s="47">
        <v>31.6</v>
      </c>
      <c r="E291" s="48">
        <v>10.8</v>
      </c>
      <c r="F291" s="49">
        <f t="shared" si="2"/>
        <v>8.3896</v>
      </c>
      <c r="G291" s="49">
        <f t="shared" si="21"/>
        <v>0.9666635738</v>
      </c>
      <c r="H291" s="50">
        <f t="shared" si="4"/>
        <v>10.4399666</v>
      </c>
      <c r="I291" s="51">
        <f t="shared" si="5"/>
        <v>1573.929364</v>
      </c>
      <c r="J291" s="58"/>
      <c r="K291" s="58"/>
      <c r="L291" s="59"/>
      <c r="M291" s="52">
        <v>2180.0</v>
      </c>
      <c r="N291" s="46">
        <f t="shared" si="6"/>
        <v>227.5912718</v>
      </c>
    </row>
    <row r="292">
      <c r="A292" s="45">
        <v>71003.0</v>
      </c>
      <c r="B292" s="45" t="s">
        <v>343</v>
      </c>
      <c r="C292" s="46">
        <v>22013.0</v>
      </c>
      <c r="D292" s="47">
        <v>74.5</v>
      </c>
      <c r="E292" s="48">
        <v>10.8</v>
      </c>
      <c r="F292" s="49">
        <f t="shared" si="2"/>
        <v>8.647</v>
      </c>
      <c r="G292" s="49">
        <f t="shared" si="21"/>
        <v>0.9963216271</v>
      </c>
      <c r="H292" s="50">
        <f t="shared" si="4"/>
        <v>10.76027357</v>
      </c>
      <c r="I292" s="51">
        <f t="shared" si="5"/>
        <v>2368.659022</v>
      </c>
      <c r="J292" s="58"/>
      <c r="K292" s="58"/>
      <c r="L292" s="59"/>
      <c r="M292" s="52">
        <v>2984.0</v>
      </c>
      <c r="N292" s="46">
        <f t="shared" si="6"/>
        <v>321.0865634</v>
      </c>
    </row>
    <row r="293">
      <c r="A293" s="45">
        <v>71004.0</v>
      </c>
      <c r="B293" s="45" t="s">
        <v>344</v>
      </c>
      <c r="C293" s="46">
        <v>13752.0</v>
      </c>
      <c r="D293" s="47">
        <v>63.1</v>
      </c>
      <c r="E293" s="48">
        <v>10.8</v>
      </c>
      <c r="F293" s="49">
        <f t="shared" si="2"/>
        <v>8.5786</v>
      </c>
      <c r="G293" s="49">
        <f t="shared" si="21"/>
        <v>0.9884404661</v>
      </c>
      <c r="H293" s="50">
        <f t="shared" si="4"/>
        <v>10.67515703</v>
      </c>
      <c r="I293" s="51">
        <f t="shared" si="5"/>
        <v>1468.047595</v>
      </c>
      <c r="J293" s="58"/>
      <c r="K293" s="58"/>
      <c r="L293" s="59"/>
      <c r="M293" s="52">
        <v>1711.0</v>
      </c>
      <c r="N293" s="46">
        <f t="shared" si="6"/>
        <v>182.6519369</v>
      </c>
    </row>
    <row r="294">
      <c r="A294" s="45">
        <v>71005.0</v>
      </c>
      <c r="B294" s="45" t="s">
        <v>270</v>
      </c>
      <c r="C294" s="46">
        <v>17482.0</v>
      </c>
      <c r="D294" s="47">
        <v>38.7</v>
      </c>
      <c r="E294" s="48">
        <v>10.8</v>
      </c>
      <c r="F294" s="49">
        <f t="shared" si="2"/>
        <v>8.4322</v>
      </c>
      <c r="G294" s="49">
        <f t="shared" si="21"/>
        <v>0.9715720162</v>
      </c>
      <c r="H294" s="50">
        <f t="shared" si="4"/>
        <v>10.49297778</v>
      </c>
      <c r="I294" s="51">
        <f t="shared" si="5"/>
        <v>1834.382375</v>
      </c>
      <c r="J294" s="58"/>
      <c r="K294" s="58"/>
      <c r="L294" s="59"/>
      <c r="M294" s="52">
        <v>2209.0</v>
      </c>
      <c r="N294" s="46">
        <f t="shared" si="6"/>
        <v>231.7898791</v>
      </c>
    </row>
    <row r="295">
      <c r="A295" s="45">
        <v>71101.0</v>
      </c>
      <c r="B295" s="45" t="s">
        <v>345</v>
      </c>
      <c r="C295" s="46">
        <v>17244.0</v>
      </c>
      <c r="D295" s="47">
        <v>47.5</v>
      </c>
      <c r="E295" s="48">
        <v>10.8</v>
      </c>
      <c r="F295" s="49">
        <f t="shared" si="2"/>
        <v>8.485</v>
      </c>
      <c r="G295" s="49">
        <f t="shared" si="21"/>
        <v>0.9776557195</v>
      </c>
      <c r="H295" s="50">
        <f t="shared" si="4"/>
        <v>10.55868177</v>
      </c>
      <c r="I295" s="51">
        <f t="shared" si="5"/>
        <v>1820.739084</v>
      </c>
      <c r="J295" s="58"/>
      <c r="K295" s="58"/>
      <c r="L295" s="59"/>
      <c r="M295" s="52">
        <v>2485.0</v>
      </c>
      <c r="N295" s="46">
        <f t="shared" si="6"/>
        <v>262.383242</v>
      </c>
    </row>
    <row r="296">
      <c r="A296" s="45">
        <v>71102.0</v>
      </c>
      <c r="B296" s="45" t="s">
        <v>346</v>
      </c>
      <c r="C296" s="46">
        <v>12782.0</v>
      </c>
      <c r="D296" s="47">
        <v>51.1</v>
      </c>
      <c r="E296" s="48">
        <v>10.8</v>
      </c>
      <c r="F296" s="49">
        <f t="shared" si="2"/>
        <v>8.5066</v>
      </c>
      <c r="G296" s="49">
        <f t="shared" si="21"/>
        <v>0.9801445072</v>
      </c>
      <c r="H296" s="50">
        <f t="shared" si="4"/>
        <v>10.58556068</v>
      </c>
      <c r="I296" s="51">
        <f t="shared" si="5"/>
        <v>1353.046366</v>
      </c>
      <c r="J296" s="58"/>
      <c r="K296" s="58"/>
      <c r="L296" s="59"/>
      <c r="M296" s="52">
        <v>1876.0</v>
      </c>
      <c r="N296" s="46">
        <f t="shared" si="6"/>
        <v>198.5851183</v>
      </c>
    </row>
    <row r="297">
      <c r="A297" s="45">
        <v>71103.0</v>
      </c>
      <c r="B297" s="45" t="s">
        <v>347</v>
      </c>
      <c r="C297" s="46">
        <v>18594.0</v>
      </c>
      <c r="D297" s="47">
        <v>84.9</v>
      </c>
      <c r="E297" s="48">
        <v>10.8</v>
      </c>
      <c r="F297" s="49">
        <f t="shared" si="2"/>
        <v>8.7094</v>
      </c>
      <c r="G297" s="49">
        <f t="shared" si="21"/>
        <v>1.003511458</v>
      </c>
      <c r="H297" s="50">
        <f t="shared" si="4"/>
        <v>10.83792375</v>
      </c>
      <c r="I297" s="51">
        <f t="shared" si="5"/>
        <v>2015.203542</v>
      </c>
      <c r="J297" s="58"/>
      <c r="K297" s="58"/>
      <c r="L297" s="59"/>
      <c r="M297" s="52">
        <v>913.0</v>
      </c>
      <c r="N297" s="46">
        <f t="shared" si="6"/>
        <v>98.95024383</v>
      </c>
    </row>
    <row r="298">
      <c r="A298" s="45">
        <v>71104.0</v>
      </c>
      <c r="B298" s="45" t="s">
        <v>348</v>
      </c>
      <c r="C298" s="46">
        <v>32462.0</v>
      </c>
      <c r="D298" s="47">
        <v>32.3</v>
      </c>
      <c r="E298" s="48">
        <v>10.8</v>
      </c>
      <c r="F298" s="49">
        <f t="shared" si="2"/>
        <v>8.3938</v>
      </c>
      <c r="G298" s="49">
        <f t="shared" si="21"/>
        <v>0.9671475048</v>
      </c>
      <c r="H298" s="50">
        <f t="shared" si="4"/>
        <v>10.44519305</v>
      </c>
      <c r="I298" s="51">
        <f t="shared" si="5"/>
        <v>3390.718568</v>
      </c>
      <c r="J298" s="58"/>
      <c r="K298" s="58"/>
      <c r="L298" s="59"/>
      <c r="M298" s="52">
        <v>6204.0</v>
      </c>
      <c r="N298" s="46">
        <f t="shared" si="6"/>
        <v>648.0197769</v>
      </c>
    </row>
    <row r="299">
      <c r="A299" s="45">
        <v>71105.0</v>
      </c>
      <c r="B299" s="45" t="s">
        <v>349</v>
      </c>
      <c r="C299" s="46">
        <v>6182.0</v>
      </c>
      <c r="D299" s="47">
        <v>0.0</v>
      </c>
      <c r="E299" s="48">
        <v>10.8</v>
      </c>
      <c r="F299" s="49">
        <f t="shared" si="2"/>
        <v>8.2</v>
      </c>
      <c r="G299" s="49">
        <f t="shared" si="21"/>
        <v>0.9448175486</v>
      </c>
      <c r="H299" s="50">
        <f t="shared" si="4"/>
        <v>10.20402952</v>
      </c>
      <c r="I299" s="51">
        <f t="shared" si="5"/>
        <v>630.8131052</v>
      </c>
      <c r="J299" s="58"/>
      <c r="K299" s="58"/>
      <c r="L299" s="59"/>
      <c r="M299" s="52">
        <v>919.0</v>
      </c>
      <c r="N299" s="46">
        <f t="shared" si="6"/>
        <v>93.77503133</v>
      </c>
    </row>
    <row r="300">
      <c r="A300" s="45">
        <v>71106.0</v>
      </c>
      <c r="B300" s="45" t="s">
        <v>350</v>
      </c>
      <c r="C300" s="46">
        <v>20928.0</v>
      </c>
      <c r="D300" s="47">
        <v>32.3</v>
      </c>
      <c r="E300" s="48">
        <v>10.8</v>
      </c>
      <c r="F300" s="49">
        <f t="shared" si="2"/>
        <v>8.3938</v>
      </c>
      <c r="G300" s="49">
        <f t="shared" si="21"/>
        <v>0.9671475048</v>
      </c>
      <c r="H300" s="50">
        <f t="shared" si="4"/>
        <v>10.44519305</v>
      </c>
      <c r="I300" s="51">
        <f t="shared" si="5"/>
        <v>2185.970002</v>
      </c>
      <c r="J300" s="58"/>
      <c r="K300" s="58"/>
      <c r="L300" s="59"/>
      <c r="M300" s="52">
        <v>3123.0</v>
      </c>
      <c r="N300" s="46">
        <f t="shared" si="6"/>
        <v>326.203379</v>
      </c>
    </row>
    <row r="301">
      <c r="A301" s="45">
        <v>71201.0</v>
      </c>
      <c r="B301" s="45" t="s">
        <v>351</v>
      </c>
      <c r="C301" s="46">
        <v>13962.0</v>
      </c>
      <c r="D301" s="47">
        <v>42.8</v>
      </c>
      <c r="E301" s="48">
        <v>10.8</v>
      </c>
      <c r="F301" s="49">
        <f t="shared" si="2"/>
        <v>8.4568</v>
      </c>
      <c r="G301" s="49">
        <f t="shared" si="21"/>
        <v>0.9744064689</v>
      </c>
      <c r="H301" s="50">
        <f t="shared" si="4"/>
        <v>10.52358986</v>
      </c>
      <c r="I301" s="51">
        <f t="shared" si="5"/>
        <v>1469.303617</v>
      </c>
      <c r="J301" s="58"/>
      <c r="K301" s="58"/>
      <c r="L301" s="59"/>
      <c r="M301" s="52">
        <v>1818.0</v>
      </c>
      <c r="N301" s="46">
        <f t="shared" si="6"/>
        <v>191.3188637</v>
      </c>
    </row>
    <row r="302">
      <c r="A302" s="45">
        <v>71301.0</v>
      </c>
      <c r="B302" s="45" t="s">
        <v>352</v>
      </c>
      <c r="C302" s="46">
        <v>15461.0</v>
      </c>
      <c r="D302" s="47">
        <v>31.4</v>
      </c>
      <c r="E302" s="48">
        <v>10.8</v>
      </c>
      <c r="F302" s="49">
        <f t="shared" si="2"/>
        <v>8.3884</v>
      </c>
      <c r="G302" s="49">
        <f t="shared" si="21"/>
        <v>0.9665253079</v>
      </c>
      <c r="H302" s="50">
        <f t="shared" si="4"/>
        <v>10.43847332</v>
      </c>
      <c r="I302" s="51">
        <f t="shared" si="5"/>
        <v>1613.892361</v>
      </c>
      <c r="J302" s="58"/>
      <c r="K302" s="58"/>
      <c r="L302" s="59"/>
      <c r="M302" s="52">
        <v>2045.0</v>
      </c>
      <c r="N302" s="46">
        <f t="shared" si="6"/>
        <v>213.4667795</v>
      </c>
    </row>
    <row r="303">
      <c r="A303" s="45">
        <v>71302.0</v>
      </c>
      <c r="B303" s="45" t="s">
        <v>353</v>
      </c>
      <c r="C303" s="46">
        <v>6648.0</v>
      </c>
      <c r="D303" s="47">
        <v>51.4</v>
      </c>
      <c r="E303" s="48">
        <v>10.8</v>
      </c>
      <c r="F303" s="49">
        <f t="shared" si="2"/>
        <v>8.5084</v>
      </c>
      <c r="G303" s="49">
        <f t="shared" si="21"/>
        <v>0.9803519061</v>
      </c>
      <c r="H303" s="50">
        <f t="shared" si="4"/>
        <v>10.58780059</v>
      </c>
      <c r="I303" s="51">
        <f t="shared" si="5"/>
        <v>703.876983</v>
      </c>
      <c r="J303" s="58"/>
      <c r="K303" s="58"/>
      <c r="L303" s="59"/>
      <c r="M303" s="52">
        <v>878.0</v>
      </c>
      <c r="N303" s="46">
        <f t="shared" si="6"/>
        <v>92.96088915</v>
      </c>
    </row>
    <row r="304">
      <c r="A304" s="45">
        <v>71401.0</v>
      </c>
      <c r="B304" s="45" t="s">
        <v>354</v>
      </c>
      <c r="C304" s="46">
        <v>18149.0</v>
      </c>
      <c r="D304" s="47">
        <v>80.1</v>
      </c>
      <c r="E304" s="48">
        <v>10.8</v>
      </c>
      <c r="F304" s="49">
        <f t="shared" si="2"/>
        <v>8.6806</v>
      </c>
      <c r="G304" s="49">
        <f t="shared" si="21"/>
        <v>1.000193075</v>
      </c>
      <c r="H304" s="50">
        <f t="shared" si="4"/>
        <v>10.80208521</v>
      </c>
      <c r="I304" s="51">
        <f t="shared" si="5"/>
        <v>1960.470444</v>
      </c>
      <c r="J304" s="58"/>
      <c r="K304" s="58"/>
      <c r="L304" s="59"/>
      <c r="M304" s="52">
        <v>1989.0</v>
      </c>
      <c r="N304" s="46">
        <f t="shared" si="6"/>
        <v>214.8534748</v>
      </c>
    </row>
    <row r="305">
      <c r="A305" s="45">
        <v>71402.0</v>
      </c>
      <c r="B305" s="45" t="s">
        <v>355</v>
      </c>
      <c r="C305" s="46">
        <v>15293.0</v>
      </c>
      <c r="D305" s="47">
        <v>97.9</v>
      </c>
      <c r="E305" s="48">
        <v>10.8</v>
      </c>
      <c r="F305" s="49">
        <f t="shared" si="2"/>
        <v>8.7874</v>
      </c>
      <c r="G305" s="49">
        <f t="shared" si="21"/>
        <v>1.012498747</v>
      </c>
      <c r="H305" s="50">
        <f t="shared" si="4"/>
        <v>10.93498647</v>
      </c>
      <c r="I305" s="51">
        <f t="shared" si="5"/>
        <v>1672.287481</v>
      </c>
      <c r="J305" s="58"/>
      <c r="K305" s="58"/>
      <c r="L305" s="59"/>
      <c r="M305" s="52">
        <v>1778.0</v>
      </c>
      <c r="N305" s="46">
        <f t="shared" si="6"/>
        <v>194.4240594</v>
      </c>
    </row>
    <row r="306">
      <c r="A306" s="45">
        <v>71403.0</v>
      </c>
      <c r="B306" s="45" t="s">
        <v>356</v>
      </c>
      <c r="C306" s="46">
        <v>5815.0</v>
      </c>
      <c r="D306" s="47">
        <v>49.0</v>
      </c>
      <c r="E306" s="48">
        <v>10.8</v>
      </c>
      <c r="F306" s="49">
        <f t="shared" si="2"/>
        <v>8.494</v>
      </c>
      <c r="G306" s="49">
        <f t="shared" si="21"/>
        <v>0.9786927143</v>
      </c>
      <c r="H306" s="50">
        <f t="shared" si="4"/>
        <v>10.56988131</v>
      </c>
      <c r="I306" s="51">
        <f t="shared" si="5"/>
        <v>614.6385985</v>
      </c>
      <c r="J306" s="58"/>
      <c r="K306" s="58"/>
      <c r="L306" s="59"/>
      <c r="M306" s="52">
        <v>769.0</v>
      </c>
      <c r="N306" s="46">
        <f t="shared" si="6"/>
        <v>81.28238731</v>
      </c>
    </row>
    <row r="307">
      <c r="A307" s="45">
        <v>71501.0</v>
      </c>
      <c r="B307" s="45" t="s">
        <v>357</v>
      </c>
      <c r="C307" s="46">
        <v>23402.0</v>
      </c>
      <c r="D307" s="47">
        <v>73.3</v>
      </c>
      <c r="E307" s="48">
        <v>10.8</v>
      </c>
      <c r="F307" s="49">
        <f t="shared" si="2"/>
        <v>8.6398</v>
      </c>
      <c r="G307" s="49">
        <f t="shared" si="21"/>
        <v>0.9954920312</v>
      </c>
      <c r="H307" s="50">
        <f t="shared" si="4"/>
        <v>10.75131394</v>
      </c>
      <c r="I307" s="51">
        <f t="shared" si="5"/>
        <v>2516.022488</v>
      </c>
      <c r="J307" s="45"/>
      <c r="K307" s="45"/>
      <c r="L307" s="45"/>
      <c r="M307" s="52">
        <v>3312.0</v>
      </c>
      <c r="N307" s="46">
        <f t="shared" si="6"/>
        <v>356.0835176</v>
      </c>
    </row>
    <row r="308">
      <c r="A308" s="45">
        <v>71502.0</v>
      </c>
      <c r="B308" s="45" t="s">
        <v>358</v>
      </c>
      <c r="C308" s="46">
        <v>6638.0</v>
      </c>
      <c r="D308" s="47">
        <v>76.6</v>
      </c>
      <c r="E308" s="48">
        <v>10.8</v>
      </c>
      <c r="F308" s="49">
        <f t="shared" si="2"/>
        <v>8.6596</v>
      </c>
      <c r="G308" s="49">
        <f t="shared" si="21"/>
        <v>0.99777342</v>
      </c>
      <c r="H308" s="50">
        <f t="shared" si="4"/>
        <v>10.77595294</v>
      </c>
      <c r="I308" s="51">
        <f t="shared" si="5"/>
        <v>715.3077559</v>
      </c>
      <c r="J308" s="58"/>
      <c r="K308" s="58"/>
      <c r="L308" s="59"/>
      <c r="M308" s="52">
        <v>1002.0</v>
      </c>
      <c r="N308" s="46">
        <f t="shared" si="6"/>
        <v>107.9750484</v>
      </c>
    </row>
    <row r="309">
      <c r="A309" s="45">
        <v>71503.0</v>
      </c>
      <c r="B309" s="45" t="s">
        <v>304</v>
      </c>
      <c r="C309" s="46">
        <v>12179.0</v>
      </c>
      <c r="D309" s="47">
        <v>19.7</v>
      </c>
      <c r="E309" s="48">
        <v>10.8</v>
      </c>
      <c r="F309" s="49">
        <f t="shared" si="2"/>
        <v>8.3182</v>
      </c>
      <c r="G309" s="49">
        <f t="shared" si="21"/>
        <v>0.9584367479</v>
      </c>
      <c r="H309" s="50">
        <f t="shared" si="4"/>
        <v>10.35111688</v>
      </c>
      <c r="I309" s="51">
        <f t="shared" si="5"/>
        <v>1260.662524</v>
      </c>
      <c r="J309" s="58"/>
      <c r="K309" s="58"/>
      <c r="L309" s="59"/>
      <c r="M309" s="52">
        <v>1719.0</v>
      </c>
      <c r="N309" s="46">
        <f t="shared" si="6"/>
        <v>177.9356991</v>
      </c>
    </row>
    <row r="310">
      <c r="A310" s="45">
        <v>80101.0</v>
      </c>
      <c r="B310" s="45" t="s">
        <v>359</v>
      </c>
      <c r="C310" s="46">
        <v>96911.0</v>
      </c>
      <c r="D310" s="47">
        <v>95.0</v>
      </c>
      <c r="E310" s="45">
        <v>7.3</v>
      </c>
      <c r="F310" s="49">
        <f t="shared" si="2"/>
        <v>8.77</v>
      </c>
      <c r="G310" s="49">
        <f t="shared" ref="G310:G329" si="22">0.97*F310/F$345</f>
        <v>1.021019868</v>
      </c>
      <c r="H310" s="50">
        <f t="shared" si="4"/>
        <v>7.453445039</v>
      </c>
      <c r="I310" s="51">
        <f t="shared" si="5"/>
        <v>7223.208122</v>
      </c>
      <c r="J310" s="52">
        <f>SUM(C310:C329)</f>
        <v>400375</v>
      </c>
      <c r="K310" s="52">
        <f>SUM(I310:I329)</f>
        <v>29364.30235</v>
      </c>
      <c r="L310" s="53">
        <f>K310/J310</f>
        <v>0.07334199775</v>
      </c>
      <c r="M310" s="52">
        <v>11424.0</v>
      </c>
      <c r="N310" s="46">
        <f t="shared" si="6"/>
        <v>851.4815613</v>
      </c>
    </row>
    <row r="311">
      <c r="A311" s="45">
        <v>80102.0</v>
      </c>
      <c r="B311" s="45" t="s">
        <v>346</v>
      </c>
      <c r="C311" s="46">
        <v>4336.0</v>
      </c>
      <c r="D311" s="47">
        <v>0.0</v>
      </c>
      <c r="E311" s="45">
        <v>7.3</v>
      </c>
      <c r="F311" s="49">
        <f t="shared" si="2"/>
        <v>8.2</v>
      </c>
      <c r="G311" s="49">
        <f t="shared" si="22"/>
        <v>0.954659398</v>
      </c>
      <c r="H311" s="50">
        <f t="shared" si="4"/>
        <v>6.969013606</v>
      </c>
      <c r="I311" s="51">
        <f t="shared" si="5"/>
        <v>302.1764299</v>
      </c>
      <c r="J311" s="58"/>
      <c r="K311" s="58"/>
      <c r="L311" s="59"/>
      <c r="M311" s="52">
        <v>646.0</v>
      </c>
      <c r="N311" s="46">
        <f t="shared" si="6"/>
        <v>45.01982789</v>
      </c>
    </row>
    <row r="312">
      <c r="A312" s="45">
        <v>80201.0</v>
      </c>
      <c r="B312" s="45" t="s">
        <v>360</v>
      </c>
      <c r="C312" s="46">
        <v>84278.0</v>
      </c>
      <c r="D312" s="47">
        <v>87.2</v>
      </c>
      <c r="E312" s="45">
        <v>7.3</v>
      </c>
      <c r="F312" s="49">
        <f t="shared" si="2"/>
        <v>8.7232</v>
      </c>
      <c r="G312" s="49">
        <f t="shared" si="22"/>
        <v>1.015571325</v>
      </c>
      <c r="H312" s="50">
        <f t="shared" si="4"/>
        <v>7.413670669</v>
      </c>
      <c r="I312" s="51">
        <f t="shared" si="5"/>
        <v>6248.093366</v>
      </c>
      <c r="J312" s="58"/>
      <c r="K312" s="58"/>
      <c r="L312" s="59"/>
      <c r="M312" s="52">
        <v>12131.0</v>
      </c>
      <c r="N312" s="46">
        <f t="shared" si="6"/>
        <v>899.3523888</v>
      </c>
    </row>
    <row r="313">
      <c r="A313" s="45">
        <v>80202.0</v>
      </c>
      <c r="B313" s="45" t="s">
        <v>361</v>
      </c>
      <c r="C313" s="46">
        <v>41316.0</v>
      </c>
      <c r="D313" s="47">
        <v>84.2</v>
      </c>
      <c r="E313" s="45">
        <v>7.3</v>
      </c>
      <c r="F313" s="49">
        <f t="shared" si="2"/>
        <v>8.7052</v>
      </c>
      <c r="G313" s="49">
        <f t="shared" si="22"/>
        <v>1.013475731</v>
      </c>
      <c r="H313" s="50">
        <f t="shared" si="4"/>
        <v>7.398372834</v>
      </c>
      <c r="I313" s="51">
        <f t="shared" si="5"/>
        <v>3056.71172</v>
      </c>
      <c r="J313" s="58"/>
      <c r="K313" s="58"/>
      <c r="L313" s="59"/>
      <c r="M313" s="52">
        <v>5395.0</v>
      </c>
      <c r="N313" s="46">
        <f t="shared" si="6"/>
        <v>399.1422144</v>
      </c>
    </row>
    <row r="314">
      <c r="A314" s="45">
        <v>80301.0</v>
      </c>
      <c r="B314" s="45" t="s">
        <v>362</v>
      </c>
      <c r="C314" s="46">
        <v>12475.0</v>
      </c>
      <c r="D314" s="47">
        <v>54.9</v>
      </c>
      <c r="E314" s="45">
        <v>7.3</v>
      </c>
      <c r="F314" s="49">
        <f t="shared" si="2"/>
        <v>8.5294</v>
      </c>
      <c r="G314" s="49">
        <f t="shared" si="22"/>
        <v>0.9930087646</v>
      </c>
      <c r="H314" s="50">
        <f t="shared" si="4"/>
        <v>7.248963981</v>
      </c>
      <c r="I314" s="51">
        <f t="shared" si="5"/>
        <v>904.3082567</v>
      </c>
      <c r="J314" s="58"/>
      <c r="K314" s="58"/>
      <c r="L314" s="59"/>
      <c r="M314" s="52">
        <v>1719.0</v>
      </c>
      <c r="N314" s="46">
        <f t="shared" si="6"/>
        <v>124.6096908</v>
      </c>
    </row>
    <row r="315">
      <c r="A315" s="45">
        <v>80302.0</v>
      </c>
      <c r="B315" s="45" t="s">
        <v>363</v>
      </c>
      <c r="C315" s="46">
        <v>38500.0</v>
      </c>
      <c r="D315" s="47">
        <v>55.0</v>
      </c>
      <c r="E315" s="45">
        <v>7.3</v>
      </c>
      <c r="F315" s="49">
        <f t="shared" si="2"/>
        <v>8.53</v>
      </c>
      <c r="G315" s="49">
        <f t="shared" si="22"/>
        <v>0.9930786177</v>
      </c>
      <c r="H315" s="50">
        <f t="shared" si="4"/>
        <v>7.249473909</v>
      </c>
      <c r="I315" s="51">
        <f t="shared" si="5"/>
        <v>2791.047455</v>
      </c>
      <c r="J315" s="58"/>
      <c r="K315" s="58"/>
      <c r="L315" s="59"/>
      <c r="M315" s="52">
        <v>5915.0</v>
      </c>
      <c r="N315" s="46">
        <f t="shared" si="6"/>
        <v>428.8063817</v>
      </c>
    </row>
    <row r="316">
      <c r="A316" s="45">
        <v>80303.0</v>
      </c>
      <c r="B316" s="45" t="s">
        <v>323</v>
      </c>
      <c r="C316" s="46">
        <v>9310.0</v>
      </c>
      <c r="D316" s="47">
        <v>48.0</v>
      </c>
      <c r="E316" s="45">
        <v>7.3</v>
      </c>
      <c r="F316" s="49">
        <f t="shared" si="2"/>
        <v>8.488</v>
      </c>
      <c r="G316" s="49">
        <f t="shared" si="22"/>
        <v>0.9881888988</v>
      </c>
      <c r="H316" s="50">
        <f t="shared" si="4"/>
        <v>7.213778962</v>
      </c>
      <c r="I316" s="51">
        <f t="shared" si="5"/>
        <v>671.6028213</v>
      </c>
      <c r="J316" s="58"/>
      <c r="K316" s="58"/>
      <c r="L316" s="59"/>
      <c r="M316" s="52">
        <v>1334.0</v>
      </c>
      <c r="N316" s="46">
        <f t="shared" si="6"/>
        <v>96.23181135</v>
      </c>
    </row>
    <row r="317">
      <c r="A317" s="45">
        <v>80304.0</v>
      </c>
      <c r="B317" s="45" t="s">
        <v>364</v>
      </c>
      <c r="C317" s="46">
        <v>17185.0</v>
      </c>
      <c r="D317" s="47">
        <v>67.1</v>
      </c>
      <c r="E317" s="45">
        <v>7.3</v>
      </c>
      <c r="F317" s="49">
        <f t="shared" si="2"/>
        <v>8.6026</v>
      </c>
      <c r="G317" s="49">
        <f t="shared" si="22"/>
        <v>1.001530846</v>
      </c>
      <c r="H317" s="50">
        <f t="shared" si="4"/>
        <v>7.311175176</v>
      </c>
      <c r="I317" s="51">
        <f t="shared" si="5"/>
        <v>1256.425454</v>
      </c>
      <c r="J317" s="58"/>
      <c r="K317" s="58"/>
      <c r="L317" s="59"/>
      <c r="M317" s="52">
        <v>2291.0</v>
      </c>
      <c r="N317" s="46">
        <f t="shared" si="6"/>
        <v>167.4990233</v>
      </c>
    </row>
    <row r="318">
      <c r="A318" s="45">
        <v>80401.0</v>
      </c>
      <c r="B318" s="45" t="s">
        <v>365</v>
      </c>
      <c r="C318" s="46">
        <v>18740.0</v>
      </c>
      <c r="D318" s="47">
        <v>67.0</v>
      </c>
      <c r="E318" s="45">
        <v>7.3</v>
      </c>
      <c r="F318" s="49">
        <f t="shared" si="2"/>
        <v>8.602</v>
      </c>
      <c r="G318" s="49">
        <f t="shared" si="22"/>
        <v>1.001460993</v>
      </c>
      <c r="H318" s="50">
        <f t="shared" si="4"/>
        <v>7.310665248</v>
      </c>
      <c r="I318" s="51">
        <f t="shared" si="5"/>
        <v>1370.018668</v>
      </c>
      <c r="J318" s="58"/>
      <c r="K318" s="58"/>
      <c r="L318" s="59"/>
      <c r="M318" s="52">
        <v>2601.0</v>
      </c>
      <c r="N318" s="46">
        <f t="shared" si="6"/>
        <v>190.1504031</v>
      </c>
    </row>
    <row r="319">
      <c r="A319" s="45">
        <v>80402.0</v>
      </c>
      <c r="B319" s="45" t="s">
        <v>366</v>
      </c>
      <c r="C319" s="46">
        <v>6455.0</v>
      </c>
      <c r="D319" s="47">
        <v>0.0</v>
      </c>
      <c r="E319" s="45">
        <v>7.3</v>
      </c>
      <c r="F319" s="49">
        <f t="shared" si="2"/>
        <v>8.2</v>
      </c>
      <c r="G319" s="49">
        <f t="shared" si="22"/>
        <v>0.954659398</v>
      </c>
      <c r="H319" s="50">
        <f t="shared" si="4"/>
        <v>6.969013606</v>
      </c>
      <c r="I319" s="51">
        <f t="shared" si="5"/>
        <v>449.8498282</v>
      </c>
      <c r="J319" s="58"/>
      <c r="K319" s="58"/>
      <c r="L319" s="59"/>
      <c r="M319" s="52">
        <v>1024.0</v>
      </c>
      <c r="N319" s="46">
        <f t="shared" si="6"/>
        <v>71.36269932</v>
      </c>
    </row>
    <row r="320">
      <c r="A320" s="45">
        <v>80501.0</v>
      </c>
      <c r="B320" s="45" t="s">
        <v>312</v>
      </c>
      <c r="C320" s="46">
        <v>19251.0</v>
      </c>
      <c r="D320" s="47">
        <v>50.0</v>
      </c>
      <c r="E320" s="45">
        <v>7.3</v>
      </c>
      <c r="F320" s="49">
        <f t="shared" si="2"/>
        <v>8.5</v>
      </c>
      <c r="G320" s="49">
        <f t="shared" si="22"/>
        <v>0.9895859614</v>
      </c>
      <c r="H320" s="50">
        <f t="shared" si="4"/>
        <v>7.223977518</v>
      </c>
      <c r="I320" s="51">
        <f t="shared" si="5"/>
        <v>1390.687912</v>
      </c>
      <c r="J320" s="58"/>
      <c r="K320" s="58"/>
      <c r="L320" s="59"/>
      <c r="M320" s="52">
        <v>2949.0</v>
      </c>
      <c r="N320" s="46">
        <f t="shared" si="6"/>
        <v>213.035097</v>
      </c>
    </row>
    <row r="321">
      <c r="A321" s="45">
        <v>80601.0</v>
      </c>
      <c r="B321" s="45" t="s">
        <v>367</v>
      </c>
      <c r="C321" s="46">
        <v>3839.0</v>
      </c>
      <c r="D321" s="47">
        <v>0.0</v>
      </c>
      <c r="E321" s="45">
        <v>7.3</v>
      </c>
      <c r="F321" s="49">
        <f t="shared" si="2"/>
        <v>8.2</v>
      </c>
      <c r="G321" s="49">
        <f t="shared" si="22"/>
        <v>0.954659398</v>
      </c>
      <c r="H321" s="50">
        <f t="shared" si="4"/>
        <v>6.969013606</v>
      </c>
      <c r="I321" s="51">
        <f t="shared" si="5"/>
        <v>267.5404323</v>
      </c>
      <c r="J321" s="58"/>
      <c r="K321" s="58"/>
      <c r="L321" s="59"/>
      <c r="M321" s="52">
        <v>647.0</v>
      </c>
      <c r="N321" s="46">
        <f t="shared" si="6"/>
        <v>45.08951803</v>
      </c>
    </row>
    <row r="322">
      <c r="A322" s="45">
        <v>80602.0</v>
      </c>
      <c r="B322" s="45" t="s">
        <v>368</v>
      </c>
      <c r="C322" s="46">
        <v>11809.0</v>
      </c>
      <c r="D322" s="47">
        <v>11.9</v>
      </c>
      <c r="E322" s="45">
        <v>7.3</v>
      </c>
      <c r="F322" s="49">
        <f t="shared" si="2"/>
        <v>8.2714</v>
      </c>
      <c r="G322" s="49">
        <f t="shared" si="22"/>
        <v>0.9629719201</v>
      </c>
      <c r="H322" s="50">
        <f t="shared" si="4"/>
        <v>7.029695017</v>
      </c>
      <c r="I322" s="51">
        <f t="shared" si="5"/>
        <v>830.1366845</v>
      </c>
      <c r="J322" s="58"/>
      <c r="K322" s="58"/>
      <c r="L322" s="59"/>
      <c r="M322" s="52">
        <v>1658.0</v>
      </c>
      <c r="N322" s="46">
        <f t="shared" si="6"/>
        <v>116.5523434</v>
      </c>
    </row>
    <row r="323">
      <c r="A323" s="45">
        <v>80701.0</v>
      </c>
      <c r="B323" s="45" t="s">
        <v>369</v>
      </c>
      <c r="C323" s="46">
        <v>6384.0</v>
      </c>
      <c r="D323" s="47">
        <v>65.4</v>
      </c>
      <c r="E323" s="45">
        <v>7.3</v>
      </c>
      <c r="F323" s="49">
        <f t="shared" si="2"/>
        <v>8.5924</v>
      </c>
      <c r="G323" s="49">
        <f t="shared" si="22"/>
        <v>1.000343343</v>
      </c>
      <c r="H323" s="50">
        <f t="shared" si="4"/>
        <v>7.302506403</v>
      </c>
      <c r="I323" s="51">
        <f t="shared" si="5"/>
        <v>466.1920088</v>
      </c>
      <c r="J323" s="58"/>
      <c r="K323" s="58"/>
      <c r="L323" s="59"/>
      <c r="M323" s="52">
        <v>827.0</v>
      </c>
      <c r="N323" s="46">
        <f t="shared" si="6"/>
        <v>60.39172795</v>
      </c>
    </row>
    <row r="324">
      <c r="A324" s="45">
        <v>80702.0</v>
      </c>
      <c r="B324" s="45" t="s">
        <v>347</v>
      </c>
      <c r="C324" s="46">
        <v>5308.0</v>
      </c>
      <c r="D324" s="47">
        <v>69.0</v>
      </c>
      <c r="E324" s="45">
        <v>7.3</v>
      </c>
      <c r="F324" s="49">
        <f t="shared" si="2"/>
        <v>8.614</v>
      </c>
      <c r="G324" s="49">
        <f t="shared" si="22"/>
        <v>1.002858055</v>
      </c>
      <c r="H324" s="50">
        <f t="shared" si="4"/>
        <v>7.320863805</v>
      </c>
      <c r="I324" s="51">
        <f t="shared" si="5"/>
        <v>388.5914508</v>
      </c>
      <c r="J324" s="58"/>
      <c r="K324" s="58"/>
      <c r="L324" s="59"/>
      <c r="M324" s="52">
        <v>759.0</v>
      </c>
      <c r="N324" s="46">
        <f t="shared" si="6"/>
        <v>55.56535628</v>
      </c>
    </row>
    <row r="325">
      <c r="A325" s="45">
        <v>80703.0</v>
      </c>
      <c r="B325" s="45" t="s">
        <v>370</v>
      </c>
      <c r="C325" s="46">
        <v>972.0</v>
      </c>
      <c r="D325" s="47">
        <v>0.0</v>
      </c>
      <c r="E325" s="45">
        <v>7.3</v>
      </c>
      <c r="F325" s="49">
        <f t="shared" si="2"/>
        <v>8.2</v>
      </c>
      <c r="G325" s="49">
        <f t="shared" si="22"/>
        <v>0.954659398</v>
      </c>
      <c r="H325" s="50">
        <f t="shared" si="4"/>
        <v>6.969013606</v>
      </c>
      <c r="I325" s="51">
        <f t="shared" si="5"/>
        <v>67.73881225</v>
      </c>
      <c r="J325" s="58"/>
      <c r="K325" s="58"/>
      <c r="L325" s="59"/>
      <c r="M325" s="52">
        <v>166.0</v>
      </c>
      <c r="N325" s="46">
        <f t="shared" si="6"/>
        <v>11.56856259</v>
      </c>
    </row>
    <row r="326">
      <c r="A326" s="45">
        <v>80801.0</v>
      </c>
      <c r="B326" s="45" t="s">
        <v>371</v>
      </c>
      <c r="C326" s="46">
        <v>10843.0</v>
      </c>
      <c r="D326" s="47">
        <v>68.5</v>
      </c>
      <c r="E326" s="45">
        <v>7.3</v>
      </c>
      <c r="F326" s="49">
        <f t="shared" si="2"/>
        <v>8.611</v>
      </c>
      <c r="G326" s="49">
        <f t="shared" si="22"/>
        <v>1.00250879</v>
      </c>
      <c r="H326" s="50">
        <f t="shared" si="4"/>
        <v>7.318314166</v>
      </c>
      <c r="I326" s="51">
        <f t="shared" si="5"/>
        <v>793.524805</v>
      </c>
      <c r="J326" s="45"/>
      <c r="K326" s="45"/>
      <c r="L326" s="45"/>
      <c r="M326" s="52">
        <v>1460.0</v>
      </c>
      <c r="N326" s="46">
        <f t="shared" si="6"/>
        <v>106.8473868</v>
      </c>
    </row>
    <row r="327">
      <c r="A327" s="45">
        <v>80802.0</v>
      </c>
      <c r="B327" s="45" t="s">
        <v>372</v>
      </c>
      <c r="C327" s="46">
        <v>5710.0</v>
      </c>
      <c r="D327" s="47">
        <v>39.4</v>
      </c>
      <c r="E327" s="45">
        <v>7.3</v>
      </c>
      <c r="F327" s="49">
        <f t="shared" si="2"/>
        <v>8.4364</v>
      </c>
      <c r="G327" s="49">
        <f t="shared" si="22"/>
        <v>0.9821815299</v>
      </c>
      <c r="H327" s="50">
        <f t="shared" si="4"/>
        <v>7.169925169</v>
      </c>
      <c r="I327" s="51">
        <f t="shared" si="5"/>
        <v>409.4027271</v>
      </c>
      <c r="J327" s="58"/>
      <c r="K327" s="58"/>
      <c r="L327" s="59"/>
      <c r="M327" s="52">
        <v>725.0</v>
      </c>
      <c r="N327" s="46">
        <f t="shared" si="6"/>
        <v>51.98195747</v>
      </c>
    </row>
    <row r="328">
      <c r="A328" s="45">
        <v>80803.0</v>
      </c>
      <c r="B328" s="45" t="s">
        <v>373</v>
      </c>
      <c r="C328" s="46">
        <v>3964.0</v>
      </c>
      <c r="D328" s="47">
        <v>31.8</v>
      </c>
      <c r="E328" s="45">
        <v>7.3</v>
      </c>
      <c r="F328" s="49">
        <f t="shared" si="2"/>
        <v>8.3908</v>
      </c>
      <c r="G328" s="49">
        <f t="shared" si="22"/>
        <v>0.9768726923</v>
      </c>
      <c r="H328" s="50">
        <f t="shared" si="4"/>
        <v>7.131170654</v>
      </c>
      <c r="I328" s="51">
        <f t="shared" si="5"/>
        <v>282.6796047</v>
      </c>
      <c r="J328" s="58"/>
      <c r="K328" s="58"/>
      <c r="L328" s="59"/>
      <c r="M328" s="52">
        <v>504.0</v>
      </c>
      <c r="N328" s="46">
        <f t="shared" si="6"/>
        <v>35.9411001</v>
      </c>
    </row>
    <row r="329">
      <c r="A329" s="45">
        <v>80901.0</v>
      </c>
      <c r="B329" s="45" t="s">
        <v>374</v>
      </c>
      <c r="C329" s="46">
        <v>2789.0</v>
      </c>
      <c r="D329" s="47">
        <v>0.0</v>
      </c>
      <c r="E329" s="45">
        <v>7.3</v>
      </c>
      <c r="F329" s="49">
        <f t="shared" si="2"/>
        <v>8.2</v>
      </c>
      <c r="G329" s="49">
        <f t="shared" si="22"/>
        <v>0.954659398</v>
      </c>
      <c r="H329" s="50">
        <f t="shared" si="4"/>
        <v>6.969013606</v>
      </c>
      <c r="I329" s="51">
        <f t="shared" si="5"/>
        <v>194.3657895</v>
      </c>
      <c r="J329" s="58"/>
      <c r="K329" s="58"/>
      <c r="L329" s="59"/>
      <c r="M329" s="52">
        <v>476.0</v>
      </c>
      <c r="N329" s="46">
        <f t="shared" si="6"/>
        <v>33.17250476</v>
      </c>
    </row>
    <row r="330">
      <c r="A330" s="45">
        <v>90101.0</v>
      </c>
      <c r="B330" s="45" t="s">
        <v>375</v>
      </c>
      <c r="C330" s="46">
        <v>37560.0</v>
      </c>
      <c r="D330" s="47">
        <v>94.6</v>
      </c>
      <c r="E330" s="45">
        <v>4.2</v>
      </c>
      <c r="F330" s="49">
        <f t="shared" si="2"/>
        <v>8.7676</v>
      </c>
      <c r="G330" s="49">
        <f t="shared" ref="G330:G344" si="23">0.99*F330/F$345</f>
        <v>1.041786651</v>
      </c>
      <c r="H330" s="50">
        <f t="shared" si="4"/>
        <v>4.375503934</v>
      </c>
      <c r="I330" s="51">
        <f t="shared" si="5"/>
        <v>1643.439277</v>
      </c>
      <c r="J330" s="52">
        <f>SUM(C330:C344)</f>
        <v>89379</v>
      </c>
      <c r="K330" s="52">
        <f>SUM(I330:I344)</f>
        <v>3778.882399</v>
      </c>
      <c r="L330" s="53">
        <f>K330/J330</f>
        <v>0.04227930945</v>
      </c>
      <c r="M330" s="52">
        <v>4837.0</v>
      </c>
      <c r="N330" s="46">
        <f t="shared" si="6"/>
        <v>211.6431253</v>
      </c>
    </row>
    <row r="331">
      <c r="A331" s="45">
        <v>90102.0</v>
      </c>
      <c r="B331" s="45" t="s">
        <v>376</v>
      </c>
      <c r="C331" s="46">
        <v>6408.0</v>
      </c>
      <c r="D331" s="47">
        <v>35.1</v>
      </c>
      <c r="E331" s="45">
        <v>4.2</v>
      </c>
      <c r="F331" s="49">
        <f t="shared" si="2"/>
        <v>8.4106</v>
      </c>
      <c r="G331" s="49">
        <f t="shared" si="23"/>
        <v>0.9993670794</v>
      </c>
      <c r="H331" s="50">
        <f t="shared" si="4"/>
        <v>4.197341734</v>
      </c>
      <c r="I331" s="51">
        <f t="shared" si="5"/>
        <v>268.9656583</v>
      </c>
      <c r="J331" s="58"/>
      <c r="K331" s="58"/>
      <c r="L331" s="59"/>
      <c r="M331" s="52">
        <v>851.0</v>
      </c>
      <c r="N331" s="46">
        <f t="shared" si="6"/>
        <v>35.71937815</v>
      </c>
    </row>
    <row r="332">
      <c r="A332" s="45">
        <v>90103.0</v>
      </c>
      <c r="B332" s="45" t="s">
        <v>377</v>
      </c>
      <c r="C332" s="46">
        <v>1817.0</v>
      </c>
      <c r="D332" s="47">
        <v>0.0</v>
      </c>
      <c r="E332" s="45">
        <v>4.2</v>
      </c>
      <c r="F332" s="49">
        <f t="shared" si="2"/>
        <v>8.2</v>
      </c>
      <c r="G332" s="49">
        <f t="shared" si="23"/>
        <v>0.974343097</v>
      </c>
      <c r="H332" s="50">
        <f t="shared" si="4"/>
        <v>4.092241007</v>
      </c>
      <c r="I332" s="51">
        <f t="shared" si="5"/>
        <v>74.3560191</v>
      </c>
      <c r="J332" s="58"/>
      <c r="K332" s="58"/>
      <c r="L332" s="59"/>
      <c r="M332" s="52">
        <v>266.0</v>
      </c>
      <c r="N332" s="46">
        <f t="shared" si="6"/>
        <v>10.88536108</v>
      </c>
    </row>
    <row r="333">
      <c r="A333" s="45">
        <v>90104.0</v>
      </c>
      <c r="B333" s="45" t="s">
        <v>378</v>
      </c>
      <c r="C333" s="46">
        <v>3326.0</v>
      </c>
      <c r="D333" s="47">
        <v>0.0</v>
      </c>
      <c r="E333" s="45">
        <v>4.2</v>
      </c>
      <c r="F333" s="49">
        <f t="shared" si="2"/>
        <v>8.2</v>
      </c>
      <c r="G333" s="49">
        <f t="shared" si="23"/>
        <v>0.974343097</v>
      </c>
      <c r="H333" s="50">
        <f t="shared" si="4"/>
        <v>4.092241007</v>
      </c>
      <c r="I333" s="51">
        <f t="shared" si="5"/>
        <v>136.1079359</v>
      </c>
      <c r="J333" s="58"/>
      <c r="K333" s="58"/>
      <c r="L333" s="59"/>
      <c r="M333" s="52">
        <v>436.0</v>
      </c>
      <c r="N333" s="46">
        <f t="shared" si="6"/>
        <v>17.84217079</v>
      </c>
    </row>
    <row r="334">
      <c r="A334" s="45">
        <v>90201.0</v>
      </c>
      <c r="B334" s="45" t="s">
        <v>379</v>
      </c>
      <c r="C334" s="46">
        <v>5426.0</v>
      </c>
      <c r="D334" s="47">
        <v>27.9</v>
      </c>
      <c r="E334" s="45">
        <v>4.2</v>
      </c>
      <c r="F334" s="49">
        <f t="shared" si="2"/>
        <v>8.3674</v>
      </c>
      <c r="G334" s="49">
        <f t="shared" si="23"/>
        <v>0.9942339548</v>
      </c>
      <c r="H334" s="50">
        <f t="shared" si="4"/>
        <v>4.17578261</v>
      </c>
      <c r="I334" s="51">
        <f t="shared" si="5"/>
        <v>226.5779644</v>
      </c>
      <c r="J334" s="58"/>
      <c r="K334" s="58"/>
      <c r="L334" s="59"/>
      <c r="M334" s="52">
        <v>833.0</v>
      </c>
      <c r="N334" s="46">
        <f t="shared" si="6"/>
        <v>34.78426914</v>
      </c>
    </row>
    <row r="335">
      <c r="A335" s="45">
        <v>90202.0</v>
      </c>
      <c r="B335" s="45" t="s">
        <v>270</v>
      </c>
      <c r="C335" s="46">
        <v>2297.0</v>
      </c>
      <c r="D335" s="47">
        <v>0.0</v>
      </c>
      <c r="E335" s="45">
        <v>4.2</v>
      </c>
      <c r="F335" s="49">
        <f t="shared" si="2"/>
        <v>8.2</v>
      </c>
      <c r="G335" s="49">
        <f t="shared" si="23"/>
        <v>0.974343097</v>
      </c>
      <c r="H335" s="50">
        <f t="shared" si="4"/>
        <v>4.092241007</v>
      </c>
      <c r="I335" s="51">
        <f t="shared" si="5"/>
        <v>93.99877594</v>
      </c>
      <c r="J335" s="58"/>
      <c r="K335" s="58"/>
      <c r="L335" s="59"/>
      <c r="M335" s="52">
        <v>301.0</v>
      </c>
      <c r="N335" s="46">
        <f t="shared" si="6"/>
        <v>12.31764543</v>
      </c>
    </row>
    <row r="336">
      <c r="A336" s="45">
        <v>90203.0</v>
      </c>
      <c r="B336" s="45" t="s">
        <v>380</v>
      </c>
      <c r="C336" s="46">
        <v>4807.0</v>
      </c>
      <c r="D336" s="47">
        <v>0.0</v>
      </c>
      <c r="E336" s="45">
        <v>4.2</v>
      </c>
      <c r="F336" s="49">
        <f t="shared" si="2"/>
        <v>8.2</v>
      </c>
      <c r="G336" s="49">
        <f t="shared" si="23"/>
        <v>0.974343097</v>
      </c>
      <c r="H336" s="50">
        <f t="shared" si="4"/>
        <v>4.092241007</v>
      </c>
      <c r="I336" s="51">
        <f t="shared" si="5"/>
        <v>196.7140252</v>
      </c>
      <c r="J336" s="58"/>
      <c r="K336" s="58"/>
      <c r="L336" s="59"/>
      <c r="M336" s="52">
        <v>735.0</v>
      </c>
      <c r="N336" s="46">
        <f t="shared" si="6"/>
        <v>30.0779714</v>
      </c>
    </row>
    <row r="337">
      <c r="A337" s="45">
        <v>90301.0</v>
      </c>
      <c r="B337" s="45" t="s">
        <v>381</v>
      </c>
      <c r="C337" s="46">
        <v>6578.0</v>
      </c>
      <c r="D337" s="47">
        <v>0.0</v>
      </c>
      <c r="E337" s="45">
        <v>4.2</v>
      </c>
      <c r="F337" s="49">
        <f t="shared" si="2"/>
        <v>8.2</v>
      </c>
      <c r="G337" s="49">
        <f t="shared" si="23"/>
        <v>0.974343097</v>
      </c>
      <c r="H337" s="50">
        <f t="shared" si="4"/>
        <v>4.092241007</v>
      </c>
      <c r="I337" s="51">
        <f t="shared" si="5"/>
        <v>269.1876135</v>
      </c>
      <c r="J337" s="58"/>
      <c r="K337" s="58"/>
      <c r="L337" s="59"/>
      <c r="M337" s="52">
        <v>1011.0</v>
      </c>
      <c r="N337" s="46">
        <f t="shared" si="6"/>
        <v>41.37255658</v>
      </c>
    </row>
    <row r="338">
      <c r="A338" s="45">
        <v>90302.0</v>
      </c>
      <c r="B338" s="45" t="s">
        <v>303</v>
      </c>
      <c r="C338" s="46">
        <v>6132.0</v>
      </c>
      <c r="D338" s="47">
        <v>0.0</v>
      </c>
      <c r="E338" s="45">
        <v>4.2</v>
      </c>
      <c r="F338" s="49">
        <f t="shared" si="2"/>
        <v>8.2</v>
      </c>
      <c r="G338" s="49">
        <f t="shared" si="23"/>
        <v>0.974343097</v>
      </c>
      <c r="H338" s="50">
        <f t="shared" si="4"/>
        <v>4.092241007</v>
      </c>
      <c r="I338" s="51">
        <f t="shared" si="5"/>
        <v>250.9362186</v>
      </c>
      <c r="J338" s="58"/>
      <c r="K338" s="58"/>
      <c r="L338" s="59"/>
      <c r="M338" s="52">
        <v>993.0</v>
      </c>
      <c r="N338" s="46">
        <f t="shared" si="6"/>
        <v>40.6359532</v>
      </c>
    </row>
    <row r="339">
      <c r="A339" s="45">
        <v>90303.0</v>
      </c>
      <c r="B339" s="45" t="s">
        <v>382</v>
      </c>
      <c r="C339" s="46">
        <v>6070.0</v>
      </c>
      <c r="D339" s="47">
        <v>19.9</v>
      </c>
      <c r="E339" s="45">
        <v>4.2</v>
      </c>
      <c r="F339" s="49">
        <f t="shared" si="2"/>
        <v>8.3194</v>
      </c>
      <c r="G339" s="49">
        <f t="shared" si="23"/>
        <v>0.988530483</v>
      </c>
      <c r="H339" s="50">
        <f t="shared" si="4"/>
        <v>4.151828029</v>
      </c>
      <c r="I339" s="51">
        <f t="shared" si="5"/>
        <v>252.0159613</v>
      </c>
      <c r="J339" s="58"/>
      <c r="K339" s="58"/>
      <c r="L339" s="59"/>
      <c r="M339" s="52">
        <v>1021.0</v>
      </c>
      <c r="N339" s="46">
        <f t="shared" si="6"/>
        <v>42.39016417</v>
      </c>
    </row>
    <row r="340">
      <c r="A340" s="45">
        <v>90401.0</v>
      </c>
      <c r="B340" s="45" t="s">
        <v>323</v>
      </c>
      <c r="C340" s="46">
        <v>2287.0</v>
      </c>
      <c r="D340" s="47">
        <v>0.0</v>
      </c>
      <c r="E340" s="45">
        <v>4.2</v>
      </c>
      <c r="F340" s="49">
        <f t="shared" si="2"/>
        <v>8.2</v>
      </c>
      <c r="G340" s="49">
        <f t="shared" si="23"/>
        <v>0.974343097</v>
      </c>
      <c r="H340" s="50">
        <f t="shared" si="4"/>
        <v>4.092241007</v>
      </c>
      <c r="I340" s="51">
        <f t="shared" si="5"/>
        <v>93.58955184</v>
      </c>
      <c r="J340" s="58"/>
      <c r="K340" s="58"/>
      <c r="L340" s="59"/>
      <c r="M340" s="52">
        <v>316.0</v>
      </c>
      <c r="N340" s="46">
        <f t="shared" si="6"/>
        <v>12.93148158</v>
      </c>
    </row>
    <row r="341">
      <c r="A341" s="45">
        <v>90402.0</v>
      </c>
      <c r="B341" s="45" t="s">
        <v>383</v>
      </c>
      <c r="C341" s="46">
        <v>1379.0</v>
      </c>
      <c r="D341" s="47">
        <v>0.0</v>
      </c>
      <c r="E341" s="45">
        <v>4.2</v>
      </c>
      <c r="F341" s="49">
        <f t="shared" si="2"/>
        <v>8.2</v>
      </c>
      <c r="G341" s="49">
        <f t="shared" si="23"/>
        <v>0.974343097</v>
      </c>
      <c r="H341" s="50">
        <f t="shared" si="4"/>
        <v>4.092241007</v>
      </c>
      <c r="I341" s="51">
        <f t="shared" si="5"/>
        <v>56.43200349</v>
      </c>
      <c r="J341" s="58"/>
      <c r="K341" s="58"/>
      <c r="L341" s="59"/>
      <c r="M341" s="52">
        <v>242.0</v>
      </c>
      <c r="N341" s="46">
        <f t="shared" si="6"/>
        <v>9.903223238</v>
      </c>
    </row>
    <row r="342">
      <c r="A342" s="45">
        <v>90501.0</v>
      </c>
      <c r="B342" s="45" t="s">
        <v>384</v>
      </c>
      <c r="C342" s="68">
        <v>1585.0</v>
      </c>
      <c r="D342" s="69">
        <v>0.0</v>
      </c>
      <c r="E342" s="45">
        <v>4.2</v>
      </c>
      <c r="F342" s="49">
        <f t="shared" si="2"/>
        <v>8.2</v>
      </c>
      <c r="G342" s="49">
        <f t="shared" si="23"/>
        <v>0.974343097</v>
      </c>
      <c r="H342" s="50">
        <f t="shared" si="4"/>
        <v>4.092241007</v>
      </c>
      <c r="I342" s="51">
        <f t="shared" si="5"/>
        <v>64.86201996</v>
      </c>
      <c r="J342" s="58"/>
      <c r="K342" s="58"/>
      <c r="L342" s="59"/>
      <c r="M342" s="68">
        <v>196.0</v>
      </c>
      <c r="N342" s="46">
        <f t="shared" si="6"/>
        <v>8.020792374</v>
      </c>
    </row>
    <row r="343">
      <c r="A343" s="45">
        <v>90502.0</v>
      </c>
      <c r="B343" s="45" t="s">
        <v>385</v>
      </c>
      <c r="C343" s="68">
        <v>2144.0</v>
      </c>
      <c r="D343" s="69">
        <v>0.0</v>
      </c>
      <c r="E343" s="45">
        <v>4.2</v>
      </c>
      <c r="F343" s="49">
        <f t="shared" si="2"/>
        <v>8.2</v>
      </c>
      <c r="G343" s="49">
        <f t="shared" si="23"/>
        <v>0.974343097</v>
      </c>
      <c r="H343" s="50">
        <f t="shared" si="4"/>
        <v>4.092241007</v>
      </c>
      <c r="I343" s="51">
        <f t="shared" si="5"/>
        <v>87.7376472</v>
      </c>
      <c r="J343" s="58"/>
      <c r="K343" s="58"/>
      <c r="L343" s="59"/>
      <c r="M343" s="68">
        <v>358.0</v>
      </c>
      <c r="N343" s="46">
        <f t="shared" si="6"/>
        <v>14.65022281</v>
      </c>
    </row>
    <row r="344">
      <c r="A344" s="45">
        <v>90503.0</v>
      </c>
      <c r="B344" s="70" t="s">
        <v>386</v>
      </c>
      <c r="C344" s="71">
        <v>1563.0</v>
      </c>
      <c r="D344" s="72">
        <v>0.0</v>
      </c>
      <c r="E344" s="45">
        <v>4.2</v>
      </c>
      <c r="F344" s="49">
        <f t="shared" si="2"/>
        <v>8.2</v>
      </c>
      <c r="G344" s="49">
        <f t="shared" si="23"/>
        <v>0.974343097</v>
      </c>
      <c r="H344" s="73">
        <f t="shared" si="4"/>
        <v>4.092241007</v>
      </c>
      <c r="I344" s="74">
        <f t="shared" si="5"/>
        <v>63.96172694</v>
      </c>
      <c r="J344" s="75"/>
      <c r="K344" s="76"/>
      <c r="L344" s="77"/>
      <c r="M344" s="71">
        <v>218.0</v>
      </c>
      <c r="N344" s="65">
        <f t="shared" si="6"/>
        <v>8.921085396</v>
      </c>
    </row>
    <row r="345">
      <c r="B345" s="78" t="s">
        <v>67</v>
      </c>
      <c r="C345" s="79">
        <f>SUM(C2:C344)</f>
        <v>9410575</v>
      </c>
      <c r="D345" s="80"/>
      <c r="E345" s="81">
        <v>8.5</v>
      </c>
      <c r="F345" s="82">
        <f>AVERAGE(F2:F344)</f>
        <v>8.331767347</v>
      </c>
      <c r="G345" s="83"/>
      <c r="H345" s="84">
        <f>AVERAGE(H2:H344)</f>
        <v>7.890197105</v>
      </c>
      <c r="I345" s="85">
        <f>SUM(I2:I344)</f>
        <v>819053.9503</v>
      </c>
      <c r="J345" s="86"/>
      <c r="K345" s="87"/>
      <c r="L345" s="88"/>
      <c r="M345" s="89">
        <f t="shared" ref="M345:N345" si="24">SUM(M2:M344)</f>
        <v>1089068</v>
      </c>
      <c r="N345" s="90">
        <f t="shared" si="24"/>
        <v>94638.80316</v>
      </c>
    </row>
    <row r="346">
      <c r="C346" s="43"/>
      <c r="D346" s="91"/>
      <c r="J346" s="92"/>
      <c r="K346" s="92"/>
      <c r="L346" s="93"/>
      <c r="M346" s="43"/>
    </row>
    <row r="347">
      <c r="C347" s="43"/>
      <c r="D347" s="91"/>
      <c r="G347" s="56" t="s">
        <v>387</v>
      </c>
      <c r="H347" s="94">
        <f>+AVERAGE(H2:H344)</f>
        <v>7.890197105</v>
      </c>
      <c r="I347" s="95"/>
      <c r="J347" s="96">
        <f>+H347+H348</f>
        <v>9.545595704</v>
      </c>
      <c r="K347" s="92"/>
      <c r="L347" s="93"/>
      <c r="M347" s="43"/>
    </row>
    <row r="348">
      <c r="C348" s="43"/>
      <c r="D348" s="91"/>
      <c r="G348" s="56" t="s">
        <v>388</v>
      </c>
      <c r="H348" s="94">
        <f>+STDEVA(H2:H344)</f>
        <v>1.655398598</v>
      </c>
      <c r="I348" s="95"/>
      <c r="J348" s="96">
        <f>+H347-H348</f>
        <v>6.234798507</v>
      </c>
      <c r="K348" s="92"/>
      <c r="L348" s="93"/>
      <c r="M348" s="43"/>
    </row>
    <row r="349">
      <c r="C349" s="43"/>
      <c r="D349" s="91"/>
      <c r="G349" s="56" t="s">
        <v>389</v>
      </c>
      <c r="H349" s="94">
        <f>+MIN(H2:H344)</f>
        <v>4.092241007</v>
      </c>
      <c r="I349" s="95"/>
      <c r="J349" s="92"/>
      <c r="K349" s="92"/>
      <c r="L349" s="93"/>
      <c r="M349" s="43"/>
    </row>
    <row r="350">
      <c r="C350" s="43"/>
      <c r="D350" s="91"/>
      <c r="G350" s="56" t="s">
        <v>390</v>
      </c>
      <c r="H350" s="94">
        <f>+MAX(H2:H344)</f>
        <v>11.58229105</v>
      </c>
      <c r="I350" s="95"/>
      <c r="J350" s="92"/>
      <c r="K350" s="92"/>
      <c r="L350" s="93"/>
      <c r="M350" s="43"/>
    </row>
    <row r="351">
      <c r="C351" s="43"/>
      <c r="D351" s="91"/>
      <c r="G351" s="56" t="s">
        <v>391</v>
      </c>
      <c r="H351" s="97">
        <v>343.0</v>
      </c>
      <c r="I351" s="95"/>
      <c r="J351" s="92"/>
      <c r="K351" s="92"/>
      <c r="L351" s="93"/>
      <c r="M351" s="43"/>
    </row>
    <row r="352">
      <c r="C352" s="43"/>
      <c r="D352" s="91"/>
      <c r="J352" s="92"/>
      <c r="K352" s="92"/>
      <c r="L352" s="93"/>
      <c r="M352" s="43"/>
    </row>
    <row r="353">
      <c r="C353" s="43"/>
      <c r="D353" s="91"/>
      <c r="J353" s="92"/>
      <c r="K353" s="92"/>
      <c r="L353" s="93"/>
      <c r="M353" s="43"/>
    </row>
    <row r="354">
      <c r="C354" s="43"/>
      <c r="D354" s="91"/>
      <c r="J354" s="92"/>
      <c r="K354" s="92"/>
      <c r="L354" s="93"/>
      <c r="M354" s="43"/>
    </row>
    <row r="355">
      <c r="C355" s="43"/>
      <c r="D355" s="91"/>
      <c r="J355" s="92"/>
      <c r="K355" s="92"/>
      <c r="L355" s="93"/>
      <c r="M355" s="43"/>
    </row>
    <row r="356">
      <c r="C356" s="43"/>
      <c r="D356" s="91"/>
      <c r="J356" s="92"/>
      <c r="K356" s="92"/>
      <c r="L356" s="93"/>
      <c r="M356" s="43"/>
    </row>
    <row r="357">
      <c r="C357" s="43"/>
      <c r="D357" s="91"/>
      <c r="J357" s="92"/>
      <c r="K357" s="92"/>
      <c r="L357" s="93"/>
      <c r="M357" s="43"/>
    </row>
    <row r="358">
      <c r="C358" s="43"/>
      <c r="D358" s="91"/>
      <c r="J358" s="92"/>
      <c r="K358" s="92"/>
      <c r="L358" s="93"/>
      <c r="M358" s="43"/>
    </row>
    <row r="359">
      <c r="C359" s="43"/>
      <c r="D359" s="91"/>
      <c r="J359" s="92"/>
      <c r="K359" s="92"/>
      <c r="L359" s="93"/>
      <c r="M359" s="43"/>
    </row>
    <row r="360">
      <c r="C360" s="43"/>
      <c r="D360" s="91"/>
      <c r="J360" s="92"/>
      <c r="K360" s="92"/>
      <c r="L360" s="93"/>
      <c r="M360" s="43"/>
    </row>
    <row r="361">
      <c r="C361" s="43"/>
      <c r="D361" s="91"/>
      <c r="J361" s="92"/>
      <c r="K361" s="92"/>
      <c r="L361" s="93"/>
      <c r="M361" s="43"/>
    </row>
    <row r="362">
      <c r="C362" s="43"/>
      <c r="D362" s="91"/>
      <c r="J362" s="92"/>
      <c r="K362" s="92"/>
      <c r="L362" s="93"/>
      <c r="M362" s="43"/>
    </row>
    <row r="363">
      <c r="C363" s="43"/>
      <c r="D363" s="91"/>
      <c r="J363" s="92"/>
      <c r="K363" s="92"/>
      <c r="L363" s="93"/>
      <c r="M363" s="43"/>
    </row>
    <row r="364">
      <c r="C364" s="43"/>
      <c r="D364" s="91"/>
      <c r="J364" s="92"/>
      <c r="K364" s="92"/>
      <c r="L364" s="93"/>
      <c r="M364" s="43"/>
    </row>
    <row r="365">
      <c r="C365" s="43"/>
      <c r="D365" s="91"/>
      <c r="J365" s="92"/>
      <c r="K365" s="92"/>
      <c r="L365" s="93"/>
      <c r="M365" s="43"/>
    </row>
    <row r="366">
      <c r="C366" s="43"/>
      <c r="D366" s="91"/>
      <c r="J366" s="92"/>
      <c r="K366" s="92"/>
      <c r="L366" s="93"/>
      <c r="M366" s="43"/>
    </row>
    <row r="367">
      <c r="C367" s="43"/>
      <c r="D367" s="91"/>
      <c r="J367" s="92"/>
      <c r="K367" s="92"/>
      <c r="L367" s="93"/>
      <c r="M367" s="43"/>
    </row>
    <row r="368">
      <c r="C368" s="43"/>
      <c r="D368" s="91"/>
      <c r="J368" s="92"/>
      <c r="K368" s="92"/>
      <c r="L368" s="93"/>
      <c r="M368" s="43"/>
    </row>
    <row r="369">
      <c r="C369" s="43"/>
      <c r="D369" s="91"/>
      <c r="J369" s="92"/>
      <c r="K369" s="92"/>
      <c r="L369" s="93"/>
      <c r="M369" s="43"/>
    </row>
    <row r="370">
      <c r="C370" s="43"/>
      <c r="D370" s="91"/>
      <c r="J370" s="92"/>
      <c r="K370" s="92"/>
      <c r="L370" s="93"/>
      <c r="M370" s="43"/>
    </row>
    <row r="371">
      <c r="C371" s="43"/>
      <c r="D371" s="91"/>
      <c r="J371" s="92"/>
      <c r="K371" s="92"/>
      <c r="L371" s="93"/>
      <c r="M371" s="43"/>
    </row>
    <row r="372">
      <c r="C372" s="43"/>
      <c r="D372" s="91"/>
      <c r="J372" s="92"/>
      <c r="K372" s="92"/>
      <c r="L372" s="93"/>
      <c r="M372" s="43"/>
    </row>
    <row r="373">
      <c r="C373" s="43"/>
      <c r="D373" s="91"/>
      <c r="J373" s="92"/>
      <c r="K373" s="92"/>
      <c r="L373" s="93"/>
      <c r="M373" s="43"/>
    </row>
    <row r="374">
      <c r="C374" s="43"/>
      <c r="D374" s="91"/>
      <c r="J374" s="92"/>
      <c r="K374" s="92"/>
      <c r="L374" s="93"/>
      <c r="M374" s="43"/>
    </row>
    <row r="375">
      <c r="C375" s="43"/>
      <c r="D375" s="91"/>
      <c r="J375" s="92"/>
      <c r="K375" s="92"/>
      <c r="L375" s="93"/>
      <c r="M375" s="43"/>
    </row>
    <row r="376">
      <c r="C376" s="43"/>
      <c r="D376" s="91"/>
      <c r="J376" s="92"/>
      <c r="K376" s="92"/>
      <c r="L376" s="93"/>
      <c r="M376" s="43"/>
    </row>
    <row r="377">
      <c r="C377" s="43"/>
      <c r="D377" s="91"/>
      <c r="J377" s="92"/>
      <c r="K377" s="92"/>
      <c r="L377" s="93"/>
      <c r="M377" s="43"/>
    </row>
    <row r="378">
      <c r="C378" s="43"/>
      <c r="D378" s="91"/>
      <c r="J378" s="92"/>
      <c r="K378" s="92"/>
      <c r="L378" s="93"/>
      <c r="M378" s="43"/>
    </row>
    <row r="379">
      <c r="C379" s="43"/>
      <c r="D379" s="91"/>
      <c r="J379" s="92"/>
      <c r="K379" s="92"/>
      <c r="L379" s="93"/>
      <c r="M379" s="43"/>
    </row>
    <row r="380">
      <c r="C380" s="43"/>
      <c r="D380" s="91"/>
      <c r="J380" s="92"/>
      <c r="K380" s="92"/>
      <c r="L380" s="93"/>
      <c r="M380" s="43"/>
    </row>
    <row r="381">
      <c r="C381" s="43"/>
      <c r="D381" s="91"/>
      <c r="J381" s="92"/>
      <c r="K381" s="92"/>
      <c r="L381" s="93"/>
      <c r="M381" s="43"/>
    </row>
    <row r="382">
      <c r="C382" s="43"/>
      <c r="D382" s="91"/>
      <c r="J382" s="92"/>
      <c r="K382" s="92"/>
      <c r="L382" s="93"/>
      <c r="M382" s="43"/>
    </row>
    <row r="383">
      <c r="C383" s="43"/>
      <c r="D383" s="91"/>
      <c r="J383" s="92"/>
      <c r="K383" s="92"/>
      <c r="L383" s="93"/>
      <c r="M383" s="43"/>
    </row>
    <row r="384">
      <c r="C384" s="43"/>
      <c r="D384" s="91"/>
      <c r="J384" s="92"/>
      <c r="K384" s="92"/>
      <c r="L384" s="93"/>
      <c r="M384" s="43"/>
    </row>
    <row r="385">
      <c r="C385" s="43"/>
      <c r="D385" s="91"/>
      <c r="J385" s="92"/>
      <c r="K385" s="92"/>
      <c r="L385" s="93"/>
      <c r="M385" s="43"/>
    </row>
    <row r="386">
      <c r="C386" s="43"/>
      <c r="D386" s="91"/>
      <c r="J386" s="92"/>
      <c r="K386" s="92"/>
      <c r="L386" s="93"/>
      <c r="M386" s="43"/>
    </row>
    <row r="387">
      <c r="C387" s="43"/>
      <c r="D387" s="91"/>
      <c r="J387" s="92"/>
      <c r="K387" s="92"/>
      <c r="L387" s="93"/>
      <c r="M387" s="43"/>
    </row>
    <row r="388">
      <c r="C388" s="43"/>
      <c r="D388" s="91"/>
      <c r="J388" s="92"/>
      <c r="K388" s="92"/>
      <c r="L388" s="93"/>
      <c r="M388" s="43"/>
    </row>
    <row r="389">
      <c r="C389" s="43"/>
      <c r="D389" s="91"/>
      <c r="J389" s="92"/>
      <c r="K389" s="92"/>
      <c r="L389" s="93"/>
      <c r="M389" s="43"/>
    </row>
    <row r="390">
      <c r="C390" s="43"/>
      <c r="D390" s="91"/>
      <c r="J390" s="92"/>
      <c r="K390" s="92"/>
      <c r="L390" s="93"/>
      <c r="M390" s="43"/>
    </row>
    <row r="391">
      <c r="C391" s="43"/>
      <c r="D391" s="91"/>
      <c r="J391" s="92"/>
      <c r="K391" s="92"/>
      <c r="L391" s="93"/>
      <c r="M391" s="43"/>
    </row>
    <row r="392">
      <c r="C392" s="43"/>
      <c r="D392" s="91"/>
      <c r="J392" s="92"/>
      <c r="K392" s="92"/>
      <c r="L392" s="93"/>
      <c r="M392" s="43"/>
    </row>
    <row r="393">
      <c r="C393" s="43"/>
      <c r="D393" s="91"/>
      <c r="J393" s="92"/>
      <c r="K393" s="92"/>
      <c r="L393" s="93"/>
      <c r="M393" s="43"/>
    </row>
    <row r="394">
      <c r="C394" s="43"/>
      <c r="D394" s="91"/>
      <c r="J394" s="92"/>
      <c r="K394" s="92"/>
      <c r="L394" s="93"/>
      <c r="M394" s="43"/>
    </row>
    <row r="395">
      <c r="C395" s="43"/>
      <c r="D395" s="91"/>
      <c r="J395" s="92"/>
      <c r="K395" s="92"/>
      <c r="L395" s="93"/>
      <c r="M395" s="43"/>
    </row>
    <row r="396">
      <c r="C396" s="43"/>
      <c r="D396" s="91"/>
      <c r="J396" s="92"/>
      <c r="K396" s="92"/>
      <c r="L396" s="93"/>
      <c r="M396" s="43"/>
    </row>
    <row r="397">
      <c r="C397" s="43"/>
      <c r="D397" s="91"/>
      <c r="J397" s="92"/>
      <c r="K397" s="92"/>
      <c r="L397" s="93"/>
      <c r="M397" s="43"/>
    </row>
    <row r="398">
      <c r="C398" s="43"/>
      <c r="D398" s="91"/>
      <c r="J398" s="92"/>
      <c r="K398" s="92"/>
      <c r="L398" s="93"/>
      <c r="M398" s="43"/>
    </row>
    <row r="399">
      <c r="C399" s="43"/>
      <c r="D399" s="91"/>
      <c r="J399" s="92"/>
      <c r="K399" s="92"/>
      <c r="L399" s="93"/>
      <c r="M399" s="43"/>
    </row>
    <row r="400">
      <c r="C400" s="43"/>
      <c r="D400" s="91"/>
      <c r="J400" s="92"/>
      <c r="K400" s="92"/>
      <c r="L400" s="93"/>
      <c r="M400" s="43"/>
    </row>
    <row r="401">
      <c r="C401" s="43"/>
      <c r="D401" s="91"/>
      <c r="J401" s="92"/>
      <c r="K401" s="92"/>
      <c r="L401" s="93"/>
      <c r="M401" s="43"/>
    </row>
    <row r="402">
      <c r="C402" s="43"/>
      <c r="D402" s="91"/>
      <c r="J402" s="92"/>
      <c r="K402" s="92"/>
      <c r="L402" s="93"/>
      <c r="M402" s="43"/>
    </row>
    <row r="403">
      <c r="C403" s="43"/>
      <c r="D403" s="91"/>
      <c r="J403" s="92"/>
      <c r="K403" s="92"/>
      <c r="L403" s="93"/>
      <c r="M403" s="43"/>
    </row>
    <row r="404">
      <c r="C404" s="43"/>
      <c r="D404" s="91"/>
      <c r="J404" s="92"/>
      <c r="K404" s="92"/>
      <c r="L404" s="93"/>
      <c r="M404" s="43"/>
    </row>
    <row r="405">
      <c r="C405" s="43"/>
      <c r="D405" s="91"/>
      <c r="J405" s="92"/>
      <c r="K405" s="92"/>
      <c r="L405" s="93"/>
      <c r="M405" s="43"/>
    </row>
    <row r="406">
      <c r="C406" s="43"/>
      <c r="D406" s="91"/>
      <c r="J406" s="92"/>
      <c r="K406" s="92"/>
      <c r="L406" s="93"/>
      <c r="M406" s="43"/>
    </row>
    <row r="407">
      <c r="C407" s="43"/>
      <c r="D407" s="91"/>
      <c r="J407" s="92"/>
      <c r="K407" s="92"/>
      <c r="L407" s="93"/>
      <c r="M407" s="43"/>
    </row>
    <row r="408">
      <c r="C408" s="43"/>
      <c r="D408" s="91"/>
      <c r="J408" s="92"/>
      <c r="K408" s="92"/>
      <c r="L408" s="93"/>
      <c r="M408" s="43"/>
    </row>
    <row r="409">
      <c r="C409" s="43"/>
      <c r="D409" s="91"/>
      <c r="J409" s="92"/>
      <c r="K409" s="92"/>
      <c r="L409" s="93"/>
      <c r="M409" s="43"/>
    </row>
    <row r="410">
      <c r="C410" s="43"/>
      <c r="D410" s="91"/>
      <c r="J410" s="92"/>
      <c r="K410" s="92"/>
      <c r="L410" s="93"/>
      <c r="M410" s="43"/>
    </row>
    <row r="411">
      <c r="C411" s="43"/>
      <c r="D411" s="91"/>
      <c r="J411" s="92"/>
      <c r="K411" s="92"/>
      <c r="L411" s="93"/>
      <c r="M411" s="43"/>
    </row>
    <row r="412">
      <c r="C412" s="43"/>
      <c r="D412" s="91"/>
      <c r="J412" s="92"/>
      <c r="K412" s="92"/>
      <c r="L412" s="93"/>
      <c r="M412" s="43"/>
    </row>
    <row r="413">
      <c r="C413" s="43"/>
      <c r="D413" s="91"/>
      <c r="J413" s="92"/>
      <c r="K413" s="92"/>
      <c r="L413" s="93"/>
      <c r="M413" s="43"/>
    </row>
    <row r="414">
      <c r="C414" s="43"/>
      <c r="D414" s="91"/>
      <c r="J414" s="92"/>
      <c r="K414" s="92"/>
      <c r="L414" s="93"/>
      <c r="M414" s="43"/>
    </row>
    <row r="415">
      <c r="C415" s="43"/>
      <c r="D415" s="91"/>
      <c r="J415" s="92"/>
      <c r="K415" s="92"/>
      <c r="L415" s="93"/>
      <c r="M415" s="43"/>
    </row>
    <row r="416">
      <c r="C416" s="43"/>
      <c r="D416" s="91"/>
      <c r="J416" s="92"/>
      <c r="K416" s="92"/>
      <c r="L416" s="93"/>
      <c r="M416" s="43"/>
    </row>
    <row r="417">
      <c r="C417" s="43"/>
      <c r="D417" s="91"/>
      <c r="J417" s="92"/>
      <c r="K417" s="92"/>
      <c r="L417" s="93"/>
      <c r="M417" s="43"/>
    </row>
    <row r="418">
      <c r="C418" s="43"/>
      <c r="D418" s="91"/>
      <c r="J418" s="92"/>
      <c r="K418" s="92"/>
      <c r="L418" s="93"/>
      <c r="M418" s="43"/>
    </row>
    <row r="419">
      <c r="C419" s="43"/>
      <c r="D419" s="91"/>
      <c r="J419" s="92"/>
      <c r="K419" s="92"/>
      <c r="L419" s="93"/>
      <c r="M419" s="43"/>
    </row>
    <row r="420">
      <c r="C420" s="43"/>
      <c r="D420" s="91"/>
      <c r="J420" s="92"/>
      <c r="K420" s="92"/>
      <c r="L420" s="93"/>
      <c r="M420" s="43"/>
    </row>
    <row r="421">
      <c r="C421" s="43"/>
      <c r="D421" s="91"/>
      <c r="J421" s="92"/>
      <c r="K421" s="92"/>
      <c r="L421" s="93"/>
      <c r="M421" s="43"/>
    </row>
    <row r="422">
      <c r="C422" s="43"/>
      <c r="D422" s="91"/>
      <c r="J422" s="92"/>
      <c r="K422" s="92"/>
      <c r="L422" s="93"/>
      <c r="M422" s="43"/>
    </row>
    <row r="423">
      <c r="C423" s="43"/>
      <c r="D423" s="91"/>
      <c r="J423" s="92"/>
      <c r="K423" s="92"/>
      <c r="L423" s="93"/>
      <c r="M423" s="43"/>
    </row>
    <row r="424">
      <c r="C424" s="43"/>
      <c r="D424" s="91"/>
      <c r="J424" s="92"/>
      <c r="K424" s="92"/>
      <c r="L424" s="93"/>
      <c r="M424" s="43"/>
    </row>
    <row r="425">
      <c r="C425" s="43"/>
      <c r="D425" s="91"/>
      <c r="J425" s="92"/>
      <c r="K425" s="92"/>
      <c r="L425" s="93"/>
      <c r="M425" s="43"/>
    </row>
    <row r="426">
      <c r="C426" s="43"/>
      <c r="D426" s="91"/>
      <c r="J426" s="92"/>
      <c r="K426" s="92"/>
      <c r="L426" s="93"/>
      <c r="M426" s="43"/>
    </row>
    <row r="427">
      <c r="C427" s="43"/>
      <c r="D427" s="91"/>
      <c r="J427" s="92"/>
      <c r="K427" s="92"/>
      <c r="L427" s="93"/>
      <c r="M427" s="43"/>
    </row>
    <row r="428">
      <c r="C428" s="43"/>
      <c r="D428" s="91"/>
      <c r="J428" s="92"/>
      <c r="K428" s="92"/>
      <c r="L428" s="93"/>
      <c r="M428" s="43"/>
    </row>
    <row r="429">
      <c r="C429" s="43"/>
      <c r="D429" s="91"/>
      <c r="J429" s="92"/>
      <c r="K429" s="92"/>
      <c r="L429" s="93"/>
      <c r="M429" s="43"/>
    </row>
    <row r="430">
      <c r="C430" s="43"/>
      <c r="D430" s="91"/>
      <c r="J430" s="92"/>
      <c r="K430" s="92"/>
      <c r="L430" s="93"/>
      <c r="M430" s="43"/>
    </row>
    <row r="431">
      <c r="C431" s="43"/>
      <c r="D431" s="91"/>
      <c r="J431" s="92"/>
      <c r="K431" s="92"/>
      <c r="L431" s="93"/>
      <c r="M431" s="43"/>
    </row>
    <row r="432">
      <c r="C432" s="43"/>
      <c r="D432" s="91"/>
      <c r="J432" s="92"/>
      <c r="K432" s="92"/>
      <c r="L432" s="93"/>
      <c r="M432" s="43"/>
    </row>
    <row r="433">
      <c r="C433" s="43"/>
      <c r="D433" s="91"/>
      <c r="J433" s="92"/>
      <c r="K433" s="92"/>
      <c r="L433" s="93"/>
      <c r="M433" s="43"/>
    </row>
    <row r="434">
      <c r="C434" s="43"/>
      <c r="D434" s="91"/>
      <c r="J434" s="92"/>
      <c r="K434" s="92"/>
      <c r="L434" s="93"/>
      <c r="M434" s="43"/>
    </row>
    <row r="435">
      <c r="C435" s="43"/>
      <c r="D435" s="91"/>
      <c r="J435" s="92"/>
      <c r="K435" s="92"/>
      <c r="L435" s="93"/>
      <c r="M435" s="43"/>
    </row>
    <row r="436">
      <c r="C436" s="43"/>
      <c r="D436" s="91"/>
      <c r="J436" s="92"/>
      <c r="K436" s="92"/>
      <c r="L436" s="93"/>
      <c r="M436" s="43"/>
    </row>
    <row r="437">
      <c r="C437" s="43"/>
      <c r="D437" s="91"/>
      <c r="J437" s="92"/>
      <c r="K437" s="92"/>
      <c r="L437" s="93"/>
      <c r="M437" s="43"/>
    </row>
    <row r="438">
      <c r="C438" s="43"/>
      <c r="D438" s="91"/>
      <c r="J438" s="92"/>
      <c r="K438" s="92"/>
      <c r="L438" s="93"/>
      <c r="M438" s="43"/>
    </row>
    <row r="439">
      <c r="C439" s="43"/>
      <c r="D439" s="91"/>
      <c r="J439" s="92"/>
      <c r="K439" s="92"/>
      <c r="L439" s="93"/>
      <c r="M439" s="43"/>
    </row>
    <row r="440">
      <c r="C440" s="43"/>
      <c r="D440" s="91"/>
      <c r="J440" s="92"/>
      <c r="K440" s="92"/>
      <c r="L440" s="93"/>
      <c r="M440" s="43"/>
    </row>
    <row r="441">
      <c r="C441" s="43"/>
      <c r="D441" s="91"/>
      <c r="J441" s="92"/>
      <c r="K441" s="92"/>
      <c r="L441" s="93"/>
      <c r="M441" s="43"/>
    </row>
    <row r="442">
      <c r="C442" s="43"/>
      <c r="D442" s="91"/>
      <c r="J442" s="92"/>
      <c r="K442" s="92"/>
      <c r="L442" s="93"/>
      <c r="M442" s="43"/>
    </row>
    <row r="443">
      <c r="C443" s="43"/>
      <c r="D443" s="91"/>
      <c r="J443" s="92"/>
      <c r="K443" s="92"/>
      <c r="L443" s="93"/>
      <c r="M443" s="43"/>
    </row>
    <row r="444">
      <c r="C444" s="43"/>
      <c r="D444" s="91"/>
      <c r="J444" s="92"/>
      <c r="K444" s="92"/>
      <c r="L444" s="93"/>
      <c r="M444" s="43"/>
    </row>
    <row r="445">
      <c r="C445" s="43"/>
      <c r="D445" s="91"/>
      <c r="J445" s="92"/>
      <c r="K445" s="92"/>
      <c r="L445" s="93"/>
      <c r="M445" s="43"/>
    </row>
    <row r="446">
      <c r="C446" s="43"/>
      <c r="D446" s="91"/>
      <c r="J446" s="92"/>
      <c r="K446" s="92"/>
      <c r="L446" s="93"/>
      <c r="M446" s="43"/>
    </row>
    <row r="447">
      <c r="C447" s="43"/>
      <c r="D447" s="91"/>
      <c r="J447" s="92"/>
      <c r="K447" s="92"/>
      <c r="L447" s="93"/>
      <c r="M447" s="43"/>
    </row>
    <row r="448">
      <c r="C448" s="43"/>
      <c r="D448" s="91"/>
      <c r="J448" s="92"/>
      <c r="K448" s="92"/>
      <c r="L448" s="93"/>
      <c r="M448" s="43"/>
    </row>
    <row r="449">
      <c r="C449" s="43"/>
      <c r="D449" s="91"/>
      <c r="J449" s="92"/>
      <c r="K449" s="92"/>
      <c r="L449" s="93"/>
      <c r="M449" s="43"/>
    </row>
    <row r="450">
      <c r="C450" s="43"/>
      <c r="D450" s="91"/>
      <c r="J450" s="92"/>
      <c r="K450" s="92"/>
      <c r="L450" s="93"/>
      <c r="M450" s="43"/>
    </row>
    <row r="451">
      <c r="C451" s="43"/>
      <c r="D451" s="91"/>
      <c r="J451" s="92"/>
      <c r="K451" s="92"/>
      <c r="L451" s="93"/>
      <c r="M451" s="43"/>
    </row>
    <row r="452">
      <c r="C452" s="43"/>
      <c r="D452" s="91"/>
      <c r="J452" s="92"/>
      <c r="K452" s="92"/>
      <c r="L452" s="93"/>
      <c r="M452" s="43"/>
    </row>
    <row r="453">
      <c r="C453" s="43"/>
      <c r="D453" s="91"/>
      <c r="J453" s="92"/>
      <c r="K453" s="92"/>
      <c r="L453" s="93"/>
      <c r="M453" s="43"/>
    </row>
    <row r="454">
      <c r="C454" s="43"/>
      <c r="D454" s="91"/>
      <c r="J454" s="92"/>
      <c r="K454" s="92"/>
      <c r="L454" s="93"/>
      <c r="M454" s="43"/>
    </row>
    <row r="455">
      <c r="C455" s="43"/>
      <c r="D455" s="91"/>
      <c r="J455" s="92"/>
      <c r="K455" s="92"/>
      <c r="L455" s="93"/>
      <c r="M455" s="43"/>
    </row>
    <row r="456">
      <c r="C456" s="43"/>
      <c r="D456" s="91"/>
      <c r="J456" s="92"/>
      <c r="K456" s="92"/>
      <c r="L456" s="93"/>
      <c r="M456" s="43"/>
    </row>
    <row r="457">
      <c r="C457" s="43"/>
      <c r="D457" s="91"/>
      <c r="J457" s="92"/>
      <c r="K457" s="92"/>
      <c r="L457" s="93"/>
      <c r="M457" s="43"/>
    </row>
    <row r="458">
      <c r="C458" s="43"/>
      <c r="D458" s="91"/>
      <c r="J458" s="92"/>
      <c r="K458" s="92"/>
      <c r="L458" s="93"/>
      <c r="M458" s="43"/>
    </row>
    <row r="459">
      <c r="C459" s="43"/>
      <c r="D459" s="91"/>
      <c r="J459" s="92"/>
      <c r="K459" s="92"/>
      <c r="L459" s="93"/>
      <c r="M459" s="43"/>
    </row>
    <row r="460">
      <c r="C460" s="43"/>
      <c r="D460" s="91"/>
      <c r="J460" s="92"/>
      <c r="K460" s="92"/>
      <c r="L460" s="93"/>
      <c r="M460" s="43"/>
    </row>
    <row r="461">
      <c r="C461" s="43"/>
      <c r="D461" s="91"/>
      <c r="J461" s="92"/>
      <c r="K461" s="92"/>
      <c r="L461" s="93"/>
      <c r="M461" s="43"/>
    </row>
    <row r="462">
      <c r="C462" s="43"/>
      <c r="D462" s="91"/>
      <c r="J462" s="92"/>
      <c r="K462" s="92"/>
      <c r="L462" s="93"/>
      <c r="M462" s="43"/>
    </row>
    <row r="463">
      <c r="C463" s="43"/>
      <c r="D463" s="91"/>
      <c r="J463" s="92"/>
      <c r="K463" s="92"/>
      <c r="L463" s="93"/>
      <c r="M463" s="43"/>
    </row>
    <row r="464">
      <c r="C464" s="43"/>
      <c r="D464" s="91"/>
      <c r="J464" s="92"/>
      <c r="K464" s="92"/>
      <c r="L464" s="93"/>
      <c r="M464" s="43"/>
    </row>
    <row r="465">
      <c r="C465" s="43"/>
      <c r="D465" s="91"/>
      <c r="J465" s="92"/>
      <c r="K465" s="92"/>
      <c r="L465" s="93"/>
      <c r="M465" s="43"/>
    </row>
    <row r="466">
      <c r="C466" s="43"/>
      <c r="D466" s="91"/>
      <c r="J466" s="92"/>
      <c r="K466" s="92"/>
      <c r="L466" s="93"/>
      <c r="M466" s="43"/>
    </row>
    <row r="467">
      <c r="C467" s="43"/>
      <c r="D467" s="91"/>
      <c r="J467" s="92"/>
      <c r="K467" s="92"/>
      <c r="L467" s="93"/>
      <c r="M467" s="43"/>
    </row>
    <row r="468">
      <c r="C468" s="43"/>
      <c r="D468" s="91"/>
      <c r="J468" s="92"/>
      <c r="K468" s="92"/>
      <c r="L468" s="93"/>
      <c r="M468" s="43"/>
    </row>
    <row r="469">
      <c r="C469" s="43"/>
      <c r="D469" s="91"/>
      <c r="J469" s="92"/>
      <c r="K469" s="92"/>
      <c r="L469" s="93"/>
      <c r="M469" s="43"/>
    </row>
    <row r="470">
      <c r="C470" s="43"/>
      <c r="D470" s="91"/>
      <c r="J470" s="92"/>
      <c r="K470" s="92"/>
      <c r="L470" s="93"/>
      <c r="M470" s="43"/>
    </row>
    <row r="471">
      <c r="C471" s="43"/>
      <c r="D471" s="91"/>
      <c r="J471" s="92"/>
      <c r="K471" s="92"/>
      <c r="L471" s="93"/>
      <c r="M471" s="43"/>
    </row>
    <row r="472">
      <c r="C472" s="43"/>
      <c r="D472" s="91"/>
      <c r="J472" s="92"/>
      <c r="K472" s="92"/>
      <c r="L472" s="93"/>
      <c r="M472" s="43"/>
    </row>
    <row r="473">
      <c r="C473" s="43"/>
      <c r="D473" s="91"/>
      <c r="J473" s="92"/>
      <c r="K473" s="92"/>
      <c r="L473" s="93"/>
      <c r="M473" s="43"/>
    </row>
    <row r="474">
      <c r="C474" s="43"/>
      <c r="D474" s="91"/>
      <c r="J474" s="92"/>
      <c r="K474" s="92"/>
      <c r="L474" s="93"/>
      <c r="M474" s="43"/>
    </row>
    <row r="475">
      <c r="C475" s="43"/>
      <c r="D475" s="91"/>
      <c r="J475" s="92"/>
      <c r="K475" s="92"/>
      <c r="L475" s="93"/>
      <c r="M475" s="43"/>
    </row>
    <row r="476">
      <c r="C476" s="43"/>
      <c r="D476" s="91"/>
      <c r="J476" s="92"/>
      <c r="K476" s="92"/>
      <c r="L476" s="93"/>
      <c r="M476" s="43"/>
    </row>
    <row r="477">
      <c r="C477" s="43"/>
      <c r="D477" s="91"/>
      <c r="J477" s="92"/>
      <c r="K477" s="92"/>
      <c r="L477" s="93"/>
      <c r="M477" s="43"/>
    </row>
    <row r="478">
      <c r="C478" s="43"/>
      <c r="D478" s="91"/>
      <c r="J478" s="92"/>
      <c r="K478" s="92"/>
      <c r="L478" s="93"/>
      <c r="M478" s="43"/>
    </row>
    <row r="479">
      <c r="C479" s="43"/>
      <c r="D479" s="91"/>
      <c r="J479" s="92"/>
      <c r="K479" s="92"/>
      <c r="L479" s="93"/>
      <c r="M479" s="43"/>
    </row>
    <row r="480">
      <c r="C480" s="43"/>
      <c r="D480" s="91"/>
      <c r="J480" s="92"/>
      <c r="K480" s="92"/>
      <c r="L480" s="93"/>
      <c r="M480" s="43"/>
    </row>
    <row r="481">
      <c r="C481" s="43"/>
      <c r="D481" s="91"/>
      <c r="J481" s="92"/>
      <c r="K481" s="92"/>
      <c r="L481" s="93"/>
      <c r="M481" s="43"/>
    </row>
    <row r="482">
      <c r="C482" s="43"/>
      <c r="D482" s="91"/>
      <c r="J482" s="92"/>
      <c r="K482" s="92"/>
      <c r="L482" s="93"/>
      <c r="M482" s="43"/>
    </row>
    <row r="483">
      <c r="C483" s="43"/>
      <c r="D483" s="91"/>
      <c r="J483" s="92"/>
      <c r="K483" s="92"/>
      <c r="L483" s="93"/>
      <c r="M483" s="43"/>
    </row>
    <row r="484">
      <c r="C484" s="43"/>
      <c r="D484" s="91"/>
      <c r="J484" s="92"/>
      <c r="K484" s="92"/>
      <c r="L484" s="93"/>
      <c r="M484" s="43"/>
    </row>
    <row r="485">
      <c r="C485" s="43"/>
      <c r="D485" s="91"/>
      <c r="J485" s="92"/>
      <c r="K485" s="92"/>
      <c r="L485" s="93"/>
      <c r="M485" s="43"/>
    </row>
    <row r="486">
      <c r="C486" s="43"/>
      <c r="D486" s="91"/>
      <c r="J486" s="92"/>
      <c r="K486" s="92"/>
      <c r="L486" s="93"/>
      <c r="M486" s="43"/>
    </row>
    <row r="487">
      <c r="C487" s="43"/>
      <c r="D487" s="91"/>
      <c r="J487" s="92"/>
      <c r="K487" s="92"/>
      <c r="L487" s="93"/>
      <c r="M487" s="43"/>
    </row>
    <row r="488">
      <c r="C488" s="43"/>
      <c r="D488" s="91"/>
      <c r="J488" s="92"/>
      <c r="K488" s="92"/>
      <c r="L488" s="93"/>
      <c r="M488" s="43"/>
    </row>
    <row r="489">
      <c r="C489" s="43"/>
      <c r="D489" s="91"/>
      <c r="J489" s="92"/>
      <c r="K489" s="92"/>
      <c r="L489" s="93"/>
      <c r="M489" s="43"/>
    </row>
    <row r="490">
      <c r="C490" s="43"/>
      <c r="D490" s="91"/>
      <c r="J490" s="92"/>
      <c r="K490" s="92"/>
      <c r="L490" s="93"/>
      <c r="M490" s="43"/>
    </row>
    <row r="491">
      <c r="C491" s="43"/>
      <c r="D491" s="91"/>
      <c r="J491" s="92"/>
      <c r="K491" s="92"/>
      <c r="L491" s="93"/>
      <c r="M491" s="43"/>
    </row>
    <row r="492">
      <c r="C492" s="43"/>
      <c r="D492" s="91"/>
      <c r="J492" s="92"/>
      <c r="K492" s="92"/>
      <c r="L492" s="93"/>
      <c r="M492" s="43"/>
    </row>
    <row r="493">
      <c r="C493" s="43"/>
      <c r="D493" s="91"/>
      <c r="J493" s="92"/>
      <c r="K493" s="92"/>
      <c r="L493" s="93"/>
      <c r="M493" s="43"/>
    </row>
    <row r="494">
      <c r="C494" s="43"/>
      <c r="D494" s="91"/>
      <c r="J494" s="92"/>
      <c r="K494" s="92"/>
      <c r="L494" s="93"/>
      <c r="M494" s="43"/>
    </row>
    <row r="495">
      <c r="C495" s="43"/>
      <c r="D495" s="91"/>
      <c r="J495" s="92"/>
      <c r="K495" s="92"/>
      <c r="L495" s="93"/>
      <c r="M495" s="43"/>
    </row>
    <row r="496">
      <c r="C496" s="43"/>
      <c r="D496" s="91"/>
      <c r="J496" s="92"/>
      <c r="K496" s="92"/>
      <c r="L496" s="93"/>
      <c r="M496" s="43"/>
    </row>
    <row r="497">
      <c r="C497" s="43"/>
      <c r="D497" s="91"/>
      <c r="J497" s="92"/>
      <c r="K497" s="92"/>
      <c r="L497" s="93"/>
      <c r="M497" s="43"/>
    </row>
    <row r="498">
      <c r="C498" s="43"/>
      <c r="D498" s="91"/>
      <c r="J498" s="92"/>
      <c r="K498" s="92"/>
      <c r="L498" s="93"/>
      <c r="M498" s="43"/>
    </row>
    <row r="499">
      <c r="C499" s="43"/>
      <c r="D499" s="91"/>
      <c r="J499" s="92"/>
      <c r="K499" s="92"/>
      <c r="L499" s="93"/>
      <c r="M499" s="43"/>
    </row>
    <row r="500">
      <c r="C500" s="43"/>
      <c r="D500" s="91"/>
      <c r="J500" s="92"/>
      <c r="K500" s="92"/>
      <c r="L500" s="93"/>
      <c r="M500" s="43"/>
    </row>
    <row r="501">
      <c r="C501" s="43"/>
      <c r="D501" s="91"/>
      <c r="J501" s="92"/>
      <c r="K501" s="92"/>
      <c r="L501" s="93"/>
      <c r="M501" s="43"/>
    </row>
    <row r="502">
      <c r="C502" s="43"/>
      <c r="D502" s="91"/>
      <c r="J502" s="92"/>
      <c r="K502" s="92"/>
      <c r="L502" s="93"/>
      <c r="M502" s="43"/>
    </row>
    <row r="503">
      <c r="C503" s="43"/>
      <c r="D503" s="91"/>
      <c r="J503" s="92"/>
      <c r="K503" s="92"/>
      <c r="L503" s="93"/>
      <c r="M503" s="43"/>
    </row>
    <row r="504">
      <c r="C504" s="43"/>
      <c r="D504" s="91"/>
      <c r="J504" s="92"/>
      <c r="K504" s="92"/>
      <c r="L504" s="93"/>
      <c r="M504" s="43"/>
    </row>
    <row r="505">
      <c r="C505" s="43"/>
      <c r="D505" s="91"/>
      <c r="J505" s="92"/>
      <c r="K505" s="92"/>
      <c r="L505" s="93"/>
      <c r="M505" s="43"/>
    </row>
    <row r="506">
      <c r="C506" s="43"/>
      <c r="D506" s="91"/>
      <c r="J506" s="92"/>
      <c r="K506" s="92"/>
      <c r="L506" s="93"/>
      <c r="M506" s="43"/>
    </row>
    <row r="507">
      <c r="C507" s="43"/>
      <c r="D507" s="91"/>
      <c r="J507" s="92"/>
      <c r="K507" s="92"/>
      <c r="L507" s="93"/>
      <c r="M507" s="43"/>
    </row>
    <row r="508">
      <c r="C508" s="43"/>
      <c r="D508" s="91"/>
      <c r="J508" s="92"/>
      <c r="K508" s="92"/>
      <c r="L508" s="93"/>
      <c r="M508" s="43"/>
    </row>
    <row r="509">
      <c r="C509" s="43"/>
      <c r="D509" s="91"/>
      <c r="J509" s="92"/>
      <c r="K509" s="92"/>
      <c r="L509" s="93"/>
      <c r="M509" s="43"/>
    </row>
    <row r="510">
      <c r="C510" s="43"/>
      <c r="D510" s="91"/>
      <c r="J510" s="92"/>
      <c r="K510" s="92"/>
      <c r="L510" s="93"/>
      <c r="M510" s="43"/>
    </row>
    <row r="511">
      <c r="C511" s="43"/>
      <c r="D511" s="91"/>
      <c r="J511" s="92"/>
      <c r="K511" s="92"/>
      <c r="L511" s="93"/>
      <c r="M511" s="43"/>
    </row>
    <row r="512">
      <c r="C512" s="43"/>
      <c r="D512" s="91"/>
      <c r="J512" s="92"/>
      <c r="K512" s="92"/>
      <c r="L512" s="93"/>
      <c r="M512" s="43"/>
    </row>
    <row r="513">
      <c r="C513" s="43"/>
      <c r="D513" s="91"/>
      <c r="J513" s="92"/>
      <c r="K513" s="92"/>
      <c r="L513" s="93"/>
      <c r="M513" s="43"/>
    </row>
    <row r="514">
      <c r="C514" s="43"/>
      <c r="D514" s="91"/>
      <c r="J514" s="92"/>
      <c r="K514" s="92"/>
      <c r="L514" s="93"/>
      <c r="M514" s="43"/>
    </row>
    <row r="515">
      <c r="C515" s="43"/>
      <c r="D515" s="91"/>
      <c r="J515" s="92"/>
      <c r="K515" s="92"/>
      <c r="L515" s="93"/>
      <c r="M515" s="43"/>
    </row>
    <row r="516">
      <c r="C516" s="43"/>
      <c r="D516" s="91"/>
      <c r="J516" s="92"/>
      <c r="K516" s="92"/>
      <c r="L516" s="93"/>
      <c r="M516" s="43"/>
    </row>
    <row r="517">
      <c r="C517" s="43"/>
      <c r="D517" s="91"/>
      <c r="J517" s="92"/>
      <c r="K517" s="92"/>
      <c r="L517" s="93"/>
      <c r="M517" s="43"/>
    </row>
    <row r="518">
      <c r="C518" s="43"/>
      <c r="D518" s="91"/>
      <c r="J518" s="92"/>
      <c r="K518" s="92"/>
      <c r="L518" s="93"/>
      <c r="M518" s="43"/>
    </row>
    <row r="519">
      <c r="C519" s="43"/>
      <c r="D519" s="91"/>
      <c r="J519" s="92"/>
      <c r="K519" s="92"/>
      <c r="L519" s="93"/>
      <c r="M519" s="43"/>
    </row>
    <row r="520">
      <c r="C520" s="43"/>
      <c r="D520" s="91"/>
      <c r="J520" s="92"/>
      <c r="K520" s="92"/>
      <c r="L520" s="93"/>
      <c r="M520" s="43"/>
    </row>
    <row r="521">
      <c r="C521" s="43"/>
      <c r="D521" s="91"/>
      <c r="J521" s="92"/>
      <c r="K521" s="92"/>
      <c r="L521" s="93"/>
      <c r="M521" s="43"/>
    </row>
    <row r="522">
      <c r="C522" s="43"/>
      <c r="D522" s="91"/>
      <c r="J522" s="92"/>
      <c r="K522" s="92"/>
      <c r="L522" s="93"/>
      <c r="M522" s="43"/>
    </row>
    <row r="523">
      <c r="C523" s="43"/>
      <c r="D523" s="91"/>
      <c r="J523" s="92"/>
      <c r="K523" s="92"/>
      <c r="L523" s="93"/>
      <c r="M523" s="43"/>
    </row>
    <row r="524">
      <c r="C524" s="43"/>
      <c r="D524" s="91"/>
      <c r="J524" s="92"/>
      <c r="K524" s="92"/>
      <c r="L524" s="93"/>
      <c r="M524" s="43"/>
    </row>
    <row r="525">
      <c r="C525" s="43"/>
      <c r="D525" s="91"/>
      <c r="J525" s="92"/>
      <c r="K525" s="92"/>
      <c r="L525" s="93"/>
      <c r="M525" s="43"/>
    </row>
    <row r="526">
      <c r="C526" s="43"/>
      <c r="D526" s="91"/>
      <c r="J526" s="92"/>
      <c r="K526" s="92"/>
      <c r="L526" s="93"/>
      <c r="M526" s="43"/>
    </row>
    <row r="527">
      <c r="C527" s="43"/>
      <c r="D527" s="91"/>
      <c r="J527" s="92"/>
      <c r="K527" s="92"/>
      <c r="L527" s="93"/>
      <c r="M527" s="43"/>
    </row>
    <row r="528">
      <c r="C528" s="43"/>
      <c r="D528" s="91"/>
      <c r="J528" s="92"/>
      <c r="K528" s="92"/>
      <c r="L528" s="93"/>
      <c r="M528" s="43"/>
    </row>
    <row r="529">
      <c r="C529" s="43"/>
      <c r="D529" s="91"/>
      <c r="J529" s="92"/>
      <c r="K529" s="92"/>
      <c r="L529" s="93"/>
      <c r="M529" s="43"/>
    </row>
    <row r="530">
      <c r="C530" s="43"/>
      <c r="D530" s="91"/>
      <c r="J530" s="92"/>
      <c r="K530" s="92"/>
      <c r="L530" s="93"/>
      <c r="M530" s="43"/>
    </row>
    <row r="531">
      <c r="C531" s="43"/>
      <c r="D531" s="91"/>
      <c r="J531" s="92"/>
      <c r="K531" s="92"/>
      <c r="L531" s="93"/>
      <c r="M531" s="43"/>
    </row>
    <row r="532">
      <c r="C532" s="43"/>
      <c r="D532" s="91"/>
      <c r="J532" s="92"/>
      <c r="K532" s="92"/>
      <c r="L532" s="93"/>
      <c r="M532" s="43"/>
    </row>
    <row r="533">
      <c r="C533" s="43"/>
      <c r="D533" s="91"/>
      <c r="J533" s="92"/>
      <c r="K533" s="92"/>
      <c r="L533" s="93"/>
      <c r="M533" s="43"/>
    </row>
    <row r="534">
      <c r="C534" s="43"/>
      <c r="D534" s="91"/>
      <c r="J534" s="92"/>
      <c r="K534" s="92"/>
      <c r="L534" s="93"/>
      <c r="M534" s="43"/>
    </row>
    <row r="535">
      <c r="C535" s="43"/>
      <c r="D535" s="91"/>
      <c r="J535" s="92"/>
      <c r="K535" s="92"/>
      <c r="L535" s="93"/>
      <c r="M535" s="43"/>
    </row>
    <row r="536">
      <c r="C536" s="43"/>
      <c r="D536" s="91"/>
      <c r="J536" s="92"/>
      <c r="K536" s="92"/>
      <c r="L536" s="93"/>
      <c r="M536" s="43"/>
    </row>
    <row r="537">
      <c r="C537" s="43"/>
      <c r="D537" s="91"/>
      <c r="J537" s="92"/>
      <c r="K537" s="92"/>
      <c r="L537" s="93"/>
      <c r="M537" s="43"/>
    </row>
    <row r="538">
      <c r="C538" s="43"/>
      <c r="D538" s="91"/>
      <c r="J538" s="92"/>
      <c r="K538" s="92"/>
      <c r="L538" s="93"/>
      <c r="M538" s="43"/>
    </row>
    <row r="539">
      <c r="C539" s="43"/>
      <c r="D539" s="91"/>
      <c r="J539" s="92"/>
      <c r="K539" s="92"/>
      <c r="L539" s="93"/>
      <c r="M539" s="43"/>
    </row>
    <row r="540">
      <c r="C540" s="43"/>
      <c r="D540" s="91"/>
      <c r="J540" s="92"/>
      <c r="K540" s="92"/>
      <c r="L540" s="93"/>
      <c r="M540" s="43"/>
    </row>
    <row r="541">
      <c r="C541" s="43"/>
      <c r="D541" s="91"/>
      <c r="J541" s="92"/>
      <c r="K541" s="92"/>
      <c r="L541" s="93"/>
      <c r="M541" s="43"/>
    </row>
    <row r="542">
      <c r="C542" s="43"/>
      <c r="D542" s="91"/>
      <c r="J542" s="92"/>
      <c r="K542" s="92"/>
      <c r="L542" s="93"/>
      <c r="M542" s="43"/>
    </row>
    <row r="543">
      <c r="C543" s="43"/>
      <c r="D543" s="91"/>
      <c r="J543" s="92"/>
      <c r="K543" s="92"/>
      <c r="L543" s="93"/>
      <c r="M543" s="43"/>
    </row>
    <row r="544">
      <c r="C544" s="43"/>
      <c r="D544" s="91"/>
      <c r="J544" s="92"/>
      <c r="K544" s="92"/>
      <c r="L544" s="93"/>
      <c r="M544" s="43"/>
    </row>
    <row r="545">
      <c r="C545" s="43"/>
      <c r="D545" s="91"/>
      <c r="J545" s="92"/>
      <c r="K545" s="92"/>
      <c r="L545" s="93"/>
      <c r="M545" s="43"/>
    </row>
    <row r="546">
      <c r="C546" s="43"/>
      <c r="D546" s="91"/>
      <c r="J546" s="92"/>
      <c r="K546" s="92"/>
      <c r="L546" s="93"/>
      <c r="M546" s="43"/>
    </row>
    <row r="547">
      <c r="C547" s="43"/>
      <c r="D547" s="91"/>
      <c r="J547" s="92"/>
      <c r="K547" s="92"/>
      <c r="L547" s="93"/>
      <c r="M547" s="43"/>
    </row>
    <row r="548">
      <c r="C548" s="43"/>
      <c r="D548" s="91"/>
      <c r="J548" s="92"/>
      <c r="K548" s="92"/>
      <c r="L548" s="93"/>
      <c r="M548" s="43"/>
    </row>
    <row r="549">
      <c r="C549" s="43"/>
      <c r="D549" s="91"/>
      <c r="J549" s="92"/>
      <c r="K549" s="92"/>
      <c r="L549" s="93"/>
      <c r="M549" s="43"/>
    </row>
    <row r="550">
      <c r="C550" s="43"/>
      <c r="D550" s="91"/>
      <c r="J550" s="92"/>
      <c r="K550" s="92"/>
      <c r="L550" s="93"/>
      <c r="M550" s="43"/>
    </row>
    <row r="551">
      <c r="C551" s="43"/>
      <c r="D551" s="91"/>
      <c r="J551" s="92"/>
      <c r="K551" s="92"/>
      <c r="L551" s="93"/>
      <c r="M551" s="43"/>
    </row>
    <row r="552">
      <c r="C552" s="43"/>
      <c r="D552" s="91"/>
      <c r="J552" s="92"/>
      <c r="K552" s="92"/>
      <c r="L552" s="93"/>
      <c r="M552" s="43"/>
    </row>
    <row r="553">
      <c r="C553" s="43"/>
      <c r="D553" s="91"/>
      <c r="J553" s="92"/>
      <c r="K553" s="92"/>
      <c r="L553" s="93"/>
      <c r="M553" s="43"/>
    </row>
    <row r="554">
      <c r="C554" s="43"/>
      <c r="D554" s="91"/>
      <c r="J554" s="92"/>
      <c r="K554" s="92"/>
      <c r="L554" s="93"/>
      <c r="M554" s="43"/>
    </row>
    <row r="555">
      <c r="C555" s="43"/>
      <c r="D555" s="91"/>
      <c r="J555" s="92"/>
      <c r="K555" s="92"/>
      <c r="L555" s="93"/>
      <c r="M555" s="43"/>
    </row>
    <row r="556">
      <c r="C556" s="43"/>
      <c r="D556" s="91"/>
      <c r="J556" s="92"/>
      <c r="K556" s="92"/>
      <c r="L556" s="93"/>
      <c r="M556" s="43"/>
    </row>
    <row r="557">
      <c r="C557" s="43"/>
      <c r="D557" s="91"/>
      <c r="J557" s="92"/>
      <c r="K557" s="92"/>
      <c r="L557" s="93"/>
      <c r="M557" s="43"/>
    </row>
    <row r="558">
      <c r="C558" s="43"/>
      <c r="D558" s="91"/>
      <c r="J558" s="92"/>
      <c r="K558" s="92"/>
      <c r="L558" s="93"/>
      <c r="M558" s="43"/>
    </row>
    <row r="559">
      <c r="C559" s="43"/>
      <c r="D559" s="91"/>
      <c r="J559" s="92"/>
      <c r="K559" s="92"/>
      <c r="L559" s="93"/>
      <c r="M559" s="43"/>
    </row>
    <row r="560">
      <c r="C560" s="43"/>
      <c r="D560" s="91"/>
      <c r="J560" s="92"/>
      <c r="K560" s="92"/>
      <c r="L560" s="93"/>
      <c r="M560" s="43"/>
    </row>
    <row r="561">
      <c r="C561" s="43"/>
      <c r="D561" s="91"/>
      <c r="J561" s="92"/>
      <c r="K561" s="92"/>
      <c r="L561" s="93"/>
      <c r="M561" s="43"/>
    </row>
    <row r="562">
      <c r="C562" s="43"/>
      <c r="D562" s="91"/>
      <c r="J562" s="92"/>
      <c r="K562" s="92"/>
      <c r="L562" s="93"/>
      <c r="M562" s="43"/>
    </row>
    <row r="563">
      <c r="C563" s="43"/>
      <c r="D563" s="91"/>
      <c r="J563" s="92"/>
      <c r="K563" s="92"/>
      <c r="L563" s="93"/>
      <c r="M563" s="43"/>
    </row>
    <row r="564">
      <c r="C564" s="43"/>
      <c r="D564" s="91"/>
      <c r="J564" s="92"/>
      <c r="K564" s="92"/>
      <c r="L564" s="93"/>
      <c r="M564" s="43"/>
    </row>
    <row r="565">
      <c r="C565" s="43"/>
      <c r="D565" s="91"/>
      <c r="J565" s="92"/>
      <c r="K565" s="92"/>
      <c r="L565" s="93"/>
      <c r="M565" s="43"/>
    </row>
    <row r="566">
      <c r="C566" s="43"/>
      <c r="D566" s="91"/>
      <c r="J566" s="92"/>
      <c r="K566" s="92"/>
      <c r="L566" s="93"/>
      <c r="M566" s="43"/>
    </row>
    <row r="567">
      <c r="C567" s="43"/>
      <c r="D567" s="91"/>
      <c r="J567" s="92"/>
      <c r="K567" s="92"/>
      <c r="L567" s="93"/>
      <c r="M567" s="43"/>
    </row>
    <row r="568">
      <c r="C568" s="43"/>
      <c r="D568" s="91"/>
      <c r="J568" s="92"/>
      <c r="K568" s="92"/>
      <c r="L568" s="93"/>
      <c r="M568" s="43"/>
    </row>
    <row r="569">
      <c r="C569" s="43"/>
      <c r="D569" s="91"/>
      <c r="J569" s="92"/>
      <c r="K569" s="92"/>
      <c r="L569" s="93"/>
      <c r="M569" s="43"/>
    </row>
    <row r="570">
      <c r="C570" s="43"/>
      <c r="D570" s="91"/>
      <c r="J570" s="92"/>
      <c r="K570" s="92"/>
      <c r="L570" s="93"/>
      <c r="M570" s="43"/>
    </row>
    <row r="571">
      <c r="C571" s="43"/>
      <c r="D571" s="91"/>
      <c r="J571" s="92"/>
      <c r="K571" s="92"/>
      <c r="L571" s="93"/>
      <c r="M571" s="43"/>
    </row>
    <row r="572">
      <c r="C572" s="43"/>
      <c r="D572" s="91"/>
      <c r="J572" s="92"/>
      <c r="K572" s="92"/>
      <c r="L572" s="93"/>
      <c r="M572" s="43"/>
    </row>
    <row r="573">
      <c r="C573" s="43"/>
      <c r="D573" s="91"/>
      <c r="J573" s="92"/>
      <c r="K573" s="92"/>
      <c r="L573" s="93"/>
      <c r="M573" s="43"/>
    </row>
    <row r="574">
      <c r="C574" s="43"/>
      <c r="D574" s="91"/>
      <c r="J574" s="92"/>
      <c r="K574" s="92"/>
      <c r="L574" s="93"/>
      <c r="M574" s="43"/>
    </row>
    <row r="575">
      <c r="C575" s="43"/>
      <c r="D575" s="91"/>
      <c r="J575" s="92"/>
      <c r="K575" s="92"/>
      <c r="L575" s="93"/>
      <c r="M575" s="43"/>
    </row>
    <row r="576">
      <c r="C576" s="43"/>
      <c r="D576" s="91"/>
      <c r="J576" s="92"/>
      <c r="K576" s="92"/>
      <c r="L576" s="93"/>
      <c r="M576" s="43"/>
    </row>
    <row r="577">
      <c r="C577" s="43"/>
      <c r="D577" s="91"/>
      <c r="J577" s="92"/>
      <c r="K577" s="92"/>
      <c r="L577" s="93"/>
      <c r="M577" s="43"/>
    </row>
    <row r="578">
      <c r="C578" s="43"/>
      <c r="D578" s="91"/>
      <c r="J578" s="92"/>
      <c r="K578" s="92"/>
      <c r="L578" s="93"/>
      <c r="M578" s="43"/>
    </row>
    <row r="579">
      <c r="C579" s="43"/>
      <c r="D579" s="91"/>
      <c r="J579" s="92"/>
      <c r="K579" s="92"/>
      <c r="L579" s="93"/>
      <c r="M579" s="43"/>
    </row>
    <row r="580">
      <c r="C580" s="43"/>
      <c r="D580" s="91"/>
      <c r="J580" s="92"/>
      <c r="K580" s="92"/>
      <c r="L580" s="93"/>
      <c r="M580" s="43"/>
    </row>
    <row r="581">
      <c r="C581" s="43"/>
      <c r="D581" s="91"/>
      <c r="J581" s="92"/>
      <c r="K581" s="92"/>
      <c r="L581" s="93"/>
      <c r="M581" s="43"/>
    </row>
    <row r="582">
      <c r="C582" s="43"/>
      <c r="D582" s="91"/>
      <c r="J582" s="92"/>
      <c r="K582" s="92"/>
      <c r="L582" s="93"/>
      <c r="M582" s="43"/>
    </row>
    <row r="583">
      <c r="C583" s="43"/>
      <c r="D583" s="91"/>
      <c r="J583" s="92"/>
      <c r="K583" s="92"/>
      <c r="L583" s="93"/>
      <c r="M583" s="43"/>
    </row>
    <row r="584">
      <c r="C584" s="43"/>
      <c r="D584" s="91"/>
      <c r="J584" s="92"/>
      <c r="K584" s="92"/>
      <c r="L584" s="93"/>
      <c r="M584" s="43"/>
    </row>
    <row r="585">
      <c r="C585" s="43"/>
      <c r="D585" s="91"/>
      <c r="J585" s="92"/>
      <c r="K585" s="92"/>
      <c r="L585" s="93"/>
      <c r="M585" s="43"/>
    </row>
    <row r="586">
      <c r="C586" s="43"/>
      <c r="D586" s="91"/>
      <c r="J586" s="92"/>
      <c r="K586" s="92"/>
      <c r="L586" s="93"/>
      <c r="M586" s="43"/>
    </row>
    <row r="587">
      <c r="C587" s="43"/>
      <c r="D587" s="91"/>
      <c r="J587" s="92"/>
      <c r="K587" s="92"/>
      <c r="L587" s="93"/>
      <c r="M587" s="43"/>
    </row>
    <row r="588">
      <c r="C588" s="43"/>
      <c r="D588" s="91"/>
      <c r="J588" s="92"/>
      <c r="K588" s="92"/>
      <c r="L588" s="93"/>
      <c r="M588" s="43"/>
    </row>
    <row r="589">
      <c r="C589" s="43"/>
      <c r="D589" s="91"/>
      <c r="J589" s="92"/>
      <c r="K589" s="92"/>
      <c r="L589" s="93"/>
      <c r="M589" s="43"/>
    </row>
    <row r="590">
      <c r="C590" s="43"/>
      <c r="D590" s="91"/>
      <c r="J590" s="92"/>
      <c r="K590" s="92"/>
      <c r="L590" s="93"/>
      <c r="M590" s="43"/>
    </row>
    <row r="591">
      <c r="C591" s="43"/>
      <c r="D591" s="91"/>
      <c r="J591" s="92"/>
      <c r="K591" s="92"/>
      <c r="L591" s="93"/>
      <c r="M591" s="43"/>
    </row>
    <row r="592">
      <c r="C592" s="43"/>
      <c r="D592" s="91"/>
      <c r="J592" s="92"/>
      <c r="K592" s="92"/>
      <c r="L592" s="93"/>
      <c r="M592" s="43"/>
    </row>
    <row r="593">
      <c r="C593" s="43"/>
      <c r="D593" s="91"/>
      <c r="J593" s="92"/>
      <c r="K593" s="92"/>
      <c r="L593" s="93"/>
      <c r="M593" s="43"/>
    </row>
    <row r="594">
      <c r="C594" s="43"/>
      <c r="D594" s="91"/>
      <c r="J594" s="92"/>
      <c r="K594" s="92"/>
      <c r="L594" s="93"/>
      <c r="M594" s="43"/>
    </row>
    <row r="595">
      <c r="C595" s="43"/>
      <c r="D595" s="91"/>
      <c r="J595" s="92"/>
      <c r="K595" s="92"/>
      <c r="L595" s="93"/>
      <c r="M595" s="43"/>
    </row>
    <row r="596">
      <c r="C596" s="43"/>
      <c r="D596" s="91"/>
      <c r="J596" s="92"/>
      <c r="K596" s="92"/>
      <c r="L596" s="93"/>
      <c r="M596" s="43"/>
    </row>
    <row r="597">
      <c r="C597" s="43"/>
      <c r="D597" s="91"/>
      <c r="J597" s="92"/>
      <c r="K597" s="92"/>
      <c r="L597" s="93"/>
      <c r="M597" s="43"/>
    </row>
    <row r="598">
      <c r="C598" s="43"/>
      <c r="D598" s="91"/>
      <c r="J598" s="92"/>
      <c r="K598" s="92"/>
      <c r="L598" s="93"/>
      <c r="M598" s="43"/>
    </row>
    <row r="599">
      <c r="C599" s="43"/>
      <c r="D599" s="91"/>
      <c r="J599" s="92"/>
      <c r="K599" s="92"/>
      <c r="L599" s="93"/>
      <c r="M599" s="43"/>
    </row>
    <row r="600">
      <c r="C600" s="43"/>
      <c r="D600" s="91"/>
      <c r="J600" s="92"/>
      <c r="K600" s="92"/>
      <c r="L600" s="93"/>
      <c r="M600" s="43"/>
    </row>
    <row r="601">
      <c r="C601" s="43"/>
      <c r="D601" s="91"/>
      <c r="J601" s="92"/>
      <c r="K601" s="92"/>
      <c r="L601" s="93"/>
      <c r="M601" s="43"/>
    </row>
    <row r="602">
      <c r="C602" s="43"/>
      <c r="D602" s="91"/>
      <c r="J602" s="92"/>
      <c r="K602" s="92"/>
      <c r="L602" s="93"/>
      <c r="M602" s="43"/>
    </row>
    <row r="603">
      <c r="C603" s="43"/>
      <c r="D603" s="91"/>
      <c r="J603" s="92"/>
      <c r="K603" s="92"/>
      <c r="L603" s="93"/>
      <c r="M603" s="43"/>
    </row>
    <row r="604">
      <c r="C604" s="43"/>
      <c r="D604" s="91"/>
      <c r="J604" s="92"/>
      <c r="K604" s="92"/>
      <c r="L604" s="93"/>
      <c r="M604" s="43"/>
    </row>
    <row r="605">
      <c r="C605" s="43"/>
      <c r="D605" s="91"/>
      <c r="J605" s="92"/>
      <c r="K605" s="92"/>
      <c r="L605" s="93"/>
      <c r="M605" s="43"/>
    </row>
    <row r="606">
      <c r="C606" s="43"/>
      <c r="D606" s="91"/>
      <c r="J606" s="92"/>
      <c r="K606" s="92"/>
      <c r="L606" s="93"/>
      <c r="M606" s="43"/>
    </row>
    <row r="607">
      <c r="C607" s="43"/>
      <c r="D607" s="91"/>
      <c r="J607" s="92"/>
      <c r="K607" s="92"/>
      <c r="L607" s="93"/>
      <c r="M607" s="43"/>
    </row>
    <row r="608">
      <c r="C608" s="43"/>
      <c r="D608" s="91"/>
      <c r="J608" s="92"/>
      <c r="K608" s="92"/>
      <c r="L608" s="93"/>
      <c r="M608" s="43"/>
    </row>
    <row r="609">
      <c r="C609" s="43"/>
      <c r="D609" s="91"/>
      <c r="J609" s="92"/>
      <c r="K609" s="92"/>
      <c r="L609" s="93"/>
      <c r="M609" s="43"/>
    </row>
    <row r="610">
      <c r="C610" s="43"/>
      <c r="D610" s="91"/>
      <c r="J610" s="92"/>
      <c r="K610" s="92"/>
      <c r="L610" s="93"/>
      <c r="M610" s="43"/>
    </row>
    <row r="611">
      <c r="C611" s="43"/>
      <c r="D611" s="91"/>
      <c r="J611" s="92"/>
      <c r="K611" s="92"/>
      <c r="L611" s="93"/>
      <c r="M611" s="43"/>
    </row>
    <row r="612">
      <c r="C612" s="43"/>
      <c r="D612" s="91"/>
      <c r="J612" s="92"/>
      <c r="K612" s="92"/>
      <c r="L612" s="93"/>
      <c r="M612" s="43"/>
    </row>
    <row r="613">
      <c r="C613" s="43"/>
      <c r="D613" s="91"/>
      <c r="J613" s="92"/>
      <c r="K613" s="92"/>
      <c r="L613" s="93"/>
      <c r="M613" s="43"/>
    </row>
    <row r="614">
      <c r="C614" s="43"/>
      <c r="D614" s="91"/>
      <c r="J614" s="92"/>
      <c r="K614" s="92"/>
      <c r="L614" s="93"/>
      <c r="M614" s="43"/>
    </row>
    <row r="615">
      <c r="C615" s="43"/>
      <c r="D615" s="91"/>
      <c r="J615" s="92"/>
      <c r="K615" s="92"/>
      <c r="L615" s="93"/>
      <c r="M615" s="43"/>
    </row>
    <row r="616">
      <c r="C616" s="43"/>
      <c r="D616" s="91"/>
      <c r="J616" s="92"/>
      <c r="K616" s="92"/>
      <c r="L616" s="93"/>
      <c r="M616" s="43"/>
    </row>
    <row r="617">
      <c r="C617" s="43"/>
      <c r="D617" s="91"/>
      <c r="J617" s="92"/>
      <c r="K617" s="92"/>
      <c r="L617" s="93"/>
      <c r="M617" s="43"/>
    </row>
    <row r="618">
      <c r="C618" s="43"/>
      <c r="D618" s="91"/>
      <c r="J618" s="92"/>
      <c r="K618" s="92"/>
      <c r="L618" s="93"/>
      <c r="M618" s="43"/>
    </row>
    <row r="619">
      <c r="C619" s="43"/>
      <c r="D619" s="91"/>
      <c r="J619" s="92"/>
      <c r="K619" s="92"/>
      <c r="L619" s="93"/>
      <c r="M619" s="43"/>
    </row>
    <row r="620">
      <c r="C620" s="43"/>
      <c r="D620" s="91"/>
      <c r="J620" s="92"/>
      <c r="K620" s="92"/>
      <c r="L620" s="93"/>
      <c r="M620" s="43"/>
    </row>
    <row r="621">
      <c r="C621" s="43"/>
      <c r="D621" s="91"/>
      <c r="J621" s="92"/>
      <c r="K621" s="92"/>
      <c r="L621" s="93"/>
      <c r="M621" s="43"/>
    </row>
    <row r="622">
      <c r="C622" s="43"/>
      <c r="D622" s="91"/>
      <c r="J622" s="92"/>
      <c r="K622" s="92"/>
      <c r="L622" s="93"/>
      <c r="M622" s="43"/>
    </row>
    <row r="623">
      <c r="C623" s="43"/>
      <c r="D623" s="91"/>
      <c r="J623" s="92"/>
      <c r="K623" s="92"/>
      <c r="L623" s="93"/>
      <c r="M623" s="43"/>
    </row>
    <row r="624">
      <c r="C624" s="43"/>
      <c r="D624" s="91"/>
      <c r="J624" s="92"/>
      <c r="K624" s="92"/>
      <c r="L624" s="93"/>
      <c r="M624" s="43"/>
    </row>
    <row r="625">
      <c r="C625" s="43"/>
      <c r="D625" s="91"/>
      <c r="J625" s="92"/>
      <c r="K625" s="92"/>
      <c r="L625" s="93"/>
      <c r="M625" s="43"/>
    </row>
    <row r="626">
      <c r="C626" s="43"/>
      <c r="D626" s="91"/>
      <c r="J626" s="92"/>
      <c r="K626" s="92"/>
      <c r="L626" s="93"/>
      <c r="M626" s="43"/>
    </row>
    <row r="627">
      <c r="C627" s="43"/>
      <c r="D627" s="91"/>
      <c r="J627" s="92"/>
      <c r="K627" s="92"/>
      <c r="L627" s="93"/>
      <c r="M627" s="43"/>
    </row>
    <row r="628">
      <c r="C628" s="43"/>
      <c r="D628" s="91"/>
      <c r="J628" s="92"/>
      <c r="K628" s="92"/>
      <c r="L628" s="93"/>
      <c r="M628" s="43"/>
    </row>
    <row r="629">
      <c r="C629" s="43"/>
      <c r="D629" s="91"/>
      <c r="J629" s="92"/>
      <c r="K629" s="92"/>
      <c r="L629" s="93"/>
      <c r="M629" s="43"/>
    </row>
    <row r="630">
      <c r="C630" s="43"/>
      <c r="D630" s="91"/>
      <c r="J630" s="92"/>
      <c r="K630" s="92"/>
      <c r="L630" s="93"/>
      <c r="M630" s="43"/>
    </row>
    <row r="631">
      <c r="C631" s="43"/>
      <c r="D631" s="91"/>
      <c r="J631" s="92"/>
      <c r="K631" s="92"/>
      <c r="L631" s="93"/>
      <c r="M631" s="43"/>
    </row>
    <row r="632">
      <c r="C632" s="43"/>
      <c r="D632" s="91"/>
      <c r="J632" s="92"/>
      <c r="K632" s="92"/>
      <c r="L632" s="93"/>
      <c r="M632" s="43"/>
    </row>
    <row r="633">
      <c r="C633" s="43"/>
      <c r="D633" s="91"/>
      <c r="J633" s="92"/>
      <c r="K633" s="92"/>
      <c r="L633" s="93"/>
      <c r="M633" s="43"/>
    </row>
    <row r="634">
      <c r="C634" s="43"/>
      <c r="D634" s="91"/>
      <c r="J634" s="92"/>
      <c r="K634" s="92"/>
      <c r="L634" s="93"/>
      <c r="M634" s="43"/>
    </row>
    <row r="635">
      <c r="C635" s="43"/>
      <c r="D635" s="91"/>
      <c r="J635" s="92"/>
      <c r="K635" s="92"/>
      <c r="L635" s="93"/>
      <c r="M635" s="43"/>
    </row>
    <row r="636">
      <c r="C636" s="43"/>
      <c r="D636" s="91"/>
      <c r="J636" s="92"/>
      <c r="K636" s="92"/>
      <c r="L636" s="93"/>
      <c r="M636" s="43"/>
    </row>
    <row r="637">
      <c r="C637" s="43"/>
      <c r="D637" s="91"/>
      <c r="J637" s="92"/>
      <c r="K637" s="92"/>
      <c r="L637" s="93"/>
      <c r="M637" s="43"/>
    </row>
    <row r="638">
      <c r="C638" s="43"/>
      <c r="D638" s="91"/>
      <c r="J638" s="92"/>
      <c r="K638" s="92"/>
      <c r="L638" s="93"/>
      <c r="M638" s="43"/>
    </row>
    <row r="639">
      <c r="C639" s="43"/>
      <c r="D639" s="91"/>
      <c r="J639" s="92"/>
      <c r="K639" s="92"/>
      <c r="L639" s="93"/>
      <c r="M639" s="43"/>
    </row>
    <row r="640">
      <c r="C640" s="43"/>
      <c r="D640" s="91"/>
      <c r="J640" s="92"/>
      <c r="K640" s="92"/>
      <c r="L640" s="93"/>
      <c r="M640" s="43"/>
    </row>
    <row r="641">
      <c r="C641" s="43"/>
      <c r="D641" s="91"/>
      <c r="J641" s="92"/>
      <c r="K641" s="92"/>
      <c r="L641" s="93"/>
      <c r="M641" s="43"/>
    </row>
    <row r="642">
      <c r="C642" s="43"/>
      <c r="D642" s="91"/>
      <c r="J642" s="92"/>
      <c r="K642" s="92"/>
      <c r="L642" s="93"/>
      <c r="M642" s="43"/>
    </row>
    <row r="643">
      <c r="C643" s="43"/>
      <c r="D643" s="91"/>
      <c r="J643" s="92"/>
      <c r="K643" s="92"/>
      <c r="L643" s="93"/>
      <c r="M643" s="43"/>
    </row>
    <row r="644">
      <c r="C644" s="43"/>
      <c r="D644" s="91"/>
      <c r="J644" s="92"/>
      <c r="K644" s="92"/>
      <c r="L644" s="93"/>
      <c r="M644" s="43"/>
    </row>
    <row r="645">
      <c r="C645" s="43"/>
      <c r="D645" s="91"/>
      <c r="J645" s="92"/>
      <c r="K645" s="92"/>
      <c r="L645" s="93"/>
      <c r="M645" s="43"/>
    </row>
    <row r="646">
      <c r="C646" s="43"/>
      <c r="D646" s="91"/>
      <c r="J646" s="92"/>
      <c r="K646" s="92"/>
      <c r="L646" s="93"/>
      <c r="M646" s="43"/>
    </row>
    <row r="647">
      <c r="C647" s="43"/>
      <c r="D647" s="91"/>
      <c r="J647" s="92"/>
      <c r="K647" s="92"/>
      <c r="L647" s="93"/>
      <c r="M647" s="43"/>
    </row>
    <row r="648">
      <c r="C648" s="43"/>
      <c r="D648" s="91"/>
      <c r="J648" s="92"/>
      <c r="K648" s="92"/>
      <c r="L648" s="93"/>
      <c r="M648" s="43"/>
    </row>
    <row r="649">
      <c r="C649" s="43"/>
      <c r="D649" s="91"/>
      <c r="J649" s="92"/>
      <c r="K649" s="92"/>
      <c r="L649" s="93"/>
      <c r="M649" s="43"/>
    </row>
    <row r="650">
      <c r="C650" s="43"/>
      <c r="D650" s="91"/>
      <c r="J650" s="92"/>
      <c r="K650" s="92"/>
      <c r="L650" s="93"/>
      <c r="M650" s="43"/>
    </row>
    <row r="651">
      <c r="C651" s="43"/>
      <c r="D651" s="91"/>
      <c r="J651" s="92"/>
      <c r="K651" s="92"/>
      <c r="L651" s="93"/>
      <c r="M651" s="43"/>
    </row>
    <row r="652">
      <c r="C652" s="43"/>
      <c r="D652" s="91"/>
      <c r="J652" s="92"/>
      <c r="K652" s="92"/>
      <c r="L652" s="93"/>
      <c r="M652" s="43"/>
    </row>
    <row r="653">
      <c r="C653" s="43"/>
      <c r="D653" s="91"/>
      <c r="J653" s="92"/>
      <c r="K653" s="92"/>
      <c r="L653" s="93"/>
      <c r="M653" s="43"/>
    </row>
    <row r="654">
      <c r="C654" s="43"/>
      <c r="D654" s="91"/>
      <c r="J654" s="92"/>
      <c r="K654" s="92"/>
      <c r="L654" s="93"/>
      <c r="M654" s="43"/>
    </row>
    <row r="655">
      <c r="C655" s="43"/>
      <c r="D655" s="91"/>
      <c r="J655" s="92"/>
      <c r="K655" s="92"/>
      <c r="L655" s="93"/>
      <c r="M655" s="43"/>
    </row>
    <row r="656">
      <c r="C656" s="43"/>
      <c r="D656" s="91"/>
      <c r="J656" s="92"/>
      <c r="K656" s="92"/>
      <c r="L656" s="93"/>
      <c r="M656" s="43"/>
    </row>
    <row r="657">
      <c r="C657" s="43"/>
      <c r="D657" s="91"/>
      <c r="J657" s="92"/>
      <c r="K657" s="92"/>
      <c r="L657" s="93"/>
      <c r="M657" s="43"/>
    </row>
    <row r="658">
      <c r="C658" s="43"/>
      <c r="D658" s="91"/>
      <c r="J658" s="92"/>
      <c r="K658" s="92"/>
      <c r="L658" s="93"/>
      <c r="M658" s="43"/>
    </row>
    <row r="659">
      <c r="C659" s="43"/>
      <c r="D659" s="91"/>
      <c r="J659" s="92"/>
      <c r="K659" s="92"/>
      <c r="L659" s="93"/>
      <c r="M659" s="43"/>
    </row>
    <row r="660">
      <c r="C660" s="43"/>
      <c r="D660" s="91"/>
      <c r="J660" s="92"/>
      <c r="K660" s="92"/>
      <c r="L660" s="93"/>
      <c r="M660" s="43"/>
    </row>
    <row r="661">
      <c r="C661" s="43"/>
      <c r="D661" s="91"/>
      <c r="J661" s="92"/>
      <c r="K661" s="92"/>
      <c r="L661" s="93"/>
      <c r="M661" s="43"/>
    </row>
    <row r="662">
      <c r="C662" s="43"/>
      <c r="D662" s="91"/>
      <c r="J662" s="92"/>
      <c r="K662" s="92"/>
      <c r="L662" s="93"/>
      <c r="M662" s="43"/>
    </row>
    <row r="663">
      <c r="C663" s="43"/>
      <c r="D663" s="91"/>
      <c r="J663" s="92"/>
      <c r="K663" s="92"/>
      <c r="L663" s="93"/>
      <c r="M663" s="43"/>
    </row>
    <row r="664">
      <c r="C664" s="43"/>
      <c r="D664" s="91"/>
      <c r="J664" s="92"/>
      <c r="K664" s="92"/>
      <c r="L664" s="93"/>
      <c r="M664" s="43"/>
    </row>
    <row r="665">
      <c r="C665" s="43"/>
      <c r="D665" s="91"/>
      <c r="J665" s="92"/>
      <c r="K665" s="92"/>
      <c r="L665" s="93"/>
      <c r="M665" s="43"/>
    </row>
    <row r="666">
      <c r="C666" s="43"/>
      <c r="D666" s="91"/>
      <c r="J666" s="92"/>
      <c r="K666" s="92"/>
      <c r="L666" s="93"/>
      <c r="M666" s="43"/>
    </row>
    <row r="667">
      <c r="C667" s="43"/>
      <c r="D667" s="91"/>
      <c r="J667" s="92"/>
      <c r="K667" s="92"/>
      <c r="L667" s="93"/>
      <c r="M667" s="43"/>
    </row>
    <row r="668">
      <c r="C668" s="43"/>
      <c r="D668" s="91"/>
      <c r="J668" s="92"/>
      <c r="K668" s="92"/>
      <c r="L668" s="93"/>
      <c r="M668" s="43"/>
    </row>
    <row r="669">
      <c r="C669" s="43"/>
      <c r="D669" s="91"/>
      <c r="J669" s="92"/>
      <c r="K669" s="92"/>
      <c r="L669" s="93"/>
      <c r="M669" s="43"/>
    </row>
    <row r="670">
      <c r="C670" s="43"/>
      <c r="D670" s="91"/>
      <c r="J670" s="92"/>
      <c r="K670" s="92"/>
      <c r="L670" s="93"/>
      <c r="M670" s="43"/>
    </row>
    <row r="671">
      <c r="C671" s="43"/>
      <c r="D671" s="91"/>
      <c r="J671" s="92"/>
      <c r="K671" s="92"/>
      <c r="L671" s="93"/>
      <c r="M671" s="43"/>
    </row>
    <row r="672">
      <c r="C672" s="43"/>
      <c r="D672" s="91"/>
      <c r="J672" s="92"/>
      <c r="K672" s="92"/>
      <c r="L672" s="93"/>
      <c r="M672" s="43"/>
    </row>
    <row r="673">
      <c r="C673" s="43"/>
      <c r="D673" s="91"/>
      <c r="J673" s="92"/>
      <c r="K673" s="92"/>
      <c r="L673" s="93"/>
      <c r="M673" s="43"/>
    </row>
    <row r="674">
      <c r="C674" s="43"/>
      <c r="D674" s="91"/>
      <c r="J674" s="92"/>
      <c r="K674" s="92"/>
      <c r="L674" s="93"/>
      <c r="M674" s="43"/>
    </row>
    <row r="675">
      <c r="C675" s="43"/>
      <c r="D675" s="91"/>
      <c r="J675" s="92"/>
      <c r="K675" s="92"/>
      <c r="L675" s="93"/>
      <c r="M675" s="43"/>
    </row>
    <row r="676">
      <c r="C676" s="43"/>
      <c r="D676" s="91"/>
      <c r="J676" s="92"/>
      <c r="K676" s="92"/>
      <c r="L676" s="93"/>
      <c r="M676" s="43"/>
    </row>
    <row r="677">
      <c r="C677" s="43"/>
      <c r="D677" s="91"/>
      <c r="J677" s="92"/>
      <c r="K677" s="92"/>
      <c r="L677" s="93"/>
      <c r="M677" s="43"/>
    </row>
    <row r="678">
      <c r="C678" s="43"/>
      <c r="D678" s="91"/>
      <c r="J678" s="92"/>
      <c r="K678" s="92"/>
      <c r="L678" s="93"/>
      <c r="M678" s="43"/>
    </row>
    <row r="679">
      <c r="C679" s="43"/>
      <c r="D679" s="91"/>
      <c r="J679" s="92"/>
      <c r="K679" s="92"/>
      <c r="L679" s="93"/>
      <c r="M679" s="43"/>
    </row>
    <row r="680">
      <c r="C680" s="43"/>
      <c r="D680" s="91"/>
      <c r="J680" s="92"/>
      <c r="K680" s="92"/>
      <c r="L680" s="93"/>
      <c r="M680" s="43"/>
    </row>
    <row r="681">
      <c r="C681" s="43"/>
      <c r="D681" s="91"/>
      <c r="J681" s="92"/>
      <c r="K681" s="92"/>
      <c r="L681" s="93"/>
      <c r="M681" s="43"/>
    </row>
    <row r="682">
      <c r="C682" s="43"/>
      <c r="D682" s="91"/>
      <c r="J682" s="92"/>
      <c r="K682" s="92"/>
      <c r="L682" s="93"/>
      <c r="M682" s="43"/>
    </row>
    <row r="683">
      <c r="C683" s="43"/>
      <c r="D683" s="91"/>
      <c r="J683" s="92"/>
      <c r="K683" s="92"/>
      <c r="L683" s="93"/>
      <c r="M683" s="43"/>
    </row>
    <row r="684">
      <c r="C684" s="43"/>
      <c r="D684" s="91"/>
      <c r="J684" s="92"/>
      <c r="K684" s="92"/>
      <c r="L684" s="93"/>
      <c r="M684" s="43"/>
    </row>
    <row r="685">
      <c r="C685" s="43"/>
      <c r="D685" s="91"/>
      <c r="J685" s="92"/>
      <c r="K685" s="92"/>
      <c r="L685" s="93"/>
      <c r="M685" s="43"/>
    </row>
    <row r="686">
      <c r="C686" s="43"/>
      <c r="D686" s="91"/>
      <c r="J686" s="92"/>
      <c r="K686" s="92"/>
      <c r="L686" s="93"/>
      <c r="M686" s="43"/>
    </row>
    <row r="687">
      <c r="C687" s="43"/>
      <c r="D687" s="91"/>
      <c r="J687" s="92"/>
      <c r="K687" s="92"/>
      <c r="L687" s="93"/>
      <c r="M687" s="43"/>
    </row>
    <row r="688">
      <c r="C688" s="43"/>
      <c r="D688" s="91"/>
      <c r="J688" s="92"/>
      <c r="K688" s="92"/>
      <c r="L688" s="93"/>
      <c r="M688" s="43"/>
    </row>
    <row r="689">
      <c r="C689" s="43"/>
      <c r="D689" s="91"/>
      <c r="J689" s="92"/>
      <c r="K689" s="92"/>
      <c r="L689" s="93"/>
      <c r="M689" s="43"/>
    </row>
    <row r="690">
      <c r="C690" s="43"/>
      <c r="D690" s="91"/>
      <c r="J690" s="92"/>
      <c r="K690" s="92"/>
      <c r="L690" s="93"/>
      <c r="M690" s="43"/>
    </row>
    <row r="691">
      <c r="C691" s="43"/>
      <c r="D691" s="91"/>
      <c r="J691" s="92"/>
      <c r="K691" s="92"/>
      <c r="L691" s="93"/>
      <c r="M691" s="43"/>
    </row>
    <row r="692">
      <c r="C692" s="43"/>
      <c r="D692" s="91"/>
      <c r="J692" s="92"/>
      <c r="K692" s="92"/>
      <c r="L692" s="93"/>
      <c r="M692" s="43"/>
    </row>
    <row r="693">
      <c r="C693" s="43"/>
      <c r="D693" s="91"/>
      <c r="J693" s="92"/>
      <c r="K693" s="92"/>
      <c r="L693" s="93"/>
      <c r="M693" s="43"/>
    </row>
    <row r="694">
      <c r="C694" s="43"/>
      <c r="D694" s="91"/>
      <c r="J694" s="92"/>
      <c r="K694" s="92"/>
      <c r="L694" s="93"/>
      <c r="M694" s="43"/>
    </row>
    <row r="695">
      <c r="C695" s="43"/>
      <c r="D695" s="91"/>
      <c r="J695" s="92"/>
      <c r="K695" s="92"/>
      <c r="L695" s="93"/>
      <c r="M695" s="43"/>
    </row>
    <row r="696">
      <c r="C696" s="43"/>
      <c r="D696" s="91"/>
      <c r="J696" s="92"/>
      <c r="K696" s="92"/>
      <c r="L696" s="93"/>
      <c r="M696" s="43"/>
    </row>
    <row r="697">
      <c r="C697" s="43"/>
      <c r="D697" s="91"/>
      <c r="J697" s="92"/>
      <c r="K697" s="92"/>
      <c r="L697" s="93"/>
      <c r="M697" s="43"/>
    </row>
    <row r="698">
      <c r="C698" s="43"/>
      <c r="D698" s="91"/>
      <c r="J698" s="92"/>
      <c r="K698" s="92"/>
      <c r="L698" s="93"/>
      <c r="M698" s="43"/>
    </row>
    <row r="699">
      <c r="C699" s="43"/>
      <c r="D699" s="91"/>
      <c r="J699" s="92"/>
      <c r="K699" s="92"/>
      <c r="L699" s="93"/>
      <c r="M699" s="43"/>
    </row>
    <row r="700">
      <c r="C700" s="43"/>
      <c r="D700" s="91"/>
      <c r="J700" s="92"/>
      <c r="K700" s="92"/>
      <c r="L700" s="93"/>
      <c r="M700" s="43"/>
    </row>
    <row r="701">
      <c r="C701" s="43"/>
      <c r="D701" s="91"/>
      <c r="J701" s="92"/>
      <c r="K701" s="92"/>
      <c r="L701" s="93"/>
      <c r="M701" s="43"/>
    </row>
    <row r="702">
      <c r="C702" s="43"/>
      <c r="D702" s="91"/>
      <c r="J702" s="92"/>
      <c r="K702" s="92"/>
      <c r="L702" s="93"/>
      <c r="M702" s="43"/>
    </row>
    <row r="703">
      <c r="C703" s="43"/>
      <c r="D703" s="91"/>
      <c r="J703" s="92"/>
      <c r="K703" s="92"/>
      <c r="L703" s="93"/>
      <c r="M703" s="43"/>
    </row>
    <row r="704">
      <c r="C704" s="43"/>
      <c r="D704" s="91"/>
      <c r="J704" s="92"/>
      <c r="K704" s="92"/>
      <c r="L704" s="93"/>
      <c r="M704" s="43"/>
    </row>
    <row r="705">
      <c r="C705" s="43"/>
      <c r="D705" s="91"/>
      <c r="J705" s="92"/>
      <c r="K705" s="92"/>
      <c r="L705" s="93"/>
      <c r="M705" s="43"/>
    </row>
    <row r="706">
      <c r="C706" s="43"/>
      <c r="D706" s="91"/>
      <c r="J706" s="92"/>
      <c r="K706" s="92"/>
      <c r="L706" s="93"/>
      <c r="M706" s="43"/>
    </row>
    <row r="707">
      <c r="C707" s="43"/>
      <c r="D707" s="91"/>
      <c r="J707" s="92"/>
      <c r="K707" s="92"/>
      <c r="L707" s="93"/>
      <c r="M707" s="43"/>
    </row>
    <row r="708">
      <c r="C708" s="43"/>
      <c r="D708" s="91"/>
      <c r="J708" s="92"/>
      <c r="K708" s="92"/>
      <c r="L708" s="93"/>
      <c r="M708" s="43"/>
    </row>
    <row r="709">
      <c r="C709" s="43"/>
      <c r="D709" s="91"/>
      <c r="J709" s="92"/>
      <c r="K709" s="92"/>
      <c r="L709" s="93"/>
      <c r="M709" s="43"/>
    </row>
    <row r="710">
      <c r="C710" s="43"/>
      <c r="D710" s="91"/>
      <c r="J710" s="92"/>
      <c r="K710" s="92"/>
      <c r="L710" s="93"/>
      <c r="M710" s="43"/>
    </row>
    <row r="711">
      <c r="C711" s="43"/>
      <c r="D711" s="91"/>
      <c r="J711" s="92"/>
      <c r="K711" s="92"/>
      <c r="L711" s="93"/>
      <c r="M711" s="43"/>
    </row>
    <row r="712">
      <c r="C712" s="43"/>
      <c r="D712" s="91"/>
      <c r="J712" s="92"/>
      <c r="K712" s="92"/>
      <c r="L712" s="93"/>
      <c r="M712" s="43"/>
    </row>
    <row r="713">
      <c r="C713" s="43"/>
      <c r="D713" s="91"/>
      <c r="J713" s="92"/>
      <c r="K713" s="92"/>
      <c r="L713" s="93"/>
      <c r="M713" s="43"/>
    </row>
    <row r="714">
      <c r="C714" s="43"/>
      <c r="D714" s="91"/>
      <c r="J714" s="92"/>
      <c r="K714" s="92"/>
      <c r="L714" s="93"/>
      <c r="M714" s="43"/>
    </row>
    <row r="715">
      <c r="C715" s="43"/>
      <c r="D715" s="91"/>
      <c r="J715" s="92"/>
      <c r="K715" s="92"/>
      <c r="L715" s="93"/>
      <c r="M715" s="43"/>
    </row>
    <row r="716">
      <c r="C716" s="43"/>
      <c r="D716" s="91"/>
      <c r="J716" s="92"/>
      <c r="K716" s="92"/>
      <c r="L716" s="93"/>
      <c r="M716" s="43"/>
    </row>
    <row r="717">
      <c r="C717" s="43"/>
      <c r="D717" s="91"/>
      <c r="J717" s="92"/>
      <c r="K717" s="92"/>
      <c r="L717" s="93"/>
      <c r="M717" s="43"/>
    </row>
    <row r="718">
      <c r="C718" s="43"/>
      <c r="D718" s="91"/>
      <c r="J718" s="92"/>
      <c r="K718" s="92"/>
      <c r="L718" s="93"/>
      <c r="M718" s="43"/>
    </row>
    <row r="719">
      <c r="C719" s="43"/>
      <c r="D719" s="91"/>
      <c r="J719" s="92"/>
      <c r="K719" s="92"/>
      <c r="L719" s="93"/>
      <c r="M719" s="43"/>
    </row>
    <row r="720">
      <c r="C720" s="43"/>
      <c r="D720" s="91"/>
      <c r="J720" s="92"/>
      <c r="K720" s="92"/>
      <c r="L720" s="93"/>
      <c r="M720" s="43"/>
    </row>
    <row r="721">
      <c r="C721" s="43"/>
      <c r="D721" s="91"/>
      <c r="J721" s="92"/>
      <c r="K721" s="92"/>
      <c r="L721" s="93"/>
      <c r="M721" s="43"/>
    </row>
    <row r="722">
      <c r="C722" s="43"/>
      <c r="D722" s="91"/>
      <c r="J722" s="92"/>
      <c r="K722" s="92"/>
      <c r="L722" s="93"/>
      <c r="M722" s="43"/>
    </row>
    <row r="723">
      <c r="C723" s="43"/>
      <c r="D723" s="91"/>
      <c r="J723" s="92"/>
      <c r="K723" s="92"/>
      <c r="L723" s="93"/>
      <c r="M723" s="43"/>
    </row>
    <row r="724">
      <c r="C724" s="43"/>
      <c r="D724" s="91"/>
      <c r="J724" s="92"/>
      <c r="K724" s="92"/>
      <c r="L724" s="93"/>
      <c r="M724" s="43"/>
    </row>
    <row r="725">
      <c r="C725" s="43"/>
      <c r="D725" s="91"/>
      <c r="J725" s="92"/>
      <c r="K725" s="92"/>
      <c r="L725" s="93"/>
      <c r="M725" s="43"/>
    </row>
    <row r="726">
      <c r="C726" s="43"/>
      <c r="D726" s="91"/>
      <c r="J726" s="92"/>
      <c r="K726" s="92"/>
      <c r="L726" s="93"/>
      <c r="M726" s="43"/>
    </row>
    <row r="727">
      <c r="C727" s="43"/>
      <c r="D727" s="91"/>
      <c r="J727" s="92"/>
      <c r="K727" s="92"/>
      <c r="L727" s="93"/>
      <c r="M727" s="43"/>
    </row>
    <row r="728">
      <c r="C728" s="43"/>
      <c r="D728" s="91"/>
      <c r="J728" s="92"/>
      <c r="K728" s="92"/>
      <c r="L728" s="93"/>
      <c r="M728" s="43"/>
    </row>
    <row r="729">
      <c r="C729" s="43"/>
      <c r="D729" s="91"/>
      <c r="J729" s="92"/>
      <c r="K729" s="92"/>
      <c r="L729" s="93"/>
      <c r="M729" s="43"/>
    </row>
    <row r="730">
      <c r="C730" s="43"/>
      <c r="D730" s="91"/>
      <c r="J730" s="92"/>
      <c r="K730" s="92"/>
      <c r="L730" s="93"/>
      <c r="M730" s="43"/>
    </row>
    <row r="731">
      <c r="C731" s="43"/>
      <c r="D731" s="91"/>
      <c r="J731" s="92"/>
      <c r="K731" s="92"/>
      <c r="L731" s="93"/>
      <c r="M731" s="43"/>
    </row>
    <row r="732">
      <c r="C732" s="43"/>
      <c r="D732" s="91"/>
      <c r="J732" s="92"/>
      <c r="K732" s="92"/>
      <c r="L732" s="93"/>
      <c r="M732" s="43"/>
    </row>
    <row r="733">
      <c r="C733" s="43"/>
      <c r="D733" s="91"/>
      <c r="J733" s="92"/>
      <c r="K733" s="92"/>
      <c r="L733" s="93"/>
      <c r="M733" s="43"/>
    </row>
    <row r="734">
      <c r="C734" s="43"/>
      <c r="D734" s="91"/>
      <c r="J734" s="92"/>
      <c r="K734" s="92"/>
      <c r="L734" s="93"/>
      <c r="M734" s="43"/>
    </row>
    <row r="735">
      <c r="C735" s="43"/>
      <c r="D735" s="91"/>
      <c r="J735" s="92"/>
      <c r="K735" s="92"/>
      <c r="L735" s="93"/>
      <c r="M735" s="43"/>
    </row>
    <row r="736">
      <c r="C736" s="43"/>
      <c r="D736" s="91"/>
      <c r="J736" s="92"/>
      <c r="K736" s="92"/>
      <c r="L736" s="93"/>
      <c r="M736" s="43"/>
    </row>
    <row r="737">
      <c r="C737" s="43"/>
      <c r="D737" s="91"/>
      <c r="J737" s="92"/>
      <c r="K737" s="92"/>
      <c r="L737" s="93"/>
      <c r="M737" s="43"/>
    </row>
    <row r="738">
      <c r="C738" s="43"/>
      <c r="D738" s="91"/>
      <c r="J738" s="92"/>
      <c r="K738" s="92"/>
      <c r="L738" s="93"/>
      <c r="M738" s="43"/>
    </row>
    <row r="739">
      <c r="C739" s="43"/>
      <c r="D739" s="91"/>
      <c r="J739" s="92"/>
      <c r="K739" s="92"/>
      <c r="L739" s="93"/>
      <c r="M739" s="43"/>
    </row>
    <row r="740">
      <c r="C740" s="43"/>
      <c r="D740" s="91"/>
      <c r="J740" s="92"/>
      <c r="K740" s="92"/>
      <c r="L740" s="93"/>
      <c r="M740" s="43"/>
    </row>
    <row r="741">
      <c r="C741" s="43"/>
      <c r="D741" s="91"/>
      <c r="J741" s="92"/>
      <c r="K741" s="92"/>
      <c r="L741" s="93"/>
      <c r="M741" s="43"/>
    </row>
    <row r="742">
      <c r="C742" s="43"/>
      <c r="D742" s="91"/>
      <c r="J742" s="92"/>
      <c r="K742" s="92"/>
      <c r="L742" s="93"/>
      <c r="M742" s="43"/>
    </row>
    <row r="743">
      <c r="C743" s="43"/>
      <c r="D743" s="91"/>
      <c r="J743" s="92"/>
      <c r="K743" s="92"/>
      <c r="L743" s="93"/>
      <c r="M743" s="43"/>
    </row>
    <row r="744">
      <c r="C744" s="43"/>
      <c r="D744" s="91"/>
      <c r="J744" s="92"/>
      <c r="K744" s="92"/>
      <c r="L744" s="93"/>
      <c r="M744" s="43"/>
    </row>
    <row r="745">
      <c r="C745" s="43"/>
      <c r="D745" s="91"/>
      <c r="J745" s="92"/>
      <c r="K745" s="92"/>
      <c r="L745" s="93"/>
      <c r="M745" s="43"/>
    </row>
    <row r="746">
      <c r="C746" s="43"/>
      <c r="D746" s="91"/>
      <c r="J746" s="92"/>
      <c r="K746" s="92"/>
      <c r="L746" s="93"/>
      <c r="M746" s="43"/>
    </row>
    <row r="747">
      <c r="C747" s="43"/>
      <c r="D747" s="91"/>
      <c r="J747" s="92"/>
      <c r="K747" s="92"/>
      <c r="L747" s="93"/>
      <c r="M747" s="43"/>
    </row>
    <row r="748">
      <c r="C748" s="43"/>
      <c r="D748" s="91"/>
      <c r="J748" s="92"/>
      <c r="K748" s="92"/>
      <c r="L748" s="93"/>
      <c r="M748" s="43"/>
    </row>
    <row r="749">
      <c r="C749" s="43"/>
      <c r="D749" s="91"/>
      <c r="J749" s="92"/>
      <c r="K749" s="92"/>
      <c r="L749" s="93"/>
      <c r="M749" s="43"/>
    </row>
    <row r="750">
      <c r="C750" s="43"/>
      <c r="D750" s="91"/>
      <c r="J750" s="92"/>
      <c r="K750" s="92"/>
      <c r="L750" s="93"/>
      <c r="M750" s="43"/>
    </row>
    <row r="751">
      <c r="C751" s="43"/>
      <c r="D751" s="91"/>
      <c r="J751" s="92"/>
      <c r="K751" s="92"/>
      <c r="L751" s="93"/>
      <c r="M751" s="43"/>
    </row>
    <row r="752">
      <c r="C752" s="43"/>
      <c r="D752" s="91"/>
      <c r="J752" s="92"/>
      <c r="K752" s="92"/>
      <c r="L752" s="93"/>
      <c r="M752" s="43"/>
    </row>
    <row r="753">
      <c r="C753" s="43"/>
      <c r="D753" s="91"/>
      <c r="J753" s="92"/>
      <c r="K753" s="92"/>
      <c r="L753" s="93"/>
      <c r="M753" s="43"/>
    </row>
    <row r="754">
      <c r="C754" s="43"/>
      <c r="D754" s="91"/>
      <c r="J754" s="92"/>
      <c r="K754" s="92"/>
      <c r="L754" s="93"/>
      <c r="M754" s="43"/>
    </row>
    <row r="755">
      <c r="C755" s="43"/>
      <c r="D755" s="91"/>
      <c r="J755" s="92"/>
      <c r="K755" s="92"/>
      <c r="L755" s="93"/>
      <c r="M755" s="43"/>
    </row>
    <row r="756">
      <c r="C756" s="43"/>
      <c r="D756" s="91"/>
      <c r="J756" s="92"/>
      <c r="K756" s="92"/>
      <c r="L756" s="93"/>
      <c r="M756" s="43"/>
    </row>
    <row r="757">
      <c r="C757" s="43"/>
      <c r="D757" s="91"/>
      <c r="J757" s="92"/>
      <c r="K757" s="92"/>
      <c r="L757" s="93"/>
      <c r="M757" s="43"/>
    </row>
    <row r="758">
      <c r="C758" s="43"/>
      <c r="D758" s="91"/>
      <c r="J758" s="92"/>
      <c r="K758" s="92"/>
      <c r="L758" s="93"/>
      <c r="M758" s="43"/>
    </row>
    <row r="759">
      <c r="C759" s="43"/>
      <c r="D759" s="91"/>
      <c r="J759" s="92"/>
      <c r="K759" s="92"/>
      <c r="L759" s="93"/>
      <c r="M759" s="43"/>
    </row>
    <row r="760">
      <c r="C760" s="43"/>
      <c r="D760" s="91"/>
      <c r="J760" s="92"/>
      <c r="K760" s="92"/>
      <c r="L760" s="93"/>
      <c r="M760" s="43"/>
    </row>
    <row r="761">
      <c r="C761" s="43"/>
      <c r="D761" s="91"/>
      <c r="J761" s="92"/>
      <c r="K761" s="92"/>
      <c r="L761" s="93"/>
      <c r="M761" s="43"/>
    </row>
    <row r="762">
      <c r="C762" s="43"/>
      <c r="D762" s="91"/>
      <c r="J762" s="92"/>
      <c r="K762" s="92"/>
      <c r="L762" s="93"/>
      <c r="M762" s="43"/>
    </row>
    <row r="763">
      <c r="C763" s="43"/>
      <c r="D763" s="91"/>
      <c r="J763" s="92"/>
      <c r="K763" s="92"/>
      <c r="L763" s="93"/>
      <c r="M763" s="43"/>
    </row>
    <row r="764">
      <c r="C764" s="43"/>
      <c r="D764" s="91"/>
      <c r="J764" s="92"/>
      <c r="K764" s="92"/>
      <c r="L764" s="93"/>
      <c r="M764" s="43"/>
    </row>
    <row r="765">
      <c r="C765" s="43"/>
      <c r="D765" s="91"/>
      <c r="J765" s="92"/>
      <c r="K765" s="92"/>
      <c r="L765" s="93"/>
      <c r="M765" s="43"/>
    </row>
    <row r="766">
      <c r="C766" s="43"/>
      <c r="D766" s="91"/>
      <c r="J766" s="92"/>
      <c r="K766" s="92"/>
      <c r="L766" s="93"/>
      <c r="M766" s="43"/>
    </row>
    <row r="767">
      <c r="C767" s="43"/>
      <c r="D767" s="91"/>
      <c r="J767" s="92"/>
      <c r="K767" s="92"/>
      <c r="L767" s="93"/>
      <c r="M767" s="43"/>
    </row>
    <row r="768">
      <c r="C768" s="43"/>
      <c r="D768" s="91"/>
      <c r="J768" s="92"/>
      <c r="K768" s="92"/>
      <c r="L768" s="93"/>
      <c r="M768" s="43"/>
    </row>
    <row r="769">
      <c r="C769" s="43"/>
      <c r="D769" s="91"/>
      <c r="J769" s="92"/>
      <c r="K769" s="92"/>
      <c r="L769" s="93"/>
      <c r="M769" s="43"/>
    </row>
    <row r="770">
      <c r="C770" s="43"/>
      <c r="D770" s="91"/>
      <c r="J770" s="92"/>
      <c r="K770" s="92"/>
      <c r="L770" s="93"/>
      <c r="M770" s="43"/>
    </row>
    <row r="771">
      <c r="C771" s="43"/>
      <c r="D771" s="91"/>
      <c r="J771" s="92"/>
      <c r="K771" s="92"/>
      <c r="L771" s="93"/>
      <c r="M771" s="43"/>
    </row>
    <row r="772">
      <c r="C772" s="43"/>
      <c r="D772" s="91"/>
      <c r="J772" s="92"/>
      <c r="K772" s="92"/>
      <c r="L772" s="93"/>
      <c r="M772" s="43"/>
    </row>
    <row r="773">
      <c r="C773" s="43"/>
      <c r="D773" s="91"/>
      <c r="J773" s="92"/>
      <c r="K773" s="92"/>
      <c r="L773" s="93"/>
      <c r="M773" s="43"/>
    </row>
    <row r="774">
      <c r="C774" s="43"/>
      <c r="D774" s="91"/>
      <c r="J774" s="92"/>
      <c r="K774" s="92"/>
      <c r="L774" s="93"/>
      <c r="M774" s="43"/>
    </row>
    <row r="775">
      <c r="C775" s="43"/>
      <c r="D775" s="91"/>
      <c r="J775" s="92"/>
      <c r="K775" s="92"/>
      <c r="L775" s="93"/>
      <c r="M775" s="43"/>
    </row>
    <row r="776">
      <c r="C776" s="43"/>
      <c r="D776" s="91"/>
      <c r="J776" s="92"/>
      <c r="K776" s="92"/>
      <c r="L776" s="93"/>
      <c r="M776" s="43"/>
    </row>
    <row r="777">
      <c r="C777" s="43"/>
      <c r="D777" s="91"/>
      <c r="J777" s="92"/>
      <c r="K777" s="92"/>
      <c r="L777" s="93"/>
      <c r="M777" s="43"/>
    </row>
    <row r="778">
      <c r="C778" s="43"/>
      <c r="D778" s="91"/>
      <c r="J778" s="92"/>
      <c r="K778" s="92"/>
      <c r="L778" s="93"/>
      <c r="M778" s="43"/>
    </row>
    <row r="779">
      <c r="C779" s="43"/>
      <c r="D779" s="91"/>
      <c r="J779" s="92"/>
      <c r="K779" s="92"/>
      <c r="L779" s="93"/>
      <c r="M779" s="43"/>
    </row>
    <row r="780">
      <c r="C780" s="43"/>
      <c r="D780" s="91"/>
      <c r="J780" s="92"/>
      <c r="K780" s="92"/>
      <c r="L780" s="93"/>
      <c r="M780" s="43"/>
    </row>
    <row r="781">
      <c r="C781" s="43"/>
      <c r="D781" s="91"/>
      <c r="J781" s="92"/>
      <c r="K781" s="92"/>
      <c r="L781" s="93"/>
      <c r="M781" s="43"/>
    </row>
    <row r="782">
      <c r="C782" s="43"/>
      <c r="D782" s="91"/>
      <c r="J782" s="92"/>
      <c r="K782" s="92"/>
      <c r="L782" s="93"/>
      <c r="M782" s="43"/>
    </row>
    <row r="783">
      <c r="C783" s="43"/>
      <c r="D783" s="91"/>
      <c r="J783" s="92"/>
      <c r="K783" s="92"/>
      <c r="L783" s="93"/>
      <c r="M783" s="43"/>
    </row>
    <row r="784">
      <c r="C784" s="43"/>
      <c r="D784" s="91"/>
      <c r="J784" s="92"/>
      <c r="K784" s="92"/>
      <c r="L784" s="93"/>
      <c r="M784" s="43"/>
    </row>
    <row r="785">
      <c r="C785" s="43"/>
      <c r="D785" s="91"/>
      <c r="J785" s="92"/>
      <c r="K785" s="92"/>
      <c r="L785" s="93"/>
      <c r="M785" s="43"/>
    </row>
    <row r="786">
      <c r="C786" s="43"/>
      <c r="D786" s="91"/>
      <c r="J786" s="92"/>
      <c r="K786" s="92"/>
      <c r="L786" s="93"/>
      <c r="M786" s="43"/>
    </row>
    <row r="787">
      <c r="C787" s="43"/>
      <c r="D787" s="91"/>
      <c r="J787" s="92"/>
      <c r="K787" s="92"/>
      <c r="L787" s="93"/>
      <c r="M787" s="43"/>
    </row>
    <row r="788">
      <c r="C788" s="43"/>
      <c r="D788" s="91"/>
      <c r="J788" s="92"/>
      <c r="K788" s="92"/>
      <c r="L788" s="93"/>
      <c r="M788" s="43"/>
    </row>
    <row r="789">
      <c r="C789" s="43"/>
      <c r="D789" s="91"/>
      <c r="J789" s="92"/>
      <c r="K789" s="92"/>
      <c r="L789" s="93"/>
      <c r="M789" s="43"/>
    </row>
    <row r="790">
      <c r="C790" s="43"/>
      <c r="D790" s="91"/>
      <c r="J790" s="92"/>
      <c r="K790" s="92"/>
      <c r="L790" s="93"/>
      <c r="M790" s="43"/>
    </row>
    <row r="791">
      <c r="C791" s="43"/>
      <c r="D791" s="91"/>
      <c r="J791" s="92"/>
      <c r="K791" s="92"/>
      <c r="L791" s="93"/>
      <c r="M791" s="43"/>
    </row>
    <row r="792">
      <c r="C792" s="43"/>
      <c r="D792" s="91"/>
      <c r="J792" s="92"/>
      <c r="K792" s="92"/>
      <c r="L792" s="93"/>
      <c r="M792" s="43"/>
    </row>
    <row r="793">
      <c r="C793" s="43"/>
      <c r="D793" s="91"/>
      <c r="J793" s="92"/>
      <c r="K793" s="92"/>
      <c r="L793" s="93"/>
      <c r="M793" s="43"/>
    </row>
    <row r="794">
      <c r="C794" s="43"/>
      <c r="D794" s="91"/>
      <c r="J794" s="92"/>
      <c r="K794" s="92"/>
      <c r="L794" s="93"/>
      <c r="M794" s="43"/>
    </row>
    <row r="795">
      <c r="C795" s="43"/>
      <c r="D795" s="91"/>
      <c r="J795" s="92"/>
      <c r="K795" s="92"/>
      <c r="L795" s="93"/>
      <c r="M795" s="43"/>
    </row>
    <row r="796">
      <c r="C796" s="43"/>
      <c r="D796" s="91"/>
      <c r="J796" s="92"/>
      <c r="K796" s="92"/>
      <c r="L796" s="93"/>
      <c r="M796" s="43"/>
    </row>
    <row r="797">
      <c r="C797" s="43"/>
      <c r="D797" s="91"/>
      <c r="J797" s="92"/>
      <c r="K797" s="92"/>
      <c r="L797" s="93"/>
      <c r="M797" s="43"/>
    </row>
    <row r="798">
      <c r="C798" s="43"/>
      <c r="D798" s="91"/>
      <c r="J798" s="92"/>
      <c r="K798" s="92"/>
      <c r="L798" s="93"/>
      <c r="M798" s="43"/>
    </row>
    <row r="799">
      <c r="C799" s="43"/>
      <c r="D799" s="91"/>
      <c r="J799" s="92"/>
      <c r="K799" s="92"/>
      <c r="L799" s="93"/>
      <c r="M799" s="43"/>
    </row>
    <row r="800">
      <c r="C800" s="43"/>
      <c r="D800" s="91"/>
      <c r="J800" s="92"/>
      <c r="K800" s="92"/>
      <c r="L800" s="93"/>
      <c r="M800" s="43"/>
    </row>
    <row r="801">
      <c r="C801" s="43"/>
      <c r="D801" s="91"/>
      <c r="J801" s="92"/>
      <c r="K801" s="92"/>
      <c r="L801" s="93"/>
      <c r="M801" s="43"/>
    </row>
    <row r="802">
      <c r="C802" s="43"/>
      <c r="D802" s="91"/>
      <c r="J802" s="92"/>
      <c r="K802" s="92"/>
      <c r="L802" s="93"/>
      <c r="M802" s="43"/>
    </row>
    <row r="803">
      <c r="C803" s="43"/>
      <c r="D803" s="91"/>
      <c r="J803" s="92"/>
      <c r="K803" s="92"/>
      <c r="L803" s="93"/>
      <c r="M803" s="43"/>
    </row>
    <row r="804">
      <c r="C804" s="43"/>
      <c r="D804" s="91"/>
      <c r="J804" s="92"/>
      <c r="K804" s="92"/>
      <c r="L804" s="93"/>
      <c r="M804" s="43"/>
    </row>
    <row r="805">
      <c r="C805" s="43"/>
      <c r="D805" s="91"/>
      <c r="J805" s="92"/>
      <c r="K805" s="92"/>
      <c r="L805" s="93"/>
      <c r="M805" s="43"/>
    </row>
    <row r="806">
      <c r="C806" s="43"/>
      <c r="D806" s="91"/>
      <c r="J806" s="92"/>
      <c r="K806" s="92"/>
      <c r="L806" s="93"/>
      <c r="M806" s="43"/>
    </row>
    <row r="807">
      <c r="C807" s="43"/>
      <c r="D807" s="91"/>
      <c r="J807" s="92"/>
      <c r="K807" s="92"/>
      <c r="L807" s="93"/>
      <c r="M807" s="43"/>
    </row>
    <row r="808">
      <c r="C808" s="43"/>
      <c r="D808" s="91"/>
      <c r="J808" s="92"/>
      <c r="K808" s="92"/>
      <c r="L808" s="93"/>
      <c r="M808" s="43"/>
    </row>
    <row r="809">
      <c r="C809" s="43"/>
      <c r="D809" s="91"/>
      <c r="J809" s="92"/>
      <c r="K809" s="92"/>
      <c r="L809" s="93"/>
      <c r="M809" s="43"/>
    </row>
    <row r="810">
      <c r="C810" s="43"/>
      <c r="D810" s="91"/>
      <c r="J810" s="92"/>
      <c r="K810" s="92"/>
      <c r="L810" s="93"/>
      <c r="M810" s="43"/>
    </row>
    <row r="811">
      <c r="C811" s="43"/>
      <c r="D811" s="91"/>
      <c r="J811" s="92"/>
      <c r="K811" s="92"/>
      <c r="L811" s="93"/>
      <c r="M811" s="43"/>
    </row>
    <row r="812">
      <c r="C812" s="43"/>
      <c r="D812" s="91"/>
      <c r="J812" s="92"/>
      <c r="K812" s="92"/>
      <c r="L812" s="93"/>
      <c r="M812" s="43"/>
    </row>
    <row r="813">
      <c r="C813" s="43"/>
      <c r="D813" s="91"/>
      <c r="J813" s="92"/>
      <c r="K813" s="92"/>
      <c r="L813" s="93"/>
      <c r="M813" s="43"/>
    </row>
    <row r="814">
      <c r="C814" s="43"/>
      <c r="D814" s="91"/>
      <c r="J814" s="92"/>
      <c r="K814" s="92"/>
      <c r="L814" s="93"/>
      <c r="M814" s="43"/>
    </row>
    <row r="815">
      <c r="C815" s="43"/>
      <c r="D815" s="91"/>
      <c r="J815" s="92"/>
      <c r="K815" s="92"/>
      <c r="L815" s="93"/>
      <c r="M815" s="43"/>
    </row>
    <row r="816">
      <c r="C816" s="43"/>
      <c r="D816" s="91"/>
      <c r="J816" s="92"/>
      <c r="K816" s="92"/>
      <c r="L816" s="93"/>
      <c r="M816" s="43"/>
    </row>
    <row r="817">
      <c r="C817" s="43"/>
      <c r="D817" s="91"/>
      <c r="J817" s="92"/>
      <c r="K817" s="92"/>
      <c r="L817" s="93"/>
      <c r="M817" s="43"/>
    </row>
    <row r="818">
      <c r="C818" s="43"/>
      <c r="D818" s="91"/>
      <c r="J818" s="92"/>
      <c r="K818" s="92"/>
      <c r="L818" s="93"/>
      <c r="M818" s="43"/>
    </row>
    <row r="819">
      <c r="C819" s="43"/>
      <c r="D819" s="91"/>
      <c r="J819" s="92"/>
      <c r="K819" s="92"/>
      <c r="L819" s="93"/>
      <c r="M819" s="43"/>
    </row>
    <row r="820">
      <c r="C820" s="43"/>
      <c r="D820" s="91"/>
      <c r="J820" s="92"/>
      <c r="K820" s="92"/>
      <c r="L820" s="93"/>
      <c r="M820" s="43"/>
    </row>
    <row r="821">
      <c r="C821" s="43"/>
      <c r="D821" s="91"/>
      <c r="J821" s="92"/>
      <c r="K821" s="92"/>
      <c r="L821" s="93"/>
      <c r="M821" s="43"/>
    </row>
    <row r="822">
      <c r="C822" s="43"/>
      <c r="D822" s="91"/>
      <c r="J822" s="92"/>
      <c r="K822" s="92"/>
      <c r="L822" s="93"/>
      <c r="M822" s="43"/>
    </row>
    <row r="823">
      <c r="C823" s="43"/>
      <c r="D823" s="91"/>
      <c r="J823" s="92"/>
      <c r="K823" s="92"/>
      <c r="L823" s="93"/>
      <c r="M823" s="43"/>
    </row>
    <row r="824">
      <c r="C824" s="43"/>
      <c r="D824" s="91"/>
      <c r="J824" s="92"/>
      <c r="K824" s="92"/>
      <c r="L824" s="93"/>
      <c r="M824" s="43"/>
    </row>
    <row r="825">
      <c r="C825" s="43"/>
      <c r="D825" s="91"/>
      <c r="J825" s="92"/>
      <c r="K825" s="92"/>
      <c r="L825" s="93"/>
      <c r="M825" s="43"/>
    </row>
    <row r="826">
      <c r="C826" s="43"/>
      <c r="D826" s="91"/>
      <c r="J826" s="92"/>
      <c r="K826" s="92"/>
      <c r="L826" s="93"/>
      <c r="M826" s="43"/>
    </row>
    <row r="827">
      <c r="C827" s="43"/>
      <c r="D827" s="91"/>
      <c r="J827" s="92"/>
      <c r="K827" s="92"/>
      <c r="L827" s="93"/>
      <c r="M827" s="43"/>
    </row>
    <row r="828">
      <c r="C828" s="43"/>
      <c r="D828" s="91"/>
      <c r="J828" s="92"/>
      <c r="K828" s="92"/>
      <c r="L828" s="93"/>
      <c r="M828" s="43"/>
    </row>
    <row r="829">
      <c r="C829" s="43"/>
      <c r="D829" s="91"/>
      <c r="J829" s="92"/>
      <c r="K829" s="92"/>
      <c r="L829" s="93"/>
      <c r="M829" s="43"/>
    </row>
    <row r="830">
      <c r="C830" s="43"/>
      <c r="D830" s="91"/>
      <c r="J830" s="92"/>
      <c r="K830" s="92"/>
      <c r="L830" s="93"/>
      <c r="M830" s="43"/>
    </row>
    <row r="831">
      <c r="C831" s="43"/>
      <c r="D831" s="91"/>
      <c r="J831" s="92"/>
      <c r="K831" s="92"/>
      <c r="L831" s="93"/>
      <c r="M831" s="43"/>
    </row>
    <row r="832">
      <c r="C832" s="43"/>
      <c r="D832" s="91"/>
      <c r="J832" s="92"/>
      <c r="K832" s="92"/>
      <c r="L832" s="93"/>
      <c r="M832" s="43"/>
    </row>
    <row r="833">
      <c r="C833" s="43"/>
      <c r="D833" s="91"/>
      <c r="J833" s="92"/>
      <c r="K833" s="92"/>
      <c r="L833" s="93"/>
      <c r="M833" s="43"/>
    </row>
    <row r="834">
      <c r="C834" s="43"/>
      <c r="D834" s="91"/>
      <c r="J834" s="92"/>
      <c r="K834" s="92"/>
      <c r="L834" s="93"/>
      <c r="M834" s="43"/>
    </row>
    <row r="835">
      <c r="C835" s="43"/>
      <c r="D835" s="91"/>
      <c r="J835" s="92"/>
      <c r="K835" s="92"/>
      <c r="L835" s="93"/>
      <c r="M835" s="43"/>
    </row>
    <row r="836">
      <c r="C836" s="43"/>
      <c r="D836" s="91"/>
      <c r="J836" s="92"/>
      <c r="K836" s="92"/>
      <c r="L836" s="93"/>
      <c r="M836" s="43"/>
    </row>
    <row r="837">
      <c r="C837" s="43"/>
      <c r="D837" s="91"/>
      <c r="J837" s="92"/>
      <c r="K837" s="92"/>
      <c r="L837" s="93"/>
      <c r="M837" s="43"/>
    </row>
    <row r="838">
      <c r="C838" s="43"/>
      <c r="D838" s="91"/>
      <c r="J838" s="92"/>
      <c r="K838" s="92"/>
      <c r="L838" s="93"/>
      <c r="M838" s="43"/>
    </row>
    <row r="839">
      <c r="C839" s="43"/>
      <c r="D839" s="91"/>
      <c r="J839" s="92"/>
      <c r="K839" s="92"/>
      <c r="L839" s="93"/>
      <c r="M839" s="43"/>
    </row>
    <row r="840">
      <c r="C840" s="43"/>
      <c r="D840" s="91"/>
      <c r="J840" s="92"/>
      <c r="K840" s="92"/>
      <c r="L840" s="93"/>
      <c r="M840" s="43"/>
    </row>
    <row r="841">
      <c r="C841" s="43"/>
      <c r="D841" s="91"/>
      <c r="J841" s="92"/>
      <c r="K841" s="92"/>
      <c r="L841" s="93"/>
      <c r="M841" s="43"/>
    </row>
    <row r="842">
      <c r="C842" s="43"/>
      <c r="D842" s="91"/>
      <c r="J842" s="92"/>
      <c r="K842" s="92"/>
      <c r="L842" s="93"/>
      <c r="M842" s="43"/>
    </row>
    <row r="843">
      <c r="C843" s="43"/>
      <c r="D843" s="91"/>
      <c r="J843" s="92"/>
      <c r="K843" s="92"/>
      <c r="L843" s="93"/>
      <c r="M843" s="43"/>
    </row>
    <row r="844">
      <c r="C844" s="43"/>
      <c r="D844" s="91"/>
      <c r="J844" s="92"/>
      <c r="K844" s="92"/>
      <c r="L844" s="93"/>
      <c r="M844" s="43"/>
    </row>
    <row r="845">
      <c r="C845" s="43"/>
      <c r="D845" s="91"/>
      <c r="J845" s="92"/>
      <c r="K845" s="92"/>
      <c r="L845" s="93"/>
      <c r="M845" s="43"/>
    </row>
    <row r="846">
      <c r="C846" s="43"/>
      <c r="D846" s="91"/>
      <c r="J846" s="92"/>
      <c r="K846" s="92"/>
      <c r="L846" s="93"/>
      <c r="M846" s="43"/>
    </row>
    <row r="847">
      <c r="C847" s="43"/>
      <c r="D847" s="91"/>
      <c r="J847" s="92"/>
      <c r="K847" s="92"/>
      <c r="L847" s="93"/>
      <c r="M847" s="43"/>
    </row>
    <row r="848">
      <c r="C848" s="43"/>
      <c r="D848" s="91"/>
      <c r="J848" s="92"/>
      <c r="K848" s="92"/>
      <c r="L848" s="93"/>
      <c r="M848" s="43"/>
    </row>
    <row r="849">
      <c r="C849" s="43"/>
      <c r="D849" s="91"/>
      <c r="J849" s="92"/>
      <c r="K849" s="92"/>
      <c r="L849" s="93"/>
      <c r="M849" s="43"/>
    </row>
    <row r="850">
      <c r="C850" s="43"/>
      <c r="D850" s="91"/>
      <c r="J850" s="92"/>
      <c r="K850" s="92"/>
      <c r="L850" s="93"/>
      <c r="M850" s="43"/>
    </row>
    <row r="851">
      <c r="C851" s="43"/>
      <c r="D851" s="91"/>
      <c r="J851" s="92"/>
      <c r="K851" s="92"/>
      <c r="L851" s="93"/>
      <c r="M851" s="43"/>
    </row>
    <row r="852">
      <c r="C852" s="43"/>
      <c r="D852" s="91"/>
      <c r="J852" s="92"/>
      <c r="K852" s="92"/>
      <c r="L852" s="93"/>
      <c r="M852" s="43"/>
    </row>
    <row r="853">
      <c r="C853" s="43"/>
      <c r="D853" s="91"/>
      <c r="J853" s="92"/>
      <c r="K853" s="92"/>
      <c r="L853" s="93"/>
      <c r="M853" s="43"/>
    </row>
    <row r="854">
      <c r="C854" s="43"/>
      <c r="D854" s="91"/>
      <c r="J854" s="92"/>
      <c r="K854" s="92"/>
      <c r="L854" s="93"/>
      <c r="M854" s="43"/>
    </row>
    <row r="855">
      <c r="C855" s="43"/>
      <c r="D855" s="91"/>
      <c r="J855" s="92"/>
      <c r="K855" s="92"/>
      <c r="L855" s="93"/>
      <c r="M855" s="43"/>
    </row>
    <row r="856">
      <c r="C856" s="43"/>
      <c r="D856" s="91"/>
      <c r="J856" s="92"/>
      <c r="K856" s="92"/>
      <c r="L856" s="93"/>
      <c r="M856" s="43"/>
    </row>
    <row r="857">
      <c r="C857" s="43"/>
      <c r="D857" s="91"/>
      <c r="J857" s="92"/>
      <c r="K857" s="92"/>
      <c r="L857" s="93"/>
      <c r="M857" s="43"/>
    </row>
    <row r="858">
      <c r="C858" s="43"/>
      <c r="D858" s="91"/>
      <c r="J858" s="92"/>
      <c r="K858" s="92"/>
      <c r="L858" s="93"/>
      <c r="M858" s="43"/>
    </row>
    <row r="859">
      <c r="C859" s="43"/>
      <c r="D859" s="91"/>
      <c r="J859" s="92"/>
      <c r="K859" s="92"/>
      <c r="L859" s="93"/>
      <c r="M859" s="43"/>
    </row>
    <row r="860">
      <c r="C860" s="43"/>
      <c r="D860" s="91"/>
      <c r="J860" s="92"/>
      <c r="K860" s="92"/>
      <c r="L860" s="93"/>
      <c r="M860" s="43"/>
    </row>
    <row r="861">
      <c r="C861" s="43"/>
      <c r="D861" s="91"/>
      <c r="J861" s="92"/>
      <c r="K861" s="92"/>
      <c r="L861" s="93"/>
      <c r="M861" s="43"/>
    </row>
    <row r="862">
      <c r="C862" s="43"/>
      <c r="D862" s="91"/>
      <c r="J862" s="92"/>
      <c r="K862" s="92"/>
      <c r="L862" s="93"/>
      <c r="M862" s="43"/>
    </row>
    <row r="863">
      <c r="C863" s="43"/>
      <c r="D863" s="91"/>
      <c r="J863" s="92"/>
      <c r="K863" s="92"/>
      <c r="L863" s="93"/>
      <c r="M863" s="43"/>
    </row>
    <row r="864">
      <c r="C864" s="43"/>
      <c r="D864" s="91"/>
      <c r="J864" s="92"/>
      <c r="K864" s="92"/>
      <c r="L864" s="93"/>
      <c r="M864" s="43"/>
    </row>
    <row r="865">
      <c r="C865" s="43"/>
      <c r="D865" s="91"/>
      <c r="J865" s="92"/>
      <c r="K865" s="92"/>
      <c r="L865" s="93"/>
      <c r="M865" s="43"/>
    </row>
    <row r="866">
      <c r="C866" s="43"/>
      <c r="D866" s="91"/>
      <c r="J866" s="92"/>
      <c r="K866" s="92"/>
      <c r="L866" s="93"/>
      <c r="M866" s="43"/>
    </row>
    <row r="867">
      <c r="C867" s="43"/>
      <c r="D867" s="91"/>
      <c r="J867" s="92"/>
      <c r="K867" s="92"/>
      <c r="L867" s="93"/>
      <c r="M867" s="43"/>
    </row>
    <row r="868">
      <c r="C868" s="43"/>
      <c r="D868" s="91"/>
      <c r="J868" s="92"/>
      <c r="K868" s="92"/>
      <c r="L868" s="93"/>
      <c r="M868" s="43"/>
    </row>
    <row r="869">
      <c r="C869" s="43"/>
      <c r="D869" s="91"/>
      <c r="J869" s="92"/>
      <c r="K869" s="92"/>
      <c r="L869" s="93"/>
      <c r="M869" s="43"/>
    </row>
    <row r="870">
      <c r="C870" s="43"/>
      <c r="D870" s="91"/>
      <c r="J870" s="92"/>
      <c r="K870" s="92"/>
      <c r="L870" s="93"/>
      <c r="M870" s="43"/>
    </row>
    <row r="871">
      <c r="C871" s="43"/>
      <c r="D871" s="91"/>
      <c r="J871" s="92"/>
      <c r="K871" s="92"/>
      <c r="L871" s="93"/>
      <c r="M871" s="43"/>
    </row>
    <row r="872">
      <c r="C872" s="43"/>
      <c r="D872" s="91"/>
      <c r="J872" s="92"/>
      <c r="K872" s="92"/>
      <c r="L872" s="93"/>
      <c r="M872" s="43"/>
    </row>
    <row r="873">
      <c r="C873" s="43"/>
      <c r="D873" s="91"/>
      <c r="J873" s="92"/>
      <c r="K873" s="92"/>
      <c r="L873" s="93"/>
      <c r="M873" s="43"/>
    </row>
    <row r="874">
      <c r="C874" s="43"/>
      <c r="D874" s="91"/>
      <c r="J874" s="92"/>
      <c r="K874" s="92"/>
      <c r="L874" s="93"/>
      <c r="M874" s="43"/>
    </row>
    <row r="875">
      <c r="C875" s="43"/>
      <c r="D875" s="91"/>
      <c r="J875" s="92"/>
      <c r="K875" s="92"/>
      <c r="L875" s="93"/>
      <c r="M875" s="43"/>
    </row>
    <row r="876">
      <c r="C876" s="43"/>
      <c r="D876" s="91"/>
      <c r="J876" s="92"/>
      <c r="K876" s="92"/>
      <c r="L876" s="93"/>
      <c r="M876" s="43"/>
    </row>
    <row r="877">
      <c r="C877" s="43"/>
      <c r="D877" s="91"/>
      <c r="J877" s="92"/>
      <c r="K877" s="92"/>
      <c r="L877" s="93"/>
      <c r="M877" s="43"/>
    </row>
    <row r="878">
      <c r="C878" s="43"/>
      <c r="D878" s="91"/>
      <c r="J878" s="92"/>
      <c r="K878" s="92"/>
      <c r="L878" s="93"/>
      <c r="M878" s="43"/>
    </row>
    <row r="879">
      <c r="C879" s="43"/>
      <c r="D879" s="91"/>
      <c r="J879" s="92"/>
      <c r="K879" s="92"/>
      <c r="L879" s="93"/>
      <c r="M879" s="43"/>
    </row>
    <row r="880">
      <c r="C880" s="43"/>
      <c r="D880" s="91"/>
      <c r="J880" s="92"/>
      <c r="K880" s="92"/>
      <c r="L880" s="93"/>
      <c r="M880" s="43"/>
    </row>
    <row r="881">
      <c r="C881" s="43"/>
      <c r="D881" s="91"/>
      <c r="J881" s="92"/>
      <c r="K881" s="92"/>
      <c r="L881" s="93"/>
      <c r="M881" s="43"/>
    </row>
    <row r="882">
      <c r="C882" s="43"/>
      <c r="D882" s="91"/>
      <c r="J882" s="92"/>
      <c r="K882" s="92"/>
      <c r="L882" s="93"/>
      <c r="M882" s="43"/>
    </row>
    <row r="883">
      <c r="C883" s="43"/>
      <c r="D883" s="91"/>
      <c r="J883" s="92"/>
      <c r="K883" s="92"/>
      <c r="L883" s="93"/>
      <c r="M883" s="43"/>
    </row>
    <row r="884">
      <c r="C884" s="43"/>
      <c r="D884" s="91"/>
      <c r="J884" s="92"/>
      <c r="K884" s="92"/>
      <c r="L884" s="93"/>
      <c r="M884" s="43"/>
    </row>
    <row r="885">
      <c r="C885" s="43"/>
      <c r="D885" s="91"/>
      <c r="J885" s="92"/>
      <c r="K885" s="92"/>
      <c r="L885" s="93"/>
      <c r="M885" s="43"/>
    </row>
    <row r="886">
      <c r="C886" s="43"/>
      <c r="D886" s="91"/>
      <c r="J886" s="92"/>
      <c r="K886" s="92"/>
      <c r="L886" s="93"/>
      <c r="M886" s="43"/>
    </row>
    <row r="887">
      <c r="C887" s="43"/>
      <c r="D887" s="91"/>
      <c r="J887" s="92"/>
      <c r="K887" s="92"/>
      <c r="L887" s="93"/>
      <c r="M887" s="43"/>
    </row>
    <row r="888">
      <c r="C888" s="43"/>
      <c r="D888" s="91"/>
      <c r="J888" s="92"/>
      <c r="K888" s="92"/>
      <c r="L888" s="93"/>
      <c r="M888" s="43"/>
    </row>
    <row r="889">
      <c r="C889" s="43"/>
      <c r="D889" s="91"/>
      <c r="J889" s="92"/>
      <c r="K889" s="92"/>
      <c r="L889" s="93"/>
      <c r="M889" s="43"/>
    </row>
    <row r="890">
      <c r="C890" s="43"/>
      <c r="D890" s="91"/>
      <c r="J890" s="92"/>
      <c r="K890" s="92"/>
      <c r="L890" s="93"/>
      <c r="M890" s="43"/>
    </row>
    <row r="891">
      <c r="C891" s="43"/>
      <c r="D891" s="91"/>
      <c r="J891" s="92"/>
      <c r="K891" s="92"/>
      <c r="L891" s="93"/>
      <c r="M891" s="43"/>
    </row>
    <row r="892">
      <c r="C892" s="43"/>
      <c r="D892" s="91"/>
      <c r="J892" s="92"/>
      <c r="K892" s="92"/>
      <c r="L892" s="93"/>
      <c r="M892" s="43"/>
    </row>
    <row r="893">
      <c r="C893" s="43"/>
      <c r="D893" s="91"/>
      <c r="J893" s="92"/>
      <c r="K893" s="92"/>
      <c r="L893" s="93"/>
      <c r="M893" s="43"/>
    </row>
    <row r="894">
      <c r="C894" s="43"/>
      <c r="D894" s="91"/>
      <c r="J894" s="92"/>
      <c r="K894" s="92"/>
      <c r="L894" s="93"/>
      <c r="M894" s="43"/>
    </row>
    <row r="895">
      <c r="C895" s="43"/>
      <c r="D895" s="91"/>
      <c r="J895" s="92"/>
      <c r="K895" s="92"/>
      <c r="L895" s="93"/>
      <c r="M895" s="43"/>
    </row>
    <row r="896">
      <c r="C896" s="43"/>
      <c r="D896" s="91"/>
      <c r="J896" s="92"/>
      <c r="K896" s="92"/>
      <c r="L896" s="93"/>
      <c r="M896" s="43"/>
    </row>
    <row r="897">
      <c r="C897" s="43"/>
      <c r="D897" s="91"/>
      <c r="J897" s="92"/>
      <c r="K897" s="92"/>
      <c r="L897" s="93"/>
      <c r="M897" s="43"/>
    </row>
    <row r="898">
      <c r="C898" s="43"/>
      <c r="D898" s="91"/>
      <c r="J898" s="92"/>
      <c r="K898" s="92"/>
      <c r="L898" s="93"/>
      <c r="M898" s="43"/>
    </row>
    <row r="899">
      <c r="C899" s="43"/>
      <c r="D899" s="91"/>
      <c r="J899" s="92"/>
      <c r="K899" s="92"/>
      <c r="L899" s="93"/>
      <c r="M899" s="43"/>
    </row>
    <row r="900">
      <c r="C900" s="43"/>
      <c r="D900" s="91"/>
      <c r="J900" s="92"/>
      <c r="K900" s="92"/>
      <c r="L900" s="93"/>
      <c r="M900" s="43"/>
    </row>
    <row r="901">
      <c r="C901" s="43"/>
      <c r="D901" s="91"/>
      <c r="J901" s="92"/>
      <c r="K901" s="92"/>
      <c r="L901" s="93"/>
      <c r="M901" s="43"/>
    </row>
    <row r="902">
      <c r="C902" s="43"/>
      <c r="D902" s="91"/>
      <c r="J902" s="92"/>
      <c r="K902" s="92"/>
      <c r="L902" s="93"/>
      <c r="M902" s="43"/>
    </row>
    <row r="903">
      <c r="C903" s="43"/>
      <c r="D903" s="91"/>
      <c r="J903" s="92"/>
      <c r="K903" s="92"/>
      <c r="L903" s="93"/>
      <c r="M903" s="43"/>
    </row>
    <row r="904">
      <c r="C904" s="43"/>
      <c r="D904" s="91"/>
      <c r="J904" s="92"/>
      <c r="K904" s="92"/>
      <c r="L904" s="93"/>
      <c r="M904" s="43"/>
    </row>
    <row r="905">
      <c r="C905" s="43"/>
      <c r="D905" s="91"/>
      <c r="J905" s="92"/>
      <c r="K905" s="92"/>
      <c r="L905" s="93"/>
      <c r="M905" s="43"/>
    </row>
    <row r="906">
      <c r="C906" s="43"/>
      <c r="D906" s="91"/>
      <c r="J906" s="92"/>
      <c r="K906" s="92"/>
      <c r="L906" s="93"/>
      <c r="M906" s="43"/>
    </row>
    <row r="907">
      <c r="C907" s="43"/>
      <c r="D907" s="91"/>
      <c r="J907" s="92"/>
      <c r="K907" s="92"/>
      <c r="L907" s="93"/>
      <c r="M907" s="43"/>
    </row>
    <row r="908">
      <c r="C908" s="43"/>
      <c r="D908" s="91"/>
      <c r="J908" s="92"/>
      <c r="K908" s="92"/>
      <c r="L908" s="93"/>
      <c r="M908" s="43"/>
    </row>
    <row r="909">
      <c r="C909" s="43"/>
      <c r="D909" s="91"/>
      <c r="J909" s="92"/>
      <c r="K909" s="92"/>
      <c r="L909" s="93"/>
      <c r="M909" s="43"/>
    </row>
    <row r="910">
      <c r="C910" s="43"/>
      <c r="D910" s="91"/>
      <c r="J910" s="92"/>
      <c r="K910" s="92"/>
      <c r="L910" s="93"/>
      <c r="M910" s="43"/>
    </row>
    <row r="911">
      <c r="C911" s="43"/>
      <c r="D911" s="91"/>
      <c r="J911" s="92"/>
      <c r="K911" s="92"/>
      <c r="L911" s="93"/>
      <c r="M911" s="43"/>
    </row>
    <row r="912">
      <c r="C912" s="43"/>
      <c r="D912" s="91"/>
      <c r="J912" s="92"/>
      <c r="K912" s="92"/>
      <c r="L912" s="93"/>
      <c r="M912" s="43"/>
    </row>
    <row r="913">
      <c r="C913" s="43"/>
      <c r="D913" s="91"/>
      <c r="J913" s="92"/>
      <c r="K913" s="92"/>
      <c r="L913" s="93"/>
      <c r="M913" s="43"/>
    </row>
    <row r="914">
      <c r="C914" s="43"/>
      <c r="D914" s="91"/>
      <c r="J914" s="92"/>
      <c r="K914" s="92"/>
      <c r="L914" s="93"/>
      <c r="M914" s="43"/>
    </row>
    <row r="915">
      <c r="C915" s="43"/>
      <c r="D915" s="91"/>
      <c r="J915" s="92"/>
      <c r="K915" s="92"/>
      <c r="L915" s="93"/>
      <c r="M915" s="43"/>
    </row>
    <row r="916">
      <c r="C916" s="43"/>
      <c r="D916" s="91"/>
      <c r="J916" s="92"/>
      <c r="K916" s="92"/>
      <c r="L916" s="93"/>
      <c r="M916" s="43"/>
    </row>
    <row r="917">
      <c r="C917" s="43"/>
      <c r="D917" s="91"/>
      <c r="J917" s="92"/>
      <c r="K917" s="92"/>
      <c r="L917" s="93"/>
      <c r="M917" s="43"/>
    </row>
    <row r="918">
      <c r="C918" s="43"/>
      <c r="D918" s="91"/>
      <c r="J918" s="92"/>
      <c r="K918" s="92"/>
      <c r="L918" s="93"/>
      <c r="M918" s="43"/>
    </row>
    <row r="919">
      <c r="C919" s="43"/>
      <c r="D919" s="91"/>
      <c r="J919" s="92"/>
      <c r="K919" s="92"/>
      <c r="L919" s="93"/>
      <c r="M919" s="43"/>
    </row>
    <row r="920">
      <c r="C920" s="43"/>
      <c r="D920" s="91"/>
      <c r="J920" s="92"/>
      <c r="K920" s="92"/>
      <c r="L920" s="93"/>
      <c r="M920" s="43"/>
    </row>
    <row r="921">
      <c r="C921" s="43"/>
      <c r="D921" s="91"/>
      <c r="J921" s="92"/>
      <c r="K921" s="92"/>
      <c r="L921" s="93"/>
      <c r="M921" s="43"/>
    </row>
    <row r="922">
      <c r="C922" s="43"/>
      <c r="D922" s="91"/>
      <c r="J922" s="92"/>
      <c r="K922" s="92"/>
      <c r="L922" s="93"/>
      <c r="M922" s="43"/>
    </row>
    <row r="923">
      <c r="C923" s="43"/>
      <c r="D923" s="91"/>
      <c r="J923" s="92"/>
      <c r="K923" s="92"/>
      <c r="L923" s="93"/>
      <c r="M923" s="43"/>
    </row>
    <row r="924">
      <c r="C924" s="43"/>
      <c r="D924" s="91"/>
      <c r="J924" s="92"/>
      <c r="K924" s="92"/>
      <c r="L924" s="93"/>
      <c r="M924" s="43"/>
    </row>
    <row r="925">
      <c r="C925" s="43"/>
      <c r="D925" s="91"/>
      <c r="J925" s="92"/>
      <c r="K925" s="92"/>
      <c r="L925" s="93"/>
      <c r="M925" s="43"/>
    </row>
    <row r="926">
      <c r="C926" s="43"/>
      <c r="D926" s="91"/>
      <c r="J926" s="92"/>
      <c r="K926" s="92"/>
      <c r="L926" s="93"/>
      <c r="M926" s="43"/>
    </row>
    <row r="927">
      <c r="C927" s="43"/>
      <c r="D927" s="91"/>
      <c r="J927" s="92"/>
      <c r="K927" s="92"/>
      <c r="L927" s="93"/>
      <c r="M927" s="43"/>
    </row>
    <row r="928">
      <c r="C928" s="43"/>
      <c r="D928" s="91"/>
      <c r="J928" s="92"/>
      <c r="K928" s="92"/>
      <c r="L928" s="93"/>
      <c r="M928" s="43"/>
    </row>
    <row r="929">
      <c r="C929" s="43"/>
      <c r="D929" s="91"/>
      <c r="J929" s="92"/>
      <c r="K929" s="92"/>
      <c r="L929" s="93"/>
      <c r="M929" s="43"/>
    </row>
    <row r="930">
      <c r="C930" s="43"/>
      <c r="D930" s="91"/>
      <c r="J930" s="92"/>
      <c r="K930" s="92"/>
      <c r="L930" s="93"/>
      <c r="M930" s="43"/>
    </row>
    <row r="931">
      <c r="C931" s="43"/>
      <c r="D931" s="91"/>
      <c r="J931" s="92"/>
      <c r="K931" s="92"/>
      <c r="L931" s="93"/>
      <c r="M931" s="43"/>
    </row>
    <row r="932">
      <c r="C932" s="43"/>
      <c r="D932" s="91"/>
      <c r="J932" s="92"/>
      <c r="K932" s="92"/>
      <c r="L932" s="93"/>
      <c r="M932" s="43"/>
    </row>
    <row r="933">
      <c r="C933" s="43"/>
      <c r="D933" s="91"/>
      <c r="J933" s="92"/>
      <c r="K933" s="92"/>
      <c r="L933" s="93"/>
      <c r="M933" s="43"/>
    </row>
    <row r="934">
      <c r="C934" s="43"/>
      <c r="D934" s="91"/>
      <c r="J934" s="92"/>
      <c r="K934" s="92"/>
      <c r="L934" s="93"/>
      <c r="M934" s="43"/>
    </row>
    <row r="935">
      <c r="C935" s="43"/>
      <c r="D935" s="91"/>
      <c r="J935" s="92"/>
      <c r="K935" s="92"/>
      <c r="L935" s="93"/>
      <c r="M935" s="43"/>
    </row>
    <row r="936">
      <c r="C936" s="43"/>
      <c r="D936" s="91"/>
      <c r="J936" s="92"/>
      <c r="K936" s="92"/>
      <c r="L936" s="93"/>
      <c r="M936" s="43"/>
    </row>
    <row r="937">
      <c r="C937" s="43"/>
      <c r="D937" s="91"/>
      <c r="J937" s="92"/>
      <c r="K937" s="92"/>
      <c r="L937" s="93"/>
      <c r="M937" s="43"/>
    </row>
    <row r="938">
      <c r="C938" s="43"/>
      <c r="D938" s="91"/>
      <c r="J938" s="92"/>
      <c r="K938" s="92"/>
      <c r="L938" s="93"/>
      <c r="M938" s="43"/>
    </row>
    <row r="939">
      <c r="C939" s="43"/>
      <c r="D939" s="91"/>
      <c r="J939" s="92"/>
      <c r="K939" s="92"/>
      <c r="L939" s="93"/>
      <c r="M939" s="43"/>
    </row>
    <row r="940">
      <c r="C940" s="43"/>
      <c r="D940" s="91"/>
      <c r="J940" s="92"/>
      <c r="K940" s="92"/>
      <c r="L940" s="93"/>
      <c r="M940" s="43"/>
    </row>
    <row r="941">
      <c r="C941" s="43"/>
      <c r="D941" s="91"/>
      <c r="J941" s="92"/>
      <c r="K941" s="92"/>
      <c r="L941" s="93"/>
      <c r="M941" s="43"/>
    </row>
    <row r="942">
      <c r="C942" s="43"/>
      <c r="D942" s="91"/>
      <c r="J942" s="92"/>
      <c r="K942" s="92"/>
      <c r="L942" s="93"/>
      <c r="M942" s="43"/>
    </row>
    <row r="943">
      <c r="C943" s="43"/>
      <c r="D943" s="91"/>
      <c r="J943" s="92"/>
      <c r="K943" s="92"/>
      <c r="L943" s="93"/>
      <c r="M943" s="43"/>
    </row>
    <row r="944">
      <c r="C944" s="43"/>
      <c r="D944" s="91"/>
      <c r="J944" s="92"/>
      <c r="K944" s="92"/>
      <c r="L944" s="93"/>
      <c r="M944" s="43"/>
    </row>
    <row r="945">
      <c r="C945" s="43"/>
      <c r="D945" s="91"/>
      <c r="J945" s="92"/>
      <c r="K945" s="92"/>
      <c r="L945" s="93"/>
      <c r="M945" s="43"/>
    </row>
    <row r="946">
      <c r="C946" s="43"/>
      <c r="D946" s="91"/>
      <c r="J946" s="92"/>
      <c r="K946" s="92"/>
      <c r="L946" s="93"/>
      <c r="M946" s="43"/>
    </row>
    <row r="947">
      <c r="C947" s="43"/>
      <c r="D947" s="91"/>
      <c r="J947" s="92"/>
      <c r="K947" s="92"/>
      <c r="L947" s="93"/>
      <c r="M947" s="43"/>
    </row>
    <row r="948">
      <c r="C948" s="43"/>
      <c r="D948" s="91"/>
      <c r="J948" s="92"/>
      <c r="K948" s="92"/>
      <c r="L948" s="93"/>
      <c r="M948" s="43"/>
    </row>
    <row r="949">
      <c r="C949" s="43"/>
      <c r="D949" s="91"/>
      <c r="J949" s="92"/>
      <c r="K949" s="92"/>
      <c r="L949" s="93"/>
      <c r="M949" s="43"/>
    </row>
    <row r="950">
      <c r="C950" s="43"/>
      <c r="D950" s="91"/>
      <c r="J950" s="92"/>
      <c r="K950" s="92"/>
      <c r="L950" s="93"/>
      <c r="M950" s="43"/>
    </row>
    <row r="951">
      <c r="C951" s="43"/>
      <c r="D951" s="91"/>
      <c r="J951" s="92"/>
      <c r="K951" s="92"/>
      <c r="L951" s="93"/>
      <c r="M951" s="43"/>
    </row>
    <row r="952">
      <c r="C952" s="43"/>
      <c r="D952" s="91"/>
      <c r="J952" s="92"/>
      <c r="K952" s="92"/>
      <c r="L952" s="93"/>
      <c r="M952" s="43"/>
    </row>
    <row r="953">
      <c r="C953" s="43"/>
      <c r="D953" s="91"/>
      <c r="J953" s="92"/>
      <c r="K953" s="92"/>
      <c r="L953" s="93"/>
      <c r="M953" s="43"/>
    </row>
    <row r="954">
      <c r="C954" s="43"/>
      <c r="D954" s="91"/>
      <c r="J954" s="92"/>
      <c r="K954" s="92"/>
      <c r="L954" s="93"/>
      <c r="M954" s="43"/>
    </row>
    <row r="955">
      <c r="C955" s="43"/>
      <c r="D955" s="91"/>
      <c r="J955" s="92"/>
      <c r="K955" s="92"/>
      <c r="L955" s="93"/>
      <c r="M955" s="43"/>
    </row>
    <row r="956">
      <c r="C956" s="43"/>
      <c r="D956" s="91"/>
      <c r="J956" s="92"/>
      <c r="K956" s="92"/>
      <c r="L956" s="93"/>
      <c r="M956" s="43"/>
    </row>
    <row r="957">
      <c r="C957" s="43"/>
      <c r="D957" s="91"/>
      <c r="J957" s="92"/>
      <c r="K957" s="92"/>
      <c r="L957" s="93"/>
      <c r="M957" s="43"/>
    </row>
    <row r="958">
      <c r="C958" s="43"/>
      <c r="D958" s="91"/>
      <c r="J958" s="92"/>
      <c r="K958" s="92"/>
      <c r="L958" s="93"/>
      <c r="M958" s="43"/>
    </row>
    <row r="959">
      <c r="C959" s="43"/>
      <c r="D959" s="91"/>
      <c r="J959" s="92"/>
      <c r="K959" s="92"/>
      <c r="L959" s="93"/>
      <c r="M959" s="43"/>
    </row>
    <row r="960">
      <c r="C960" s="43"/>
      <c r="D960" s="91"/>
      <c r="J960" s="92"/>
      <c r="K960" s="92"/>
      <c r="L960" s="93"/>
      <c r="M960" s="43"/>
    </row>
    <row r="961">
      <c r="C961" s="43"/>
      <c r="D961" s="91"/>
      <c r="J961" s="92"/>
      <c r="K961" s="92"/>
      <c r="L961" s="93"/>
      <c r="M961" s="43"/>
    </row>
    <row r="962">
      <c r="C962" s="43"/>
      <c r="D962" s="91"/>
      <c r="J962" s="92"/>
      <c r="K962" s="92"/>
      <c r="L962" s="93"/>
      <c r="M962" s="43"/>
    </row>
    <row r="963">
      <c r="C963" s="43"/>
      <c r="D963" s="91"/>
      <c r="J963" s="92"/>
      <c r="K963" s="92"/>
      <c r="L963" s="93"/>
      <c r="M963" s="43"/>
    </row>
    <row r="964">
      <c r="C964" s="43"/>
      <c r="D964" s="91"/>
      <c r="J964" s="92"/>
      <c r="K964" s="92"/>
      <c r="L964" s="93"/>
      <c r="M964" s="43"/>
    </row>
    <row r="965">
      <c r="C965" s="43"/>
      <c r="D965" s="91"/>
      <c r="J965" s="92"/>
      <c r="K965" s="92"/>
      <c r="L965" s="93"/>
      <c r="M965" s="43"/>
    </row>
    <row r="966">
      <c r="C966" s="43"/>
      <c r="D966" s="91"/>
      <c r="J966" s="92"/>
      <c r="K966" s="92"/>
      <c r="L966" s="93"/>
      <c r="M966" s="43"/>
    </row>
    <row r="967">
      <c r="C967" s="43"/>
      <c r="D967" s="91"/>
      <c r="J967" s="92"/>
      <c r="K967" s="92"/>
      <c r="L967" s="93"/>
      <c r="M967" s="43"/>
    </row>
    <row r="968">
      <c r="C968" s="43"/>
      <c r="D968" s="91"/>
      <c r="J968" s="92"/>
      <c r="K968" s="92"/>
      <c r="L968" s="93"/>
      <c r="M968" s="43"/>
    </row>
    <row r="969">
      <c r="C969" s="43"/>
      <c r="D969" s="91"/>
      <c r="J969" s="92"/>
      <c r="K969" s="92"/>
      <c r="L969" s="93"/>
      <c r="M969" s="43"/>
    </row>
    <row r="970">
      <c r="C970" s="43"/>
      <c r="D970" s="91"/>
      <c r="J970" s="92"/>
      <c r="K970" s="92"/>
      <c r="L970" s="93"/>
      <c r="M970" s="43"/>
    </row>
    <row r="971">
      <c r="C971" s="43"/>
      <c r="D971" s="91"/>
      <c r="J971" s="92"/>
      <c r="K971" s="92"/>
      <c r="L971" s="93"/>
      <c r="M971" s="43"/>
    </row>
    <row r="972">
      <c r="C972" s="43"/>
      <c r="D972" s="91"/>
      <c r="J972" s="92"/>
      <c r="K972" s="92"/>
      <c r="L972" s="93"/>
      <c r="M972" s="43"/>
    </row>
    <row r="973">
      <c r="C973" s="43"/>
      <c r="D973" s="91"/>
      <c r="J973" s="92"/>
      <c r="K973" s="92"/>
      <c r="L973" s="93"/>
      <c r="M973" s="43"/>
    </row>
    <row r="974">
      <c r="C974" s="43"/>
      <c r="D974" s="91"/>
      <c r="J974" s="92"/>
      <c r="K974" s="92"/>
      <c r="L974" s="93"/>
      <c r="M974" s="43"/>
    </row>
    <row r="975">
      <c r="C975" s="43"/>
      <c r="D975" s="91"/>
      <c r="J975" s="92"/>
      <c r="K975" s="92"/>
      <c r="L975" s="93"/>
      <c r="M975" s="43"/>
    </row>
    <row r="976">
      <c r="C976" s="43"/>
      <c r="D976" s="91"/>
      <c r="J976" s="92"/>
      <c r="K976" s="92"/>
      <c r="L976" s="93"/>
      <c r="M976" s="43"/>
    </row>
    <row r="977">
      <c r="C977" s="43"/>
      <c r="D977" s="91"/>
      <c r="J977" s="92"/>
      <c r="K977" s="92"/>
      <c r="L977" s="93"/>
      <c r="M977" s="43"/>
    </row>
    <row r="978">
      <c r="C978" s="43"/>
      <c r="D978" s="91"/>
      <c r="J978" s="92"/>
      <c r="K978" s="92"/>
      <c r="L978" s="93"/>
      <c r="M978" s="43"/>
    </row>
    <row r="979">
      <c r="C979" s="43"/>
      <c r="D979" s="91"/>
      <c r="J979" s="92"/>
      <c r="K979" s="92"/>
      <c r="L979" s="93"/>
      <c r="M979" s="43"/>
    </row>
    <row r="980">
      <c r="C980" s="43"/>
      <c r="D980" s="91"/>
      <c r="J980" s="92"/>
      <c r="K980" s="92"/>
      <c r="L980" s="93"/>
      <c r="M980" s="43"/>
    </row>
    <row r="981">
      <c r="C981" s="43"/>
      <c r="D981" s="91"/>
      <c r="J981" s="92"/>
      <c r="K981" s="92"/>
      <c r="L981" s="93"/>
      <c r="M981" s="43"/>
    </row>
    <row r="982">
      <c r="C982" s="43"/>
      <c r="D982" s="91"/>
      <c r="J982" s="92"/>
      <c r="K982" s="92"/>
      <c r="L982" s="93"/>
      <c r="M982" s="43"/>
    </row>
    <row r="983">
      <c r="C983" s="43"/>
      <c r="D983" s="91"/>
      <c r="J983" s="92"/>
      <c r="K983" s="92"/>
      <c r="L983" s="93"/>
      <c r="M983" s="43"/>
    </row>
    <row r="984">
      <c r="C984" s="43"/>
      <c r="D984" s="91"/>
      <c r="J984" s="92"/>
      <c r="K984" s="92"/>
      <c r="L984" s="93"/>
      <c r="M984" s="43"/>
    </row>
    <row r="985">
      <c r="C985" s="43"/>
      <c r="D985" s="91"/>
      <c r="J985" s="92"/>
      <c r="K985" s="92"/>
      <c r="L985" s="93"/>
      <c r="M985" s="43"/>
    </row>
    <row r="986">
      <c r="C986" s="43"/>
      <c r="D986" s="91"/>
      <c r="J986" s="92"/>
      <c r="K986" s="92"/>
      <c r="L986" s="93"/>
      <c r="M986" s="43"/>
    </row>
    <row r="987">
      <c r="C987" s="43"/>
      <c r="D987" s="91"/>
      <c r="J987" s="92"/>
      <c r="K987" s="92"/>
      <c r="L987" s="93"/>
      <c r="M987" s="43"/>
    </row>
    <row r="988">
      <c r="C988" s="43"/>
      <c r="D988" s="91"/>
      <c r="J988" s="92"/>
      <c r="K988" s="92"/>
      <c r="L988" s="93"/>
      <c r="M988" s="43"/>
    </row>
    <row r="989">
      <c r="C989" s="43"/>
      <c r="D989" s="91"/>
      <c r="J989" s="92"/>
      <c r="K989" s="92"/>
      <c r="L989" s="93"/>
      <c r="M989" s="43"/>
    </row>
    <row r="990">
      <c r="C990" s="43"/>
      <c r="D990" s="91"/>
      <c r="J990" s="92"/>
      <c r="K990" s="92"/>
      <c r="L990" s="93"/>
      <c r="M990" s="43"/>
    </row>
    <row r="991">
      <c r="C991" s="43"/>
      <c r="D991" s="91"/>
      <c r="J991" s="92"/>
      <c r="K991" s="92"/>
      <c r="L991" s="93"/>
      <c r="M991" s="43"/>
    </row>
    <row r="992">
      <c r="C992" s="43"/>
      <c r="D992" s="91"/>
      <c r="J992" s="92"/>
      <c r="K992" s="92"/>
      <c r="L992" s="93"/>
      <c r="M992" s="43"/>
    </row>
    <row r="993">
      <c r="C993" s="43"/>
      <c r="D993" s="91"/>
      <c r="J993" s="92"/>
      <c r="K993" s="92"/>
      <c r="L993" s="93"/>
      <c r="M993" s="43"/>
    </row>
    <row r="994">
      <c r="C994" s="43"/>
      <c r="D994" s="91"/>
      <c r="J994" s="92"/>
      <c r="K994" s="92"/>
      <c r="L994" s="93"/>
      <c r="M994" s="43"/>
    </row>
    <row r="995">
      <c r="C995" s="43"/>
      <c r="D995" s="91"/>
      <c r="J995" s="92"/>
      <c r="K995" s="92"/>
      <c r="L995" s="93"/>
      <c r="M995" s="43"/>
    </row>
    <row r="996">
      <c r="C996" s="43"/>
      <c r="D996" s="91"/>
      <c r="J996" s="92"/>
      <c r="K996" s="92"/>
      <c r="L996" s="93"/>
      <c r="M996" s="43"/>
    </row>
    <row r="997">
      <c r="C997" s="43"/>
      <c r="D997" s="91"/>
      <c r="J997" s="92"/>
      <c r="K997" s="92"/>
      <c r="L997" s="93"/>
      <c r="M997" s="43"/>
    </row>
    <row r="998">
      <c r="C998" s="43"/>
      <c r="D998" s="91"/>
      <c r="J998" s="92"/>
      <c r="K998" s="92"/>
      <c r="L998" s="93"/>
      <c r="M998" s="43"/>
    </row>
    <row r="999">
      <c r="C999" s="43"/>
      <c r="D999" s="91"/>
      <c r="J999" s="92"/>
      <c r="K999" s="92"/>
      <c r="L999" s="93"/>
      <c r="M999" s="43"/>
    </row>
    <row r="1000">
      <c r="C1000" s="43"/>
      <c r="D1000" s="91"/>
      <c r="J1000" s="92"/>
      <c r="K1000" s="92"/>
      <c r="L1000" s="93"/>
      <c r="M1000" s="43"/>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5" max="15" width="14.13"/>
    <col customWidth="1" min="16" max="16" width="8.75"/>
  </cols>
  <sheetData>
    <row r="1" ht="60.0" customHeight="1">
      <c r="A1" s="36" t="s">
        <v>32</v>
      </c>
      <c r="B1" s="36" t="s">
        <v>33</v>
      </c>
      <c r="C1" s="37" t="s">
        <v>392</v>
      </c>
      <c r="D1" s="38" t="s">
        <v>393</v>
      </c>
      <c r="E1" s="36" t="s">
        <v>394</v>
      </c>
      <c r="F1" s="36" t="s">
        <v>395</v>
      </c>
      <c r="G1" s="36" t="s">
        <v>38</v>
      </c>
      <c r="H1" s="39" t="s">
        <v>396</v>
      </c>
      <c r="I1" s="36" t="s">
        <v>40</v>
      </c>
      <c r="J1" s="40" t="s">
        <v>41</v>
      </c>
      <c r="K1" s="40" t="s">
        <v>42</v>
      </c>
      <c r="L1" s="41" t="s">
        <v>43</v>
      </c>
      <c r="M1" s="42" t="s">
        <v>397</v>
      </c>
      <c r="N1" s="39" t="s">
        <v>398</v>
      </c>
      <c r="O1" s="43"/>
      <c r="P1" s="43"/>
      <c r="Q1" s="42" t="s">
        <v>46</v>
      </c>
      <c r="R1" s="42" t="s">
        <v>397</v>
      </c>
      <c r="S1" s="42" t="s">
        <v>399</v>
      </c>
      <c r="T1" s="44" t="s">
        <v>400</v>
      </c>
      <c r="U1" s="43"/>
      <c r="V1" s="43"/>
      <c r="W1" s="43"/>
      <c r="X1" s="43"/>
      <c r="Y1" s="43"/>
    </row>
    <row r="2" ht="15.0" customHeight="1">
      <c r="A2" s="45">
        <v>10101.0</v>
      </c>
      <c r="B2" s="45" t="s">
        <v>47</v>
      </c>
      <c r="C2" s="46">
        <v>293819.0</v>
      </c>
      <c r="D2" s="47">
        <v>92.9</v>
      </c>
      <c r="E2" s="48">
        <v>6.9</v>
      </c>
      <c r="F2" s="49">
        <f t="shared" ref="F2:F344" si="2">$P$3+$P$4*D2</f>
        <v>9.2728</v>
      </c>
      <c r="G2" s="49">
        <f t="shared" ref="G2:G30" si="3">0.89*F2/F$345</f>
        <v>1.155283368</v>
      </c>
      <c r="H2" s="50">
        <f t="shared" ref="H2:H344" si="4">E2*G2</f>
        <v>7.971455239</v>
      </c>
      <c r="I2" s="51">
        <f t="shared" ref="I2:I344" si="5">C2*H2/100</f>
        <v>23421.65007</v>
      </c>
      <c r="J2" s="52">
        <f>SUM(C2:C30)</f>
        <v>603937</v>
      </c>
      <c r="K2" s="52">
        <f>SUM(I2:I30)</f>
        <v>41839.56252</v>
      </c>
      <c r="L2" s="53">
        <f>K2/J2</f>
        <v>0.06927802489</v>
      </c>
      <c r="M2" s="52">
        <v>20236.0</v>
      </c>
      <c r="N2" s="46">
        <f t="shared" ref="N2:N344" si="6">+(H2*M2)/100</f>
        <v>1613.103682</v>
      </c>
      <c r="O2" s="54" t="s">
        <v>48</v>
      </c>
      <c r="P2" s="55">
        <v>9.5</v>
      </c>
      <c r="Q2" s="56" t="s">
        <v>49</v>
      </c>
      <c r="R2" s="46">
        <f t="shared" ref="R2:S2" si="1">+SUM(M2:M30)</f>
        <v>44827</v>
      </c>
      <c r="S2" s="46">
        <f t="shared" si="1"/>
        <v>3067.64131</v>
      </c>
      <c r="T2" s="57">
        <f t="shared" ref="T2:T12" si="8">+(S2*100)/R2</f>
        <v>6.843289334</v>
      </c>
    </row>
    <row r="3" ht="15.0" customHeight="1">
      <c r="A3" s="45">
        <v>10102.0</v>
      </c>
      <c r="B3" s="45" t="s">
        <v>50</v>
      </c>
      <c r="C3" s="46">
        <v>9273.0</v>
      </c>
      <c r="D3" s="47">
        <v>0.0</v>
      </c>
      <c r="E3" s="48">
        <v>6.9</v>
      </c>
      <c r="F3" s="49">
        <f t="shared" si="2"/>
        <v>6.3</v>
      </c>
      <c r="G3" s="49">
        <f t="shared" si="3"/>
        <v>0.7849069556</v>
      </c>
      <c r="H3" s="50">
        <f t="shared" si="4"/>
        <v>5.415857994</v>
      </c>
      <c r="I3" s="51">
        <f t="shared" si="5"/>
        <v>502.2125117</v>
      </c>
      <c r="J3" s="58"/>
      <c r="K3" s="58"/>
      <c r="L3" s="59"/>
      <c r="M3" s="52">
        <v>653.0</v>
      </c>
      <c r="N3" s="46">
        <f t="shared" si="6"/>
        <v>35.3655527</v>
      </c>
      <c r="O3" s="60" t="s">
        <v>51</v>
      </c>
      <c r="P3" s="61">
        <v>6.3</v>
      </c>
      <c r="Q3" s="56" t="s">
        <v>52</v>
      </c>
      <c r="R3" s="46">
        <f t="shared" ref="R3:S3" si="7">+SUM(M31:M117)</f>
        <v>208728</v>
      </c>
      <c r="S3" s="46">
        <f t="shared" si="7"/>
        <v>21422.3052</v>
      </c>
      <c r="T3" s="57">
        <f t="shared" si="8"/>
        <v>10.26326377</v>
      </c>
    </row>
    <row r="4" ht="15.0" customHeight="1">
      <c r="A4" s="45">
        <v>10103.0</v>
      </c>
      <c r="B4" s="45" t="s">
        <v>53</v>
      </c>
      <c r="C4" s="46">
        <v>13889.0</v>
      </c>
      <c r="D4" s="47">
        <v>0.0</v>
      </c>
      <c r="E4" s="48">
        <v>6.9</v>
      </c>
      <c r="F4" s="49">
        <f t="shared" si="2"/>
        <v>6.3</v>
      </c>
      <c r="G4" s="49">
        <f t="shared" si="3"/>
        <v>0.7849069556</v>
      </c>
      <c r="H4" s="50">
        <f t="shared" si="4"/>
        <v>5.415857994</v>
      </c>
      <c r="I4" s="51">
        <f t="shared" si="5"/>
        <v>752.2085167</v>
      </c>
      <c r="J4" s="58"/>
      <c r="K4" s="58"/>
      <c r="L4" s="59"/>
      <c r="M4" s="52">
        <v>1224.0</v>
      </c>
      <c r="N4" s="46">
        <f t="shared" si="6"/>
        <v>66.29010184</v>
      </c>
      <c r="O4" s="62" t="s">
        <v>54</v>
      </c>
      <c r="P4" s="63">
        <f>(P2-P3)/(100-0)</f>
        <v>0.032</v>
      </c>
      <c r="Q4" s="56" t="s">
        <v>55</v>
      </c>
      <c r="R4" s="46">
        <f t="shared" ref="R4:S4" si="9">+SUM(M118:M165)</f>
        <v>152193</v>
      </c>
      <c r="S4" s="46">
        <f t="shared" si="9"/>
        <v>9350.442338</v>
      </c>
      <c r="T4" s="57">
        <f t="shared" si="8"/>
        <v>6.143805785</v>
      </c>
    </row>
    <row r="5" ht="15.0" customHeight="1">
      <c r="A5" s="45">
        <v>10201.0</v>
      </c>
      <c r="B5" s="45" t="s">
        <v>56</v>
      </c>
      <c r="C5" s="46">
        <v>8132.0</v>
      </c>
      <c r="D5" s="47">
        <v>0.0</v>
      </c>
      <c r="E5" s="48">
        <v>6.9</v>
      </c>
      <c r="F5" s="49">
        <f t="shared" si="2"/>
        <v>6.3</v>
      </c>
      <c r="G5" s="49">
        <f t="shared" si="3"/>
        <v>0.7849069556</v>
      </c>
      <c r="H5" s="50">
        <f t="shared" si="4"/>
        <v>5.415857994</v>
      </c>
      <c r="I5" s="51">
        <f t="shared" si="5"/>
        <v>440.417572</v>
      </c>
      <c r="J5" s="58"/>
      <c r="K5" s="58"/>
      <c r="L5" s="59"/>
      <c r="M5" s="52">
        <v>777.0</v>
      </c>
      <c r="N5" s="46">
        <f t="shared" si="6"/>
        <v>42.08121661</v>
      </c>
      <c r="Q5" s="56" t="s">
        <v>57</v>
      </c>
      <c r="R5" s="46">
        <f t="shared" ref="R5:S5" si="10">+SUM(M166:M200)</f>
        <v>42952</v>
      </c>
      <c r="S5" s="46">
        <f t="shared" si="10"/>
        <v>3096.649111</v>
      </c>
      <c r="T5" s="57">
        <f t="shared" si="8"/>
        <v>7.209557437</v>
      </c>
    </row>
    <row r="6" ht="15.0" customHeight="1">
      <c r="A6" s="45">
        <v>10202.0</v>
      </c>
      <c r="B6" s="45" t="s">
        <v>58</v>
      </c>
      <c r="C6" s="46">
        <v>16599.0</v>
      </c>
      <c r="D6" s="47">
        <v>0.0</v>
      </c>
      <c r="E6" s="48">
        <v>6.9</v>
      </c>
      <c r="F6" s="49">
        <f t="shared" si="2"/>
        <v>6.3</v>
      </c>
      <c r="G6" s="49">
        <f t="shared" si="3"/>
        <v>0.7849069556</v>
      </c>
      <c r="H6" s="50">
        <f t="shared" si="4"/>
        <v>5.415857994</v>
      </c>
      <c r="I6" s="51">
        <f t="shared" si="5"/>
        <v>898.9782684</v>
      </c>
      <c r="J6" s="58"/>
      <c r="K6" s="58"/>
      <c r="L6" s="59"/>
      <c r="M6" s="52">
        <v>1469.0</v>
      </c>
      <c r="N6" s="46">
        <f t="shared" si="6"/>
        <v>79.55895393</v>
      </c>
      <c r="Q6" s="56" t="s">
        <v>59</v>
      </c>
      <c r="R6" s="46">
        <f t="shared" ref="R6:S6" si="11">+SUM(M201:M242)</f>
        <v>73454</v>
      </c>
      <c r="S6" s="46">
        <f t="shared" si="11"/>
        <v>4442.052277</v>
      </c>
      <c r="T6" s="57">
        <f t="shared" si="8"/>
        <v>6.047393303</v>
      </c>
    </row>
    <row r="7" ht="15.0" customHeight="1">
      <c r="A7" s="45">
        <v>10301.0</v>
      </c>
      <c r="B7" s="45" t="s">
        <v>60</v>
      </c>
      <c r="C7" s="46">
        <v>13500.0</v>
      </c>
      <c r="D7" s="47">
        <v>35.1</v>
      </c>
      <c r="E7" s="48">
        <v>6.9</v>
      </c>
      <c r="F7" s="49">
        <f t="shared" si="2"/>
        <v>7.4232</v>
      </c>
      <c r="G7" s="49">
        <f t="shared" si="3"/>
        <v>0.9248446528</v>
      </c>
      <c r="H7" s="50">
        <f t="shared" si="4"/>
        <v>6.381428104</v>
      </c>
      <c r="I7" s="51">
        <f t="shared" si="5"/>
        <v>861.4927941</v>
      </c>
      <c r="J7" s="58"/>
      <c r="K7" s="58"/>
      <c r="L7" s="59"/>
      <c r="M7" s="52">
        <v>913.0</v>
      </c>
      <c r="N7" s="46">
        <f t="shared" si="6"/>
        <v>58.26243859</v>
      </c>
      <c r="Q7" s="56" t="s">
        <v>61</v>
      </c>
      <c r="R7" s="46">
        <f t="shared" ref="R7:S7" si="12">+SUM(M243:M253)</f>
        <v>36356</v>
      </c>
      <c r="S7" s="46">
        <f t="shared" si="12"/>
        <v>3876.642061</v>
      </c>
      <c r="T7" s="57">
        <f t="shared" si="8"/>
        <v>10.6630049</v>
      </c>
    </row>
    <row r="8" ht="15.0" customHeight="1">
      <c r="A8" s="45">
        <v>10302.0</v>
      </c>
      <c r="B8" s="45" t="s">
        <v>62</v>
      </c>
      <c r="C8" s="46">
        <v>12526.0</v>
      </c>
      <c r="D8" s="47">
        <v>18.2</v>
      </c>
      <c r="E8" s="48">
        <v>6.9</v>
      </c>
      <c r="F8" s="49">
        <f t="shared" si="2"/>
        <v>6.8824</v>
      </c>
      <c r="G8" s="49">
        <f t="shared" si="3"/>
        <v>0.857467243</v>
      </c>
      <c r="H8" s="50">
        <f t="shared" si="4"/>
        <v>5.916523977</v>
      </c>
      <c r="I8" s="51">
        <f t="shared" si="5"/>
        <v>741.1037934</v>
      </c>
      <c r="J8" s="58"/>
      <c r="K8" s="58"/>
      <c r="L8" s="59"/>
      <c r="M8" s="52">
        <v>1092.0</v>
      </c>
      <c r="N8" s="46">
        <f t="shared" si="6"/>
        <v>64.60844183</v>
      </c>
      <c r="Q8" s="56" t="s">
        <v>63</v>
      </c>
      <c r="R8" s="46">
        <f t="shared" ref="R8:S8" si="13">+SUM(M254:M309)</f>
        <v>254902</v>
      </c>
      <c r="S8" s="46">
        <f t="shared" si="13"/>
        <v>24232.14313</v>
      </c>
      <c r="T8" s="57">
        <f t="shared" si="8"/>
        <v>9.506454687</v>
      </c>
    </row>
    <row r="9" ht="15.0" customHeight="1">
      <c r="A9" s="45">
        <v>10303.0</v>
      </c>
      <c r="B9" s="45" t="s">
        <v>64</v>
      </c>
      <c r="C9" s="46">
        <v>8973.0</v>
      </c>
      <c r="D9" s="47">
        <v>27.5</v>
      </c>
      <c r="E9" s="48">
        <v>6.9</v>
      </c>
      <c r="F9" s="49">
        <f t="shared" si="2"/>
        <v>7.18</v>
      </c>
      <c r="G9" s="49">
        <f t="shared" si="3"/>
        <v>0.8945447526</v>
      </c>
      <c r="H9" s="50">
        <f t="shared" si="4"/>
        <v>6.172358793</v>
      </c>
      <c r="I9" s="51">
        <f t="shared" si="5"/>
        <v>553.8457545</v>
      </c>
      <c r="J9" s="58"/>
      <c r="K9" s="58"/>
      <c r="L9" s="59"/>
      <c r="M9" s="52">
        <v>780.0</v>
      </c>
      <c r="N9" s="46">
        <f t="shared" si="6"/>
        <v>48.14439858</v>
      </c>
      <c r="Q9" s="56" t="s">
        <v>22</v>
      </c>
      <c r="R9" s="46">
        <f t="shared" ref="R9:S9" si="14">+SUM(M310:M329)</f>
        <v>46526</v>
      </c>
      <c r="S9" s="46">
        <f t="shared" si="14"/>
        <v>3607.487443</v>
      </c>
      <c r="T9" s="57">
        <f t="shared" si="8"/>
        <v>7.753702109</v>
      </c>
    </row>
    <row r="10" ht="15.0" customHeight="1">
      <c r="A10" s="45">
        <v>10304.0</v>
      </c>
      <c r="B10" s="45" t="s">
        <v>65</v>
      </c>
      <c r="C10" s="46">
        <v>9040.0</v>
      </c>
      <c r="D10" s="47">
        <v>0.0</v>
      </c>
      <c r="E10" s="48">
        <v>6.9</v>
      </c>
      <c r="F10" s="49">
        <f t="shared" si="2"/>
        <v>6.3</v>
      </c>
      <c r="G10" s="49">
        <f t="shared" si="3"/>
        <v>0.7849069556</v>
      </c>
      <c r="H10" s="50">
        <f t="shared" si="4"/>
        <v>5.415857994</v>
      </c>
      <c r="I10" s="51">
        <f t="shared" si="5"/>
        <v>489.5935626</v>
      </c>
      <c r="J10" s="58"/>
      <c r="K10" s="58"/>
      <c r="L10" s="59"/>
      <c r="M10" s="52">
        <v>607.0</v>
      </c>
      <c r="N10" s="46">
        <f t="shared" si="6"/>
        <v>32.87425802</v>
      </c>
      <c r="Q10" s="56" t="s">
        <v>23</v>
      </c>
      <c r="R10" s="46">
        <f t="shared" ref="R10:S10" si="15">+SUM(M330:M344)</f>
        <v>12412</v>
      </c>
      <c r="S10" s="46">
        <f t="shared" si="15"/>
        <v>560.0211134</v>
      </c>
      <c r="T10" s="57">
        <f t="shared" si="8"/>
        <v>4.511932915</v>
      </c>
    </row>
    <row r="11" ht="15.0" customHeight="1">
      <c r="A11" s="45">
        <v>10401.0</v>
      </c>
      <c r="B11" s="45" t="s">
        <v>66</v>
      </c>
      <c r="C11" s="46">
        <v>9291.0</v>
      </c>
      <c r="D11" s="47">
        <v>44.8</v>
      </c>
      <c r="E11" s="48">
        <v>6.9</v>
      </c>
      <c r="F11" s="49">
        <f t="shared" si="2"/>
        <v>7.7336</v>
      </c>
      <c r="G11" s="49">
        <f t="shared" si="3"/>
        <v>0.9635168939</v>
      </c>
      <c r="H11" s="50">
        <f t="shared" si="4"/>
        <v>6.648266568</v>
      </c>
      <c r="I11" s="51">
        <f t="shared" si="5"/>
        <v>617.6904468</v>
      </c>
      <c r="J11" s="58"/>
      <c r="K11" s="58"/>
      <c r="L11" s="59"/>
      <c r="M11" s="52">
        <v>718.0</v>
      </c>
      <c r="N11" s="46">
        <f t="shared" si="6"/>
        <v>47.73455396</v>
      </c>
      <c r="Q11" s="56" t="s">
        <v>67</v>
      </c>
      <c r="R11" s="46">
        <f t="shared" ref="R11:S11" si="16">SUM(R2:R10)</f>
        <v>872350</v>
      </c>
      <c r="S11" s="46">
        <f t="shared" si="16"/>
        <v>73655.38398</v>
      </c>
      <c r="T11" s="57">
        <f t="shared" si="8"/>
        <v>8.443329395</v>
      </c>
    </row>
    <row r="12" ht="15.0" customHeight="1">
      <c r="A12" s="45">
        <v>10402.0</v>
      </c>
      <c r="B12" s="45" t="s">
        <v>68</v>
      </c>
      <c r="C12" s="46">
        <v>8508.0</v>
      </c>
      <c r="D12" s="47">
        <v>21.7</v>
      </c>
      <c r="E12" s="48">
        <v>6.9</v>
      </c>
      <c r="F12" s="49">
        <f t="shared" si="2"/>
        <v>6.9944</v>
      </c>
      <c r="G12" s="49">
        <f t="shared" si="3"/>
        <v>0.8714211445</v>
      </c>
      <c r="H12" s="50">
        <f t="shared" si="4"/>
        <v>6.012805897</v>
      </c>
      <c r="I12" s="51">
        <f t="shared" si="5"/>
        <v>511.5695257</v>
      </c>
      <c r="J12" s="58"/>
      <c r="K12" s="58"/>
      <c r="L12" s="59"/>
      <c r="M12" s="52">
        <v>654.0</v>
      </c>
      <c r="N12" s="46">
        <f t="shared" si="6"/>
        <v>39.32375057</v>
      </c>
      <c r="Q12" s="56" t="s">
        <v>69</v>
      </c>
      <c r="R12" s="67">
        <f t="shared" ref="R12:S12" si="17">SUM(M246:M248)</f>
        <v>12238</v>
      </c>
      <c r="S12" s="67">
        <f t="shared" si="17"/>
        <v>1306.794525</v>
      </c>
      <c r="T12" s="57">
        <f t="shared" si="8"/>
        <v>10.67817066</v>
      </c>
    </row>
    <row r="13" ht="15.0" customHeight="1">
      <c r="A13" s="45">
        <v>10403.0</v>
      </c>
      <c r="B13" s="45" t="s">
        <v>70</v>
      </c>
      <c r="C13" s="46">
        <v>6973.0</v>
      </c>
      <c r="D13" s="47">
        <v>2.4</v>
      </c>
      <c r="E13" s="48">
        <v>6.9</v>
      </c>
      <c r="F13" s="49">
        <f t="shared" si="2"/>
        <v>6.3768</v>
      </c>
      <c r="G13" s="49">
        <f t="shared" si="3"/>
        <v>0.7944753452</v>
      </c>
      <c r="H13" s="50">
        <f t="shared" si="4"/>
        <v>5.481879882</v>
      </c>
      <c r="I13" s="51">
        <f t="shared" si="5"/>
        <v>382.2514841</v>
      </c>
      <c r="J13" s="58"/>
      <c r="K13" s="58"/>
      <c r="L13" s="59"/>
      <c r="M13" s="52">
        <v>572.0</v>
      </c>
      <c r="N13" s="46">
        <f t="shared" si="6"/>
        <v>31.35635292</v>
      </c>
    </row>
    <row r="14" ht="15.0" customHeight="1">
      <c r="A14" s="45">
        <v>10404.0</v>
      </c>
      <c r="B14" s="45" t="s">
        <v>71</v>
      </c>
      <c r="C14" s="46">
        <v>3863.0</v>
      </c>
      <c r="D14" s="47">
        <v>0.0</v>
      </c>
      <c r="E14" s="48">
        <v>6.9</v>
      </c>
      <c r="F14" s="49">
        <f t="shared" si="2"/>
        <v>6.3</v>
      </c>
      <c r="G14" s="49">
        <f t="shared" si="3"/>
        <v>0.7849069556</v>
      </c>
      <c r="H14" s="50">
        <f t="shared" si="4"/>
        <v>5.415857994</v>
      </c>
      <c r="I14" s="51">
        <f t="shared" si="5"/>
        <v>209.2145943</v>
      </c>
      <c r="J14" s="58"/>
      <c r="K14" s="58"/>
      <c r="L14" s="59"/>
      <c r="M14" s="52">
        <v>256.0</v>
      </c>
      <c r="N14" s="46">
        <f t="shared" si="6"/>
        <v>13.86459646</v>
      </c>
    </row>
    <row r="15" ht="15.0" customHeight="1">
      <c r="A15" s="45">
        <v>10405.0</v>
      </c>
      <c r="B15" s="45" t="s">
        <v>72</v>
      </c>
      <c r="C15" s="46">
        <v>5555.0</v>
      </c>
      <c r="D15" s="47">
        <v>0.0</v>
      </c>
      <c r="E15" s="48">
        <v>6.9</v>
      </c>
      <c r="F15" s="49">
        <f t="shared" si="2"/>
        <v>6.3</v>
      </c>
      <c r="G15" s="49">
        <f t="shared" si="3"/>
        <v>0.7849069556</v>
      </c>
      <c r="H15" s="50">
        <f t="shared" si="4"/>
        <v>5.415857994</v>
      </c>
      <c r="I15" s="51">
        <f t="shared" si="5"/>
        <v>300.8509115</v>
      </c>
      <c r="J15" s="58"/>
      <c r="K15" s="58"/>
      <c r="L15" s="59"/>
      <c r="M15" s="52">
        <v>429.0</v>
      </c>
      <c r="N15" s="46">
        <f t="shared" si="6"/>
        <v>23.23403079</v>
      </c>
    </row>
    <row r="16" ht="15.0" customHeight="1">
      <c r="A16" s="45">
        <v>10501.0</v>
      </c>
      <c r="B16" s="45" t="s">
        <v>73</v>
      </c>
      <c r="C16" s="46">
        <v>24526.0</v>
      </c>
      <c r="D16" s="47">
        <v>52.7</v>
      </c>
      <c r="E16" s="48">
        <v>6.9</v>
      </c>
      <c r="F16" s="49">
        <f t="shared" si="2"/>
        <v>7.9864</v>
      </c>
      <c r="G16" s="49">
        <f t="shared" si="3"/>
        <v>0.9950128429</v>
      </c>
      <c r="H16" s="50">
        <f t="shared" si="4"/>
        <v>6.865588616</v>
      </c>
      <c r="I16" s="51">
        <f t="shared" si="5"/>
        <v>1683.854264</v>
      </c>
      <c r="J16" s="58"/>
      <c r="K16" s="58"/>
      <c r="L16" s="59"/>
      <c r="M16" s="52">
        <v>1792.0</v>
      </c>
      <c r="N16" s="46">
        <f t="shared" si="6"/>
        <v>123.031348</v>
      </c>
    </row>
    <row r="17" ht="15.0" customHeight="1">
      <c r="A17" s="45">
        <v>10502.0</v>
      </c>
      <c r="B17" s="45" t="s">
        <v>74</v>
      </c>
      <c r="C17" s="46">
        <v>7296.0</v>
      </c>
      <c r="D17" s="47">
        <v>0.0</v>
      </c>
      <c r="E17" s="48">
        <v>6.9</v>
      </c>
      <c r="F17" s="49">
        <f t="shared" si="2"/>
        <v>6.3</v>
      </c>
      <c r="G17" s="49">
        <f t="shared" si="3"/>
        <v>0.7849069556</v>
      </c>
      <c r="H17" s="50">
        <f t="shared" si="4"/>
        <v>5.415857994</v>
      </c>
      <c r="I17" s="51">
        <f t="shared" si="5"/>
        <v>395.1409992</v>
      </c>
      <c r="J17" s="58"/>
      <c r="K17" s="58"/>
      <c r="L17" s="59"/>
      <c r="M17" s="52">
        <v>644.0</v>
      </c>
      <c r="N17" s="46">
        <f t="shared" si="6"/>
        <v>34.87812548</v>
      </c>
    </row>
    <row r="18" ht="15.0" customHeight="1">
      <c r="A18" s="45">
        <v>10601.0</v>
      </c>
      <c r="B18" s="45" t="s">
        <v>75</v>
      </c>
      <c r="C18" s="46">
        <v>13625.0</v>
      </c>
      <c r="D18" s="47">
        <v>22.0</v>
      </c>
      <c r="E18" s="48">
        <v>6.9</v>
      </c>
      <c r="F18" s="49">
        <f t="shared" si="2"/>
        <v>7.004</v>
      </c>
      <c r="G18" s="49">
        <f t="shared" si="3"/>
        <v>0.8726171932</v>
      </c>
      <c r="H18" s="50">
        <f t="shared" si="4"/>
        <v>6.021058633</v>
      </c>
      <c r="I18" s="51">
        <f t="shared" si="5"/>
        <v>820.3692387</v>
      </c>
      <c r="J18" s="58"/>
      <c r="K18" s="58"/>
      <c r="L18" s="59"/>
      <c r="M18" s="52">
        <v>981.0</v>
      </c>
      <c r="N18" s="46">
        <f t="shared" si="6"/>
        <v>59.06658519</v>
      </c>
    </row>
    <row r="19" ht="15.0" customHeight="1">
      <c r="A19" s="45">
        <v>10602.0</v>
      </c>
      <c r="B19" s="45" t="s">
        <v>76</v>
      </c>
      <c r="C19" s="46">
        <v>8616.0</v>
      </c>
      <c r="D19" s="47">
        <v>0.0</v>
      </c>
      <c r="E19" s="48">
        <v>6.9</v>
      </c>
      <c r="F19" s="49">
        <f t="shared" si="2"/>
        <v>6.3</v>
      </c>
      <c r="G19" s="49">
        <f t="shared" si="3"/>
        <v>0.7849069556</v>
      </c>
      <c r="H19" s="50">
        <f t="shared" si="4"/>
        <v>5.415857994</v>
      </c>
      <c r="I19" s="51">
        <f t="shared" si="5"/>
        <v>466.6303247</v>
      </c>
      <c r="J19" s="58"/>
      <c r="K19" s="58"/>
      <c r="L19" s="59"/>
      <c r="M19" s="52">
        <v>578.0</v>
      </c>
      <c r="N19" s="46">
        <f t="shared" si="6"/>
        <v>31.3036592</v>
      </c>
    </row>
    <row r="20" ht="15.0" customHeight="1">
      <c r="A20" s="45">
        <v>10701.0</v>
      </c>
      <c r="B20" s="45" t="s">
        <v>77</v>
      </c>
      <c r="C20" s="46">
        <v>14791.0</v>
      </c>
      <c r="D20" s="47">
        <v>36.4</v>
      </c>
      <c r="E20" s="48">
        <v>6.9</v>
      </c>
      <c r="F20" s="49">
        <f t="shared" si="2"/>
        <v>7.4648</v>
      </c>
      <c r="G20" s="49">
        <f t="shared" si="3"/>
        <v>0.9300275305</v>
      </c>
      <c r="H20" s="50">
        <f t="shared" si="4"/>
        <v>6.41718996</v>
      </c>
      <c r="I20" s="51">
        <f t="shared" si="5"/>
        <v>949.166567</v>
      </c>
      <c r="J20" s="58"/>
      <c r="K20" s="58"/>
      <c r="L20" s="59"/>
      <c r="M20" s="52">
        <v>1023.0</v>
      </c>
      <c r="N20" s="46">
        <f t="shared" si="6"/>
        <v>65.6478533</v>
      </c>
    </row>
    <row r="21" ht="15.0" customHeight="1">
      <c r="A21" s="45">
        <v>10702.0</v>
      </c>
      <c r="B21" s="45" t="s">
        <v>78</v>
      </c>
      <c r="C21" s="46">
        <v>27199.0</v>
      </c>
      <c r="D21" s="47">
        <v>9.7</v>
      </c>
      <c r="E21" s="48">
        <v>6.9</v>
      </c>
      <c r="F21" s="49">
        <f t="shared" si="2"/>
        <v>6.6104</v>
      </c>
      <c r="G21" s="49">
        <f t="shared" si="3"/>
        <v>0.8235791967</v>
      </c>
      <c r="H21" s="50">
        <f t="shared" si="4"/>
        <v>5.682696457</v>
      </c>
      <c r="I21" s="51">
        <f t="shared" si="5"/>
        <v>1545.636609</v>
      </c>
      <c r="J21" s="58"/>
      <c r="K21" s="58"/>
      <c r="L21" s="59"/>
      <c r="M21" s="52">
        <v>2472.0</v>
      </c>
      <c r="N21" s="46">
        <f t="shared" si="6"/>
        <v>140.4762564</v>
      </c>
    </row>
    <row r="22" ht="15.0" customHeight="1">
      <c r="A22" s="45">
        <v>10703.0</v>
      </c>
      <c r="B22" s="45" t="s">
        <v>79</v>
      </c>
      <c r="C22" s="46">
        <v>16198.0</v>
      </c>
      <c r="D22" s="47">
        <v>16.8</v>
      </c>
      <c r="E22" s="48">
        <v>6.9</v>
      </c>
      <c r="F22" s="49">
        <f t="shared" si="2"/>
        <v>6.8376</v>
      </c>
      <c r="G22" s="49">
        <f t="shared" si="3"/>
        <v>0.8518856825</v>
      </c>
      <c r="H22" s="50">
        <f t="shared" si="4"/>
        <v>5.878011209</v>
      </c>
      <c r="I22" s="51">
        <f t="shared" si="5"/>
        <v>952.1202556</v>
      </c>
      <c r="J22" s="58"/>
      <c r="K22" s="58"/>
      <c r="L22" s="59"/>
      <c r="M22" s="52">
        <v>1407.0</v>
      </c>
      <c r="N22" s="46">
        <f t="shared" si="6"/>
        <v>82.70361771</v>
      </c>
    </row>
    <row r="23">
      <c r="A23" s="45">
        <v>10704.0</v>
      </c>
      <c r="B23" s="45" t="s">
        <v>80</v>
      </c>
      <c r="C23" s="46">
        <v>14438.0</v>
      </c>
      <c r="D23" s="47">
        <v>18.5</v>
      </c>
      <c r="E23" s="48">
        <v>6.9</v>
      </c>
      <c r="F23" s="49">
        <f t="shared" si="2"/>
        <v>6.892</v>
      </c>
      <c r="G23" s="49">
        <f t="shared" si="3"/>
        <v>0.8586632917</v>
      </c>
      <c r="H23" s="50">
        <f t="shared" si="4"/>
        <v>5.924776713</v>
      </c>
      <c r="I23" s="51">
        <f t="shared" si="5"/>
        <v>855.4192618</v>
      </c>
      <c r="J23" s="58"/>
      <c r="K23" s="58"/>
      <c r="L23" s="59"/>
      <c r="M23" s="52">
        <v>1287.0</v>
      </c>
      <c r="N23" s="46">
        <f t="shared" si="6"/>
        <v>76.2518763</v>
      </c>
    </row>
    <row r="24">
      <c r="A24" s="45">
        <v>10801.0</v>
      </c>
      <c r="B24" s="45" t="s">
        <v>81</v>
      </c>
      <c r="C24" s="46">
        <v>9278.0</v>
      </c>
      <c r="D24" s="47">
        <v>37.4</v>
      </c>
      <c r="E24" s="48">
        <v>6.9</v>
      </c>
      <c r="F24" s="49">
        <f t="shared" si="2"/>
        <v>7.4968</v>
      </c>
      <c r="G24" s="49">
        <f t="shared" si="3"/>
        <v>0.9340143595</v>
      </c>
      <c r="H24" s="50">
        <f t="shared" si="4"/>
        <v>6.44469908</v>
      </c>
      <c r="I24" s="51">
        <f t="shared" si="5"/>
        <v>597.9391807</v>
      </c>
      <c r="J24" s="58"/>
      <c r="K24" s="58"/>
      <c r="L24" s="59"/>
      <c r="M24" s="52">
        <v>607.0</v>
      </c>
      <c r="N24" s="46">
        <f t="shared" si="6"/>
        <v>39.11932342</v>
      </c>
    </row>
    <row r="25">
      <c r="A25" s="45">
        <v>10901.0</v>
      </c>
      <c r="B25" s="45" t="s">
        <v>82</v>
      </c>
      <c r="C25" s="46">
        <v>5220.0</v>
      </c>
      <c r="D25" s="47">
        <v>40.3</v>
      </c>
      <c r="E25" s="48">
        <v>6.9</v>
      </c>
      <c r="F25" s="49">
        <f t="shared" si="2"/>
        <v>7.5896</v>
      </c>
      <c r="G25" s="49">
        <f t="shared" si="3"/>
        <v>0.9455761635</v>
      </c>
      <c r="H25" s="50">
        <f t="shared" si="4"/>
        <v>6.524475528</v>
      </c>
      <c r="I25" s="51">
        <f t="shared" si="5"/>
        <v>340.5776226</v>
      </c>
      <c r="J25" s="58"/>
      <c r="K25" s="58"/>
      <c r="L25" s="59"/>
      <c r="M25" s="52">
        <v>360.0</v>
      </c>
      <c r="N25" s="46">
        <f t="shared" si="6"/>
        <v>23.4881119</v>
      </c>
    </row>
    <row r="26">
      <c r="A26" s="45">
        <v>10902.0</v>
      </c>
      <c r="B26" s="45" t="s">
        <v>83</v>
      </c>
      <c r="C26" s="46">
        <v>15088.0</v>
      </c>
      <c r="D26" s="47">
        <v>22.3</v>
      </c>
      <c r="E26" s="48">
        <v>6.9</v>
      </c>
      <c r="F26" s="49">
        <f t="shared" si="2"/>
        <v>7.0136</v>
      </c>
      <c r="G26" s="49">
        <f t="shared" si="3"/>
        <v>0.8738132419</v>
      </c>
      <c r="H26" s="50">
        <f t="shared" si="4"/>
        <v>6.029311369</v>
      </c>
      <c r="I26" s="51">
        <f t="shared" si="5"/>
        <v>909.7024993</v>
      </c>
      <c r="J26" s="58"/>
      <c r="K26" s="58"/>
      <c r="L26" s="59"/>
      <c r="M26" s="52">
        <v>1371.0</v>
      </c>
      <c r="N26" s="46">
        <f t="shared" si="6"/>
        <v>82.66185887</v>
      </c>
    </row>
    <row r="27">
      <c r="A27" s="45">
        <v>10903.0</v>
      </c>
      <c r="B27" s="45" t="s">
        <v>84</v>
      </c>
      <c r="C27" s="46">
        <v>4939.0</v>
      </c>
      <c r="D27" s="47">
        <v>0.0</v>
      </c>
      <c r="E27" s="48">
        <v>6.9</v>
      </c>
      <c r="F27" s="49">
        <f t="shared" si="2"/>
        <v>6.3</v>
      </c>
      <c r="G27" s="49">
        <f t="shared" si="3"/>
        <v>0.7849069556</v>
      </c>
      <c r="H27" s="50">
        <f t="shared" si="4"/>
        <v>5.415857994</v>
      </c>
      <c r="I27" s="51">
        <f t="shared" si="5"/>
        <v>267.4892263</v>
      </c>
      <c r="J27" s="58"/>
      <c r="K27" s="58"/>
      <c r="L27" s="59"/>
      <c r="M27" s="52">
        <v>316.0</v>
      </c>
      <c r="N27" s="46">
        <f t="shared" si="6"/>
        <v>17.11411126</v>
      </c>
    </row>
    <row r="28">
      <c r="A28" s="45">
        <v>11001.0</v>
      </c>
      <c r="B28" s="45" t="s">
        <v>85</v>
      </c>
      <c r="C28" s="46">
        <v>12985.0</v>
      </c>
      <c r="D28" s="47">
        <v>38.8</v>
      </c>
      <c r="E28" s="48">
        <v>6.9</v>
      </c>
      <c r="F28" s="49">
        <f t="shared" si="2"/>
        <v>7.5416</v>
      </c>
      <c r="G28" s="49">
        <f t="shared" si="3"/>
        <v>0.9395959201</v>
      </c>
      <c r="H28" s="50">
        <f t="shared" si="4"/>
        <v>6.483211848</v>
      </c>
      <c r="I28" s="51">
        <f t="shared" si="5"/>
        <v>841.8450585</v>
      </c>
      <c r="J28" s="58"/>
      <c r="K28" s="58"/>
      <c r="L28" s="59"/>
      <c r="M28" s="52">
        <v>839.0</v>
      </c>
      <c r="N28" s="46">
        <f t="shared" si="6"/>
        <v>54.39414741</v>
      </c>
    </row>
    <row r="29">
      <c r="A29" s="45">
        <v>11002.0</v>
      </c>
      <c r="B29" s="45" t="s">
        <v>86</v>
      </c>
      <c r="C29" s="46">
        <v>2547.0</v>
      </c>
      <c r="D29" s="47">
        <v>0.0</v>
      </c>
      <c r="E29" s="48">
        <v>6.9</v>
      </c>
      <c r="F29" s="49">
        <f t="shared" si="2"/>
        <v>6.3</v>
      </c>
      <c r="G29" s="49">
        <f t="shared" si="3"/>
        <v>0.7849069556</v>
      </c>
      <c r="H29" s="50">
        <f t="shared" si="4"/>
        <v>5.415857994</v>
      </c>
      <c r="I29" s="51">
        <f t="shared" si="5"/>
        <v>137.9419031</v>
      </c>
      <c r="J29" s="58"/>
      <c r="K29" s="58"/>
      <c r="L29" s="59"/>
      <c r="M29" s="52">
        <v>217.0</v>
      </c>
      <c r="N29" s="46">
        <f t="shared" si="6"/>
        <v>11.75241185</v>
      </c>
    </row>
    <row r="30">
      <c r="A30" s="45">
        <v>11003.0</v>
      </c>
      <c r="B30" s="45" t="s">
        <v>87</v>
      </c>
      <c r="C30" s="46">
        <v>7250.0</v>
      </c>
      <c r="D30" s="47">
        <v>0.0</v>
      </c>
      <c r="E30" s="48">
        <v>6.9</v>
      </c>
      <c r="F30" s="49">
        <f t="shared" si="2"/>
        <v>6.3</v>
      </c>
      <c r="G30" s="49">
        <f t="shared" si="3"/>
        <v>0.7849069556</v>
      </c>
      <c r="H30" s="50">
        <f t="shared" si="4"/>
        <v>5.415857994</v>
      </c>
      <c r="I30" s="51">
        <f t="shared" si="5"/>
        <v>392.6497045</v>
      </c>
      <c r="J30" s="58"/>
      <c r="K30" s="58"/>
      <c r="L30" s="59"/>
      <c r="M30" s="52">
        <v>553.0</v>
      </c>
      <c r="N30" s="46">
        <f t="shared" si="6"/>
        <v>29.9496947</v>
      </c>
    </row>
    <row r="31">
      <c r="A31" s="45">
        <v>20101.0</v>
      </c>
      <c r="B31" s="45" t="s">
        <v>88</v>
      </c>
      <c r="C31" s="46">
        <v>758184.0</v>
      </c>
      <c r="D31" s="47">
        <v>99.0</v>
      </c>
      <c r="E31" s="48">
        <v>10.4</v>
      </c>
      <c r="F31" s="49">
        <f t="shared" si="2"/>
        <v>9.468</v>
      </c>
      <c r="G31" s="49">
        <f t="shared" ref="G31:G117" si="18">0.85*F31/F$345</f>
        <v>1.126587158</v>
      </c>
      <c r="H31" s="50">
        <f t="shared" si="4"/>
        <v>11.71650645</v>
      </c>
      <c r="I31" s="51">
        <f t="shared" si="5"/>
        <v>88832.67724</v>
      </c>
      <c r="J31" s="52">
        <f>SUM(C31:C117)</f>
        <v>3004953.417</v>
      </c>
      <c r="K31" s="52">
        <f>SUM(I31:I117)</f>
        <v>311482.1542</v>
      </c>
      <c r="L31" s="53">
        <f>K31/J31</f>
        <v>0.1036562339</v>
      </c>
      <c r="M31" s="52">
        <v>39439.0</v>
      </c>
      <c r="N31" s="46">
        <f t="shared" si="6"/>
        <v>4620.872978</v>
      </c>
    </row>
    <row r="32">
      <c r="A32" s="45">
        <v>20102.0</v>
      </c>
      <c r="B32" s="45" t="s">
        <v>89</v>
      </c>
      <c r="C32" s="46">
        <v>21303.0</v>
      </c>
      <c r="D32" s="47">
        <v>0.0</v>
      </c>
      <c r="E32" s="48">
        <v>10.4</v>
      </c>
      <c r="F32" s="49">
        <f t="shared" si="2"/>
        <v>6.3</v>
      </c>
      <c r="G32" s="49">
        <f t="shared" si="18"/>
        <v>0.7496302385</v>
      </c>
      <c r="H32" s="50">
        <f t="shared" si="4"/>
        <v>7.79615448</v>
      </c>
      <c r="I32" s="51">
        <f t="shared" si="5"/>
        <v>1660.814789</v>
      </c>
      <c r="J32" s="58"/>
      <c r="K32" s="58"/>
      <c r="L32" s="59"/>
      <c r="M32" s="52">
        <v>1793.0</v>
      </c>
      <c r="N32" s="46">
        <f t="shared" si="6"/>
        <v>139.7850498</v>
      </c>
    </row>
    <row r="33">
      <c r="A33" s="45">
        <v>20103.0</v>
      </c>
      <c r="B33" s="45" t="s">
        <v>90</v>
      </c>
      <c r="C33" s="46">
        <v>20062.0</v>
      </c>
      <c r="D33" s="47">
        <v>0.0</v>
      </c>
      <c r="E33" s="48">
        <v>10.4</v>
      </c>
      <c r="F33" s="49">
        <f t="shared" si="2"/>
        <v>6.3</v>
      </c>
      <c r="G33" s="49">
        <f t="shared" si="18"/>
        <v>0.7496302385</v>
      </c>
      <c r="H33" s="50">
        <f t="shared" si="4"/>
        <v>7.79615448</v>
      </c>
      <c r="I33" s="51">
        <f t="shared" si="5"/>
        <v>1564.064512</v>
      </c>
      <c r="J33" s="58"/>
      <c r="K33" s="58"/>
      <c r="L33" s="59"/>
      <c r="M33" s="52">
        <v>1299.0</v>
      </c>
      <c r="N33" s="46">
        <f t="shared" si="6"/>
        <v>101.2720467</v>
      </c>
    </row>
    <row r="34">
      <c r="A34" s="45">
        <v>20104.0</v>
      </c>
      <c r="B34" s="45" t="s">
        <v>91</v>
      </c>
      <c r="C34" s="46">
        <v>44208.0</v>
      </c>
      <c r="D34" s="47">
        <v>86.1</v>
      </c>
      <c r="E34" s="48">
        <v>10.4</v>
      </c>
      <c r="F34" s="49">
        <f t="shared" si="2"/>
        <v>9.0552</v>
      </c>
      <c r="G34" s="49">
        <f t="shared" si="18"/>
        <v>1.077468529</v>
      </c>
      <c r="H34" s="50">
        <f t="shared" si="4"/>
        <v>11.20567271</v>
      </c>
      <c r="I34" s="51">
        <f t="shared" si="5"/>
        <v>4953.80379</v>
      </c>
      <c r="J34" s="58"/>
      <c r="K34" s="58"/>
      <c r="L34" s="59"/>
      <c r="M34" s="52">
        <v>3169.0</v>
      </c>
      <c r="N34" s="46">
        <f t="shared" si="6"/>
        <v>355.1077681</v>
      </c>
    </row>
    <row r="35">
      <c r="A35" s="45">
        <v>20105.0</v>
      </c>
      <c r="B35" s="45" t="s">
        <v>92</v>
      </c>
      <c r="C35" s="46">
        <v>882711.0</v>
      </c>
      <c r="D35" s="47">
        <v>99.9</v>
      </c>
      <c r="E35" s="48">
        <v>10.4</v>
      </c>
      <c r="F35" s="49">
        <f t="shared" si="2"/>
        <v>9.4968</v>
      </c>
      <c r="G35" s="49">
        <f t="shared" si="18"/>
        <v>1.13001404</v>
      </c>
      <c r="H35" s="50">
        <f t="shared" si="4"/>
        <v>11.75214601</v>
      </c>
      <c r="I35" s="51">
        <f t="shared" si="5"/>
        <v>103737.4856</v>
      </c>
      <c r="J35" s="58"/>
      <c r="K35" s="58"/>
      <c r="L35" s="59"/>
      <c r="M35" s="52">
        <v>66294.0</v>
      </c>
      <c r="N35" s="46">
        <f t="shared" si="6"/>
        <v>7790.967676</v>
      </c>
    </row>
    <row r="36">
      <c r="A36" s="45">
        <v>20201.0</v>
      </c>
      <c r="B36" s="45" t="s">
        <v>93</v>
      </c>
      <c r="C36" s="46">
        <v>47157.0</v>
      </c>
      <c r="D36" s="47">
        <v>19.9</v>
      </c>
      <c r="E36" s="48">
        <v>10.4</v>
      </c>
      <c r="F36" s="49">
        <f t="shared" si="2"/>
        <v>6.9368</v>
      </c>
      <c r="G36" s="49">
        <f t="shared" si="18"/>
        <v>0.825402387</v>
      </c>
      <c r="H36" s="50">
        <f t="shared" si="4"/>
        <v>8.584184825</v>
      </c>
      <c r="I36" s="51">
        <f t="shared" si="5"/>
        <v>4048.044038</v>
      </c>
      <c r="J36" s="58"/>
      <c r="K36" s="58"/>
      <c r="L36" s="59"/>
      <c r="M36" s="52">
        <v>2944.0</v>
      </c>
      <c r="N36" s="46">
        <f t="shared" si="6"/>
        <v>252.7184013</v>
      </c>
    </row>
    <row r="37">
      <c r="A37" s="45">
        <v>20202.0</v>
      </c>
      <c r="B37" s="45" t="s">
        <v>94</v>
      </c>
      <c r="C37" s="46">
        <v>16635.0</v>
      </c>
      <c r="D37" s="47">
        <v>0.0</v>
      </c>
      <c r="E37" s="48">
        <v>10.4</v>
      </c>
      <c r="F37" s="49">
        <f t="shared" si="2"/>
        <v>6.3</v>
      </c>
      <c r="G37" s="49">
        <f t="shared" si="18"/>
        <v>0.7496302385</v>
      </c>
      <c r="H37" s="50">
        <f t="shared" si="4"/>
        <v>7.79615448</v>
      </c>
      <c r="I37" s="51">
        <f t="shared" si="5"/>
        <v>1296.890298</v>
      </c>
      <c r="J37" s="58"/>
      <c r="K37" s="58"/>
      <c r="L37" s="59"/>
      <c r="M37" s="52">
        <v>994.0</v>
      </c>
      <c r="N37" s="46">
        <f t="shared" si="6"/>
        <v>77.49377553</v>
      </c>
    </row>
    <row r="38">
      <c r="A38" s="45">
        <v>20203.0</v>
      </c>
      <c r="B38" s="45" t="s">
        <v>95</v>
      </c>
      <c r="C38" s="46">
        <v>7041.0</v>
      </c>
      <c r="D38" s="47">
        <v>0.0</v>
      </c>
      <c r="E38" s="48">
        <v>10.4</v>
      </c>
      <c r="F38" s="49">
        <f t="shared" si="2"/>
        <v>6.3</v>
      </c>
      <c r="G38" s="49">
        <f t="shared" si="18"/>
        <v>0.7496302385</v>
      </c>
      <c r="H38" s="50">
        <f t="shared" si="4"/>
        <v>7.79615448</v>
      </c>
      <c r="I38" s="51">
        <f t="shared" si="5"/>
        <v>548.927237</v>
      </c>
      <c r="J38" s="58"/>
      <c r="K38" s="58"/>
      <c r="L38" s="59"/>
      <c r="M38" s="52">
        <v>384.0</v>
      </c>
      <c r="N38" s="46">
        <f t="shared" si="6"/>
        <v>29.9372332</v>
      </c>
    </row>
    <row r="39">
      <c r="A39" s="45">
        <v>20204.0</v>
      </c>
      <c r="B39" s="45" t="s">
        <v>96</v>
      </c>
      <c r="C39" s="46">
        <v>8618.0</v>
      </c>
      <c r="D39" s="47">
        <v>0.0</v>
      </c>
      <c r="E39" s="48">
        <v>10.4</v>
      </c>
      <c r="F39" s="49">
        <f t="shared" si="2"/>
        <v>6.3</v>
      </c>
      <c r="G39" s="49">
        <f t="shared" si="18"/>
        <v>0.7496302385</v>
      </c>
      <c r="H39" s="50">
        <f t="shared" si="4"/>
        <v>7.79615448</v>
      </c>
      <c r="I39" s="51">
        <f t="shared" si="5"/>
        <v>671.8725931</v>
      </c>
      <c r="J39" s="58"/>
      <c r="K39" s="58"/>
      <c r="L39" s="59"/>
      <c r="M39" s="52">
        <v>473.0</v>
      </c>
      <c r="N39" s="46">
        <f t="shared" si="6"/>
        <v>36.87581069</v>
      </c>
    </row>
    <row r="40">
      <c r="A40" s="45">
        <v>20205.0</v>
      </c>
      <c r="B40" s="45" t="s">
        <v>97</v>
      </c>
      <c r="C40" s="46">
        <v>9227.0</v>
      </c>
      <c r="D40" s="47">
        <v>0.0</v>
      </c>
      <c r="E40" s="48">
        <v>10.4</v>
      </c>
      <c r="F40" s="49">
        <f t="shared" si="2"/>
        <v>6.3</v>
      </c>
      <c r="G40" s="49">
        <f t="shared" si="18"/>
        <v>0.7496302385</v>
      </c>
      <c r="H40" s="50">
        <f t="shared" si="4"/>
        <v>7.79615448</v>
      </c>
      <c r="I40" s="51">
        <f t="shared" si="5"/>
        <v>719.3511739</v>
      </c>
      <c r="J40" s="58"/>
      <c r="K40" s="58"/>
      <c r="L40" s="59"/>
      <c r="M40" s="52">
        <v>470.0</v>
      </c>
      <c r="N40" s="46">
        <f t="shared" si="6"/>
        <v>36.64192606</v>
      </c>
    </row>
    <row r="41">
      <c r="A41" s="45">
        <v>20206.0</v>
      </c>
      <c r="B41" s="45" t="s">
        <v>98</v>
      </c>
      <c r="C41" s="46">
        <v>5019.0</v>
      </c>
      <c r="D41" s="47">
        <v>0.0</v>
      </c>
      <c r="E41" s="48">
        <v>10.4</v>
      </c>
      <c r="F41" s="49">
        <f t="shared" si="2"/>
        <v>6.3</v>
      </c>
      <c r="G41" s="49">
        <f t="shared" si="18"/>
        <v>0.7496302385</v>
      </c>
      <c r="H41" s="50">
        <f t="shared" si="4"/>
        <v>7.79615448</v>
      </c>
      <c r="I41" s="51">
        <f t="shared" si="5"/>
        <v>391.2889934</v>
      </c>
      <c r="J41" s="58"/>
      <c r="K41" s="58"/>
      <c r="L41" s="59"/>
      <c r="M41" s="52">
        <v>299.0</v>
      </c>
      <c r="N41" s="46">
        <f t="shared" si="6"/>
        <v>23.3105019</v>
      </c>
    </row>
    <row r="42">
      <c r="A42" s="45">
        <v>20301.0</v>
      </c>
      <c r="B42" s="45" t="s">
        <v>99</v>
      </c>
      <c r="C42" s="46">
        <v>13309.0</v>
      </c>
      <c r="D42" s="47">
        <v>16.3</v>
      </c>
      <c r="E42" s="48">
        <v>10.4</v>
      </c>
      <c r="F42" s="49">
        <f t="shared" si="2"/>
        <v>6.8216</v>
      </c>
      <c r="G42" s="49">
        <f t="shared" si="18"/>
        <v>0.8116948627</v>
      </c>
      <c r="H42" s="50">
        <f t="shared" si="4"/>
        <v>8.441626572</v>
      </c>
      <c r="I42" s="51">
        <f t="shared" si="5"/>
        <v>1123.49608</v>
      </c>
      <c r="J42" s="58"/>
      <c r="K42" s="58"/>
      <c r="L42" s="59"/>
      <c r="M42" s="52">
        <v>894.0</v>
      </c>
      <c r="N42" s="46">
        <f t="shared" si="6"/>
        <v>75.46814155</v>
      </c>
    </row>
    <row r="43">
      <c r="A43" s="45">
        <v>20302.0</v>
      </c>
      <c r="B43" s="45" t="s">
        <v>100</v>
      </c>
      <c r="C43" s="46">
        <v>15496.0</v>
      </c>
      <c r="D43" s="47">
        <v>0.0</v>
      </c>
      <c r="E43" s="48">
        <v>10.4</v>
      </c>
      <c r="F43" s="49">
        <f t="shared" si="2"/>
        <v>6.3</v>
      </c>
      <c r="G43" s="49">
        <f t="shared" si="18"/>
        <v>0.7496302385</v>
      </c>
      <c r="H43" s="50">
        <f t="shared" si="4"/>
        <v>7.79615448</v>
      </c>
      <c r="I43" s="51">
        <f t="shared" si="5"/>
        <v>1208.092098</v>
      </c>
      <c r="J43" s="58"/>
      <c r="K43" s="58"/>
      <c r="L43" s="59"/>
      <c r="M43" s="52">
        <v>1058.0</v>
      </c>
      <c r="N43" s="46">
        <f t="shared" si="6"/>
        <v>82.4833144</v>
      </c>
    </row>
    <row r="44">
      <c r="A44" s="45">
        <v>20303.0</v>
      </c>
      <c r="B44" s="45" t="s">
        <v>101</v>
      </c>
      <c r="C44" s="46">
        <v>12024.0</v>
      </c>
      <c r="D44" s="47">
        <v>0.0</v>
      </c>
      <c r="E44" s="48">
        <v>10.4</v>
      </c>
      <c r="F44" s="49">
        <f t="shared" si="2"/>
        <v>6.3</v>
      </c>
      <c r="G44" s="49">
        <f t="shared" si="18"/>
        <v>0.7496302385</v>
      </c>
      <c r="H44" s="50">
        <f t="shared" si="4"/>
        <v>7.79615448</v>
      </c>
      <c r="I44" s="51">
        <f t="shared" si="5"/>
        <v>937.4096147</v>
      </c>
      <c r="J44" s="58"/>
      <c r="K44" s="58"/>
      <c r="L44" s="59"/>
      <c r="M44" s="52">
        <v>775.0</v>
      </c>
      <c r="N44" s="46">
        <f t="shared" si="6"/>
        <v>60.42019722</v>
      </c>
    </row>
    <row r="45">
      <c r="A45" s="45">
        <v>20304.0</v>
      </c>
      <c r="B45" s="45" t="s">
        <v>102</v>
      </c>
      <c r="C45" s="46">
        <v>5125.0</v>
      </c>
      <c r="D45" s="47">
        <v>0.0</v>
      </c>
      <c r="E45" s="48">
        <v>10.4</v>
      </c>
      <c r="F45" s="49">
        <f t="shared" si="2"/>
        <v>6.3</v>
      </c>
      <c r="G45" s="49">
        <f t="shared" si="18"/>
        <v>0.7496302385</v>
      </c>
      <c r="H45" s="50">
        <f t="shared" si="4"/>
        <v>7.79615448</v>
      </c>
      <c r="I45" s="51">
        <f t="shared" si="5"/>
        <v>399.5529171</v>
      </c>
      <c r="J45" s="58"/>
      <c r="K45" s="58"/>
      <c r="L45" s="59"/>
      <c r="M45" s="52">
        <v>372.0</v>
      </c>
      <c r="N45" s="46">
        <f t="shared" si="6"/>
        <v>29.00169467</v>
      </c>
    </row>
    <row r="46">
      <c r="A46" s="45">
        <v>20305.0</v>
      </c>
      <c r="B46" s="45" t="s">
        <v>103</v>
      </c>
      <c r="C46" s="46">
        <v>4140.0</v>
      </c>
      <c r="D46" s="47">
        <v>0.0</v>
      </c>
      <c r="E46" s="48">
        <v>10.4</v>
      </c>
      <c r="F46" s="49">
        <f t="shared" si="2"/>
        <v>6.3</v>
      </c>
      <c r="G46" s="49">
        <f t="shared" si="18"/>
        <v>0.7496302385</v>
      </c>
      <c r="H46" s="50">
        <f t="shared" si="4"/>
        <v>7.79615448</v>
      </c>
      <c r="I46" s="51">
        <f t="shared" si="5"/>
        <v>322.7607955</v>
      </c>
      <c r="J46" s="58"/>
      <c r="K46" s="58"/>
      <c r="L46" s="59"/>
      <c r="M46" s="52">
        <v>288.0</v>
      </c>
      <c r="N46" s="46">
        <f t="shared" si="6"/>
        <v>22.4529249</v>
      </c>
    </row>
    <row r="47">
      <c r="A47" s="45">
        <v>20306.0</v>
      </c>
      <c r="B47" s="45" t="s">
        <v>104</v>
      </c>
      <c r="C47" s="46">
        <v>6328.0</v>
      </c>
      <c r="D47" s="47">
        <v>31.8</v>
      </c>
      <c r="E47" s="48">
        <v>10.4</v>
      </c>
      <c r="F47" s="49">
        <f t="shared" si="2"/>
        <v>7.3176</v>
      </c>
      <c r="G47" s="49">
        <f t="shared" si="18"/>
        <v>0.8707133703</v>
      </c>
      <c r="H47" s="50">
        <f t="shared" si="4"/>
        <v>9.055419052</v>
      </c>
      <c r="I47" s="51">
        <f t="shared" si="5"/>
        <v>573.0269176</v>
      </c>
      <c r="J47" s="58"/>
      <c r="K47" s="58"/>
      <c r="L47" s="59"/>
      <c r="M47" s="52">
        <v>372.0</v>
      </c>
      <c r="N47" s="46">
        <f t="shared" si="6"/>
        <v>33.68615887</v>
      </c>
    </row>
    <row r="48">
      <c r="A48" s="45">
        <v>20307.0</v>
      </c>
      <c r="B48" s="45" t="s">
        <v>105</v>
      </c>
      <c r="C48" s="46">
        <v>3738.416667</v>
      </c>
      <c r="D48" s="47">
        <v>0.0</v>
      </c>
      <c r="E48" s="48">
        <v>10.4</v>
      </c>
      <c r="F48" s="49">
        <f t="shared" si="2"/>
        <v>6.3</v>
      </c>
      <c r="G48" s="49">
        <f t="shared" si="18"/>
        <v>0.7496302385</v>
      </c>
      <c r="H48" s="50">
        <f t="shared" si="4"/>
        <v>7.79615448</v>
      </c>
      <c r="I48" s="51">
        <f t="shared" si="5"/>
        <v>291.4527385</v>
      </c>
      <c r="J48" s="58"/>
      <c r="K48" s="58"/>
      <c r="L48" s="59"/>
      <c r="M48" s="52">
        <v>247.0</v>
      </c>
      <c r="N48" s="46">
        <f t="shared" si="6"/>
        <v>19.25650157</v>
      </c>
    </row>
    <row r="49">
      <c r="A49" s="45">
        <v>20308.0</v>
      </c>
      <c r="B49" s="45" t="s">
        <v>106</v>
      </c>
      <c r="C49" s="46">
        <v>7975.0</v>
      </c>
      <c r="D49" s="47">
        <v>0.0</v>
      </c>
      <c r="E49" s="48">
        <v>10.4</v>
      </c>
      <c r="F49" s="49">
        <f t="shared" si="2"/>
        <v>6.3</v>
      </c>
      <c r="G49" s="49">
        <f t="shared" si="18"/>
        <v>0.7496302385</v>
      </c>
      <c r="H49" s="50">
        <f t="shared" si="4"/>
        <v>7.79615448</v>
      </c>
      <c r="I49" s="51">
        <f t="shared" si="5"/>
        <v>621.7433198</v>
      </c>
      <c r="J49" s="58"/>
      <c r="K49" s="58"/>
      <c r="L49" s="59"/>
      <c r="M49" s="52">
        <v>461.0</v>
      </c>
      <c r="N49" s="46">
        <f t="shared" si="6"/>
        <v>35.94027215</v>
      </c>
    </row>
    <row r="50">
      <c r="A50" s="45">
        <v>20401.0</v>
      </c>
      <c r="B50" s="45" t="s">
        <v>107</v>
      </c>
      <c r="C50" s="46">
        <v>13785.0</v>
      </c>
      <c r="D50" s="47">
        <v>0.0</v>
      </c>
      <c r="E50" s="48">
        <v>10.4</v>
      </c>
      <c r="F50" s="49">
        <f t="shared" si="2"/>
        <v>6.3</v>
      </c>
      <c r="G50" s="49">
        <f t="shared" si="18"/>
        <v>0.7496302385</v>
      </c>
      <c r="H50" s="50">
        <f t="shared" si="4"/>
        <v>7.79615448</v>
      </c>
      <c r="I50" s="51">
        <f t="shared" si="5"/>
        <v>1074.699895</v>
      </c>
      <c r="J50" s="58"/>
      <c r="K50" s="58"/>
      <c r="L50" s="59"/>
      <c r="M50" s="52">
        <v>729.0</v>
      </c>
      <c r="N50" s="46">
        <f t="shared" si="6"/>
        <v>56.83396616</v>
      </c>
    </row>
    <row r="51">
      <c r="A51" s="45">
        <v>20402.0</v>
      </c>
      <c r="B51" s="45" t="s">
        <v>108</v>
      </c>
      <c r="C51" s="46">
        <v>17632.0</v>
      </c>
      <c r="D51" s="47">
        <v>0.0</v>
      </c>
      <c r="E51" s="48">
        <v>10.4</v>
      </c>
      <c r="F51" s="49">
        <f t="shared" si="2"/>
        <v>6.3</v>
      </c>
      <c r="G51" s="49">
        <f t="shared" si="18"/>
        <v>0.7496302385</v>
      </c>
      <c r="H51" s="50">
        <f t="shared" si="4"/>
        <v>7.79615448</v>
      </c>
      <c r="I51" s="51">
        <f t="shared" si="5"/>
        <v>1374.617958</v>
      </c>
      <c r="J51" s="58"/>
      <c r="K51" s="58"/>
      <c r="L51" s="59"/>
      <c r="M51" s="52">
        <v>1041.0</v>
      </c>
      <c r="N51" s="46">
        <f t="shared" si="6"/>
        <v>81.15796814</v>
      </c>
    </row>
    <row r="52">
      <c r="A52" s="45">
        <v>20403.0</v>
      </c>
      <c r="B52" s="45" t="s">
        <v>109</v>
      </c>
      <c r="C52" s="46">
        <v>17107.0</v>
      </c>
      <c r="D52" s="47">
        <v>0.0</v>
      </c>
      <c r="E52" s="48">
        <v>10.4</v>
      </c>
      <c r="F52" s="49">
        <f t="shared" si="2"/>
        <v>6.3</v>
      </c>
      <c r="G52" s="49">
        <f t="shared" si="18"/>
        <v>0.7496302385</v>
      </c>
      <c r="H52" s="50">
        <f t="shared" si="4"/>
        <v>7.79615448</v>
      </c>
      <c r="I52" s="51">
        <f t="shared" si="5"/>
        <v>1333.688147</v>
      </c>
      <c r="J52" s="58"/>
      <c r="K52" s="58"/>
      <c r="L52" s="59"/>
      <c r="M52" s="52">
        <v>995.0</v>
      </c>
      <c r="N52" s="46">
        <f t="shared" si="6"/>
        <v>77.57173708</v>
      </c>
    </row>
    <row r="53">
      <c r="A53" s="45">
        <v>20404.0</v>
      </c>
      <c r="B53" s="45" t="s">
        <v>110</v>
      </c>
      <c r="C53" s="46">
        <v>5632.0</v>
      </c>
      <c r="D53" s="47">
        <v>0.0</v>
      </c>
      <c r="E53" s="48">
        <v>10.4</v>
      </c>
      <c r="F53" s="49">
        <f t="shared" si="2"/>
        <v>6.3</v>
      </c>
      <c r="G53" s="49">
        <f t="shared" si="18"/>
        <v>0.7496302385</v>
      </c>
      <c r="H53" s="50">
        <f t="shared" si="4"/>
        <v>7.79615448</v>
      </c>
      <c r="I53" s="51">
        <f t="shared" si="5"/>
        <v>439.0794203</v>
      </c>
      <c r="J53" s="58"/>
      <c r="K53" s="58"/>
      <c r="L53" s="59"/>
      <c r="M53" s="52">
        <v>352.0</v>
      </c>
      <c r="N53" s="46">
        <f t="shared" si="6"/>
        <v>27.44246377</v>
      </c>
    </row>
    <row r="54">
      <c r="A54" s="45">
        <v>20405.0</v>
      </c>
      <c r="B54" s="45" t="s">
        <v>111</v>
      </c>
      <c r="C54" s="46">
        <v>8699.0</v>
      </c>
      <c r="D54" s="47">
        <v>0.0</v>
      </c>
      <c r="E54" s="48">
        <v>10.4</v>
      </c>
      <c r="F54" s="49">
        <f t="shared" si="2"/>
        <v>6.3</v>
      </c>
      <c r="G54" s="49">
        <f t="shared" si="18"/>
        <v>0.7496302385</v>
      </c>
      <c r="H54" s="50">
        <f t="shared" si="4"/>
        <v>7.79615448</v>
      </c>
      <c r="I54" s="51">
        <f t="shared" si="5"/>
        <v>678.1874782</v>
      </c>
      <c r="J54" s="58"/>
      <c r="K54" s="58"/>
      <c r="L54" s="59"/>
      <c r="M54" s="52">
        <v>450.0</v>
      </c>
      <c r="N54" s="46">
        <f t="shared" si="6"/>
        <v>35.08269516</v>
      </c>
    </row>
    <row r="55">
      <c r="A55" s="45">
        <v>20501.0</v>
      </c>
      <c r="B55" s="45" t="s">
        <v>112</v>
      </c>
      <c r="C55" s="46">
        <v>17300.0</v>
      </c>
      <c r="D55" s="47">
        <v>0.0</v>
      </c>
      <c r="E55" s="48">
        <v>10.4</v>
      </c>
      <c r="F55" s="49">
        <f t="shared" si="2"/>
        <v>6.3</v>
      </c>
      <c r="G55" s="49">
        <f t="shared" si="18"/>
        <v>0.7496302385</v>
      </c>
      <c r="H55" s="50">
        <f t="shared" si="4"/>
        <v>7.79615448</v>
      </c>
      <c r="I55" s="51">
        <f t="shared" si="5"/>
        <v>1348.734725</v>
      </c>
      <c r="J55" s="58"/>
      <c r="K55" s="58"/>
      <c r="L55" s="59"/>
      <c r="M55" s="52">
        <v>1348.0</v>
      </c>
      <c r="N55" s="46">
        <f t="shared" si="6"/>
        <v>105.0921624</v>
      </c>
    </row>
    <row r="56">
      <c r="A56" s="45">
        <v>20502.0</v>
      </c>
      <c r="B56" s="45" t="s">
        <v>113</v>
      </c>
      <c r="C56" s="46">
        <v>8977.0</v>
      </c>
      <c r="D56" s="47">
        <v>0.0</v>
      </c>
      <c r="E56" s="48">
        <v>10.4</v>
      </c>
      <c r="F56" s="49">
        <f t="shared" si="2"/>
        <v>6.3</v>
      </c>
      <c r="G56" s="49">
        <f t="shared" si="18"/>
        <v>0.7496302385</v>
      </c>
      <c r="H56" s="50">
        <f t="shared" si="4"/>
        <v>7.79615448</v>
      </c>
      <c r="I56" s="51">
        <f t="shared" si="5"/>
        <v>699.8607877</v>
      </c>
      <c r="J56" s="58"/>
      <c r="K56" s="58"/>
      <c r="L56" s="59"/>
      <c r="M56" s="52">
        <v>707.0</v>
      </c>
      <c r="N56" s="46">
        <f t="shared" si="6"/>
        <v>55.11881218</v>
      </c>
    </row>
    <row r="57">
      <c r="A57" s="45">
        <v>20503.0</v>
      </c>
      <c r="B57" s="45" t="s">
        <v>114</v>
      </c>
      <c r="C57" s="46">
        <v>6619.0</v>
      </c>
      <c r="D57" s="47">
        <v>0.0</v>
      </c>
      <c r="E57" s="48">
        <v>10.4</v>
      </c>
      <c r="F57" s="49">
        <f t="shared" si="2"/>
        <v>6.3</v>
      </c>
      <c r="G57" s="49">
        <f t="shared" si="18"/>
        <v>0.7496302385</v>
      </c>
      <c r="H57" s="50">
        <f t="shared" si="4"/>
        <v>7.79615448</v>
      </c>
      <c r="I57" s="51">
        <f t="shared" si="5"/>
        <v>516.0274651</v>
      </c>
      <c r="J57" s="58"/>
      <c r="K57" s="58"/>
      <c r="L57" s="59"/>
      <c r="M57" s="52">
        <v>591.0</v>
      </c>
      <c r="N57" s="46">
        <f t="shared" si="6"/>
        <v>46.07527298</v>
      </c>
    </row>
    <row r="58">
      <c r="A58" s="45">
        <v>20601.0</v>
      </c>
      <c r="B58" s="45" t="s">
        <v>115</v>
      </c>
      <c r="C58" s="46">
        <v>29535.0</v>
      </c>
      <c r="D58" s="47">
        <v>13.0</v>
      </c>
      <c r="E58" s="48">
        <v>10.4</v>
      </c>
      <c r="F58" s="49">
        <f t="shared" si="2"/>
        <v>6.716</v>
      </c>
      <c r="G58" s="49">
        <f t="shared" si="18"/>
        <v>0.799129632</v>
      </c>
      <c r="H58" s="50">
        <f t="shared" si="4"/>
        <v>8.310948173</v>
      </c>
      <c r="I58" s="51">
        <f t="shared" si="5"/>
        <v>2454.638543</v>
      </c>
      <c r="J58" s="58"/>
      <c r="K58" s="58"/>
      <c r="L58" s="59"/>
      <c r="M58" s="52">
        <v>2326.0</v>
      </c>
      <c r="N58" s="46">
        <f t="shared" si="6"/>
        <v>193.3126545</v>
      </c>
    </row>
    <row r="59">
      <c r="A59" s="45">
        <v>20602.0</v>
      </c>
      <c r="B59" s="45" t="s">
        <v>116</v>
      </c>
      <c r="C59" s="46">
        <v>16253.0</v>
      </c>
      <c r="D59" s="47">
        <v>27.8</v>
      </c>
      <c r="E59" s="48">
        <v>10.4</v>
      </c>
      <c r="F59" s="49">
        <f t="shared" si="2"/>
        <v>7.1896</v>
      </c>
      <c r="G59" s="49">
        <f t="shared" si="18"/>
        <v>0.8554827877</v>
      </c>
      <c r="H59" s="50">
        <f t="shared" si="4"/>
        <v>8.897020992</v>
      </c>
      <c r="I59" s="51">
        <f t="shared" si="5"/>
        <v>1446.032822</v>
      </c>
      <c r="J59" s="58"/>
      <c r="K59" s="58"/>
      <c r="L59" s="59"/>
      <c r="M59" s="52">
        <v>1382.0</v>
      </c>
      <c r="N59" s="46">
        <f t="shared" si="6"/>
        <v>122.9568301</v>
      </c>
    </row>
    <row r="60">
      <c r="A60" s="45">
        <v>20603.0</v>
      </c>
      <c r="B60" s="45" t="s">
        <v>117</v>
      </c>
      <c r="C60" s="46">
        <v>9629.0</v>
      </c>
      <c r="D60" s="47">
        <v>0.0</v>
      </c>
      <c r="E60" s="48">
        <v>10.4</v>
      </c>
      <c r="F60" s="49">
        <f t="shared" si="2"/>
        <v>6.3</v>
      </c>
      <c r="G60" s="49">
        <f t="shared" si="18"/>
        <v>0.7496302385</v>
      </c>
      <c r="H60" s="50">
        <f t="shared" si="4"/>
        <v>7.79615448</v>
      </c>
      <c r="I60" s="51">
        <f t="shared" si="5"/>
        <v>750.6917149</v>
      </c>
      <c r="J60" s="58"/>
      <c r="K60" s="58"/>
      <c r="L60" s="59"/>
      <c r="M60" s="52">
        <v>810.0</v>
      </c>
      <c r="N60" s="46">
        <f t="shared" si="6"/>
        <v>63.14885129</v>
      </c>
    </row>
    <row r="61">
      <c r="A61" s="45">
        <v>20604.0</v>
      </c>
      <c r="B61" s="45" t="s">
        <v>118</v>
      </c>
      <c r="C61" s="46">
        <v>4096.0</v>
      </c>
      <c r="D61" s="47">
        <v>0.0</v>
      </c>
      <c r="E61" s="48">
        <v>10.4</v>
      </c>
      <c r="F61" s="49">
        <f t="shared" si="2"/>
        <v>6.3</v>
      </c>
      <c r="G61" s="49">
        <f t="shared" si="18"/>
        <v>0.7496302385</v>
      </c>
      <c r="H61" s="50">
        <f t="shared" si="4"/>
        <v>7.79615448</v>
      </c>
      <c r="I61" s="51">
        <f t="shared" si="5"/>
        <v>319.3304875</v>
      </c>
      <c r="J61" s="58"/>
      <c r="K61" s="58"/>
      <c r="L61" s="59"/>
      <c r="M61" s="52">
        <v>371.0</v>
      </c>
      <c r="N61" s="46">
        <f t="shared" si="6"/>
        <v>28.92373312</v>
      </c>
    </row>
    <row r="62">
      <c r="A62" s="45">
        <v>20605.0</v>
      </c>
      <c r="B62" s="45" t="s">
        <v>119</v>
      </c>
      <c r="C62" s="46">
        <v>3546.0</v>
      </c>
      <c r="D62" s="47">
        <v>0.0</v>
      </c>
      <c r="E62" s="48">
        <v>10.4</v>
      </c>
      <c r="F62" s="49">
        <f t="shared" si="2"/>
        <v>6.3</v>
      </c>
      <c r="G62" s="49">
        <f t="shared" si="18"/>
        <v>0.7496302385</v>
      </c>
      <c r="H62" s="50">
        <f t="shared" si="4"/>
        <v>7.79615448</v>
      </c>
      <c r="I62" s="51">
        <f t="shared" si="5"/>
        <v>276.4516379</v>
      </c>
      <c r="J62" s="58"/>
      <c r="K62" s="58"/>
      <c r="L62" s="59"/>
      <c r="M62" s="52">
        <v>218.0</v>
      </c>
      <c r="N62" s="46">
        <f t="shared" si="6"/>
        <v>16.99561677</v>
      </c>
    </row>
    <row r="63">
      <c r="A63" s="45">
        <v>20606.0</v>
      </c>
      <c r="B63" s="45" t="s">
        <v>120</v>
      </c>
      <c r="C63" s="46">
        <v>7905.0</v>
      </c>
      <c r="D63" s="47">
        <v>30.0</v>
      </c>
      <c r="E63" s="48">
        <v>10.4</v>
      </c>
      <c r="F63" s="49">
        <f t="shared" si="2"/>
        <v>7.26</v>
      </c>
      <c r="G63" s="49">
        <f t="shared" si="18"/>
        <v>0.8638596082</v>
      </c>
      <c r="H63" s="50">
        <f t="shared" si="4"/>
        <v>8.984139925</v>
      </c>
      <c r="I63" s="51">
        <f t="shared" si="5"/>
        <v>710.1962611</v>
      </c>
      <c r="J63" s="58"/>
      <c r="K63" s="58"/>
      <c r="L63" s="59"/>
      <c r="M63" s="52">
        <v>708.0</v>
      </c>
      <c r="N63" s="46">
        <f t="shared" si="6"/>
        <v>63.60771067</v>
      </c>
    </row>
    <row r="64">
      <c r="A64" s="45">
        <v>20607.0</v>
      </c>
      <c r="B64" s="45" t="s">
        <v>121</v>
      </c>
      <c r="C64" s="46">
        <v>21180.0</v>
      </c>
      <c r="D64" s="47">
        <v>47.0</v>
      </c>
      <c r="E64" s="48">
        <v>10.4</v>
      </c>
      <c r="F64" s="49">
        <f t="shared" si="2"/>
        <v>7.804</v>
      </c>
      <c r="G64" s="49">
        <f t="shared" si="18"/>
        <v>0.9285895843</v>
      </c>
      <c r="H64" s="50">
        <f t="shared" si="4"/>
        <v>9.657331677</v>
      </c>
      <c r="I64" s="51">
        <f t="shared" si="5"/>
        <v>2045.422849</v>
      </c>
      <c r="J64" s="58"/>
      <c r="K64" s="58"/>
      <c r="L64" s="59"/>
      <c r="M64" s="52">
        <v>1972.0</v>
      </c>
      <c r="N64" s="46">
        <f t="shared" si="6"/>
        <v>190.4425807</v>
      </c>
    </row>
    <row r="65">
      <c r="A65" s="45">
        <v>20608.0</v>
      </c>
      <c r="B65" s="45" t="s">
        <v>122</v>
      </c>
      <c r="C65" s="46">
        <v>13043.0</v>
      </c>
      <c r="D65" s="47">
        <v>20.3</v>
      </c>
      <c r="E65" s="48">
        <v>10.4</v>
      </c>
      <c r="F65" s="49">
        <f t="shared" si="2"/>
        <v>6.9496</v>
      </c>
      <c r="G65" s="49">
        <f t="shared" si="18"/>
        <v>0.8269254453</v>
      </c>
      <c r="H65" s="50">
        <f t="shared" si="4"/>
        <v>8.600024631</v>
      </c>
      <c r="I65" s="51">
        <f t="shared" si="5"/>
        <v>1121.701213</v>
      </c>
      <c r="J65" s="58"/>
      <c r="K65" s="58"/>
      <c r="L65" s="59"/>
      <c r="M65" s="52">
        <v>1170.0</v>
      </c>
      <c r="N65" s="46">
        <f t="shared" si="6"/>
        <v>100.6202882</v>
      </c>
    </row>
    <row r="66">
      <c r="A66" s="45">
        <v>20701.0</v>
      </c>
      <c r="B66" s="45" t="s">
        <v>123</v>
      </c>
      <c r="C66" s="46">
        <v>19252.0</v>
      </c>
      <c r="D66" s="47">
        <v>29.7</v>
      </c>
      <c r="E66" s="48">
        <v>10.4</v>
      </c>
      <c r="F66" s="49">
        <f t="shared" si="2"/>
        <v>7.2504</v>
      </c>
      <c r="G66" s="49">
        <f t="shared" si="18"/>
        <v>0.8627173145</v>
      </c>
      <c r="H66" s="50">
        <f t="shared" si="4"/>
        <v>8.97226007</v>
      </c>
      <c r="I66" s="51">
        <f t="shared" si="5"/>
        <v>1727.339509</v>
      </c>
      <c r="J66" s="58"/>
      <c r="K66" s="58"/>
      <c r="L66" s="59"/>
      <c r="M66" s="52">
        <v>1978.0</v>
      </c>
      <c r="N66" s="46">
        <f t="shared" si="6"/>
        <v>177.4713042</v>
      </c>
    </row>
    <row r="67">
      <c r="A67" s="45">
        <v>20702.0</v>
      </c>
      <c r="B67" s="45" t="s">
        <v>124</v>
      </c>
      <c r="C67" s="46">
        <v>8870.0</v>
      </c>
      <c r="D67" s="47">
        <v>0.0</v>
      </c>
      <c r="E67" s="48">
        <v>10.4</v>
      </c>
      <c r="F67" s="49">
        <f t="shared" si="2"/>
        <v>6.3</v>
      </c>
      <c r="G67" s="49">
        <f t="shared" si="18"/>
        <v>0.7496302385</v>
      </c>
      <c r="H67" s="50">
        <f t="shared" si="4"/>
        <v>7.79615448</v>
      </c>
      <c r="I67" s="51">
        <f t="shared" si="5"/>
        <v>691.5189024</v>
      </c>
      <c r="J67" s="58"/>
      <c r="K67" s="58"/>
      <c r="L67" s="59"/>
      <c r="M67" s="52">
        <v>728.0</v>
      </c>
      <c r="N67" s="46">
        <f t="shared" si="6"/>
        <v>56.75600462</v>
      </c>
    </row>
    <row r="68">
      <c r="A68" s="45">
        <v>20801.0</v>
      </c>
      <c r="B68" s="45" t="s">
        <v>125</v>
      </c>
      <c r="C68" s="46">
        <v>110818.0</v>
      </c>
      <c r="D68" s="47">
        <v>80.1</v>
      </c>
      <c r="E68" s="48">
        <v>10.4</v>
      </c>
      <c r="F68" s="49">
        <f t="shared" si="2"/>
        <v>8.8632</v>
      </c>
      <c r="G68" s="49">
        <f t="shared" si="18"/>
        <v>1.054622656</v>
      </c>
      <c r="H68" s="50">
        <f t="shared" si="4"/>
        <v>10.96807562</v>
      </c>
      <c r="I68" s="51">
        <f t="shared" si="5"/>
        <v>12154.60204</v>
      </c>
      <c r="J68" s="58"/>
      <c r="K68" s="58"/>
      <c r="L68" s="59"/>
      <c r="M68" s="52">
        <v>8239.0</v>
      </c>
      <c r="N68" s="46">
        <f t="shared" si="6"/>
        <v>903.6597501</v>
      </c>
    </row>
    <row r="69">
      <c r="A69" s="45">
        <v>20802.0</v>
      </c>
      <c r="B69" s="45" t="s">
        <v>126</v>
      </c>
      <c r="C69" s="46">
        <v>8483.0</v>
      </c>
      <c r="D69" s="47">
        <v>0.0</v>
      </c>
      <c r="E69" s="48">
        <v>10.4</v>
      </c>
      <c r="F69" s="49">
        <f t="shared" si="2"/>
        <v>6.3</v>
      </c>
      <c r="G69" s="49">
        <f t="shared" si="18"/>
        <v>0.7496302385</v>
      </c>
      <c r="H69" s="50">
        <f t="shared" si="4"/>
        <v>7.79615448</v>
      </c>
      <c r="I69" s="51">
        <f t="shared" si="5"/>
        <v>661.3477846</v>
      </c>
      <c r="J69" s="58"/>
      <c r="K69" s="58"/>
      <c r="L69" s="59"/>
      <c r="M69" s="52">
        <v>479.0</v>
      </c>
      <c r="N69" s="46">
        <f t="shared" si="6"/>
        <v>37.34357996</v>
      </c>
    </row>
    <row r="70">
      <c r="A70" s="45">
        <v>20803.0</v>
      </c>
      <c r="B70" s="45" t="s">
        <v>127</v>
      </c>
      <c r="C70" s="46">
        <v>13526.0</v>
      </c>
      <c r="D70" s="47">
        <v>1.4</v>
      </c>
      <c r="E70" s="48">
        <v>10.4</v>
      </c>
      <c r="F70" s="49">
        <f t="shared" si="2"/>
        <v>6.3448</v>
      </c>
      <c r="G70" s="49">
        <f t="shared" si="18"/>
        <v>0.7549609424</v>
      </c>
      <c r="H70" s="50">
        <f t="shared" si="4"/>
        <v>7.851593801</v>
      </c>
      <c r="I70" s="51">
        <f t="shared" si="5"/>
        <v>1062.006578</v>
      </c>
      <c r="J70" s="58"/>
      <c r="K70" s="58"/>
      <c r="L70" s="59"/>
      <c r="M70" s="52">
        <v>948.0</v>
      </c>
      <c r="N70" s="46">
        <f t="shared" si="6"/>
        <v>74.43310923</v>
      </c>
    </row>
    <row r="71">
      <c r="A71" s="45">
        <v>20804.0</v>
      </c>
      <c r="B71" s="45" t="s">
        <v>128</v>
      </c>
      <c r="C71" s="46">
        <v>7821.0</v>
      </c>
      <c r="D71" s="47">
        <v>61.8</v>
      </c>
      <c r="E71" s="48">
        <v>10.4</v>
      </c>
      <c r="F71" s="49">
        <f t="shared" si="2"/>
        <v>8.2776</v>
      </c>
      <c r="G71" s="49">
        <f t="shared" si="18"/>
        <v>0.98494274</v>
      </c>
      <c r="H71" s="50">
        <f t="shared" si="4"/>
        <v>10.2434045</v>
      </c>
      <c r="I71" s="51">
        <f t="shared" si="5"/>
        <v>801.1366657</v>
      </c>
      <c r="J71" s="58"/>
      <c r="K71" s="58"/>
      <c r="L71" s="59"/>
      <c r="M71" s="52">
        <v>530.0</v>
      </c>
      <c r="N71" s="46">
        <f t="shared" si="6"/>
        <v>54.29004383</v>
      </c>
    </row>
    <row r="72">
      <c r="A72" s="45">
        <v>20805.0</v>
      </c>
      <c r="B72" s="45" t="s">
        <v>129</v>
      </c>
      <c r="C72" s="46">
        <v>7787.0</v>
      </c>
      <c r="D72" s="47">
        <v>0.0</v>
      </c>
      <c r="E72" s="48">
        <v>10.4</v>
      </c>
      <c r="F72" s="49">
        <f t="shared" si="2"/>
        <v>6.3</v>
      </c>
      <c r="G72" s="49">
        <f t="shared" si="18"/>
        <v>0.7496302385</v>
      </c>
      <c r="H72" s="50">
        <f t="shared" si="4"/>
        <v>7.79615448</v>
      </c>
      <c r="I72" s="51">
        <f t="shared" si="5"/>
        <v>607.0865494</v>
      </c>
      <c r="J72" s="58"/>
      <c r="K72" s="58"/>
      <c r="L72" s="59"/>
      <c r="M72" s="52">
        <v>464.0</v>
      </c>
      <c r="N72" s="46">
        <f t="shared" si="6"/>
        <v>36.17415679</v>
      </c>
    </row>
    <row r="73">
      <c r="A73" s="45">
        <v>20806.0</v>
      </c>
      <c r="B73" s="45" t="s">
        <v>130</v>
      </c>
      <c r="C73" s="46">
        <v>16851.0</v>
      </c>
      <c r="D73" s="47">
        <v>0.0</v>
      </c>
      <c r="E73" s="48">
        <v>10.4</v>
      </c>
      <c r="F73" s="49">
        <f t="shared" si="2"/>
        <v>6.3</v>
      </c>
      <c r="G73" s="49">
        <f t="shared" si="18"/>
        <v>0.7496302385</v>
      </c>
      <c r="H73" s="50">
        <f t="shared" si="4"/>
        <v>7.79615448</v>
      </c>
      <c r="I73" s="51">
        <f t="shared" si="5"/>
        <v>1313.729991</v>
      </c>
      <c r="J73" s="58"/>
      <c r="K73" s="58"/>
      <c r="L73" s="59"/>
      <c r="M73" s="52">
        <v>1145.0</v>
      </c>
      <c r="N73" s="46">
        <f t="shared" si="6"/>
        <v>89.2659688</v>
      </c>
    </row>
    <row r="74">
      <c r="A74" s="45">
        <v>20807.0</v>
      </c>
      <c r="B74" s="45" t="s">
        <v>131</v>
      </c>
      <c r="C74" s="46">
        <v>7462.0</v>
      </c>
      <c r="D74" s="47">
        <v>0.0</v>
      </c>
      <c r="E74" s="48">
        <v>10.4</v>
      </c>
      <c r="F74" s="49">
        <f t="shared" si="2"/>
        <v>6.3</v>
      </c>
      <c r="G74" s="49">
        <f t="shared" si="18"/>
        <v>0.7496302385</v>
      </c>
      <c r="H74" s="50">
        <f t="shared" si="4"/>
        <v>7.79615448</v>
      </c>
      <c r="I74" s="51">
        <f t="shared" si="5"/>
        <v>581.7490473</v>
      </c>
      <c r="J74" s="58"/>
      <c r="K74" s="58"/>
      <c r="L74" s="59"/>
      <c r="M74" s="52">
        <v>454.0</v>
      </c>
      <c r="N74" s="46">
        <f t="shared" si="6"/>
        <v>35.39454134</v>
      </c>
    </row>
    <row r="75">
      <c r="A75" s="45">
        <v>20901.0</v>
      </c>
      <c r="B75" s="45" t="s">
        <v>132</v>
      </c>
      <c r="C75" s="46">
        <v>10739.0</v>
      </c>
      <c r="D75" s="47">
        <v>0.0</v>
      </c>
      <c r="E75" s="48">
        <v>10.4</v>
      </c>
      <c r="F75" s="49">
        <f t="shared" si="2"/>
        <v>6.3</v>
      </c>
      <c r="G75" s="49">
        <f t="shared" si="18"/>
        <v>0.7496302385</v>
      </c>
      <c r="H75" s="50">
        <f t="shared" si="4"/>
        <v>7.79615448</v>
      </c>
      <c r="I75" s="51">
        <f t="shared" si="5"/>
        <v>837.2290296</v>
      </c>
      <c r="J75" s="58"/>
      <c r="K75" s="58"/>
      <c r="L75" s="59"/>
      <c r="M75" s="52">
        <v>683.0</v>
      </c>
      <c r="N75" s="46">
        <f t="shared" si="6"/>
        <v>53.2477351</v>
      </c>
    </row>
    <row r="76">
      <c r="A76" s="45">
        <v>20902.0</v>
      </c>
      <c r="B76" s="45" t="s">
        <v>133</v>
      </c>
      <c r="C76" s="46">
        <v>16163.0</v>
      </c>
      <c r="D76" s="47">
        <v>0.0</v>
      </c>
      <c r="E76" s="48">
        <v>10.4</v>
      </c>
      <c r="F76" s="49">
        <f t="shared" si="2"/>
        <v>6.3</v>
      </c>
      <c r="G76" s="49">
        <f t="shared" si="18"/>
        <v>0.7496302385</v>
      </c>
      <c r="H76" s="50">
        <f t="shared" si="4"/>
        <v>7.79615448</v>
      </c>
      <c r="I76" s="51">
        <f t="shared" si="5"/>
        <v>1260.092449</v>
      </c>
      <c r="J76" s="58"/>
      <c r="K76" s="58"/>
      <c r="L76" s="59"/>
      <c r="M76" s="52">
        <v>1081.0</v>
      </c>
      <c r="N76" s="46">
        <f t="shared" si="6"/>
        <v>84.27642993</v>
      </c>
    </row>
    <row r="77">
      <c r="A77" s="45">
        <v>20903.0</v>
      </c>
      <c r="B77" s="45" t="s">
        <v>134</v>
      </c>
      <c r="C77" s="46">
        <v>11881.0</v>
      </c>
      <c r="D77" s="47">
        <v>16.5</v>
      </c>
      <c r="E77" s="48">
        <v>10.4</v>
      </c>
      <c r="F77" s="49">
        <f t="shared" si="2"/>
        <v>6.828</v>
      </c>
      <c r="G77" s="49">
        <f t="shared" si="18"/>
        <v>0.8124563918</v>
      </c>
      <c r="H77" s="50">
        <f t="shared" si="4"/>
        <v>8.449546475</v>
      </c>
      <c r="I77" s="51">
        <f t="shared" si="5"/>
        <v>1003.890617</v>
      </c>
      <c r="J77" s="58"/>
      <c r="K77" s="58"/>
      <c r="L77" s="59"/>
      <c r="M77" s="52">
        <v>915.0</v>
      </c>
      <c r="N77" s="46">
        <f t="shared" si="6"/>
        <v>77.31335024</v>
      </c>
    </row>
    <row r="78">
      <c r="A78" s="45">
        <v>20904.0</v>
      </c>
      <c r="B78" s="45" t="s">
        <v>135</v>
      </c>
      <c r="C78" s="46">
        <v>5287.0</v>
      </c>
      <c r="D78" s="47">
        <v>0.0</v>
      </c>
      <c r="E78" s="48">
        <v>10.4</v>
      </c>
      <c r="F78" s="49">
        <f t="shared" si="2"/>
        <v>6.3</v>
      </c>
      <c r="G78" s="49">
        <f t="shared" si="18"/>
        <v>0.7496302385</v>
      </c>
      <c r="H78" s="50">
        <f t="shared" si="4"/>
        <v>7.79615448</v>
      </c>
      <c r="I78" s="51">
        <f t="shared" si="5"/>
        <v>412.1826874</v>
      </c>
      <c r="J78" s="58"/>
      <c r="K78" s="58"/>
      <c r="L78" s="59"/>
      <c r="M78" s="52">
        <v>535.0</v>
      </c>
      <c r="N78" s="46">
        <f t="shared" si="6"/>
        <v>41.70942647</v>
      </c>
    </row>
    <row r="79">
      <c r="A79" s="45">
        <v>20905.0</v>
      </c>
      <c r="B79" s="45" t="s">
        <v>136</v>
      </c>
      <c r="C79" s="46">
        <v>13411.0</v>
      </c>
      <c r="D79" s="47">
        <v>0.0</v>
      </c>
      <c r="E79" s="48">
        <v>10.4</v>
      </c>
      <c r="F79" s="49">
        <f t="shared" si="2"/>
        <v>6.3</v>
      </c>
      <c r="G79" s="49">
        <f t="shared" si="18"/>
        <v>0.7496302385</v>
      </c>
      <c r="H79" s="50">
        <f t="shared" si="4"/>
        <v>7.79615448</v>
      </c>
      <c r="I79" s="51">
        <f t="shared" si="5"/>
        <v>1045.542277</v>
      </c>
      <c r="J79" s="58"/>
      <c r="K79" s="58"/>
      <c r="L79" s="59"/>
      <c r="M79" s="52">
        <v>1136.0</v>
      </c>
      <c r="N79" s="46">
        <f t="shared" si="6"/>
        <v>88.5643149</v>
      </c>
    </row>
    <row r="80">
      <c r="A80" s="45">
        <v>21001.0</v>
      </c>
      <c r="B80" s="45" t="s">
        <v>137</v>
      </c>
      <c r="C80" s="46">
        <v>18349.0</v>
      </c>
      <c r="D80" s="47">
        <v>0.0</v>
      </c>
      <c r="E80" s="48">
        <v>10.4</v>
      </c>
      <c r="F80" s="49">
        <f t="shared" si="2"/>
        <v>6.3</v>
      </c>
      <c r="G80" s="49">
        <f t="shared" si="18"/>
        <v>0.7496302385</v>
      </c>
      <c r="H80" s="50">
        <f t="shared" si="4"/>
        <v>7.79615448</v>
      </c>
      <c r="I80" s="51">
        <f t="shared" si="5"/>
        <v>1430.516386</v>
      </c>
      <c r="J80" s="58"/>
      <c r="K80" s="58"/>
      <c r="L80" s="59"/>
      <c r="M80" s="52">
        <v>1602.0</v>
      </c>
      <c r="N80" s="46">
        <f t="shared" si="6"/>
        <v>124.8943948</v>
      </c>
    </row>
    <row r="81">
      <c r="A81" s="45">
        <v>21002.0</v>
      </c>
      <c r="B81" s="45" t="s">
        <v>138</v>
      </c>
      <c r="C81" s="46">
        <v>10669.0</v>
      </c>
      <c r="D81" s="47">
        <v>40.8</v>
      </c>
      <c r="E81" s="48">
        <v>10.4</v>
      </c>
      <c r="F81" s="49">
        <f t="shared" si="2"/>
        <v>7.6056</v>
      </c>
      <c r="G81" s="49">
        <f t="shared" si="18"/>
        <v>0.9049821813</v>
      </c>
      <c r="H81" s="50">
        <f t="shared" si="4"/>
        <v>9.411814685</v>
      </c>
      <c r="I81" s="51">
        <f t="shared" si="5"/>
        <v>1004.146509</v>
      </c>
      <c r="J81" s="58"/>
      <c r="K81" s="58"/>
      <c r="L81" s="59"/>
      <c r="M81" s="52">
        <v>880.0</v>
      </c>
      <c r="N81" s="46">
        <f t="shared" si="6"/>
        <v>82.82396923</v>
      </c>
    </row>
    <row r="82">
      <c r="A82" s="45">
        <v>21003.0</v>
      </c>
      <c r="B82" s="45" t="s">
        <v>139</v>
      </c>
      <c r="C82" s="46">
        <v>15139.0</v>
      </c>
      <c r="D82" s="47">
        <v>12.5</v>
      </c>
      <c r="E82" s="48">
        <v>10.4</v>
      </c>
      <c r="F82" s="49">
        <f t="shared" si="2"/>
        <v>6.7</v>
      </c>
      <c r="G82" s="49">
        <f t="shared" si="18"/>
        <v>0.7972258092</v>
      </c>
      <c r="H82" s="50">
        <f t="shared" si="4"/>
        <v>8.291148416</v>
      </c>
      <c r="I82" s="51">
        <f t="shared" si="5"/>
        <v>1255.196959</v>
      </c>
      <c r="J82" s="58"/>
      <c r="K82" s="58"/>
      <c r="L82" s="59"/>
      <c r="M82" s="52">
        <v>1426.0</v>
      </c>
      <c r="N82" s="46">
        <f t="shared" si="6"/>
        <v>118.2317764</v>
      </c>
    </row>
    <row r="83">
      <c r="A83" s="45">
        <v>21004.0</v>
      </c>
      <c r="B83" s="45" t="s">
        <v>140</v>
      </c>
      <c r="C83" s="46">
        <v>23181.0</v>
      </c>
      <c r="D83" s="47">
        <v>28.3</v>
      </c>
      <c r="E83" s="48">
        <v>10.4</v>
      </c>
      <c r="F83" s="49">
        <f t="shared" si="2"/>
        <v>7.2056</v>
      </c>
      <c r="G83" s="49">
        <f t="shared" si="18"/>
        <v>0.8573866106</v>
      </c>
      <c r="H83" s="50">
        <f t="shared" si="4"/>
        <v>8.91682075</v>
      </c>
      <c r="I83" s="51">
        <f t="shared" si="5"/>
        <v>2067.008218</v>
      </c>
      <c r="J83" s="58"/>
      <c r="K83" s="58"/>
      <c r="L83" s="59"/>
      <c r="M83" s="52">
        <v>1989.0</v>
      </c>
      <c r="N83" s="46">
        <f t="shared" si="6"/>
        <v>177.3555647</v>
      </c>
    </row>
    <row r="84">
      <c r="A84" s="45">
        <v>21005.0</v>
      </c>
      <c r="B84" s="45" t="s">
        <v>141</v>
      </c>
      <c r="C84" s="46">
        <v>9415.0</v>
      </c>
      <c r="D84" s="47">
        <v>19.9</v>
      </c>
      <c r="E84" s="48">
        <v>10.4</v>
      </c>
      <c r="F84" s="49">
        <f t="shared" si="2"/>
        <v>6.9368</v>
      </c>
      <c r="G84" s="49">
        <f t="shared" si="18"/>
        <v>0.825402387</v>
      </c>
      <c r="H84" s="50">
        <f t="shared" si="4"/>
        <v>8.584184825</v>
      </c>
      <c r="I84" s="51">
        <f t="shared" si="5"/>
        <v>808.2010013</v>
      </c>
      <c r="J84" s="58"/>
      <c r="K84" s="58"/>
      <c r="L84" s="59"/>
      <c r="M84" s="52">
        <v>749.0</v>
      </c>
      <c r="N84" s="46">
        <f t="shared" si="6"/>
        <v>64.29554434</v>
      </c>
    </row>
    <row r="85">
      <c r="A85" s="45">
        <v>21006.0</v>
      </c>
      <c r="B85" s="45" t="s">
        <v>142</v>
      </c>
      <c r="C85" s="46">
        <v>7678.0</v>
      </c>
      <c r="D85" s="47">
        <v>44.6</v>
      </c>
      <c r="E85" s="48">
        <v>10.4</v>
      </c>
      <c r="F85" s="49">
        <f t="shared" si="2"/>
        <v>7.7272</v>
      </c>
      <c r="G85" s="49">
        <f t="shared" si="18"/>
        <v>0.9194512347</v>
      </c>
      <c r="H85" s="50">
        <f t="shared" si="4"/>
        <v>9.562292841</v>
      </c>
      <c r="I85" s="51">
        <f t="shared" si="5"/>
        <v>734.1928444</v>
      </c>
      <c r="J85" s="58"/>
      <c r="K85" s="58"/>
      <c r="L85" s="59"/>
      <c r="M85" s="52">
        <v>821.0</v>
      </c>
      <c r="N85" s="46">
        <f t="shared" si="6"/>
        <v>78.50642423</v>
      </c>
    </row>
    <row r="86">
      <c r="A86" s="45">
        <v>21101.0</v>
      </c>
      <c r="B86" s="45" t="s">
        <v>143</v>
      </c>
      <c r="C86" s="46">
        <v>18263.0</v>
      </c>
      <c r="D86" s="47">
        <v>14.0</v>
      </c>
      <c r="E86" s="48">
        <v>10.4</v>
      </c>
      <c r="F86" s="49">
        <f t="shared" si="2"/>
        <v>6.748</v>
      </c>
      <c r="G86" s="49">
        <f t="shared" si="18"/>
        <v>0.8029372777</v>
      </c>
      <c r="H86" s="50">
        <f t="shared" si="4"/>
        <v>8.350547688</v>
      </c>
      <c r="I86" s="51">
        <f t="shared" si="5"/>
        <v>1525.060524</v>
      </c>
      <c r="J86" s="58"/>
      <c r="K86" s="58"/>
      <c r="L86" s="59"/>
      <c r="M86" s="52">
        <v>1350.0</v>
      </c>
      <c r="N86" s="46">
        <f t="shared" si="6"/>
        <v>112.7323938</v>
      </c>
    </row>
    <row r="87">
      <c r="A87" s="45">
        <v>21102.0</v>
      </c>
      <c r="B87" s="45" t="s">
        <v>144</v>
      </c>
      <c r="C87" s="46">
        <v>22779.0</v>
      </c>
      <c r="D87" s="47">
        <v>10.8</v>
      </c>
      <c r="E87" s="48">
        <v>10.4</v>
      </c>
      <c r="F87" s="49">
        <f t="shared" si="2"/>
        <v>6.6456</v>
      </c>
      <c r="G87" s="49">
        <f t="shared" si="18"/>
        <v>0.7907528116</v>
      </c>
      <c r="H87" s="50">
        <f t="shared" si="4"/>
        <v>8.22382924</v>
      </c>
      <c r="I87" s="51">
        <f t="shared" si="5"/>
        <v>1873.306063</v>
      </c>
      <c r="J87" s="58"/>
      <c r="K87" s="58"/>
      <c r="L87" s="59"/>
      <c r="M87" s="52">
        <v>1629.0</v>
      </c>
      <c r="N87" s="46">
        <f t="shared" si="6"/>
        <v>133.9661783</v>
      </c>
    </row>
    <row r="88">
      <c r="A88" s="45">
        <v>21103.0</v>
      </c>
      <c r="B88" s="45" t="s">
        <v>145</v>
      </c>
      <c r="C88" s="46">
        <v>7515.0</v>
      </c>
      <c r="D88" s="47">
        <v>0.0</v>
      </c>
      <c r="E88" s="48">
        <v>10.4</v>
      </c>
      <c r="F88" s="49">
        <f t="shared" si="2"/>
        <v>6.3</v>
      </c>
      <c r="G88" s="49">
        <f t="shared" si="18"/>
        <v>0.7496302385</v>
      </c>
      <c r="H88" s="50">
        <f t="shared" si="4"/>
        <v>7.79615448</v>
      </c>
      <c r="I88" s="51">
        <f t="shared" si="5"/>
        <v>585.8810092</v>
      </c>
      <c r="J88" s="58"/>
      <c r="K88" s="58"/>
      <c r="L88" s="59"/>
      <c r="M88" s="52">
        <v>506.0</v>
      </c>
      <c r="N88" s="46">
        <f t="shared" si="6"/>
        <v>39.44854167</v>
      </c>
    </row>
    <row r="89">
      <c r="A89" s="45">
        <v>21104.0</v>
      </c>
      <c r="B89" s="45" t="s">
        <v>146</v>
      </c>
      <c r="C89" s="46">
        <v>26937.0</v>
      </c>
      <c r="D89" s="47">
        <v>27.6</v>
      </c>
      <c r="E89" s="48">
        <v>10.4</v>
      </c>
      <c r="F89" s="49">
        <f t="shared" si="2"/>
        <v>7.1832</v>
      </c>
      <c r="G89" s="49">
        <f t="shared" si="18"/>
        <v>0.8547212586</v>
      </c>
      <c r="H89" s="50">
        <f t="shared" si="4"/>
        <v>8.889101089</v>
      </c>
      <c r="I89" s="51">
        <f t="shared" si="5"/>
        <v>2394.45716</v>
      </c>
      <c r="J89" s="58"/>
      <c r="K89" s="58"/>
      <c r="L89" s="59"/>
      <c r="M89" s="52">
        <v>2372.0</v>
      </c>
      <c r="N89" s="46">
        <f t="shared" si="6"/>
        <v>210.8494778</v>
      </c>
    </row>
    <row r="90">
      <c r="A90" s="45">
        <v>21105.0</v>
      </c>
      <c r="B90" s="45" t="s">
        <v>147</v>
      </c>
      <c r="C90" s="46">
        <v>45136.0</v>
      </c>
      <c r="D90" s="47">
        <v>6.3</v>
      </c>
      <c r="E90" s="48">
        <v>10.4</v>
      </c>
      <c r="F90" s="49">
        <f t="shared" si="2"/>
        <v>6.5016</v>
      </c>
      <c r="G90" s="49">
        <f t="shared" si="18"/>
        <v>0.7736184061</v>
      </c>
      <c r="H90" s="50">
        <f t="shared" si="4"/>
        <v>8.045631424</v>
      </c>
      <c r="I90" s="51">
        <f t="shared" si="5"/>
        <v>3631.476199</v>
      </c>
      <c r="J90" s="58"/>
      <c r="K90" s="58"/>
      <c r="L90" s="59"/>
      <c r="M90" s="52">
        <v>4310.0</v>
      </c>
      <c r="N90" s="46">
        <f t="shared" si="6"/>
        <v>346.7667144</v>
      </c>
    </row>
    <row r="91">
      <c r="A91" s="45">
        <v>21201.0</v>
      </c>
      <c r="B91" s="45" t="s">
        <v>148</v>
      </c>
      <c r="C91" s="46">
        <v>48206.0</v>
      </c>
      <c r="D91" s="47">
        <v>29.2</v>
      </c>
      <c r="E91" s="48">
        <v>10.4</v>
      </c>
      <c r="F91" s="49">
        <f t="shared" si="2"/>
        <v>7.2344</v>
      </c>
      <c r="G91" s="49">
        <f t="shared" si="18"/>
        <v>0.8608134916</v>
      </c>
      <c r="H91" s="50">
        <f t="shared" si="4"/>
        <v>8.952460313</v>
      </c>
      <c r="I91" s="51">
        <f t="shared" si="5"/>
        <v>4315.623019</v>
      </c>
      <c r="J91" s="58"/>
      <c r="K91" s="58"/>
      <c r="L91" s="59"/>
      <c r="M91" s="52">
        <v>3591.0</v>
      </c>
      <c r="N91" s="46">
        <f t="shared" si="6"/>
        <v>321.4828498</v>
      </c>
    </row>
    <row r="92">
      <c r="A92" s="45">
        <v>21202.0</v>
      </c>
      <c r="B92" s="45" t="s">
        <v>149</v>
      </c>
      <c r="C92" s="46">
        <v>37475.0</v>
      </c>
      <c r="D92" s="47">
        <v>25.9</v>
      </c>
      <c r="E92" s="48">
        <v>10.4</v>
      </c>
      <c r="F92" s="49">
        <f t="shared" si="2"/>
        <v>7.1288</v>
      </c>
      <c r="G92" s="49">
        <f t="shared" si="18"/>
        <v>0.848248261</v>
      </c>
      <c r="H92" s="50">
        <f t="shared" si="4"/>
        <v>8.821781914</v>
      </c>
      <c r="I92" s="51">
        <f t="shared" si="5"/>
        <v>3305.962772</v>
      </c>
      <c r="J92" s="58"/>
      <c r="K92" s="58"/>
      <c r="L92" s="59"/>
      <c r="M92" s="52">
        <v>2855.0</v>
      </c>
      <c r="N92" s="46">
        <f t="shared" si="6"/>
        <v>251.8618736</v>
      </c>
    </row>
    <row r="93">
      <c r="A93" s="45">
        <v>21203.0</v>
      </c>
      <c r="B93" s="45" t="s">
        <v>150</v>
      </c>
      <c r="C93" s="46">
        <v>20342.0</v>
      </c>
      <c r="D93" s="47">
        <v>13.9</v>
      </c>
      <c r="E93" s="48">
        <v>10.4</v>
      </c>
      <c r="F93" s="49">
        <f t="shared" si="2"/>
        <v>6.7448</v>
      </c>
      <c r="G93" s="49">
        <f t="shared" si="18"/>
        <v>0.8025565131</v>
      </c>
      <c r="H93" s="50">
        <f t="shared" si="4"/>
        <v>8.346587736</v>
      </c>
      <c r="I93" s="51">
        <f t="shared" si="5"/>
        <v>1697.862877</v>
      </c>
      <c r="J93" s="58"/>
      <c r="K93" s="58"/>
      <c r="L93" s="59"/>
      <c r="M93" s="52">
        <v>1411.0</v>
      </c>
      <c r="N93" s="46">
        <f t="shared" si="6"/>
        <v>117.770353</v>
      </c>
    </row>
    <row r="94">
      <c r="A94" s="45">
        <v>21204.0</v>
      </c>
      <c r="B94" s="45" t="s">
        <v>151</v>
      </c>
      <c r="C94" s="46">
        <v>7783.0</v>
      </c>
      <c r="D94" s="47">
        <v>0.0</v>
      </c>
      <c r="E94" s="48">
        <v>10.4</v>
      </c>
      <c r="F94" s="49">
        <f t="shared" si="2"/>
        <v>6.3</v>
      </c>
      <c r="G94" s="49">
        <f t="shared" si="18"/>
        <v>0.7496302385</v>
      </c>
      <c r="H94" s="50">
        <f t="shared" si="4"/>
        <v>7.79615448</v>
      </c>
      <c r="I94" s="51">
        <f t="shared" si="5"/>
        <v>606.7747032</v>
      </c>
      <c r="J94" s="58"/>
      <c r="K94" s="58"/>
      <c r="L94" s="59"/>
      <c r="M94" s="52">
        <v>463.0</v>
      </c>
      <c r="N94" s="46">
        <f t="shared" si="6"/>
        <v>36.09619524</v>
      </c>
    </row>
    <row r="95">
      <c r="A95" s="45">
        <v>21301.0</v>
      </c>
      <c r="B95" s="45" t="s">
        <v>152</v>
      </c>
      <c r="C95" s="46">
        <v>33671.0</v>
      </c>
      <c r="D95" s="47">
        <v>29.1</v>
      </c>
      <c r="E95" s="48">
        <v>10.4</v>
      </c>
      <c r="F95" s="49">
        <f t="shared" si="2"/>
        <v>7.2312</v>
      </c>
      <c r="G95" s="49">
        <f t="shared" si="18"/>
        <v>0.8604327271</v>
      </c>
      <c r="H95" s="50">
        <f t="shared" si="4"/>
        <v>8.948500362</v>
      </c>
      <c r="I95" s="51">
        <f t="shared" si="5"/>
        <v>3013.049557</v>
      </c>
      <c r="J95" s="58"/>
      <c r="K95" s="58"/>
      <c r="L95" s="59"/>
      <c r="M95" s="52">
        <v>2673.0</v>
      </c>
      <c r="N95" s="46">
        <f t="shared" si="6"/>
        <v>239.1934147</v>
      </c>
    </row>
    <row r="96">
      <c r="A96" s="45">
        <v>21302.0</v>
      </c>
      <c r="B96" s="45" t="s">
        <v>153</v>
      </c>
      <c r="C96" s="46">
        <v>9085.0</v>
      </c>
      <c r="D96" s="47">
        <v>0.0</v>
      </c>
      <c r="E96" s="48">
        <v>10.4</v>
      </c>
      <c r="F96" s="49">
        <f t="shared" si="2"/>
        <v>6.3</v>
      </c>
      <c r="G96" s="49">
        <f t="shared" si="18"/>
        <v>0.7496302385</v>
      </c>
      <c r="H96" s="50">
        <f t="shared" si="4"/>
        <v>7.79615448</v>
      </c>
      <c r="I96" s="51">
        <f t="shared" si="5"/>
        <v>708.2806345</v>
      </c>
      <c r="J96" s="58"/>
      <c r="K96" s="58"/>
      <c r="L96" s="59"/>
      <c r="M96" s="52">
        <v>549.0</v>
      </c>
      <c r="N96" s="46">
        <f t="shared" si="6"/>
        <v>42.8008881</v>
      </c>
    </row>
    <row r="97">
      <c r="A97" s="45">
        <v>21303.0</v>
      </c>
      <c r="B97" s="45" t="s">
        <v>154</v>
      </c>
      <c r="C97" s="46">
        <v>10970.0</v>
      </c>
      <c r="D97" s="47">
        <v>0.0</v>
      </c>
      <c r="E97" s="48">
        <v>10.4</v>
      </c>
      <c r="F97" s="49">
        <f t="shared" si="2"/>
        <v>6.3</v>
      </c>
      <c r="G97" s="49">
        <f t="shared" si="18"/>
        <v>0.7496302385</v>
      </c>
      <c r="H97" s="50">
        <f t="shared" si="4"/>
        <v>7.79615448</v>
      </c>
      <c r="I97" s="51">
        <f t="shared" si="5"/>
        <v>855.2381465</v>
      </c>
      <c r="J97" s="58"/>
      <c r="K97" s="58"/>
      <c r="L97" s="59"/>
      <c r="M97" s="52">
        <v>778.0</v>
      </c>
      <c r="N97" s="46">
        <f t="shared" si="6"/>
        <v>60.65408186</v>
      </c>
    </row>
    <row r="98">
      <c r="A98" s="45">
        <v>21304.0</v>
      </c>
      <c r="B98" s="45" t="s">
        <v>155</v>
      </c>
      <c r="C98" s="46">
        <v>15084.0</v>
      </c>
      <c r="D98" s="47">
        <v>0.0</v>
      </c>
      <c r="E98" s="48">
        <v>10.4</v>
      </c>
      <c r="F98" s="49">
        <f t="shared" si="2"/>
        <v>6.3</v>
      </c>
      <c r="G98" s="49">
        <f t="shared" si="18"/>
        <v>0.7496302385</v>
      </c>
      <c r="H98" s="50">
        <f t="shared" si="4"/>
        <v>7.79615448</v>
      </c>
      <c r="I98" s="51">
        <f t="shared" si="5"/>
        <v>1175.971942</v>
      </c>
      <c r="J98" s="58"/>
      <c r="K98" s="58"/>
      <c r="L98" s="59"/>
      <c r="M98" s="52">
        <v>1125.0</v>
      </c>
      <c r="N98" s="46">
        <f t="shared" si="6"/>
        <v>87.7067379</v>
      </c>
    </row>
    <row r="99">
      <c r="A99" s="45">
        <v>21305.0</v>
      </c>
      <c r="B99" s="45" t="s">
        <v>156</v>
      </c>
      <c r="C99" s="46">
        <v>24957.0</v>
      </c>
      <c r="D99" s="47">
        <v>53.1</v>
      </c>
      <c r="E99" s="48">
        <v>10.4</v>
      </c>
      <c r="F99" s="49">
        <f t="shared" si="2"/>
        <v>7.9992</v>
      </c>
      <c r="G99" s="49">
        <f t="shared" si="18"/>
        <v>0.9518162228</v>
      </c>
      <c r="H99" s="50">
        <f t="shared" si="4"/>
        <v>9.898888717</v>
      </c>
      <c r="I99" s="51">
        <f t="shared" si="5"/>
        <v>2470.465657</v>
      </c>
      <c r="J99" s="58"/>
      <c r="K99" s="58"/>
      <c r="L99" s="59"/>
      <c r="M99" s="52">
        <v>1974.0</v>
      </c>
      <c r="N99" s="46">
        <f t="shared" si="6"/>
        <v>195.4040633</v>
      </c>
    </row>
    <row r="100">
      <c r="A100" s="45">
        <v>21306.0</v>
      </c>
      <c r="B100" s="45" t="s">
        <v>157</v>
      </c>
      <c r="C100" s="46">
        <v>12272.0</v>
      </c>
      <c r="D100" s="47">
        <v>57.4</v>
      </c>
      <c r="E100" s="48">
        <v>10.4</v>
      </c>
      <c r="F100" s="49">
        <f t="shared" si="2"/>
        <v>8.1368</v>
      </c>
      <c r="G100" s="49">
        <f t="shared" si="18"/>
        <v>0.9681890991</v>
      </c>
      <c r="H100" s="50">
        <f t="shared" si="4"/>
        <v>10.06916663</v>
      </c>
      <c r="I100" s="51">
        <f t="shared" si="5"/>
        <v>1235.688129</v>
      </c>
      <c r="J100" s="58"/>
      <c r="K100" s="58"/>
      <c r="L100" s="59"/>
      <c r="M100" s="52">
        <v>1126.0</v>
      </c>
      <c r="N100" s="46">
        <f t="shared" si="6"/>
        <v>113.3788163</v>
      </c>
    </row>
    <row r="101">
      <c r="A101" s="45">
        <v>21307.0</v>
      </c>
      <c r="B101" s="45" t="s">
        <v>158</v>
      </c>
      <c r="C101" s="46">
        <v>5486.0</v>
      </c>
      <c r="D101" s="47">
        <v>66.1</v>
      </c>
      <c r="E101" s="48">
        <v>10.4</v>
      </c>
      <c r="F101" s="49">
        <f t="shared" si="2"/>
        <v>8.4152</v>
      </c>
      <c r="G101" s="49">
        <f t="shared" si="18"/>
        <v>1.001315616</v>
      </c>
      <c r="H101" s="50">
        <f t="shared" si="4"/>
        <v>10.41368241</v>
      </c>
      <c r="I101" s="51">
        <f t="shared" si="5"/>
        <v>571.294617</v>
      </c>
      <c r="J101" s="58"/>
      <c r="K101" s="58"/>
      <c r="L101" s="59"/>
      <c r="M101" s="52">
        <v>416.0</v>
      </c>
      <c r="N101" s="46">
        <f t="shared" si="6"/>
        <v>43.32091883</v>
      </c>
    </row>
    <row r="102">
      <c r="A102" s="45">
        <v>21401.0</v>
      </c>
      <c r="B102" s="45" t="s">
        <v>159</v>
      </c>
      <c r="C102" s="46">
        <v>27018.0</v>
      </c>
      <c r="D102" s="47">
        <v>10.1</v>
      </c>
      <c r="E102" s="48">
        <v>10.4</v>
      </c>
      <c r="F102" s="49">
        <f t="shared" si="2"/>
        <v>6.6232</v>
      </c>
      <c r="G102" s="49">
        <f t="shared" si="18"/>
        <v>0.7880874596</v>
      </c>
      <c r="H102" s="50">
        <f t="shared" si="4"/>
        <v>8.19610958</v>
      </c>
      <c r="I102" s="51">
        <f t="shared" si="5"/>
        <v>2214.424886</v>
      </c>
      <c r="J102" s="58"/>
      <c r="K102" s="58"/>
      <c r="L102" s="59"/>
      <c r="M102" s="52">
        <v>1887.0</v>
      </c>
      <c r="N102" s="46">
        <f t="shared" si="6"/>
        <v>154.6605878</v>
      </c>
    </row>
    <row r="103">
      <c r="A103" s="45">
        <v>21402.0</v>
      </c>
      <c r="B103" s="45" t="s">
        <v>160</v>
      </c>
      <c r="C103" s="46">
        <v>22980.0</v>
      </c>
      <c r="D103" s="47">
        <v>12.0</v>
      </c>
      <c r="E103" s="48">
        <v>10.4</v>
      </c>
      <c r="F103" s="49">
        <f t="shared" si="2"/>
        <v>6.684</v>
      </c>
      <c r="G103" s="49">
        <f t="shared" si="18"/>
        <v>0.7953219864</v>
      </c>
      <c r="H103" s="50">
        <f t="shared" si="4"/>
        <v>8.271348658</v>
      </c>
      <c r="I103" s="51">
        <f t="shared" si="5"/>
        <v>1900.755922</v>
      </c>
      <c r="J103" s="58"/>
      <c r="K103" s="58"/>
      <c r="L103" s="59"/>
      <c r="M103" s="52">
        <v>1691.0</v>
      </c>
      <c r="N103" s="46">
        <f t="shared" si="6"/>
        <v>139.8685058</v>
      </c>
    </row>
    <row r="104">
      <c r="A104" s="45">
        <v>21501.0</v>
      </c>
      <c r="B104" s="45" t="s">
        <v>161</v>
      </c>
      <c r="C104" s="46">
        <v>12326.0</v>
      </c>
      <c r="D104" s="47">
        <v>38.4</v>
      </c>
      <c r="E104" s="48">
        <v>10.4</v>
      </c>
      <c r="F104" s="49">
        <f t="shared" si="2"/>
        <v>7.5288</v>
      </c>
      <c r="G104" s="49">
        <f t="shared" si="18"/>
        <v>0.8958438317</v>
      </c>
      <c r="H104" s="50">
        <f t="shared" si="4"/>
        <v>9.316775849</v>
      </c>
      <c r="I104" s="51">
        <f t="shared" si="5"/>
        <v>1148.385791</v>
      </c>
      <c r="J104" s="58"/>
      <c r="K104" s="58"/>
      <c r="L104" s="59"/>
      <c r="M104" s="52">
        <v>1263.0</v>
      </c>
      <c r="N104" s="46">
        <f t="shared" si="6"/>
        <v>117.670879</v>
      </c>
    </row>
    <row r="105">
      <c r="A105" s="45">
        <v>21502.0</v>
      </c>
      <c r="B105" s="45" t="s">
        <v>162</v>
      </c>
      <c r="C105" s="46">
        <v>9989.0</v>
      </c>
      <c r="D105" s="47">
        <v>43.5</v>
      </c>
      <c r="E105" s="48">
        <v>10.4</v>
      </c>
      <c r="F105" s="49">
        <f t="shared" si="2"/>
        <v>7.692</v>
      </c>
      <c r="G105" s="49">
        <f t="shared" si="18"/>
        <v>0.9152628245</v>
      </c>
      <c r="H105" s="50">
        <f t="shared" si="4"/>
        <v>9.518733375</v>
      </c>
      <c r="I105" s="51">
        <f t="shared" si="5"/>
        <v>950.8262768</v>
      </c>
      <c r="J105" s="58"/>
      <c r="K105" s="58"/>
      <c r="L105" s="59"/>
      <c r="M105" s="52">
        <v>1029.0</v>
      </c>
      <c r="N105" s="46">
        <f t="shared" si="6"/>
        <v>97.94776643</v>
      </c>
    </row>
    <row r="106">
      <c r="A106" s="45">
        <v>21601.0</v>
      </c>
      <c r="B106" s="45" t="s">
        <v>163</v>
      </c>
      <c r="C106" s="46">
        <v>15535.0</v>
      </c>
      <c r="D106" s="47">
        <v>18.2</v>
      </c>
      <c r="E106" s="48">
        <v>10.4</v>
      </c>
      <c r="F106" s="49">
        <f t="shared" si="2"/>
        <v>6.8824</v>
      </c>
      <c r="G106" s="49">
        <f t="shared" si="18"/>
        <v>0.8189293894</v>
      </c>
      <c r="H106" s="50">
        <f t="shared" si="4"/>
        <v>8.51686565</v>
      </c>
      <c r="I106" s="51">
        <f t="shared" si="5"/>
        <v>1323.095079</v>
      </c>
      <c r="J106" s="58"/>
      <c r="K106" s="58"/>
      <c r="L106" s="59"/>
      <c r="M106" s="52">
        <v>1565.0</v>
      </c>
      <c r="N106" s="46">
        <f t="shared" si="6"/>
        <v>133.2889474</v>
      </c>
    </row>
    <row r="107">
      <c r="A107" s="45">
        <v>21602.0</v>
      </c>
      <c r="B107" s="45" t="s">
        <v>164</v>
      </c>
      <c r="C107" s="46">
        <v>6334.0</v>
      </c>
      <c r="D107" s="47">
        <v>0.0</v>
      </c>
      <c r="E107" s="48">
        <v>10.4</v>
      </c>
      <c r="F107" s="49">
        <f t="shared" si="2"/>
        <v>6.3</v>
      </c>
      <c r="G107" s="49">
        <f t="shared" si="18"/>
        <v>0.7496302385</v>
      </c>
      <c r="H107" s="50">
        <f t="shared" si="4"/>
        <v>7.79615448</v>
      </c>
      <c r="I107" s="51">
        <f t="shared" si="5"/>
        <v>493.8084248</v>
      </c>
      <c r="J107" s="58"/>
      <c r="K107" s="58"/>
      <c r="L107" s="59"/>
      <c r="M107" s="52">
        <v>728.0</v>
      </c>
      <c r="N107" s="46">
        <f t="shared" si="6"/>
        <v>56.75600462</v>
      </c>
    </row>
    <row r="108">
      <c r="A108" s="45">
        <v>21701.0</v>
      </c>
      <c r="B108" s="45" t="s">
        <v>165</v>
      </c>
      <c r="C108" s="46">
        <v>17252.0</v>
      </c>
      <c r="D108" s="47">
        <v>35.1</v>
      </c>
      <c r="E108" s="48">
        <v>10.4</v>
      </c>
      <c r="F108" s="49">
        <f t="shared" si="2"/>
        <v>7.4232</v>
      </c>
      <c r="G108" s="49">
        <f t="shared" si="18"/>
        <v>0.883278601</v>
      </c>
      <c r="H108" s="50">
        <f t="shared" si="4"/>
        <v>9.186097451</v>
      </c>
      <c r="I108" s="51">
        <f t="shared" si="5"/>
        <v>1584.785532</v>
      </c>
      <c r="J108" s="58"/>
      <c r="K108" s="58"/>
      <c r="L108" s="59"/>
      <c r="M108" s="52">
        <v>984.0</v>
      </c>
      <c r="N108" s="46">
        <f t="shared" si="6"/>
        <v>90.39119891</v>
      </c>
    </row>
    <row r="109">
      <c r="A109" s="45">
        <v>21702.0</v>
      </c>
      <c r="B109" s="45" t="s">
        <v>166</v>
      </c>
      <c r="C109" s="46">
        <v>8905.0</v>
      </c>
      <c r="D109" s="47">
        <v>0.0</v>
      </c>
      <c r="E109" s="48">
        <v>10.4</v>
      </c>
      <c r="F109" s="49">
        <f t="shared" si="2"/>
        <v>6.3</v>
      </c>
      <c r="G109" s="49">
        <f t="shared" si="18"/>
        <v>0.7496302385</v>
      </c>
      <c r="H109" s="50">
        <f t="shared" si="4"/>
        <v>7.79615448</v>
      </c>
      <c r="I109" s="51">
        <f t="shared" si="5"/>
        <v>694.2475565</v>
      </c>
      <c r="J109" s="58"/>
      <c r="K109" s="58"/>
      <c r="L109" s="59"/>
      <c r="M109" s="52">
        <v>431.0</v>
      </c>
      <c r="N109" s="46">
        <f t="shared" si="6"/>
        <v>33.60142581</v>
      </c>
    </row>
    <row r="110">
      <c r="A110" s="45">
        <v>21703.0</v>
      </c>
      <c r="B110" s="45" t="s">
        <v>167</v>
      </c>
      <c r="C110" s="46">
        <v>7420.0</v>
      </c>
      <c r="D110" s="47">
        <v>48.9</v>
      </c>
      <c r="E110" s="48">
        <v>10.4</v>
      </c>
      <c r="F110" s="49">
        <f t="shared" si="2"/>
        <v>7.8648</v>
      </c>
      <c r="G110" s="49">
        <f t="shared" si="18"/>
        <v>0.9358241111</v>
      </c>
      <c r="H110" s="50">
        <f t="shared" si="4"/>
        <v>9.732570755</v>
      </c>
      <c r="I110" s="51">
        <f t="shared" si="5"/>
        <v>722.15675</v>
      </c>
      <c r="J110" s="58"/>
      <c r="K110" s="58"/>
      <c r="L110" s="59"/>
      <c r="M110" s="52">
        <v>307.0</v>
      </c>
      <c r="N110" s="46">
        <f t="shared" si="6"/>
        <v>29.87899222</v>
      </c>
    </row>
    <row r="111">
      <c r="A111" s="45">
        <v>21801.0</v>
      </c>
      <c r="B111" s="45" t="s">
        <v>168</v>
      </c>
      <c r="C111" s="46">
        <v>9187.0</v>
      </c>
      <c r="D111" s="47">
        <v>0.0</v>
      </c>
      <c r="E111" s="48">
        <v>10.4</v>
      </c>
      <c r="F111" s="49">
        <f t="shared" si="2"/>
        <v>6.3</v>
      </c>
      <c r="G111" s="49">
        <f t="shared" si="18"/>
        <v>0.7496302385</v>
      </c>
      <c r="H111" s="50">
        <f t="shared" si="4"/>
        <v>7.79615448</v>
      </c>
      <c r="I111" s="51">
        <f t="shared" si="5"/>
        <v>716.2327121</v>
      </c>
      <c r="J111" s="58"/>
      <c r="K111" s="58"/>
      <c r="L111" s="59"/>
      <c r="M111" s="52">
        <v>545.0</v>
      </c>
      <c r="N111" s="46">
        <f t="shared" si="6"/>
        <v>42.48904192</v>
      </c>
    </row>
    <row r="112">
      <c r="A112" s="45">
        <v>21802.0</v>
      </c>
      <c r="B112" s="45" t="s">
        <v>169</v>
      </c>
      <c r="C112" s="46">
        <v>6679.0</v>
      </c>
      <c r="D112" s="47">
        <v>0.0</v>
      </c>
      <c r="E112" s="48">
        <v>10.4</v>
      </c>
      <c r="F112" s="49">
        <f t="shared" si="2"/>
        <v>6.3</v>
      </c>
      <c r="G112" s="49">
        <f t="shared" si="18"/>
        <v>0.7496302385</v>
      </c>
      <c r="H112" s="50">
        <f t="shared" si="4"/>
        <v>7.79615448</v>
      </c>
      <c r="I112" s="51">
        <f t="shared" si="5"/>
        <v>520.7051577</v>
      </c>
      <c r="J112" s="58"/>
      <c r="K112" s="58"/>
      <c r="L112" s="59"/>
      <c r="M112" s="52">
        <v>408.0</v>
      </c>
      <c r="N112" s="46">
        <f t="shared" si="6"/>
        <v>31.80831028</v>
      </c>
    </row>
    <row r="113">
      <c r="A113" s="45">
        <v>21803.0</v>
      </c>
      <c r="B113" s="45" t="s">
        <v>170</v>
      </c>
      <c r="C113" s="46">
        <v>2048.0</v>
      </c>
      <c r="D113" s="47">
        <v>0.0</v>
      </c>
      <c r="E113" s="48">
        <v>10.4</v>
      </c>
      <c r="F113" s="49">
        <f t="shared" si="2"/>
        <v>6.3</v>
      </c>
      <c r="G113" s="49">
        <f t="shared" si="18"/>
        <v>0.7496302385</v>
      </c>
      <c r="H113" s="50">
        <f t="shared" si="4"/>
        <v>7.79615448</v>
      </c>
      <c r="I113" s="51">
        <f t="shared" si="5"/>
        <v>159.6652438</v>
      </c>
      <c r="J113" s="58"/>
      <c r="K113" s="58"/>
      <c r="L113" s="59"/>
      <c r="M113" s="52">
        <v>145.0</v>
      </c>
      <c r="N113" s="46">
        <f t="shared" si="6"/>
        <v>11.304424</v>
      </c>
    </row>
    <row r="114">
      <c r="A114" s="45">
        <v>21901.0</v>
      </c>
      <c r="B114" s="45" t="s">
        <v>171</v>
      </c>
      <c r="C114" s="46">
        <v>6621.0</v>
      </c>
      <c r="D114" s="47">
        <v>0.0</v>
      </c>
      <c r="E114" s="48">
        <v>10.4</v>
      </c>
      <c r="F114" s="49">
        <f t="shared" si="2"/>
        <v>6.3</v>
      </c>
      <c r="G114" s="49">
        <f t="shared" si="18"/>
        <v>0.7496302385</v>
      </c>
      <c r="H114" s="50">
        <f t="shared" si="4"/>
        <v>7.79615448</v>
      </c>
      <c r="I114" s="51">
        <f t="shared" si="5"/>
        <v>516.1833881</v>
      </c>
      <c r="J114" s="58"/>
      <c r="K114" s="58"/>
      <c r="L114" s="59"/>
      <c r="M114" s="52">
        <v>365.0</v>
      </c>
      <c r="N114" s="46">
        <f t="shared" si="6"/>
        <v>28.45596385</v>
      </c>
    </row>
    <row r="115">
      <c r="A115" s="45">
        <v>21902.0</v>
      </c>
      <c r="B115" s="45" t="s">
        <v>172</v>
      </c>
      <c r="C115" s="46">
        <v>5145.0</v>
      </c>
      <c r="D115" s="47">
        <v>0.0</v>
      </c>
      <c r="E115" s="48">
        <v>10.4</v>
      </c>
      <c r="F115" s="49">
        <f t="shared" si="2"/>
        <v>6.3</v>
      </c>
      <c r="G115" s="49">
        <f t="shared" si="18"/>
        <v>0.7496302385</v>
      </c>
      <c r="H115" s="50">
        <f t="shared" si="4"/>
        <v>7.79615448</v>
      </c>
      <c r="I115" s="51">
        <f t="shared" si="5"/>
        <v>401.112148</v>
      </c>
      <c r="J115" s="58"/>
      <c r="K115" s="58"/>
      <c r="L115" s="59"/>
      <c r="M115" s="52">
        <v>459.0</v>
      </c>
      <c r="N115" s="46">
        <f t="shared" si="6"/>
        <v>35.78434906</v>
      </c>
    </row>
    <row r="116">
      <c r="A116" s="45">
        <v>22001.0</v>
      </c>
      <c r="B116" s="45" t="s">
        <v>173</v>
      </c>
      <c r="C116" s="46">
        <v>58897.0</v>
      </c>
      <c r="D116" s="47">
        <v>34.2</v>
      </c>
      <c r="E116" s="48">
        <v>10.4</v>
      </c>
      <c r="F116" s="49">
        <f t="shared" si="2"/>
        <v>7.3944</v>
      </c>
      <c r="G116" s="49">
        <f t="shared" si="18"/>
        <v>0.8798517199</v>
      </c>
      <c r="H116" s="50">
        <f t="shared" si="4"/>
        <v>9.150457887</v>
      </c>
      <c r="I116" s="51">
        <f t="shared" si="5"/>
        <v>5389.345182</v>
      </c>
      <c r="J116" s="58"/>
      <c r="K116" s="58"/>
      <c r="L116" s="59"/>
      <c r="M116" s="52">
        <v>4981.0</v>
      </c>
      <c r="N116" s="46">
        <f t="shared" si="6"/>
        <v>455.7843074</v>
      </c>
    </row>
    <row r="117">
      <c r="A117" s="45">
        <v>22002.0</v>
      </c>
      <c r="B117" s="45" t="s">
        <v>174</v>
      </c>
      <c r="C117" s="46">
        <v>10636.0</v>
      </c>
      <c r="D117" s="47">
        <v>0.0</v>
      </c>
      <c r="E117" s="48">
        <v>10.4</v>
      </c>
      <c r="F117" s="49">
        <f t="shared" si="2"/>
        <v>6.3</v>
      </c>
      <c r="G117" s="49">
        <f t="shared" si="18"/>
        <v>0.7496302385</v>
      </c>
      <c r="H117" s="50">
        <f t="shared" si="4"/>
        <v>7.79615448</v>
      </c>
      <c r="I117" s="51">
        <f t="shared" si="5"/>
        <v>829.1989905</v>
      </c>
      <c r="J117" s="58"/>
      <c r="K117" s="58"/>
      <c r="L117" s="59"/>
      <c r="M117" s="52">
        <v>835.0</v>
      </c>
      <c r="N117" s="46">
        <f t="shared" si="6"/>
        <v>65.09788991</v>
      </c>
    </row>
    <row r="118">
      <c r="A118" s="45">
        <v>30101.0</v>
      </c>
      <c r="B118" s="45" t="s">
        <v>55</v>
      </c>
      <c r="C118" s="46">
        <v>662714.0</v>
      </c>
      <c r="D118" s="47">
        <v>100.0</v>
      </c>
      <c r="E118" s="48">
        <v>6.2</v>
      </c>
      <c r="F118" s="49">
        <f t="shared" si="2"/>
        <v>9.5</v>
      </c>
      <c r="G118" s="49">
        <f t="shared" ref="G118:G165" si="19">0.84*F118/F$345</f>
        <v>1.117096042</v>
      </c>
      <c r="H118" s="50">
        <f t="shared" si="4"/>
        <v>6.925995458</v>
      </c>
      <c r="I118" s="51">
        <f t="shared" si="5"/>
        <v>45899.54154</v>
      </c>
      <c r="J118" s="52">
        <f>SUM(C118:C165)</f>
        <v>1995225</v>
      </c>
      <c r="K118" s="52">
        <f>SUM(I118:I165)</f>
        <v>124358.9965</v>
      </c>
      <c r="L118" s="53">
        <f>K118/J118</f>
        <v>0.06232830708</v>
      </c>
      <c r="M118" s="52">
        <v>44213.0</v>
      </c>
      <c r="N118" s="46">
        <f t="shared" si="6"/>
        <v>3062.190372</v>
      </c>
    </row>
    <row r="119">
      <c r="A119" s="45">
        <v>30201.0</v>
      </c>
      <c r="B119" s="45" t="s">
        <v>175</v>
      </c>
      <c r="C119" s="46">
        <v>23135.0</v>
      </c>
      <c r="D119" s="47">
        <v>37.9</v>
      </c>
      <c r="E119" s="48">
        <v>6.2</v>
      </c>
      <c r="F119" s="49">
        <f t="shared" si="2"/>
        <v>7.5128</v>
      </c>
      <c r="G119" s="49">
        <f t="shared" si="19"/>
        <v>0.8834230676</v>
      </c>
      <c r="H119" s="50">
        <f t="shared" si="4"/>
        <v>5.477223019</v>
      </c>
      <c r="I119" s="51">
        <f t="shared" si="5"/>
        <v>1267.155545</v>
      </c>
      <c r="J119" s="58"/>
      <c r="K119" s="58"/>
      <c r="L119" s="59"/>
      <c r="M119" s="52">
        <v>1811.0</v>
      </c>
      <c r="N119" s="46">
        <f t="shared" si="6"/>
        <v>99.19250887</v>
      </c>
    </row>
    <row r="120">
      <c r="A120" s="45">
        <v>30202.0</v>
      </c>
      <c r="B120" s="45" t="s">
        <v>176</v>
      </c>
      <c r="C120" s="46">
        <v>6507.0</v>
      </c>
      <c r="D120" s="47">
        <v>43.9</v>
      </c>
      <c r="E120" s="48">
        <v>6.2</v>
      </c>
      <c r="F120" s="49">
        <f t="shared" si="2"/>
        <v>7.7048</v>
      </c>
      <c r="G120" s="49">
        <f t="shared" si="19"/>
        <v>0.9060001665</v>
      </c>
      <c r="H120" s="50">
        <f t="shared" si="4"/>
        <v>5.617201032</v>
      </c>
      <c r="I120" s="51">
        <f t="shared" si="5"/>
        <v>365.5112712</v>
      </c>
      <c r="J120" s="58"/>
      <c r="K120" s="58"/>
      <c r="L120" s="59"/>
      <c r="M120" s="52">
        <v>445.0</v>
      </c>
      <c r="N120" s="46">
        <f t="shared" si="6"/>
        <v>24.99654459</v>
      </c>
    </row>
    <row r="121">
      <c r="A121" s="45">
        <v>30203.0</v>
      </c>
      <c r="B121" s="45" t="s">
        <v>177</v>
      </c>
      <c r="C121" s="46">
        <v>6612.0</v>
      </c>
      <c r="D121" s="47">
        <v>0.0</v>
      </c>
      <c r="E121" s="48">
        <v>6.2</v>
      </c>
      <c r="F121" s="49">
        <f t="shared" si="2"/>
        <v>6.3</v>
      </c>
      <c r="G121" s="49">
        <f t="shared" si="19"/>
        <v>0.7408110592</v>
      </c>
      <c r="H121" s="50">
        <f t="shared" si="4"/>
        <v>4.593028567</v>
      </c>
      <c r="I121" s="51">
        <f t="shared" si="5"/>
        <v>303.6910489</v>
      </c>
      <c r="J121" s="58"/>
      <c r="K121" s="58"/>
      <c r="L121" s="59"/>
      <c r="M121" s="52">
        <v>576.0</v>
      </c>
      <c r="N121" s="46">
        <f t="shared" si="6"/>
        <v>26.45584455</v>
      </c>
    </row>
    <row r="122">
      <c r="A122" s="45">
        <v>30301.0</v>
      </c>
      <c r="B122" s="45" t="s">
        <v>178</v>
      </c>
      <c r="C122" s="46">
        <v>21969.0</v>
      </c>
      <c r="D122" s="47">
        <v>0.0</v>
      </c>
      <c r="E122" s="48">
        <v>6.2</v>
      </c>
      <c r="F122" s="49">
        <f t="shared" si="2"/>
        <v>6.3</v>
      </c>
      <c r="G122" s="49">
        <f t="shared" si="19"/>
        <v>0.7408110592</v>
      </c>
      <c r="H122" s="50">
        <f t="shared" si="4"/>
        <v>4.593028567</v>
      </c>
      <c r="I122" s="51">
        <f t="shared" si="5"/>
        <v>1009.042446</v>
      </c>
      <c r="J122" s="58"/>
      <c r="K122" s="58"/>
      <c r="L122" s="59"/>
      <c r="M122" s="52">
        <v>2001.0</v>
      </c>
      <c r="N122" s="46">
        <f t="shared" si="6"/>
        <v>91.90650163</v>
      </c>
    </row>
    <row r="123">
      <c r="A123" s="45">
        <v>30302.0</v>
      </c>
      <c r="B123" s="45" t="s">
        <v>179</v>
      </c>
      <c r="C123" s="46">
        <v>14560.0</v>
      </c>
      <c r="D123" s="47">
        <v>0.0</v>
      </c>
      <c r="E123" s="48">
        <v>6.2</v>
      </c>
      <c r="F123" s="49">
        <f t="shared" si="2"/>
        <v>6.3</v>
      </c>
      <c r="G123" s="49">
        <f t="shared" si="19"/>
        <v>0.7408110592</v>
      </c>
      <c r="H123" s="50">
        <f t="shared" si="4"/>
        <v>4.593028567</v>
      </c>
      <c r="I123" s="51">
        <f t="shared" si="5"/>
        <v>668.7449594</v>
      </c>
      <c r="J123" s="58"/>
      <c r="K123" s="58"/>
      <c r="L123" s="59"/>
      <c r="M123" s="52">
        <v>1185.0</v>
      </c>
      <c r="N123" s="46">
        <f t="shared" si="6"/>
        <v>54.42738852</v>
      </c>
    </row>
    <row r="124">
      <c r="A124" s="45">
        <v>30303.0</v>
      </c>
      <c r="B124" s="45" t="s">
        <v>180</v>
      </c>
      <c r="C124" s="46">
        <v>19480.0</v>
      </c>
      <c r="D124" s="47">
        <v>0.0</v>
      </c>
      <c r="E124" s="48">
        <v>6.2</v>
      </c>
      <c r="F124" s="49">
        <f t="shared" si="2"/>
        <v>6.3</v>
      </c>
      <c r="G124" s="49">
        <f t="shared" si="19"/>
        <v>0.7408110592</v>
      </c>
      <c r="H124" s="50">
        <f t="shared" si="4"/>
        <v>4.593028567</v>
      </c>
      <c r="I124" s="51">
        <f t="shared" si="5"/>
        <v>894.7219649</v>
      </c>
      <c r="J124" s="58"/>
      <c r="K124" s="58"/>
      <c r="L124" s="59"/>
      <c r="M124" s="52">
        <v>2004.0</v>
      </c>
      <c r="N124" s="46">
        <f t="shared" si="6"/>
        <v>92.04429249</v>
      </c>
    </row>
    <row r="125">
      <c r="A125" s="45">
        <v>30401.0</v>
      </c>
      <c r="B125" s="45" t="s">
        <v>181</v>
      </c>
      <c r="C125" s="46">
        <v>11020.0</v>
      </c>
      <c r="D125" s="47">
        <v>40.8</v>
      </c>
      <c r="E125" s="48">
        <v>6.2</v>
      </c>
      <c r="F125" s="49">
        <f t="shared" si="2"/>
        <v>7.6056</v>
      </c>
      <c r="G125" s="49">
        <f t="shared" si="19"/>
        <v>0.8943353321</v>
      </c>
      <c r="H125" s="50">
        <f t="shared" si="4"/>
        <v>5.544879059</v>
      </c>
      <c r="I125" s="51">
        <f t="shared" si="5"/>
        <v>611.0456723</v>
      </c>
      <c r="J125" s="58"/>
      <c r="K125" s="58"/>
      <c r="L125" s="59"/>
      <c r="M125" s="52">
        <v>811.0</v>
      </c>
      <c r="N125" s="46">
        <f t="shared" si="6"/>
        <v>44.96896917</v>
      </c>
    </row>
    <row r="126">
      <c r="A126" s="45">
        <v>30402.0</v>
      </c>
      <c r="B126" s="45" t="s">
        <v>182</v>
      </c>
      <c r="C126" s="46">
        <v>7323.0</v>
      </c>
      <c r="D126" s="47">
        <v>0.0</v>
      </c>
      <c r="E126" s="48">
        <v>6.2</v>
      </c>
      <c r="F126" s="49">
        <f t="shared" si="2"/>
        <v>6.3</v>
      </c>
      <c r="G126" s="49">
        <f t="shared" si="19"/>
        <v>0.7408110592</v>
      </c>
      <c r="H126" s="50">
        <f t="shared" si="4"/>
        <v>4.593028567</v>
      </c>
      <c r="I126" s="51">
        <f t="shared" si="5"/>
        <v>336.347482</v>
      </c>
      <c r="J126" s="58"/>
      <c r="K126" s="58"/>
      <c r="L126" s="59"/>
      <c r="M126" s="52">
        <v>498.0</v>
      </c>
      <c r="N126" s="46">
        <f t="shared" si="6"/>
        <v>22.87328226</v>
      </c>
    </row>
    <row r="127">
      <c r="A127" s="45">
        <v>30403.0</v>
      </c>
      <c r="B127" s="45" t="s">
        <v>183</v>
      </c>
      <c r="C127" s="46">
        <v>28381.0</v>
      </c>
      <c r="D127" s="47">
        <v>65.0</v>
      </c>
      <c r="E127" s="48">
        <v>6.2</v>
      </c>
      <c r="F127" s="49">
        <f t="shared" si="2"/>
        <v>8.38</v>
      </c>
      <c r="G127" s="49">
        <f t="shared" si="19"/>
        <v>0.9853962978</v>
      </c>
      <c r="H127" s="50">
        <f t="shared" si="4"/>
        <v>6.109457046</v>
      </c>
      <c r="I127" s="51">
        <f t="shared" si="5"/>
        <v>1733.925004</v>
      </c>
      <c r="J127" s="58"/>
      <c r="K127" s="58"/>
      <c r="L127" s="59"/>
      <c r="M127" s="52">
        <v>2520.0</v>
      </c>
      <c r="N127" s="46">
        <f t="shared" si="6"/>
        <v>153.9583176</v>
      </c>
    </row>
    <row r="128">
      <c r="A128" s="45">
        <v>30404.0</v>
      </c>
      <c r="B128" s="45" t="s">
        <v>184</v>
      </c>
      <c r="C128" s="46">
        <v>4935.0</v>
      </c>
      <c r="D128" s="47">
        <v>0.0</v>
      </c>
      <c r="E128" s="48">
        <v>6.2</v>
      </c>
      <c r="F128" s="49">
        <f t="shared" si="2"/>
        <v>6.3</v>
      </c>
      <c r="G128" s="49">
        <f t="shared" si="19"/>
        <v>0.7408110592</v>
      </c>
      <c r="H128" s="50">
        <f t="shared" si="4"/>
        <v>4.593028567</v>
      </c>
      <c r="I128" s="51">
        <f t="shared" si="5"/>
        <v>226.6659598</v>
      </c>
      <c r="J128" s="58"/>
      <c r="K128" s="58"/>
      <c r="L128" s="59"/>
      <c r="M128" s="52">
        <v>324.0</v>
      </c>
      <c r="N128" s="46">
        <f t="shared" si="6"/>
        <v>14.88141256</v>
      </c>
    </row>
    <row r="129">
      <c r="A129" s="45">
        <v>30501.0</v>
      </c>
      <c r="B129" s="45" t="s">
        <v>185</v>
      </c>
      <c r="C129" s="46">
        <v>11043.0</v>
      </c>
      <c r="D129" s="47">
        <v>37.9</v>
      </c>
      <c r="E129" s="48">
        <v>6.2</v>
      </c>
      <c r="F129" s="49">
        <f t="shared" si="2"/>
        <v>7.5128</v>
      </c>
      <c r="G129" s="49">
        <f t="shared" si="19"/>
        <v>0.8834230676</v>
      </c>
      <c r="H129" s="50">
        <f t="shared" si="4"/>
        <v>5.477223019</v>
      </c>
      <c r="I129" s="51">
        <f t="shared" si="5"/>
        <v>604.849738</v>
      </c>
      <c r="J129" s="58"/>
      <c r="K129" s="58"/>
      <c r="L129" s="59"/>
      <c r="M129" s="52">
        <v>740.0</v>
      </c>
      <c r="N129" s="46">
        <f t="shared" si="6"/>
        <v>40.53145034</v>
      </c>
    </row>
    <row r="130">
      <c r="A130" s="45">
        <v>30502.0</v>
      </c>
      <c r="B130" s="45" t="s">
        <v>186</v>
      </c>
      <c r="C130" s="46">
        <v>8453.0</v>
      </c>
      <c r="D130" s="47">
        <v>0.0</v>
      </c>
      <c r="E130" s="48">
        <v>6.2</v>
      </c>
      <c r="F130" s="49">
        <f t="shared" si="2"/>
        <v>6.3</v>
      </c>
      <c r="G130" s="49">
        <f t="shared" si="19"/>
        <v>0.7408110592</v>
      </c>
      <c r="H130" s="50">
        <f t="shared" si="4"/>
        <v>4.593028567</v>
      </c>
      <c r="I130" s="51">
        <f t="shared" si="5"/>
        <v>388.2487048</v>
      </c>
      <c r="J130" s="58"/>
      <c r="K130" s="58"/>
      <c r="L130" s="59"/>
      <c r="M130" s="52">
        <v>566.0</v>
      </c>
      <c r="N130" s="46">
        <f t="shared" si="6"/>
        <v>25.99654169</v>
      </c>
    </row>
    <row r="131">
      <c r="A131" s="45">
        <v>30601.0</v>
      </c>
      <c r="B131" s="45" t="s">
        <v>187</v>
      </c>
      <c r="C131" s="46">
        <v>10629.0</v>
      </c>
      <c r="D131" s="47">
        <v>0.0</v>
      </c>
      <c r="E131" s="48">
        <v>6.2</v>
      </c>
      <c r="F131" s="49">
        <f t="shared" si="2"/>
        <v>6.3</v>
      </c>
      <c r="G131" s="49">
        <f t="shared" si="19"/>
        <v>0.7408110592</v>
      </c>
      <c r="H131" s="50">
        <f t="shared" si="4"/>
        <v>4.593028567</v>
      </c>
      <c r="I131" s="51">
        <f t="shared" si="5"/>
        <v>488.1930064</v>
      </c>
      <c r="J131" s="58"/>
      <c r="K131" s="58"/>
      <c r="L131" s="59"/>
      <c r="M131" s="52">
        <v>1189.0</v>
      </c>
      <c r="N131" s="46">
        <f t="shared" si="6"/>
        <v>54.61110966</v>
      </c>
    </row>
    <row r="132">
      <c r="A132" s="45">
        <v>30602.0</v>
      </c>
      <c r="B132" s="45" t="s">
        <v>188</v>
      </c>
      <c r="C132" s="46">
        <v>10709.0</v>
      </c>
      <c r="D132" s="47">
        <v>0.0</v>
      </c>
      <c r="E132" s="48">
        <v>6.2</v>
      </c>
      <c r="F132" s="49">
        <f t="shared" si="2"/>
        <v>6.3</v>
      </c>
      <c r="G132" s="49">
        <f t="shared" si="19"/>
        <v>0.7408110592</v>
      </c>
      <c r="H132" s="50">
        <f t="shared" si="4"/>
        <v>4.593028567</v>
      </c>
      <c r="I132" s="51">
        <f t="shared" si="5"/>
        <v>491.8674293</v>
      </c>
      <c r="J132" s="58"/>
      <c r="K132" s="58"/>
      <c r="L132" s="59"/>
      <c r="M132" s="52">
        <v>853.0</v>
      </c>
      <c r="N132" s="46">
        <f t="shared" si="6"/>
        <v>39.17853368</v>
      </c>
    </row>
    <row r="133">
      <c r="A133" s="45">
        <v>30701.0</v>
      </c>
      <c r="B133" s="45" t="s">
        <v>189</v>
      </c>
      <c r="C133" s="46">
        <v>19431.0</v>
      </c>
      <c r="D133" s="47">
        <v>45.7</v>
      </c>
      <c r="E133" s="48">
        <v>6.2</v>
      </c>
      <c r="F133" s="49">
        <f t="shared" si="2"/>
        <v>7.7624</v>
      </c>
      <c r="G133" s="49">
        <f t="shared" si="19"/>
        <v>0.9127732962</v>
      </c>
      <c r="H133" s="50">
        <f t="shared" si="4"/>
        <v>5.659194436</v>
      </c>
      <c r="I133" s="51">
        <f t="shared" si="5"/>
        <v>1099.638071</v>
      </c>
      <c r="J133" s="58"/>
      <c r="K133" s="58"/>
      <c r="L133" s="59"/>
      <c r="M133" s="52">
        <v>1608.0</v>
      </c>
      <c r="N133" s="46">
        <f t="shared" si="6"/>
        <v>90.99984654</v>
      </c>
    </row>
    <row r="134">
      <c r="A134" s="45">
        <v>30702.0</v>
      </c>
      <c r="B134" s="45" t="s">
        <v>190</v>
      </c>
      <c r="C134" s="46">
        <v>7822.0</v>
      </c>
      <c r="D134" s="47">
        <v>0.0</v>
      </c>
      <c r="E134" s="48">
        <v>6.2</v>
      </c>
      <c r="F134" s="49">
        <f t="shared" si="2"/>
        <v>6.3</v>
      </c>
      <c r="G134" s="49">
        <f t="shared" si="19"/>
        <v>0.7408110592</v>
      </c>
      <c r="H134" s="50">
        <f t="shared" si="4"/>
        <v>4.593028567</v>
      </c>
      <c r="I134" s="51">
        <f t="shared" si="5"/>
        <v>359.2666945</v>
      </c>
      <c r="J134" s="58"/>
      <c r="K134" s="58"/>
      <c r="L134" s="59"/>
      <c r="M134" s="52">
        <v>568.0</v>
      </c>
      <c r="N134" s="46">
        <f t="shared" si="6"/>
        <v>26.08840226</v>
      </c>
    </row>
    <row r="135">
      <c r="A135" s="45">
        <v>30703.0</v>
      </c>
      <c r="B135" s="45" t="s">
        <v>191</v>
      </c>
      <c r="C135" s="46">
        <v>3960.0</v>
      </c>
      <c r="D135" s="47">
        <v>0.0</v>
      </c>
      <c r="E135" s="48">
        <v>6.2</v>
      </c>
      <c r="F135" s="49">
        <f t="shared" si="2"/>
        <v>6.3</v>
      </c>
      <c r="G135" s="49">
        <f t="shared" si="19"/>
        <v>0.7408110592</v>
      </c>
      <c r="H135" s="50">
        <f t="shared" si="4"/>
        <v>4.593028567</v>
      </c>
      <c r="I135" s="51">
        <f t="shared" si="5"/>
        <v>181.8839313</v>
      </c>
      <c r="J135" s="58"/>
      <c r="K135" s="58"/>
      <c r="L135" s="59"/>
      <c r="M135" s="52">
        <v>348.0</v>
      </c>
      <c r="N135" s="46">
        <f t="shared" si="6"/>
        <v>15.98373941</v>
      </c>
    </row>
    <row r="136">
      <c r="A136" s="45">
        <v>30801.0</v>
      </c>
      <c r="B136" s="45" t="s">
        <v>192</v>
      </c>
      <c r="C136" s="46">
        <v>21217.0</v>
      </c>
      <c r="D136" s="47">
        <v>52.5</v>
      </c>
      <c r="E136" s="48">
        <v>6.2</v>
      </c>
      <c r="F136" s="49">
        <f t="shared" si="2"/>
        <v>7.98</v>
      </c>
      <c r="G136" s="49">
        <f t="shared" si="19"/>
        <v>0.938360675</v>
      </c>
      <c r="H136" s="50">
        <f t="shared" si="4"/>
        <v>5.817836185</v>
      </c>
      <c r="I136" s="51">
        <f t="shared" si="5"/>
        <v>1234.370303</v>
      </c>
      <c r="J136" s="58"/>
      <c r="K136" s="58"/>
      <c r="L136" s="59"/>
      <c r="M136" s="52">
        <v>1644.0</v>
      </c>
      <c r="N136" s="46">
        <f t="shared" si="6"/>
        <v>95.64522688</v>
      </c>
    </row>
    <row r="137">
      <c r="A137" s="45">
        <v>30802.0</v>
      </c>
      <c r="B137" s="45" t="s">
        <v>193</v>
      </c>
      <c r="C137" s="46">
        <v>7355.0</v>
      </c>
      <c r="D137" s="47">
        <v>0.0</v>
      </c>
      <c r="E137" s="48">
        <v>6.2</v>
      </c>
      <c r="F137" s="49">
        <f t="shared" si="2"/>
        <v>6.3</v>
      </c>
      <c r="G137" s="49">
        <f t="shared" si="19"/>
        <v>0.7408110592</v>
      </c>
      <c r="H137" s="50">
        <f t="shared" si="4"/>
        <v>4.593028567</v>
      </c>
      <c r="I137" s="51">
        <f t="shared" si="5"/>
        <v>337.8172511</v>
      </c>
      <c r="J137" s="58"/>
      <c r="K137" s="58"/>
      <c r="L137" s="59"/>
      <c r="M137" s="52">
        <v>497.0</v>
      </c>
      <c r="N137" s="46">
        <f t="shared" si="6"/>
        <v>22.82735198</v>
      </c>
    </row>
    <row r="138">
      <c r="A138" s="45">
        <v>30803.0</v>
      </c>
      <c r="B138" s="45" t="s">
        <v>194</v>
      </c>
      <c r="C138" s="46">
        <v>8425.0</v>
      </c>
      <c r="D138" s="47">
        <v>29.3</v>
      </c>
      <c r="E138" s="48">
        <v>6.2</v>
      </c>
      <c r="F138" s="49">
        <f t="shared" si="2"/>
        <v>7.2376</v>
      </c>
      <c r="G138" s="49">
        <f t="shared" si="19"/>
        <v>0.8510625591</v>
      </c>
      <c r="H138" s="50">
        <f t="shared" si="4"/>
        <v>5.276587866</v>
      </c>
      <c r="I138" s="51">
        <f t="shared" si="5"/>
        <v>444.5525277</v>
      </c>
      <c r="J138" s="58"/>
      <c r="K138" s="58"/>
      <c r="L138" s="59"/>
      <c r="M138" s="52">
        <v>574.0</v>
      </c>
      <c r="N138" s="46">
        <f t="shared" si="6"/>
        <v>30.28761435</v>
      </c>
    </row>
    <row r="139">
      <c r="A139" s="45">
        <v>30901.0</v>
      </c>
      <c r="B139" s="45" t="s">
        <v>195</v>
      </c>
      <c r="C139" s="46">
        <v>164278.0</v>
      </c>
      <c r="D139" s="47">
        <v>95.4</v>
      </c>
      <c r="E139" s="48">
        <v>6.2</v>
      </c>
      <c r="F139" s="49">
        <f t="shared" si="2"/>
        <v>9.3528</v>
      </c>
      <c r="G139" s="49">
        <f t="shared" si="19"/>
        <v>1.099786932</v>
      </c>
      <c r="H139" s="50">
        <f t="shared" si="4"/>
        <v>6.818678981</v>
      </c>
      <c r="I139" s="51">
        <f t="shared" si="5"/>
        <v>11201.58946</v>
      </c>
      <c r="J139" s="58"/>
      <c r="K139" s="58"/>
      <c r="L139" s="59"/>
      <c r="M139" s="52">
        <v>12349.0</v>
      </c>
      <c r="N139" s="46">
        <f t="shared" si="6"/>
        <v>842.0386674</v>
      </c>
    </row>
    <row r="140">
      <c r="A140" s="45">
        <v>30902.0</v>
      </c>
      <c r="B140" s="45" t="s">
        <v>196</v>
      </c>
      <c r="C140" s="46">
        <v>54713.0</v>
      </c>
      <c r="D140" s="47">
        <v>64.5</v>
      </c>
      <c r="E140" s="48">
        <v>6.2</v>
      </c>
      <c r="F140" s="49">
        <f t="shared" si="2"/>
        <v>8.364</v>
      </c>
      <c r="G140" s="49">
        <f t="shared" si="19"/>
        <v>0.9835148729</v>
      </c>
      <c r="H140" s="50">
        <f t="shared" si="4"/>
        <v>6.097792212</v>
      </c>
      <c r="I140" s="51">
        <f t="shared" si="5"/>
        <v>3336.285053</v>
      </c>
      <c r="J140" s="58"/>
      <c r="K140" s="58"/>
      <c r="L140" s="59"/>
      <c r="M140" s="52">
        <v>5096.0</v>
      </c>
      <c r="N140" s="46">
        <f t="shared" si="6"/>
        <v>310.7434911</v>
      </c>
    </row>
    <row r="141">
      <c r="A141" s="45">
        <v>30903.0</v>
      </c>
      <c r="B141" s="45" t="s">
        <v>197</v>
      </c>
      <c r="C141" s="46">
        <v>61179.0</v>
      </c>
      <c r="D141" s="47">
        <v>94.0</v>
      </c>
      <c r="E141" s="48">
        <v>6.2</v>
      </c>
      <c r="F141" s="49">
        <f t="shared" si="2"/>
        <v>9.308</v>
      </c>
      <c r="G141" s="49">
        <f t="shared" si="19"/>
        <v>1.094518943</v>
      </c>
      <c r="H141" s="50">
        <f t="shared" si="4"/>
        <v>6.786017445</v>
      </c>
      <c r="I141" s="51">
        <f t="shared" si="5"/>
        <v>4151.617613</v>
      </c>
      <c r="J141" s="58"/>
      <c r="K141" s="58"/>
      <c r="L141" s="59"/>
      <c r="M141" s="52">
        <v>4411.0</v>
      </c>
      <c r="N141" s="46">
        <f t="shared" si="6"/>
        <v>299.3312295</v>
      </c>
    </row>
    <row r="142">
      <c r="A142" s="45">
        <v>30904.0</v>
      </c>
      <c r="B142" s="45" t="s">
        <v>198</v>
      </c>
      <c r="C142" s="46">
        <v>55723.0</v>
      </c>
      <c r="D142" s="47">
        <v>84.1</v>
      </c>
      <c r="E142" s="48">
        <v>6.2</v>
      </c>
      <c r="F142" s="49">
        <f t="shared" si="2"/>
        <v>8.9912</v>
      </c>
      <c r="G142" s="49">
        <f t="shared" si="19"/>
        <v>1.057266729</v>
      </c>
      <c r="H142" s="50">
        <f t="shared" si="4"/>
        <v>6.555053723</v>
      </c>
      <c r="I142" s="51">
        <f t="shared" si="5"/>
        <v>3652.672586</v>
      </c>
      <c r="J142" s="58"/>
      <c r="K142" s="58"/>
      <c r="L142" s="59"/>
      <c r="M142" s="52">
        <v>4607.0</v>
      </c>
      <c r="N142" s="46">
        <f t="shared" si="6"/>
        <v>301.991325</v>
      </c>
    </row>
    <row r="143">
      <c r="A143" s="45">
        <v>30905.0</v>
      </c>
      <c r="B143" s="45" t="s">
        <v>199</v>
      </c>
      <c r="C143" s="46">
        <v>65295.0</v>
      </c>
      <c r="D143" s="47">
        <v>100.0</v>
      </c>
      <c r="E143" s="48">
        <v>6.2</v>
      </c>
      <c r="F143" s="49">
        <f t="shared" si="2"/>
        <v>9.5</v>
      </c>
      <c r="G143" s="49">
        <f t="shared" si="19"/>
        <v>1.117096042</v>
      </c>
      <c r="H143" s="50">
        <f t="shared" si="4"/>
        <v>6.925995458</v>
      </c>
      <c r="I143" s="51">
        <f t="shared" si="5"/>
        <v>4522.328735</v>
      </c>
      <c r="J143" s="58"/>
      <c r="K143" s="58"/>
      <c r="L143" s="59"/>
      <c r="M143" s="52">
        <v>4337.0</v>
      </c>
      <c r="N143" s="46">
        <f t="shared" si="6"/>
        <v>300.380423</v>
      </c>
    </row>
    <row r="144">
      <c r="A144" s="45">
        <v>31001.0</v>
      </c>
      <c r="B144" s="45" t="s">
        <v>200</v>
      </c>
      <c r="C144" s="46">
        <v>215207.0</v>
      </c>
      <c r="D144" s="47">
        <v>87.6</v>
      </c>
      <c r="E144" s="48">
        <v>6.2</v>
      </c>
      <c r="F144" s="49">
        <f t="shared" si="2"/>
        <v>9.1032</v>
      </c>
      <c r="G144" s="49">
        <f t="shared" si="19"/>
        <v>1.070436704</v>
      </c>
      <c r="H144" s="50">
        <f t="shared" si="4"/>
        <v>6.636707564</v>
      </c>
      <c r="I144" s="51">
        <f t="shared" si="5"/>
        <v>14282.65925</v>
      </c>
      <c r="J144" s="58"/>
      <c r="K144" s="58"/>
      <c r="L144" s="59"/>
      <c r="M144" s="52">
        <v>15670.0</v>
      </c>
      <c r="N144" s="46">
        <f t="shared" si="6"/>
        <v>1039.972075</v>
      </c>
    </row>
    <row r="145">
      <c r="A145" s="45">
        <v>31002.0</v>
      </c>
      <c r="B145" s="45" t="s">
        <v>201</v>
      </c>
      <c r="C145" s="46">
        <v>21633.0</v>
      </c>
      <c r="D145" s="47">
        <v>19.6</v>
      </c>
      <c r="E145" s="48">
        <v>6.2</v>
      </c>
      <c r="F145" s="49">
        <f t="shared" si="2"/>
        <v>6.9272</v>
      </c>
      <c r="G145" s="49">
        <f t="shared" si="19"/>
        <v>0.8145629158</v>
      </c>
      <c r="H145" s="50">
        <f t="shared" si="4"/>
        <v>5.050290078</v>
      </c>
      <c r="I145" s="51">
        <f t="shared" si="5"/>
        <v>1092.529253</v>
      </c>
      <c r="J145" s="58"/>
      <c r="K145" s="58"/>
      <c r="L145" s="59"/>
      <c r="M145" s="52">
        <v>1832.0</v>
      </c>
      <c r="N145" s="46">
        <f t="shared" si="6"/>
        <v>92.52131423</v>
      </c>
    </row>
    <row r="146">
      <c r="A146" s="45">
        <v>31003.0</v>
      </c>
      <c r="B146" s="45" t="s">
        <v>202</v>
      </c>
      <c r="C146" s="46">
        <v>91884.0</v>
      </c>
      <c r="D146" s="47">
        <v>12.0</v>
      </c>
      <c r="E146" s="48">
        <v>6.2</v>
      </c>
      <c r="F146" s="49">
        <f t="shared" si="2"/>
        <v>6.684</v>
      </c>
      <c r="G146" s="49">
        <f t="shared" si="19"/>
        <v>0.7859652571</v>
      </c>
      <c r="H146" s="50">
        <f t="shared" si="4"/>
        <v>4.872984594</v>
      </c>
      <c r="I146" s="51">
        <f t="shared" si="5"/>
        <v>4477.493164</v>
      </c>
      <c r="J146" s="58"/>
      <c r="K146" s="58"/>
      <c r="L146" s="59"/>
      <c r="M146" s="52">
        <v>8125.0</v>
      </c>
      <c r="N146" s="46">
        <f t="shared" si="6"/>
        <v>395.9299983</v>
      </c>
    </row>
    <row r="147">
      <c r="A147" s="45">
        <v>31101.0</v>
      </c>
      <c r="B147" s="45" t="s">
        <v>203</v>
      </c>
      <c r="C147" s="46">
        <v>24663.0</v>
      </c>
      <c r="D147" s="47">
        <v>0.0</v>
      </c>
      <c r="E147" s="48">
        <v>6.2</v>
      </c>
      <c r="F147" s="49">
        <f t="shared" si="2"/>
        <v>6.3</v>
      </c>
      <c r="G147" s="49">
        <f t="shared" si="19"/>
        <v>0.7408110592</v>
      </c>
      <c r="H147" s="50">
        <f t="shared" si="4"/>
        <v>4.593028567</v>
      </c>
      <c r="I147" s="51">
        <f t="shared" si="5"/>
        <v>1132.778636</v>
      </c>
      <c r="J147" s="58"/>
      <c r="K147" s="58"/>
      <c r="L147" s="59"/>
      <c r="M147" s="52">
        <v>2234.0</v>
      </c>
      <c r="N147" s="46">
        <f t="shared" si="6"/>
        <v>102.6082582</v>
      </c>
    </row>
    <row r="148">
      <c r="A148" s="45">
        <v>31201.0</v>
      </c>
      <c r="B148" s="45" t="s">
        <v>204</v>
      </c>
      <c r="C148" s="46">
        <v>14808.0</v>
      </c>
      <c r="D148" s="47">
        <v>0.0</v>
      </c>
      <c r="E148" s="48">
        <v>6.2</v>
      </c>
      <c r="F148" s="49">
        <f t="shared" si="2"/>
        <v>6.3</v>
      </c>
      <c r="G148" s="49">
        <f t="shared" si="19"/>
        <v>0.7408110592</v>
      </c>
      <c r="H148" s="50">
        <f t="shared" si="4"/>
        <v>4.593028567</v>
      </c>
      <c r="I148" s="51">
        <f t="shared" si="5"/>
        <v>680.1356702</v>
      </c>
      <c r="J148" s="58"/>
      <c r="K148" s="58"/>
      <c r="L148" s="59"/>
      <c r="M148" s="52">
        <v>1548.0</v>
      </c>
      <c r="N148" s="46">
        <f t="shared" si="6"/>
        <v>71.10008222</v>
      </c>
    </row>
    <row r="149">
      <c r="A149" s="45">
        <v>31202.0</v>
      </c>
      <c r="B149" s="45" t="s">
        <v>205</v>
      </c>
      <c r="C149" s="46">
        <v>11723.0</v>
      </c>
      <c r="D149" s="47">
        <v>0.0</v>
      </c>
      <c r="E149" s="48">
        <v>6.2</v>
      </c>
      <c r="F149" s="49">
        <f t="shared" si="2"/>
        <v>6.3</v>
      </c>
      <c r="G149" s="49">
        <f t="shared" si="19"/>
        <v>0.7408110592</v>
      </c>
      <c r="H149" s="50">
        <f t="shared" si="4"/>
        <v>4.593028567</v>
      </c>
      <c r="I149" s="51">
        <f t="shared" si="5"/>
        <v>538.4407389</v>
      </c>
      <c r="J149" s="58"/>
      <c r="K149" s="58"/>
      <c r="L149" s="59"/>
      <c r="M149" s="52">
        <v>1125.0</v>
      </c>
      <c r="N149" s="46">
        <f t="shared" si="6"/>
        <v>51.67157138</v>
      </c>
    </row>
    <row r="150">
      <c r="A150" s="45">
        <v>31203.0</v>
      </c>
      <c r="B150" s="45" t="s">
        <v>206</v>
      </c>
      <c r="C150" s="46">
        <v>12132.0</v>
      </c>
      <c r="D150" s="47">
        <v>0.0</v>
      </c>
      <c r="E150" s="48">
        <v>6.2</v>
      </c>
      <c r="F150" s="49">
        <f t="shared" si="2"/>
        <v>6.3</v>
      </c>
      <c r="G150" s="49">
        <f t="shared" si="19"/>
        <v>0.7408110592</v>
      </c>
      <c r="H150" s="50">
        <f t="shared" si="4"/>
        <v>4.593028567</v>
      </c>
      <c r="I150" s="51">
        <f t="shared" si="5"/>
        <v>557.2262258</v>
      </c>
      <c r="J150" s="58"/>
      <c r="K150" s="58"/>
      <c r="L150" s="59"/>
      <c r="M150" s="52">
        <v>942.0</v>
      </c>
      <c r="N150" s="46">
        <f t="shared" si="6"/>
        <v>43.2663291</v>
      </c>
    </row>
    <row r="151">
      <c r="A151" s="45">
        <v>31204.0</v>
      </c>
      <c r="B151" s="45" t="s">
        <v>207</v>
      </c>
      <c r="C151" s="46">
        <v>27039.0</v>
      </c>
      <c r="D151" s="47">
        <v>38.5</v>
      </c>
      <c r="E151" s="48">
        <v>6.2</v>
      </c>
      <c r="F151" s="49">
        <f t="shared" si="2"/>
        <v>7.532</v>
      </c>
      <c r="G151" s="49">
        <f t="shared" si="19"/>
        <v>0.8856807775</v>
      </c>
      <c r="H151" s="50">
        <f t="shared" si="4"/>
        <v>5.49122082</v>
      </c>
      <c r="I151" s="51">
        <f t="shared" si="5"/>
        <v>1484.771198</v>
      </c>
      <c r="J151" s="58"/>
      <c r="K151" s="58"/>
      <c r="L151" s="59"/>
      <c r="M151" s="52">
        <v>2349.0</v>
      </c>
      <c r="N151" s="46">
        <f t="shared" si="6"/>
        <v>128.9887771</v>
      </c>
    </row>
    <row r="152">
      <c r="A152" s="45">
        <v>31205.0</v>
      </c>
      <c r="B152" s="45" t="s">
        <v>208</v>
      </c>
      <c r="C152" s="46">
        <v>63098.0</v>
      </c>
      <c r="D152" s="47">
        <v>34.9</v>
      </c>
      <c r="E152" s="48">
        <v>6.2</v>
      </c>
      <c r="F152" s="49">
        <f t="shared" si="2"/>
        <v>7.4168</v>
      </c>
      <c r="G152" s="49">
        <f t="shared" si="19"/>
        <v>0.8721345181</v>
      </c>
      <c r="H152" s="50">
        <f t="shared" si="4"/>
        <v>5.407234012</v>
      </c>
      <c r="I152" s="51">
        <f t="shared" si="5"/>
        <v>3411.856517</v>
      </c>
      <c r="J152" s="58"/>
      <c r="K152" s="58"/>
      <c r="L152" s="59"/>
      <c r="M152" s="52">
        <v>5838.0</v>
      </c>
      <c r="N152" s="46">
        <f t="shared" si="6"/>
        <v>315.6743216</v>
      </c>
    </row>
    <row r="153">
      <c r="A153" s="45">
        <v>31206.0</v>
      </c>
      <c r="B153" s="45" t="s">
        <v>209</v>
      </c>
      <c r="C153" s="46">
        <v>44594.0</v>
      </c>
      <c r="D153" s="47">
        <v>60.8</v>
      </c>
      <c r="E153" s="48">
        <v>6.2</v>
      </c>
      <c r="F153" s="49">
        <f t="shared" si="2"/>
        <v>8.2456</v>
      </c>
      <c r="G153" s="49">
        <f t="shared" si="19"/>
        <v>0.9695923286</v>
      </c>
      <c r="H153" s="50">
        <f t="shared" si="4"/>
        <v>6.011472437</v>
      </c>
      <c r="I153" s="51">
        <f t="shared" si="5"/>
        <v>2680.756019</v>
      </c>
      <c r="J153" s="58"/>
      <c r="K153" s="58"/>
      <c r="L153" s="59"/>
      <c r="M153" s="52">
        <v>4067.0</v>
      </c>
      <c r="N153" s="46">
        <f t="shared" si="6"/>
        <v>244.486584</v>
      </c>
    </row>
    <row r="154">
      <c r="A154" s="45">
        <v>31301.0</v>
      </c>
      <c r="B154" s="45" t="s">
        <v>210</v>
      </c>
      <c r="C154" s="46">
        <v>19893.0</v>
      </c>
      <c r="D154" s="47">
        <v>29.8</v>
      </c>
      <c r="E154" s="48">
        <v>6.2</v>
      </c>
      <c r="F154" s="49">
        <f t="shared" si="2"/>
        <v>7.2536</v>
      </c>
      <c r="G154" s="49">
        <f t="shared" si="19"/>
        <v>0.852943984</v>
      </c>
      <c r="H154" s="50">
        <f t="shared" si="4"/>
        <v>5.288252701</v>
      </c>
      <c r="I154" s="51">
        <f t="shared" si="5"/>
        <v>1051.99211</v>
      </c>
      <c r="J154" s="58"/>
      <c r="K154" s="58"/>
      <c r="L154" s="59"/>
      <c r="M154" s="52">
        <v>1766.0</v>
      </c>
      <c r="N154" s="46">
        <f t="shared" si="6"/>
        <v>93.39054269</v>
      </c>
    </row>
    <row r="155">
      <c r="A155" s="45">
        <v>31302.0</v>
      </c>
      <c r="B155" s="45" t="s">
        <v>211</v>
      </c>
      <c r="C155" s="46">
        <v>5262.0</v>
      </c>
      <c r="D155" s="47">
        <v>0.0</v>
      </c>
      <c r="E155" s="48">
        <v>6.2</v>
      </c>
      <c r="F155" s="49">
        <f t="shared" si="2"/>
        <v>6.3</v>
      </c>
      <c r="G155" s="49">
        <f t="shared" si="19"/>
        <v>0.7408110592</v>
      </c>
      <c r="H155" s="50">
        <f t="shared" si="4"/>
        <v>4.593028567</v>
      </c>
      <c r="I155" s="51">
        <f t="shared" si="5"/>
        <v>241.6851632</v>
      </c>
      <c r="J155" s="58"/>
      <c r="K155" s="58"/>
      <c r="L155" s="59"/>
      <c r="M155" s="52">
        <v>722.0</v>
      </c>
      <c r="N155" s="46">
        <f t="shared" si="6"/>
        <v>33.16166625</v>
      </c>
    </row>
    <row r="156">
      <c r="A156" s="45">
        <v>31303.0</v>
      </c>
      <c r="B156" s="45" t="s">
        <v>212</v>
      </c>
      <c r="C156" s="46">
        <v>3507.0</v>
      </c>
      <c r="D156" s="47">
        <v>0.0</v>
      </c>
      <c r="E156" s="48">
        <v>6.2</v>
      </c>
      <c r="F156" s="49">
        <f t="shared" si="2"/>
        <v>6.3</v>
      </c>
      <c r="G156" s="49">
        <f t="shared" si="19"/>
        <v>0.7408110592</v>
      </c>
      <c r="H156" s="50">
        <f t="shared" si="4"/>
        <v>4.593028567</v>
      </c>
      <c r="I156" s="51">
        <f t="shared" si="5"/>
        <v>161.0775118</v>
      </c>
      <c r="J156" s="58"/>
      <c r="K156" s="58"/>
      <c r="L156" s="59"/>
      <c r="M156" s="52">
        <v>282.0</v>
      </c>
      <c r="N156" s="46">
        <f t="shared" si="6"/>
        <v>12.95234056</v>
      </c>
    </row>
    <row r="157">
      <c r="A157" s="45">
        <v>31304.0</v>
      </c>
      <c r="B157" s="45" t="s">
        <v>213</v>
      </c>
      <c r="C157" s="46">
        <v>7971.0</v>
      </c>
      <c r="D157" s="47">
        <v>0.0</v>
      </c>
      <c r="E157" s="48">
        <v>6.2</v>
      </c>
      <c r="F157" s="49">
        <f t="shared" si="2"/>
        <v>6.3</v>
      </c>
      <c r="G157" s="49">
        <f t="shared" si="19"/>
        <v>0.7408110592</v>
      </c>
      <c r="H157" s="50">
        <f t="shared" si="4"/>
        <v>4.593028567</v>
      </c>
      <c r="I157" s="51">
        <f t="shared" si="5"/>
        <v>366.1103071</v>
      </c>
      <c r="J157" s="58"/>
      <c r="K157" s="58"/>
      <c r="L157" s="59"/>
      <c r="M157" s="52">
        <v>846.0</v>
      </c>
      <c r="N157" s="46">
        <f t="shared" si="6"/>
        <v>38.85702168</v>
      </c>
    </row>
    <row r="158">
      <c r="A158" s="45">
        <v>31401.0</v>
      </c>
      <c r="B158" s="45" t="s">
        <v>214</v>
      </c>
      <c r="C158" s="46">
        <v>34718.0</v>
      </c>
      <c r="D158" s="47">
        <v>74.8</v>
      </c>
      <c r="E158" s="48">
        <v>6.2</v>
      </c>
      <c r="F158" s="49">
        <f t="shared" si="2"/>
        <v>8.6936</v>
      </c>
      <c r="G158" s="49">
        <f t="shared" si="19"/>
        <v>1.022272226</v>
      </c>
      <c r="H158" s="50">
        <f t="shared" si="4"/>
        <v>6.338087802</v>
      </c>
      <c r="I158" s="51">
        <f t="shared" si="5"/>
        <v>2200.457323</v>
      </c>
      <c r="J158" s="58"/>
      <c r="K158" s="58"/>
      <c r="L158" s="59"/>
      <c r="M158" s="52">
        <v>2537.0</v>
      </c>
      <c r="N158" s="46">
        <f t="shared" si="6"/>
        <v>160.7972875</v>
      </c>
    </row>
    <row r="159">
      <c r="A159" s="45">
        <v>31402.0</v>
      </c>
      <c r="B159" s="45" t="s">
        <v>215</v>
      </c>
      <c r="C159" s="46">
        <v>8560.0</v>
      </c>
      <c r="D159" s="47">
        <v>28.6</v>
      </c>
      <c r="E159" s="48">
        <v>6.2</v>
      </c>
      <c r="F159" s="49">
        <f t="shared" si="2"/>
        <v>7.2152</v>
      </c>
      <c r="G159" s="49">
        <f t="shared" si="19"/>
        <v>0.8484285642</v>
      </c>
      <c r="H159" s="50">
        <f t="shared" si="4"/>
        <v>5.260257098</v>
      </c>
      <c r="I159" s="51">
        <f t="shared" si="5"/>
        <v>450.2780076</v>
      </c>
      <c r="J159" s="58"/>
      <c r="K159" s="58"/>
      <c r="L159" s="59"/>
      <c r="M159" s="52">
        <v>669.0</v>
      </c>
      <c r="N159" s="46">
        <f t="shared" si="6"/>
        <v>35.19111999</v>
      </c>
    </row>
    <row r="160">
      <c r="A160" s="45">
        <v>31403.0</v>
      </c>
      <c r="B160" s="45" t="s">
        <v>216</v>
      </c>
      <c r="C160" s="46">
        <v>13096.0</v>
      </c>
      <c r="D160" s="47">
        <v>63.0</v>
      </c>
      <c r="E160" s="48">
        <v>6.2</v>
      </c>
      <c r="F160" s="49">
        <f t="shared" si="2"/>
        <v>8.316</v>
      </c>
      <c r="G160" s="49">
        <f t="shared" si="19"/>
        <v>0.9778705982</v>
      </c>
      <c r="H160" s="50">
        <f t="shared" si="4"/>
        <v>6.062797709</v>
      </c>
      <c r="I160" s="51">
        <f t="shared" si="5"/>
        <v>793.9839879</v>
      </c>
      <c r="J160" s="58"/>
      <c r="K160" s="58"/>
      <c r="L160" s="59"/>
      <c r="M160" s="52">
        <v>957.0</v>
      </c>
      <c r="N160" s="46">
        <f t="shared" si="6"/>
        <v>58.02097407</v>
      </c>
    </row>
    <row r="161">
      <c r="A161" s="45">
        <v>31404.0</v>
      </c>
      <c r="B161" s="45" t="s">
        <v>217</v>
      </c>
      <c r="C161" s="46">
        <v>1288.0</v>
      </c>
      <c r="D161" s="47">
        <v>0.0</v>
      </c>
      <c r="E161" s="48">
        <v>6.2</v>
      </c>
      <c r="F161" s="49">
        <f t="shared" si="2"/>
        <v>6.3</v>
      </c>
      <c r="G161" s="49">
        <f t="shared" si="19"/>
        <v>0.7408110592</v>
      </c>
      <c r="H161" s="50">
        <f t="shared" si="4"/>
        <v>4.593028567</v>
      </c>
      <c r="I161" s="51">
        <f t="shared" si="5"/>
        <v>59.15820794</v>
      </c>
      <c r="J161" s="58"/>
      <c r="K161" s="58"/>
      <c r="L161" s="59"/>
      <c r="M161" s="52">
        <v>86.0</v>
      </c>
      <c r="N161" s="46">
        <f t="shared" si="6"/>
        <v>3.950004568</v>
      </c>
    </row>
    <row r="162">
      <c r="A162" s="45">
        <v>31405.0</v>
      </c>
      <c r="B162" s="45" t="s">
        <v>218</v>
      </c>
      <c r="C162" s="46">
        <v>3734.0</v>
      </c>
      <c r="D162" s="47">
        <v>0.0</v>
      </c>
      <c r="E162" s="48">
        <v>6.2</v>
      </c>
      <c r="F162" s="49">
        <f t="shared" si="2"/>
        <v>6.3</v>
      </c>
      <c r="G162" s="49">
        <f t="shared" si="19"/>
        <v>0.7408110592</v>
      </c>
      <c r="H162" s="50">
        <f t="shared" si="4"/>
        <v>4.593028567</v>
      </c>
      <c r="I162" s="51">
        <f t="shared" si="5"/>
        <v>171.5036867</v>
      </c>
      <c r="J162" s="58"/>
      <c r="K162" s="58"/>
      <c r="L162" s="59"/>
      <c r="M162" s="52">
        <v>244.0</v>
      </c>
      <c r="N162" s="46">
        <f t="shared" si="6"/>
        <v>11.2069897</v>
      </c>
    </row>
    <row r="163">
      <c r="A163" s="45">
        <v>31501.0</v>
      </c>
      <c r="B163" s="45" t="s">
        <v>219</v>
      </c>
      <c r="C163" s="46">
        <v>8198.0</v>
      </c>
      <c r="D163" s="47">
        <v>0.0</v>
      </c>
      <c r="E163" s="48">
        <v>6.2</v>
      </c>
      <c r="F163" s="49">
        <f t="shared" si="2"/>
        <v>6.3</v>
      </c>
      <c r="G163" s="49">
        <f t="shared" si="19"/>
        <v>0.7408110592</v>
      </c>
      <c r="H163" s="50">
        <f t="shared" si="4"/>
        <v>4.593028567</v>
      </c>
      <c r="I163" s="51">
        <f t="shared" si="5"/>
        <v>376.5364819</v>
      </c>
      <c r="J163" s="58"/>
      <c r="K163" s="58"/>
      <c r="L163" s="59"/>
      <c r="M163" s="52">
        <v>735.0</v>
      </c>
      <c r="N163" s="46">
        <f t="shared" si="6"/>
        <v>33.75875997</v>
      </c>
    </row>
    <row r="164">
      <c r="A164" s="45">
        <v>31601.0</v>
      </c>
      <c r="B164" s="45" t="s">
        <v>220</v>
      </c>
      <c r="C164" s="46">
        <v>18705.0</v>
      </c>
      <c r="D164" s="47">
        <v>13.7</v>
      </c>
      <c r="E164" s="48">
        <v>6.2</v>
      </c>
      <c r="F164" s="49">
        <f t="shared" si="2"/>
        <v>6.7384</v>
      </c>
      <c r="G164" s="49">
        <f t="shared" si="19"/>
        <v>0.7923621018</v>
      </c>
      <c r="H164" s="50">
        <f t="shared" si="4"/>
        <v>4.912645031</v>
      </c>
      <c r="I164" s="51">
        <f t="shared" si="5"/>
        <v>918.9102531</v>
      </c>
      <c r="J164" s="58"/>
      <c r="K164" s="58"/>
      <c r="L164" s="59"/>
      <c r="M164" s="52">
        <v>1488.0</v>
      </c>
      <c r="N164" s="46">
        <f t="shared" si="6"/>
        <v>73.10015806</v>
      </c>
    </row>
    <row r="165">
      <c r="A165" s="45">
        <v>31602.0</v>
      </c>
      <c r="B165" s="45" t="s">
        <v>221</v>
      </c>
      <c r="C165" s="46">
        <v>26644.0</v>
      </c>
      <c r="D165" s="47">
        <v>31.1</v>
      </c>
      <c r="E165" s="48">
        <v>6.2</v>
      </c>
      <c r="F165" s="49">
        <f t="shared" si="2"/>
        <v>7.2952</v>
      </c>
      <c r="G165" s="49">
        <f t="shared" si="19"/>
        <v>0.8578356888</v>
      </c>
      <c r="H165" s="50">
        <f t="shared" si="4"/>
        <v>5.31858127</v>
      </c>
      <c r="I165" s="51">
        <f t="shared" si="5"/>
        <v>1417.082794</v>
      </c>
      <c r="J165" s="45"/>
      <c r="K165" s="45"/>
      <c r="L165" s="45"/>
      <c r="M165" s="52">
        <v>2356.0</v>
      </c>
      <c r="N165" s="46">
        <f t="shared" si="6"/>
        <v>125.3057747</v>
      </c>
    </row>
    <row r="166">
      <c r="A166" s="45">
        <v>40101.0</v>
      </c>
      <c r="B166" s="45" t="s">
        <v>57</v>
      </c>
      <c r="C166" s="46">
        <v>295566.0</v>
      </c>
      <c r="D166" s="47">
        <v>100.0</v>
      </c>
      <c r="E166" s="45">
        <v>7.2</v>
      </c>
      <c r="F166" s="49">
        <f t="shared" si="2"/>
        <v>9.5</v>
      </c>
      <c r="G166" s="49">
        <f t="shared" ref="G166:G200" si="20">0.86*F166/F$345</f>
        <v>1.143693566</v>
      </c>
      <c r="H166" s="50">
        <f t="shared" si="4"/>
        <v>8.234593679</v>
      </c>
      <c r="I166" s="51">
        <f t="shared" si="5"/>
        <v>24338.65915</v>
      </c>
      <c r="J166" s="52">
        <f>SUM(C166:C200)</f>
        <v>565067.75</v>
      </c>
      <c r="K166" s="52">
        <f>SUM(I166:I200)</f>
        <v>40709.65857</v>
      </c>
      <c r="L166" s="53">
        <f>K166/J166</f>
        <v>0.07204385415</v>
      </c>
      <c r="M166" s="52">
        <v>22433.0</v>
      </c>
      <c r="N166" s="46">
        <f t="shared" si="6"/>
        <v>1847.2664</v>
      </c>
    </row>
    <row r="167">
      <c r="A167" s="45">
        <v>40102.0</v>
      </c>
      <c r="B167" s="45" t="s">
        <v>222</v>
      </c>
      <c r="C167" s="46">
        <v>22872.0</v>
      </c>
      <c r="D167" s="47">
        <v>32.2</v>
      </c>
      <c r="E167" s="45">
        <v>7.2</v>
      </c>
      <c r="F167" s="49">
        <f t="shared" si="2"/>
        <v>7.3304</v>
      </c>
      <c r="G167" s="49">
        <f t="shared" si="20"/>
        <v>0.8824980337</v>
      </c>
      <c r="H167" s="50">
        <f t="shared" si="4"/>
        <v>6.353985842</v>
      </c>
      <c r="I167" s="51">
        <f t="shared" si="5"/>
        <v>1453.283642</v>
      </c>
      <c r="J167" s="58"/>
      <c r="K167" s="58"/>
      <c r="L167" s="59"/>
      <c r="M167" s="52">
        <v>1769.0</v>
      </c>
      <c r="N167" s="46">
        <f t="shared" si="6"/>
        <v>112.4020096</v>
      </c>
    </row>
    <row r="168">
      <c r="A168" s="45">
        <v>40103.0</v>
      </c>
      <c r="B168" s="45" t="s">
        <v>223</v>
      </c>
      <c r="C168" s="46">
        <v>9891.0</v>
      </c>
      <c r="D168" s="47">
        <v>0.0</v>
      </c>
      <c r="E168" s="45">
        <v>7.2</v>
      </c>
      <c r="F168" s="49">
        <f t="shared" si="2"/>
        <v>6.3</v>
      </c>
      <c r="G168" s="49">
        <f t="shared" si="20"/>
        <v>0.7584494178</v>
      </c>
      <c r="H168" s="50">
        <f t="shared" si="4"/>
        <v>5.460835808</v>
      </c>
      <c r="I168" s="51">
        <f t="shared" si="5"/>
        <v>540.1312698</v>
      </c>
      <c r="J168" s="58"/>
      <c r="K168" s="58"/>
      <c r="L168" s="59"/>
      <c r="M168" s="52">
        <v>891.0</v>
      </c>
      <c r="N168" s="46">
        <f t="shared" si="6"/>
        <v>48.65604705</v>
      </c>
    </row>
    <row r="169">
      <c r="A169" s="45">
        <v>40104.0</v>
      </c>
      <c r="B169" s="45" t="s">
        <v>224</v>
      </c>
      <c r="C169" s="46">
        <v>15521.0</v>
      </c>
      <c r="D169" s="47">
        <v>0.0</v>
      </c>
      <c r="E169" s="45">
        <v>7.2</v>
      </c>
      <c r="F169" s="49">
        <f t="shared" si="2"/>
        <v>6.3</v>
      </c>
      <c r="G169" s="49">
        <f t="shared" si="20"/>
        <v>0.7584494178</v>
      </c>
      <c r="H169" s="50">
        <f t="shared" si="4"/>
        <v>5.460835808</v>
      </c>
      <c r="I169" s="51">
        <f t="shared" si="5"/>
        <v>847.5763257</v>
      </c>
      <c r="J169" s="58"/>
      <c r="K169" s="58"/>
      <c r="L169" s="59"/>
      <c r="M169" s="52">
        <v>1258.0</v>
      </c>
      <c r="N169" s="46">
        <f t="shared" si="6"/>
        <v>68.69731446</v>
      </c>
    </row>
    <row r="170">
      <c r="A170" s="45">
        <v>40201.0</v>
      </c>
      <c r="B170" s="45" t="s">
        <v>225</v>
      </c>
      <c r="C170" s="46">
        <v>34885.0</v>
      </c>
      <c r="D170" s="47">
        <v>37.2</v>
      </c>
      <c r="E170" s="45">
        <v>7.2</v>
      </c>
      <c r="F170" s="49">
        <f t="shared" si="2"/>
        <v>7.4904</v>
      </c>
      <c r="G170" s="49">
        <f t="shared" si="20"/>
        <v>0.9017602411</v>
      </c>
      <c r="H170" s="50">
        <f t="shared" si="4"/>
        <v>6.492673736</v>
      </c>
      <c r="I170" s="51">
        <f t="shared" si="5"/>
        <v>2264.969233</v>
      </c>
      <c r="J170" s="58"/>
      <c r="K170" s="58"/>
      <c r="L170" s="59"/>
      <c r="M170" s="52">
        <v>3035.0</v>
      </c>
      <c r="N170" s="46">
        <f t="shared" si="6"/>
        <v>197.0526479</v>
      </c>
    </row>
    <row r="171">
      <c r="A171" s="45">
        <v>40202.0</v>
      </c>
      <c r="B171" s="45" t="s">
        <v>226</v>
      </c>
      <c r="C171" s="46">
        <v>5069.0</v>
      </c>
      <c r="D171" s="47">
        <v>0.0</v>
      </c>
      <c r="E171" s="45">
        <v>7.2</v>
      </c>
      <c r="F171" s="49">
        <f t="shared" si="2"/>
        <v>6.3</v>
      </c>
      <c r="G171" s="49">
        <f t="shared" si="20"/>
        <v>0.7584494178</v>
      </c>
      <c r="H171" s="50">
        <f t="shared" si="4"/>
        <v>5.460835808</v>
      </c>
      <c r="I171" s="51">
        <f t="shared" si="5"/>
        <v>276.8097671</v>
      </c>
      <c r="J171" s="58"/>
      <c r="K171" s="58"/>
      <c r="L171" s="59"/>
      <c r="M171" s="52">
        <v>295.0</v>
      </c>
      <c r="N171" s="46">
        <f t="shared" si="6"/>
        <v>16.10946563</v>
      </c>
    </row>
    <row r="172">
      <c r="A172" s="45">
        <v>40301.0</v>
      </c>
      <c r="B172" s="45" t="s">
        <v>227</v>
      </c>
      <c r="C172" s="46">
        <v>15528.0</v>
      </c>
      <c r="D172" s="47">
        <v>0.0</v>
      </c>
      <c r="E172" s="45">
        <v>7.2</v>
      </c>
      <c r="F172" s="49">
        <f t="shared" si="2"/>
        <v>6.3</v>
      </c>
      <c r="G172" s="49">
        <f t="shared" si="20"/>
        <v>0.7584494178</v>
      </c>
      <c r="H172" s="50">
        <f t="shared" si="4"/>
        <v>5.460835808</v>
      </c>
      <c r="I172" s="51">
        <f t="shared" si="5"/>
        <v>847.9585843</v>
      </c>
      <c r="J172" s="58"/>
      <c r="K172" s="58"/>
      <c r="L172" s="59"/>
      <c r="M172" s="52">
        <v>1080.0</v>
      </c>
      <c r="N172" s="46">
        <f t="shared" si="6"/>
        <v>58.97702673</v>
      </c>
    </row>
    <row r="173">
      <c r="A173" s="45">
        <v>40302.0</v>
      </c>
      <c r="B173" s="45" t="s">
        <v>228</v>
      </c>
      <c r="C173" s="46">
        <v>2450.0</v>
      </c>
      <c r="D173" s="47">
        <v>0.0</v>
      </c>
      <c r="E173" s="45">
        <v>7.2</v>
      </c>
      <c r="F173" s="49">
        <f t="shared" si="2"/>
        <v>6.3</v>
      </c>
      <c r="G173" s="49">
        <f t="shared" si="20"/>
        <v>0.7584494178</v>
      </c>
      <c r="H173" s="50">
        <f t="shared" si="4"/>
        <v>5.460835808</v>
      </c>
      <c r="I173" s="51">
        <f t="shared" si="5"/>
        <v>133.7904773</v>
      </c>
      <c r="J173" s="58"/>
      <c r="K173" s="58"/>
      <c r="L173" s="59"/>
      <c r="M173" s="52">
        <v>167.0</v>
      </c>
      <c r="N173" s="46">
        <f t="shared" si="6"/>
        <v>9.119595799</v>
      </c>
    </row>
    <row r="174">
      <c r="A174" s="45">
        <v>40401.0</v>
      </c>
      <c r="B174" s="45" t="s">
        <v>229</v>
      </c>
      <c r="C174" s="46">
        <v>6475.0</v>
      </c>
      <c r="D174" s="47">
        <v>0.0</v>
      </c>
      <c r="E174" s="45">
        <v>7.2</v>
      </c>
      <c r="F174" s="49">
        <f t="shared" si="2"/>
        <v>6.3</v>
      </c>
      <c r="G174" s="49">
        <f t="shared" si="20"/>
        <v>0.7584494178</v>
      </c>
      <c r="H174" s="50">
        <f t="shared" si="4"/>
        <v>5.460835808</v>
      </c>
      <c r="I174" s="51">
        <f t="shared" si="5"/>
        <v>353.5891186</v>
      </c>
      <c r="J174" s="58"/>
      <c r="K174" s="58"/>
      <c r="L174" s="59"/>
      <c r="M174" s="52">
        <v>383.0</v>
      </c>
      <c r="N174" s="46">
        <f t="shared" si="6"/>
        <v>20.91500114</v>
      </c>
    </row>
    <row r="175">
      <c r="A175" s="45">
        <v>40402.0</v>
      </c>
      <c r="B175" s="45" t="s">
        <v>230</v>
      </c>
      <c r="C175" s="46">
        <v>5753.0</v>
      </c>
      <c r="D175" s="47">
        <v>0.0</v>
      </c>
      <c r="E175" s="45">
        <v>7.2</v>
      </c>
      <c r="F175" s="49">
        <f t="shared" si="2"/>
        <v>6.3</v>
      </c>
      <c r="G175" s="49">
        <f t="shared" si="20"/>
        <v>0.7584494178</v>
      </c>
      <c r="H175" s="50">
        <f t="shared" si="4"/>
        <v>5.460835808</v>
      </c>
      <c r="I175" s="51">
        <f t="shared" si="5"/>
        <v>314.161884</v>
      </c>
      <c r="J175" s="58"/>
      <c r="K175" s="58"/>
      <c r="L175" s="59"/>
      <c r="M175" s="52">
        <v>404.0</v>
      </c>
      <c r="N175" s="46">
        <f t="shared" si="6"/>
        <v>22.06177666</v>
      </c>
    </row>
    <row r="176">
      <c r="A176" s="45">
        <v>40501.0</v>
      </c>
      <c r="B176" s="45" t="s">
        <v>231</v>
      </c>
      <c r="C176" s="46">
        <v>3760.0</v>
      </c>
      <c r="D176" s="47">
        <v>88.6</v>
      </c>
      <c r="E176" s="45">
        <v>7.2</v>
      </c>
      <c r="F176" s="49">
        <f t="shared" si="2"/>
        <v>9.1352</v>
      </c>
      <c r="G176" s="49">
        <f t="shared" si="20"/>
        <v>1.099775734</v>
      </c>
      <c r="H176" s="50">
        <f t="shared" si="4"/>
        <v>7.918385281</v>
      </c>
      <c r="I176" s="51">
        <f t="shared" si="5"/>
        <v>297.7312866</v>
      </c>
      <c r="J176" s="58"/>
      <c r="K176" s="58"/>
      <c r="L176" s="59"/>
      <c r="M176" s="52">
        <v>235.0</v>
      </c>
      <c r="N176" s="46">
        <f t="shared" si="6"/>
        <v>18.60820541</v>
      </c>
    </row>
    <row r="177">
      <c r="A177" s="45">
        <v>40502.0</v>
      </c>
      <c r="B177" s="45" t="s">
        <v>232</v>
      </c>
      <c r="C177" s="46">
        <v>4230.0</v>
      </c>
      <c r="D177" s="47">
        <v>57.1</v>
      </c>
      <c r="E177" s="45">
        <v>7.2</v>
      </c>
      <c r="F177" s="49">
        <f t="shared" si="2"/>
        <v>8.1272</v>
      </c>
      <c r="G177" s="49">
        <f t="shared" si="20"/>
        <v>0.9784238267</v>
      </c>
      <c r="H177" s="50">
        <f t="shared" si="4"/>
        <v>7.044651552</v>
      </c>
      <c r="I177" s="51">
        <f t="shared" si="5"/>
        <v>297.9887607</v>
      </c>
      <c r="J177" s="58"/>
      <c r="K177" s="58"/>
      <c r="L177" s="59"/>
      <c r="M177" s="52">
        <v>359.0</v>
      </c>
      <c r="N177" s="46">
        <f t="shared" si="6"/>
        <v>25.29029907</v>
      </c>
    </row>
    <row r="178">
      <c r="A178" s="45">
        <v>40503.0</v>
      </c>
      <c r="B178" s="45" t="s">
        <v>233</v>
      </c>
      <c r="C178" s="46">
        <v>1555.0</v>
      </c>
      <c r="D178" s="47">
        <v>0.0</v>
      </c>
      <c r="E178" s="45">
        <v>7.2</v>
      </c>
      <c r="F178" s="49">
        <f t="shared" si="2"/>
        <v>6.3</v>
      </c>
      <c r="G178" s="49">
        <f t="shared" si="20"/>
        <v>0.7584494178</v>
      </c>
      <c r="H178" s="50">
        <f t="shared" si="4"/>
        <v>5.460835808</v>
      </c>
      <c r="I178" s="51">
        <f t="shared" si="5"/>
        <v>84.91599681</v>
      </c>
      <c r="J178" s="58"/>
      <c r="K178" s="58"/>
      <c r="L178" s="59"/>
      <c r="M178" s="52">
        <v>111.0</v>
      </c>
      <c r="N178" s="46">
        <f t="shared" si="6"/>
        <v>6.061527747</v>
      </c>
    </row>
    <row r="179">
      <c r="A179" s="45">
        <v>40504.0</v>
      </c>
      <c r="B179" s="45" t="s">
        <v>234</v>
      </c>
      <c r="C179" s="46">
        <v>844.9166667</v>
      </c>
      <c r="D179" s="47">
        <v>0.0</v>
      </c>
      <c r="E179" s="45">
        <v>7.2</v>
      </c>
      <c r="F179" s="49">
        <f t="shared" si="2"/>
        <v>6.3</v>
      </c>
      <c r="G179" s="49">
        <f t="shared" si="20"/>
        <v>0.7584494178</v>
      </c>
      <c r="H179" s="50">
        <f t="shared" si="4"/>
        <v>5.460835808</v>
      </c>
      <c r="I179" s="51">
        <f t="shared" si="5"/>
        <v>46.13951188</v>
      </c>
      <c r="J179" s="58"/>
      <c r="K179" s="58"/>
      <c r="L179" s="59"/>
      <c r="M179" s="52">
        <v>73.0</v>
      </c>
      <c r="N179" s="46">
        <f t="shared" si="6"/>
        <v>3.98641014</v>
      </c>
    </row>
    <row r="180">
      <c r="A180" s="45">
        <v>40505.0</v>
      </c>
      <c r="B180" s="45" t="s">
        <v>235</v>
      </c>
      <c r="C180" s="46">
        <v>3784.0</v>
      </c>
      <c r="D180" s="47">
        <v>0.0</v>
      </c>
      <c r="E180" s="45">
        <v>7.2</v>
      </c>
      <c r="F180" s="49">
        <f t="shared" si="2"/>
        <v>6.3</v>
      </c>
      <c r="G180" s="49">
        <f t="shared" si="20"/>
        <v>0.7584494178</v>
      </c>
      <c r="H180" s="50">
        <f t="shared" si="4"/>
        <v>5.460835808</v>
      </c>
      <c r="I180" s="51">
        <f t="shared" si="5"/>
        <v>206.638027</v>
      </c>
      <c r="J180" s="58"/>
      <c r="K180" s="58"/>
      <c r="L180" s="59"/>
      <c r="M180" s="52">
        <v>326.0</v>
      </c>
      <c r="N180" s="46">
        <f t="shared" si="6"/>
        <v>17.80232473</v>
      </c>
    </row>
    <row r="181">
      <c r="A181" s="45">
        <v>40601.0</v>
      </c>
      <c r="B181" s="45" t="s">
        <v>236</v>
      </c>
      <c r="C181" s="46">
        <v>9056.0</v>
      </c>
      <c r="D181" s="47">
        <v>50.6</v>
      </c>
      <c r="E181" s="45">
        <v>7.2</v>
      </c>
      <c r="F181" s="49">
        <f t="shared" si="2"/>
        <v>7.9192</v>
      </c>
      <c r="G181" s="49">
        <f t="shared" si="20"/>
        <v>0.953382957</v>
      </c>
      <c r="H181" s="50">
        <f t="shared" si="4"/>
        <v>6.864357291</v>
      </c>
      <c r="I181" s="51">
        <f t="shared" si="5"/>
        <v>621.6361962</v>
      </c>
      <c r="J181" s="58"/>
      <c r="K181" s="58"/>
      <c r="L181" s="59"/>
      <c r="M181" s="52">
        <v>751.0</v>
      </c>
      <c r="N181" s="46">
        <f t="shared" si="6"/>
        <v>51.55132325</v>
      </c>
    </row>
    <row r="182">
      <c r="A182" s="45">
        <v>40602.0</v>
      </c>
      <c r="B182" s="45" t="s">
        <v>237</v>
      </c>
      <c r="C182" s="46">
        <v>4393.0</v>
      </c>
      <c r="D182" s="47">
        <v>0.0</v>
      </c>
      <c r="E182" s="45">
        <v>7.2</v>
      </c>
      <c r="F182" s="49">
        <f t="shared" si="2"/>
        <v>6.3</v>
      </c>
      <c r="G182" s="49">
        <f t="shared" si="20"/>
        <v>0.7584494178</v>
      </c>
      <c r="H182" s="50">
        <f t="shared" si="4"/>
        <v>5.460835808</v>
      </c>
      <c r="I182" s="51">
        <f t="shared" si="5"/>
        <v>239.894517</v>
      </c>
      <c r="J182" s="58"/>
      <c r="K182" s="58"/>
      <c r="L182" s="59"/>
      <c r="M182" s="52">
        <v>331.0</v>
      </c>
      <c r="N182" s="46">
        <f t="shared" si="6"/>
        <v>18.07536652</v>
      </c>
    </row>
    <row r="183">
      <c r="A183" s="45">
        <v>40603.0</v>
      </c>
      <c r="B183" s="45" t="s">
        <v>238</v>
      </c>
      <c r="C183" s="46">
        <v>3633.0</v>
      </c>
      <c r="D183" s="47">
        <v>0.0</v>
      </c>
      <c r="E183" s="45">
        <v>7.2</v>
      </c>
      <c r="F183" s="49">
        <f t="shared" si="2"/>
        <v>6.3</v>
      </c>
      <c r="G183" s="49">
        <f t="shared" si="20"/>
        <v>0.7584494178</v>
      </c>
      <c r="H183" s="50">
        <f t="shared" si="4"/>
        <v>5.460835808</v>
      </c>
      <c r="I183" s="51">
        <f t="shared" si="5"/>
        <v>198.3921649</v>
      </c>
      <c r="J183" s="58"/>
      <c r="K183" s="58"/>
      <c r="L183" s="59"/>
      <c r="M183" s="52">
        <v>259.0</v>
      </c>
      <c r="N183" s="46">
        <f t="shared" si="6"/>
        <v>14.14356474</v>
      </c>
    </row>
    <row r="184">
      <c r="A184" s="45">
        <v>40701.0</v>
      </c>
      <c r="B184" s="45" t="s">
        <v>239</v>
      </c>
      <c r="C184" s="46">
        <v>20498.0</v>
      </c>
      <c r="D184" s="47">
        <v>80.9</v>
      </c>
      <c r="E184" s="45">
        <v>7.2</v>
      </c>
      <c r="F184" s="49">
        <f t="shared" si="2"/>
        <v>8.8888</v>
      </c>
      <c r="G184" s="49">
        <f t="shared" si="20"/>
        <v>1.070111934</v>
      </c>
      <c r="H184" s="50">
        <f t="shared" si="4"/>
        <v>7.704805925</v>
      </c>
      <c r="I184" s="51">
        <f t="shared" si="5"/>
        <v>1579.331119</v>
      </c>
      <c r="J184" s="58"/>
      <c r="K184" s="58"/>
      <c r="L184" s="59"/>
      <c r="M184" s="52">
        <v>1451.0</v>
      </c>
      <c r="N184" s="46">
        <f t="shared" si="6"/>
        <v>111.796734</v>
      </c>
    </row>
    <row r="185">
      <c r="A185" s="45">
        <v>40702.0</v>
      </c>
      <c r="B185" s="45" t="s">
        <v>240</v>
      </c>
      <c r="C185" s="46">
        <v>6012.0</v>
      </c>
      <c r="D185" s="47">
        <v>52.3</v>
      </c>
      <c r="E185" s="45">
        <v>7.2</v>
      </c>
      <c r="F185" s="49">
        <f t="shared" si="2"/>
        <v>7.9736</v>
      </c>
      <c r="G185" s="49">
        <f t="shared" si="20"/>
        <v>0.9599321075</v>
      </c>
      <c r="H185" s="50">
        <f t="shared" si="4"/>
        <v>6.911511174</v>
      </c>
      <c r="I185" s="51">
        <f t="shared" si="5"/>
        <v>415.5200518</v>
      </c>
      <c r="J185" s="58"/>
      <c r="K185" s="58"/>
      <c r="L185" s="59"/>
      <c r="M185" s="52">
        <v>442.0</v>
      </c>
      <c r="N185" s="46">
        <f t="shared" si="6"/>
        <v>30.54887939</v>
      </c>
    </row>
    <row r="186">
      <c r="A186" s="45">
        <v>40801.0</v>
      </c>
      <c r="B186" s="45" t="s">
        <v>241</v>
      </c>
      <c r="C186" s="46">
        <v>15596.0</v>
      </c>
      <c r="D186" s="47">
        <v>0.0</v>
      </c>
      <c r="E186" s="45">
        <v>7.2</v>
      </c>
      <c r="F186" s="49">
        <f t="shared" si="2"/>
        <v>6.3</v>
      </c>
      <c r="G186" s="49">
        <f t="shared" si="20"/>
        <v>0.7584494178</v>
      </c>
      <c r="H186" s="50">
        <f t="shared" si="4"/>
        <v>5.460835808</v>
      </c>
      <c r="I186" s="51">
        <f t="shared" si="5"/>
        <v>851.6719526</v>
      </c>
      <c r="J186" s="58"/>
      <c r="K186" s="58"/>
      <c r="L186" s="59"/>
      <c r="M186" s="52">
        <v>1217.0</v>
      </c>
      <c r="N186" s="46">
        <f t="shared" si="6"/>
        <v>66.45837178</v>
      </c>
    </row>
    <row r="187">
      <c r="A187" s="45">
        <v>40802.0</v>
      </c>
      <c r="B187" s="45" t="s">
        <v>242</v>
      </c>
      <c r="C187" s="46">
        <v>3178.0</v>
      </c>
      <c r="D187" s="47">
        <v>0.0</v>
      </c>
      <c r="E187" s="45">
        <v>7.2</v>
      </c>
      <c r="F187" s="49">
        <f t="shared" si="2"/>
        <v>6.3</v>
      </c>
      <c r="G187" s="49">
        <f t="shared" si="20"/>
        <v>0.7584494178</v>
      </c>
      <c r="H187" s="50">
        <f t="shared" si="4"/>
        <v>5.460835808</v>
      </c>
      <c r="I187" s="51">
        <f t="shared" si="5"/>
        <v>173.545362</v>
      </c>
      <c r="J187" s="58"/>
      <c r="K187" s="58"/>
      <c r="L187" s="59"/>
      <c r="M187" s="52">
        <v>231.0</v>
      </c>
      <c r="N187" s="46">
        <f t="shared" si="6"/>
        <v>12.61453072</v>
      </c>
    </row>
    <row r="188">
      <c r="A188" s="45">
        <v>40901.0</v>
      </c>
      <c r="B188" s="45" t="s">
        <v>243</v>
      </c>
      <c r="C188" s="46">
        <v>14880.0</v>
      </c>
      <c r="D188" s="47">
        <v>18.1</v>
      </c>
      <c r="E188" s="45">
        <v>7.2</v>
      </c>
      <c r="F188" s="49">
        <f t="shared" si="2"/>
        <v>6.8792</v>
      </c>
      <c r="G188" s="49">
        <f t="shared" si="20"/>
        <v>0.8281786087</v>
      </c>
      <c r="H188" s="50">
        <f t="shared" si="4"/>
        <v>5.962885983</v>
      </c>
      <c r="I188" s="51">
        <f t="shared" si="5"/>
        <v>887.2774342</v>
      </c>
      <c r="J188" s="58"/>
      <c r="K188" s="58"/>
      <c r="L188" s="59"/>
      <c r="M188" s="52">
        <v>1302.0</v>
      </c>
      <c r="N188" s="46">
        <f t="shared" si="6"/>
        <v>77.63677549</v>
      </c>
    </row>
    <row r="189">
      <c r="A189" s="45">
        <v>40902.0</v>
      </c>
      <c r="B189" s="45" t="s">
        <v>244</v>
      </c>
      <c r="C189" s="46">
        <v>1364.083333</v>
      </c>
      <c r="D189" s="47">
        <v>0.0</v>
      </c>
      <c r="E189" s="45">
        <v>7.2</v>
      </c>
      <c r="F189" s="49">
        <f t="shared" si="2"/>
        <v>6.3</v>
      </c>
      <c r="G189" s="49">
        <f t="shared" si="20"/>
        <v>0.7584494178</v>
      </c>
      <c r="H189" s="50">
        <f t="shared" si="4"/>
        <v>5.460835808</v>
      </c>
      <c r="I189" s="51">
        <f t="shared" si="5"/>
        <v>74.4903511</v>
      </c>
      <c r="J189" s="58"/>
      <c r="K189" s="58"/>
      <c r="L189" s="59"/>
      <c r="M189" s="52">
        <v>178.0</v>
      </c>
      <c r="N189" s="46">
        <f t="shared" si="6"/>
        <v>9.720287738</v>
      </c>
    </row>
    <row r="190">
      <c r="A190" s="45">
        <v>40903.0</v>
      </c>
      <c r="B190" s="45" t="s">
        <v>245</v>
      </c>
      <c r="C190" s="46">
        <v>2326.0</v>
      </c>
      <c r="D190" s="47">
        <v>0.0</v>
      </c>
      <c r="E190" s="45">
        <v>7.2</v>
      </c>
      <c r="F190" s="49">
        <f t="shared" si="2"/>
        <v>6.3</v>
      </c>
      <c r="G190" s="49">
        <f t="shared" si="20"/>
        <v>0.7584494178</v>
      </c>
      <c r="H190" s="50">
        <f t="shared" si="4"/>
        <v>5.460835808</v>
      </c>
      <c r="I190" s="51">
        <f t="shared" si="5"/>
        <v>127.0190409</v>
      </c>
      <c r="J190" s="58"/>
      <c r="K190" s="58"/>
      <c r="L190" s="59"/>
      <c r="M190" s="52">
        <v>218.0</v>
      </c>
      <c r="N190" s="46">
        <f t="shared" si="6"/>
        <v>11.90462206</v>
      </c>
    </row>
    <row r="191">
      <c r="A191" s="45">
        <v>41001.0</v>
      </c>
      <c r="B191" s="45" t="s">
        <v>246</v>
      </c>
      <c r="C191" s="46">
        <v>12031.0</v>
      </c>
      <c r="D191" s="47">
        <v>0.0</v>
      </c>
      <c r="E191" s="45">
        <v>7.2</v>
      </c>
      <c r="F191" s="49">
        <f t="shared" si="2"/>
        <v>6.3</v>
      </c>
      <c r="G191" s="49">
        <f t="shared" si="20"/>
        <v>0.7584494178</v>
      </c>
      <c r="H191" s="50">
        <f t="shared" si="4"/>
        <v>5.460835808</v>
      </c>
      <c r="I191" s="51">
        <f t="shared" si="5"/>
        <v>656.9931561</v>
      </c>
      <c r="J191" s="58"/>
      <c r="K191" s="58"/>
      <c r="L191" s="59"/>
      <c r="M191" s="52">
        <v>657.0</v>
      </c>
      <c r="N191" s="46">
        <f t="shared" si="6"/>
        <v>35.87769126</v>
      </c>
    </row>
    <row r="192">
      <c r="A192" s="45">
        <v>41101.0</v>
      </c>
      <c r="B192" s="45" t="s">
        <v>247</v>
      </c>
      <c r="C192" s="46">
        <v>5329.0</v>
      </c>
      <c r="D192" s="47">
        <v>41.7</v>
      </c>
      <c r="E192" s="45">
        <v>7.2</v>
      </c>
      <c r="F192" s="49">
        <f t="shared" si="2"/>
        <v>7.6344</v>
      </c>
      <c r="G192" s="49">
        <f t="shared" si="20"/>
        <v>0.9190962278</v>
      </c>
      <c r="H192" s="50">
        <f t="shared" si="4"/>
        <v>6.61749284</v>
      </c>
      <c r="I192" s="51">
        <f t="shared" si="5"/>
        <v>352.6461934</v>
      </c>
      <c r="J192" s="58"/>
      <c r="K192" s="58"/>
      <c r="L192" s="59"/>
      <c r="M192" s="52">
        <v>403.0</v>
      </c>
      <c r="N192" s="46">
        <f t="shared" si="6"/>
        <v>26.66849615</v>
      </c>
    </row>
    <row r="193">
      <c r="A193" s="45">
        <v>41201.0</v>
      </c>
      <c r="B193" s="45" t="s">
        <v>248</v>
      </c>
      <c r="C193" s="46">
        <v>6220.0</v>
      </c>
      <c r="D193" s="47">
        <v>0.0</v>
      </c>
      <c r="E193" s="45">
        <v>7.2</v>
      </c>
      <c r="F193" s="49">
        <f t="shared" si="2"/>
        <v>6.3</v>
      </c>
      <c r="G193" s="49">
        <f t="shared" si="20"/>
        <v>0.7584494178</v>
      </c>
      <c r="H193" s="50">
        <f t="shared" si="4"/>
        <v>5.460835808</v>
      </c>
      <c r="I193" s="51">
        <f t="shared" si="5"/>
        <v>339.6639873</v>
      </c>
      <c r="J193" s="58"/>
      <c r="K193" s="58"/>
      <c r="L193" s="59"/>
      <c r="M193" s="52">
        <v>369.0</v>
      </c>
      <c r="N193" s="46">
        <f t="shared" si="6"/>
        <v>20.15048413</v>
      </c>
    </row>
    <row r="194">
      <c r="A194" s="45">
        <v>41202.0</v>
      </c>
      <c r="B194" s="45" t="s">
        <v>249</v>
      </c>
      <c r="C194" s="46">
        <v>2974.0</v>
      </c>
      <c r="D194" s="47">
        <v>0.0</v>
      </c>
      <c r="E194" s="45">
        <v>7.2</v>
      </c>
      <c r="F194" s="49">
        <f t="shared" si="2"/>
        <v>6.3</v>
      </c>
      <c r="G194" s="49">
        <f t="shared" si="20"/>
        <v>0.7584494178</v>
      </c>
      <c r="H194" s="50">
        <f t="shared" si="4"/>
        <v>5.460835808</v>
      </c>
      <c r="I194" s="51">
        <f t="shared" si="5"/>
        <v>162.4052569</v>
      </c>
      <c r="J194" s="58"/>
      <c r="K194" s="58"/>
      <c r="L194" s="59"/>
      <c r="M194" s="52">
        <v>196.0</v>
      </c>
      <c r="N194" s="46">
        <f t="shared" si="6"/>
        <v>10.70323818</v>
      </c>
    </row>
    <row r="195">
      <c r="A195" s="45">
        <v>41301.0</v>
      </c>
      <c r="B195" s="45" t="s">
        <v>204</v>
      </c>
      <c r="C195" s="46">
        <v>6545.0</v>
      </c>
      <c r="D195" s="47">
        <v>0.0</v>
      </c>
      <c r="E195" s="45">
        <v>7.2</v>
      </c>
      <c r="F195" s="49">
        <f t="shared" si="2"/>
        <v>6.3</v>
      </c>
      <c r="G195" s="49">
        <f t="shared" si="20"/>
        <v>0.7584494178</v>
      </c>
      <c r="H195" s="50">
        <f t="shared" si="4"/>
        <v>5.460835808</v>
      </c>
      <c r="I195" s="51">
        <f t="shared" si="5"/>
        <v>357.4117036</v>
      </c>
      <c r="J195" s="58"/>
      <c r="K195" s="58"/>
      <c r="L195" s="59"/>
      <c r="M195" s="52">
        <v>440.0</v>
      </c>
      <c r="N195" s="46">
        <f t="shared" si="6"/>
        <v>24.02767755</v>
      </c>
    </row>
    <row r="196">
      <c r="A196" s="45">
        <v>41401.0</v>
      </c>
      <c r="B196" s="45" t="s">
        <v>250</v>
      </c>
      <c r="C196" s="46">
        <v>13484.0</v>
      </c>
      <c r="D196" s="47">
        <v>32.0</v>
      </c>
      <c r="E196" s="45">
        <v>7.2</v>
      </c>
      <c r="F196" s="49">
        <f t="shared" si="2"/>
        <v>7.324</v>
      </c>
      <c r="G196" s="49">
        <f t="shared" si="20"/>
        <v>0.8817275454</v>
      </c>
      <c r="H196" s="50">
        <f t="shared" si="4"/>
        <v>6.348438327</v>
      </c>
      <c r="I196" s="51">
        <f t="shared" si="5"/>
        <v>856.023424</v>
      </c>
      <c r="J196" s="58"/>
      <c r="K196" s="58"/>
      <c r="L196" s="59"/>
      <c r="M196" s="52">
        <v>1080.0</v>
      </c>
      <c r="N196" s="46">
        <f t="shared" si="6"/>
        <v>68.56313393</v>
      </c>
    </row>
    <row r="197">
      <c r="A197" s="45">
        <v>41501.0</v>
      </c>
      <c r="B197" s="45" t="s">
        <v>251</v>
      </c>
      <c r="C197" s="46">
        <v>1199.25</v>
      </c>
      <c r="D197" s="47">
        <v>0.0</v>
      </c>
      <c r="E197" s="45">
        <v>7.2</v>
      </c>
      <c r="F197" s="49">
        <f t="shared" si="2"/>
        <v>6.3</v>
      </c>
      <c r="G197" s="49">
        <f t="shared" si="20"/>
        <v>0.7584494178</v>
      </c>
      <c r="H197" s="50">
        <f t="shared" si="4"/>
        <v>5.460835808</v>
      </c>
      <c r="I197" s="51">
        <f t="shared" si="5"/>
        <v>65.48907343</v>
      </c>
      <c r="J197" s="58"/>
      <c r="K197" s="58"/>
      <c r="L197" s="59"/>
      <c r="M197" s="52">
        <v>101.0</v>
      </c>
      <c r="N197" s="46">
        <f t="shared" si="6"/>
        <v>5.515444166</v>
      </c>
    </row>
    <row r="198">
      <c r="A198" s="45">
        <v>41502.0</v>
      </c>
      <c r="B198" s="45" t="s">
        <v>252</v>
      </c>
      <c r="C198" s="46">
        <v>1105.583333</v>
      </c>
      <c r="D198" s="47">
        <v>0.0</v>
      </c>
      <c r="E198" s="45">
        <v>7.2</v>
      </c>
      <c r="F198" s="49">
        <f t="shared" si="2"/>
        <v>6.3</v>
      </c>
      <c r="G198" s="49">
        <f t="shared" si="20"/>
        <v>0.7584494178</v>
      </c>
      <c r="H198" s="50">
        <f t="shared" si="4"/>
        <v>5.460835808</v>
      </c>
      <c r="I198" s="51">
        <f t="shared" si="5"/>
        <v>60.37409054</v>
      </c>
      <c r="J198" s="58"/>
      <c r="K198" s="58"/>
      <c r="L198" s="59"/>
      <c r="M198" s="52">
        <v>102.0</v>
      </c>
      <c r="N198" s="46">
        <f t="shared" si="6"/>
        <v>5.570052524</v>
      </c>
    </row>
    <row r="199">
      <c r="A199" s="45">
        <v>41503.0</v>
      </c>
      <c r="B199" s="45" t="s">
        <v>253</v>
      </c>
      <c r="C199" s="46">
        <v>1104.916667</v>
      </c>
      <c r="D199" s="47">
        <v>0.0</v>
      </c>
      <c r="E199" s="45">
        <v>7.2</v>
      </c>
      <c r="F199" s="49">
        <f t="shared" si="2"/>
        <v>6.3</v>
      </c>
      <c r="G199" s="49">
        <f t="shared" si="20"/>
        <v>0.7584494178</v>
      </c>
      <c r="H199" s="50">
        <f t="shared" si="4"/>
        <v>5.460835808</v>
      </c>
      <c r="I199" s="51">
        <f t="shared" si="5"/>
        <v>60.337685</v>
      </c>
      <c r="J199" s="58"/>
      <c r="K199" s="58"/>
      <c r="L199" s="59"/>
      <c r="M199" s="52">
        <v>91.0</v>
      </c>
      <c r="N199" s="46">
        <f t="shared" si="6"/>
        <v>4.969360585</v>
      </c>
    </row>
    <row r="200">
      <c r="A200" s="45">
        <v>41601.0</v>
      </c>
      <c r="B200" s="45" t="s">
        <v>254</v>
      </c>
      <c r="C200" s="46">
        <v>5955.0</v>
      </c>
      <c r="D200" s="47">
        <v>0.0</v>
      </c>
      <c r="E200" s="45">
        <v>7.2</v>
      </c>
      <c r="F200" s="49">
        <f t="shared" si="2"/>
        <v>6.3</v>
      </c>
      <c r="G200" s="49">
        <f t="shared" si="20"/>
        <v>0.7584494178</v>
      </c>
      <c r="H200" s="50">
        <f t="shared" si="4"/>
        <v>5.460835808</v>
      </c>
      <c r="I200" s="51">
        <f t="shared" si="5"/>
        <v>325.1927724</v>
      </c>
      <c r="J200" s="45"/>
      <c r="K200" s="45"/>
      <c r="L200" s="45"/>
      <c r="M200" s="52">
        <v>314.0</v>
      </c>
      <c r="N200" s="46">
        <f t="shared" si="6"/>
        <v>17.14702444</v>
      </c>
    </row>
    <row r="201">
      <c r="A201" s="45">
        <v>50101.0</v>
      </c>
      <c r="B201" s="45" t="s">
        <v>59</v>
      </c>
      <c r="C201" s="46">
        <v>216419.0</v>
      </c>
      <c r="D201" s="47">
        <v>90.8</v>
      </c>
      <c r="E201" s="48">
        <v>6.1</v>
      </c>
      <c r="F201" s="49">
        <f t="shared" si="2"/>
        <v>9.2056</v>
      </c>
      <c r="G201" s="49">
        <f t="shared" ref="G201:G242" si="21">0.92*F201/F$345</f>
        <v>1.185570949</v>
      </c>
      <c r="H201" s="50">
        <f t="shared" si="4"/>
        <v>7.231982791</v>
      </c>
      <c r="I201" s="51">
        <f t="shared" si="5"/>
        <v>15651.38484</v>
      </c>
      <c r="J201" s="52">
        <f>SUM(C201:C242)</f>
        <v>858563</v>
      </c>
      <c r="K201" s="52">
        <f>SUM(I201:I242)</f>
        <v>51969.15907</v>
      </c>
      <c r="L201" s="53">
        <f>K201/J201</f>
        <v>0.0605303968</v>
      </c>
      <c r="M201" s="52">
        <v>19125.0</v>
      </c>
      <c r="N201" s="46">
        <f t="shared" si="6"/>
        <v>1383.116709</v>
      </c>
    </row>
    <row r="202">
      <c r="A202" s="45">
        <v>50102.0</v>
      </c>
      <c r="B202" s="45" t="s">
        <v>255</v>
      </c>
      <c r="C202" s="46">
        <v>28797.0</v>
      </c>
      <c r="D202" s="47">
        <v>0.0</v>
      </c>
      <c r="E202" s="48">
        <v>6.1</v>
      </c>
      <c r="F202" s="49">
        <f t="shared" si="2"/>
        <v>6.3</v>
      </c>
      <c r="G202" s="49">
        <f t="shared" si="21"/>
        <v>0.8113644934</v>
      </c>
      <c r="H202" s="50">
        <f t="shared" si="4"/>
        <v>4.94932341</v>
      </c>
      <c r="I202" s="51">
        <f t="shared" si="5"/>
        <v>1425.256662</v>
      </c>
      <c r="J202" s="58"/>
      <c r="K202" s="58"/>
      <c r="L202" s="59"/>
      <c r="M202" s="52">
        <v>3184.0</v>
      </c>
      <c r="N202" s="46">
        <f t="shared" si="6"/>
        <v>157.5864574</v>
      </c>
    </row>
    <row r="203">
      <c r="A203" s="45">
        <v>50103.0</v>
      </c>
      <c r="B203" s="45" t="s">
        <v>256</v>
      </c>
      <c r="C203" s="46">
        <v>11980.0</v>
      </c>
      <c r="D203" s="47">
        <v>0.0</v>
      </c>
      <c r="E203" s="48">
        <v>6.1</v>
      </c>
      <c r="F203" s="49">
        <f t="shared" si="2"/>
        <v>6.3</v>
      </c>
      <c r="G203" s="49">
        <f t="shared" si="21"/>
        <v>0.8113644934</v>
      </c>
      <c r="H203" s="50">
        <f t="shared" si="4"/>
        <v>4.94932341</v>
      </c>
      <c r="I203" s="51">
        <f t="shared" si="5"/>
        <v>592.9289445</v>
      </c>
      <c r="J203" s="58"/>
      <c r="K203" s="58"/>
      <c r="L203" s="59"/>
      <c r="M203" s="52">
        <v>891.0</v>
      </c>
      <c r="N203" s="46">
        <f t="shared" si="6"/>
        <v>44.09847158</v>
      </c>
    </row>
    <row r="204">
      <c r="A204" s="45">
        <v>50104.0</v>
      </c>
      <c r="B204" s="45" t="s">
        <v>257</v>
      </c>
      <c r="C204" s="46">
        <v>3091.0</v>
      </c>
      <c r="D204" s="47">
        <v>0.0</v>
      </c>
      <c r="E204" s="48">
        <v>6.1</v>
      </c>
      <c r="F204" s="49">
        <f t="shared" si="2"/>
        <v>6.3</v>
      </c>
      <c r="G204" s="49">
        <f t="shared" si="21"/>
        <v>0.8113644934</v>
      </c>
      <c r="H204" s="50">
        <f t="shared" si="4"/>
        <v>4.94932341</v>
      </c>
      <c r="I204" s="51">
        <f t="shared" si="5"/>
        <v>152.9835866</v>
      </c>
      <c r="J204" s="58"/>
      <c r="K204" s="58"/>
      <c r="L204" s="59"/>
      <c r="M204" s="52">
        <v>208.0</v>
      </c>
      <c r="N204" s="46">
        <f t="shared" si="6"/>
        <v>10.29459269</v>
      </c>
    </row>
    <row r="205">
      <c r="A205" s="45">
        <v>50201.0</v>
      </c>
      <c r="B205" s="45" t="s">
        <v>258</v>
      </c>
      <c r="C205" s="46">
        <v>22706.0</v>
      </c>
      <c r="D205" s="47">
        <v>40.5</v>
      </c>
      <c r="E205" s="48">
        <v>6.1</v>
      </c>
      <c r="F205" s="49">
        <f t="shared" si="2"/>
        <v>7.596</v>
      </c>
      <c r="G205" s="49">
        <f t="shared" si="21"/>
        <v>0.9782737606</v>
      </c>
      <c r="H205" s="50">
        <f t="shared" si="4"/>
        <v>5.96746994</v>
      </c>
      <c r="I205" s="51">
        <f t="shared" si="5"/>
        <v>1354.973725</v>
      </c>
      <c r="J205" s="58"/>
      <c r="K205" s="58"/>
      <c r="L205" s="59"/>
      <c r="M205" s="52">
        <v>1860.0</v>
      </c>
      <c r="N205" s="46">
        <f t="shared" si="6"/>
        <v>110.9949409</v>
      </c>
    </row>
    <row r="206">
      <c r="A206" s="45">
        <v>50202.0</v>
      </c>
      <c r="B206" s="45" t="s">
        <v>259</v>
      </c>
      <c r="C206" s="46">
        <v>16030.0</v>
      </c>
      <c r="D206" s="47">
        <v>17.6</v>
      </c>
      <c r="E206" s="48">
        <v>6.1</v>
      </c>
      <c r="F206" s="49">
        <f t="shared" si="2"/>
        <v>6.8632</v>
      </c>
      <c r="G206" s="49">
        <f t="shared" si="21"/>
        <v>0.8838979034</v>
      </c>
      <c r="H206" s="50">
        <f t="shared" si="4"/>
        <v>5.391777211</v>
      </c>
      <c r="I206" s="51">
        <f t="shared" si="5"/>
        <v>864.3018869</v>
      </c>
      <c r="J206" s="58"/>
      <c r="K206" s="58"/>
      <c r="L206" s="59"/>
      <c r="M206" s="52">
        <v>1389.0</v>
      </c>
      <c r="N206" s="46">
        <f t="shared" si="6"/>
        <v>74.89178546</v>
      </c>
    </row>
    <row r="207">
      <c r="A207" s="45">
        <v>50203.0</v>
      </c>
      <c r="B207" s="45" t="s">
        <v>260</v>
      </c>
      <c r="C207" s="46">
        <v>41638.0</v>
      </c>
      <c r="D207" s="47">
        <v>87.3</v>
      </c>
      <c r="E207" s="48">
        <v>6.1</v>
      </c>
      <c r="F207" s="49">
        <f t="shared" si="2"/>
        <v>9.0936</v>
      </c>
      <c r="G207" s="49">
        <f t="shared" si="21"/>
        <v>1.171146692</v>
      </c>
      <c r="H207" s="50">
        <f t="shared" si="4"/>
        <v>7.143994819</v>
      </c>
      <c r="I207" s="51">
        <f t="shared" si="5"/>
        <v>2974.616563</v>
      </c>
      <c r="J207" s="58"/>
      <c r="K207" s="58"/>
      <c r="L207" s="59"/>
      <c r="M207" s="52">
        <v>3276.0</v>
      </c>
      <c r="N207" s="46">
        <f t="shared" si="6"/>
        <v>234.0372703</v>
      </c>
    </row>
    <row r="208">
      <c r="A208" s="45">
        <v>50204.0</v>
      </c>
      <c r="B208" s="45" t="s">
        <v>261</v>
      </c>
      <c r="C208" s="46">
        <v>8203.0</v>
      </c>
      <c r="D208" s="47">
        <v>22.6</v>
      </c>
      <c r="E208" s="48">
        <v>6.1</v>
      </c>
      <c r="F208" s="49">
        <f t="shared" si="2"/>
        <v>7.0232</v>
      </c>
      <c r="G208" s="49">
        <f t="shared" si="21"/>
        <v>0.9045039858</v>
      </c>
      <c r="H208" s="50">
        <f t="shared" si="4"/>
        <v>5.517474313</v>
      </c>
      <c r="I208" s="51">
        <f t="shared" si="5"/>
        <v>452.5984179</v>
      </c>
      <c r="J208" s="58"/>
      <c r="K208" s="58"/>
      <c r="L208" s="59"/>
      <c r="M208" s="52">
        <v>779.0</v>
      </c>
      <c r="N208" s="46">
        <f t="shared" si="6"/>
        <v>42.9811249</v>
      </c>
    </row>
    <row r="209">
      <c r="A209" s="45">
        <v>50301.0</v>
      </c>
      <c r="B209" s="45" t="s">
        <v>262</v>
      </c>
      <c r="C209" s="46">
        <v>32072.0</v>
      </c>
      <c r="D209" s="47">
        <v>19.0</v>
      </c>
      <c r="E209" s="48">
        <v>6.1</v>
      </c>
      <c r="F209" s="49">
        <f t="shared" si="2"/>
        <v>6.908</v>
      </c>
      <c r="G209" s="49">
        <f t="shared" si="21"/>
        <v>0.8896676064</v>
      </c>
      <c r="H209" s="50">
        <f t="shared" si="4"/>
        <v>5.426972399</v>
      </c>
      <c r="I209" s="51">
        <f t="shared" si="5"/>
        <v>1740.538588</v>
      </c>
      <c r="J209" s="58"/>
      <c r="K209" s="58"/>
      <c r="L209" s="59"/>
      <c r="M209" s="52">
        <v>2650.0</v>
      </c>
      <c r="N209" s="46">
        <f t="shared" si="6"/>
        <v>143.8147686</v>
      </c>
    </row>
    <row r="210">
      <c r="A210" s="45">
        <v>50302.0</v>
      </c>
      <c r="B210" s="45" t="s">
        <v>263</v>
      </c>
      <c r="C210" s="46">
        <v>9337.0</v>
      </c>
      <c r="D210" s="47">
        <v>0.0</v>
      </c>
      <c r="E210" s="48">
        <v>6.1</v>
      </c>
      <c r="F210" s="49">
        <f t="shared" si="2"/>
        <v>6.3</v>
      </c>
      <c r="G210" s="49">
        <f t="shared" si="21"/>
        <v>0.8113644934</v>
      </c>
      <c r="H210" s="50">
        <f t="shared" si="4"/>
        <v>4.94932341</v>
      </c>
      <c r="I210" s="51">
        <f t="shared" si="5"/>
        <v>462.1183268</v>
      </c>
      <c r="J210" s="58"/>
      <c r="K210" s="58"/>
      <c r="L210" s="59"/>
      <c r="M210" s="52">
        <v>712.0</v>
      </c>
      <c r="N210" s="46">
        <f t="shared" si="6"/>
        <v>35.23918268</v>
      </c>
    </row>
    <row r="211">
      <c r="A211" s="45">
        <v>50303.0</v>
      </c>
      <c r="B211" s="45" t="s">
        <v>264</v>
      </c>
      <c r="C211" s="46">
        <v>14155.0</v>
      </c>
      <c r="D211" s="47">
        <v>0.0</v>
      </c>
      <c r="E211" s="48">
        <v>6.1</v>
      </c>
      <c r="F211" s="49">
        <f t="shared" si="2"/>
        <v>6.3</v>
      </c>
      <c r="G211" s="49">
        <f t="shared" si="21"/>
        <v>0.8113644934</v>
      </c>
      <c r="H211" s="50">
        <f t="shared" si="4"/>
        <v>4.94932341</v>
      </c>
      <c r="I211" s="51">
        <f t="shared" si="5"/>
        <v>700.5767287</v>
      </c>
      <c r="J211" s="58"/>
      <c r="K211" s="58"/>
      <c r="L211" s="59"/>
      <c r="M211" s="52">
        <v>1276.0</v>
      </c>
      <c r="N211" s="46">
        <f t="shared" si="6"/>
        <v>63.15336671</v>
      </c>
    </row>
    <row r="212">
      <c r="A212" s="45">
        <v>50401.0</v>
      </c>
      <c r="B212" s="45" t="s">
        <v>265</v>
      </c>
      <c r="C212" s="46">
        <v>16271.0</v>
      </c>
      <c r="D212" s="47">
        <v>33.2</v>
      </c>
      <c r="E212" s="48">
        <v>6.1</v>
      </c>
      <c r="F212" s="49">
        <f t="shared" si="2"/>
        <v>7.3624</v>
      </c>
      <c r="G212" s="49">
        <f t="shared" si="21"/>
        <v>0.9481888804</v>
      </c>
      <c r="H212" s="50">
        <f t="shared" si="4"/>
        <v>5.78395217</v>
      </c>
      <c r="I212" s="51">
        <f t="shared" si="5"/>
        <v>941.1068576</v>
      </c>
      <c r="J212" s="58"/>
      <c r="K212" s="58"/>
      <c r="L212" s="59"/>
      <c r="M212" s="52">
        <v>1614.0</v>
      </c>
      <c r="N212" s="46">
        <f t="shared" si="6"/>
        <v>93.35298803</v>
      </c>
    </row>
    <row r="213">
      <c r="A213" s="45">
        <v>50402.0</v>
      </c>
      <c r="B213" s="45" t="s">
        <v>266</v>
      </c>
      <c r="C213" s="46">
        <v>17268.0</v>
      </c>
      <c r="D213" s="47">
        <v>0.0</v>
      </c>
      <c r="E213" s="48">
        <v>6.1</v>
      </c>
      <c r="F213" s="49">
        <f t="shared" si="2"/>
        <v>6.3</v>
      </c>
      <c r="G213" s="49">
        <f t="shared" si="21"/>
        <v>0.8113644934</v>
      </c>
      <c r="H213" s="50">
        <f t="shared" si="4"/>
        <v>4.94932341</v>
      </c>
      <c r="I213" s="51">
        <f t="shared" si="5"/>
        <v>854.6491664</v>
      </c>
      <c r="J213" s="58"/>
      <c r="K213" s="58"/>
      <c r="L213" s="59"/>
      <c r="M213" s="52">
        <v>1242.0</v>
      </c>
      <c r="N213" s="46">
        <f t="shared" si="6"/>
        <v>61.47059675</v>
      </c>
    </row>
    <row r="214">
      <c r="A214" s="45">
        <v>50403.0</v>
      </c>
      <c r="B214" s="45" t="s">
        <v>267</v>
      </c>
      <c r="C214" s="46">
        <v>32115.0</v>
      </c>
      <c r="D214" s="47">
        <v>6.3</v>
      </c>
      <c r="E214" s="48">
        <v>6.1</v>
      </c>
      <c r="F214" s="49">
        <f t="shared" si="2"/>
        <v>6.5016</v>
      </c>
      <c r="G214" s="49">
        <f t="shared" si="21"/>
        <v>0.8373281572</v>
      </c>
      <c r="H214" s="50">
        <f t="shared" si="4"/>
        <v>5.107701759</v>
      </c>
      <c r="I214" s="51">
        <f t="shared" si="5"/>
        <v>1640.33842</v>
      </c>
      <c r="J214" s="58"/>
      <c r="K214" s="58"/>
      <c r="L214" s="59"/>
      <c r="M214" s="52">
        <v>2967.0</v>
      </c>
      <c r="N214" s="46">
        <f t="shared" si="6"/>
        <v>151.5455112</v>
      </c>
    </row>
    <row r="215">
      <c r="A215" s="45">
        <v>50404.0</v>
      </c>
      <c r="B215" s="45" t="s">
        <v>268</v>
      </c>
      <c r="C215" s="46">
        <v>14664.0</v>
      </c>
      <c r="D215" s="47">
        <v>0.0</v>
      </c>
      <c r="E215" s="48">
        <v>6.1</v>
      </c>
      <c r="F215" s="49">
        <f t="shared" si="2"/>
        <v>6.3</v>
      </c>
      <c r="G215" s="49">
        <f t="shared" si="21"/>
        <v>0.8113644934</v>
      </c>
      <c r="H215" s="50">
        <f t="shared" si="4"/>
        <v>4.94932341</v>
      </c>
      <c r="I215" s="51">
        <f t="shared" si="5"/>
        <v>725.7687848</v>
      </c>
      <c r="J215" s="58"/>
      <c r="K215" s="58"/>
      <c r="L215" s="59"/>
      <c r="M215" s="52">
        <v>1284.0</v>
      </c>
      <c r="N215" s="46">
        <f t="shared" si="6"/>
        <v>63.54931258</v>
      </c>
    </row>
    <row r="216">
      <c r="A216" s="45">
        <v>50405.0</v>
      </c>
      <c r="B216" s="45" t="s">
        <v>269</v>
      </c>
      <c r="C216" s="46">
        <v>20922.0</v>
      </c>
      <c r="D216" s="47">
        <v>0.0</v>
      </c>
      <c r="E216" s="48">
        <v>6.1</v>
      </c>
      <c r="F216" s="49">
        <f t="shared" si="2"/>
        <v>6.3</v>
      </c>
      <c r="G216" s="49">
        <f t="shared" si="21"/>
        <v>0.8113644934</v>
      </c>
      <c r="H216" s="50">
        <f t="shared" si="4"/>
        <v>4.94932341</v>
      </c>
      <c r="I216" s="51">
        <f t="shared" si="5"/>
        <v>1035.497444</v>
      </c>
      <c r="J216" s="58"/>
      <c r="K216" s="58"/>
      <c r="L216" s="59"/>
      <c r="M216" s="52">
        <v>1936.0</v>
      </c>
      <c r="N216" s="46">
        <f t="shared" si="6"/>
        <v>95.81890122</v>
      </c>
    </row>
    <row r="217">
      <c r="A217" s="45">
        <v>50501.0</v>
      </c>
      <c r="B217" s="45" t="s">
        <v>270</v>
      </c>
      <c r="C217" s="46">
        <v>28549.0</v>
      </c>
      <c r="D217" s="47">
        <v>0.0</v>
      </c>
      <c r="E217" s="48">
        <v>6.1</v>
      </c>
      <c r="F217" s="49">
        <f t="shared" si="2"/>
        <v>6.3</v>
      </c>
      <c r="G217" s="49">
        <f t="shared" si="21"/>
        <v>0.8113644934</v>
      </c>
      <c r="H217" s="50">
        <f t="shared" si="4"/>
        <v>4.94932341</v>
      </c>
      <c r="I217" s="51">
        <f t="shared" si="5"/>
        <v>1412.98234</v>
      </c>
      <c r="J217" s="58"/>
      <c r="K217" s="58"/>
      <c r="L217" s="59"/>
      <c r="M217" s="52">
        <v>2883.0</v>
      </c>
      <c r="N217" s="46">
        <f t="shared" si="6"/>
        <v>142.6889939</v>
      </c>
    </row>
    <row r="218">
      <c r="A218" s="45">
        <v>50502.0</v>
      </c>
      <c r="B218" s="45" t="s">
        <v>271</v>
      </c>
      <c r="C218" s="46">
        <v>10727.0</v>
      </c>
      <c r="D218" s="47">
        <v>0.0</v>
      </c>
      <c r="E218" s="48">
        <v>6.1</v>
      </c>
      <c r="F218" s="49">
        <f t="shared" si="2"/>
        <v>6.3</v>
      </c>
      <c r="G218" s="49">
        <f t="shared" si="21"/>
        <v>0.8113644934</v>
      </c>
      <c r="H218" s="50">
        <f t="shared" si="4"/>
        <v>4.94932341</v>
      </c>
      <c r="I218" s="51">
        <f t="shared" si="5"/>
        <v>530.9139222</v>
      </c>
      <c r="J218" s="58"/>
      <c r="K218" s="58"/>
      <c r="L218" s="59"/>
      <c r="M218" s="52">
        <v>985.0</v>
      </c>
      <c r="N218" s="46">
        <f t="shared" si="6"/>
        <v>48.75083559</v>
      </c>
    </row>
    <row r="219">
      <c r="A219" s="45">
        <v>50601.0</v>
      </c>
      <c r="B219" s="45" t="s">
        <v>272</v>
      </c>
      <c r="C219" s="46">
        <v>29436.0</v>
      </c>
      <c r="D219" s="47">
        <v>11.7</v>
      </c>
      <c r="E219" s="48">
        <v>6.1</v>
      </c>
      <c r="F219" s="49">
        <f t="shared" si="2"/>
        <v>6.6744</v>
      </c>
      <c r="G219" s="49">
        <f t="shared" si="21"/>
        <v>0.8595827262</v>
      </c>
      <c r="H219" s="50">
        <f t="shared" si="4"/>
        <v>5.24345463</v>
      </c>
      <c r="I219" s="51">
        <f t="shared" si="5"/>
        <v>1543.463305</v>
      </c>
      <c r="J219" s="58"/>
      <c r="K219" s="58"/>
      <c r="L219" s="59"/>
      <c r="M219" s="52">
        <v>2133.0</v>
      </c>
      <c r="N219" s="46">
        <f t="shared" si="6"/>
        <v>111.8428873</v>
      </c>
    </row>
    <row r="220">
      <c r="A220" s="45">
        <v>50602.0</v>
      </c>
      <c r="B220" s="45" t="s">
        <v>273</v>
      </c>
      <c r="C220" s="46">
        <v>10223.0</v>
      </c>
      <c r="D220" s="47">
        <v>0.0</v>
      </c>
      <c r="E220" s="48">
        <v>6.1</v>
      </c>
      <c r="F220" s="49">
        <f t="shared" si="2"/>
        <v>6.3</v>
      </c>
      <c r="G220" s="49">
        <f t="shared" si="21"/>
        <v>0.8113644934</v>
      </c>
      <c r="H220" s="50">
        <f t="shared" si="4"/>
        <v>4.94932341</v>
      </c>
      <c r="I220" s="51">
        <f t="shared" si="5"/>
        <v>505.9693322</v>
      </c>
      <c r="J220" s="58"/>
      <c r="K220" s="58"/>
      <c r="L220" s="59"/>
      <c r="M220" s="52">
        <v>669.0</v>
      </c>
      <c r="N220" s="46">
        <f t="shared" si="6"/>
        <v>33.11097361</v>
      </c>
    </row>
    <row r="221">
      <c r="A221" s="45">
        <v>50701.0</v>
      </c>
      <c r="B221" s="45" t="s">
        <v>274</v>
      </c>
      <c r="C221" s="46">
        <v>17406.0</v>
      </c>
      <c r="D221" s="47">
        <v>13.3</v>
      </c>
      <c r="E221" s="48">
        <v>6.1</v>
      </c>
      <c r="F221" s="49">
        <f t="shared" si="2"/>
        <v>6.7256</v>
      </c>
      <c r="G221" s="49">
        <f t="shared" si="21"/>
        <v>0.8661766725</v>
      </c>
      <c r="H221" s="50">
        <f t="shared" si="4"/>
        <v>5.283677702</v>
      </c>
      <c r="I221" s="51">
        <f t="shared" si="5"/>
        <v>919.6769409</v>
      </c>
      <c r="J221" s="58"/>
      <c r="K221" s="58"/>
      <c r="L221" s="59"/>
      <c r="M221" s="52">
        <v>1743.0</v>
      </c>
      <c r="N221" s="46">
        <f t="shared" si="6"/>
        <v>92.09450235</v>
      </c>
    </row>
    <row r="222">
      <c r="A222" s="45">
        <v>50702.0</v>
      </c>
      <c r="B222" s="45" t="s">
        <v>275</v>
      </c>
      <c r="C222" s="46">
        <v>8479.0</v>
      </c>
      <c r="D222" s="47">
        <v>0.0</v>
      </c>
      <c r="E222" s="48">
        <v>6.1</v>
      </c>
      <c r="F222" s="49">
        <f t="shared" si="2"/>
        <v>6.3</v>
      </c>
      <c r="G222" s="49">
        <f t="shared" si="21"/>
        <v>0.8113644934</v>
      </c>
      <c r="H222" s="50">
        <f t="shared" si="4"/>
        <v>4.94932341</v>
      </c>
      <c r="I222" s="51">
        <f t="shared" si="5"/>
        <v>419.6531319</v>
      </c>
      <c r="J222" s="58"/>
      <c r="K222" s="58"/>
      <c r="L222" s="59"/>
      <c r="M222" s="52">
        <v>716.0</v>
      </c>
      <c r="N222" s="46">
        <f t="shared" si="6"/>
        <v>35.43715561</v>
      </c>
    </row>
    <row r="223">
      <c r="A223" s="45">
        <v>50801.0</v>
      </c>
      <c r="B223" s="45" t="s">
        <v>276</v>
      </c>
      <c r="C223" s="46">
        <v>45525.0</v>
      </c>
      <c r="D223" s="47">
        <v>62.5</v>
      </c>
      <c r="E223" s="48">
        <v>6.1</v>
      </c>
      <c r="F223" s="49">
        <f t="shared" si="2"/>
        <v>8.3</v>
      </c>
      <c r="G223" s="49">
        <f t="shared" si="21"/>
        <v>1.068940523</v>
      </c>
      <c r="H223" s="50">
        <f t="shared" si="4"/>
        <v>6.520537191</v>
      </c>
      <c r="I223" s="51">
        <f t="shared" si="5"/>
        <v>2968.474556</v>
      </c>
      <c r="J223" s="58"/>
      <c r="K223" s="58"/>
      <c r="L223" s="59"/>
      <c r="M223" s="52">
        <v>3478.0</v>
      </c>
      <c r="N223" s="46">
        <f t="shared" si="6"/>
        <v>226.7842835</v>
      </c>
    </row>
    <row r="224">
      <c r="A224" s="45">
        <v>50802.0</v>
      </c>
      <c r="B224" s="45" t="s">
        <v>277</v>
      </c>
      <c r="C224" s="46">
        <v>9745.0</v>
      </c>
      <c r="D224" s="47">
        <v>3.3</v>
      </c>
      <c r="E224" s="48">
        <v>6.1</v>
      </c>
      <c r="F224" s="49">
        <f t="shared" si="2"/>
        <v>6.4056</v>
      </c>
      <c r="G224" s="49">
        <f t="shared" si="21"/>
        <v>0.8249645078</v>
      </c>
      <c r="H224" s="50">
        <f t="shared" si="4"/>
        <v>5.032283498</v>
      </c>
      <c r="I224" s="51">
        <f t="shared" si="5"/>
        <v>490.3960268</v>
      </c>
      <c r="J224" s="58"/>
      <c r="K224" s="58"/>
      <c r="L224" s="59"/>
      <c r="M224" s="52">
        <v>835.0</v>
      </c>
      <c r="N224" s="46">
        <f t="shared" si="6"/>
        <v>42.0195672</v>
      </c>
    </row>
    <row r="225">
      <c r="A225" s="45">
        <v>50901.0</v>
      </c>
      <c r="B225" s="45" t="s">
        <v>278</v>
      </c>
      <c r="C225" s="46">
        <v>12761.0</v>
      </c>
      <c r="D225" s="47">
        <v>15.5</v>
      </c>
      <c r="E225" s="48">
        <v>6.1</v>
      </c>
      <c r="F225" s="49">
        <f t="shared" si="2"/>
        <v>6.796</v>
      </c>
      <c r="G225" s="49">
        <f t="shared" si="21"/>
        <v>0.8752433488</v>
      </c>
      <c r="H225" s="50">
        <f t="shared" si="4"/>
        <v>5.338984428</v>
      </c>
      <c r="I225" s="51">
        <f t="shared" si="5"/>
        <v>681.3078028</v>
      </c>
      <c r="J225" s="58"/>
      <c r="K225" s="58"/>
      <c r="L225" s="59"/>
      <c r="M225" s="52">
        <v>1019.0</v>
      </c>
      <c r="N225" s="46">
        <f t="shared" si="6"/>
        <v>54.40425132</v>
      </c>
    </row>
    <row r="226">
      <c r="A226" s="45">
        <v>50902.0</v>
      </c>
      <c r="B226" s="45" t="s">
        <v>279</v>
      </c>
      <c r="C226" s="46">
        <v>1574.0</v>
      </c>
      <c r="D226" s="47">
        <v>0.0</v>
      </c>
      <c r="E226" s="48">
        <v>6.1</v>
      </c>
      <c r="F226" s="49">
        <f t="shared" si="2"/>
        <v>6.3</v>
      </c>
      <c r="G226" s="49">
        <f t="shared" si="21"/>
        <v>0.8113644934</v>
      </c>
      <c r="H226" s="50">
        <f t="shared" si="4"/>
        <v>4.94932341</v>
      </c>
      <c r="I226" s="51">
        <f t="shared" si="5"/>
        <v>77.90235047</v>
      </c>
      <c r="J226" s="58"/>
      <c r="K226" s="58"/>
      <c r="L226" s="59"/>
      <c r="M226" s="52">
        <v>100.0</v>
      </c>
      <c r="N226" s="46">
        <f t="shared" si="6"/>
        <v>4.94932341</v>
      </c>
    </row>
    <row r="227">
      <c r="A227" s="45">
        <v>51001.0</v>
      </c>
      <c r="B227" s="45" t="s">
        <v>280</v>
      </c>
      <c r="C227" s="46">
        <v>3168.0</v>
      </c>
      <c r="D227" s="47">
        <v>0.0</v>
      </c>
      <c r="E227" s="48">
        <v>6.1</v>
      </c>
      <c r="F227" s="49">
        <f t="shared" si="2"/>
        <v>6.3</v>
      </c>
      <c r="G227" s="49">
        <f t="shared" si="21"/>
        <v>0.8113644934</v>
      </c>
      <c r="H227" s="50">
        <f t="shared" si="4"/>
        <v>4.94932341</v>
      </c>
      <c r="I227" s="51">
        <f t="shared" si="5"/>
        <v>156.7945656</v>
      </c>
      <c r="J227" s="58"/>
      <c r="K227" s="58"/>
      <c r="L227" s="59"/>
      <c r="M227" s="52">
        <v>268.0</v>
      </c>
      <c r="N227" s="46">
        <f t="shared" si="6"/>
        <v>13.26418674</v>
      </c>
    </row>
    <row r="228">
      <c r="A228" s="45">
        <v>51002.0</v>
      </c>
      <c r="B228" s="45" t="s">
        <v>281</v>
      </c>
      <c r="C228" s="46">
        <v>1038.0</v>
      </c>
      <c r="D228" s="47">
        <v>0.0</v>
      </c>
      <c r="E228" s="48">
        <v>6.1</v>
      </c>
      <c r="F228" s="49">
        <f t="shared" si="2"/>
        <v>6.3</v>
      </c>
      <c r="G228" s="49">
        <f t="shared" si="21"/>
        <v>0.8113644934</v>
      </c>
      <c r="H228" s="50">
        <f t="shared" si="4"/>
        <v>4.94932341</v>
      </c>
      <c r="I228" s="51">
        <f t="shared" si="5"/>
        <v>51.37397699</v>
      </c>
      <c r="J228" s="58"/>
      <c r="K228" s="58"/>
      <c r="L228" s="59"/>
      <c r="M228" s="52">
        <v>83.0</v>
      </c>
      <c r="N228" s="46">
        <f t="shared" si="6"/>
        <v>4.10793843</v>
      </c>
    </row>
    <row r="229">
      <c r="A229" s="45">
        <v>51003.0</v>
      </c>
      <c r="B229" s="45" t="s">
        <v>282</v>
      </c>
      <c r="C229" s="46">
        <v>1965.0</v>
      </c>
      <c r="D229" s="47">
        <v>0.0</v>
      </c>
      <c r="E229" s="48">
        <v>6.1</v>
      </c>
      <c r="F229" s="49">
        <f t="shared" si="2"/>
        <v>6.3</v>
      </c>
      <c r="G229" s="49">
        <f t="shared" si="21"/>
        <v>0.8113644934</v>
      </c>
      <c r="H229" s="50">
        <f t="shared" si="4"/>
        <v>4.94932341</v>
      </c>
      <c r="I229" s="51">
        <f t="shared" si="5"/>
        <v>97.254205</v>
      </c>
      <c r="J229" s="58"/>
      <c r="K229" s="58"/>
      <c r="L229" s="59"/>
      <c r="M229" s="52">
        <v>166.0</v>
      </c>
      <c r="N229" s="46">
        <f t="shared" si="6"/>
        <v>8.21587686</v>
      </c>
    </row>
    <row r="230">
      <c r="A230" s="45">
        <v>51101.0</v>
      </c>
      <c r="B230" s="45" t="s">
        <v>283</v>
      </c>
      <c r="C230" s="46">
        <v>16850.0</v>
      </c>
      <c r="D230" s="47">
        <v>0.0</v>
      </c>
      <c r="E230" s="48">
        <v>6.1</v>
      </c>
      <c r="F230" s="49">
        <f t="shared" si="2"/>
        <v>6.3</v>
      </c>
      <c r="G230" s="49">
        <f t="shared" si="21"/>
        <v>0.8113644934</v>
      </c>
      <c r="H230" s="50">
        <f t="shared" si="4"/>
        <v>4.94932341</v>
      </c>
      <c r="I230" s="51">
        <f t="shared" si="5"/>
        <v>833.9609946</v>
      </c>
      <c r="J230" s="58"/>
      <c r="K230" s="58"/>
      <c r="L230" s="59"/>
      <c r="M230" s="52">
        <v>1141.0</v>
      </c>
      <c r="N230" s="46">
        <f t="shared" si="6"/>
        <v>56.47178011</v>
      </c>
    </row>
    <row r="231">
      <c r="A231" s="45">
        <v>51102.0</v>
      </c>
      <c r="B231" s="45" t="s">
        <v>284</v>
      </c>
      <c r="C231" s="46">
        <v>12921.0</v>
      </c>
      <c r="D231" s="47">
        <v>26.7</v>
      </c>
      <c r="E231" s="48">
        <v>6.1</v>
      </c>
      <c r="F231" s="49">
        <f t="shared" si="2"/>
        <v>7.1544</v>
      </c>
      <c r="G231" s="49">
        <f t="shared" si="21"/>
        <v>0.9214009733</v>
      </c>
      <c r="H231" s="50">
        <f t="shared" si="4"/>
        <v>5.620545937</v>
      </c>
      <c r="I231" s="51">
        <f t="shared" si="5"/>
        <v>726.2307405</v>
      </c>
      <c r="J231" s="58"/>
      <c r="K231" s="58"/>
      <c r="L231" s="59"/>
      <c r="M231" s="52">
        <v>1050.0</v>
      </c>
      <c r="N231" s="46">
        <f t="shared" si="6"/>
        <v>59.01573234</v>
      </c>
    </row>
    <row r="232">
      <c r="A232" s="45">
        <v>51103.0</v>
      </c>
      <c r="B232" s="45" t="s">
        <v>285</v>
      </c>
      <c r="C232" s="46">
        <v>14461.0</v>
      </c>
      <c r="D232" s="47">
        <v>0.0</v>
      </c>
      <c r="E232" s="48">
        <v>6.1</v>
      </c>
      <c r="F232" s="49">
        <f t="shared" si="2"/>
        <v>6.3</v>
      </c>
      <c r="G232" s="49">
        <f t="shared" si="21"/>
        <v>0.8113644934</v>
      </c>
      <c r="H232" s="50">
        <f t="shared" si="4"/>
        <v>4.94932341</v>
      </c>
      <c r="I232" s="51">
        <f t="shared" si="5"/>
        <v>715.7216583</v>
      </c>
      <c r="J232" s="58"/>
      <c r="K232" s="58"/>
      <c r="L232" s="59"/>
      <c r="M232" s="52">
        <v>1421.0</v>
      </c>
      <c r="N232" s="46">
        <f t="shared" si="6"/>
        <v>70.32988565</v>
      </c>
    </row>
    <row r="233">
      <c r="A233" s="45">
        <v>51201.0</v>
      </c>
      <c r="B233" s="45" t="s">
        <v>286</v>
      </c>
      <c r="C233" s="46">
        <v>34848.0</v>
      </c>
      <c r="D233" s="47">
        <v>69.9</v>
      </c>
      <c r="E233" s="48">
        <v>6.1</v>
      </c>
      <c r="F233" s="49">
        <f t="shared" si="2"/>
        <v>8.5368</v>
      </c>
      <c r="G233" s="49">
        <f t="shared" si="21"/>
        <v>1.099437525</v>
      </c>
      <c r="H233" s="50">
        <f t="shared" si="4"/>
        <v>6.706568902</v>
      </c>
      <c r="I233" s="51">
        <f t="shared" si="5"/>
        <v>2337.105131</v>
      </c>
      <c r="J233" s="58"/>
      <c r="K233" s="58"/>
      <c r="L233" s="59"/>
      <c r="M233" s="52">
        <v>2774.0</v>
      </c>
      <c r="N233" s="46">
        <f t="shared" si="6"/>
        <v>186.0402214</v>
      </c>
    </row>
    <row r="234">
      <c r="A234" s="45">
        <v>51202.0</v>
      </c>
      <c r="B234" s="45" t="s">
        <v>287</v>
      </c>
      <c r="C234" s="46">
        <v>7929.0</v>
      </c>
      <c r="D234" s="47">
        <v>0.0</v>
      </c>
      <c r="E234" s="48">
        <v>6.1</v>
      </c>
      <c r="F234" s="49">
        <f t="shared" si="2"/>
        <v>6.3</v>
      </c>
      <c r="G234" s="49">
        <f t="shared" si="21"/>
        <v>0.8113644934</v>
      </c>
      <c r="H234" s="50">
        <f t="shared" si="4"/>
        <v>4.94932341</v>
      </c>
      <c r="I234" s="51">
        <f t="shared" si="5"/>
        <v>392.4318532</v>
      </c>
      <c r="J234" s="58"/>
      <c r="K234" s="58"/>
      <c r="L234" s="59"/>
      <c r="M234" s="52">
        <v>588.0</v>
      </c>
      <c r="N234" s="46">
        <f t="shared" si="6"/>
        <v>29.10202165</v>
      </c>
    </row>
    <row r="235">
      <c r="A235" s="45">
        <v>51203.0</v>
      </c>
      <c r="B235" s="45" t="s">
        <v>288</v>
      </c>
      <c r="C235" s="46">
        <v>14338.0</v>
      </c>
      <c r="D235" s="47">
        <v>79.4</v>
      </c>
      <c r="E235" s="48">
        <v>6.1</v>
      </c>
      <c r="F235" s="49">
        <f t="shared" si="2"/>
        <v>8.8408</v>
      </c>
      <c r="G235" s="49">
        <f t="shared" si="21"/>
        <v>1.138589082</v>
      </c>
      <c r="H235" s="50">
        <f t="shared" si="4"/>
        <v>6.945393397</v>
      </c>
      <c r="I235" s="51">
        <f t="shared" si="5"/>
        <v>995.8305053</v>
      </c>
      <c r="J235" s="58"/>
      <c r="K235" s="58"/>
      <c r="L235" s="59"/>
      <c r="M235" s="52">
        <v>1437.0</v>
      </c>
      <c r="N235" s="46">
        <f t="shared" si="6"/>
        <v>99.80530312</v>
      </c>
    </row>
    <row r="236">
      <c r="A236" s="45">
        <v>51204.0</v>
      </c>
      <c r="B236" s="45" t="s">
        <v>289</v>
      </c>
      <c r="C236" s="46">
        <v>5829.0</v>
      </c>
      <c r="D236" s="47">
        <v>0.0</v>
      </c>
      <c r="E236" s="48">
        <v>6.1</v>
      </c>
      <c r="F236" s="49">
        <f t="shared" si="2"/>
        <v>6.3</v>
      </c>
      <c r="G236" s="49">
        <f t="shared" si="21"/>
        <v>0.8113644934</v>
      </c>
      <c r="H236" s="50">
        <f t="shared" si="4"/>
        <v>4.94932341</v>
      </c>
      <c r="I236" s="51">
        <f t="shared" si="5"/>
        <v>288.4960616</v>
      </c>
      <c r="J236" s="58"/>
      <c r="K236" s="58"/>
      <c r="L236" s="59"/>
      <c r="M236" s="52">
        <v>449.0</v>
      </c>
      <c r="N236" s="46">
        <f t="shared" si="6"/>
        <v>22.22246211</v>
      </c>
    </row>
    <row r="237">
      <c r="A237" s="45">
        <v>51301.0</v>
      </c>
      <c r="B237" s="45" t="s">
        <v>290</v>
      </c>
      <c r="C237" s="46">
        <v>3708.0</v>
      </c>
      <c r="D237" s="47">
        <v>0.0</v>
      </c>
      <c r="E237" s="48">
        <v>6.1</v>
      </c>
      <c r="F237" s="49">
        <f t="shared" si="2"/>
        <v>6.3</v>
      </c>
      <c r="G237" s="49">
        <f t="shared" si="21"/>
        <v>0.8113644934</v>
      </c>
      <c r="H237" s="50">
        <f t="shared" si="4"/>
        <v>4.94932341</v>
      </c>
      <c r="I237" s="51">
        <f t="shared" si="5"/>
        <v>183.520912</v>
      </c>
      <c r="J237" s="58"/>
      <c r="K237" s="58"/>
      <c r="L237" s="59"/>
      <c r="M237" s="52">
        <v>347.0</v>
      </c>
      <c r="N237" s="46">
        <f t="shared" si="6"/>
        <v>17.17415223</v>
      </c>
    </row>
    <row r="238">
      <c r="A238" s="45">
        <v>51302.0</v>
      </c>
      <c r="B238" s="45" t="s">
        <v>291</v>
      </c>
      <c r="C238" s="46">
        <v>4612.0</v>
      </c>
      <c r="D238" s="47">
        <v>0.0</v>
      </c>
      <c r="E238" s="48">
        <v>6.1</v>
      </c>
      <c r="F238" s="49">
        <f t="shared" si="2"/>
        <v>6.3</v>
      </c>
      <c r="G238" s="49">
        <f t="shared" si="21"/>
        <v>0.8113644934</v>
      </c>
      <c r="H238" s="50">
        <f t="shared" si="4"/>
        <v>4.94932341</v>
      </c>
      <c r="I238" s="51">
        <f t="shared" si="5"/>
        <v>228.2627957</v>
      </c>
      <c r="J238" s="58"/>
      <c r="K238" s="58"/>
      <c r="L238" s="59"/>
      <c r="M238" s="52">
        <v>339.0</v>
      </c>
      <c r="N238" s="46">
        <f t="shared" si="6"/>
        <v>16.77820636</v>
      </c>
    </row>
    <row r="239">
      <c r="A239" s="45">
        <v>51401.0</v>
      </c>
      <c r="B239" s="45" t="s">
        <v>292</v>
      </c>
      <c r="C239" s="46">
        <v>4184.0</v>
      </c>
      <c r="D239" s="47">
        <v>0.0</v>
      </c>
      <c r="E239" s="48">
        <v>6.1</v>
      </c>
      <c r="F239" s="49">
        <f t="shared" si="2"/>
        <v>6.3</v>
      </c>
      <c r="G239" s="49">
        <f t="shared" si="21"/>
        <v>0.8113644934</v>
      </c>
      <c r="H239" s="50">
        <f t="shared" si="4"/>
        <v>4.94932341</v>
      </c>
      <c r="I239" s="51">
        <f t="shared" si="5"/>
        <v>207.0796915</v>
      </c>
      <c r="J239" s="58"/>
      <c r="K239" s="58"/>
      <c r="L239" s="59"/>
      <c r="M239" s="52">
        <v>294.0</v>
      </c>
      <c r="N239" s="46">
        <f t="shared" si="6"/>
        <v>14.55101083</v>
      </c>
    </row>
    <row r="240">
      <c r="A240" s="45">
        <v>51402.0</v>
      </c>
      <c r="B240" s="45" t="s">
        <v>293</v>
      </c>
      <c r="C240" s="46">
        <v>1559.0</v>
      </c>
      <c r="D240" s="47">
        <v>0.0</v>
      </c>
      <c r="E240" s="48">
        <v>6.1</v>
      </c>
      <c r="F240" s="49">
        <f t="shared" si="2"/>
        <v>6.3</v>
      </c>
      <c r="G240" s="49">
        <f t="shared" si="21"/>
        <v>0.8113644934</v>
      </c>
      <c r="H240" s="50">
        <f t="shared" si="4"/>
        <v>4.94932341</v>
      </c>
      <c r="I240" s="51">
        <f t="shared" si="5"/>
        <v>77.15995196</v>
      </c>
      <c r="J240" s="45"/>
      <c r="K240" s="45"/>
      <c r="L240" s="45"/>
      <c r="M240" s="52">
        <v>96.0</v>
      </c>
      <c r="N240" s="46">
        <f t="shared" si="6"/>
        <v>4.751350474</v>
      </c>
    </row>
    <row r="241">
      <c r="A241" s="45">
        <v>51501.0</v>
      </c>
      <c r="B241" s="45" t="s">
        <v>294</v>
      </c>
      <c r="C241" s="46">
        <v>48971.0</v>
      </c>
      <c r="D241" s="47">
        <v>83.7</v>
      </c>
      <c r="E241" s="48">
        <v>6.1</v>
      </c>
      <c r="F241" s="49">
        <f t="shared" si="2"/>
        <v>8.9784</v>
      </c>
      <c r="G241" s="49">
        <f t="shared" si="21"/>
        <v>1.156310312</v>
      </c>
      <c r="H241" s="50">
        <f t="shared" si="4"/>
        <v>7.053492905</v>
      </c>
      <c r="I241" s="51">
        <f t="shared" si="5"/>
        <v>3454.166011</v>
      </c>
      <c r="J241" s="58"/>
      <c r="K241" s="58"/>
      <c r="L241" s="59"/>
      <c r="M241" s="52">
        <v>3892.0</v>
      </c>
      <c r="N241" s="46">
        <f t="shared" si="6"/>
        <v>274.5219439</v>
      </c>
    </row>
    <row r="242">
      <c r="A242" s="45">
        <v>51601.0</v>
      </c>
      <c r="B242" s="45" t="s">
        <v>295</v>
      </c>
      <c r="C242" s="46">
        <v>2089.0</v>
      </c>
      <c r="D242" s="47">
        <v>0.0</v>
      </c>
      <c r="E242" s="48">
        <v>6.1</v>
      </c>
      <c r="F242" s="49">
        <f t="shared" si="2"/>
        <v>6.3</v>
      </c>
      <c r="G242" s="49">
        <f t="shared" si="21"/>
        <v>0.8113644934</v>
      </c>
      <c r="H242" s="50">
        <f t="shared" si="4"/>
        <v>4.94932341</v>
      </c>
      <c r="I242" s="51">
        <f t="shared" si="5"/>
        <v>103.391366</v>
      </c>
      <c r="J242" s="58"/>
      <c r="K242" s="58"/>
      <c r="L242" s="59"/>
      <c r="M242" s="52">
        <v>155.0</v>
      </c>
      <c r="N242" s="46">
        <f t="shared" si="6"/>
        <v>7.671451285</v>
      </c>
    </row>
    <row r="243">
      <c r="A243" s="45">
        <v>60101.0</v>
      </c>
      <c r="B243" s="45" t="s">
        <v>61</v>
      </c>
      <c r="C243" s="46">
        <v>235968.0</v>
      </c>
      <c r="D243" s="47">
        <v>90.1</v>
      </c>
      <c r="E243" s="48">
        <v>10.7</v>
      </c>
      <c r="F243" s="49">
        <f t="shared" si="2"/>
        <v>9.1832</v>
      </c>
      <c r="G243" s="49">
        <f t="shared" ref="G243:G253" si="22">0.84*F243/F$345</f>
        <v>1.079843828</v>
      </c>
      <c r="H243" s="50">
        <f t="shared" si="4"/>
        <v>11.55432896</v>
      </c>
      <c r="I243" s="51">
        <f t="shared" si="5"/>
        <v>27264.51897</v>
      </c>
      <c r="J243" s="52">
        <f>SUM(C243:C253)</f>
        <v>529987</v>
      </c>
      <c r="K243" s="52">
        <f>SUM(I243:I253)</f>
        <v>56744.36306</v>
      </c>
      <c r="L243" s="53">
        <f>K243/J243</f>
        <v>0.1070674621</v>
      </c>
      <c r="M243" s="52">
        <v>14696.0</v>
      </c>
      <c r="N243" s="46">
        <f t="shared" si="6"/>
        <v>1698.024185</v>
      </c>
    </row>
    <row r="244">
      <c r="A244" s="45">
        <v>60201.0</v>
      </c>
      <c r="B244" s="45" t="s">
        <v>296</v>
      </c>
      <c r="C244" s="46">
        <v>17889.0</v>
      </c>
      <c r="D244" s="47">
        <v>0.0</v>
      </c>
      <c r="E244" s="48">
        <v>10.7</v>
      </c>
      <c r="F244" s="49">
        <f t="shared" si="2"/>
        <v>6.3</v>
      </c>
      <c r="G244" s="49">
        <f t="shared" si="22"/>
        <v>0.7408110592</v>
      </c>
      <c r="H244" s="50">
        <f t="shared" si="4"/>
        <v>7.926678334</v>
      </c>
      <c r="I244" s="51">
        <f t="shared" si="5"/>
        <v>1418.003487</v>
      </c>
      <c r="J244" s="58"/>
      <c r="K244" s="58"/>
      <c r="L244" s="59"/>
      <c r="M244" s="52">
        <v>1167.0</v>
      </c>
      <c r="N244" s="46">
        <f t="shared" si="6"/>
        <v>92.50433615</v>
      </c>
    </row>
    <row r="245">
      <c r="A245" s="45">
        <v>60202.0</v>
      </c>
      <c r="B245" s="45" t="s">
        <v>297</v>
      </c>
      <c r="C245" s="46">
        <v>36765.0</v>
      </c>
      <c r="D245" s="47">
        <v>88.7</v>
      </c>
      <c r="E245" s="48">
        <v>10.7</v>
      </c>
      <c r="F245" s="49">
        <f t="shared" si="2"/>
        <v>9.1384</v>
      </c>
      <c r="G245" s="49">
        <f t="shared" si="22"/>
        <v>1.074575839</v>
      </c>
      <c r="H245" s="50">
        <f t="shared" si="4"/>
        <v>11.49796147</v>
      </c>
      <c r="I245" s="51">
        <f t="shared" si="5"/>
        <v>4227.225536</v>
      </c>
      <c r="J245" s="58"/>
      <c r="K245" s="58"/>
      <c r="L245" s="59"/>
      <c r="M245" s="52">
        <v>2526.0</v>
      </c>
      <c r="N245" s="46">
        <f t="shared" si="6"/>
        <v>290.4385068</v>
      </c>
    </row>
    <row r="246">
      <c r="A246" s="45">
        <v>60301.0</v>
      </c>
      <c r="B246" s="45" t="s">
        <v>298</v>
      </c>
      <c r="C246" s="46">
        <v>97185.0</v>
      </c>
      <c r="D246" s="47">
        <v>73.6</v>
      </c>
      <c r="E246" s="48">
        <v>10.7</v>
      </c>
      <c r="F246" s="49">
        <f t="shared" si="2"/>
        <v>8.6552</v>
      </c>
      <c r="G246" s="49">
        <f t="shared" si="22"/>
        <v>1.017756806</v>
      </c>
      <c r="H246" s="50">
        <f t="shared" si="4"/>
        <v>10.88999783</v>
      </c>
      <c r="I246" s="51">
        <f t="shared" si="5"/>
        <v>10583.44439</v>
      </c>
      <c r="J246" s="58"/>
      <c r="K246" s="58"/>
      <c r="L246" s="59"/>
      <c r="M246" s="52">
        <v>7411.0</v>
      </c>
      <c r="N246" s="46">
        <f t="shared" si="6"/>
        <v>807.057739</v>
      </c>
    </row>
    <row r="247">
      <c r="A247" s="45">
        <v>60302.0</v>
      </c>
      <c r="B247" s="45" t="s">
        <v>299</v>
      </c>
      <c r="C247" s="46">
        <v>15543.0</v>
      </c>
      <c r="D247" s="47">
        <v>25.6</v>
      </c>
      <c r="E247" s="48">
        <v>10.7</v>
      </c>
      <c r="F247" s="49">
        <f t="shared" si="2"/>
        <v>7.1192</v>
      </c>
      <c r="G247" s="49">
        <f t="shared" si="22"/>
        <v>0.8371400147</v>
      </c>
      <c r="H247" s="50">
        <f t="shared" si="4"/>
        <v>8.957398158</v>
      </c>
      <c r="I247" s="51">
        <f t="shared" si="5"/>
        <v>1392.248396</v>
      </c>
      <c r="J247" s="58"/>
      <c r="K247" s="58"/>
      <c r="L247" s="59"/>
      <c r="M247" s="52">
        <v>1252.0</v>
      </c>
      <c r="N247" s="46">
        <f t="shared" si="6"/>
        <v>112.1466249</v>
      </c>
    </row>
    <row r="248">
      <c r="A248" s="45">
        <v>60303.0</v>
      </c>
      <c r="B248" s="45" t="s">
        <v>300</v>
      </c>
      <c r="C248" s="46">
        <v>45554.0</v>
      </c>
      <c r="D248" s="47">
        <v>72.4</v>
      </c>
      <c r="E248" s="48">
        <v>10.7</v>
      </c>
      <c r="F248" s="49">
        <f t="shared" si="2"/>
        <v>8.6168</v>
      </c>
      <c r="G248" s="49">
        <f t="shared" si="22"/>
        <v>1.013241387</v>
      </c>
      <c r="H248" s="50">
        <f t="shared" si="4"/>
        <v>10.84168284</v>
      </c>
      <c r="I248" s="51">
        <f t="shared" si="5"/>
        <v>4938.820199</v>
      </c>
      <c r="J248" s="58"/>
      <c r="K248" s="58"/>
      <c r="L248" s="59"/>
      <c r="M248" s="52">
        <v>3575.0</v>
      </c>
      <c r="N248" s="46">
        <f t="shared" si="6"/>
        <v>387.5901614</v>
      </c>
    </row>
    <row r="249">
      <c r="A249" s="45">
        <v>60401.0</v>
      </c>
      <c r="B249" s="45" t="s">
        <v>301</v>
      </c>
      <c r="C249" s="46">
        <v>15828.0</v>
      </c>
      <c r="D249" s="47">
        <v>14.2</v>
      </c>
      <c r="E249" s="48">
        <v>10.7</v>
      </c>
      <c r="F249" s="49">
        <f t="shared" si="2"/>
        <v>6.7544</v>
      </c>
      <c r="G249" s="49">
        <f t="shared" si="22"/>
        <v>0.7942435267</v>
      </c>
      <c r="H249" s="50">
        <f t="shared" si="4"/>
        <v>8.498405736</v>
      </c>
      <c r="I249" s="51">
        <f t="shared" si="5"/>
        <v>1345.12766</v>
      </c>
      <c r="J249" s="58"/>
      <c r="K249" s="58"/>
      <c r="L249" s="59"/>
      <c r="M249" s="52">
        <v>1096.0</v>
      </c>
      <c r="N249" s="46">
        <f t="shared" si="6"/>
        <v>93.14252687</v>
      </c>
    </row>
    <row r="250">
      <c r="A250" s="45">
        <v>60402.0</v>
      </c>
      <c r="B250" s="45" t="s">
        <v>302</v>
      </c>
      <c r="C250" s="46">
        <v>4815.0</v>
      </c>
      <c r="D250" s="47">
        <v>0.0</v>
      </c>
      <c r="E250" s="48">
        <v>10.7</v>
      </c>
      <c r="F250" s="49">
        <f t="shared" si="2"/>
        <v>6.3</v>
      </c>
      <c r="G250" s="49">
        <f t="shared" si="22"/>
        <v>0.7408110592</v>
      </c>
      <c r="H250" s="50">
        <f t="shared" si="4"/>
        <v>7.926678334</v>
      </c>
      <c r="I250" s="51">
        <f t="shared" si="5"/>
        <v>381.6695618</v>
      </c>
      <c r="J250" s="58"/>
      <c r="K250" s="58"/>
      <c r="L250" s="59"/>
      <c r="M250" s="52">
        <v>387.0</v>
      </c>
      <c r="N250" s="46">
        <f t="shared" si="6"/>
        <v>30.67624515</v>
      </c>
    </row>
    <row r="251">
      <c r="A251" s="45">
        <v>60501.0</v>
      </c>
      <c r="B251" s="45" t="s">
        <v>303</v>
      </c>
      <c r="C251" s="46">
        <v>29806.0</v>
      </c>
      <c r="D251" s="47">
        <v>19.4</v>
      </c>
      <c r="E251" s="48">
        <v>10.7</v>
      </c>
      <c r="F251" s="49">
        <f t="shared" si="2"/>
        <v>6.9208</v>
      </c>
      <c r="G251" s="49">
        <f t="shared" si="22"/>
        <v>0.8138103458</v>
      </c>
      <c r="H251" s="50">
        <f t="shared" si="4"/>
        <v>8.7077707</v>
      </c>
      <c r="I251" s="51">
        <f t="shared" si="5"/>
        <v>2595.438135</v>
      </c>
      <c r="J251" s="45"/>
      <c r="K251" s="45"/>
      <c r="L251" s="45"/>
      <c r="M251" s="52">
        <v>1980.0</v>
      </c>
      <c r="N251" s="46">
        <f t="shared" si="6"/>
        <v>172.4138599</v>
      </c>
    </row>
    <row r="252">
      <c r="A252" s="45">
        <v>60502.0</v>
      </c>
      <c r="B252" s="45" t="s">
        <v>304</v>
      </c>
      <c r="C252" s="46">
        <v>9676.0</v>
      </c>
      <c r="D252" s="47">
        <v>0.0</v>
      </c>
      <c r="E252" s="48">
        <v>10.7</v>
      </c>
      <c r="F252" s="49">
        <f t="shared" si="2"/>
        <v>6.3</v>
      </c>
      <c r="G252" s="49">
        <f t="shared" si="22"/>
        <v>0.7408110592</v>
      </c>
      <c r="H252" s="50">
        <f t="shared" si="4"/>
        <v>7.926678334</v>
      </c>
      <c r="I252" s="51">
        <f t="shared" si="5"/>
        <v>766.9853956</v>
      </c>
      <c r="J252" s="58"/>
      <c r="K252" s="58"/>
      <c r="L252" s="59"/>
      <c r="M252" s="52">
        <v>656.0</v>
      </c>
      <c r="N252" s="46">
        <f t="shared" si="6"/>
        <v>51.99900987</v>
      </c>
    </row>
    <row r="253">
      <c r="A253" s="45">
        <v>60601.0</v>
      </c>
      <c r="B253" s="45" t="s">
        <v>209</v>
      </c>
      <c r="C253" s="46">
        <v>20958.0</v>
      </c>
      <c r="D253" s="47">
        <v>20.1</v>
      </c>
      <c r="E253" s="48">
        <v>10.7</v>
      </c>
      <c r="F253" s="49">
        <f t="shared" si="2"/>
        <v>6.9432</v>
      </c>
      <c r="G253" s="49">
        <f t="shared" si="22"/>
        <v>0.8164443407</v>
      </c>
      <c r="H253" s="50">
        <f t="shared" si="4"/>
        <v>8.735954445</v>
      </c>
      <c r="I253" s="51">
        <f t="shared" si="5"/>
        <v>1830.881333</v>
      </c>
      <c r="J253" s="58"/>
      <c r="K253" s="58"/>
      <c r="L253" s="59"/>
      <c r="M253" s="52">
        <v>1610.0</v>
      </c>
      <c r="N253" s="46">
        <f t="shared" si="6"/>
        <v>140.6488666</v>
      </c>
    </row>
    <row r="254">
      <c r="A254" s="45">
        <v>70101.0</v>
      </c>
      <c r="B254" s="45" t="s">
        <v>305</v>
      </c>
      <c r="C254" s="46">
        <v>1597102.0</v>
      </c>
      <c r="D254" s="47">
        <v>99.4</v>
      </c>
      <c r="E254" s="48">
        <v>9.6</v>
      </c>
      <c r="F254" s="49">
        <f t="shared" si="2"/>
        <v>9.4808</v>
      </c>
      <c r="G254" s="49">
        <f t="shared" ref="G254:G309" si="23">0.8*F254/F$345</f>
        <v>1.061750792</v>
      </c>
      <c r="H254" s="50">
        <f t="shared" si="4"/>
        <v>10.1928076</v>
      </c>
      <c r="I254" s="51">
        <f t="shared" si="5"/>
        <v>162789.5341</v>
      </c>
      <c r="J254" s="52">
        <f>SUM(C254:C309)</f>
        <v>3083870</v>
      </c>
      <c r="K254" s="52">
        <f>SUM(I254:I309)</f>
        <v>296588.867</v>
      </c>
      <c r="L254" s="53">
        <f>K254/J254</f>
        <v>0.09617424437</v>
      </c>
      <c r="M254" s="52">
        <v>117053.0</v>
      </c>
      <c r="N254" s="46">
        <f t="shared" si="6"/>
        <v>11930.98709</v>
      </c>
    </row>
    <row r="255">
      <c r="A255" s="45">
        <v>70102.0</v>
      </c>
      <c r="B255" s="45" t="s">
        <v>306</v>
      </c>
      <c r="C255" s="46">
        <v>102356.0</v>
      </c>
      <c r="D255" s="47">
        <v>82.8</v>
      </c>
      <c r="E255" s="48">
        <v>9.6</v>
      </c>
      <c r="F255" s="49">
        <f t="shared" si="2"/>
        <v>8.9496</v>
      </c>
      <c r="G255" s="49">
        <f t="shared" si="23"/>
        <v>1.002261928</v>
      </c>
      <c r="H255" s="50">
        <f t="shared" si="4"/>
        <v>9.621714511</v>
      </c>
      <c r="I255" s="51">
        <f t="shared" si="5"/>
        <v>9848.402105</v>
      </c>
      <c r="J255" s="58"/>
      <c r="K255" s="58"/>
      <c r="L255" s="59"/>
      <c r="M255" s="52">
        <v>9604.0</v>
      </c>
      <c r="N255" s="46">
        <f t="shared" si="6"/>
        <v>924.0694617</v>
      </c>
    </row>
    <row r="256">
      <c r="A256" s="45">
        <v>70103.0</v>
      </c>
      <c r="B256" s="45" t="s">
        <v>307</v>
      </c>
      <c r="C256" s="46">
        <v>22475.0</v>
      </c>
      <c r="D256" s="47">
        <v>47.2</v>
      </c>
      <c r="E256" s="48">
        <v>9.6</v>
      </c>
      <c r="F256" s="49">
        <f t="shared" si="2"/>
        <v>7.8104</v>
      </c>
      <c r="G256" s="49">
        <f t="shared" si="23"/>
        <v>0.8746834009</v>
      </c>
      <c r="H256" s="50">
        <f t="shared" si="4"/>
        <v>8.396960649</v>
      </c>
      <c r="I256" s="51">
        <f t="shared" si="5"/>
        <v>1887.216906</v>
      </c>
      <c r="J256" s="58"/>
      <c r="K256" s="58"/>
      <c r="L256" s="59"/>
      <c r="M256" s="52">
        <v>1608.0</v>
      </c>
      <c r="N256" s="46">
        <f t="shared" si="6"/>
        <v>135.0231272</v>
      </c>
    </row>
    <row r="257">
      <c r="A257" s="45">
        <v>70104.0</v>
      </c>
      <c r="B257" s="45" t="s">
        <v>308</v>
      </c>
      <c r="C257" s="46">
        <v>142856.0</v>
      </c>
      <c r="D257" s="47">
        <v>94.1</v>
      </c>
      <c r="E257" s="48">
        <v>9.6</v>
      </c>
      <c r="F257" s="49">
        <f t="shared" si="2"/>
        <v>9.3112</v>
      </c>
      <c r="G257" s="49">
        <f t="shared" si="23"/>
        <v>1.04275736</v>
      </c>
      <c r="H257" s="50">
        <f t="shared" si="4"/>
        <v>10.01047065</v>
      </c>
      <c r="I257" s="51">
        <f t="shared" si="5"/>
        <v>14300.55796</v>
      </c>
      <c r="J257" s="58"/>
      <c r="K257" s="58"/>
      <c r="L257" s="59"/>
      <c r="M257" s="52">
        <v>12051.0</v>
      </c>
      <c r="N257" s="46">
        <f t="shared" si="6"/>
        <v>1206.361818</v>
      </c>
    </row>
    <row r="258">
      <c r="A258" s="45">
        <v>70105.0</v>
      </c>
      <c r="B258" s="45" t="s">
        <v>309</v>
      </c>
      <c r="C258" s="46">
        <v>55193.0</v>
      </c>
      <c r="D258" s="47">
        <v>71.2</v>
      </c>
      <c r="E258" s="48">
        <v>9.6</v>
      </c>
      <c r="F258" s="49">
        <f t="shared" si="2"/>
        <v>8.5784</v>
      </c>
      <c r="G258" s="49">
        <f t="shared" si="23"/>
        <v>0.9606913969</v>
      </c>
      <c r="H258" s="50">
        <f t="shared" si="4"/>
        <v>9.22263741</v>
      </c>
      <c r="I258" s="51">
        <f t="shared" si="5"/>
        <v>5090.250266</v>
      </c>
      <c r="J258" s="58"/>
      <c r="K258" s="58"/>
      <c r="L258" s="59"/>
      <c r="M258" s="52">
        <v>4479.0</v>
      </c>
      <c r="N258" s="46">
        <f t="shared" si="6"/>
        <v>413.0819296</v>
      </c>
    </row>
    <row r="259">
      <c r="A259" s="45">
        <v>70201.0</v>
      </c>
      <c r="B259" s="45" t="s">
        <v>310</v>
      </c>
      <c r="C259" s="46">
        <v>146678.0</v>
      </c>
      <c r="D259" s="47">
        <v>88.8</v>
      </c>
      <c r="E259" s="48">
        <v>9.6</v>
      </c>
      <c r="F259" s="49">
        <f t="shared" si="2"/>
        <v>9.1416</v>
      </c>
      <c r="G259" s="49">
        <f t="shared" si="23"/>
        <v>1.023763927</v>
      </c>
      <c r="H259" s="50">
        <f t="shared" si="4"/>
        <v>9.828133702</v>
      </c>
      <c r="I259" s="51">
        <f t="shared" si="5"/>
        <v>14415.70995</v>
      </c>
      <c r="J259" s="58"/>
      <c r="K259" s="58"/>
      <c r="L259" s="59"/>
      <c r="M259" s="52">
        <v>12908.0</v>
      </c>
      <c r="N259" s="46">
        <f t="shared" si="6"/>
        <v>1268.615498</v>
      </c>
    </row>
    <row r="260">
      <c r="A260" s="45">
        <v>70202.0</v>
      </c>
      <c r="B260" s="45" t="s">
        <v>311</v>
      </c>
      <c r="C260" s="46">
        <v>10816.0</v>
      </c>
      <c r="D260" s="47">
        <v>48.9</v>
      </c>
      <c r="E260" s="48">
        <v>9.6</v>
      </c>
      <c r="F260" s="49">
        <f t="shared" si="2"/>
        <v>7.8648</v>
      </c>
      <c r="G260" s="49">
        <f t="shared" si="23"/>
        <v>0.8807756339</v>
      </c>
      <c r="H260" s="50">
        <f t="shared" si="4"/>
        <v>8.455446086</v>
      </c>
      <c r="I260" s="51">
        <f t="shared" si="5"/>
        <v>914.5410486</v>
      </c>
      <c r="J260" s="58"/>
      <c r="K260" s="58"/>
      <c r="L260" s="59"/>
      <c r="M260" s="52">
        <v>1007.0</v>
      </c>
      <c r="N260" s="46">
        <f t="shared" si="6"/>
        <v>85.14634208</v>
      </c>
    </row>
    <row r="261">
      <c r="A261" s="45">
        <v>70301.0</v>
      </c>
      <c r="B261" s="45" t="s">
        <v>312</v>
      </c>
      <c r="C261" s="46">
        <v>65875.0</v>
      </c>
      <c r="D261" s="47">
        <v>47.4</v>
      </c>
      <c r="E261" s="48">
        <v>9.6</v>
      </c>
      <c r="F261" s="49">
        <f t="shared" si="2"/>
        <v>7.8168</v>
      </c>
      <c r="G261" s="49">
        <f t="shared" si="23"/>
        <v>0.8754001342</v>
      </c>
      <c r="H261" s="50">
        <f t="shared" si="4"/>
        <v>8.403841288</v>
      </c>
      <c r="I261" s="51">
        <f t="shared" si="5"/>
        <v>5536.030449</v>
      </c>
      <c r="J261" s="58"/>
      <c r="K261" s="58"/>
      <c r="L261" s="59"/>
      <c r="M261" s="52">
        <v>7322.0</v>
      </c>
      <c r="N261" s="46">
        <f t="shared" si="6"/>
        <v>615.3292591</v>
      </c>
    </row>
    <row r="262">
      <c r="A262" s="45">
        <v>70302.0</v>
      </c>
      <c r="B262" s="45" t="s">
        <v>313</v>
      </c>
      <c r="C262" s="46">
        <v>14913.0</v>
      </c>
      <c r="D262" s="47">
        <v>35.4</v>
      </c>
      <c r="E262" s="48">
        <v>9.6</v>
      </c>
      <c r="F262" s="49">
        <f t="shared" si="2"/>
        <v>7.4328</v>
      </c>
      <c r="G262" s="49">
        <f t="shared" si="23"/>
        <v>0.8323961362</v>
      </c>
      <c r="H262" s="50">
        <f t="shared" si="4"/>
        <v>7.991002907</v>
      </c>
      <c r="I262" s="51">
        <f t="shared" si="5"/>
        <v>1191.698264</v>
      </c>
      <c r="J262" s="58"/>
      <c r="K262" s="58"/>
      <c r="L262" s="59"/>
      <c r="M262" s="52">
        <v>1501.0</v>
      </c>
      <c r="N262" s="46">
        <f t="shared" si="6"/>
        <v>119.9449536</v>
      </c>
    </row>
    <row r="263">
      <c r="A263" s="45">
        <v>70303.0</v>
      </c>
      <c r="B263" s="45" t="s">
        <v>314</v>
      </c>
      <c r="C263" s="46">
        <v>8617.0</v>
      </c>
      <c r="D263" s="47">
        <v>33.6</v>
      </c>
      <c r="E263" s="48">
        <v>9.6</v>
      </c>
      <c r="F263" s="49">
        <f t="shared" si="2"/>
        <v>7.3752</v>
      </c>
      <c r="G263" s="49">
        <f t="shared" si="23"/>
        <v>0.8259455365</v>
      </c>
      <c r="H263" s="50">
        <f t="shared" si="4"/>
        <v>7.92907715</v>
      </c>
      <c r="I263" s="51">
        <f t="shared" si="5"/>
        <v>683.248578</v>
      </c>
      <c r="J263" s="58"/>
      <c r="K263" s="58"/>
      <c r="L263" s="59"/>
      <c r="M263" s="52">
        <v>850.0</v>
      </c>
      <c r="N263" s="46">
        <f t="shared" si="6"/>
        <v>67.39715578</v>
      </c>
    </row>
    <row r="264">
      <c r="A264" s="45">
        <v>70401.0</v>
      </c>
      <c r="B264" s="45" t="s">
        <v>315</v>
      </c>
      <c r="C264" s="46">
        <v>13587.0</v>
      </c>
      <c r="D264" s="47">
        <v>40.1</v>
      </c>
      <c r="E264" s="48">
        <v>9.6</v>
      </c>
      <c r="F264" s="49">
        <f t="shared" si="2"/>
        <v>7.5832</v>
      </c>
      <c r="G264" s="49">
        <f t="shared" si="23"/>
        <v>0.8492393687</v>
      </c>
      <c r="H264" s="50">
        <f t="shared" si="4"/>
        <v>8.15269794</v>
      </c>
      <c r="I264" s="51">
        <f t="shared" si="5"/>
        <v>1107.707069</v>
      </c>
      <c r="J264" s="58"/>
      <c r="K264" s="58"/>
      <c r="L264" s="59"/>
      <c r="M264" s="52">
        <v>1141.0</v>
      </c>
      <c r="N264" s="46">
        <f t="shared" si="6"/>
        <v>93.02228349</v>
      </c>
    </row>
    <row r="265">
      <c r="A265" s="45">
        <v>70402.0</v>
      </c>
      <c r="B265" s="45" t="s">
        <v>316</v>
      </c>
      <c r="C265" s="46">
        <v>19038.0</v>
      </c>
      <c r="D265" s="47">
        <v>66.8</v>
      </c>
      <c r="E265" s="48">
        <v>9.6</v>
      </c>
      <c r="F265" s="49">
        <f t="shared" si="2"/>
        <v>8.4376</v>
      </c>
      <c r="G265" s="49">
        <f t="shared" si="23"/>
        <v>0.9449232643</v>
      </c>
      <c r="H265" s="50">
        <f t="shared" si="4"/>
        <v>9.071263337</v>
      </c>
      <c r="I265" s="51">
        <f t="shared" si="5"/>
        <v>1726.987114</v>
      </c>
      <c r="J265" s="58"/>
      <c r="K265" s="58"/>
      <c r="L265" s="59"/>
      <c r="M265" s="52">
        <v>1614.0</v>
      </c>
      <c r="N265" s="46">
        <f t="shared" si="6"/>
        <v>146.4101903</v>
      </c>
    </row>
    <row r="266">
      <c r="A266" s="45">
        <v>70403.0</v>
      </c>
      <c r="B266" s="45" t="s">
        <v>317</v>
      </c>
      <c r="C266" s="46">
        <v>57191.0</v>
      </c>
      <c r="D266" s="47">
        <v>62.4</v>
      </c>
      <c r="E266" s="48">
        <v>9.6</v>
      </c>
      <c r="F266" s="49">
        <f t="shared" si="2"/>
        <v>8.2968</v>
      </c>
      <c r="G266" s="49">
        <f t="shared" si="23"/>
        <v>0.9291551317</v>
      </c>
      <c r="H266" s="50">
        <f t="shared" si="4"/>
        <v>8.919889264</v>
      </c>
      <c r="I266" s="51">
        <f t="shared" si="5"/>
        <v>5101.373869</v>
      </c>
      <c r="J266" s="58"/>
      <c r="K266" s="58"/>
      <c r="L266" s="59"/>
      <c r="M266" s="52">
        <v>4740.0</v>
      </c>
      <c r="N266" s="46">
        <f t="shared" si="6"/>
        <v>422.8027511</v>
      </c>
    </row>
    <row r="267">
      <c r="A267" s="45">
        <v>70404.0</v>
      </c>
      <c r="B267" s="45" t="s">
        <v>318</v>
      </c>
      <c r="C267" s="46">
        <v>10116.0</v>
      </c>
      <c r="D267" s="47">
        <v>59.7</v>
      </c>
      <c r="E267" s="48">
        <v>9.6</v>
      </c>
      <c r="F267" s="49">
        <f t="shared" si="2"/>
        <v>8.2104</v>
      </c>
      <c r="G267" s="49">
        <f t="shared" si="23"/>
        <v>0.9194792321</v>
      </c>
      <c r="H267" s="50">
        <f t="shared" si="4"/>
        <v>8.827000629</v>
      </c>
      <c r="I267" s="51">
        <f t="shared" si="5"/>
        <v>892.9393836</v>
      </c>
      <c r="J267" s="58"/>
      <c r="K267" s="58"/>
      <c r="L267" s="59"/>
      <c r="M267" s="52">
        <v>888.0</v>
      </c>
      <c r="N267" s="46">
        <f t="shared" si="6"/>
        <v>78.38376558</v>
      </c>
    </row>
    <row r="268">
      <c r="A268" s="45">
        <v>70501.0</v>
      </c>
      <c r="B268" s="45" t="s">
        <v>319</v>
      </c>
      <c r="C268" s="46">
        <v>39970.0</v>
      </c>
      <c r="D268" s="47">
        <v>32.9</v>
      </c>
      <c r="E268" s="48">
        <v>9.6</v>
      </c>
      <c r="F268" s="49">
        <f t="shared" si="2"/>
        <v>7.3528</v>
      </c>
      <c r="G268" s="49">
        <f t="shared" si="23"/>
        <v>0.8234369699</v>
      </c>
      <c r="H268" s="50">
        <f t="shared" si="4"/>
        <v>7.904994911</v>
      </c>
      <c r="I268" s="51">
        <f t="shared" si="5"/>
        <v>3159.626466</v>
      </c>
      <c r="J268" s="58"/>
      <c r="K268" s="58"/>
      <c r="L268" s="59"/>
      <c r="M268" s="52">
        <v>4777.0</v>
      </c>
      <c r="N268" s="46">
        <f t="shared" si="6"/>
        <v>377.6216069</v>
      </c>
    </row>
    <row r="269">
      <c r="A269" s="45">
        <v>70502.0</v>
      </c>
      <c r="B269" s="45" t="s">
        <v>320</v>
      </c>
      <c r="C269" s="46">
        <v>53109.0</v>
      </c>
      <c r="D269" s="47">
        <v>30.9</v>
      </c>
      <c r="E269" s="48">
        <v>9.6</v>
      </c>
      <c r="F269" s="49">
        <f t="shared" si="2"/>
        <v>7.2888</v>
      </c>
      <c r="G269" s="49">
        <f t="shared" si="23"/>
        <v>0.8162696369</v>
      </c>
      <c r="H269" s="50">
        <f t="shared" si="4"/>
        <v>7.836188515</v>
      </c>
      <c r="I269" s="51">
        <f t="shared" si="5"/>
        <v>4161.721358</v>
      </c>
      <c r="J269" s="58"/>
      <c r="K269" s="58"/>
      <c r="L269" s="59"/>
      <c r="M269" s="52">
        <v>7164.0</v>
      </c>
      <c r="N269" s="46">
        <f t="shared" si="6"/>
        <v>561.3845452</v>
      </c>
    </row>
    <row r="270">
      <c r="A270" s="45">
        <v>70503.0</v>
      </c>
      <c r="B270" s="45" t="s">
        <v>321</v>
      </c>
      <c r="C270" s="46">
        <v>18503.0</v>
      </c>
      <c r="D270" s="47">
        <v>64.2</v>
      </c>
      <c r="E270" s="48">
        <v>9.6</v>
      </c>
      <c r="F270" s="49">
        <f t="shared" si="2"/>
        <v>8.3544</v>
      </c>
      <c r="G270" s="49">
        <f t="shared" si="23"/>
        <v>0.9356057314</v>
      </c>
      <c r="H270" s="50">
        <f t="shared" si="4"/>
        <v>8.981815021</v>
      </c>
      <c r="I270" s="51">
        <f t="shared" si="5"/>
        <v>1661.905233</v>
      </c>
      <c r="J270" s="58"/>
      <c r="K270" s="58"/>
      <c r="L270" s="59"/>
      <c r="M270" s="52">
        <v>1636.0</v>
      </c>
      <c r="N270" s="46">
        <f t="shared" si="6"/>
        <v>146.9424937</v>
      </c>
    </row>
    <row r="271">
      <c r="A271" s="45">
        <v>70601.0</v>
      </c>
      <c r="B271" s="45" t="s">
        <v>322</v>
      </c>
      <c r="C271" s="46">
        <v>20505.0</v>
      </c>
      <c r="D271" s="47">
        <v>79.6</v>
      </c>
      <c r="E271" s="48">
        <v>9.6</v>
      </c>
      <c r="F271" s="49">
        <f t="shared" si="2"/>
        <v>8.8472</v>
      </c>
      <c r="G271" s="49">
        <f t="shared" si="23"/>
        <v>0.9907941955</v>
      </c>
      <c r="H271" s="50">
        <f t="shared" si="4"/>
        <v>9.511624277</v>
      </c>
      <c r="I271" s="51">
        <f t="shared" si="5"/>
        <v>1950.358558</v>
      </c>
      <c r="J271" s="58"/>
      <c r="K271" s="58"/>
      <c r="L271" s="59"/>
      <c r="M271" s="52">
        <v>1758.0</v>
      </c>
      <c r="N271" s="46">
        <f t="shared" si="6"/>
        <v>167.2143548</v>
      </c>
    </row>
    <row r="272">
      <c r="A272" s="45">
        <v>70602.0</v>
      </c>
      <c r="B272" s="45" t="s">
        <v>323</v>
      </c>
      <c r="C272" s="46">
        <v>18101.0</v>
      </c>
      <c r="D272" s="47">
        <v>26.0</v>
      </c>
      <c r="E272" s="48">
        <v>9.6</v>
      </c>
      <c r="F272" s="49">
        <f t="shared" si="2"/>
        <v>7.132</v>
      </c>
      <c r="G272" s="49">
        <f t="shared" si="23"/>
        <v>0.7987096711</v>
      </c>
      <c r="H272" s="50">
        <f t="shared" si="4"/>
        <v>7.667612843</v>
      </c>
      <c r="I272" s="51">
        <f t="shared" si="5"/>
        <v>1387.914601</v>
      </c>
      <c r="J272" s="58"/>
      <c r="K272" s="58"/>
      <c r="L272" s="59"/>
      <c r="M272" s="52">
        <v>1454.0</v>
      </c>
      <c r="N272" s="46">
        <f t="shared" si="6"/>
        <v>111.4870907</v>
      </c>
    </row>
    <row r="273">
      <c r="A273" s="45">
        <v>70603.0</v>
      </c>
      <c r="B273" s="45" t="s">
        <v>324</v>
      </c>
      <c r="C273" s="46">
        <v>6012.0</v>
      </c>
      <c r="D273" s="47">
        <v>82.5</v>
      </c>
      <c r="E273" s="48">
        <v>9.6</v>
      </c>
      <c r="F273" s="49">
        <f t="shared" si="2"/>
        <v>8.94</v>
      </c>
      <c r="G273" s="49">
        <f t="shared" si="23"/>
        <v>1.001186828</v>
      </c>
      <c r="H273" s="50">
        <f t="shared" si="4"/>
        <v>9.611393552</v>
      </c>
      <c r="I273" s="51">
        <f t="shared" si="5"/>
        <v>577.8369803</v>
      </c>
      <c r="J273" s="58"/>
      <c r="K273" s="58"/>
      <c r="L273" s="59"/>
      <c r="M273" s="52">
        <v>509.0</v>
      </c>
      <c r="N273" s="46">
        <f t="shared" si="6"/>
        <v>48.92199318</v>
      </c>
    </row>
    <row r="274">
      <c r="A274" s="45">
        <v>70701.0</v>
      </c>
      <c r="B274" s="45" t="s">
        <v>325</v>
      </c>
      <c r="C274" s="46">
        <v>5898.0</v>
      </c>
      <c r="D274" s="47">
        <v>0.0</v>
      </c>
      <c r="E274" s="48">
        <v>9.6</v>
      </c>
      <c r="F274" s="49">
        <f t="shared" si="2"/>
        <v>6.3</v>
      </c>
      <c r="G274" s="49">
        <f t="shared" si="23"/>
        <v>0.7055343421</v>
      </c>
      <c r="H274" s="50">
        <f t="shared" si="4"/>
        <v>6.773129684</v>
      </c>
      <c r="I274" s="51">
        <f t="shared" si="5"/>
        <v>399.4791888</v>
      </c>
      <c r="J274" s="58"/>
      <c r="K274" s="58"/>
      <c r="L274" s="59"/>
      <c r="M274" s="52">
        <v>573.0</v>
      </c>
      <c r="N274" s="46">
        <f t="shared" si="6"/>
        <v>38.81003309</v>
      </c>
    </row>
    <row r="275">
      <c r="A275" s="45">
        <v>70702.0</v>
      </c>
      <c r="B275" s="45" t="s">
        <v>326</v>
      </c>
      <c r="C275" s="46">
        <v>37901.0</v>
      </c>
      <c r="D275" s="47">
        <v>14.4</v>
      </c>
      <c r="E275" s="48">
        <v>9.6</v>
      </c>
      <c r="F275" s="49">
        <f t="shared" si="2"/>
        <v>6.7608</v>
      </c>
      <c r="G275" s="49">
        <f t="shared" si="23"/>
        <v>0.7571391397</v>
      </c>
      <c r="H275" s="50">
        <f t="shared" si="4"/>
        <v>7.268535741</v>
      </c>
      <c r="I275" s="51">
        <f t="shared" si="5"/>
        <v>2754.847731</v>
      </c>
      <c r="J275" s="58"/>
      <c r="K275" s="58"/>
      <c r="L275" s="59"/>
      <c r="M275" s="52">
        <v>4376.0</v>
      </c>
      <c r="N275" s="46">
        <f t="shared" si="6"/>
        <v>318.071124</v>
      </c>
    </row>
    <row r="276">
      <c r="A276" s="45">
        <v>70703.0</v>
      </c>
      <c r="B276" s="45" t="s">
        <v>327</v>
      </c>
      <c r="C276" s="46">
        <v>32417.0</v>
      </c>
      <c r="D276" s="47">
        <v>26.3</v>
      </c>
      <c r="E276" s="48">
        <v>9.6</v>
      </c>
      <c r="F276" s="49">
        <f t="shared" si="2"/>
        <v>7.1416</v>
      </c>
      <c r="G276" s="49">
        <f t="shared" si="23"/>
        <v>0.799784771</v>
      </c>
      <c r="H276" s="50">
        <f t="shared" si="4"/>
        <v>7.677933802</v>
      </c>
      <c r="I276" s="51">
        <f t="shared" si="5"/>
        <v>2488.955801</v>
      </c>
      <c r="J276" s="58"/>
      <c r="K276" s="58"/>
      <c r="L276" s="59"/>
      <c r="M276" s="52">
        <v>3553.0</v>
      </c>
      <c r="N276" s="46">
        <f t="shared" si="6"/>
        <v>272.796988</v>
      </c>
    </row>
    <row r="277">
      <c r="A277" s="45">
        <v>70704.0</v>
      </c>
      <c r="B277" s="45" t="s">
        <v>328</v>
      </c>
      <c r="C277" s="46">
        <v>5311.0</v>
      </c>
      <c r="D277" s="47">
        <v>54.6</v>
      </c>
      <c r="E277" s="48">
        <v>9.6</v>
      </c>
      <c r="F277" s="49">
        <f t="shared" si="2"/>
        <v>8.0472</v>
      </c>
      <c r="G277" s="49">
        <f t="shared" si="23"/>
        <v>0.901202533</v>
      </c>
      <c r="H277" s="50">
        <f t="shared" si="4"/>
        <v>8.651544317</v>
      </c>
      <c r="I277" s="51">
        <f t="shared" si="5"/>
        <v>459.4835187</v>
      </c>
      <c r="J277" s="58"/>
      <c r="K277" s="58"/>
      <c r="L277" s="59"/>
      <c r="M277" s="52">
        <v>401.0</v>
      </c>
      <c r="N277" s="46">
        <f t="shared" si="6"/>
        <v>34.69269271</v>
      </c>
    </row>
    <row r="278">
      <c r="A278" s="45">
        <v>70705.0</v>
      </c>
      <c r="B278" s="45" t="s">
        <v>329</v>
      </c>
      <c r="C278" s="46">
        <v>14213.0</v>
      </c>
      <c r="D278" s="47">
        <v>0.0</v>
      </c>
      <c r="E278" s="48">
        <v>9.6</v>
      </c>
      <c r="F278" s="49">
        <f t="shared" si="2"/>
        <v>6.3</v>
      </c>
      <c r="G278" s="49">
        <f t="shared" si="23"/>
        <v>0.7055343421</v>
      </c>
      <c r="H278" s="50">
        <f t="shared" si="4"/>
        <v>6.773129684</v>
      </c>
      <c r="I278" s="51">
        <f t="shared" si="5"/>
        <v>962.664922</v>
      </c>
      <c r="J278" s="58"/>
      <c r="K278" s="58"/>
      <c r="L278" s="59"/>
      <c r="M278" s="52">
        <v>1613.0</v>
      </c>
      <c r="N278" s="46">
        <f t="shared" si="6"/>
        <v>109.2505818</v>
      </c>
    </row>
    <row r="279">
      <c r="A279" s="45">
        <v>70706.0</v>
      </c>
      <c r="B279" s="45" t="s">
        <v>330</v>
      </c>
      <c r="C279" s="46">
        <v>32414.0</v>
      </c>
      <c r="D279" s="47">
        <v>80.6</v>
      </c>
      <c r="E279" s="48">
        <v>9.6</v>
      </c>
      <c r="F279" s="49">
        <f t="shared" si="2"/>
        <v>8.8792</v>
      </c>
      <c r="G279" s="49">
        <f t="shared" si="23"/>
        <v>0.994377862</v>
      </c>
      <c r="H279" s="50">
        <f t="shared" si="4"/>
        <v>9.546027475</v>
      </c>
      <c r="I279" s="51">
        <f t="shared" si="5"/>
        <v>3094.249346</v>
      </c>
      <c r="J279" s="58"/>
      <c r="K279" s="58"/>
      <c r="L279" s="59"/>
      <c r="M279" s="52">
        <v>2319.0</v>
      </c>
      <c r="N279" s="46">
        <f t="shared" si="6"/>
        <v>221.3723771</v>
      </c>
    </row>
    <row r="280">
      <c r="A280" s="45">
        <v>70707.0</v>
      </c>
      <c r="B280" s="45" t="s">
        <v>331</v>
      </c>
      <c r="C280" s="46">
        <v>5568.0</v>
      </c>
      <c r="D280" s="47">
        <v>68.9</v>
      </c>
      <c r="E280" s="48">
        <v>9.6</v>
      </c>
      <c r="F280" s="49">
        <f t="shared" si="2"/>
        <v>8.5048</v>
      </c>
      <c r="G280" s="49">
        <f t="shared" si="23"/>
        <v>0.9524489639</v>
      </c>
      <c r="H280" s="50">
        <f t="shared" si="4"/>
        <v>9.143510054</v>
      </c>
      <c r="I280" s="51">
        <f t="shared" si="5"/>
        <v>509.1106398</v>
      </c>
      <c r="J280" s="58"/>
      <c r="K280" s="58"/>
      <c r="L280" s="59"/>
      <c r="M280" s="52">
        <v>587.0</v>
      </c>
      <c r="N280" s="46">
        <f t="shared" si="6"/>
        <v>53.67240402</v>
      </c>
    </row>
    <row r="281">
      <c r="A281" s="45">
        <v>70801.0</v>
      </c>
      <c r="B281" s="45" t="s">
        <v>332</v>
      </c>
      <c r="C281" s="46">
        <v>17246.0</v>
      </c>
      <c r="D281" s="47">
        <v>62.2</v>
      </c>
      <c r="E281" s="48">
        <v>9.6</v>
      </c>
      <c r="F281" s="49">
        <f t="shared" si="2"/>
        <v>8.2904</v>
      </c>
      <c r="G281" s="49">
        <f t="shared" si="23"/>
        <v>0.9284383984</v>
      </c>
      <c r="H281" s="50">
        <f t="shared" si="4"/>
        <v>8.913008625</v>
      </c>
      <c r="I281" s="51">
        <f t="shared" si="5"/>
        <v>1537.137467</v>
      </c>
      <c r="J281" s="58"/>
      <c r="K281" s="58"/>
      <c r="L281" s="59"/>
      <c r="M281" s="52">
        <v>1134.0</v>
      </c>
      <c r="N281" s="46">
        <f t="shared" si="6"/>
        <v>101.0735178</v>
      </c>
    </row>
    <row r="282">
      <c r="A282" s="45">
        <v>70802.0</v>
      </c>
      <c r="B282" s="45" t="s">
        <v>333</v>
      </c>
      <c r="C282" s="46">
        <v>2340.0</v>
      </c>
      <c r="D282" s="47">
        <v>0.0</v>
      </c>
      <c r="E282" s="48">
        <v>9.6</v>
      </c>
      <c r="F282" s="49">
        <f t="shared" si="2"/>
        <v>6.3</v>
      </c>
      <c r="G282" s="49">
        <f t="shared" si="23"/>
        <v>0.7055343421</v>
      </c>
      <c r="H282" s="50">
        <f t="shared" si="4"/>
        <v>6.773129684</v>
      </c>
      <c r="I282" s="51">
        <f t="shared" si="5"/>
        <v>158.4912346</v>
      </c>
      <c r="J282" s="58"/>
      <c r="K282" s="58"/>
      <c r="L282" s="59"/>
      <c r="M282" s="52">
        <v>150.0</v>
      </c>
      <c r="N282" s="46">
        <f t="shared" si="6"/>
        <v>10.15969453</v>
      </c>
    </row>
    <row r="283">
      <c r="A283" s="45">
        <v>70803.0</v>
      </c>
      <c r="B283" s="45" t="s">
        <v>334</v>
      </c>
      <c r="C283" s="46">
        <v>2791.0</v>
      </c>
      <c r="D283" s="47">
        <v>0.0</v>
      </c>
      <c r="E283" s="48">
        <v>9.6</v>
      </c>
      <c r="F283" s="49">
        <f t="shared" si="2"/>
        <v>6.3</v>
      </c>
      <c r="G283" s="49">
        <f t="shared" si="23"/>
        <v>0.7055343421</v>
      </c>
      <c r="H283" s="50">
        <f t="shared" si="4"/>
        <v>6.773129684</v>
      </c>
      <c r="I283" s="51">
        <f t="shared" si="5"/>
        <v>189.0380495</v>
      </c>
      <c r="J283" s="58"/>
      <c r="K283" s="58"/>
      <c r="L283" s="59"/>
      <c r="M283" s="52">
        <v>183.0</v>
      </c>
      <c r="N283" s="46">
        <f t="shared" si="6"/>
        <v>12.39482732</v>
      </c>
    </row>
    <row r="284">
      <c r="A284" s="45">
        <v>70804.0</v>
      </c>
      <c r="B284" s="45" t="s">
        <v>335</v>
      </c>
      <c r="C284" s="46">
        <v>1855.0</v>
      </c>
      <c r="D284" s="47">
        <v>0.0</v>
      </c>
      <c r="E284" s="48">
        <v>9.6</v>
      </c>
      <c r="F284" s="49">
        <f t="shared" si="2"/>
        <v>6.3</v>
      </c>
      <c r="G284" s="49">
        <f t="shared" si="23"/>
        <v>0.7055343421</v>
      </c>
      <c r="H284" s="50">
        <f t="shared" si="4"/>
        <v>6.773129684</v>
      </c>
      <c r="I284" s="51">
        <f t="shared" si="5"/>
        <v>125.6415556</v>
      </c>
      <c r="J284" s="58"/>
      <c r="K284" s="58"/>
      <c r="L284" s="59"/>
      <c r="M284" s="52">
        <v>123.0</v>
      </c>
      <c r="N284" s="46">
        <f t="shared" si="6"/>
        <v>8.330949512</v>
      </c>
    </row>
    <row r="285">
      <c r="A285" s="45">
        <v>70805.0</v>
      </c>
      <c r="B285" s="45" t="s">
        <v>336</v>
      </c>
      <c r="C285" s="46">
        <v>2020.0</v>
      </c>
      <c r="D285" s="47">
        <v>0.0</v>
      </c>
      <c r="E285" s="48">
        <v>9.6</v>
      </c>
      <c r="F285" s="49">
        <f t="shared" si="2"/>
        <v>6.3</v>
      </c>
      <c r="G285" s="49">
        <f t="shared" si="23"/>
        <v>0.7055343421</v>
      </c>
      <c r="H285" s="50">
        <f t="shared" si="4"/>
        <v>6.773129684</v>
      </c>
      <c r="I285" s="51">
        <f t="shared" si="5"/>
        <v>136.8172196</v>
      </c>
      <c r="J285" s="58"/>
      <c r="K285" s="58"/>
      <c r="L285" s="59"/>
      <c r="M285" s="52">
        <v>147.0</v>
      </c>
      <c r="N285" s="46">
        <f t="shared" si="6"/>
        <v>9.956500636</v>
      </c>
    </row>
    <row r="286">
      <c r="A286" s="45">
        <v>70901.0</v>
      </c>
      <c r="B286" s="45" t="s">
        <v>337</v>
      </c>
      <c r="C286" s="46">
        <v>11729.0</v>
      </c>
      <c r="D286" s="47">
        <v>44.7</v>
      </c>
      <c r="E286" s="48">
        <v>9.6</v>
      </c>
      <c r="F286" s="49">
        <f t="shared" si="2"/>
        <v>7.7304</v>
      </c>
      <c r="G286" s="49">
        <f t="shared" si="23"/>
        <v>0.8657242346</v>
      </c>
      <c r="H286" s="50">
        <f t="shared" si="4"/>
        <v>8.310952653</v>
      </c>
      <c r="I286" s="51">
        <f t="shared" si="5"/>
        <v>974.7916366</v>
      </c>
      <c r="J286" s="58"/>
      <c r="K286" s="58"/>
      <c r="L286" s="59"/>
      <c r="M286" s="52">
        <v>871.0</v>
      </c>
      <c r="N286" s="46">
        <f t="shared" si="6"/>
        <v>72.3883976</v>
      </c>
    </row>
    <row r="287">
      <c r="A287" s="45">
        <v>70902.0</v>
      </c>
      <c r="B287" s="45" t="s">
        <v>338</v>
      </c>
      <c r="C287" s="46">
        <v>9651.0</v>
      </c>
      <c r="D287" s="47">
        <v>40.5</v>
      </c>
      <c r="E287" s="48">
        <v>9.6</v>
      </c>
      <c r="F287" s="49">
        <f t="shared" si="2"/>
        <v>7.596</v>
      </c>
      <c r="G287" s="49">
        <f t="shared" si="23"/>
        <v>0.8506728353</v>
      </c>
      <c r="H287" s="50">
        <f t="shared" si="4"/>
        <v>8.166459219</v>
      </c>
      <c r="I287" s="51">
        <f t="shared" si="5"/>
        <v>788.1449793</v>
      </c>
      <c r="J287" s="58"/>
      <c r="K287" s="58"/>
      <c r="L287" s="59"/>
      <c r="M287" s="52">
        <v>898.0</v>
      </c>
      <c r="N287" s="46">
        <f t="shared" si="6"/>
        <v>73.33480379</v>
      </c>
    </row>
    <row r="288">
      <c r="A288" s="45">
        <v>70903.0</v>
      </c>
      <c r="B288" s="45" t="s">
        <v>339</v>
      </c>
      <c r="C288" s="46">
        <v>12522.0</v>
      </c>
      <c r="D288" s="47">
        <v>61.2</v>
      </c>
      <c r="E288" s="48">
        <v>9.6</v>
      </c>
      <c r="F288" s="49">
        <f t="shared" si="2"/>
        <v>8.2584</v>
      </c>
      <c r="G288" s="49">
        <f t="shared" si="23"/>
        <v>0.9248547319</v>
      </c>
      <c r="H288" s="50">
        <f t="shared" si="4"/>
        <v>8.878605426</v>
      </c>
      <c r="I288" s="51">
        <f t="shared" si="5"/>
        <v>1111.778971</v>
      </c>
      <c r="J288" s="58"/>
      <c r="K288" s="58"/>
      <c r="L288" s="59"/>
      <c r="M288" s="52">
        <v>1110.0</v>
      </c>
      <c r="N288" s="46">
        <f t="shared" si="6"/>
        <v>98.55252023</v>
      </c>
    </row>
    <row r="289">
      <c r="A289" s="45">
        <v>70904.0</v>
      </c>
      <c r="B289" s="45" t="s">
        <v>340</v>
      </c>
      <c r="C289" s="46">
        <v>3078.0</v>
      </c>
      <c r="D289" s="47">
        <v>0.0</v>
      </c>
      <c r="E289" s="48">
        <v>9.6</v>
      </c>
      <c r="F289" s="49">
        <f t="shared" si="2"/>
        <v>6.3</v>
      </c>
      <c r="G289" s="49">
        <f t="shared" si="23"/>
        <v>0.7055343421</v>
      </c>
      <c r="H289" s="50">
        <f t="shared" si="4"/>
        <v>6.773129684</v>
      </c>
      <c r="I289" s="51">
        <f t="shared" si="5"/>
        <v>208.4769317</v>
      </c>
      <c r="J289" s="58"/>
      <c r="K289" s="58"/>
      <c r="L289" s="59"/>
      <c r="M289" s="52">
        <v>205.0</v>
      </c>
      <c r="N289" s="46">
        <f t="shared" si="6"/>
        <v>13.88491585</v>
      </c>
    </row>
    <row r="290">
      <c r="A290" s="45">
        <v>71001.0</v>
      </c>
      <c r="B290" s="45" t="s">
        <v>341</v>
      </c>
      <c r="C290" s="46">
        <v>125439.0</v>
      </c>
      <c r="D290" s="47">
        <v>99.3</v>
      </c>
      <c r="E290" s="48">
        <v>9.6</v>
      </c>
      <c r="F290" s="49">
        <f t="shared" si="2"/>
        <v>9.4776</v>
      </c>
      <c r="G290" s="49">
        <f t="shared" si="23"/>
        <v>1.061392426</v>
      </c>
      <c r="H290" s="50">
        <f t="shared" si="4"/>
        <v>10.18936729</v>
      </c>
      <c r="I290" s="51">
        <f t="shared" si="5"/>
        <v>12781.44043</v>
      </c>
      <c r="J290" s="58"/>
      <c r="K290" s="58"/>
      <c r="L290" s="59"/>
      <c r="M290" s="52">
        <v>10752.0</v>
      </c>
      <c r="N290" s="46">
        <f t="shared" si="6"/>
        <v>1095.56077</v>
      </c>
    </row>
    <row r="291">
      <c r="A291" s="45">
        <v>71002.0</v>
      </c>
      <c r="B291" s="45" t="s">
        <v>342</v>
      </c>
      <c r="C291" s="46">
        <v>16399.0</v>
      </c>
      <c r="D291" s="47">
        <v>46.5</v>
      </c>
      <c r="E291" s="48">
        <v>9.6</v>
      </c>
      <c r="F291" s="49">
        <f t="shared" si="2"/>
        <v>7.788</v>
      </c>
      <c r="G291" s="49">
        <f t="shared" si="23"/>
        <v>0.8721748343</v>
      </c>
      <c r="H291" s="50">
        <f t="shared" si="4"/>
        <v>8.37287841</v>
      </c>
      <c r="I291" s="51">
        <f t="shared" si="5"/>
        <v>1373.06833</v>
      </c>
      <c r="J291" s="58"/>
      <c r="K291" s="58"/>
      <c r="L291" s="59"/>
      <c r="M291" s="52">
        <v>1557.0</v>
      </c>
      <c r="N291" s="46">
        <f t="shared" si="6"/>
        <v>130.3657168</v>
      </c>
    </row>
    <row r="292">
      <c r="A292" s="45">
        <v>71003.0</v>
      </c>
      <c r="B292" s="45" t="s">
        <v>343</v>
      </c>
      <c r="C292" s="46">
        <v>23122.0</v>
      </c>
      <c r="D292" s="47">
        <v>80.6</v>
      </c>
      <c r="E292" s="48">
        <v>9.6</v>
      </c>
      <c r="F292" s="49">
        <f t="shared" si="2"/>
        <v>8.8792</v>
      </c>
      <c r="G292" s="49">
        <f t="shared" si="23"/>
        <v>0.994377862</v>
      </c>
      <c r="H292" s="50">
        <f t="shared" si="4"/>
        <v>9.546027475</v>
      </c>
      <c r="I292" s="51">
        <f t="shared" si="5"/>
        <v>2207.232473</v>
      </c>
      <c r="J292" s="58"/>
      <c r="K292" s="58"/>
      <c r="L292" s="59"/>
      <c r="M292" s="52">
        <v>2171.0</v>
      </c>
      <c r="N292" s="46">
        <f t="shared" si="6"/>
        <v>207.2442565</v>
      </c>
    </row>
    <row r="293">
      <c r="A293" s="45">
        <v>71004.0</v>
      </c>
      <c r="B293" s="45" t="s">
        <v>344</v>
      </c>
      <c r="C293" s="46">
        <v>14652.0</v>
      </c>
      <c r="D293" s="47">
        <v>71.7</v>
      </c>
      <c r="E293" s="48">
        <v>9.6</v>
      </c>
      <c r="F293" s="49">
        <f t="shared" si="2"/>
        <v>8.5944</v>
      </c>
      <c r="G293" s="49">
        <f t="shared" si="23"/>
        <v>0.9624832301</v>
      </c>
      <c r="H293" s="50">
        <f t="shared" si="4"/>
        <v>9.239839009</v>
      </c>
      <c r="I293" s="51">
        <f t="shared" si="5"/>
        <v>1353.821212</v>
      </c>
      <c r="J293" s="58"/>
      <c r="K293" s="58"/>
      <c r="L293" s="59"/>
      <c r="M293" s="52">
        <v>1198.0</v>
      </c>
      <c r="N293" s="46">
        <f t="shared" si="6"/>
        <v>110.6932713</v>
      </c>
    </row>
    <row r="294">
      <c r="A294" s="45">
        <v>71005.0</v>
      </c>
      <c r="B294" s="45" t="s">
        <v>270</v>
      </c>
      <c r="C294" s="46">
        <v>15567.0</v>
      </c>
      <c r="D294" s="47">
        <v>56.5</v>
      </c>
      <c r="E294" s="48">
        <v>9.6</v>
      </c>
      <c r="F294" s="49">
        <f t="shared" si="2"/>
        <v>8.108</v>
      </c>
      <c r="G294" s="49">
        <f t="shared" si="23"/>
        <v>0.9080114993</v>
      </c>
      <c r="H294" s="50">
        <f t="shared" si="4"/>
        <v>8.716910394</v>
      </c>
      <c r="I294" s="51">
        <f t="shared" si="5"/>
        <v>1356.961441</v>
      </c>
      <c r="J294" s="58"/>
      <c r="K294" s="58"/>
      <c r="L294" s="59"/>
      <c r="M294" s="52">
        <v>1311.0</v>
      </c>
      <c r="N294" s="46">
        <f t="shared" si="6"/>
        <v>114.2786953</v>
      </c>
    </row>
    <row r="295">
      <c r="A295" s="45">
        <v>71101.0</v>
      </c>
      <c r="B295" s="45" t="s">
        <v>345</v>
      </c>
      <c r="C295" s="46">
        <v>29175.0</v>
      </c>
      <c r="D295" s="47">
        <v>49.8</v>
      </c>
      <c r="E295" s="48">
        <v>9.6</v>
      </c>
      <c r="F295" s="49">
        <f t="shared" si="2"/>
        <v>7.8936</v>
      </c>
      <c r="G295" s="49">
        <f t="shared" si="23"/>
        <v>0.8840009338</v>
      </c>
      <c r="H295" s="50">
        <f t="shared" si="4"/>
        <v>8.486408964</v>
      </c>
      <c r="I295" s="51">
        <f t="shared" si="5"/>
        <v>2475.909815</v>
      </c>
      <c r="J295" s="58"/>
      <c r="K295" s="58"/>
      <c r="L295" s="59"/>
      <c r="M295" s="52">
        <v>2991.0</v>
      </c>
      <c r="N295" s="46">
        <f t="shared" si="6"/>
        <v>253.8284921</v>
      </c>
    </row>
    <row r="296">
      <c r="A296" s="45">
        <v>71102.0</v>
      </c>
      <c r="B296" s="45" t="s">
        <v>346</v>
      </c>
      <c r="C296" s="46">
        <v>14782.0</v>
      </c>
      <c r="D296" s="47">
        <v>53.3</v>
      </c>
      <c r="E296" s="48">
        <v>9.6</v>
      </c>
      <c r="F296" s="49">
        <f t="shared" si="2"/>
        <v>8.0056</v>
      </c>
      <c r="G296" s="49">
        <f t="shared" si="23"/>
        <v>0.8965437665</v>
      </c>
      <c r="H296" s="50">
        <f t="shared" si="4"/>
        <v>8.606820159</v>
      </c>
      <c r="I296" s="51">
        <f t="shared" si="5"/>
        <v>1272.260156</v>
      </c>
      <c r="J296" s="58"/>
      <c r="K296" s="58"/>
      <c r="L296" s="59"/>
      <c r="M296" s="52">
        <v>1576.0</v>
      </c>
      <c r="N296" s="46">
        <f t="shared" si="6"/>
        <v>135.6434857</v>
      </c>
    </row>
    <row r="297">
      <c r="A297" s="45">
        <v>71103.0</v>
      </c>
      <c r="B297" s="45" t="s">
        <v>347</v>
      </c>
      <c r="C297" s="46">
        <v>8453.0</v>
      </c>
      <c r="D297" s="47">
        <v>86.0</v>
      </c>
      <c r="E297" s="48">
        <v>9.6</v>
      </c>
      <c r="F297" s="49">
        <f t="shared" si="2"/>
        <v>9.052</v>
      </c>
      <c r="G297" s="49">
        <f t="shared" si="23"/>
        <v>1.013729661</v>
      </c>
      <c r="H297" s="50">
        <f t="shared" si="4"/>
        <v>9.731804746</v>
      </c>
      <c r="I297" s="51">
        <f t="shared" si="5"/>
        <v>822.6294552</v>
      </c>
      <c r="J297" s="58"/>
      <c r="K297" s="58"/>
      <c r="L297" s="59"/>
      <c r="M297" s="52">
        <v>815.0</v>
      </c>
      <c r="N297" s="46">
        <f t="shared" si="6"/>
        <v>79.31420868</v>
      </c>
    </row>
    <row r="298">
      <c r="A298" s="45">
        <v>71104.0</v>
      </c>
      <c r="B298" s="45" t="s">
        <v>348</v>
      </c>
      <c r="C298" s="46">
        <v>45118.0</v>
      </c>
      <c r="D298" s="47">
        <v>51.7</v>
      </c>
      <c r="E298" s="48">
        <v>9.6</v>
      </c>
      <c r="F298" s="49">
        <f t="shared" si="2"/>
        <v>7.9544</v>
      </c>
      <c r="G298" s="49">
        <f t="shared" si="23"/>
        <v>0.8908099001</v>
      </c>
      <c r="H298" s="50">
        <f t="shared" si="4"/>
        <v>8.551775041</v>
      </c>
      <c r="I298" s="51">
        <f t="shared" si="5"/>
        <v>3858.389863</v>
      </c>
      <c r="J298" s="58"/>
      <c r="K298" s="58"/>
      <c r="L298" s="59"/>
      <c r="M298" s="52">
        <v>4247.0</v>
      </c>
      <c r="N298" s="46">
        <f t="shared" si="6"/>
        <v>363.193886</v>
      </c>
    </row>
    <row r="299">
      <c r="A299" s="45">
        <v>71105.0</v>
      </c>
      <c r="B299" s="45" t="s">
        <v>349</v>
      </c>
      <c r="C299" s="46">
        <v>6374.0</v>
      </c>
      <c r="D299" s="47">
        <v>0.0</v>
      </c>
      <c r="E299" s="48">
        <v>9.6</v>
      </c>
      <c r="F299" s="49">
        <f t="shared" si="2"/>
        <v>6.3</v>
      </c>
      <c r="G299" s="49">
        <f t="shared" si="23"/>
        <v>0.7055343421</v>
      </c>
      <c r="H299" s="50">
        <f t="shared" si="4"/>
        <v>6.773129684</v>
      </c>
      <c r="I299" s="51">
        <f t="shared" si="5"/>
        <v>431.7192861</v>
      </c>
      <c r="J299" s="58"/>
      <c r="K299" s="58"/>
      <c r="L299" s="59"/>
      <c r="M299" s="52">
        <v>718.0</v>
      </c>
      <c r="N299" s="46">
        <f t="shared" si="6"/>
        <v>48.63107113</v>
      </c>
    </row>
    <row r="300">
      <c r="A300" s="45">
        <v>71106.0</v>
      </c>
      <c r="B300" s="45" t="s">
        <v>350</v>
      </c>
      <c r="C300" s="46">
        <v>25057.0</v>
      </c>
      <c r="D300" s="47">
        <v>41.8</v>
      </c>
      <c r="E300" s="48">
        <v>9.6</v>
      </c>
      <c r="F300" s="49">
        <f t="shared" si="2"/>
        <v>7.6376</v>
      </c>
      <c r="G300" s="49">
        <f t="shared" si="23"/>
        <v>0.8553316018</v>
      </c>
      <c r="H300" s="50">
        <f t="shared" si="4"/>
        <v>8.211183377</v>
      </c>
      <c r="I300" s="51">
        <f t="shared" si="5"/>
        <v>2057.476219</v>
      </c>
      <c r="J300" s="58"/>
      <c r="K300" s="58"/>
      <c r="L300" s="59"/>
      <c r="M300" s="52">
        <v>2773.0</v>
      </c>
      <c r="N300" s="46">
        <f t="shared" si="6"/>
        <v>227.6961151</v>
      </c>
    </row>
    <row r="301">
      <c r="A301" s="45">
        <v>71201.0</v>
      </c>
      <c r="B301" s="45" t="s">
        <v>351</v>
      </c>
      <c r="C301" s="46">
        <v>15302.0</v>
      </c>
      <c r="D301" s="47">
        <v>50.9</v>
      </c>
      <c r="E301" s="48">
        <v>9.6</v>
      </c>
      <c r="F301" s="49">
        <f t="shared" si="2"/>
        <v>7.9288</v>
      </c>
      <c r="G301" s="49">
        <f t="shared" si="23"/>
        <v>0.8879429669</v>
      </c>
      <c r="H301" s="50">
        <f t="shared" si="4"/>
        <v>8.524252483</v>
      </c>
      <c r="I301" s="51">
        <f t="shared" si="5"/>
        <v>1304.381115</v>
      </c>
      <c r="J301" s="58"/>
      <c r="K301" s="58"/>
      <c r="L301" s="59"/>
      <c r="M301" s="52">
        <v>1574.0</v>
      </c>
      <c r="N301" s="46">
        <f t="shared" si="6"/>
        <v>134.1717341</v>
      </c>
    </row>
    <row r="302">
      <c r="A302" s="45">
        <v>71301.0</v>
      </c>
      <c r="B302" s="45" t="s">
        <v>352</v>
      </c>
      <c r="C302" s="46">
        <v>17089.0</v>
      </c>
      <c r="D302" s="47">
        <v>36.6</v>
      </c>
      <c r="E302" s="48">
        <v>9.6</v>
      </c>
      <c r="F302" s="49">
        <f t="shared" si="2"/>
        <v>7.4712</v>
      </c>
      <c r="G302" s="49">
        <f t="shared" si="23"/>
        <v>0.836696536</v>
      </c>
      <c r="H302" s="50">
        <f t="shared" si="4"/>
        <v>8.032286746</v>
      </c>
      <c r="I302" s="51">
        <f t="shared" si="5"/>
        <v>1372.637482</v>
      </c>
      <c r="J302" s="58"/>
      <c r="K302" s="58"/>
      <c r="L302" s="59"/>
      <c r="M302" s="52">
        <v>1512.0</v>
      </c>
      <c r="N302" s="46">
        <f t="shared" si="6"/>
        <v>121.4481756</v>
      </c>
    </row>
    <row r="303">
      <c r="A303" s="45">
        <v>71302.0</v>
      </c>
      <c r="B303" s="45" t="s">
        <v>353</v>
      </c>
      <c r="C303" s="46">
        <v>6160.0</v>
      </c>
      <c r="D303" s="47">
        <v>60.4</v>
      </c>
      <c r="E303" s="48">
        <v>9.6</v>
      </c>
      <c r="F303" s="49">
        <f t="shared" si="2"/>
        <v>8.2328</v>
      </c>
      <c r="G303" s="49">
        <f t="shared" si="23"/>
        <v>0.9219877987</v>
      </c>
      <c r="H303" s="50">
        <f t="shared" si="4"/>
        <v>8.851082867</v>
      </c>
      <c r="I303" s="51">
        <f t="shared" si="5"/>
        <v>545.2267046</v>
      </c>
      <c r="J303" s="58"/>
      <c r="K303" s="58"/>
      <c r="L303" s="59"/>
      <c r="M303" s="52">
        <v>529.0</v>
      </c>
      <c r="N303" s="46">
        <f t="shared" si="6"/>
        <v>46.82222837</v>
      </c>
    </row>
    <row r="304">
      <c r="A304" s="45">
        <v>71401.0</v>
      </c>
      <c r="B304" s="45" t="s">
        <v>354</v>
      </c>
      <c r="C304" s="46">
        <v>17618.0</v>
      </c>
      <c r="D304" s="47">
        <v>69.2</v>
      </c>
      <c r="E304" s="48">
        <v>9.6</v>
      </c>
      <c r="F304" s="49">
        <f t="shared" si="2"/>
        <v>8.5144</v>
      </c>
      <c r="G304" s="49">
        <f t="shared" si="23"/>
        <v>0.9535240639</v>
      </c>
      <c r="H304" s="50">
        <f t="shared" si="4"/>
        <v>9.153831013</v>
      </c>
      <c r="I304" s="51">
        <f t="shared" si="5"/>
        <v>1612.721948</v>
      </c>
      <c r="J304" s="58"/>
      <c r="K304" s="58"/>
      <c r="L304" s="59"/>
      <c r="M304" s="52">
        <v>1278.0</v>
      </c>
      <c r="N304" s="46">
        <f t="shared" si="6"/>
        <v>116.9859603</v>
      </c>
    </row>
    <row r="305">
      <c r="A305" s="45">
        <v>71402.0</v>
      </c>
      <c r="B305" s="45" t="s">
        <v>355</v>
      </c>
      <c r="C305" s="46">
        <v>17864.0</v>
      </c>
      <c r="D305" s="47">
        <v>97.6</v>
      </c>
      <c r="E305" s="48">
        <v>9.6</v>
      </c>
      <c r="F305" s="49">
        <f t="shared" si="2"/>
        <v>9.4232</v>
      </c>
      <c r="G305" s="49">
        <f t="shared" si="23"/>
        <v>1.055300192</v>
      </c>
      <c r="H305" s="50">
        <f t="shared" si="4"/>
        <v>10.13088185</v>
      </c>
      <c r="I305" s="51">
        <f t="shared" si="5"/>
        <v>1809.780733</v>
      </c>
      <c r="J305" s="58"/>
      <c r="K305" s="58"/>
      <c r="L305" s="59"/>
      <c r="M305" s="52">
        <v>1354.0</v>
      </c>
      <c r="N305" s="46">
        <f t="shared" si="6"/>
        <v>137.1721402</v>
      </c>
    </row>
    <row r="306">
      <c r="A306" s="45">
        <v>71403.0</v>
      </c>
      <c r="B306" s="45" t="s">
        <v>356</v>
      </c>
      <c r="C306" s="46">
        <v>8610.0</v>
      </c>
      <c r="D306" s="47">
        <v>43.2</v>
      </c>
      <c r="E306" s="48">
        <v>9.6</v>
      </c>
      <c r="F306" s="49">
        <f t="shared" si="2"/>
        <v>7.6824</v>
      </c>
      <c r="G306" s="49">
        <f t="shared" si="23"/>
        <v>0.8603487349</v>
      </c>
      <c r="H306" s="50">
        <f t="shared" si="4"/>
        <v>8.259347855</v>
      </c>
      <c r="I306" s="51">
        <f t="shared" si="5"/>
        <v>711.1298503</v>
      </c>
      <c r="J306" s="58"/>
      <c r="K306" s="58"/>
      <c r="L306" s="59"/>
      <c r="M306" s="52">
        <v>942.0</v>
      </c>
      <c r="N306" s="46">
        <f t="shared" si="6"/>
        <v>77.80305679</v>
      </c>
    </row>
    <row r="307">
      <c r="A307" s="45">
        <v>71501.0</v>
      </c>
      <c r="B307" s="45" t="s">
        <v>357</v>
      </c>
      <c r="C307" s="46">
        <v>33495.0</v>
      </c>
      <c r="D307" s="47">
        <v>68.9</v>
      </c>
      <c r="E307" s="48">
        <v>9.6</v>
      </c>
      <c r="F307" s="49">
        <f t="shared" si="2"/>
        <v>8.5048</v>
      </c>
      <c r="G307" s="49">
        <f t="shared" si="23"/>
        <v>0.9524489639</v>
      </c>
      <c r="H307" s="50">
        <f t="shared" si="4"/>
        <v>9.143510054</v>
      </c>
      <c r="I307" s="51">
        <f t="shared" si="5"/>
        <v>3062.618693</v>
      </c>
      <c r="J307" s="45"/>
      <c r="K307" s="45"/>
      <c r="L307" s="45"/>
      <c r="M307" s="52">
        <v>3218.0</v>
      </c>
      <c r="N307" s="46">
        <f t="shared" si="6"/>
        <v>294.2381535</v>
      </c>
    </row>
    <row r="308">
      <c r="A308" s="45">
        <v>71502.0</v>
      </c>
      <c r="B308" s="45" t="s">
        <v>358</v>
      </c>
      <c r="C308" s="46">
        <v>6594.0</v>
      </c>
      <c r="D308" s="47">
        <v>84.1</v>
      </c>
      <c r="E308" s="48">
        <v>9.6</v>
      </c>
      <c r="F308" s="49">
        <f t="shared" si="2"/>
        <v>8.9912</v>
      </c>
      <c r="G308" s="49">
        <f t="shared" si="23"/>
        <v>1.006920695</v>
      </c>
      <c r="H308" s="50">
        <f t="shared" si="4"/>
        <v>9.666438669</v>
      </c>
      <c r="I308" s="51">
        <f t="shared" si="5"/>
        <v>637.4049659</v>
      </c>
      <c r="J308" s="58"/>
      <c r="K308" s="58"/>
      <c r="L308" s="59"/>
      <c r="M308" s="52">
        <v>643.0</v>
      </c>
      <c r="N308" s="46">
        <f t="shared" si="6"/>
        <v>62.15520064</v>
      </c>
    </row>
    <row r="309">
      <c r="A309" s="45">
        <v>71503.0</v>
      </c>
      <c r="B309" s="45" t="s">
        <v>304</v>
      </c>
      <c r="C309" s="46">
        <v>17033.0</v>
      </c>
      <c r="D309" s="47">
        <v>17.7</v>
      </c>
      <c r="E309" s="48">
        <v>9.6</v>
      </c>
      <c r="F309" s="49">
        <f t="shared" si="2"/>
        <v>6.8664</v>
      </c>
      <c r="G309" s="49">
        <f t="shared" si="23"/>
        <v>0.7689652392</v>
      </c>
      <c r="H309" s="50">
        <f t="shared" si="4"/>
        <v>7.382066296</v>
      </c>
      <c r="I309" s="51">
        <f t="shared" si="5"/>
        <v>1257.387352</v>
      </c>
      <c r="J309" s="58"/>
      <c r="K309" s="58"/>
      <c r="L309" s="59"/>
      <c r="M309" s="52">
        <v>1436.0</v>
      </c>
      <c r="N309" s="46">
        <f t="shared" si="6"/>
        <v>106.006472</v>
      </c>
    </row>
    <row r="310">
      <c r="A310" s="45">
        <v>80101.0</v>
      </c>
      <c r="B310" s="45" t="s">
        <v>359</v>
      </c>
      <c r="C310" s="46">
        <v>126756.0</v>
      </c>
      <c r="D310" s="47">
        <v>95.4</v>
      </c>
      <c r="E310" s="45">
        <v>7.8</v>
      </c>
      <c r="F310" s="49">
        <f t="shared" si="2"/>
        <v>9.3528</v>
      </c>
      <c r="G310" s="49">
        <f t="shared" ref="G310:G329" si="24">0.83*F310/F$345</f>
        <v>1.086694231</v>
      </c>
      <c r="H310" s="50">
        <f t="shared" si="4"/>
        <v>8.476215001</v>
      </c>
      <c r="I310" s="51">
        <f t="shared" si="5"/>
        <v>10744.11109</v>
      </c>
      <c r="J310" s="52">
        <f>SUM(C310:C329)</f>
        <v>482739.8333</v>
      </c>
      <c r="K310" s="52">
        <f>SUM(I310:I329)</f>
        <v>37787.9929</v>
      </c>
      <c r="L310" s="53">
        <f>K310/J310</f>
        <v>0.07827817447</v>
      </c>
      <c r="M310" s="52">
        <v>10233.0</v>
      </c>
      <c r="N310" s="46">
        <f t="shared" si="6"/>
        <v>867.3710811</v>
      </c>
    </row>
    <row r="311">
      <c r="A311" s="45">
        <v>80102.0</v>
      </c>
      <c r="B311" s="45" t="s">
        <v>346</v>
      </c>
      <c r="C311" s="46">
        <v>7693.0</v>
      </c>
      <c r="D311" s="47">
        <v>0.0</v>
      </c>
      <c r="E311" s="45">
        <v>7.8</v>
      </c>
      <c r="F311" s="49">
        <f t="shared" si="2"/>
        <v>6.3</v>
      </c>
      <c r="G311" s="49">
        <f t="shared" si="24"/>
        <v>0.7319918799</v>
      </c>
      <c r="H311" s="50">
        <f t="shared" si="4"/>
        <v>5.709536664</v>
      </c>
      <c r="I311" s="51">
        <f t="shared" si="5"/>
        <v>439.2346555</v>
      </c>
      <c r="J311" s="58"/>
      <c r="K311" s="58"/>
      <c r="L311" s="59"/>
      <c r="M311" s="52">
        <v>881.0</v>
      </c>
      <c r="N311" s="46">
        <f t="shared" si="6"/>
        <v>50.30101801</v>
      </c>
    </row>
    <row r="312">
      <c r="A312" s="45">
        <v>80201.0</v>
      </c>
      <c r="B312" s="45" t="s">
        <v>360</v>
      </c>
      <c r="C312" s="46">
        <v>108529.0</v>
      </c>
      <c r="D312" s="47">
        <v>89.1</v>
      </c>
      <c r="E312" s="45">
        <v>7.8</v>
      </c>
      <c r="F312" s="49">
        <f t="shared" si="2"/>
        <v>9.1512</v>
      </c>
      <c r="G312" s="49">
        <f t="shared" si="24"/>
        <v>1.063270491</v>
      </c>
      <c r="H312" s="50">
        <f t="shared" si="4"/>
        <v>8.293509828</v>
      </c>
      <c r="I312" s="51">
        <f t="shared" si="5"/>
        <v>9000.863281</v>
      </c>
      <c r="J312" s="58"/>
      <c r="K312" s="58"/>
      <c r="L312" s="59"/>
      <c r="M312" s="52">
        <v>10294.0</v>
      </c>
      <c r="N312" s="46">
        <f t="shared" si="6"/>
        <v>853.7339017</v>
      </c>
    </row>
    <row r="313">
      <c r="A313" s="45">
        <v>80202.0</v>
      </c>
      <c r="B313" s="45" t="s">
        <v>361</v>
      </c>
      <c r="C313" s="46">
        <v>42013.0</v>
      </c>
      <c r="D313" s="47">
        <v>85.1</v>
      </c>
      <c r="E313" s="45">
        <v>7.8</v>
      </c>
      <c r="F313" s="49">
        <f t="shared" si="2"/>
        <v>9.0232</v>
      </c>
      <c r="G313" s="49">
        <f t="shared" si="24"/>
        <v>1.048398275</v>
      </c>
      <c r="H313" s="50">
        <f t="shared" si="4"/>
        <v>8.177506543</v>
      </c>
      <c r="I313" s="51">
        <f t="shared" si="5"/>
        <v>3435.615824</v>
      </c>
      <c r="J313" s="58"/>
      <c r="K313" s="58"/>
      <c r="L313" s="59"/>
      <c r="M313" s="52">
        <v>3709.0</v>
      </c>
      <c r="N313" s="46">
        <f t="shared" si="6"/>
        <v>303.3037177</v>
      </c>
    </row>
    <row r="314">
      <c r="A314" s="45">
        <v>80301.0</v>
      </c>
      <c r="B314" s="45" t="s">
        <v>362</v>
      </c>
      <c r="C314" s="46">
        <v>11625.0</v>
      </c>
      <c r="D314" s="47">
        <v>58.3</v>
      </c>
      <c r="E314" s="45">
        <v>7.8</v>
      </c>
      <c r="F314" s="49">
        <f t="shared" si="2"/>
        <v>8.1656</v>
      </c>
      <c r="G314" s="49">
        <f t="shared" si="24"/>
        <v>0.9487544278</v>
      </c>
      <c r="H314" s="50">
        <f t="shared" si="4"/>
        <v>7.400284536</v>
      </c>
      <c r="I314" s="51">
        <f t="shared" si="5"/>
        <v>860.2830774</v>
      </c>
      <c r="J314" s="58"/>
      <c r="K314" s="58"/>
      <c r="L314" s="59"/>
      <c r="M314" s="52">
        <v>1261.0</v>
      </c>
      <c r="N314" s="46">
        <f t="shared" si="6"/>
        <v>93.317588</v>
      </c>
    </row>
    <row r="315">
      <c r="A315" s="45">
        <v>80302.0</v>
      </c>
      <c r="B315" s="45" t="s">
        <v>363</v>
      </c>
      <c r="C315" s="46">
        <v>45387.0</v>
      </c>
      <c r="D315" s="47">
        <v>49.4</v>
      </c>
      <c r="E315" s="45">
        <v>7.8</v>
      </c>
      <c r="F315" s="49">
        <f t="shared" si="2"/>
        <v>7.8808</v>
      </c>
      <c r="G315" s="49">
        <f t="shared" si="24"/>
        <v>0.9156637472</v>
      </c>
      <c r="H315" s="50">
        <f t="shared" si="4"/>
        <v>7.142177228</v>
      </c>
      <c r="I315" s="51">
        <f t="shared" si="5"/>
        <v>3241.619979</v>
      </c>
      <c r="J315" s="58"/>
      <c r="K315" s="58"/>
      <c r="L315" s="59"/>
      <c r="M315" s="52">
        <v>5475.0</v>
      </c>
      <c r="N315" s="46">
        <f t="shared" si="6"/>
        <v>391.0342032</v>
      </c>
    </row>
    <row r="316">
      <c r="A316" s="45">
        <v>80303.0</v>
      </c>
      <c r="B316" s="45" t="s">
        <v>323</v>
      </c>
      <c r="C316" s="46">
        <v>10985.0</v>
      </c>
      <c r="D316" s="47">
        <v>50.0</v>
      </c>
      <c r="E316" s="45">
        <v>7.8</v>
      </c>
      <c r="F316" s="49">
        <f t="shared" si="2"/>
        <v>7.9</v>
      </c>
      <c r="G316" s="49">
        <f t="shared" si="24"/>
        <v>0.9178945796</v>
      </c>
      <c r="H316" s="50">
        <f t="shared" si="4"/>
        <v>7.159577721</v>
      </c>
      <c r="I316" s="51">
        <f t="shared" si="5"/>
        <v>786.4796126</v>
      </c>
      <c r="J316" s="58"/>
      <c r="K316" s="58"/>
      <c r="L316" s="59"/>
      <c r="M316" s="52">
        <v>1225.0</v>
      </c>
      <c r="N316" s="46">
        <f t="shared" si="6"/>
        <v>87.70482708</v>
      </c>
    </row>
    <row r="317">
      <c r="A317" s="45">
        <v>80304.0</v>
      </c>
      <c r="B317" s="45" t="s">
        <v>364</v>
      </c>
      <c r="C317" s="46">
        <v>21070.0</v>
      </c>
      <c r="D317" s="47">
        <v>67.3</v>
      </c>
      <c r="E317" s="45">
        <v>7.8</v>
      </c>
      <c r="F317" s="49">
        <f t="shared" si="2"/>
        <v>8.4536</v>
      </c>
      <c r="G317" s="49">
        <f t="shared" si="24"/>
        <v>0.9822169137</v>
      </c>
      <c r="H317" s="50">
        <f t="shared" si="4"/>
        <v>7.661291927</v>
      </c>
      <c r="I317" s="51">
        <f t="shared" si="5"/>
        <v>1614.234209</v>
      </c>
      <c r="J317" s="58"/>
      <c r="K317" s="58"/>
      <c r="L317" s="59"/>
      <c r="M317" s="52">
        <v>2126.0</v>
      </c>
      <c r="N317" s="46">
        <f t="shared" si="6"/>
        <v>162.8790664</v>
      </c>
    </row>
    <row r="318">
      <c r="A318" s="45">
        <v>80401.0</v>
      </c>
      <c r="B318" s="45" t="s">
        <v>365</v>
      </c>
      <c r="C318" s="46">
        <v>18003.0</v>
      </c>
      <c r="D318" s="47">
        <v>72.0</v>
      </c>
      <c r="E318" s="45">
        <v>7.8</v>
      </c>
      <c r="F318" s="49">
        <f t="shared" si="2"/>
        <v>8.604</v>
      </c>
      <c r="G318" s="49">
        <f t="shared" si="24"/>
        <v>0.9996917675</v>
      </c>
      <c r="H318" s="50">
        <f t="shared" si="4"/>
        <v>7.797595786</v>
      </c>
      <c r="I318" s="51">
        <f t="shared" si="5"/>
        <v>1403.801169</v>
      </c>
      <c r="J318" s="58"/>
      <c r="K318" s="58"/>
      <c r="L318" s="59"/>
      <c r="M318" s="52">
        <v>1955.0</v>
      </c>
      <c r="N318" s="46">
        <f t="shared" si="6"/>
        <v>152.4429976</v>
      </c>
    </row>
    <row r="319">
      <c r="A319" s="45">
        <v>80402.0</v>
      </c>
      <c r="B319" s="45" t="s">
        <v>366</v>
      </c>
      <c r="C319" s="46">
        <v>7875.0</v>
      </c>
      <c r="D319" s="47">
        <v>23.9</v>
      </c>
      <c r="E319" s="45">
        <v>7.8</v>
      </c>
      <c r="F319" s="49">
        <f t="shared" si="2"/>
        <v>7.0648</v>
      </c>
      <c r="G319" s="49">
        <f t="shared" si="24"/>
        <v>0.8208533704</v>
      </c>
      <c r="H319" s="50">
        <f t="shared" si="4"/>
        <v>6.402656289</v>
      </c>
      <c r="I319" s="51">
        <f t="shared" si="5"/>
        <v>504.2091828</v>
      </c>
      <c r="J319" s="58"/>
      <c r="K319" s="58"/>
      <c r="L319" s="59"/>
      <c r="M319" s="52">
        <v>839.0</v>
      </c>
      <c r="N319" s="46">
        <f t="shared" si="6"/>
        <v>53.71828626</v>
      </c>
    </row>
    <row r="320">
      <c r="A320" s="45">
        <v>80501.0</v>
      </c>
      <c r="B320" s="45" t="s">
        <v>312</v>
      </c>
      <c r="C320" s="46">
        <v>21390.0</v>
      </c>
      <c r="D320" s="47">
        <v>48.2</v>
      </c>
      <c r="E320" s="45">
        <v>7.8</v>
      </c>
      <c r="F320" s="49">
        <f t="shared" si="2"/>
        <v>7.8424</v>
      </c>
      <c r="G320" s="49">
        <f t="shared" si="24"/>
        <v>0.9112020824</v>
      </c>
      <c r="H320" s="50">
        <f t="shared" si="4"/>
        <v>7.107376243</v>
      </c>
      <c r="I320" s="51">
        <f t="shared" si="5"/>
        <v>1520.267778</v>
      </c>
      <c r="J320" s="58"/>
      <c r="K320" s="58"/>
      <c r="L320" s="59"/>
      <c r="M320" s="52">
        <v>2572.0</v>
      </c>
      <c r="N320" s="46">
        <f t="shared" si="6"/>
        <v>182.801717</v>
      </c>
    </row>
    <row r="321">
      <c r="A321" s="45">
        <v>80601.0</v>
      </c>
      <c r="B321" s="45" t="s">
        <v>367</v>
      </c>
      <c r="C321" s="46">
        <v>4232.0</v>
      </c>
      <c r="D321" s="47">
        <v>0.0</v>
      </c>
      <c r="E321" s="45">
        <v>7.8</v>
      </c>
      <c r="F321" s="49">
        <f t="shared" si="2"/>
        <v>6.3</v>
      </c>
      <c r="G321" s="49">
        <f t="shared" si="24"/>
        <v>0.7319918799</v>
      </c>
      <c r="H321" s="50">
        <f t="shared" si="4"/>
        <v>5.709536664</v>
      </c>
      <c r="I321" s="51">
        <f t="shared" si="5"/>
        <v>241.6275916</v>
      </c>
      <c r="J321" s="58"/>
      <c r="K321" s="58"/>
      <c r="L321" s="59"/>
      <c r="M321" s="52">
        <v>564.0</v>
      </c>
      <c r="N321" s="46">
        <f t="shared" si="6"/>
        <v>32.20178678</v>
      </c>
    </row>
    <row r="322">
      <c r="A322" s="45">
        <v>80602.0</v>
      </c>
      <c r="B322" s="45" t="s">
        <v>368</v>
      </c>
      <c r="C322" s="46">
        <v>15314.0</v>
      </c>
      <c r="D322" s="47">
        <v>16.6</v>
      </c>
      <c r="E322" s="45">
        <v>7.8</v>
      </c>
      <c r="F322" s="49">
        <f t="shared" si="2"/>
        <v>6.8312</v>
      </c>
      <c r="G322" s="49">
        <f t="shared" si="24"/>
        <v>0.7937115762</v>
      </c>
      <c r="H322" s="50">
        <f t="shared" si="4"/>
        <v>6.190950295</v>
      </c>
      <c r="I322" s="51">
        <f t="shared" si="5"/>
        <v>948.0821281</v>
      </c>
      <c r="J322" s="58"/>
      <c r="K322" s="58"/>
      <c r="L322" s="59"/>
      <c r="M322" s="52">
        <v>1311.0</v>
      </c>
      <c r="N322" s="46">
        <f t="shared" si="6"/>
        <v>81.16335836</v>
      </c>
    </row>
    <row r="323">
      <c r="A323" s="45">
        <v>80701.0</v>
      </c>
      <c r="B323" s="45" t="s">
        <v>369</v>
      </c>
      <c r="C323" s="46">
        <v>6817.0</v>
      </c>
      <c r="D323" s="47">
        <v>70.1</v>
      </c>
      <c r="E323" s="45">
        <v>7.8</v>
      </c>
      <c r="F323" s="49">
        <f t="shared" si="2"/>
        <v>8.5432</v>
      </c>
      <c r="G323" s="49">
        <f t="shared" si="24"/>
        <v>0.9926274649</v>
      </c>
      <c r="H323" s="50">
        <f t="shared" si="4"/>
        <v>7.742494226</v>
      </c>
      <c r="I323" s="51">
        <f t="shared" si="5"/>
        <v>527.8058314</v>
      </c>
      <c r="J323" s="58"/>
      <c r="K323" s="58"/>
      <c r="L323" s="59"/>
      <c r="M323" s="52">
        <v>684.0</v>
      </c>
      <c r="N323" s="46">
        <f t="shared" si="6"/>
        <v>52.95866051</v>
      </c>
    </row>
    <row r="324">
      <c r="A324" s="45">
        <v>80702.0</v>
      </c>
      <c r="B324" s="45" t="s">
        <v>347</v>
      </c>
      <c r="C324" s="46">
        <v>5445.0</v>
      </c>
      <c r="D324" s="47">
        <v>70.0</v>
      </c>
      <c r="E324" s="45">
        <v>7.8</v>
      </c>
      <c r="F324" s="49">
        <f t="shared" si="2"/>
        <v>8.54</v>
      </c>
      <c r="G324" s="49">
        <f t="shared" si="24"/>
        <v>0.9922556595</v>
      </c>
      <c r="H324" s="50">
        <f t="shared" si="4"/>
        <v>7.739594144</v>
      </c>
      <c r="I324" s="51">
        <f t="shared" si="5"/>
        <v>421.4209011</v>
      </c>
      <c r="J324" s="58"/>
      <c r="K324" s="58"/>
      <c r="L324" s="59"/>
      <c r="M324" s="52">
        <v>511.0</v>
      </c>
      <c r="N324" s="46">
        <f t="shared" si="6"/>
        <v>39.54932608</v>
      </c>
    </row>
    <row r="325">
      <c r="A325" s="45">
        <v>80703.0</v>
      </c>
      <c r="B325" s="45" t="s">
        <v>370</v>
      </c>
      <c r="C325" s="46">
        <v>1078.833333</v>
      </c>
      <c r="D325" s="47">
        <v>0.0</v>
      </c>
      <c r="E325" s="45">
        <v>7.8</v>
      </c>
      <c r="F325" s="49">
        <f t="shared" si="2"/>
        <v>6.3</v>
      </c>
      <c r="G325" s="49">
        <f t="shared" si="24"/>
        <v>0.7319918799</v>
      </c>
      <c r="H325" s="50">
        <f t="shared" si="4"/>
        <v>5.709536664</v>
      </c>
      <c r="I325" s="51">
        <f t="shared" si="5"/>
        <v>61.59638469</v>
      </c>
      <c r="J325" s="58"/>
      <c r="K325" s="58"/>
      <c r="L325" s="59"/>
      <c r="M325" s="52">
        <v>116.0</v>
      </c>
      <c r="N325" s="46">
        <f t="shared" si="6"/>
        <v>6.62306253</v>
      </c>
    </row>
    <row r="326">
      <c r="A326" s="45">
        <v>80801.0</v>
      </c>
      <c r="B326" s="45" t="s">
        <v>371</v>
      </c>
      <c r="C326" s="46">
        <v>12668.0</v>
      </c>
      <c r="D326" s="47">
        <v>76.5</v>
      </c>
      <c r="E326" s="45">
        <v>7.8</v>
      </c>
      <c r="F326" s="49">
        <f t="shared" si="2"/>
        <v>8.748</v>
      </c>
      <c r="G326" s="49">
        <f t="shared" si="24"/>
        <v>1.01642301</v>
      </c>
      <c r="H326" s="50">
        <f t="shared" si="4"/>
        <v>7.928099481</v>
      </c>
      <c r="I326" s="51">
        <f t="shared" si="5"/>
        <v>1004.331642</v>
      </c>
      <c r="J326" s="45"/>
      <c r="K326" s="45"/>
      <c r="L326" s="45"/>
      <c r="M326" s="52">
        <v>1263.0</v>
      </c>
      <c r="N326" s="46">
        <f t="shared" si="6"/>
        <v>100.1318964</v>
      </c>
    </row>
    <row r="327">
      <c r="A327" s="45">
        <v>80802.0</v>
      </c>
      <c r="B327" s="45" t="s">
        <v>372</v>
      </c>
      <c r="C327" s="46">
        <v>7361.0</v>
      </c>
      <c r="D327" s="47">
        <v>29.3</v>
      </c>
      <c r="E327" s="45">
        <v>7.8</v>
      </c>
      <c r="F327" s="49">
        <f t="shared" si="2"/>
        <v>7.2376</v>
      </c>
      <c r="G327" s="49">
        <f t="shared" si="24"/>
        <v>0.8409308619</v>
      </c>
      <c r="H327" s="50">
        <f t="shared" si="4"/>
        <v>6.559260723</v>
      </c>
      <c r="I327" s="51">
        <f t="shared" si="5"/>
        <v>482.8271818</v>
      </c>
      <c r="J327" s="58"/>
      <c r="K327" s="58"/>
      <c r="L327" s="59"/>
      <c r="M327" s="52">
        <v>534.0</v>
      </c>
      <c r="N327" s="46">
        <f t="shared" si="6"/>
        <v>35.02645226</v>
      </c>
    </row>
    <row r="328">
      <c r="A328" s="45">
        <v>80803.0</v>
      </c>
      <c r="B328" s="45" t="s">
        <v>373</v>
      </c>
      <c r="C328" s="46">
        <v>4587.0</v>
      </c>
      <c r="D328" s="47">
        <v>48.4</v>
      </c>
      <c r="E328" s="45">
        <v>7.8</v>
      </c>
      <c r="F328" s="49">
        <f t="shared" si="2"/>
        <v>7.8488</v>
      </c>
      <c r="G328" s="49">
        <f t="shared" si="24"/>
        <v>0.9119456932</v>
      </c>
      <c r="H328" s="50">
        <f t="shared" si="4"/>
        <v>7.113176407</v>
      </c>
      <c r="I328" s="51">
        <f t="shared" si="5"/>
        <v>326.2814018</v>
      </c>
      <c r="J328" s="58"/>
      <c r="K328" s="58"/>
      <c r="L328" s="59"/>
      <c r="M328" s="52">
        <v>404.0</v>
      </c>
      <c r="N328" s="46">
        <f t="shared" si="6"/>
        <v>28.73723268</v>
      </c>
    </row>
    <row r="329">
      <c r="A329" s="45">
        <v>80901.0</v>
      </c>
      <c r="B329" s="45" t="s">
        <v>374</v>
      </c>
      <c r="C329" s="46">
        <v>3911.0</v>
      </c>
      <c r="D329" s="47">
        <v>0.0</v>
      </c>
      <c r="E329" s="45">
        <v>7.8</v>
      </c>
      <c r="F329" s="49">
        <f t="shared" si="2"/>
        <v>6.3</v>
      </c>
      <c r="G329" s="49">
        <f t="shared" si="24"/>
        <v>0.7319918799</v>
      </c>
      <c r="H329" s="50">
        <f t="shared" si="4"/>
        <v>5.709536664</v>
      </c>
      <c r="I329" s="51">
        <f t="shared" si="5"/>
        <v>223.2999789</v>
      </c>
      <c r="J329" s="58"/>
      <c r="K329" s="58"/>
      <c r="L329" s="59"/>
      <c r="M329" s="52">
        <v>569.0</v>
      </c>
      <c r="N329" s="46">
        <f t="shared" si="6"/>
        <v>32.48726362</v>
      </c>
    </row>
    <row r="330">
      <c r="A330" s="45">
        <v>90101.0</v>
      </c>
      <c r="B330" s="45" t="s">
        <v>375</v>
      </c>
      <c r="C330" s="46">
        <v>54377.0</v>
      </c>
      <c r="D330" s="47">
        <v>96.7</v>
      </c>
      <c r="E330" s="45">
        <v>4.6</v>
      </c>
      <c r="F330" s="49">
        <f t="shared" si="2"/>
        <v>9.3944</v>
      </c>
      <c r="G330" s="49">
        <f t="shared" ref="G330:G344" si="25">0.9*F330/F$345</f>
        <v>1.183584254</v>
      </c>
      <c r="H330" s="50">
        <f t="shared" si="4"/>
        <v>5.444487569</v>
      </c>
      <c r="I330" s="51">
        <f t="shared" si="5"/>
        <v>2960.549006</v>
      </c>
      <c r="J330" s="52">
        <f>SUM(C330:C344)</f>
        <v>132213</v>
      </c>
      <c r="K330" s="52">
        <f>SUM(I330:I344)</f>
        <v>6110.776841</v>
      </c>
      <c r="L330" s="53">
        <f>K330/J330</f>
        <v>0.04621918299</v>
      </c>
      <c r="M330" s="52">
        <v>4172.0</v>
      </c>
      <c r="N330" s="46">
        <f t="shared" si="6"/>
        <v>227.1440214</v>
      </c>
    </row>
    <row r="331">
      <c r="A331" s="45">
        <v>90102.0</v>
      </c>
      <c r="B331" s="45" t="s">
        <v>376</v>
      </c>
      <c r="C331" s="46">
        <v>9236.0</v>
      </c>
      <c r="D331" s="47">
        <v>76.2</v>
      </c>
      <c r="E331" s="45">
        <v>4.6</v>
      </c>
      <c r="F331" s="49">
        <f t="shared" si="2"/>
        <v>8.7384</v>
      </c>
      <c r="G331" s="49">
        <f t="shared" si="25"/>
        <v>1.100935946</v>
      </c>
      <c r="H331" s="50">
        <f t="shared" si="4"/>
        <v>5.06430535</v>
      </c>
      <c r="I331" s="51">
        <f t="shared" si="5"/>
        <v>467.7392421</v>
      </c>
      <c r="J331" s="58"/>
      <c r="K331" s="58"/>
      <c r="L331" s="59"/>
      <c r="M331" s="52">
        <v>908.0</v>
      </c>
      <c r="N331" s="46">
        <f t="shared" si="6"/>
        <v>45.98389257</v>
      </c>
    </row>
    <row r="332">
      <c r="A332" s="45">
        <v>90103.0</v>
      </c>
      <c r="B332" s="45" t="s">
        <v>377</v>
      </c>
      <c r="C332" s="46">
        <v>2415.0</v>
      </c>
      <c r="D332" s="47">
        <v>0.0</v>
      </c>
      <c r="E332" s="45">
        <v>4.6</v>
      </c>
      <c r="F332" s="49">
        <f t="shared" si="2"/>
        <v>6.3</v>
      </c>
      <c r="G332" s="49">
        <f t="shared" si="25"/>
        <v>0.7937261349</v>
      </c>
      <c r="H332" s="50">
        <f t="shared" si="4"/>
        <v>3.65114022</v>
      </c>
      <c r="I332" s="51">
        <f t="shared" si="5"/>
        <v>88.17503632</v>
      </c>
      <c r="J332" s="58"/>
      <c r="K332" s="58"/>
      <c r="L332" s="59"/>
      <c r="M332" s="52">
        <v>178.0</v>
      </c>
      <c r="N332" s="46">
        <f t="shared" si="6"/>
        <v>6.499029592</v>
      </c>
    </row>
    <row r="333">
      <c r="A333" s="45">
        <v>90104.0</v>
      </c>
      <c r="B333" s="45" t="s">
        <v>378</v>
      </c>
      <c r="C333" s="46">
        <v>3653.0</v>
      </c>
      <c r="D333" s="47">
        <v>0.0</v>
      </c>
      <c r="E333" s="45">
        <v>4.6</v>
      </c>
      <c r="F333" s="49">
        <f t="shared" si="2"/>
        <v>6.3</v>
      </c>
      <c r="G333" s="49">
        <f t="shared" si="25"/>
        <v>0.7937261349</v>
      </c>
      <c r="H333" s="50">
        <f t="shared" si="4"/>
        <v>3.65114022</v>
      </c>
      <c r="I333" s="51">
        <f t="shared" si="5"/>
        <v>133.3761523</v>
      </c>
      <c r="J333" s="58"/>
      <c r="K333" s="58"/>
      <c r="L333" s="59"/>
      <c r="M333" s="52">
        <v>295.0</v>
      </c>
      <c r="N333" s="46">
        <f t="shared" si="6"/>
        <v>10.77086365</v>
      </c>
    </row>
    <row r="334">
      <c r="A334" s="45">
        <v>90201.0</v>
      </c>
      <c r="B334" s="45" t="s">
        <v>379</v>
      </c>
      <c r="C334" s="46">
        <v>7273.0</v>
      </c>
      <c r="D334" s="47">
        <v>47.7</v>
      </c>
      <c r="E334" s="45">
        <v>4.6</v>
      </c>
      <c r="F334" s="49">
        <f t="shared" si="2"/>
        <v>7.8264</v>
      </c>
      <c r="G334" s="49">
        <f t="shared" si="25"/>
        <v>0.9860346384</v>
      </c>
      <c r="H334" s="50">
        <f t="shared" si="4"/>
        <v>4.535759337</v>
      </c>
      <c r="I334" s="51">
        <f t="shared" si="5"/>
        <v>329.8857766</v>
      </c>
      <c r="J334" s="58"/>
      <c r="K334" s="58"/>
      <c r="L334" s="59"/>
      <c r="M334" s="52">
        <v>682.0</v>
      </c>
      <c r="N334" s="46">
        <f t="shared" si="6"/>
        <v>30.93387868</v>
      </c>
    </row>
    <row r="335">
      <c r="A335" s="45">
        <v>90202.0</v>
      </c>
      <c r="B335" s="45" t="s">
        <v>270</v>
      </c>
      <c r="C335" s="46">
        <v>3474.0</v>
      </c>
      <c r="D335" s="47">
        <v>0.0</v>
      </c>
      <c r="E335" s="45">
        <v>4.6</v>
      </c>
      <c r="F335" s="49">
        <f t="shared" si="2"/>
        <v>6.3</v>
      </c>
      <c r="G335" s="49">
        <f t="shared" si="25"/>
        <v>0.7937261349</v>
      </c>
      <c r="H335" s="50">
        <f t="shared" si="4"/>
        <v>3.65114022</v>
      </c>
      <c r="I335" s="51">
        <f t="shared" si="5"/>
        <v>126.8406113</v>
      </c>
      <c r="J335" s="58"/>
      <c r="K335" s="58"/>
      <c r="L335" s="59"/>
      <c r="M335" s="52">
        <v>369.0</v>
      </c>
      <c r="N335" s="46">
        <f t="shared" si="6"/>
        <v>13.47270741</v>
      </c>
    </row>
    <row r="336">
      <c r="A336" s="45">
        <v>90203.0</v>
      </c>
      <c r="B336" s="45" t="s">
        <v>380</v>
      </c>
      <c r="C336" s="46">
        <v>7854.0</v>
      </c>
      <c r="D336" s="47">
        <v>0.0</v>
      </c>
      <c r="E336" s="45">
        <v>4.6</v>
      </c>
      <c r="F336" s="49">
        <f t="shared" si="2"/>
        <v>6.3</v>
      </c>
      <c r="G336" s="49">
        <f t="shared" si="25"/>
        <v>0.7937261349</v>
      </c>
      <c r="H336" s="50">
        <f t="shared" si="4"/>
        <v>3.65114022</v>
      </c>
      <c r="I336" s="51">
        <f t="shared" si="5"/>
        <v>286.7605529</v>
      </c>
      <c r="J336" s="58"/>
      <c r="K336" s="58"/>
      <c r="L336" s="59"/>
      <c r="M336" s="52">
        <v>730.0</v>
      </c>
      <c r="N336" s="46">
        <f t="shared" si="6"/>
        <v>26.65332361</v>
      </c>
    </row>
    <row r="337">
      <c r="A337" s="45">
        <v>90301.0</v>
      </c>
      <c r="B337" s="45" t="s">
        <v>381</v>
      </c>
      <c r="C337" s="46">
        <v>12075.0</v>
      </c>
      <c r="D337" s="47">
        <v>14.9</v>
      </c>
      <c r="E337" s="45">
        <v>4.6</v>
      </c>
      <c r="F337" s="49">
        <f t="shared" si="2"/>
        <v>6.7768</v>
      </c>
      <c r="G337" s="49">
        <f t="shared" si="25"/>
        <v>0.8537973446</v>
      </c>
      <c r="H337" s="50">
        <f t="shared" si="4"/>
        <v>3.927467785</v>
      </c>
      <c r="I337" s="51">
        <f t="shared" si="5"/>
        <v>474.241735</v>
      </c>
      <c r="J337" s="58"/>
      <c r="K337" s="58"/>
      <c r="L337" s="59"/>
      <c r="M337" s="52">
        <v>1460.0</v>
      </c>
      <c r="N337" s="46">
        <f t="shared" si="6"/>
        <v>57.34102966</v>
      </c>
    </row>
    <row r="338">
      <c r="A338" s="45">
        <v>90302.0</v>
      </c>
      <c r="B338" s="45" t="s">
        <v>303</v>
      </c>
      <c r="C338" s="46">
        <v>9650.0</v>
      </c>
      <c r="D338" s="47">
        <v>0.0</v>
      </c>
      <c r="E338" s="45">
        <v>4.6</v>
      </c>
      <c r="F338" s="49">
        <f t="shared" si="2"/>
        <v>6.3</v>
      </c>
      <c r="G338" s="49">
        <f t="shared" si="25"/>
        <v>0.7937261349</v>
      </c>
      <c r="H338" s="50">
        <f t="shared" si="4"/>
        <v>3.65114022</v>
      </c>
      <c r="I338" s="51">
        <f t="shared" si="5"/>
        <v>352.3350313</v>
      </c>
      <c r="J338" s="58"/>
      <c r="K338" s="58"/>
      <c r="L338" s="59"/>
      <c r="M338" s="52">
        <v>1266.0</v>
      </c>
      <c r="N338" s="46">
        <f t="shared" si="6"/>
        <v>46.22343519</v>
      </c>
    </row>
    <row r="339">
      <c r="A339" s="45">
        <v>90303.0</v>
      </c>
      <c r="B339" s="45" t="s">
        <v>382</v>
      </c>
      <c r="C339" s="46">
        <v>10333.0</v>
      </c>
      <c r="D339" s="47">
        <v>41.8</v>
      </c>
      <c r="E339" s="45">
        <v>4.6</v>
      </c>
      <c r="F339" s="49">
        <f t="shared" si="2"/>
        <v>7.6376</v>
      </c>
      <c r="G339" s="49">
        <f t="shared" si="25"/>
        <v>0.962248052</v>
      </c>
      <c r="H339" s="50">
        <f t="shared" si="4"/>
        <v>4.426341039</v>
      </c>
      <c r="I339" s="51">
        <f t="shared" si="5"/>
        <v>457.3738196</v>
      </c>
      <c r="J339" s="58"/>
      <c r="K339" s="58"/>
      <c r="L339" s="59"/>
      <c r="M339" s="52">
        <v>1177.0</v>
      </c>
      <c r="N339" s="46">
        <f t="shared" si="6"/>
        <v>52.09803403</v>
      </c>
    </row>
    <row r="340">
      <c r="A340" s="45">
        <v>90401.0</v>
      </c>
      <c r="B340" s="45" t="s">
        <v>323</v>
      </c>
      <c r="C340" s="46">
        <v>2848.0</v>
      </c>
      <c r="D340" s="47">
        <v>0.0</v>
      </c>
      <c r="E340" s="45">
        <v>4.6</v>
      </c>
      <c r="F340" s="49">
        <f t="shared" si="2"/>
        <v>6.3</v>
      </c>
      <c r="G340" s="49">
        <f t="shared" si="25"/>
        <v>0.7937261349</v>
      </c>
      <c r="H340" s="50">
        <f t="shared" si="4"/>
        <v>3.65114022</v>
      </c>
      <c r="I340" s="51">
        <f t="shared" si="5"/>
        <v>103.9844735</v>
      </c>
      <c r="J340" s="58"/>
      <c r="K340" s="58"/>
      <c r="L340" s="59"/>
      <c r="M340" s="52">
        <v>269.0</v>
      </c>
      <c r="N340" s="46">
        <f t="shared" si="6"/>
        <v>9.821567193</v>
      </c>
    </row>
    <row r="341">
      <c r="A341" s="45">
        <v>90402.0</v>
      </c>
      <c r="B341" s="45" t="s">
        <v>383</v>
      </c>
      <c r="C341" s="46">
        <v>2521.0</v>
      </c>
      <c r="D341" s="47">
        <v>0.0</v>
      </c>
      <c r="E341" s="45">
        <v>4.6</v>
      </c>
      <c r="F341" s="49">
        <f t="shared" si="2"/>
        <v>6.3</v>
      </c>
      <c r="G341" s="49">
        <f t="shared" si="25"/>
        <v>0.7937261349</v>
      </c>
      <c r="H341" s="50">
        <f t="shared" si="4"/>
        <v>3.65114022</v>
      </c>
      <c r="I341" s="51">
        <f t="shared" si="5"/>
        <v>92.04524496</v>
      </c>
      <c r="J341" s="58"/>
      <c r="K341" s="58"/>
      <c r="L341" s="59"/>
      <c r="M341" s="52">
        <v>261.0</v>
      </c>
      <c r="N341" s="46">
        <f t="shared" si="6"/>
        <v>9.529475975</v>
      </c>
    </row>
    <row r="342">
      <c r="A342" s="45">
        <v>90501.0</v>
      </c>
      <c r="B342" s="45" t="s">
        <v>384</v>
      </c>
      <c r="C342" s="68">
        <v>1637.0</v>
      </c>
      <c r="D342" s="69">
        <v>0.0</v>
      </c>
      <c r="E342" s="45">
        <v>4.6</v>
      </c>
      <c r="F342" s="49">
        <f t="shared" si="2"/>
        <v>6.3</v>
      </c>
      <c r="G342" s="49">
        <f t="shared" si="25"/>
        <v>0.7937261349</v>
      </c>
      <c r="H342" s="50">
        <f t="shared" si="4"/>
        <v>3.65114022</v>
      </c>
      <c r="I342" s="51">
        <f t="shared" si="5"/>
        <v>59.76916541</v>
      </c>
      <c r="J342" s="58"/>
      <c r="K342" s="58"/>
      <c r="L342" s="59"/>
      <c r="M342" s="68">
        <v>166.0</v>
      </c>
      <c r="N342" s="46">
        <f t="shared" si="6"/>
        <v>6.060892766</v>
      </c>
    </row>
    <row r="343">
      <c r="A343" s="45">
        <v>90502.0</v>
      </c>
      <c r="B343" s="45" t="s">
        <v>385</v>
      </c>
      <c r="C343" s="68">
        <v>2535.0</v>
      </c>
      <c r="D343" s="69">
        <v>0.0</v>
      </c>
      <c r="E343" s="45">
        <v>4.6</v>
      </c>
      <c r="F343" s="49">
        <f t="shared" si="2"/>
        <v>6.3</v>
      </c>
      <c r="G343" s="49">
        <f t="shared" si="25"/>
        <v>0.7937261349</v>
      </c>
      <c r="H343" s="50">
        <f t="shared" si="4"/>
        <v>3.65114022</v>
      </c>
      <c r="I343" s="51">
        <f t="shared" si="5"/>
        <v>92.55640459</v>
      </c>
      <c r="J343" s="58"/>
      <c r="K343" s="58"/>
      <c r="L343" s="59"/>
      <c r="M343" s="68">
        <v>262.0</v>
      </c>
      <c r="N343" s="46">
        <f t="shared" si="6"/>
        <v>9.565987378</v>
      </c>
    </row>
    <row r="344">
      <c r="A344" s="45">
        <v>90503.0</v>
      </c>
      <c r="B344" s="70" t="s">
        <v>386</v>
      </c>
      <c r="C344" s="71">
        <v>2332.0</v>
      </c>
      <c r="D344" s="72">
        <v>0.0</v>
      </c>
      <c r="E344" s="45">
        <v>4.6</v>
      </c>
      <c r="F344" s="49">
        <f t="shared" si="2"/>
        <v>6.3</v>
      </c>
      <c r="G344" s="49">
        <f t="shared" si="25"/>
        <v>0.7937261349</v>
      </c>
      <c r="H344" s="73">
        <f t="shared" si="4"/>
        <v>3.65114022</v>
      </c>
      <c r="I344" s="74">
        <f t="shared" si="5"/>
        <v>85.14458994</v>
      </c>
      <c r="J344" s="75"/>
      <c r="K344" s="76"/>
      <c r="L344" s="77"/>
      <c r="M344" s="71">
        <v>217.0</v>
      </c>
      <c r="N344" s="65">
        <f t="shared" si="6"/>
        <v>7.922974278</v>
      </c>
    </row>
    <row r="345">
      <c r="B345" s="78" t="s">
        <v>67</v>
      </c>
      <c r="C345" s="79">
        <f>SUM(C2:C344)</f>
        <v>11256556</v>
      </c>
      <c r="D345" s="80"/>
      <c r="E345" s="81">
        <v>8.5</v>
      </c>
      <c r="F345" s="82">
        <f>AVERAGE(F2:F344)</f>
        <v>7.143521866</v>
      </c>
      <c r="G345" s="83"/>
      <c r="H345" s="84">
        <f>AVERAGE(H2:H344)</f>
        <v>6.915738163</v>
      </c>
      <c r="I345" s="85">
        <f>SUM(I2:I344)</f>
        <v>967591.5307</v>
      </c>
      <c r="J345" s="86"/>
      <c r="K345" s="87"/>
      <c r="L345" s="88"/>
      <c r="M345" s="89">
        <f t="shared" ref="M345:N345" si="26">SUM(M2:M344)</f>
        <v>872350</v>
      </c>
      <c r="N345" s="90">
        <f t="shared" si="26"/>
        <v>73655.38398</v>
      </c>
    </row>
    <row r="346">
      <c r="C346" s="43"/>
      <c r="D346" s="91"/>
      <c r="J346" s="92"/>
      <c r="K346" s="92"/>
      <c r="L346" s="93"/>
      <c r="M346" s="43"/>
    </row>
    <row r="347">
      <c r="C347" s="43"/>
      <c r="D347" s="91"/>
      <c r="J347" s="92"/>
      <c r="K347" s="92"/>
      <c r="L347" s="93"/>
      <c r="M347" s="43"/>
    </row>
    <row r="348">
      <c r="C348" s="43"/>
      <c r="D348" s="91"/>
      <c r="J348" s="92"/>
      <c r="K348" s="92"/>
      <c r="L348" s="93"/>
      <c r="M348" s="43"/>
    </row>
    <row r="349">
      <c r="C349" s="43"/>
      <c r="D349" s="91"/>
      <c r="J349" s="92"/>
      <c r="K349" s="92"/>
      <c r="L349" s="93"/>
      <c r="M349" s="43"/>
    </row>
    <row r="350">
      <c r="C350" s="43"/>
      <c r="D350" s="91"/>
      <c r="J350" s="92"/>
      <c r="K350" s="92"/>
      <c r="L350" s="93"/>
      <c r="M350" s="43"/>
    </row>
    <row r="351">
      <c r="C351" s="43"/>
      <c r="D351" s="91"/>
      <c r="J351" s="92"/>
      <c r="K351" s="92"/>
      <c r="L351" s="93"/>
      <c r="M351" s="43"/>
    </row>
    <row r="352">
      <c r="C352" s="43"/>
      <c r="D352" s="91"/>
      <c r="J352" s="92"/>
      <c r="K352" s="92"/>
      <c r="L352" s="93"/>
      <c r="M352" s="43"/>
    </row>
    <row r="353">
      <c r="C353" s="43"/>
      <c r="D353" s="91"/>
      <c r="J353" s="92"/>
      <c r="K353" s="92"/>
      <c r="L353" s="93"/>
      <c r="M353" s="43"/>
    </row>
    <row r="354">
      <c r="C354" s="43"/>
      <c r="D354" s="91"/>
      <c r="J354" s="92"/>
      <c r="K354" s="92"/>
      <c r="L354" s="93"/>
      <c r="M354" s="43"/>
    </row>
    <row r="355">
      <c r="C355" s="43"/>
      <c r="D355" s="91"/>
      <c r="J355" s="92"/>
      <c r="K355" s="92"/>
      <c r="L355" s="93"/>
      <c r="M355" s="43"/>
    </row>
    <row r="356">
      <c r="C356" s="43"/>
      <c r="D356" s="91"/>
      <c r="J356" s="92"/>
      <c r="K356" s="92"/>
      <c r="L356" s="93"/>
      <c r="M356" s="43"/>
    </row>
    <row r="357">
      <c r="C357" s="43"/>
      <c r="D357" s="91"/>
      <c r="J357" s="92"/>
      <c r="K357" s="92"/>
      <c r="L357" s="93"/>
      <c r="M357" s="43"/>
    </row>
    <row r="358">
      <c r="C358" s="43"/>
      <c r="D358" s="91"/>
      <c r="J358" s="92"/>
      <c r="K358" s="92"/>
      <c r="L358" s="93"/>
      <c r="M358" s="43"/>
    </row>
    <row r="359">
      <c r="C359" s="43"/>
      <c r="D359" s="91"/>
      <c r="J359" s="92"/>
      <c r="K359" s="92"/>
      <c r="L359" s="93"/>
      <c r="M359" s="43"/>
    </row>
    <row r="360">
      <c r="C360" s="43"/>
      <c r="D360" s="91"/>
      <c r="J360" s="92"/>
      <c r="K360" s="92"/>
      <c r="L360" s="93"/>
      <c r="M360" s="43"/>
    </row>
    <row r="361">
      <c r="C361" s="43"/>
      <c r="D361" s="91"/>
      <c r="J361" s="92"/>
      <c r="K361" s="92"/>
      <c r="L361" s="93"/>
      <c r="M361" s="43"/>
    </row>
    <row r="362">
      <c r="C362" s="43"/>
      <c r="D362" s="91"/>
      <c r="J362" s="92"/>
      <c r="K362" s="92"/>
      <c r="L362" s="93"/>
      <c r="M362" s="43"/>
    </row>
    <row r="363">
      <c r="C363" s="43"/>
      <c r="D363" s="91"/>
      <c r="J363" s="92"/>
      <c r="K363" s="92"/>
      <c r="L363" s="93"/>
      <c r="M363" s="43"/>
    </row>
    <row r="364">
      <c r="C364" s="43"/>
      <c r="D364" s="91"/>
      <c r="J364" s="92"/>
      <c r="K364" s="92"/>
      <c r="L364" s="93"/>
      <c r="M364" s="43"/>
    </row>
    <row r="365">
      <c r="C365" s="43"/>
      <c r="D365" s="91"/>
      <c r="J365" s="92"/>
      <c r="K365" s="92"/>
      <c r="L365" s="93"/>
      <c r="M365" s="43"/>
    </row>
    <row r="366">
      <c r="C366" s="43"/>
      <c r="D366" s="91"/>
      <c r="J366" s="92"/>
      <c r="K366" s="92"/>
      <c r="L366" s="93"/>
      <c r="M366" s="43"/>
    </row>
    <row r="367">
      <c r="C367" s="43"/>
      <c r="D367" s="91"/>
      <c r="J367" s="92"/>
      <c r="K367" s="92"/>
      <c r="L367" s="93"/>
      <c r="M367" s="43"/>
    </row>
    <row r="368">
      <c r="C368" s="43"/>
      <c r="D368" s="91"/>
      <c r="J368" s="92"/>
      <c r="K368" s="92"/>
      <c r="L368" s="93"/>
      <c r="M368" s="43"/>
    </row>
    <row r="369">
      <c r="C369" s="43"/>
      <c r="D369" s="91"/>
      <c r="J369" s="92"/>
      <c r="K369" s="92"/>
      <c r="L369" s="93"/>
      <c r="M369" s="43"/>
    </row>
    <row r="370">
      <c r="C370" s="43"/>
      <c r="D370" s="91"/>
      <c r="J370" s="92"/>
      <c r="K370" s="92"/>
      <c r="L370" s="93"/>
      <c r="M370" s="43"/>
    </row>
    <row r="371">
      <c r="C371" s="43"/>
      <c r="D371" s="91"/>
      <c r="J371" s="92"/>
      <c r="K371" s="92"/>
      <c r="L371" s="93"/>
      <c r="M371" s="43"/>
    </row>
    <row r="372">
      <c r="C372" s="43"/>
      <c r="D372" s="91"/>
      <c r="J372" s="92"/>
      <c r="K372" s="92"/>
      <c r="L372" s="93"/>
      <c r="M372" s="43"/>
    </row>
    <row r="373">
      <c r="C373" s="43"/>
      <c r="D373" s="91"/>
      <c r="J373" s="92"/>
      <c r="K373" s="92"/>
      <c r="L373" s="93"/>
      <c r="M373" s="43"/>
    </row>
    <row r="374">
      <c r="C374" s="43"/>
      <c r="D374" s="91"/>
      <c r="J374" s="92"/>
      <c r="K374" s="92"/>
      <c r="L374" s="93"/>
      <c r="M374" s="43"/>
    </row>
    <row r="375">
      <c r="C375" s="43"/>
      <c r="D375" s="91"/>
      <c r="J375" s="92"/>
      <c r="K375" s="92"/>
      <c r="L375" s="93"/>
      <c r="M375" s="43"/>
    </row>
    <row r="376">
      <c r="C376" s="43"/>
      <c r="D376" s="91"/>
      <c r="J376" s="92"/>
      <c r="K376" s="92"/>
      <c r="L376" s="93"/>
      <c r="M376" s="43"/>
    </row>
    <row r="377">
      <c r="C377" s="43"/>
      <c r="D377" s="91"/>
      <c r="J377" s="92"/>
      <c r="K377" s="92"/>
      <c r="L377" s="93"/>
      <c r="M377" s="43"/>
    </row>
    <row r="378">
      <c r="C378" s="43"/>
      <c r="D378" s="91"/>
      <c r="J378" s="92"/>
      <c r="K378" s="92"/>
      <c r="L378" s="93"/>
      <c r="M378" s="43"/>
    </row>
    <row r="379">
      <c r="C379" s="43"/>
      <c r="D379" s="91"/>
      <c r="J379" s="92"/>
      <c r="K379" s="92"/>
      <c r="L379" s="93"/>
      <c r="M379" s="43"/>
    </row>
    <row r="380">
      <c r="C380" s="43"/>
      <c r="D380" s="91"/>
      <c r="J380" s="92"/>
      <c r="K380" s="92"/>
      <c r="L380" s="93"/>
      <c r="M380" s="43"/>
    </row>
    <row r="381">
      <c r="C381" s="43"/>
      <c r="D381" s="91"/>
      <c r="J381" s="92"/>
      <c r="K381" s="92"/>
      <c r="L381" s="93"/>
      <c r="M381" s="43"/>
    </row>
    <row r="382">
      <c r="C382" s="43"/>
      <c r="D382" s="91"/>
      <c r="J382" s="92"/>
      <c r="K382" s="92"/>
      <c r="L382" s="93"/>
      <c r="M382" s="43"/>
    </row>
    <row r="383">
      <c r="C383" s="43"/>
      <c r="D383" s="91"/>
      <c r="J383" s="92"/>
      <c r="K383" s="92"/>
      <c r="L383" s="93"/>
      <c r="M383" s="43"/>
    </row>
    <row r="384">
      <c r="C384" s="43"/>
      <c r="D384" s="91"/>
      <c r="J384" s="92"/>
      <c r="K384" s="92"/>
      <c r="L384" s="93"/>
      <c r="M384" s="43"/>
    </row>
    <row r="385">
      <c r="C385" s="43"/>
      <c r="D385" s="91"/>
      <c r="J385" s="92"/>
      <c r="K385" s="92"/>
      <c r="L385" s="93"/>
      <c r="M385" s="43"/>
    </row>
    <row r="386">
      <c r="C386" s="43"/>
      <c r="D386" s="91"/>
      <c r="J386" s="92"/>
      <c r="K386" s="92"/>
      <c r="L386" s="93"/>
      <c r="M386" s="43"/>
    </row>
    <row r="387">
      <c r="C387" s="43"/>
      <c r="D387" s="91"/>
      <c r="J387" s="92"/>
      <c r="K387" s="92"/>
      <c r="L387" s="93"/>
      <c r="M387" s="43"/>
    </row>
    <row r="388">
      <c r="C388" s="43"/>
      <c r="D388" s="91"/>
      <c r="J388" s="92"/>
      <c r="K388" s="92"/>
      <c r="L388" s="93"/>
      <c r="M388" s="43"/>
    </row>
    <row r="389">
      <c r="C389" s="43"/>
      <c r="D389" s="91"/>
      <c r="J389" s="92"/>
      <c r="K389" s="92"/>
      <c r="L389" s="93"/>
      <c r="M389" s="43"/>
    </row>
    <row r="390">
      <c r="C390" s="43"/>
      <c r="D390" s="91"/>
      <c r="J390" s="92"/>
      <c r="K390" s="92"/>
      <c r="L390" s="93"/>
      <c r="M390" s="43"/>
    </row>
    <row r="391">
      <c r="C391" s="43"/>
      <c r="D391" s="91"/>
      <c r="J391" s="92"/>
      <c r="K391" s="92"/>
      <c r="L391" s="93"/>
      <c r="M391" s="43"/>
    </row>
    <row r="392">
      <c r="C392" s="43"/>
      <c r="D392" s="91"/>
      <c r="J392" s="92"/>
      <c r="K392" s="92"/>
      <c r="L392" s="93"/>
      <c r="M392" s="43"/>
    </row>
    <row r="393">
      <c r="C393" s="43"/>
      <c r="D393" s="91"/>
      <c r="J393" s="92"/>
      <c r="K393" s="92"/>
      <c r="L393" s="93"/>
      <c r="M393" s="43"/>
    </row>
    <row r="394">
      <c r="C394" s="43"/>
      <c r="D394" s="91"/>
      <c r="J394" s="92"/>
      <c r="K394" s="92"/>
      <c r="L394" s="93"/>
      <c r="M394" s="43"/>
    </row>
    <row r="395">
      <c r="C395" s="43"/>
      <c r="D395" s="91"/>
      <c r="J395" s="92"/>
      <c r="K395" s="92"/>
      <c r="L395" s="93"/>
      <c r="M395" s="43"/>
    </row>
    <row r="396">
      <c r="C396" s="43"/>
      <c r="D396" s="91"/>
      <c r="J396" s="92"/>
      <c r="K396" s="92"/>
      <c r="L396" s="93"/>
      <c r="M396" s="43"/>
    </row>
    <row r="397">
      <c r="C397" s="43"/>
      <c r="D397" s="91"/>
      <c r="J397" s="92"/>
      <c r="K397" s="92"/>
      <c r="L397" s="93"/>
      <c r="M397" s="43"/>
    </row>
    <row r="398">
      <c r="C398" s="43"/>
      <c r="D398" s="91"/>
      <c r="J398" s="92"/>
      <c r="K398" s="92"/>
      <c r="L398" s="93"/>
      <c r="M398" s="43"/>
    </row>
    <row r="399">
      <c r="C399" s="43"/>
      <c r="D399" s="91"/>
      <c r="J399" s="92"/>
      <c r="K399" s="92"/>
      <c r="L399" s="93"/>
      <c r="M399" s="43"/>
    </row>
    <row r="400">
      <c r="C400" s="43"/>
      <c r="D400" s="91"/>
      <c r="J400" s="92"/>
      <c r="K400" s="92"/>
      <c r="L400" s="93"/>
      <c r="M400" s="43"/>
    </row>
    <row r="401">
      <c r="C401" s="43"/>
      <c r="D401" s="91"/>
      <c r="J401" s="92"/>
      <c r="K401" s="92"/>
      <c r="L401" s="93"/>
      <c r="M401" s="43"/>
    </row>
    <row r="402">
      <c r="C402" s="43"/>
      <c r="D402" s="91"/>
      <c r="J402" s="92"/>
      <c r="K402" s="92"/>
      <c r="L402" s="93"/>
      <c r="M402" s="43"/>
    </row>
    <row r="403">
      <c r="C403" s="43"/>
      <c r="D403" s="91"/>
      <c r="J403" s="92"/>
      <c r="K403" s="92"/>
      <c r="L403" s="93"/>
      <c r="M403" s="43"/>
    </row>
    <row r="404">
      <c r="C404" s="43"/>
      <c r="D404" s="91"/>
      <c r="J404" s="92"/>
      <c r="K404" s="92"/>
      <c r="L404" s="93"/>
      <c r="M404" s="43"/>
    </row>
    <row r="405">
      <c r="C405" s="43"/>
      <c r="D405" s="91"/>
      <c r="J405" s="92"/>
      <c r="K405" s="92"/>
      <c r="L405" s="93"/>
      <c r="M405" s="43"/>
    </row>
    <row r="406">
      <c r="C406" s="43"/>
      <c r="D406" s="91"/>
      <c r="J406" s="92"/>
      <c r="K406" s="92"/>
      <c r="L406" s="93"/>
      <c r="M406" s="43"/>
    </row>
    <row r="407">
      <c r="C407" s="43"/>
      <c r="D407" s="91"/>
      <c r="J407" s="92"/>
      <c r="K407" s="92"/>
      <c r="L407" s="93"/>
      <c r="M407" s="43"/>
    </row>
    <row r="408">
      <c r="C408" s="43"/>
      <c r="D408" s="91"/>
      <c r="J408" s="92"/>
      <c r="K408" s="92"/>
      <c r="L408" s="93"/>
      <c r="M408" s="43"/>
    </row>
    <row r="409">
      <c r="C409" s="43"/>
      <c r="D409" s="91"/>
      <c r="J409" s="92"/>
      <c r="K409" s="92"/>
      <c r="L409" s="93"/>
      <c r="M409" s="43"/>
    </row>
    <row r="410">
      <c r="C410" s="43"/>
      <c r="D410" s="91"/>
      <c r="J410" s="92"/>
      <c r="K410" s="92"/>
      <c r="L410" s="93"/>
      <c r="M410" s="43"/>
    </row>
    <row r="411">
      <c r="C411" s="43"/>
      <c r="D411" s="91"/>
      <c r="J411" s="92"/>
      <c r="K411" s="92"/>
      <c r="L411" s="93"/>
      <c r="M411" s="43"/>
    </row>
    <row r="412">
      <c r="C412" s="43"/>
      <c r="D412" s="91"/>
      <c r="J412" s="92"/>
      <c r="K412" s="92"/>
      <c r="L412" s="93"/>
      <c r="M412" s="43"/>
    </row>
    <row r="413">
      <c r="C413" s="43"/>
      <c r="D413" s="91"/>
      <c r="J413" s="92"/>
      <c r="K413" s="92"/>
      <c r="L413" s="93"/>
      <c r="M413" s="43"/>
    </row>
    <row r="414">
      <c r="C414" s="43"/>
      <c r="D414" s="91"/>
      <c r="J414" s="92"/>
      <c r="K414" s="92"/>
      <c r="L414" s="93"/>
      <c r="M414" s="43"/>
    </row>
    <row r="415">
      <c r="C415" s="43"/>
      <c r="D415" s="91"/>
      <c r="J415" s="92"/>
      <c r="K415" s="92"/>
      <c r="L415" s="93"/>
      <c r="M415" s="43"/>
    </row>
    <row r="416">
      <c r="C416" s="43"/>
      <c r="D416" s="91"/>
      <c r="J416" s="92"/>
      <c r="K416" s="92"/>
      <c r="L416" s="93"/>
      <c r="M416" s="43"/>
    </row>
    <row r="417">
      <c r="C417" s="43"/>
      <c r="D417" s="91"/>
      <c r="J417" s="92"/>
      <c r="K417" s="92"/>
      <c r="L417" s="93"/>
      <c r="M417" s="43"/>
    </row>
    <row r="418">
      <c r="C418" s="43"/>
      <c r="D418" s="91"/>
      <c r="J418" s="92"/>
      <c r="K418" s="92"/>
      <c r="L418" s="93"/>
      <c r="M418" s="43"/>
    </row>
    <row r="419">
      <c r="C419" s="43"/>
      <c r="D419" s="91"/>
      <c r="J419" s="92"/>
      <c r="K419" s="92"/>
      <c r="L419" s="93"/>
      <c r="M419" s="43"/>
    </row>
    <row r="420">
      <c r="C420" s="43"/>
      <c r="D420" s="91"/>
      <c r="J420" s="92"/>
      <c r="K420" s="92"/>
      <c r="L420" s="93"/>
      <c r="M420" s="43"/>
    </row>
    <row r="421">
      <c r="C421" s="43"/>
      <c r="D421" s="91"/>
      <c r="J421" s="92"/>
      <c r="K421" s="92"/>
      <c r="L421" s="93"/>
      <c r="M421" s="43"/>
    </row>
    <row r="422">
      <c r="C422" s="43"/>
      <c r="D422" s="91"/>
      <c r="J422" s="92"/>
      <c r="K422" s="92"/>
      <c r="L422" s="93"/>
      <c r="M422" s="43"/>
    </row>
    <row r="423">
      <c r="C423" s="43"/>
      <c r="D423" s="91"/>
      <c r="J423" s="92"/>
      <c r="K423" s="92"/>
      <c r="L423" s="93"/>
      <c r="M423" s="43"/>
    </row>
    <row r="424">
      <c r="C424" s="43"/>
      <c r="D424" s="91"/>
      <c r="J424" s="92"/>
      <c r="K424" s="92"/>
      <c r="L424" s="93"/>
      <c r="M424" s="43"/>
    </row>
    <row r="425">
      <c r="C425" s="43"/>
      <c r="D425" s="91"/>
      <c r="J425" s="92"/>
      <c r="K425" s="92"/>
      <c r="L425" s="93"/>
      <c r="M425" s="43"/>
    </row>
    <row r="426">
      <c r="C426" s="43"/>
      <c r="D426" s="91"/>
      <c r="J426" s="92"/>
      <c r="K426" s="92"/>
      <c r="L426" s="93"/>
      <c r="M426" s="43"/>
    </row>
    <row r="427">
      <c r="C427" s="43"/>
      <c r="D427" s="91"/>
      <c r="J427" s="92"/>
      <c r="K427" s="92"/>
      <c r="L427" s="93"/>
      <c r="M427" s="43"/>
    </row>
    <row r="428">
      <c r="C428" s="43"/>
      <c r="D428" s="91"/>
      <c r="J428" s="92"/>
      <c r="K428" s="92"/>
      <c r="L428" s="93"/>
      <c r="M428" s="43"/>
    </row>
    <row r="429">
      <c r="C429" s="43"/>
      <c r="D429" s="91"/>
      <c r="J429" s="92"/>
      <c r="K429" s="92"/>
      <c r="L429" s="93"/>
      <c r="M429" s="43"/>
    </row>
    <row r="430">
      <c r="C430" s="43"/>
      <c r="D430" s="91"/>
      <c r="J430" s="92"/>
      <c r="K430" s="92"/>
      <c r="L430" s="93"/>
      <c r="M430" s="43"/>
    </row>
    <row r="431">
      <c r="C431" s="43"/>
      <c r="D431" s="91"/>
      <c r="J431" s="92"/>
      <c r="K431" s="92"/>
      <c r="L431" s="93"/>
      <c r="M431" s="43"/>
    </row>
    <row r="432">
      <c r="C432" s="43"/>
      <c r="D432" s="91"/>
      <c r="J432" s="92"/>
      <c r="K432" s="92"/>
      <c r="L432" s="93"/>
      <c r="M432" s="43"/>
    </row>
    <row r="433">
      <c r="C433" s="43"/>
      <c r="D433" s="91"/>
      <c r="J433" s="92"/>
      <c r="K433" s="92"/>
      <c r="L433" s="93"/>
      <c r="M433" s="43"/>
    </row>
    <row r="434">
      <c r="C434" s="43"/>
      <c r="D434" s="91"/>
      <c r="J434" s="92"/>
      <c r="K434" s="92"/>
      <c r="L434" s="93"/>
      <c r="M434" s="43"/>
    </row>
    <row r="435">
      <c r="C435" s="43"/>
      <c r="D435" s="91"/>
      <c r="J435" s="92"/>
      <c r="K435" s="92"/>
      <c r="L435" s="93"/>
      <c r="M435" s="43"/>
    </row>
    <row r="436">
      <c r="C436" s="43"/>
      <c r="D436" s="91"/>
      <c r="J436" s="92"/>
      <c r="K436" s="92"/>
      <c r="L436" s="93"/>
      <c r="M436" s="43"/>
    </row>
    <row r="437">
      <c r="C437" s="43"/>
      <c r="D437" s="91"/>
      <c r="J437" s="92"/>
      <c r="K437" s="92"/>
      <c r="L437" s="93"/>
      <c r="M437" s="43"/>
    </row>
    <row r="438">
      <c r="C438" s="43"/>
      <c r="D438" s="91"/>
      <c r="J438" s="92"/>
      <c r="K438" s="92"/>
      <c r="L438" s="93"/>
      <c r="M438" s="43"/>
    </row>
    <row r="439">
      <c r="C439" s="43"/>
      <c r="D439" s="91"/>
      <c r="J439" s="92"/>
      <c r="K439" s="92"/>
      <c r="L439" s="93"/>
      <c r="M439" s="43"/>
    </row>
    <row r="440">
      <c r="C440" s="43"/>
      <c r="D440" s="91"/>
      <c r="J440" s="92"/>
      <c r="K440" s="92"/>
      <c r="L440" s="93"/>
      <c r="M440" s="43"/>
    </row>
    <row r="441">
      <c r="C441" s="43"/>
      <c r="D441" s="91"/>
      <c r="J441" s="92"/>
      <c r="K441" s="92"/>
      <c r="L441" s="93"/>
      <c r="M441" s="43"/>
    </row>
    <row r="442">
      <c r="C442" s="43"/>
      <c r="D442" s="91"/>
      <c r="J442" s="92"/>
      <c r="K442" s="92"/>
      <c r="L442" s="93"/>
      <c r="M442" s="43"/>
    </row>
    <row r="443">
      <c r="C443" s="43"/>
      <c r="D443" s="91"/>
      <c r="J443" s="92"/>
      <c r="K443" s="92"/>
      <c r="L443" s="93"/>
      <c r="M443" s="43"/>
    </row>
    <row r="444">
      <c r="C444" s="43"/>
      <c r="D444" s="91"/>
      <c r="J444" s="92"/>
      <c r="K444" s="92"/>
      <c r="L444" s="93"/>
      <c r="M444" s="43"/>
    </row>
    <row r="445">
      <c r="C445" s="43"/>
      <c r="D445" s="91"/>
      <c r="J445" s="92"/>
      <c r="K445" s="92"/>
      <c r="L445" s="93"/>
      <c r="M445" s="43"/>
    </row>
    <row r="446">
      <c r="C446" s="43"/>
      <c r="D446" s="91"/>
      <c r="J446" s="92"/>
      <c r="K446" s="92"/>
      <c r="L446" s="93"/>
      <c r="M446" s="43"/>
    </row>
    <row r="447">
      <c r="C447" s="43"/>
      <c r="D447" s="91"/>
      <c r="J447" s="92"/>
      <c r="K447" s="92"/>
      <c r="L447" s="93"/>
      <c r="M447" s="43"/>
    </row>
    <row r="448">
      <c r="C448" s="43"/>
      <c r="D448" s="91"/>
      <c r="J448" s="92"/>
      <c r="K448" s="92"/>
      <c r="L448" s="93"/>
      <c r="M448" s="43"/>
    </row>
    <row r="449">
      <c r="C449" s="43"/>
      <c r="D449" s="91"/>
      <c r="J449" s="92"/>
      <c r="K449" s="92"/>
      <c r="L449" s="93"/>
      <c r="M449" s="43"/>
    </row>
    <row r="450">
      <c r="C450" s="43"/>
      <c r="D450" s="91"/>
      <c r="J450" s="92"/>
      <c r="K450" s="92"/>
      <c r="L450" s="93"/>
      <c r="M450" s="43"/>
    </row>
    <row r="451">
      <c r="C451" s="43"/>
      <c r="D451" s="91"/>
      <c r="J451" s="92"/>
      <c r="K451" s="92"/>
      <c r="L451" s="93"/>
      <c r="M451" s="43"/>
    </row>
    <row r="452">
      <c r="C452" s="43"/>
      <c r="D452" s="91"/>
      <c r="J452" s="92"/>
      <c r="K452" s="92"/>
      <c r="L452" s="93"/>
      <c r="M452" s="43"/>
    </row>
    <row r="453">
      <c r="C453" s="43"/>
      <c r="D453" s="91"/>
      <c r="J453" s="92"/>
      <c r="K453" s="92"/>
      <c r="L453" s="93"/>
      <c r="M453" s="43"/>
    </row>
    <row r="454">
      <c r="C454" s="43"/>
      <c r="D454" s="91"/>
      <c r="J454" s="92"/>
      <c r="K454" s="92"/>
      <c r="L454" s="93"/>
      <c r="M454" s="43"/>
    </row>
    <row r="455">
      <c r="C455" s="43"/>
      <c r="D455" s="91"/>
      <c r="J455" s="92"/>
      <c r="K455" s="92"/>
      <c r="L455" s="93"/>
      <c r="M455" s="43"/>
    </row>
    <row r="456">
      <c r="C456" s="43"/>
      <c r="D456" s="91"/>
      <c r="J456" s="92"/>
      <c r="K456" s="92"/>
      <c r="L456" s="93"/>
      <c r="M456" s="43"/>
    </row>
    <row r="457">
      <c r="C457" s="43"/>
      <c r="D457" s="91"/>
      <c r="J457" s="92"/>
      <c r="K457" s="92"/>
      <c r="L457" s="93"/>
      <c r="M457" s="43"/>
    </row>
    <row r="458">
      <c r="C458" s="43"/>
      <c r="D458" s="91"/>
      <c r="J458" s="92"/>
      <c r="K458" s="92"/>
      <c r="L458" s="93"/>
      <c r="M458" s="43"/>
    </row>
    <row r="459">
      <c r="C459" s="43"/>
      <c r="D459" s="91"/>
      <c r="J459" s="92"/>
      <c r="K459" s="92"/>
      <c r="L459" s="93"/>
      <c r="M459" s="43"/>
    </row>
    <row r="460">
      <c r="C460" s="43"/>
      <c r="D460" s="91"/>
      <c r="J460" s="92"/>
      <c r="K460" s="92"/>
      <c r="L460" s="93"/>
      <c r="M460" s="43"/>
    </row>
    <row r="461">
      <c r="C461" s="43"/>
      <c r="D461" s="91"/>
      <c r="J461" s="92"/>
      <c r="K461" s="92"/>
      <c r="L461" s="93"/>
      <c r="M461" s="43"/>
    </row>
    <row r="462">
      <c r="C462" s="43"/>
      <c r="D462" s="91"/>
      <c r="J462" s="92"/>
      <c r="K462" s="92"/>
      <c r="L462" s="93"/>
      <c r="M462" s="43"/>
    </row>
    <row r="463">
      <c r="C463" s="43"/>
      <c r="D463" s="91"/>
      <c r="J463" s="92"/>
      <c r="K463" s="92"/>
      <c r="L463" s="93"/>
      <c r="M463" s="43"/>
    </row>
    <row r="464">
      <c r="C464" s="43"/>
      <c r="D464" s="91"/>
      <c r="J464" s="92"/>
      <c r="K464" s="92"/>
      <c r="L464" s="93"/>
      <c r="M464" s="43"/>
    </row>
    <row r="465">
      <c r="C465" s="43"/>
      <c r="D465" s="91"/>
      <c r="J465" s="92"/>
      <c r="K465" s="92"/>
      <c r="L465" s="93"/>
      <c r="M465" s="43"/>
    </row>
    <row r="466">
      <c r="C466" s="43"/>
      <c r="D466" s="91"/>
      <c r="J466" s="92"/>
      <c r="K466" s="92"/>
      <c r="L466" s="93"/>
      <c r="M466" s="43"/>
    </row>
    <row r="467">
      <c r="C467" s="43"/>
      <c r="D467" s="91"/>
      <c r="J467" s="92"/>
      <c r="K467" s="92"/>
      <c r="L467" s="93"/>
      <c r="M467" s="43"/>
    </row>
    <row r="468">
      <c r="C468" s="43"/>
      <c r="D468" s="91"/>
      <c r="J468" s="92"/>
      <c r="K468" s="92"/>
      <c r="L468" s="93"/>
      <c r="M468" s="43"/>
    </row>
    <row r="469">
      <c r="C469" s="43"/>
      <c r="D469" s="91"/>
      <c r="J469" s="92"/>
      <c r="K469" s="92"/>
      <c r="L469" s="93"/>
      <c r="M469" s="43"/>
    </row>
    <row r="470">
      <c r="C470" s="43"/>
      <c r="D470" s="91"/>
      <c r="J470" s="92"/>
      <c r="K470" s="92"/>
      <c r="L470" s="93"/>
      <c r="M470" s="43"/>
    </row>
    <row r="471">
      <c r="C471" s="43"/>
      <c r="D471" s="91"/>
      <c r="J471" s="92"/>
      <c r="K471" s="92"/>
      <c r="L471" s="93"/>
      <c r="M471" s="43"/>
    </row>
    <row r="472">
      <c r="C472" s="43"/>
      <c r="D472" s="91"/>
      <c r="J472" s="92"/>
      <c r="K472" s="92"/>
      <c r="L472" s="93"/>
      <c r="M472" s="43"/>
    </row>
    <row r="473">
      <c r="C473" s="43"/>
      <c r="D473" s="91"/>
      <c r="J473" s="92"/>
      <c r="K473" s="92"/>
      <c r="L473" s="93"/>
      <c r="M473" s="43"/>
    </row>
    <row r="474">
      <c r="C474" s="43"/>
      <c r="D474" s="91"/>
      <c r="J474" s="92"/>
      <c r="K474" s="92"/>
      <c r="L474" s="93"/>
      <c r="M474" s="43"/>
    </row>
    <row r="475">
      <c r="C475" s="43"/>
      <c r="D475" s="91"/>
      <c r="J475" s="92"/>
      <c r="K475" s="92"/>
      <c r="L475" s="93"/>
      <c r="M475" s="43"/>
    </row>
    <row r="476">
      <c r="C476" s="43"/>
      <c r="D476" s="91"/>
      <c r="J476" s="92"/>
      <c r="K476" s="92"/>
      <c r="L476" s="93"/>
      <c r="M476" s="43"/>
    </row>
    <row r="477">
      <c r="C477" s="43"/>
      <c r="D477" s="91"/>
      <c r="J477" s="92"/>
      <c r="K477" s="92"/>
      <c r="L477" s="93"/>
      <c r="M477" s="43"/>
    </row>
    <row r="478">
      <c r="C478" s="43"/>
      <c r="D478" s="91"/>
      <c r="J478" s="92"/>
      <c r="K478" s="92"/>
      <c r="L478" s="93"/>
      <c r="M478" s="43"/>
    </row>
    <row r="479">
      <c r="C479" s="43"/>
      <c r="D479" s="91"/>
      <c r="J479" s="92"/>
      <c r="K479" s="92"/>
      <c r="L479" s="93"/>
      <c r="M479" s="43"/>
    </row>
    <row r="480">
      <c r="C480" s="43"/>
      <c r="D480" s="91"/>
      <c r="J480" s="92"/>
      <c r="K480" s="92"/>
      <c r="L480" s="93"/>
      <c r="M480" s="43"/>
    </row>
    <row r="481">
      <c r="C481" s="43"/>
      <c r="D481" s="91"/>
      <c r="J481" s="92"/>
      <c r="K481" s="92"/>
      <c r="L481" s="93"/>
      <c r="M481" s="43"/>
    </row>
    <row r="482">
      <c r="C482" s="43"/>
      <c r="D482" s="91"/>
      <c r="J482" s="92"/>
      <c r="K482" s="92"/>
      <c r="L482" s="93"/>
      <c r="M482" s="43"/>
    </row>
    <row r="483">
      <c r="C483" s="43"/>
      <c r="D483" s="91"/>
      <c r="J483" s="92"/>
      <c r="K483" s="92"/>
      <c r="L483" s="93"/>
      <c r="M483" s="43"/>
    </row>
    <row r="484">
      <c r="C484" s="43"/>
      <c r="D484" s="91"/>
      <c r="J484" s="92"/>
      <c r="K484" s="92"/>
      <c r="L484" s="93"/>
      <c r="M484" s="43"/>
    </row>
    <row r="485">
      <c r="C485" s="43"/>
      <c r="D485" s="91"/>
      <c r="J485" s="92"/>
      <c r="K485" s="92"/>
      <c r="L485" s="93"/>
      <c r="M485" s="43"/>
    </row>
    <row r="486">
      <c r="C486" s="43"/>
      <c r="D486" s="91"/>
      <c r="J486" s="92"/>
      <c r="K486" s="92"/>
      <c r="L486" s="93"/>
      <c r="M486" s="43"/>
    </row>
    <row r="487">
      <c r="C487" s="43"/>
      <c r="D487" s="91"/>
      <c r="J487" s="92"/>
      <c r="K487" s="92"/>
      <c r="L487" s="93"/>
      <c r="M487" s="43"/>
    </row>
    <row r="488">
      <c r="C488" s="43"/>
      <c r="D488" s="91"/>
      <c r="J488" s="92"/>
      <c r="K488" s="92"/>
      <c r="L488" s="93"/>
      <c r="M488" s="43"/>
    </row>
    <row r="489">
      <c r="C489" s="43"/>
      <c r="D489" s="91"/>
      <c r="J489" s="92"/>
      <c r="K489" s="92"/>
      <c r="L489" s="93"/>
      <c r="M489" s="43"/>
    </row>
    <row r="490">
      <c r="C490" s="43"/>
      <c r="D490" s="91"/>
      <c r="J490" s="92"/>
      <c r="K490" s="92"/>
      <c r="L490" s="93"/>
      <c r="M490" s="43"/>
    </row>
    <row r="491">
      <c r="C491" s="43"/>
      <c r="D491" s="91"/>
      <c r="J491" s="92"/>
      <c r="K491" s="92"/>
      <c r="L491" s="93"/>
      <c r="M491" s="43"/>
    </row>
    <row r="492">
      <c r="C492" s="43"/>
      <c r="D492" s="91"/>
      <c r="J492" s="92"/>
      <c r="K492" s="92"/>
      <c r="L492" s="93"/>
      <c r="M492" s="43"/>
    </row>
    <row r="493">
      <c r="C493" s="43"/>
      <c r="D493" s="91"/>
      <c r="J493" s="92"/>
      <c r="K493" s="92"/>
      <c r="L493" s="93"/>
      <c r="M493" s="43"/>
    </row>
    <row r="494">
      <c r="C494" s="43"/>
      <c r="D494" s="91"/>
      <c r="J494" s="92"/>
      <c r="K494" s="92"/>
      <c r="L494" s="93"/>
      <c r="M494" s="43"/>
    </row>
    <row r="495">
      <c r="C495" s="43"/>
      <c r="D495" s="91"/>
      <c r="J495" s="92"/>
      <c r="K495" s="92"/>
      <c r="L495" s="93"/>
      <c r="M495" s="43"/>
    </row>
    <row r="496">
      <c r="C496" s="43"/>
      <c r="D496" s="91"/>
      <c r="J496" s="92"/>
      <c r="K496" s="92"/>
      <c r="L496" s="93"/>
      <c r="M496" s="43"/>
    </row>
    <row r="497">
      <c r="C497" s="43"/>
      <c r="D497" s="91"/>
      <c r="J497" s="92"/>
      <c r="K497" s="92"/>
      <c r="L497" s="93"/>
      <c r="M497" s="43"/>
    </row>
    <row r="498">
      <c r="C498" s="43"/>
      <c r="D498" s="91"/>
      <c r="J498" s="92"/>
      <c r="K498" s="92"/>
      <c r="L498" s="93"/>
      <c r="M498" s="43"/>
    </row>
    <row r="499">
      <c r="C499" s="43"/>
      <c r="D499" s="91"/>
      <c r="J499" s="92"/>
      <c r="K499" s="92"/>
      <c r="L499" s="93"/>
      <c r="M499" s="43"/>
    </row>
    <row r="500">
      <c r="C500" s="43"/>
      <c r="D500" s="91"/>
      <c r="J500" s="92"/>
      <c r="K500" s="92"/>
      <c r="L500" s="93"/>
      <c r="M500" s="43"/>
    </row>
    <row r="501">
      <c r="C501" s="43"/>
      <c r="D501" s="91"/>
      <c r="J501" s="92"/>
      <c r="K501" s="92"/>
      <c r="L501" s="93"/>
      <c r="M501" s="43"/>
    </row>
    <row r="502">
      <c r="C502" s="43"/>
      <c r="D502" s="91"/>
      <c r="J502" s="92"/>
      <c r="K502" s="92"/>
      <c r="L502" s="93"/>
      <c r="M502" s="43"/>
    </row>
    <row r="503">
      <c r="C503" s="43"/>
      <c r="D503" s="91"/>
      <c r="J503" s="92"/>
      <c r="K503" s="92"/>
      <c r="L503" s="93"/>
      <c r="M503" s="43"/>
    </row>
    <row r="504">
      <c r="C504" s="43"/>
      <c r="D504" s="91"/>
      <c r="J504" s="92"/>
      <c r="K504" s="92"/>
      <c r="L504" s="93"/>
      <c r="M504" s="43"/>
    </row>
    <row r="505">
      <c r="C505" s="43"/>
      <c r="D505" s="91"/>
      <c r="J505" s="92"/>
      <c r="K505" s="92"/>
      <c r="L505" s="93"/>
      <c r="M505" s="43"/>
    </row>
    <row r="506">
      <c r="C506" s="43"/>
      <c r="D506" s="91"/>
      <c r="J506" s="92"/>
      <c r="K506" s="92"/>
      <c r="L506" s="93"/>
      <c r="M506" s="43"/>
    </row>
    <row r="507">
      <c r="C507" s="43"/>
      <c r="D507" s="91"/>
      <c r="J507" s="92"/>
      <c r="K507" s="92"/>
      <c r="L507" s="93"/>
      <c r="M507" s="43"/>
    </row>
    <row r="508">
      <c r="C508" s="43"/>
      <c r="D508" s="91"/>
      <c r="J508" s="92"/>
      <c r="K508" s="92"/>
      <c r="L508" s="93"/>
      <c r="M508" s="43"/>
    </row>
    <row r="509">
      <c r="C509" s="43"/>
      <c r="D509" s="91"/>
      <c r="J509" s="92"/>
      <c r="K509" s="92"/>
      <c r="L509" s="93"/>
      <c r="M509" s="43"/>
    </row>
    <row r="510">
      <c r="C510" s="43"/>
      <c r="D510" s="91"/>
      <c r="J510" s="92"/>
      <c r="K510" s="92"/>
      <c r="L510" s="93"/>
      <c r="M510" s="43"/>
    </row>
    <row r="511">
      <c r="C511" s="43"/>
      <c r="D511" s="91"/>
      <c r="J511" s="92"/>
      <c r="K511" s="92"/>
      <c r="L511" s="93"/>
      <c r="M511" s="43"/>
    </row>
    <row r="512">
      <c r="C512" s="43"/>
      <c r="D512" s="91"/>
      <c r="J512" s="92"/>
      <c r="K512" s="92"/>
      <c r="L512" s="93"/>
      <c r="M512" s="43"/>
    </row>
    <row r="513">
      <c r="C513" s="43"/>
      <c r="D513" s="91"/>
      <c r="J513" s="92"/>
      <c r="K513" s="92"/>
      <c r="L513" s="93"/>
      <c r="M513" s="43"/>
    </row>
    <row r="514">
      <c r="C514" s="43"/>
      <c r="D514" s="91"/>
      <c r="J514" s="92"/>
      <c r="K514" s="92"/>
      <c r="L514" s="93"/>
      <c r="M514" s="43"/>
    </row>
    <row r="515">
      <c r="C515" s="43"/>
      <c r="D515" s="91"/>
      <c r="J515" s="92"/>
      <c r="K515" s="92"/>
      <c r="L515" s="93"/>
      <c r="M515" s="43"/>
    </row>
    <row r="516">
      <c r="C516" s="43"/>
      <c r="D516" s="91"/>
      <c r="J516" s="92"/>
      <c r="K516" s="92"/>
      <c r="L516" s="93"/>
      <c r="M516" s="43"/>
    </row>
    <row r="517">
      <c r="C517" s="43"/>
      <c r="D517" s="91"/>
      <c r="J517" s="92"/>
      <c r="K517" s="92"/>
      <c r="L517" s="93"/>
      <c r="M517" s="43"/>
    </row>
    <row r="518">
      <c r="C518" s="43"/>
      <c r="D518" s="91"/>
      <c r="J518" s="92"/>
      <c r="K518" s="92"/>
      <c r="L518" s="93"/>
      <c r="M518" s="43"/>
    </row>
    <row r="519">
      <c r="C519" s="43"/>
      <c r="D519" s="91"/>
      <c r="J519" s="92"/>
      <c r="K519" s="92"/>
      <c r="L519" s="93"/>
      <c r="M519" s="43"/>
    </row>
    <row r="520">
      <c r="C520" s="43"/>
      <c r="D520" s="91"/>
      <c r="J520" s="92"/>
      <c r="K520" s="92"/>
      <c r="L520" s="93"/>
      <c r="M520" s="43"/>
    </row>
    <row r="521">
      <c r="C521" s="43"/>
      <c r="D521" s="91"/>
      <c r="J521" s="92"/>
      <c r="K521" s="92"/>
      <c r="L521" s="93"/>
      <c r="M521" s="43"/>
    </row>
    <row r="522">
      <c r="C522" s="43"/>
      <c r="D522" s="91"/>
      <c r="J522" s="92"/>
      <c r="K522" s="92"/>
      <c r="L522" s="93"/>
      <c r="M522" s="43"/>
    </row>
    <row r="523">
      <c r="C523" s="43"/>
      <c r="D523" s="91"/>
      <c r="J523" s="92"/>
      <c r="K523" s="92"/>
      <c r="L523" s="93"/>
      <c r="M523" s="43"/>
    </row>
    <row r="524">
      <c r="C524" s="43"/>
      <c r="D524" s="91"/>
      <c r="J524" s="92"/>
      <c r="K524" s="92"/>
      <c r="L524" s="93"/>
      <c r="M524" s="43"/>
    </row>
    <row r="525">
      <c r="C525" s="43"/>
      <c r="D525" s="91"/>
      <c r="J525" s="92"/>
      <c r="K525" s="92"/>
      <c r="L525" s="93"/>
      <c r="M525" s="43"/>
    </row>
    <row r="526">
      <c r="C526" s="43"/>
      <c r="D526" s="91"/>
      <c r="J526" s="92"/>
      <c r="K526" s="92"/>
      <c r="L526" s="93"/>
      <c r="M526" s="43"/>
    </row>
    <row r="527">
      <c r="C527" s="43"/>
      <c r="D527" s="91"/>
      <c r="J527" s="92"/>
      <c r="K527" s="92"/>
      <c r="L527" s="93"/>
      <c r="M527" s="43"/>
    </row>
    <row r="528">
      <c r="C528" s="43"/>
      <c r="D528" s="91"/>
      <c r="J528" s="92"/>
      <c r="K528" s="92"/>
      <c r="L528" s="93"/>
      <c r="M528" s="43"/>
    </row>
    <row r="529">
      <c r="C529" s="43"/>
      <c r="D529" s="91"/>
      <c r="J529" s="92"/>
      <c r="K529" s="92"/>
      <c r="L529" s="93"/>
      <c r="M529" s="43"/>
    </row>
    <row r="530">
      <c r="C530" s="43"/>
      <c r="D530" s="91"/>
      <c r="J530" s="92"/>
      <c r="K530" s="92"/>
      <c r="L530" s="93"/>
      <c r="M530" s="43"/>
    </row>
    <row r="531">
      <c r="C531" s="43"/>
      <c r="D531" s="91"/>
      <c r="J531" s="92"/>
      <c r="K531" s="92"/>
      <c r="L531" s="93"/>
      <c r="M531" s="43"/>
    </row>
    <row r="532">
      <c r="C532" s="43"/>
      <c r="D532" s="91"/>
      <c r="J532" s="92"/>
      <c r="K532" s="92"/>
      <c r="L532" s="93"/>
      <c r="M532" s="43"/>
    </row>
    <row r="533">
      <c r="C533" s="43"/>
      <c r="D533" s="91"/>
      <c r="J533" s="92"/>
      <c r="K533" s="92"/>
      <c r="L533" s="93"/>
      <c r="M533" s="43"/>
    </row>
    <row r="534">
      <c r="C534" s="43"/>
      <c r="D534" s="91"/>
      <c r="J534" s="92"/>
      <c r="K534" s="92"/>
      <c r="L534" s="93"/>
      <c r="M534" s="43"/>
    </row>
    <row r="535">
      <c r="C535" s="43"/>
      <c r="D535" s="91"/>
      <c r="J535" s="92"/>
      <c r="K535" s="92"/>
      <c r="L535" s="93"/>
      <c r="M535" s="43"/>
    </row>
    <row r="536">
      <c r="C536" s="43"/>
      <c r="D536" s="91"/>
      <c r="J536" s="92"/>
      <c r="K536" s="92"/>
      <c r="L536" s="93"/>
      <c r="M536" s="43"/>
    </row>
    <row r="537">
      <c r="C537" s="43"/>
      <c r="D537" s="91"/>
      <c r="J537" s="92"/>
      <c r="K537" s="92"/>
      <c r="L537" s="93"/>
      <c r="M537" s="43"/>
    </row>
    <row r="538">
      <c r="C538" s="43"/>
      <c r="D538" s="91"/>
      <c r="J538" s="92"/>
      <c r="K538" s="92"/>
      <c r="L538" s="93"/>
      <c r="M538" s="43"/>
    </row>
    <row r="539">
      <c r="C539" s="43"/>
      <c r="D539" s="91"/>
      <c r="J539" s="92"/>
      <c r="K539" s="92"/>
      <c r="L539" s="93"/>
      <c r="M539" s="43"/>
    </row>
    <row r="540">
      <c r="C540" s="43"/>
      <c r="D540" s="91"/>
      <c r="J540" s="92"/>
      <c r="K540" s="92"/>
      <c r="L540" s="93"/>
      <c r="M540" s="43"/>
    </row>
    <row r="541">
      <c r="C541" s="43"/>
      <c r="D541" s="91"/>
      <c r="J541" s="92"/>
      <c r="K541" s="92"/>
      <c r="L541" s="93"/>
      <c r="M541" s="43"/>
    </row>
    <row r="542">
      <c r="C542" s="43"/>
      <c r="D542" s="91"/>
      <c r="J542" s="92"/>
      <c r="K542" s="92"/>
      <c r="L542" s="93"/>
      <c r="M542" s="43"/>
    </row>
    <row r="543">
      <c r="C543" s="43"/>
      <c r="D543" s="91"/>
      <c r="J543" s="92"/>
      <c r="K543" s="92"/>
      <c r="L543" s="93"/>
      <c r="M543" s="43"/>
    </row>
    <row r="544">
      <c r="C544" s="43"/>
      <c r="D544" s="91"/>
      <c r="J544" s="92"/>
      <c r="K544" s="92"/>
      <c r="L544" s="93"/>
      <c r="M544" s="43"/>
    </row>
    <row r="545">
      <c r="C545" s="43"/>
      <c r="D545" s="91"/>
      <c r="J545" s="92"/>
      <c r="K545" s="92"/>
      <c r="L545" s="93"/>
      <c r="M545" s="43"/>
    </row>
    <row r="546">
      <c r="C546" s="43"/>
      <c r="D546" s="91"/>
      <c r="J546" s="92"/>
      <c r="K546" s="92"/>
      <c r="L546" s="93"/>
      <c r="M546" s="43"/>
    </row>
    <row r="547">
      <c r="C547" s="43"/>
      <c r="D547" s="91"/>
      <c r="J547" s="92"/>
      <c r="K547" s="92"/>
      <c r="L547" s="93"/>
      <c r="M547" s="43"/>
    </row>
    <row r="548">
      <c r="C548" s="43"/>
      <c r="D548" s="91"/>
      <c r="J548" s="92"/>
      <c r="K548" s="92"/>
      <c r="L548" s="93"/>
      <c r="M548" s="43"/>
    </row>
    <row r="549">
      <c r="C549" s="43"/>
      <c r="D549" s="91"/>
      <c r="J549" s="92"/>
      <c r="K549" s="92"/>
      <c r="L549" s="93"/>
      <c r="M549" s="43"/>
    </row>
    <row r="550">
      <c r="C550" s="43"/>
      <c r="D550" s="91"/>
      <c r="J550" s="92"/>
      <c r="K550" s="92"/>
      <c r="L550" s="93"/>
      <c r="M550" s="43"/>
    </row>
    <row r="551">
      <c r="C551" s="43"/>
      <c r="D551" s="91"/>
      <c r="J551" s="92"/>
      <c r="K551" s="92"/>
      <c r="L551" s="93"/>
      <c r="M551" s="43"/>
    </row>
    <row r="552">
      <c r="C552" s="43"/>
      <c r="D552" s="91"/>
      <c r="J552" s="92"/>
      <c r="K552" s="92"/>
      <c r="L552" s="93"/>
      <c r="M552" s="43"/>
    </row>
    <row r="553">
      <c r="C553" s="43"/>
      <c r="D553" s="91"/>
      <c r="J553" s="92"/>
      <c r="K553" s="92"/>
      <c r="L553" s="93"/>
      <c r="M553" s="43"/>
    </row>
    <row r="554">
      <c r="C554" s="43"/>
      <c r="D554" s="91"/>
      <c r="J554" s="92"/>
      <c r="K554" s="92"/>
      <c r="L554" s="93"/>
      <c r="M554" s="43"/>
    </row>
    <row r="555">
      <c r="C555" s="43"/>
      <c r="D555" s="91"/>
      <c r="J555" s="92"/>
      <c r="K555" s="92"/>
      <c r="L555" s="93"/>
      <c r="M555" s="43"/>
    </row>
    <row r="556">
      <c r="C556" s="43"/>
      <c r="D556" s="91"/>
      <c r="J556" s="92"/>
      <c r="K556" s="92"/>
      <c r="L556" s="93"/>
      <c r="M556" s="43"/>
    </row>
    <row r="557">
      <c r="C557" s="43"/>
      <c r="D557" s="91"/>
      <c r="J557" s="92"/>
      <c r="K557" s="92"/>
      <c r="L557" s="93"/>
      <c r="M557" s="43"/>
    </row>
    <row r="558">
      <c r="C558" s="43"/>
      <c r="D558" s="91"/>
      <c r="J558" s="92"/>
      <c r="K558" s="92"/>
      <c r="L558" s="93"/>
      <c r="M558" s="43"/>
    </row>
    <row r="559">
      <c r="C559" s="43"/>
      <c r="D559" s="91"/>
      <c r="J559" s="92"/>
      <c r="K559" s="92"/>
      <c r="L559" s="93"/>
      <c r="M559" s="43"/>
    </row>
    <row r="560">
      <c r="C560" s="43"/>
      <c r="D560" s="91"/>
      <c r="J560" s="92"/>
      <c r="K560" s="92"/>
      <c r="L560" s="93"/>
      <c r="M560" s="43"/>
    </row>
    <row r="561">
      <c r="C561" s="43"/>
      <c r="D561" s="91"/>
      <c r="J561" s="92"/>
      <c r="K561" s="92"/>
      <c r="L561" s="93"/>
      <c r="M561" s="43"/>
    </row>
    <row r="562">
      <c r="C562" s="43"/>
      <c r="D562" s="91"/>
      <c r="J562" s="92"/>
      <c r="K562" s="92"/>
      <c r="L562" s="93"/>
      <c r="M562" s="43"/>
    </row>
    <row r="563">
      <c r="C563" s="43"/>
      <c r="D563" s="91"/>
      <c r="J563" s="92"/>
      <c r="K563" s="92"/>
      <c r="L563" s="93"/>
      <c r="M563" s="43"/>
    </row>
    <row r="564">
      <c r="C564" s="43"/>
      <c r="D564" s="91"/>
      <c r="J564" s="92"/>
      <c r="K564" s="92"/>
      <c r="L564" s="93"/>
      <c r="M564" s="43"/>
    </row>
    <row r="565">
      <c r="C565" s="43"/>
      <c r="D565" s="91"/>
      <c r="J565" s="92"/>
      <c r="K565" s="92"/>
      <c r="L565" s="93"/>
      <c r="M565" s="43"/>
    </row>
    <row r="566">
      <c r="C566" s="43"/>
      <c r="D566" s="91"/>
      <c r="J566" s="92"/>
      <c r="K566" s="92"/>
      <c r="L566" s="93"/>
      <c r="M566" s="43"/>
    </row>
    <row r="567">
      <c r="C567" s="43"/>
      <c r="D567" s="91"/>
      <c r="J567" s="92"/>
      <c r="K567" s="92"/>
      <c r="L567" s="93"/>
      <c r="M567" s="43"/>
    </row>
    <row r="568">
      <c r="C568" s="43"/>
      <c r="D568" s="91"/>
      <c r="J568" s="92"/>
      <c r="K568" s="92"/>
      <c r="L568" s="93"/>
      <c r="M568" s="43"/>
    </row>
    <row r="569">
      <c r="C569" s="43"/>
      <c r="D569" s="91"/>
      <c r="J569" s="92"/>
      <c r="K569" s="92"/>
      <c r="L569" s="93"/>
      <c r="M569" s="43"/>
    </row>
    <row r="570">
      <c r="C570" s="43"/>
      <c r="D570" s="91"/>
      <c r="J570" s="92"/>
      <c r="K570" s="92"/>
      <c r="L570" s="93"/>
      <c r="M570" s="43"/>
    </row>
    <row r="571">
      <c r="C571" s="43"/>
      <c r="D571" s="91"/>
      <c r="J571" s="92"/>
      <c r="K571" s="92"/>
      <c r="L571" s="93"/>
      <c r="M571" s="43"/>
    </row>
    <row r="572">
      <c r="C572" s="43"/>
      <c r="D572" s="91"/>
      <c r="J572" s="92"/>
      <c r="K572" s="92"/>
      <c r="L572" s="93"/>
      <c r="M572" s="43"/>
    </row>
    <row r="573">
      <c r="C573" s="43"/>
      <c r="D573" s="91"/>
      <c r="J573" s="92"/>
      <c r="K573" s="92"/>
      <c r="L573" s="93"/>
      <c r="M573" s="43"/>
    </row>
    <row r="574">
      <c r="C574" s="43"/>
      <c r="D574" s="91"/>
      <c r="J574" s="92"/>
      <c r="K574" s="92"/>
      <c r="L574" s="93"/>
      <c r="M574" s="43"/>
    </row>
    <row r="575">
      <c r="C575" s="43"/>
      <c r="D575" s="91"/>
      <c r="J575" s="92"/>
      <c r="K575" s="92"/>
      <c r="L575" s="93"/>
      <c r="M575" s="43"/>
    </row>
    <row r="576">
      <c r="C576" s="43"/>
      <c r="D576" s="91"/>
      <c r="J576" s="92"/>
      <c r="K576" s="92"/>
      <c r="L576" s="93"/>
      <c r="M576" s="43"/>
    </row>
    <row r="577">
      <c r="C577" s="43"/>
      <c r="D577" s="91"/>
      <c r="J577" s="92"/>
      <c r="K577" s="92"/>
      <c r="L577" s="93"/>
      <c r="M577" s="43"/>
    </row>
    <row r="578">
      <c r="C578" s="43"/>
      <c r="D578" s="91"/>
      <c r="J578" s="92"/>
      <c r="K578" s="92"/>
      <c r="L578" s="93"/>
      <c r="M578" s="43"/>
    </row>
    <row r="579">
      <c r="C579" s="43"/>
      <c r="D579" s="91"/>
      <c r="J579" s="92"/>
      <c r="K579" s="92"/>
      <c r="L579" s="93"/>
      <c r="M579" s="43"/>
    </row>
    <row r="580">
      <c r="C580" s="43"/>
      <c r="D580" s="91"/>
      <c r="J580" s="92"/>
      <c r="K580" s="92"/>
      <c r="L580" s="93"/>
      <c r="M580" s="43"/>
    </row>
    <row r="581">
      <c r="C581" s="43"/>
      <c r="D581" s="91"/>
      <c r="J581" s="92"/>
      <c r="K581" s="92"/>
      <c r="L581" s="93"/>
      <c r="M581" s="43"/>
    </row>
    <row r="582">
      <c r="C582" s="43"/>
      <c r="D582" s="91"/>
      <c r="J582" s="92"/>
      <c r="K582" s="92"/>
      <c r="L582" s="93"/>
      <c r="M582" s="43"/>
    </row>
    <row r="583">
      <c r="C583" s="43"/>
      <c r="D583" s="91"/>
      <c r="J583" s="92"/>
      <c r="K583" s="92"/>
      <c r="L583" s="93"/>
      <c r="M583" s="43"/>
    </row>
    <row r="584">
      <c r="C584" s="43"/>
      <c r="D584" s="91"/>
      <c r="J584" s="92"/>
      <c r="K584" s="92"/>
      <c r="L584" s="93"/>
      <c r="M584" s="43"/>
    </row>
    <row r="585">
      <c r="C585" s="43"/>
      <c r="D585" s="91"/>
      <c r="J585" s="92"/>
      <c r="K585" s="92"/>
      <c r="L585" s="93"/>
      <c r="M585" s="43"/>
    </row>
    <row r="586">
      <c r="C586" s="43"/>
      <c r="D586" s="91"/>
      <c r="J586" s="92"/>
      <c r="K586" s="92"/>
      <c r="L586" s="93"/>
      <c r="M586" s="43"/>
    </row>
    <row r="587">
      <c r="C587" s="43"/>
      <c r="D587" s="91"/>
      <c r="J587" s="92"/>
      <c r="K587" s="92"/>
      <c r="L587" s="93"/>
      <c r="M587" s="43"/>
    </row>
    <row r="588">
      <c r="C588" s="43"/>
      <c r="D588" s="91"/>
      <c r="J588" s="92"/>
      <c r="K588" s="92"/>
      <c r="L588" s="93"/>
      <c r="M588" s="43"/>
    </row>
    <row r="589">
      <c r="C589" s="43"/>
      <c r="D589" s="91"/>
      <c r="J589" s="92"/>
      <c r="K589" s="92"/>
      <c r="L589" s="93"/>
      <c r="M589" s="43"/>
    </row>
    <row r="590">
      <c r="C590" s="43"/>
      <c r="D590" s="91"/>
      <c r="J590" s="92"/>
      <c r="K590" s="92"/>
      <c r="L590" s="93"/>
      <c r="M590" s="43"/>
    </row>
    <row r="591">
      <c r="C591" s="43"/>
      <c r="D591" s="91"/>
      <c r="J591" s="92"/>
      <c r="K591" s="92"/>
      <c r="L591" s="93"/>
      <c r="M591" s="43"/>
    </row>
    <row r="592">
      <c r="C592" s="43"/>
      <c r="D592" s="91"/>
      <c r="J592" s="92"/>
      <c r="K592" s="92"/>
      <c r="L592" s="93"/>
      <c r="M592" s="43"/>
    </row>
    <row r="593">
      <c r="C593" s="43"/>
      <c r="D593" s="91"/>
      <c r="J593" s="92"/>
      <c r="K593" s="92"/>
      <c r="L593" s="93"/>
      <c r="M593" s="43"/>
    </row>
    <row r="594">
      <c r="C594" s="43"/>
      <c r="D594" s="91"/>
      <c r="J594" s="92"/>
      <c r="K594" s="92"/>
      <c r="L594" s="93"/>
      <c r="M594" s="43"/>
    </row>
    <row r="595">
      <c r="C595" s="43"/>
      <c r="D595" s="91"/>
      <c r="J595" s="92"/>
      <c r="K595" s="92"/>
      <c r="L595" s="93"/>
      <c r="M595" s="43"/>
    </row>
    <row r="596">
      <c r="C596" s="43"/>
      <c r="D596" s="91"/>
      <c r="J596" s="92"/>
      <c r="K596" s="92"/>
      <c r="L596" s="93"/>
      <c r="M596" s="43"/>
    </row>
    <row r="597">
      <c r="C597" s="43"/>
      <c r="D597" s="91"/>
      <c r="J597" s="92"/>
      <c r="K597" s="92"/>
      <c r="L597" s="93"/>
      <c r="M597" s="43"/>
    </row>
    <row r="598">
      <c r="C598" s="43"/>
      <c r="D598" s="91"/>
      <c r="J598" s="92"/>
      <c r="K598" s="92"/>
      <c r="L598" s="93"/>
      <c r="M598" s="43"/>
    </row>
    <row r="599">
      <c r="C599" s="43"/>
      <c r="D599" s="91"/>
      <c r="J599" s="92"/>
      <c r="K599" s="92"/>
      <c r="L599" s="93"/>
      <c r="M599" s="43"/>
    </row>
    <row r="600">
      <c r="C600" s="43"/>
      <c r="D600" s="91"/>
      <c r="J600" s="92"/>
      <c r="K600" s="92"/>
      <c r="L600" s="93"/>
      <c r="M600" s="43"/>
    </row>
    <row r="601">
      <c r="C601" s="43"/>
      <c r="D601" s="91"/>
      <c r="J601" s="92"/>
      <c r="K601" s="92"/>
      <c r="L601" s="93"/>
      <c r="M601" s="43"/>
    </row>
    <row r="602">
      <c r="C602" s="43"/>
      <c r="D602" s="91"/>
      <c r="J602" s="92"/>
      <c r="K602" s="92"/>
      <c r="L602" s="93"/>
      <c r="M602" s="43"/>
    </row>
    <row r="603">
      <c r="C603" s="43"/>
      <c r="D603" s="91"/>
      <c r="J603" s="92"/>
      <c r="K603" s="92"/>
      <c r="L603" s="93"/>
      <c r="M603" s="43"/>
    </row>
    <row r="604">
      <c r="C604" s="43"/>
      <c r="D604" s="91"/>
      <c r="J604" s="92"/>
      <c r="K604" s="92"/>
      <c r="L604" s="93"/>
      <c r="M604" s="43"/>
    </row>
    <row r="605">
      <c r="C605" s="43"/>
      <c r="D605" s="91"/>
      <c r="J605" s="92"/>
      <c r="K605" s="92"/>
      <c r="L605" s="93"/>
      <c r="M605" s="43"/>
    </row>
    <row r="606">
      <c r="C606" s="43"/>
      <c r="D606" s="91"/>
      <c r="J606" s="92"/>
      <c r="K606" s="92"/>
      <c r="L606" s="93"/>
      <c r="M606" s="43"/>
    </row>
    <row r="607">
      <c r="C607" s="43"/>
      <c r="D607" s="91"/>
      <c r="J607" s="92"/>
      <c r="K607" s="92"/>
      <c r="L607" s="93"/>
      <c r="M607" s="43"/>
    </row>
    <row r="608">
      <c r="C608" s="43"/>
      <c r="D608" s="91"/>
      <c r="J608" s="92"/>
      <c r="K608" s="92"/>
      <c r="L608" s="93"/>
      <c r="M608" s="43"/>
    </row>
    <row r="609">
      <c r="C609" s="43"/>
      <c r="D609" s="91"/>
      <c r="J609" s="92"/>
      <c r="K609" s="92"/>
      <c r="L609" s="93"/>
      <c r="M609" s="43"/>
    </row>
    <row r="610">
      <c r="C610" s="43"/>
      <c r="D610" s="91"/>
      <c r="J610" s="92"/>
      <c r="K610" s="92"/>
      <c r="L610" s="93"/>
      <c r="M610" s="43"/>
    </row>
    <row r="611">
      <c r="C611" s="43"/>
      <c r="D611" s="91"/>
      <c r="J611" s="92"/>
      <c r="K611" s="92"/>
      <c r="L611" s="93"/>
      <c r="M611" s="43"/>
    </row>
    <row r="612">
      <c r="C612" s="43"/>
      <c r="D612" s="91"/>
      <c r="J612" s="92"/>
      <c r="K612" s="92"/>
      <c r="L612" s="93"/>
      <c r="M612" s="43"/>
    </row>
    <row r="613">
      <c r="C613" s="43"/>
      <c r="D613" s="91"/>
      <c r="J613" s="92"/>
      <c r="K613" s="92"/>
      <c r="L613" s="93"/>
      <c r="M613" s="43"/>
    </row>
    <row r="614">
      <c r="C614" s="43"/>
      <c r="D614" s="91"/>
      <c r="J614" s="92"/>
      <c r="K614" s="92"/>
      <c r="L614" s="93"/>
      <c r="M614" s="43"/>
    </row>
    <row r="615">
      <c r="C615" s="43"/>
      <c r="D615" s="91"/>
      <c r="J615" s="92"/>
      <c r="K615" s="92"/>
      <c r="L615" s="93"/>
      <c r="M615" s="43"/>
    </row>
    <row r="616">
      <c r="C616" s="43"/>
      <c r="D616" s="91"/>
      <c r="J616" s="92"/>
      <c r="K616" s="92"/>
      <c r="L616" s="93"/>
      <c r="M616" s="43"/>
    </row>
    <row r="617">
      <c r="C617" s="43"/>
      <c r="D617" s="91"/>
      <c r="J617" s="92"/>
      <c r="K617" s="92"/>
      <c r="L617" s="93"/>
      <c r="M617" s="43"/>
    </row>
    <row r="618">
      <c r="C618" s="43"/>
      <c r="D618" s="91"/>
      <c r="J618" s="92"/>
      <c r="K618" s="92"/>
      <c r="L618" s="93"/>
      <c r="M618" s="43"/>
    </row>
    <row r="619">
      <c r="C619" s="43"/>
      <c r="D619" s="91"/>
      <c r="J619" s="92"/>
      <c r="K619" s="92"/>
      <c r="L619" s="93"/>
      <c r="M619" s="43"/>
    </row>
    <row r="620">
      <c r="C620" s="43"/>
      <c r="D620" s="91"/>
      <c r="J620" s="92"/>
      <c r="K620" s="92"/>
      <c r="L620" s="93"/>
      <c r="M620" s="43"/>
    </row>
    <row r="621">
      <c r="C621" s="43"/>
      <c r="D621" s="91"/>
      <c r="J621" s="92"/>
      <c r="K621" s="92"/>
      <c r="L621" s="93"/>
      <c r="M621" s="43"/>
    </row>
    <row r="622">
      <c r="C622" s="43"/>
      <c r="D622" s="91"/>
      <c r="J622" s="92"/>
      <c r="K622" s="92"/>
      <c r="L622" s="93"/>
      <c r="M622" s="43"/>
    </row>
    <row r="623">
      <c r="C623" s="43"/>
      <c r="D623" s="91"/>
      <c r="J623" s="92"/>
      <c r="K623" s="92"/>
      <c r="L623" s="93"/>
      <c r="M623" s="43"/>
    </row>
    <row r="624">
      <c r="C624" s="43"/>
      <c r="D624" s="91"/>
      <c r="J624" s="92"/>
      <c r="K624" s="92"/>
      <c r="L624" s="93"/>
      <c r="M624" s="43"/>
    </row>
    <row r="625">
      <c r="C625" s="43"/>
      <c r="D625" s="91"/>
      <c r="J625" s="92"/>
      <c r="K625" s="92"/>
      <c r="L625" s="93"/>
      <c r="M625" s="43"/>
    </row>
    <row r="626">
      <c r="C626" s="43"/>
      <c r="D626" s="91"/>
      <c r="J626" s="92"/>
      <c r="K626" s="92"/>
      <c r="L626" s="93"/>
      <c r="M626" s="43"/>
    </row>
    <row r="627">
      <c r="C627" s="43"/>
      <c r="D627" s="91"/>
      <c r="J627" s="92"/>
      <c r="K627" s="92"/>
      <c r="L627" s="93"/>
      <c r="M627" s="43"/>
    </row>
    <row r="628">
      <c r="C628" s="43"/>
      <c r="D628" s="91"/>
      <c r="J628" s="92"/>
      <c r="K628" s="92"/>
      <c r="L628" s="93"/>
      <c r="M628" s="43"/>
    </row>
    <row r="629">
      <c r="C629" s="43"/>
      <c r="D629" s="91"/>
      <c r="J629" s="92"/>
      <c r="K629" s="92"/>
      <c r="L629" s="93"/>
      <c r="M629" s="43"/>
    </row>
    <row r="630">
      <c r="C630" s="43"/>
      <c r="D630" s="91"/>
      <c r="J630" s="92"/>
      <c r="K630" s="92"/>
      <c r="L630" s="93"/>
      <c r="M630" s="43"/>
    </row>
    <row r="631">
      <c r="C631" s="43"/>
      <c r="D631" s="91"/>
      <c r="J631" s="92"/>
      <c r="K631" s="92"/>
      <c r="L631" s="93"/>
      <c r="M631" s="43"/>
    </row>
    <row r="632">
      <c r="C632" s="43"/>
      <c r="D632" s="91"/>
      <c r="J632" s="92"/>
      <c r="K632" s="92"/>
      <c r="L632" s="93"/>
      <c r="M632" s="43"/>
    </row>
    <row r="633">
      <c r="C633" s="43"/>
      <c r="D633" s="91"/>
      <c r="J633" s="92"/>
      <c r="K633" s="92"/>
      <c r="L633" s="93"/>
      <c r="M633" s="43"/>
    </row>
    <row r="634">
      <c r="C634" s="43"/>
      <c r="D634" s="91"/>
      <c r="J634" s="92"/>
      <c r="K634" s="92"/>
      <c r="L634" s="93"/>
      <c r="M634" s="43"/>
    </row>
    <row r="635">
      <c r="C635" s="43"/>
      <c r="D635" s="91"/>
      <c r="J635" s="92"/>
      <c r="K635" s="92"/>
      <c r="L635" s="93"/>
      <c r="M635" s="43"/>
    </row>
    <row r="636">
      <c r="C636" s="43"/>
      <c r="D636" s="91"/>
      <c r="J636" s="92"/>
      <c r="K636" s="92"/>
      <c r="L636" s="93"/>
      <c r="M636" s="43"/>
    </row>
    <row r="637">
      <c r="C637" s="43"/>
      <c r="D637" s="91"/>
      <c r="J637" s="92"/>
      <c r="K637" s="92"/>
      <c r="L637" s="93"/>
      <c r="M637" s="43"/>
    </row>
    <row r="638">
      <c r="C638" s="43"/>
      <c r="D638" s="91"/>
      <c r="J638" s="92"/>
      <c r="K638" s="92"/>
      <c r="L638" s="93"/>
      <c r="M638" s="43"/>
    </row>
    <row r="639">
      <c r="C639" s="43"/>
      <c r="D639" s="91"/>
      <c r="J639" s="92"/>
      <c r="K639" s="92"/>
      <c r="L639" s="93"/>
      <c r="M639" s="43"/>
    </row>
    <row r="640">
      <c r="C640" s="43"/>
      <c r="D640" s="91"/>
      <c r="J640" s="92"/>
      <c r="K640" s="92"/>
      <c r="L640" s="93"/>
      <c r="M640" s="43"/>
    </row>
    <row r="641">
      <c r="C641" s="43"/>
      <c r="D641" s="91"/>
      <c r="J641" s="92"/>
      <c r="K641" s="92"/>
      <c r="L641" s="93"/>
      <c r="M641" s="43"/>
    </row>
    <row r="642">
      <c r="C642" s="43"/>
      <c r="D642" s="91"/>
      <c r="J642" s="92"/>
      <c r="K642" s="92"/>
      <c r="L642" s="93"/>
      <c r="M642" s="43"/>
    </row>
    <row r="643">
      <c r="C643" s="43"/>
      <c r="D643" s="91"/>
      <c r="J643" s="92"/>
      <c r="K643" s="92"/>
      <c r="L643" s="93"/>
      <c r="M643" s="43"/>
    </row>
    <row r="644">
      <c r="C644" s="43"/>
      <c r="D644" s="91"/>
      <c r="J644" s="92"/>
      <c r="K644" s="92"/>
      <c r="L644" s="93"/>
      <c r="M644" s="43"/>
    </row>
    <row r="645">
      <c r="C645" s="43"/>
      <c r="D645" s="91"/>
      <c r="J645" s="92"/>
      <c r="K645" s="92"/>
      <c r="L645" s="93"/>
      <c r="M645" s="43"/>
    </row>
    <row r="646">
      <c r="C646" s="43"/>
      <c r="D646" s="91"/>
      <c r="J646" s="92"/>
      <c r="K646" s="92"/>
      <c r="L646" s="93"/>
      <c r="M646" s="43"/>
    </row>
    <row r="647">
      <c r="C647" s="43"/>
      <c r="D647" s="91"/>
      <c r="J647" s="92"/>
      <c r="K647" s="92"/>
      <c r="L647" s="93"/>
      <c r="M647" s="43"/>
    </row>
    <row r="648">
      <c r="C648" s="43"/>
      <c r="D648" s="91"/>
      <c r="J648" s="92"/>
      <c r="K648" s="92"/>
      <c r="L648" s="93"/>
      <c r="M648" s="43"/>
    </row>
    <row r="649">
      <c r="C649" s="43"/>
      <c r="D649" s="91"/>
      <c r="J649" s="92"/>
      <c r="K649" s="92"/>
      <c r="L649" s="93"/>
      <c r="M649" s="43"/>
    </row>
    <row r="650">
      <c r="C650" s="43"/>
      <c r="D650" s="91"/>
      <c r="J650" s="92"/>
      <c r="K650" s="92"/>
      <c r="L650" s="93"/>
      <c r="M650" s="43"/>
    </row>
    <row r="651">
      <c r="C651" s="43"/>
      <c r="D651" s="91"/>
      <c r="J651" s="92"/>
      <c r="K651" s="92"/>
      <c r="L651" s="93"/>
      <c r="M651" s="43"/>
    </row>
    <row r="652">
      <c r="C652" s="43"/>
      <c r="D652" s="91"/>
      <c r="J652" s="92"/>
      <c r="K652" s="92"/>
      <c r="L652" s="93"/>
      <c r="M652" s="43"/>
    </row>
    <row r="653">
      <c r="C653" s="43"/>
      <c r="D653" s="91"/>
      <c r="J653" s="92"/>
      <c r="K653" s="92"/>
      <c r="L653" s="93"/>
      <c r="M653" s="43"/>
    </row>
    <row r="654">
      <c r="C654" s="43"/>
      <c r="D654" s="91"/>
      <c r="J654" s="92"/>
      <c r="K654" s="92"/>
      <c r="L654" s="93"/>
      <c r="M654" s="43"/>
    </row>
    <row r="655">
      <c r="C655" s="43"/>
      <c r="D655" s="91"/>
      <c r="J655" s="92"/>
      <c r="K655" s="92"/>
      <c r="L655" s="93"/>
      <c r="M655" s="43"/>
    </row>
    <row r="656">
      <c r="C656" s="43"/>
      <c r="D656" s="91"/>
      <c r="J656" s="92"/>
      <c r="K656" s="92"/>
      <c r="L656" s="93"/>
      <c r="M656" s="43"/>
    </row>
    <row r="657">
      <c r="C657" s="43"/>
      <c r="D657" s="91"/>
      <c r="J657" s="92"/>
      <c r="K657" s="92"/>
      <c r="L657" s="93"/>
      <c r="M657" s="43"/>
    </row>
    <row r="658">
      <c r="C658" s="43"/>
      <c r="D658" s="91"/>
      <c r="J658" s="92"/>
      <c r="K658" s="92"/>
      <c r="L658" s="93"/>
      <c r="M658" s="43"/>
    </row>
    <row r="659">
      <c r="C659" s="43"/>
      <c r="D659" s="91"/>
      <c r="J659" s="92"/>
      <c r="K659" s="92"/>
      <c r="L659" s="93"/>
      <c r="M659" s="43"/>
    </row>
    <row r="660">
      <c r="C660" s="43"/>
      <c r="D660" s="91"/>
      <c r="J660" s="92"/>
      <c r="K660" s="92"/>
      <c r="L660" s="93"/>
      <c r="M660" s="43"/>
    </row>
    <row r="661">
      <c r="C661" s="43"/>
      <c r="D661" s="91"/>
      <c r="J661" s="92"/>
      <c r="K661" s="92"/>
      <c r="L661" s="93"/>
      <c r="M661" s="43"/>
    </row>
    <row r="662">
      <c r="C662" s="43"/>
      <c r="D662" s="91"/>
      <c r="J662" s="92"/>
      <c r="K662" s="92"/>
      <c r="L662" s="93"/>
      <c r="M662" s="43"/>
    </row>
    <row r="663">
      <c r="C663" s="43"/>
      <c r="D663" s="91"/>
      <c r="J663" s="92"/>
      <c r="K663" s="92"/>
      <c r="L663" s="93"/>
      <c r="M663" s="43"/>
    </row>
    <row r="664">
      <c r="C664" s="43"/>
      <c r="D664" s="91"/>
      <c r="J664" s="92"/>
      <c r="K664" s="92"/>
      <c r="L664" s="93"/>
      <c r="M664" s="43"/>
    </row>
    <row r="665">
      <c r="C665" s="43"/>
      <c r="D665" s="91"/>
      <c r="J665" s="92"/>
      <c r="K665" s="92"/>
      <c r="L665" s="93"/>
      <c r="M665" s="43"/>
    </row>
    <row r="666">
      <c r="C666" s="43"/>
      <c r="D666" s="91"/>
      <c r="J666" s="92"/>
      <c r="K666" s="92"/>
      <c r="L666" s="93"/>
      <c r="M666" s="43"/>
    </row>
    <row r="667">
      <c r="C667" s="43"/>
      <c r="D667" s="91"/>
      <c r="J667" s="92"/>
      <c r="K667" s="92"/>
      <c r="L667" s="93"/>
      <c r="M667" s="43"/>
    </row>
    <row r="668">
      <c r="C668" s="43"/>
      <c r="D668" s="91"/>
      <c r="J668" s="92"/>
      <c r="K668" s="92"/>
      <c r="L668" s="93"/>
      <c r="M668" s="43"/>
    </row>
    <row r="669">
      <c r="C669" s="43"/>
      <c r="D669" s="91"/>
      <c r="J669" s="92"/>
      <c r="K669" s="92"/>
      <c r="L669" s="93"/>
      <c r="M669" s="43"/>
    </row>
    <row r="670">
      <c r="C670" s="43"/>
      <c r="D670" s="91"/>
      <c r="J670" s="92"/>
      <c r="K670" s="92"/>
      <c r="L670" s="93"/>
      <c r="M670" s="43"/>
    </row>
    <row r="671">
      <c r="C671" s="43"/>
      <c r="D671" s="91"/>
      <c r="J671" s="92"/>
      <c r="K671" s="92"/>
      <c r="L671" s="93"/>
      <c r="M671" s="43"/>
    </row>
    <row r="672">
      <c r="C672" s="43"/>
      <c r="D672" s="91"/>
      <c r="J672" s="92"/>
      <c r="K672" s="92"/>
      <c r="L672" s="93"/>
      <c r="M672" s="43"/>
    </row>
    <row r="673">
      <c r="C673" s="43"/>
      <c r="D673" s="91"/>
      <c r="J673" s="92"/>
      <c r="K673" s="92"/>
      <c r="L673" s="93"/>
      <c r="M673" s="43"/>
    </row>
    <row r="674">
      <c r="C674" s="43"/>
      <c r="D674" s="91"/>
      <c r="J674" s="92"/>
      <c r="K674" s="92"/>
      <c r="L674" s="93"/>
      <c r="M674" s="43"/>
    </row>
    <row r="675">
      <c r="C675" s="43"/>
      <c r="D675" s="91"/>
      <c r="J675" s="92"/>
      <c r="K675" s="92"/>
      <c r="L675" s="93"/>
      <c r="M675" s="43"/>
    </row>
    <row r="676">
      <c r="C676" s="43"/>
      <c r="D676" s="91"/>
      <c r="J676" s="92"/>
      <c r="K676" s="92"/>
      <c r="L676" s="93"/>
      <c r="M676" s="43"/>
    </row>
    <row r="677">
      <c r="C677" s="43"/>
      <c r="D677" s="91"/>
      <c r="J677" s="92"/>
      <c r="K677" s="92"/>
      <c r="L677" s="93"/>
      <c r="M677" s="43"/>
    </row>
    <row r="678">
      <c r="C678" s="43"/>
      <c r="D678" s="91"/>
      <c r="J678" s="92"/>
      <c r="K678" s="92"/>
      <c r="L678" s="93"/>
      <c r="M678" s="43"/>
    </row>
    <row r="679">
      <c r="C679" s="43"/>
      <c r="D679" s="91"/>
      <c r="J679" s="92"/>
      <c r="K679" s="92"/>
      <c r="L679" s="93"/>
      <c r="M679" s="43"/>
    </row>
    <row r="680">
      <c r="C680" s="43"/>
      <c r="D680" s="91"/>
      <c r="J680" s="92"/>
      <c r="K680" s="92"/>
      <c r="L680" s="93"/>
      <c r="M680" s="43"/>
    </row>
    <row r="681">
      <c r="C681" s="43"/>
      <c r="D681" s="91"/>
      <c r="J681" s="92"/>
      <c r="K681" s="92"/>
      <c r="L681" s="93"/>
      <c r="M681" s="43"/>
    </row>
    <row r="682">
      <c r="C682" s="43"/>
      <c r="D682" s="91"/>
      <c r="J682" s="92"/>
      <c r="K682" s="92"/>
      <c r="L682" s="93"/>
      <c r="M682" s="43"/>
    </row>
    <row r="683">
      <c r="C683" s="43"/>
      <c r="D683" s="91"/>
      <c r="J683" s="92"/>
      <c r="K683" s="92"/>
      <c r="L683" s="93"/>
      <c r="M683" s="43"/>
    </row>
    <row r="684">
      <c r="C684" s="43"/>
      <c r="D684" s="91"/>
      <c r="J684" s="92"/>
      <c r="K684" s="92"/>
      <c r="L684" s="93"/>
      <c r="M684" s="43"/>
    </row>
    <row r="685">
      <c r="C685" s="43"/>
      <c r="D685" s="91"/>
      <c r="J685" s="92"/>
      <c r="K685" s="92"/>
      <c r="L685" s="93"/>
      <c r="M685" s="43"/>
    </row>
    <row r="686">
      <c r="C686" s="43"/>
      <c r="D686" s="91"/>
      <c r="J686" s="92"/>
      <c r="K686" s="92"/>
      <c r="L686" s="93"/>
      <c r="M686" s="43"/>
    </row>
    <row r="687">
      <c r="C687" s="43"/>
      <c r="D687" s="91"/>
      <c r="J687" s="92"/>
      <c r="K687" s="92"/>
      <c r="L687" s="93"/>
      <c r="M687" s="43"/>
    </row>
    <row r="688">
      <c r="C688" s="43"/>
      <c r="D688" s="91"/>
      <c r="J688" s="92"/>
      <c r="K688" s="92"/>
      <c r="L688" s="93"/>
      <c r="M688" s="43"/>
    </row>
    <row r="689">
      <c r="C689" s="43"/>
      <c r="D689" s="91"/>
      <c r="J689" s="92"/>
      <c r="K689" s="92"/>
      <c r="L689" s="93"/>
      <c r="M689" s="43"/>
    </row>
    <row r="690">
      <c r="C690" s="43"/>
      <c r="D690" s="91"/>
      <c r="J690" s="92"/>
      <c r="K690" s="92"/>
      <c r="L690" s="93"/>
      <c r="M690" s="43"/>
    </row>
    <row r="691">
      <c r="C691" s="43"/>
      <c r="D691" s="91"/>
      <c r="J691" s="92"/>
      <c r="K691" s="92"/>
      <c r="L691" s="93"/>
      <c r="M691" s="43"/>
    </row>
    <row r="692">
      <c r="C692" s="43"/>
      <c r="D692" s="91"/>
      <c r="J692" s="92"/>
      <c r="K692" s="92"/>
      <c r="L692" s="93"/>
      <c r="M692" s="43"/>
    </row>
    <row r="693">
      <c r="C693" s="43"/>
      <c r="D693" s="91"/>
      <c r="J693" s="92"/>
      <c r="K693" s="92"/>
      <c r="L693" s="93"/>
      <c r="M693" s="43"/>
    </row>
    <row r="694">
      <c r="C694" s="43"/>
      <c r="D694" s="91"/>
      <c r="J694" s="92"/>
      <c r="K694" s="92"/>
      <c r="L694" s="93"/>
      <c r="M694" s="43"/>
    </row>
    <row r="695">
      <c r="C695" s="43"/>
      <c r="D695" s="91"/>
      <c r="J695" s="92"/>
      <c r="K695" s="92"/>
      <c r="L695" s="93"/>
      <c r="M695" s="43"/>
    </row>
    <row r="696">
      <c r="C696" s="43"/>
      <c r="D696" s="91"/>
      <c r="J696" s="92"/>
      <c r="K696" s="92"/>
      <c r="L696" s="93"/>
      <c r="M696" s="43"/>
    </row>
    <row r="697">
      <c r="C697" s="43"/>
      <c r="D697" s="91"/>
      <c r="J697" s="92"/>
      <c r="K697" s="92"/>
      <c r="L697" s="93"/>
      <c r="M697" s="43"/>
    </row>
    <row r="698">
      <c r="C698" s="43"/>
      <c r="D698" s="91"/>
      <c r="J698" s="92"/>
      <c r="K698" s="92"/>
      <c r="L698" s="93"/>
      <c r="M698" s="43"/>
    </row>
    <row r="699">
      <c r="C699" s="43"/>
      <c r="D699" s="91"/>
      <c r="J699" s="92"/>
      <c r="K699" s="92"/>
      <c r="L699" s="93"/>
      <c r="M699" s="43"/>
    </row>
    <row r="700">
      <c r="C700" s="43"/>
      <c r="D700" s="91"/>
      <c r="J700" s="92"/>
      <c r="K700" s="92"/>
      <c r="L700" s="93"/>
      <c r="M700" s="43"/>
    </row>
    <row r="701">
      <c r="C701" s="43"/>
      <c r="D701" s="91"/>
      <c r="J701" s="92"/>
      <c r="K701" s="92"/>
      <c r="L701" s="93"/>
      <c r="M701" s="43"/>
    </row>
    <row r="702">
      <c r="C702" s="43"/>
      <c r="D702" s="91"/>
      <c r="J702" s="92"/>
      <c r="K702" s="92"/>
      <c r="L702" s="93"/>
      <c r="M702" s="43"/>
    </row>
    <row r="703">
      <c r="C703" s="43"/>
      <c r="D703" s="91"/>
      <c r="J703" s="92"/>
      <c r="K703" s="92"/>
      <c r="L703" s="93"/>
      <c r="M703" s="43"/>
    </row>
    <row r="704">
      <c r="C704" s="43"/>
      <c r="D704" s="91"/>
      <c r="J704" s="92"/>
      <c r="K704" s="92"/>
      <c r="L704" s="93"/>
      <c r="M704" s="43"/>
    </row>
    <row r="705">
      <c r="C705" s="43"/>
      <c r="D705" s="91"/>
      <c r="J705" s="92"/>
      <c r="K705" s="92"/>
      <c r="L705" s="93"/>
      <c r="M705" s="43"/>
    </row>
    <row r="706">
      <c r="C706" s="43"/>
      <c r="D706" s="91"/>
      <c r="J706" s="92"/>
      <c r="K706" s="92"/>
      <c r="L706" s="93"/>
      <c r="M706" s="43"/>
    </row>
    <row r="707">
      <c r="C707" s="43"/>
      <c r="D707" s="91"/>
      <c r="J707" s="92"/>
      <c r="K707" s="92"/>
      <c r="L707" s="93"/>
      <c r="M707" s="43"/>
    </row>
    <row r="708">
      <c r="C708" s="43"/>
      <c r="D708" s="91"/>
      <c r="J708" s="92"/>
      <c r="K708" s="92"/>
      <c r="L708" s="93"/>
      <c r="M708" s="43"/>
    </row>
    <row r="709">
      <c r="C709" s="43"/>
      <c r="D709" s="91"/>
      <c r="J709" s="92"/>
      <c r="K709" s="92"/>
      <c r="L709" s="93"/>
      <c r="M709" s="43"/>
    </row>
    <row r="710">
      <c r="C710" s="43"/>
      <c r="D710" s="91"/>
      <c r="J710" s="92"/>
      <c r="K710" s="92"/>
      <c r="L710" s="93"/>
      <c r="M710" s="43"/>
    </row>
    <row r="711">
      <c r="C711" s="43"/>
      <c r="D711" s="91"/>
      <c r="J711" s="92"/>
      <c r="K711" s="92"/>
      <c r="L711" s="93"/>
      <c r="M711" s="43"/>
    </row>
    <row r="712">
      <c r="C712" s="43"/>
      <c r="D712" s="91"/>
      <c r="J712" s="92"/>
      <c r="K712" s="92"/>
      <c r="L712" s="93"/>
      <c r="M712" s="43"/>
    </row>
    <row r="713">
      <c r="C713" s="43"/>
      <c r="D713" s="91"/>
      <c r="J713" s="92"/>
      <c r="K713" s="92"/>
      <c r="L713" s="93"/>
      <c r="M713" s="43"/>
    </row>
    <row r="714">
      <c r="C714" s="43"/>
      <c r="D714" s="91"/>
      <c r="J714" s="92"/>
      <c r="K714" s="92"/>
      <c r="L714" s="93"/>
      <c r="M714" s="43"/>
    </row>
    <row r="715">
      <c r="C715" s="43"/>
      <c r="D715" s="91"/>
      <c r="J715" s="92"/>
      <c r="K715" s="92"/>
      <c r="L715" s="93"/>
      <c r="M715" s="43"/>
    </row>
    <row r="716">
      <c r="C716" s="43"/>
      <c r="D716" s="91"/>
      <c r="J716" s="92"/>
      <c r="K716" s="92"/>
      <c r="L716" s="93"/>
      <c r="M716" s="43"/>
    </row>
    <row r="717">
      <c r="C717" s="43"/>
      <c r="D717" s="91"/>
      <c r="J717" s="92"/>
      <c r="K717" s="92"/>
      <c r="L717" s="93"/>
      <c r="M717" s="43"/>
    </row>
    <row r="718">
      <c r="C718" s="43"/>
      <c r="D718" s="91"/>
      <c r="J718" s="92"/>
      <c r="K718" s="92"/>
      <c r="L718" s="93"/>
      <c r="M718" s="43"/>
    </row>
    <row r="719">
      <c r="C719" s="43"/>
      <c r="D719" s="91"/>
      <c r="J719" s="92"/>
      <c r="K719" s="92"/>
      <c r="L719" s="93"/>
      <c r="M719" s="43"/>
    </row>
    <row r="720">
      <c r="C720" s="43"/>
      <c r="D720" s="91"/>
      <c r="J720" s="92"/>
      <c r="K720" s="92"/>
      <c r="L720" s="93"/>
      <c r="M720" s="43"/>
    </row>
    <row r="721">
      <c r="C721" s="43"/>
      <c r="D721" s="91"/>
      <c r="J721" s="92"/>
      <c r="K721" s="92"/>
      <c r="L721" s="93"/>
      <c r="M721" s="43"/>
    </row>
    <row r="722">
      <c r="C722" s="43"/>
      <c r="D722" s="91"/>
      <c r="J722" s="92"/>
      <c r="K722" s="92"/>
      <c r="L722" s="93"/>
      <c r="M722" s="43"/>
    </row>
    <row r="723">
      <c r="C723" s="43"/>
      <c r="D723" s="91"/>
      <c r="J723" s="92"/>
      <c r="K723" s="92"/>
      <c r="L723" s="93"/>
      <c r="M723" s="43"/>
    </row>
    <row r="724">
      <c r="C724" s="43"/>
      <c r="D724" s="91"/>
      <c r="J724" s="92"/>
      <c r="K724" s="92"/>
      <c r="L724" s="93"/>
      <c r="M724" s="43"/>
    </row>
    <row r="725">
      <c r="C725" s="43"/>
      <c r="D725" s="91"/>
      <c r="J725" s="92"/>
      <c r="K725" s="92"/>
      <c r="L725" s="93"/>
      <c r="M725" s="43"/>
    </row>
    <row r="726">
      <c r="C726" s="43"/>
      <c r="D726" s="91"/>
      <c r="J726" s="92"/>
      <c r="K726" s="92"/>
      <c r="L726" s="93"/>
      <c r="M726" s="43"/>
    </row>
    <row r="727">
      <c r="C727" s="43"/>
      <c r="D727" s="91"/>
      <c r="J727" s="92"/>
      <c r="K727" s="92"/>
      <c r="L727" s="93"/>
      <c r="M727" s="43"/>
    </row>
    <row r="728">
      <c r="C728" s="43"/>
      <c r="D728" s="91"/>
      <c r="J728" s="92"/>
      <c r="K728" s="92"/>
      <c r="L728" s="93"/>
      <c r="M728" s="43"/>
    </row>
    <row r="729">
      <c r="C729" s="43"/>
      <c r="D729" s="91"/>
      <c r="J729" s="92"/>
      <c r="K729" s="92"/>
      <c r="L729" s="93"/>
      <c r="M729" s="43"/>
    </row>
    <row r="730">
      <c r="C730" s="43"/>
      <c r="D730" s="91"/>
      <c r="J730" s="92"/>
      <c r="K730" s="92"/>
      <c r="L730" s="93"/>
      <c r="M730" s="43"/>
    </row>
    <row r="731">
      <c r="C731" s="43"/>
      <c r="D731" s="91"/>
      <c r="J731" s="92"/>
      <c r="K731" s="92"/>
      <c r="L731" s="93"/>
      <c r="M731" s="43"/>
    </row>
    <row r="732">
      <c r="C732" s="43"/>
      <c r="D732" s="91"/>
      <c r="J732" s="92"/>
      <c r="K732" s="92"/>
      <c r="L732" s="93"/>
      <c r="M732" s="43"/>
    </row>
    <row r="733">
      <c r="C733" s="43"/>
      <c r="D733" s="91"/>
      <c r="J733" s="92"/>
      <c r="K733" s="92"/>
      <c r="L733" s="93"/>
      <c r="M733" s="43"/>
    </row>
    <row r="734">
      <c r="C734" s="43"/>
      <c r="D734" s="91"/>
      <c r="J734" s="92"/>
      <c r="K734" s="92"/>
      <c r="L734" s="93"/>
      <c r="M734" s="43"/>
    </row>
    <row r="735">
      <c r="C735" s="43"/>
      <c r="D735" s="91"/>
      <c r="J735" s="92"/>
      <c r="K735" s="92"/>
      <c r="L735" s="93"/>
      <c r="M735" s="43"/>
    </row>
    <row r="736">
      <c r="C736" s="43"/>
      <c r="D736" s="91"/>
      <c r="J736" s="92"/>
      <c r="K736" s="92"/>
      <c r="L736" s="93"/>
      <c r="M736" s="43"/>
    </row>
    <row r="737">
      <c r="C737" s="43"/>
      <c r="D737" s="91"/>
      <c r="J737" s="92"/>
      <c r="K737" s="92"/>
      <c r="L737" s="93"/>
      <c r="M737" s="43"/>
    </row>
    <row r="738">
      <c r="C738" s="43"/>
      <c r="D738" s="91"/>
      <c r="J738" s="92"/>
      <c r="K738" s="92"/>
      <c r="L738" s="93"/>
      <c r="M738" s="43"/>
    </row>
    <row r="739">
      <c r="C739" s="43"/>
      <c r="D739" s="91"/>
      <c r="J739" s="92"/>
      <c r="K739" s="92"/>
      <c r="L739" s="93"/>
      <c r="M739" s="43"/>
    </row>
    <row r="740">
      <c r="C740" s="43"/>
      <c r="D740" s="91"/>
      <c r="J740" s="92"/>
      <c r="K740" s="92"/>
      <c r="L740" s="93"/>
      <c r="M740" s="43"/>
    </row>
    <row r="741">
      <c r="C741" s="43"/>
      <c r="D741" s="91"/>
      <c r="J741" s="92"/>
      <c r="K741" s="92"/>
      <c r="L741" s="93"/>
      <c r="M741" s="43"/>
    </row>
    <row r="742">
      <c r="C742" s="43"/>
      <c r="D742" s="91"/>
      <c r="J742" s="92"/>
      <c r="K742" s="92"/>
      <c r="L742" s="93"/>
      <c r="M742" s="43"/>
    </row>
    <row r="743">
      <c r="C743" s="43"/>
      <c r="D743" s="91"/>
      <c r="J743" s="92"/>
      <c r="K743" s="92"/>
      <c r="L743" s="93"/>
      <c r="M743" s="43"/>
    </row>
    <row r="744">
      <c r="C744" s="43"/>
      <c r="D744" s="91"/>
      <c r="J744" s="92"/>
      <c r="K744" s="92"/>
      <c r="L744" s="93"/>
      <c r="M744" s="43"/>
    </row>
    <row r="745">
      <c r="C745" s="43"/>
      <c r="D745" s="91"/>
      <c r="J745" s="92"/>
      <c r="K745" s="92"/>
      <c r="L745" s="93"/>
      <c r="M745" s="43"/>
    </row>
    <row r="746">
      <c r="C746" s="43"/>
      <c r="D746" s="91"/>
      <c r="J746" s="92"/>
      <c r="K746" s="92"/>
      <c r="L746" s="93"/>
      <c r="M746" s="43"/>
    </row>
    <row r="747">
      <c r="C747" s="43"/>
      <c r="D747" s="91"/>
      <c r="J747" s="92"/>
      <c r="K747" s="92"/>
      <c r="L747" s="93"/>
      <c r="M747" s="43"/>
    </row>
    <row r="748">
      <c r="C748" s="43"/>
      <c r="D748" s="91"/>
      <c r="J748" s="92"/>
      <c r="K748" s="92"/>
      <c r="L748" s="93"/>
      <c r="M748" s="43"/>
    </row>
    <row r="749">
      <c r="C749" s="43"/>
      <c r="D749" s="91"/>
      <c r="J749" s="92"/>
      <c r="K749" s="92"/>
      <c r="L749" s="93"/>
      <c r="M749" s="43"/>
    </row>
    <row r="750">
      <c r="C750" s="43"/>
      <c r="D750" s="91"/>
      <c r="J750" s="92"/>
      <c r="K750" s="92"/>
      <c r="L750" s="93"/>
      <c r="M750" s="43"/>
    </row>
    <row r="751">
      <c r="C751" s="43"/>
      <c r="D751" s="91"/>
      <c r="J751" s="92"/>
      <c r="K751" s="92"/>
      <c r="L751" s="93"/>
      <c r="M751" s="43"/>
    </row>
    <row r="752">
      <c r="C752" s="43"/>
      <c r="D752" s="91"/>
      <c r="J752" s="92"/>
      <c r="K752" s="92"/>
      <c r="L752" s="93"/>
      <c r="M752" s="43"/>
    </row>
    <row r="753">
      <c r="C753" s="43"/>
      <c r="D753" s="91"/>
      <c r="J753" s="92"/>
      <c r="K753" s="92"/>
      <c r="L753" s="93"/>
      <c r="M753" s="43"/>
    </row>
    <row r="754">
      <c r="C754" s="43"/>
      <c r="D754" s="91"/>
      <c r="J754" s="92"/>
      <c r="K754" s="92"/>
      <c r="L754" s="93"/>
      <c r="M754" s="43"/>
    </row>
    <row r="755">
      <c r="C755" s="43"/>
      <c r="D755" s="91"/>
      <c r="J755" s="92"/>
      <c r="K755" s="92"/>
      <c r="L755" s="93"/>
      <c r="M755" s="43"/>
    </row>
    <row r="756">
      <c r="C756" s="43"/>
      <c r="D756" s="91"/>
      <c r="J756" s="92"/>
      <c r="K756" s="92"/>
      <c r="L756" s="93"/>
      <c r="M756" s="43"/>
    </row>
    <row r="757">
      <c r="C757" s="43"/>
      <c r="D757" s="91"/>
      <c r="J757" s="92"/>
      <c r="K757" s="92"/>
      <c r="L757" s="93"/>
      <c r="M757" s="43"/>
    </row>
    <row r="758">
      <c r="C758" s="43"/>
      <c r="D758" s="91"/>
      <c r="J758" s="92"/>
      <c r="K758" s="92"/>
      <c r="L758" s="93"/>
      <c r="M758" s="43"/>
    </row>
    <row r="759">
      <c r="C759" s="43"/>
      <c r="D759" s="91"/>
      <c r="J759" s="92"/>
      <c r="K759" s="92"/>
      <c r="L759" s="93"/>
      <c r="M759" s="43"/>
    </row>
    <row r="760">
      <c r="C760" s="43"/>
      <c r="D760" s="91"/>
      <c r="J760" s="92"/>
      <c r="K760" s="92"/>
      <c r="L760" s="93"/>
      <c r="M760" s="43"/>
    </row>
    <row r="761">
      <c r="C761" s="43"/>
      <c r="D761" s="91"/>
      <c r="J761" s="92"/>
      <c r="K761" s="92"/>
      <c r="L761" s="93"/>
      <c r="M761" s="43"/>
    </row>
    <row r="762">
      <c r="C762" s="43"/>
      <c r="D762" s="91"/>
      <c r="J762" s="92"/>
      <c r="K762" s="92"/>
      <c r="L762" s="93"/>
      <c r="M762" s="43"/>
    </row>
    <row r="763">
      <c r="C763" s="43"/>
      <c r="D763" s="91"/>
      <c r="J763" s="92"/>
      <c r="K763" s="92"/>
      <c r="L763" s="93"/>
      <c r="M763" s="43"/>
    </row>
    <row r="764">
      <c r="C764" s="43"/>
      <c r="D764" s="91"/>
      <c r="J764" s="92"/>
      <c r="K764" s="92"/>
      <c r="L764" s="93"/>
      <c r="M764" s="43"/>
    </row>
    <row r="765">
      <c r="C765" s="43"/>
      <c r="D765" s="91"/>
      <c r="J765" s="92"/>
      <c r="K765" s="92"/>
      <c r="L765" s="93"/>
      <c r="M765" s="43"/>
    </row>
    <row r="766">
      <c r="C766" s="43"/>
      <c r="D766" s="91"/>
      <c r="J766" s="92"/>
      <c r="K766" s="92"/>
      <c r="L766" s="93"/>
      <c r="M766" s="43"/>
    </row>
    <row r="767">
      <c r="C767" s="43"/>
      <c r="D767" s="91"/>
      <c r="J767" s="92"/>
      <c r="K767" s="92"/>
      <c r="L767" s="93"/>
      <c r="M767" s="43"/>
    </row>
    <row r="768">
      <c r="C768" s="43"/>
      <c r="D768" s="91"/>
      <c r="J768" s="92"/>
      <c r="K768" s="92"/>
      <c r="L768" s="93"/>
      <c r="M768" s="43"/>
    </row>
    <row r="769">
      <c r="C769" s="43"/>
      <c r="D769" s="91"/>
      <c r="J769" s="92"/>
      <c r="K769" s="92"/>
      <c r="L769" s="93"/>
      <c r="M769" s="43"/>
    </row>
    <row r="770">
      <c r="C770" s="43"/>
      <c r="D770" s="91"/>
      <c r="J770" s="92"/>
      <c r="K770" s="92"/>
      <c r="L770" s="93"/>
      <c r="M770" s="43"/>
    </row>
    <row r="771">
      <c r="C771" s="43"/>
      <c r="D771" s="91"/>
      <c r="J771" s="92"/>
      <c r="K771" s="92"/>
      <c r="L771" s="93"/>
      <c r="M771" s="43"/>
    </row>
    <row r="772">
      <c r="C772" s="43"/>
      <c r="D772" s="91"/>
      <c r="J772" s="92"/>
      <c r="K772" s="92"/>
      <c r="L772" s="93"/>
      <c r="M772" s="43"/>
    </row>
    <row r="773">
      <c r="C773" s="43"/>
      <c r="D773" s="91"/>
      <c r="J773" s="92"/>
      <c r="K773" s="92"/>
      <c r="L773" s="93"/>
      <c r="M773" s="43"/>
    </row>
    <row r="774">
      <c r="C774" s="43"/>
      <c r="D774" s="91"/>
      <c r="J774" s="92"/>
      <c r="K774" s="92"/>
      <c r="L774" s="93"/>
      <c r="M774" s="43"/>
    </row>
    <row r="775">
      <c r="C775" s="43"/>
      <c r="D775" s="91"/>
      <c r="J775" s="92"/>
      <c r="K775" s="92"/>
      <c r="L775" s="93"/>
      <c r="M775" s="43"/>
    </row>
    <row r="776">
      <c r="C776" s="43"/>
      <c r="D776" s="91"/>
      <c r="J776" s="92"/>
      <c r="K776" s="92"/>
      <c r="L776" s="93"/>
      <c r="M776" s="43"/>
    </row>
    <row r="777">
      <c r="C777" s="43"/>
      <c r="D777" s="91"/>
      <c r="J777" s="92"/>
      <c r="K777" s="92"/>
      <c r="L777" s="93"/>
      <c r="M777" s="43"/>
    </row>
    <row r="778">
      <c r="C778" s="43"/>
      <c r="D778" s="91"/>
      <c r="J778" s="92"/>
      <c r="K778" s="92"/>
      <c r="L778" s="93"/>
      <c r="M778" s="43"/>
    </row>
    <row r="779">
      <c r="C779" s="43"/>
      <c r="D779" s="91"/>
      <c r="J779" s="92"/>
      <c r="K779" s="92"/>
      <c r="L779" s="93"/>
      <c r="M779" s="43"/>
    </row>
    <row r="780">
      <c r="C780" s="43"/>
      <c r="D780" s="91"/>
      <c r="J780" s="92"/>
      <c r="K780" s="92"/>
      <c r="L780" s="93"/>
      <c r="M780" s="43"/>
    </row>
    <row r="781">
      <c r="C781" s="43"/>
      <c r="D781" s="91"/>
      <c r="J781" s="92"/>
      <c r="K781" s="92"/>
      <c r="L781" s="93"/>
      <c r="M781" s="43"/>
    </row>
    <row r="782">
      <c r="C782" s="43"/>
      <c r="D782" s="91"/>
      <c r="J782" s="92"/>
      <c r="K782" s="92"/>
      <c r="L782" s="93"/>
      <c r="M782" s="43"/>
    </row>
    <row r="783">
      <c r="C783" s="43"/>
      <c r="D783" s="91"/>
      <c r="J783" s="92"/>
      <c r="K783" s="92"/>
      <c r="L783" s="93"/>
      <c r="M783" s="43"/>
    </row>
    <row r="784">
      <c r="C784" s="43"/>
      <c r="D784" s="91"/>
      <c r="J784" s="92"/>
      <c r="K784" s="92"/>
      <c r="L784" s="93"/>
      <c r="M784" s="43"/>
    </row>
    <row r="785">
      <c r="C785" s="43"/>
      <c r="D785" s="91"/>
      <c r="J785" s="92"/>
      <c r="K785" s="92"/>
      <c r="L785" s="93"/>
      <c r="M785" s="43"/>
    </row>
    <row r="786">
      <c r="C786" s="43"/>
      <c r="D786" s="91"/>
      <c r="J786" s="92"/>
      <c r="K786" s="92"/>
      <c r="L786" s="93"/>
      <c r="M786" s="43"/>
    </row>
    <row r="787">
      <c r="C787" s="43"/>
      <c r="D787" s="91"/>
      <c r="J787" s="92"/>
      <c r="K787" s="92"/>
      <c r="L787" s="93"/>
      <c r="M787" s="43"/>
    </row>
    <row r="788">
      <c r="C788" s="43"/>
      <c r="D788" s="91"/>
      <c r="J788" s="92"/>
      <c r="K788" s="92"/>
      <c r="L788" s="93"/>
      <c r="M788" s="43"/>
    </row>
    <row r="789">
      <c r="C789" s="43"/>
      <c r="D789" s="91"/>
      <c r="J789" s="92"/>
      <c r="K789" s="92"/>
      <c r="L789" s="93"/>
      <c r="M789" s="43"/>
    </row>
    <row r="790">
      <c r="C790" s="43"/>
      <c r="D790" s="91"/>
      <c r="J790" s="92"/>
      <c r="K790" s="92"/>
      <c r="L790" s="93"/>
      <c r="M790" s="43"/>
    </row>
    <row r="791">
      <c r="C791" s="43"/>
      <c r="D791" s="91"/>
      <c r="J791" s="92"/>
      <c r="K791" s="92"/>
      <c r="L791" s="93"/>
      <c r="M791" s="43"/>
    </row>
    <row r="792">
      <c r="C792" s="43"/>
      <c r="D792" s="91"/>
      <c r="J792" s="92"/>
      <c r="K792" s="92"/>
      <c r="L792" s="93"/>
      <c r="M792" s="43"/>
    </row>
    <row r="793">
      <c r="C793" s="43"/>
      <c r="D793" s="91"/>
      <c r="J793" s="92"/>
      <c r="K793" s="92"/>
      <c r="L793" s="93"/>
      <c r="M793" s="43"/>
    </row>
    <row r="794">
      <c r="C794" s="43"/>
      <c r="D794" s="91"/>
      <c r="J794" s="92"/>
      <c r="K794" s="92"/>
      <c r="L794" s="93"/>
      <c r="M794" s="43"/>
    </row>
    <row r="795">
      <c r="C795" s="43"/>
      <c r="D795" s="91"/>
      <c r="J795" s="92"/>
      <c r="K795" s="92"/>
      <c r="L795" s="93"/>
      <c r="M795" s="43"/>
    </row>
    <row r="796">
      <c r="C796" s="43"/>
      <c r="D796" s="91"/>
      <c r="J796" s="92"/>
      <c r="K796" s="92"/>
      <c r="L796" s="93"/>
      <c r="M796" s="43"/>
    </row>
    <row r="797">
      <c r="C797" s="43"/>
      <c r="D797" s="91"/>
      <c r="J797" s="92"/>
      <c r="K797" s="92"/>
      <c r="L797" s="93"/>
      <c r="M797" s="43"/>
    </row>
    <row r="798">
      <c r="C798" s="43"/>
      <c r="D798" s="91"/>
      <c r="J798" s="92"/>
      <c r="K798" s="92"/>
      <c r="L798" s="93"/>
      <c r="M798" s="43"/>
    </row>
    <row r="799">
      <c r="C799" s="43"/>
      <c r="D799" s="91"/>
      <c r="J799" s="92"/>
      <c r="K799" s="92"/>
      <c r="L799" s="93"/>
      <c r="M799" s="43"/>
    </row>
    <row r="800">
      <c r="C800" s="43"/>
      <c r="D800" s="91"/>
      <c r="J800" s="92"/>
      <c r="K800" s="92"/>
      <c r="L800" s="93"/>
      <c r="M800" s="43"/>
    </row>
    <row r="801">
      <c r="C801" s="43"/>
      <c r="D801" s="91"/>
      <c r="J801" s="92"/>
      <c r="K801" s="92"/>
      <c r="L801" s="93"/>
      <c r="M801" s="43"/>
    </row>
    <row r="802">
      <c r="C802" s="43"/>
      <c r="D802" s="91"/>
      <c r="J802" s="92"/>
      <c r="K802" s="92"/>
      <c r="L802" s="93"/>
      <c r="M802" s="43"/>
    </row>
    <row r="803">
      <c r="C803" s="43"/>
      <c r="D803" s="91"/>
      <c r="J803" s="92"/>
      <c r="K803" s="92"/>
      <c r="L803" s="93"/>
      <c r="M803" s="43"/>
    </row>
    <row r="804">
      <c r="C804" s="43"/>
      <c r="D804" s="91"/>
      <c r="J804" s="92"/>
      <c r="K804" s="92"/>
      <c r="L804" s="93"/>
      <c r="M804" s="43"/>
    </row>
    <row r="805">
      <c r="C805" s="43"/>
      <c r="D805" s="91"/>
      <c r="J805" s="92"/>
      <c r="K805" s="92"/>
      <c r="L805" s="93"/>
      <c r="M805" s="43"/>
    </row>
    <row r="806">
      <c r="C806" s="43"/>
      <c r="D806" s="91"/>
      <c r="J806" s="92"/>
      <c r="K806" s="92"/>
      <c r="L806" s="93"/>
      <c r="M806" s="43"/>
    </row>
    <row r="807">
      <c r="C807" s="43"/>
      <c r="D807" s="91"/>
      <c r="J807" s="92"/>
      <c r="K807" s="92"/>
      <c r="L807" s="93"/>
      <c r="M807" s="43"/>
    </row>
    <row r="808">
      <c r="C808" s="43"/>
      <c r="D808" s="91"/>
      <c r="J808" s="92"/>
      <c r="K808" s="92"/>
      <c r="L808" s="93"/>
      <c r="M808" s="43"/>
    </row>
    <row r="809">
      <c r="C809" s="43"/>
      <c r="D809" s="91"/>
      <c r="J809" s="92"/>
      <c r="K809" s="92"/>
      <c r="L809" s="93"/>
      <c r="M809" s="43"/>
    </row>
    <row r="810">
      <c r="C810" s="43"/>
      <c r="D810" s="91"/>
      <c r="J810" s="92"/>
      <c r="K810" s="92"/>
      <c r="L810" s="93"/>
      <c r="M810" s="43"/>
    </row>
    <row r="811">
      <c r="C811" s="43"/>
      <c r="D811" s="91"/>
      <c r="J811" s="92"/>
      <c r="K811" s="92"/>
      <c r="L811" s="93"/>
      <c r="M811" s="43"/>
    </row>
    <row r="812">
      <c r="C812" s="43"/>
      <c r="D812" s="91"/>
      <c r="J812" s="92"/>
      <c r="K812" s="92"/>
      <c r="L812" s="93"/>
      <c r="M812" s="43"/>
    </row>
    <row r="813">
      <c r="C813" s="43"/>
      <c r="D813" s="91"/>
      <c r="J813" s="92"/>
      <c r="K813" s="92"/>
      <c r="L813" s="93"/>
      <c r="M813" s="43"/>
    </row>
    <row r="814">
      <c r="C814" s="43"/>
      <c r="D814" s="91"/>
      <c r="J814" s="92"/>
      <c r="K814" s="92"/>
      <c r="L814" s="93"/>
      <c r="M814" s="43"/>
    </row>
    <row r="815">
      <c r="C815" s="43"/>
      <c r="D815" s="91"/>
      <c r="J815" s="92"/>
      <c r="K815" s="92"/>
      <c r="L815" s="93"/>
      <c r="M815" s="43"/>
    </row>
    <row r="816">
      <c r="C816" s="43"/>
      <c r="D816" s="91"/>
      <c r="J816" s="92"/>
      <c r="K816" s="92"/>
      <c r="L816" s="93"/>
      <c r="M816" s="43"/>
    </row>
    <row r="817">
      <c r="C817" s="43"/>
      <c r="D817" s="91"/>
      <c r="J817" s="92"/>
      <c r="K817" s="92"/>
      <c r="L817" s="93"/>
      <c r="M817" s="43"/>
    </row>
    <row r="818">
      <c r="C818" s="43"/>
      <c r="D818" s="91"/>
      <c r="J818" s="92"/>
      <c r="K818" s="92"/>
      <c r="L818" s="93"/>
      <c r="M818" s="43"/>
    </row>
    <row r="819">
      <c r="C819" s="43"/>
      <c r="D819" s="91"/>
      <c r="J819" s="92"/>
      <c r="K819" s="92"/>
      <c r="L819" s="93"/>
      <c r="M819" s="43"/>
    </row>
    <row r="820">
      <c r="C820" s="43"/>
      <c r="D820" s="91"/>
      <c r="J820" s="92"/>
      <c r="K820" s="92"/>
      <c r="L820" s="93"/>
      <c r="M820" s="43"/>
    </row>
    <row r="821">
      <c r="C821" s="43"/>
      <c r="D821" s="91"/>
      <c r="J821" s="92"/>
      <c r="K821" s="92"/>
      <c r="L821" s="93"/>
      <c r="M821" s="43"/>
    </row>
    <row r="822">
      <c r="C822" s="43"/>
      <c r="D822" s="91"/>
      <c r="J822" s="92"/>
      <c r="K822" s="92"/>
      <c r="L822" s="93"/>
      <c r="M822" s="43"/>
    </row>
    <row r="823">
      <c r="C823" s="43"/>
      <c r="D823" s="91"/>
      <c r="J823" s="92"/>
      <c r="K823" s="92"/>
      <c r="L823" s="93"/>
      <c r="M823" s="43"/>
    </row>
    <row r="824">
      <c r="C824" s="43"/>
      <c r="D824" s="91"/>
      <c r="J824" s="92"/>
      <c r="K824" s="92"/>
      <c r="L824" s="93"/>
      <c r="M824" s="43"/>
    </row>
    <row r="825">
      <c r="C825" s="43"/>
      <c r="D825" s="91"/>
      <c r="J825" s="92"/>
      <c r="K825" s="92"/>
      <c r="L825" s="93"/>
      <c r="M825" s="43"/>
    </row>
    <row r="826">
      <c r="C826" s="43"/>
      <c r="D826" s="91"/>
      <c r="J826" s="92"/>
      <c r="K826" s="92"/>
      <c r="L826" s="93"/>
      <c r="M826" s="43"/>
    </row>
    <row r="827">
      <c r="C827" s="43"/>
      <c r="D827" s="91"/>
      <c r="J827" s="92"/>
      <c r="K827" s="92"/>
      <c r="L827" s="93"/>
      <c r="M827" s="43"/>
    </row>
    <row r="828">
      <c r="C828" s="43"/>
      <c r="D828" s="91"/>
      <c r="J828" s="92"/>
      <c r="K828" s="92"/>
      <c r="L828" s="93"/>
      <c r="M828" s="43"/>
    </row>
    <row r="829">
      <c r="C829" s="43"/>
      <c r="D829" s="91"/>
      <c r="J829" s="92"/>
      <c r="K829" s="92"/>
      <c r="L829" s="93"/>
      <c r="M829" s="43"/>
    </row>
    <row r="830">
      <c r="C830" s="43"/>
      <c r="D830" s="91"/>
      <c r="J830" s="92"/>
      <c r="K830" s="92"/>
      <c r="L830" s="93"/>
      <c r="M830" s="43"/>
    </row>
    <row r="831">
      <c r="C831" s="43"/>
      <c r="D831" s="91"/>
      <c r="J831" s="92"/>
      <c r="K831" s="92"/>
      <c r="L831" s="93"/>
      <c r="M831" s="43"/>
    </row>
    <row r="832">
      <c r="C832" s="43"/>
      <c r="D832" s="91"/>
      <c r="J832" s="92"/>
      <c r="K832" s="92"/>
      <c r="L832" s="93"/>
      <c r="M832" s="43"/>
    </row>
    <row r="833">
      <c r="C833" s="43"/>
      <c r="D833" s="91"/>
      <c r="J833" s="92"/>
      <c r="K833" s="92"/>
      <c r="L833" s="93"/>
      <c r="M833" s="43"/>
    </row>
    <row r="834">
      <c r="C834" s="43"/>
      <c r="D834" s="91"/>
      <c r="J834" s="92"/>
      <c r="K834" s="92"/>
      <c r="L834" s="93"/>
      <c r="M834" s="43"/>
    </row>
    <row r="835">
      <c r="C835" s="43"/>
      <c r="D835" s="91"/>
      <c r="J835" s="92"/>
      <c r="K835" s="92"/>
      <c r="L835" s="93"/>
      <c r="M835" s="43"/>
    </row>
    <row r="836">
      <c r="C836" s="43"/>
      <c r="D836" s="91"/>
      <c r="J836" s="92"/>
      <c r="K836" s="92"/>
      <c r="L836" s="93"/>
      <c r="M836" s="43"/>
    </row>
    <row r="837">
      <c r="C837" s="43"/>
      <c r="D837" s="91"/>
      <c r="J837" s="92"/>
      <c r="K837" s="92"/>
      <c r="L837" s="93"/>
      <c r="M837" s="43"/>
    </row>
    <row r="838">
      <c r="C838" s="43"/>
      <c r="D838" s="91"/>
      <c r="J838" s="92"/>
      <c r="K838" s="92"/>
      <c r="L838" s="93"/>
      <c r="M838" s="43"/>
    </row>
    <row r="839">
      <c r="C839" s="43"/>
      <c r="D839" s="91"/>
      <c r="J839" s="92"/>
      <c r="K839" s="92"/>
      <c r="L839" s="93"/>
      <c r="M839" s="43"/>
    </row>
    <row r="840">
      <c r="C840" s="43"/>
      <c r="D840" s="91"/>
      <c r="J840" s="92"/>
      <c r="K840" s="92"/>
      <c r="L840" s="93"/>
      <c r="M840" s="43"/>
    </row>
    <row r="841">
      <c r="C841" s="43"/>
      <c r="D841" s="91"/>
      <c r="J841" s="92"/>
      <c r="K841" s="92"/>
      <c r="L841" s="93"/>
      <c r="M841" s="43"/>
    </row>
    <row r="842">
      <c r="C842" s="43"/>
      <c r="D842" s="91"/>
      <c r="J842" s="92"/>
      <c r="K842" s="92"/>
      <c r="L842" s="93"/>
      <c r="M842" s="43"/>
    </row>
    <row r="843">
      <c r="C843" s="43"/>
      <c r="D843" s="91"/>
      <c r="J843" s="92"/>
      <c r="K843" s="92"/>
      <c r="L843" s="93"/>
      <c r="M843" s="43"/>
    </row>
    <row r="844">
      <c r="C844" s="43"/>
      <c r="D844" s="91"/>
      <c r="J844" s="92"/>
      <c r="K844" s="92"/>
      <c r="L844" s="93"/>
      <c r="M844" s="43"/>
    </row>
    <row r="845">
      <c r="C845" s="43"/>
      <c r="D845" s="91"/>
      <c r="J845" s="92"/>
      <c r="K845" s="92"/>
      <c r="L845" s="93"/>
      <c r="M845" s="43"/>
    </row>
    <row r="846">
      <c r="C846" s="43"/>
      <c r="D846" s="91"/>
      <c r="J846" s="92"/>
      <c r="K846" s="92"/>
      <c r="L846" s="93"/>
      <c r="M846" s="43"/>
    </row>
    <row r="847">
      <c r="C847" s="43"/>
      <c r="D847" s="91"/>
      <c r="J847" s="92"/>
      <c r="K847" s="92"/>
      <c r="L847" s="93"/>
      <c r="M847" s="43"/>
    </row>
    <row r="848">
      <c r="C848" s="43"/>
      <c r="D848" s="91"/>
      <c r="J848" s="92"/>
      <c r="K848" s="92"/>
      <c r="L848" s="93"/>
      <c r="M848" s="43"/>
    </row>
    <row r="849">
      <c r="C849" s="43"/>
      <c r="D849" s="91"/>
      <c r="J849" s="92"/>
      <c r="K849" s="92"/>
      <c r="L849" s="93"/>
      <c r="M849" s="43"/>
    </row>
    <row r="850">
      <c r="C850" s="43"/>
      <c r="D850" s="91"/>
      <c r="J850" s="92"/>
      <c r="K850" s="92"/>
      <c r="L850" s="93"/>
      <c r="M850" s="43"/>
    </row>
    <row r="851">
      <c r="C851" s="43"/>
      <c r="D851" s="91"/>
      <c r="J851" s="92"/>
      <c r="K851" s="92"/>
      <c r="L851" s="93"/>
      <c r="M851" s="43"/>
    </row>
    <row r="852">
      <c r="C852" s="43"/>
      <c r="D852" s="91"/>
      <c r="J852" s="92"/>
      <c r="K852" s="92"/>
      <c r="L852" s="93"/>
      <c r="M852" s="43"/>
    </row>
    <row r="853">
      <c r="C853" s="43"/>
      <c r="D853" s="91"/>
      <c r="J853" s="92"/>
      <c r="K853" s="92"/>
      <c r="L853" s="93"/>
      <c r="M853" s="43"/>
    </row>
    <row r="854">
      <c r="C854" s="43"/>
      <c r="D854" s="91"/>
      <c r="J854" s="92"/>
      <c r="K854" s="92"/>
      <c r="L854" s="93"/>
      <c r="M854" s="43"/>
    </row>
    <row r="855">
      <c r="C855" s="43"/>
      <c r="D855" s="91"/>
      <c r="J855" s="92"/>
      <c r="K855" s="92"/>
      <c r="L855" s="93"/>
      <c r="M855" s="43"/>
    </row>
    <row r="856">
      <c r="C856" s="43"/>
      <c r="D856" s="91"/>
      <c r="J856" s="92"/>
      <c r="K856" s="92"/>
      <c r="L856" s="93"/>
      <c r="M856" s="43"/>
    </row>
    <row r="857">
      <c r="C857" s="43"/>
      <c r="D857" s="91"/>
      <c r="J857" s="92"/>
      <c r="K857" s="92"/>
      <c r="L857" s="93"/>
      <c r="M857" s="43"/>
    </row>
    <row r="858">
      <c r="C858" s="43"/>
      <c r="D858" s="91"/>
      <c r="J858" s="92"/>
      <c r="K858" s="92"/>
      <c r="L858" s="93"/>
      <c r="M858" s="43"/>
    </row>
    <row r="859">
      <c r="C859" s="43"/>
      <c r="D859" s="91"/>
      <c r="J859" s="92"/>
      <c r="K859" s="92"/>
      <c r="L859" s="93"/>
      <c r="M859" s="43"/>
    </row>
    <row r="860">
      <c r="C860" s="43"/>
      <c r="D860" s="91"/>
      <c r="J860" s="92"/>
      <c r="K860" s="92"/>
      <c r="L860" s="93"/>
      <c r="M860" s="43"/>
    </row>
    <row r="861">
      <c r="C861" s="43"/>
      <c r="D861" s="91"/>
      <c r="J861" s="92"/>
      <c r="K861" s="92"/>
      <c r="L861" s="93"/>
      <c r="M861" s="43"/>
    </row>
    <row r="862">
      <c r="C862" s="43"/>
      <c r="D862" s="91"/>
      <c r="J862" s="92"/>
      <c r="K862" s="92"/>
      <c r="L862" s="93"/>
      <c r="M862" s="43"/>
    </row>
    <row r="863">
      <c r="C863" s="43"/>
      <c r="D863" s="91"/>
      <c r="J863" s="92"/>
      <c r="K863" s="92"/>
      <c r="L863" s="93"/>
      <c r="M863" s="43"/>
    </row>
    <row r="864">
      <c r="C864" s="43"/>
      <c r="D864" s="91"/>
      <c r="J864" s="92"/>
      <c r="K864" s="92"/>
      <c r="L864" s="93"/>
      <c r="M864" s="43"/>
    </row>
    <row r="865">
      <c r="C865" s="43"/>
      <c r="D865" s="91"/>
      <c r="J865" s="92"/>
      <c r="K865" s="92"/>
      <c r="L865" s="93"/>
      <c r="M865" s="43"/>
    </row>
    <row r="866">
      <c r="C866" s="43"/>
      <c r="D866" s="91"/>
      <c r="J866" s="92"/>
      <c r="K866" s="92"/>
      <c r="L866" s="93"/>
      <c r="M866" s="43"/>
    </row>
    <row r="867">
      <c r="C867" s="43"/>
      <c r="D867" s="91"/>
      <c r="J867" s="92"/>
      <c r="K867" s="92"/>
      <c r="L867" s="93"/>
      <c r="M867" s="43"/>
    </row>
    <row r="868">
      <c r="C868" s="43"/>
      <c r="D868" s="91"/>
      <c r="J868" s="92"/>
      <c r="K868" s="92"/>
      <c r="L868" s="93"/>
      <c r="M868" s="43"/>
    </row>
    <row r="869">
      <c r="C869" s="43"/>
      <c r="D869" s="91"/>
      <c r="J869" s="92"/>
      <c r="K869" s="92"/>
      <c r="L869" s="93"/>
      <c r="M869" s="43"/>
    </row>
    <row r="870">
      <c r="C870" s="43"/>
      <c r="D870" s="91"/>
      <c r="J870" s="92"/>
      <c r="K870" s="92"/>
      <c r="L870" s="93"/>
      <c r="M870" s="43"/>
    </row>
    <row r="871">
      <c r="C871" s="43"/>
      <c r="D871" s="91"/>
      <c r="J871" s="92"/>
      <c r="K871" s="92"/>
      <c r="L871" s="93"/>
      <c r="M871" s="43"/>
    </row>
    <row r="872">
      <c r="C872" s="43"/>
      <c r="D872" s="91"/>
      <c r="J872" s="92"/>
      <c r="K872" s="92"/>
      <c r="L872" s="93"/>
      <c r="M872" s="43"/>
    </row>
    <row r="873">
      <c r="C873" s="43"/>
      <c r="D873" s="91"/>
      <c r="J873" s="92"/>
      <c r="K873" s="92"/>
      <c r="L873" s="93"/>
      <c r="M873" s="43"/>
    </row>
    <row r="874">
      <c r="C874" s="43"/>
      <c r="D874" s="91"/>
      <c r="J874" s="92"/>
      <c r="K874" s="92"/>
      <c r="L874" s="93"/>
      <c r="M874" s="43"/>
    </row>
    <row r="875">
      <c r="C875" s="43"/>
      <c r="D875" s="91"/>
      <c r="J875" s="92"/>
      <c r="K875" s="92"/>
      <c r="L875" s="93"/>
      <c r="M875" s="43"/>
    </row>
    <row r="876">
      <c r="C876" s="43"/>
      <c r="D876" s="91"/>
      <c r="J876" s="92"/>
      <c r="K876" s="92"/>
      <c r="L876" s="93"/>
      <c r="M876" s="43"/>
    </row>
    <row r="877">
      <c r="C877" s="43"/>
      <c r="D877" s="91"/>
      <c r="J877" s="92"/>
      <c r="K877" s="92"/>
      <c r="L877" s="93"/>
      <c r="M877" s="43"/>
    </row>
    <row r="878">
      <c r="C878" s="43"/>
      <c r="D878" s="91"/>
      <c r="J878" s="92"/>
      <c r="K878" s="92"/>
      <c r="L878" s="93"/>
      <c r="M878" s="43"/>
    </row>
    <row r="879">
      <c r="C879" s="43"/>
      <c r="D879" s="91"/>
      <c r="J879" s="92"/>
      <c r="K879" s="92"/>
      <c r="L879" s="93"/>
      <c r="M879" s="43"/>
    </row>
    <row r="880">
      <c r="C880" s="43"/>
      <c r="D880" s="91"/>
      <c r="J880" s="92"/>
      <c r="K880" s="92"/>
      <c r="L880" s="93"/>
      <c r="M880" s="43"/>
    </row>
    <row r="881">
      <c r="C881" s="43"/>
      <c r="D881" s="91"/>
      <c r="J881" s="92"/>
      <c r="K881" s="92"/>
      <c r="L881" s="93"/>
      <c r="M881" s="43"/>
    </row>
    <row r="882">
      <c r="C882" s="43"/>
      <c r="D882" s="91"/>
      <c r="J882" s="92"/>
      <c r="K882" s="92"/>
      <c r="L882" s="93"/>
      <c r="M882" s="43"/>
    </row>
    <row r="883">
      <c r="C883" s="43"/>
      <c r="D883" s="91"/>
      <c r="J883" s="92"/>
      <c r="K883" s="92"/>
      <c r="L883" s="93"/>
      <c r="M883" s="43"/>
    </row>
    <row r="884">
      <c r="C884" s="43"/>
      <c r="D884" s="91"/>
      <c r="J884" s="92"/>
      <c r="K884" s="92"/>
      <c r="L884" s="93"/>
      <c r="M884" s="43"/>
    </row>
    <row r="885">
      <c r="C885" s="43"/>
      <c r="D885" s="91"/>
      <c r="J885" s="92"/>
      <c r="K885" s="92"/>
      <c r="L885" s="93"/>
      <c r="M885" s="43"/>
    </row>
    <row r="886">
      <c r="C886" s="43"/>
      <c r="D886" s="91"/>
      <c r="J886" s="92"/>
      <c r="K886" s="92"/>
      <c r="L886" s="93"/>
      <c r="M886" s="43"/>
    </row>
    <row r="887">
      <c r="C887" s="43"/>
      <c r="D887" s="91"/>
      <c r="J887" s="92"/>
      <c r="K887" s="92"/>
      <c r="L887" s="93"/>
      <c r="M887" s="43"/>
    </row>
    <row r="888">
      <c r="C888" s="43"/>
      <c r="D888" s="91"/>
      <c r="J888" s="92"/>
      <c r="K888" s="92"/>
      <c r="L888" s="93"/>
      <c r="M888" s="43"/>
    </row>
    <row r="889">
      <c r="C889" s="43"/>
      <c r="D889" s="91"/>
      <c r="J889" s="92"/>
      <c r="K889" s="92"/>
      <c r="L889" s="93"/>
      <c r="M889" s="43"/>
    </row>
    <row r="890">
      <c r="C890" s="43"/>
      <c r="D890" s="91"/>
      <c r="J890" s="92"/>
      <c r="K890" s="92"/>
      <c r="L890" s="93"/>
      <c r="M890" s="43"/>
    </row>
    <row r="891">
      <c r="C891" s="43"/>
      <c r="D891" s="91"/>
      <c r="J891" s="92"/>
      <c r="K891" s="92"/>
      <c r="L891" s="93"/>
      <c r="M891" s="43"/>
    </row>
    <row r="892">
      <c r="C892" s="43"/>
      <c r="D892" s="91"/>
      <c r="J892" s="92"/>
      <c r="K892" s="92"/>
      <c r="L892" s="93"/>
      <c r="M892" s="43"/>
    </row>
    <row r="893">
      <c r="C893" s="43"/>
      <c r="D893" s="91"/>
      <c r="J893" s="92"/>
      <c r="K893" s="92"/>
      <c r="L893" s="93"/>
      <c r="M893" s="43"/>
    </row>
    <row r="894">
      <c r="C894" s="43"/>
      <c r="D894" s="91"/>
      <c r="J894" s="92"/>
      <c r="K894" s="92"/>
      <c r="L894" s="93"/>
      <c r="M894" s="43"/>
    </row>
    <row r="895">
      <c r="C895" s="43"/>
      <c r="D895" s="91"/>
      <c r="J895" s="92"/>
      <c r="K895" s="92"/>
      <c r="L895" s="93"/>
      <c r="M895" s="43"/>
    </row>
    <row r="896">
      <c r="C896" s="43"/>
      <c r="D896" s="91"/>
      <c r="J896" s="92"/>
      <c r="K896" s="92"/>
      <c r="L896" s="93"/>
      <c r="M896" s="43"/>
    </row>
    <row r="897">
      <c r="C897" s="43"/>
      <c r="D897" s="91"/>
      <c r="J897" s="92"/>
      <c r="K897" s="92"/>
      <c r="L897" s="93"/>
      <c r="M897" s="43"/>
    </row>
    <row r="898">
      <c r="C898" s="43"/>
      <c r="D898" s="91"/>
      <c r="J898" s="92"/>
      <c r="K898" s="92"/>
      <c r="L898" s="93"/>
      <c r="M898" s="43"/>
    </row>
    <row r="899">
      <c r="C899" s="43"/>
      <c r="D899" s="91"/>
      <c r="J899" s="92"/>
      <c r="K899" s="92"/>
      <c r="L899" s="93"/>
      <c r="M899" s="43"/>
    </row>
    <row r="900">
      <c r="C900" s="43"/>
      <c r="D900" s="91"/>
      <c r="J900" s="92"/>
      <c r="K900" s="92"/>
      <c r="L900" s="93"/>
      <c r="M900" s="43"/>
    </row>
    <row r="901">
      <c r="C901" s="43"/>
      <c r="D901" s="91"/>
      <c r="J901" s="92"/>
      <c r="K901" s="92"/>
      <c r="L901" s="93"/>
      <c r="M901" s="43"/>
    </row>
    <row r="902">
      <c r="C902" s="43"/>
      <c r="D902" s="91"/>
      <c r="J902" s="92"/>
      <c r="K902" s="92"/>
      <c r="L902" s="93"/>
      <c r="M902" s="43"/>
    </row>
    <row r="903">
      <c r="C903" s="43"/>
      <c r="D903" s="91"/>
      <c r="J903" s="92"/>
      <c r="K903" s="92"/>
      <c r="L903" s="93"/>
      <c r="M903" s="43"/>
    </row>
    <row r="904">
      <c r="C904" s="43"/>
      <c r="D904" s="91"/>
      <c r="J904" s="92"/>
      <c r="K904" s="92"/>
      <c r="L904" s="93"/>
      <c r="M904" s="43"/>
    </row>
    <row r="905">
      <c r="C905" s="43"/>
      <c r="D905" s="91"/>
      <c r="J905" s="92"/>
      <c r="K905" s="92"/>
      <c r="L905" s="93"/>
      <c r="M905" s="43"/>
    </row>
    <row r="906">
      <c r="C906" s="43"/>
      <c r="D906" s="91"/>
      <c r="J906" s="92"/>
      <c r="K906" s="92"/>
      <c r="L906" s="93"/>
      <c r="M906" s="43"/>
    </row>
    <row r="907">
      <c r="C907" s="43"/>
      <c r="D907" s="91"/>
      <c r="J907" s="92"/>
      <c r="K907" s="92"/>
      <c r="L907" s="93"/>
      <c r="M907" s="43"/>
    </row>
    <row r="908">
      <c r="C908" s="43"/>
      <c r="D908" s="91"/>
      <c r="J908" s="92"/>
      <c r="K908" s="92"/>
      <c r="L908" s="93"/>
      <c r="M908" s="43"/>
    </row>
    <row r="909">
      <c r="C909" s="43"/>
      <c r="D909" s="91"/>
      <c r="J909" s="92"/>
      <c r="K909" s="92"/>
      <c r="L909" s="93"/>
      <c r="M909" s="43"/>
    </row>
    <row r="910">
      <c r="C910" s="43"/>
      <c r="D910" s="91"/>
      <c r="J910" s="92"/>
      <c r="K910" s="92"/>
      <c r="L910" s="93"/>
      <c r="M910" s="43"/>
    </row>
    <row r="911">
      <c r="C911" s="43"/>
      <c r="D911" s="91"/>
      <c r="J911" s="92"/>
      <c r="K911" s="92"/>
      <c r="L911" s="93"/>
      <c r="M911" s="43"/>
    </row>
    <row r="912">
      <c r="C912" s="43"/>
      <c r="D912" s="91"/>
      <c r="J912" s="92"/>
      <c r="K912" s="92"/>
      <c r="L912" s="93"/>
      <c r="M912" s="43"/>
    </row>
    <row r="913">
      <c r="C913" s="43"/>
      <c r="D913" s="91"/>
      <c r="J913" s="92"/>
      <c r="K913" s="92"/>
      <c r="L913" s="93"/>
      <c r="M913" s="43"/>
    </row>
    <row r="914">
      <c r="C914" s="43"/>
      <c r="D914" s="91"/>
      <c r="J914" s="92"/>
      <c r="K914" s="92"/>
      <c r="L914" s="93"/>
      <c r="M914" s="43"/>
    </row>
    <row r="915">
      <c r="C915" s="43"/>
      <c r="D915" s="91"/>
      <c r="J915" s="92"/>
      <c r="K915" s="92"/>
      <c r="L915" s="93"/>
      <c r="M915" s="43"/>
    </row>
    <row r="916">
      <c r="C916" s="43"/>
      <c r="D916" s="91"/>
      <c r="J916" s="92"/>
      <c r="K916" s="92"/>
      <c r="L916" s="93"/>
      <c r="M916" s="43"/>
    </row>
    <row r="917">
      <c r="C917" s="43"/>
      <c r="D917" s="91"/>
      <c r="J917" s="92"/>
      <c r="K917" s="92"/>
      <c r="L917" s="93"/>
      <c r="M917" s="43"/>
    </row>
    <row r="918">
      <c r="C918" s="43"/>
      <c r="D918" s="91"/>
      <c r="J918" s="92"/>
      <c r="K918" s="92"/>
      <c r="L918" s="93"/>
      <c r="M918" s="43"/>
    </row>
    <row r="919">
      <c r="C919" s="43"/>
      <c r="D919" s="91"/>
      <c r="J919" s="92"/>
      <c r="K919" s="92"/>
      <c r="L919" s="93"/>
      <c r="M919" s="43"/>
    </row>
    <row r="920">
      <c r="C920" s="43"/>
      <c r="D920" s="91"/>
      <c r="J920" s="92"/>
      <c r="K920" s="92"/>
      <c r="L920" s="93"/>
      <c r="M920" s="43"/>
    </row>
    <row r="921">
      <c r="C921" s="43"/>
      <c r="D921" s="91"/>
      <c r="J921" s="92"/>
      <c r="K921" s="92"/>
      <c r="L921" s="93"/>
      <c r="M921" s="43"/>
    </row>
    <row r="922">
      <c r="C922" s="43"/>
      <c r="D922" s="91"/>
      <c r="J922" s="92"/>
      <c r="K922" s="92"/>
      <c r="L922" s="93"/>
      <c r="M922" s="43"/>
    </row>
    <row r="923">
      <c r="C923" s="43"/>
      <c r="D923" s="91"/>
      <c r="J923" s="92"/>
      <c r="K923" s="92"/>
      <c r="L923" s="93"/>
      <c r="M923" s="43"/>
    </row>
    <row r="924">
      <c r="C924" s="43"/>
      <c r="D924" s="91"/>
      <c r="J924" s="92"/>
      <c r="K924" s="92"/>
      <c r="L924" s="93"/>
      <c r="M924" s="43"/>
    </row>
    <row r="925">
      <c r="C925" s="43"/>
      <c r="D925" s="91"/>
      <c r="J925" s="92"/>
      <c r="K925" s="92"/>
      <c r="L925" s="93"/>
      <c r="M925" s="43"/>
    </row>
    <row r="926">
      <c r="C926" s="43"/>
      <c r="D926" s="91"/>
      <c r="J926" s="92"/>
      <c r="K926" s="92"/>
      <c r="L926" s="93"/>
      <c r="M926" s="43"/>
    </row>
    <row r="927">
      <c r="C927" s="43"/>
      <c r="D927" s="91"/>
      <c r="J927" s="92"/>
      <c r="K927" s="92"/>
      <c r="L927" s="93"/>
      <c r="M927" s="43"/>
    </row>
    <row r="928">
      <c r="C928" s="43"/>
      <c r="D928" s="91"/>
      <c r="J928" s="92"/>
      <c r="K928" s="92"/>
      <c r="L928" s="93"/>
      <c r="M928" s="43"/>
    </row>
    <row r="929">
      <c r="C929" s="43"/>
      <c r="D929" s="91"/>
      <c r="J929" s="92"/>
      <c r="K929" s="92"/>
      <c r="L929" s="93"/>
      <c r="M929" s="43"/>
    </row>
    <row r="930">
      <c r="C930" s="43"/>
      <c r="D930" s="91"/>
      <c r="J930" s="92"/>
      <c r="K930" s="92"/>
      <c r="L930" s="93"/>
      <c r="M930" s="43"/>
    </row>
    <row r="931">
      <c r="C931" s="43"/>
      <c r="D931" s="91"/>
      <c r="J931" s="92"/>
      <c r="K931" s="92"/>
      <c r="L931" s="93"/>
      <c r="M931" s="43"/>
    </row>
    <row r="932">
      <c r="C932" s="43"/>
      <c r="D932" s="91"/>
      <c r="J932" s="92"/>
      <c r="K932" s="92"/>
      <c r="L932" s="93"/>
      <c r="M932" s="43"/>
    </row>
    <row r="933">
      <c r="C933" s="43"/>
      <c r="D933" s="91"/>
      <c r="J933" s="92"/>
      <c r="K933" s="92"/>
      <c r="L933" s="93"/>
      <c r="M933" s="43"/>
    </row>
    <row r="934">
      <c r="C934" s="43"/>
      <c r="D934" s="91"/>
      <c r="J934" s="92"/>
      <c r="K934" s="92"/>
      <c r="L934" s="93"/>
      <c r="M934" s="43"/>
    </row>
    <row r="935">
      <c r="C935" s="43"/>
      <c r="D935" s="91"/>
      <c r="J935" s="92"/>
      <c r="K935" s="92"/>
      <c r="L935" s="93"/>
      <c r="M935" s="43"/>
    </row>
    <row r="936">
      <c r="C936" s="43"/>
      <c r="D936" s="91"/>
      <c r="J936" s="92"/>
      <c r="K936" s="92"/>
      <c r="L936" s="93"/>
      <c r="M936" s="43"/>
    </row>
    <row r="937">
      <c r="C937" s="43"/>
      <c r="D937" s="91"/>
      <c r="J937" s="92"/>
      <c r="K937" s="92"/>
      <c r="L937" s="93"/>
      <c r="M937" s="43"/>
    </row>
    <row r="938">
      <c r="C938" s="43"/>
      <c r="D938" s="91"/>
      <c r="J938" s="92"/>
      <c r="K938" s="92"/>
      <c r="L938" s="93"/>
      <c r="M938" s="43"/>
    </row>
    <row r="939">
      <c r="C939" s="43"/>
      <c r="D939" s="91"/>
      <c r="J939" s="92"/>
      <c r="K939" s="92"/>
      <c r="L939" s="93"/>
      <c r="M939" s="43"/>
    </row>
    <row r="940">
      <c r="C940" s="43"/>
      <c r="D940" s="91"/>
      <c r="J940" s="92"/>
      <c r="K940" s="92"/>
      <c r="L940" s="93"/>
      <c r="M940" s="43"/>
    </row>
    <row r="941">
      <c r="C941" s="43"/>
      <c r="D941" s="91"/>
      <c r="J941" s="92"/>
      <c r="K941" s="92"/>
      <c r="L941" s="93"/>
      <c r="M941" s="43"/>
    </row>
    <row r="942">
      <c r="C942" s="43"/>
      <c r="D942" s="91"/>
      <c r="J942" s="92"/>
      <c r="K942" s="92"/>
      <c r="L942" s="93"/>
      <c r="M942" s="43"/>
    </row>
    <row r="943">
      <c r="C943" s="43"/>
      <c r="D943" s="91"/>
      <c r="J943" s="92"/>
      <c r="K943" s="92"/>
      <c r="L943" s="93"/>
      <c r="M943" s="43"/>
    </row>
    <row r="944">
      <c r="C944" s="43"/>
      <c r="D944" s="91"/>
      <c r="J944" s="92"/>
      <c r="K944" s="92"/>
      <c r="L944" s="93"/>
      <c r="M944" s="43"/>
    </row>
    <row r="945">
      <c r="C945" s="43"/>
      <c r="D945" s="91"/>
      <c r="J945" s="92"/>
      <c r="K945" s="92"/>
      <c r="L945" s="93"/>
      <c r="M945" s="43"/>
    </row>
    <row r="946">
      <c r="C946" s="43"/>
      <c r="D946" s="91"/>
      <c r="J946" s="92"/>
      <c r="K946" s="92"/>
      <c r="L946" s="93"/>
      <c r="M946" s="43"/>
    </row>
    <row r="947">
      <c r="C947" s="43"/>
      <c r="D947" s="91"/>
      <c r="J947" s="92"/>
      <c r="K947" s="92"/>
      <c r="L947" s="93"/>
      <c r="M947" s="43"/>
    </row>
    <row r="948">
      <c r="C948" s="43"/>
      <c r="D948" s="91"/>
      <c r="J948" s="92"/>
      <c r="K948" s="92"/>
      <c r="L948" s="93"/>
      <c r="M948" s="43"/>
    </row>
    <row r="949">
      <c r="C949" s="43"/>
      <c r="D949" s="91"/>
      <c r="J949" s="92"/>
      <c r="K949" s="92"/>
      <c r="L949" s="93"/>
      <c r="M949" s="43"/>
    </row>
    <row r="950">
      <c r="C950" s="43"/>
      <c r="D950" s="91"/>
      <c r="J950" s="92"/>
      <c r="K950" s="92"/>
      <c r="L950" s="93"/>
      <c r="M950" s="43"/>
    </row>
    <row r="951">
      <c r="C951" s="43"/>
      <c r="D951" s="91"/>
      <c r="J951" s="92"/>
      <c r="K951" s="92"/>
      <c r="L951" s="93"/>
      <c r="M951" s="43"/>
    </row>
    <row r="952">
      <c r="C952" s="43"/>
      <c r="D952" s="91"/>
      <c r="J952" s="92"/>
      <c r="K952" s="92"/>
      <c r="L952" s="93"/>
      <c r="M952" s="43"/>
    </row>
    <row r="953">
      <c r="C953" s="43"/>
      <c r="D953" s="91"/>
      <c r="J953" s="92"/>
      <c r="K953" s="92"/>
      <c r="L953" s="93"/>
      <c r="M953" s="43"/>
    </row>
    <row r="954">
      <c r="C954" s="43"/>
      <c r="D954" s="91"/>
      <c r="J954" s="92"/>
      <c r="K954" s="92"/>
      <c r="L954" s="93"/>
      <c r="M954" s="43"/>
    </row>
    <row r="955">
      <c r="C955" s="43"/>
      <c r="D955" s="91"/>
      <c r="J955" s="92"/>
      <c r="K955" s="92"/>
      <c r="L955" s="93"/>
      <c r="M955" s="43"/>
    </row>
    <row r="956">
      <c r="C956" s="43"/>
      <c r="D956" s="91"/>
      <c r="J956" s="92"/>
      <c r="K956" s="92"/>
      <c r="L956" s="93"/>
      <c r="M956" s="43"/>
    </row>
    <row r="957">
      <c r="C957" s="43"/>
      <c r="D957" s="91"/>
      <c r="J957" s="92"/>
      <c r="K957" s="92"/>
      <c r="L957" s="93"/>
      <c r="M957" s="43"/>
    </row>
    <row r="958">
      <c r="C958" s="43"/>
      <c r="D958" s="91"/>
      <c r="J958" s="92"/>
      <c r="K958" s="92"/>
      <c r="L958" s="93"/>
      <c r="M958" s="43"/>
    </row>
    <row r="959">
      <c r="C959" s="43"/>
      <c r="D959" s="91"/>
      <c r="J959" s="92"/>
      <c r="K959" s="92"/>
      <c r="L959" s="93"/>
      <c r="M959" s="43"/>
    </row>
    <row r="960">
      <c r="C960" s="43"/>
      <c r="D960" s="91"/>
      <c r="J960" s="92"/>
      <c r="K960" s="92"/>
      <c r="L960" s="93"/>
      <c r="M960" s="43"/>
    </row>
    <row r="961">
      <c r="C961" s="43"/>
      <c r="D961" s="91"/>
      <c r="J961" s="92"/>
      <c r="K961" s="92"/>
      <c r="L961" s="93"/>
      <c r="M961" s="43"/>
    </row>
    <row r="962">
      <c r="C962" s="43"/>
      <c r="D962" s="91"/>
      <c r="J962" s="92"/>
      <c r="K962" s="92"/>
      <c r="L962" s="93"/>
      <c r="M962" s="43"/>
    </row>
    <row r="963">
      <c r="C963" s="43"/>
      <c r="D963" s="91"/>
      <c r="J963" s="92"/>
      <c r="K963" s="92"/>
      <c r="L963" s="93"/>
      <c r="M963" s="43"/>
    </row>
    <row r="964">
      <c r="C964" s="43"/>
      <c r="D964" s="91"/>
      <c r="J964" s="92"/>
      <c r="K964" s="92"/>
      <c r="L964" s="93"/>
      <c r="M964" s="43"/>
    </row>
    <row r="965">
      <c r="C965" s="43"/>
      <c r="D965" s="91"/>
      <c r="J965" s="92"/>
      <c r="K965" s="92"/>
      <c r="L965" s="93"/>
      <c r="M965" s="43"/>
    </row>
    <row r="966">
      <c r="C966" s="43"/>
      <c r="D966" s="91"/>
      <c r="J966" s="92"/>
      <c r="K966" s="92"/>
      <c r="L966" s="93"/>
      <c r="M966" s="43"/>
    </row>
    <row r="967">
      <c r="C967" s="43"/>
      <c r="D967" s="91"/>
      <c r="J967" s="92"/>
      <c r="K967" s="92"/>
      <c r="L967" s="93"/>
      <c r="M967" s="43"/>
    </row>
    <row r="968">
      <c r="C968" s="43"/>
      <c r="D968" s="91"/>
      <c r="J968" s="92"/>
      <c r="K968" s="92"/>
      <c r="L968" s="93"/>
      <c r="M968" s="43"/>
    </row>
    <row r="969">
      <c r="C969" s="43"/>
      <c r="D969" s="91"/>
      <c r="J969" s="92"/>
      <c r="K969" s="92"/>
      <c r="L969" s="93"/>
      <c r="M969" s="43"/>
    </row>
    <row r="970">
      <c r="C970" s="43"/>
      <c r="D970" s="91"/>
      <c r="J970" s="92"/>
      <c r="K970" s="92"/>
      <c r="L970" s="93"/>
      <c r="M970" s="43"/>
    </row>
    <row r="971">
      <c r="C971" s="43"/>
      <c r="D971" s="91"/>
      <c r="J971" s="92"/>
      <c r="K971" s="92"/>
      <c r="L971" s="93"/>
      <c r="M971" s="43"/>
    </row>
    <row r="972">
      <c r="C972" s="43"/>
      <c r="D972" s="91"/>
      <c r="J972" s="92"/>
      <c r="K972" s="92"/>
      <c r="L972" s="93"/>
      <c r="M972" s="43"/>
    </row>
    <row r="973">
      <c r="C973" s="43"/>
      <c r="D973" s="91"/>
      <c r="J973" s="92"/>
      <c r="K973" s="92"/>
      <c r="L973" s="93"/>
      <c r="M973" s="43"/>
    </row>
    <row r="974">
      <c r="C974" s="43"/>
      <c r="D974" s="91"/>
      <c r="J974" s="92"/>
      <c r="K974" s="92"/>
      <c r="L974" s="93"/>
      <c r="M974" s="43"/>
    </row>
    <row r="975">
      <c r="C975" s="43"/>
      <c r="D975" s="91"/>
      <c r="J975" s="92"/>
      <c r="K975" s="92"/>
      <c r="L975" s="93"/>
      <c r="M975" s="43"/>
    </row>
    <row r="976">
      <c r="C976" s="43"/>
      <c r="D976" s="91"/>
      <c r="J976" s="92"/>
      <c r="K976" s="92"/>
      <c r="L976" s="93"/>
      <c r="M976" s="43"/>
    </row>
    <row r="977">
      <c r="C977" s="43"/>
      <c r="D977" s="91"/>
      <c r="J977" s="92"/>
      <c r="K977" s="92"/>
      <c r="L977" s="93"/>
      <c r="M977" s="43"/>
    </row>
    <row r="978">
      <c r="C978" s="43"/>
      <c r="D978" s="91"/>
      <c r="J978" s="92"/>
      <c r="K978" s="92"/>
      <c r="L978" s="93"/>
      <c r="M978" s="43"/>
    </row>
    <row r="979">
      <c r="C979" s="43"/>
      <c r="D979" s="91"/>
      <c r="J979" s="92"/>
      <c r="K979" s="92"/>
      <c r="L979" s="93"/>
      <c r="M979" s="43"/>
    </row>
    <row r="980">
      <c r="C980" s="43"/>
      <c r="D980" s="91"/>
      <c r="J980" s="92"/>
      <c r="K980" s="92"/>
      <c r="L980" s="93"/>
      <c r="M980" s="43"/>
    </row>
    <row r="981">
      <c r="C981" s="43"/>
      <c r="D981" s="91"/>
      <c r="J981" s="92"/>
      <c r="K981" s="92"/>
      <c r="L981" s="93"/>
      <c r="M981" s="43"/>
    </row>
    <row r="982">
      <c r="C982" s="43"/>
      <c r="D982" s="91"/>
      <c r="J982" s="92"/>
      <c r="K982" s="92"/>
      <c r="L982" s="93"/>
      <c r="M982" s="43"/>
    </row>
    <row r="983">
      <c r="C983" s="43"/>
      <c r="D983" s="91"/>
      <c r="J983" s="92"/>
      <c r="K983" s="92"/>
      <c r="L983" s="93"/>
      <c r="M983" s="43"/>
    </row>
    <row r="984">
      <c r="C984" s="43"/>
      <c r="D984" s="91"/>
      <c r="J984" s="92"/>
      <c r="K984" s="92"/>
      <c r="L984" s="93"/>
      <c r="M984" s="43"/>
    </row>
    <row r="985">
      <c r="C985" s="43"/>
      <c r="D985" s="91"/>
      <c r="J985" s="92"/>
      <c r="K985" s="92"/>
      <c r="L985" s="93"/>
      <c r="M985" s="43"/>
    </row>
    <row r="986">
      <c r="C986" s="43"/>
      <c r="D986" s="91"/>
      <c r="J986" s="92"/>
      <c r="K986" s="92"/>
      <c r="L986" s="93"/>
      <c r="M986" s="43"/>
    </row>
    <row r="987">
      <c r="C987" s="43"/>
      <c r="D987" s="91"/>
      <c r="J987" s="92"/>
      <c r="K987" s="92"/>
      <c r="L987" s="93"/>
      <c r="M987" s="43"/>
    </row>
    <row r="988">
      <c r="C988" s="43"/>
      <c r="D988" s="91"/>
      <c r="J988" s="92"/>
      <c r="K988" s="92"/>
      <c r="L988" s="93"/>
      <c r="M988" s="43"/>
    </row>
    <row r="989">
      <c r="C989" s="43"/>
      <c r="D989" s="91"/>
      <c r="J989" s="92"/>
      <c r="K989" s="92"/>
      <c r="L989" s="93"/>
      <c r="M989" s="43"/>
    </row>
    <row r="990">
      <c r="C990" s="43"/>
      <c r="D990" s="91"/>
      <c r="J990" s="92"/>
      <c r="K990" s="92"/>
      <c r="L990" s="93"/>
      <c r="M990" s="43"/>
    </row>
    <row r="991">
      <c r="C991" s="43"/>
      <c r="D991" s="91"/>
      <c r="J991" s="92"/>
      <c r="K991" s="92"/>
      <c r="L991" s="93"/>
      <c r="M991" s="43"/>
    </row>
    <row r="992">
      <c r="C992" s="43"/>
      <c r="D992" s="91"/>
      <c r="J992" s="92"/>
      <c r="K992" s="92"/>
      <c r="L992" s="93"/>
      <c r="M992" s="43"/>
    </row>
    <row r="993">
      <c r="C993" s="43"/>
      <c r="D993" s="91"/>
      <c r="J993" s="92"/>
      <c r="K993" s="92"/>
      <c r="L993" s="93"/>
      <c r="M993" s="43"/>
    </row>
    <row r="994">
      <c r="C994" s="43"/>
      <c r="D994" s="91"/>
      <c r="J994" s="92"/>
      <c r="K994" s="92"/>
      <c r="L994" s="93"/>
      <c r="M994" s="43"/>
    </row>
    <row r="995">
      <c r="C995" s="43"/>
      <c r="D995" s="91"/>
      <c r="J995" s="92"/>
      <c r="K995" s="92"/>
      <c r="L995" s="93"/>
      <c r="M995" s="43"/>
    </row>
    <row r="996">
      <c r="C996" s="43"/>
      <c r="D996" s="91"/>
      <c r="J996" s="92"/>
      <c r="K996" s="92"/>
      <c r="L996" s="93"/>
      <c r="M996" s="43"/>
    </row>
    <row r="997">
      <c r="C997" s="43"/>
      <c r="D997" s="91"/>
      <c r="J997" s="92"/>
      <c r="K997" s="92"/>
      <c r="L997" s="93"/>
      <c r="M997" s="43"/>
    </row>
    <row r="998">
      <c r="C998" s="43"/>
      <c r="D998" s="91"/>
      <c r="J998" s="92"/>
      <c r="K998" s="92"/>
      <c r="L998" s="93"/>
      <c r="M998" s="43"/>
    </row>
    <row r="999">
      <c r="C999" s="43"/>
      <c r="D999" s="91"/>
      <c r="J999" s="92"/>
      <c r="K999" s="92"/>
      <c r="L999" s="93"/>
      <c r="M999" s="43"/>
    </row>
    <row r="1000">
      <c r="C1000" s="43"/>
      <c r="D1000" s="91"/>
      <c r="J1000" s="92"/>
      <c r="K1000" s="92"/>
      <c r="L1000" s="93"/>
      <c r="M1000" s="43"/>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0" customHeight="1">
      <c r="A1" s="36" t="s">
        <v>32</v>
      </c>
      <c r="B1" s="36" t="s">
        <v>33</v>
      </c>
      <c r="C1" s="98" t="s">
        <v>401</v>
      </c>
      <c r="D1" s="98" t="s">
        <v>402</v>
      </c>
    </row>
    <row r="2">
      <c r="A2" s="45">
        <v>10101.0</v>
      </c>
      <c r="B2" s="45" t="s">
        <v>47</v>
      </c>
      <c r="C2" s="48">
        <v>8.846410146951692</v>
      </c>
      <c r="D2" s="48">
        <v>7.9714552386145305</v>
      </c>
    </row>
    <row r="3">
      <c r="A3" s="45">
        <v>10102.0</v>
      </c>
      <c r="B3" s="45" t="s">
        <v>50</v>
      </c>
      <c r="C3" s="48">
        <v>8.29471072849771</v>
      </c>
      <c r="D3" s="48">
        <v>5.415857993623452</v>
      </c>
    </row>
    <row r="4">
      <c r="A4" s="45">
        <v>10103.0</v>
      </c>
      <c r="B4" s="45" t="s">
        <v>53</v>
      </c>
      <c r="C4" s="48">
        <v>8.29471072849771</v>
      </c>
      <c r="D4" s="48">
        <v>5.415857993623452</v>
      </c>
    </row>
    <row r="5">
      <c r="A5" s="45">
        <v>10201.0</v>
      </c>
      <c r="B5" s="45" t="s">
        <v>56</v>
      </c>
      <c r="C5" s="48">
        <v>8.29471072849771</v>
      </c>
      <c r="D5" s="48">
        <v>5.415857993623452</v>
      </c>
    </row>
    <row r="6">
      <c r="A6" s="45">
        <v>10202.0</v>
      </c>
      <c r="B6" s="45" t="s">
        <v>58</v>
      </c>
      <c r="C6" s="48">
        <v>8.29471072849771</v>
      </c>
      <c r="D6" s="48">
        <v>5.415857993623452</v>
      </c>
    </row>
    <row r="7">
      <c r="A7" s="45">
        <v>10301.0</v>
      </c>
      <c r="B7" s="45" t="s">
        <v>60</v>
      </c>
      <c r="C7" s="48">
        <v>8.436732360971012</v>
      </c>
      <c r="D7" s="48">
        <v>6.381428104486605</v>
      </c>
    </row>
    <row r="8">
      <c r="A8" s="45">
        <v>10302.0</v>
      </c>
      <c r="B8" s="45" t="s">
        <v>62</v>
      </c>
      <c r="C8" s="48">
        <v>8.385750236493415</v>
      </c>
      <c r="D8" s="48">
        <v>5.916523977033975</v>
      </c>
    </row>
    <row r="9">
      <c r="A9" s="45">
        <v>10303.0</v>
      </c>
      <c r="B9" s="45" t="s">
        <v>64</v>
      </c>
      <c r="C9" s="48">
        <v>8.29471072849771</v>
      </c>
      <c r="D9" s="48">
        <v>6.1723587927327594</v>
      </c>
    </row>
    <row r="10">
      <c r="A10" s="45">
        <v>10304.0</v>
      </c>
      <c r="B10" s="45" t="s">
        <v>65</v>
      </c>
      <c r="C10" s="48">
        <v>8.29471072849771</v>
      </c>
      <c r="D10" s="48">
        <v>5.415857993623452</v>
      </c>
    </row>
    <row r="11">
      <c r="A11" s="45">
        <v>10401.0</v>
      </c>
      <c r="B11" s="45" t="s">
        <v>66</v>
      </c>
      <c r="C11" s="48">
        <v>8.465865003529638</v>
      </c>
      <c r="D11" s="48">
        <v>6.648266568172432</v>
      </c>
    </row>
    <row r="12">
      <c r="A12" s="45">
        <v>10402.0</v>
      </c>
      <c r="B12" s="45" t="s">
        <v>68</v>
      </c>
      <c r="C12" s="48">
        <v>8.29471072849771</v>
      </c>
      <c r="D12" s="48">
        <v>6.012805896920614</v>
      </c>
    </row>
    <row r="13">
      <c r="A13" s="45">
        <v>10403.0</v>
      </c>
      <c r="B13" s="45" t="s">
        <v>70</v>
      </c>
      <c r="C13" s="48">
        <v>8.407599718412387</v>
      </c>
      <c r="D13" s="48">
        <v>5.481879881545718</v>
      </c>
    </row>
    <row r="14">
      <c r="A14" s="45">
        <v>10404.0</v>
      </c>
      <c r="B14" s="45" t="s">
        <v>71</v>
      </c>
      <c r="C14" s="48">
        <v>8.29471072849771</v>
      </c>
      <c r="D14" s="48">
        <v>5.415857993623452</v>
      </c>
    </row>
    <row r="15">
      <c r="A15" s="45">
        <v>10405.0</v>
      </c>
      <c r="B15" s="45" t="s">
        <v>72</v>
      </c>
      <c r="C15" s="48">
        <v>8.29471072849771</v>
      </c>
      <c r="D15" s="48">
        <v>5.415857993623452</v>
      </c>
    </row>
    <row r="16">
      <c r="A16" s="45">
        <v>10501.0</v>
      </c>
      <c r="B16" s="45" t="s">
        <v>73</v>
      </c>
      <c r="C16" s="48">
        <v>8.537482749819594</v>
      </c>
      <c r="D16" s="48">
        <v>6.865588615916561</v>
      </c>
    </row>
    <row r="17">
      <c r="A17" s="45">
        <v>10502.0</v>
      </c>
      <c r="B17" s="45" t="s">
        <v>74</v>
      </c>
      <c r="C17" s="48">
        <v>8.29471072849771</v>
      </c>
      <c r="D17" s="48">
        <v>5.415857993623452</v>
      </c>
    </row>
    <row r="18">
      <c r="A18" s="45">
        <v>10601.0</v>
      </c>
      <c r="B18" s="45" t="s">
        <v>75</v>
      </c>
      <c r="C18" s="48">
        <v>8.38999874686655</v>
      </c>
      <c r="D18" s="48">
        <v>6.021058632910898</v>
      </c>
    </row>
    <row r="19">
      <c r="A19" s="45">
        <v>10602.0</v>
      </c>
      <c r="B19" s="45" t="s">
        <v>76</v>
      </c>
      <c r="C19" s="48">
        <v>8.29471072849771</v>
      </c>
      <c r="D19" s="48">
        <v>5.415857993623452</v>
      </c>
    </row>
    <row r="20">
      <c r="A20" s="45">
        <v>10701.0</v>
      </c>
      <c r="B20" s="45" t="s">
        <v>77</v>
      </c>
      <c r="C20" s="48">
        <v>8.493783785981654</v>
      </c>
      <c r="D20" s="48">
        <v>6.4171899604444995</v>
      </c>
    </row>
    <row r="21">
      <c r="A21" s="45">
        <v>10702.0</v>
      </c>
      <c r="B21" s="45" t="s">
        <v>78</v>
      </c>
      <c r="C21" s="48">
        <v>8.29471072849771</v>
      </c>
      <c r="D21" s="48">
        <v>5.68269645730928</v>
      </c>
    </row>
    <row r="22">
      <c r="A22" s="45">
        <v>10703.0</v>
      </c>
      <c r="B22" s="45" t="s">
        <v>79</v>
      </c>
      <c r="C22" s="48">
        <v>8.29471072849771</v>
      </c>
      <c r="D22" s="48">
        <v>5.878011209079319</v>
      </c>
    </row>
    <row r="23">
      <c r="A23" s="45">
        <v>10704.0</v>
      </c>
      <c r="B23" s="45" t="s">
        <v>80</v>
      </c>
      <c r="C23" s="48">
        <v>8.362686894467839</v>
      </c>
      <c r="D23" s="48">
        <v>5.924776713024259</v>
      </c>
    </row>
    <row r="24">
      <c r="A24" s="45">
        <v>10801.0</v>
      </c>
      <c r="B24" s="45" t="s">
        <v>81</v>
      </c>
      <c r="C24" s="48">
        <v>8.459795702996592</v>
      </c>
      <c r="D24" s="48">
        <v>6.444699080412111</v>
      </c>
    </row>
    <row r="25">
      <c r="A25" s="45">
        <v>10901.0</v>
      </c>
      <c r="B25" s="45" t="s">
        <v>82</v>
      </c>
      <c r="C25" s="48">
        <v>8.29471072849771</v>
      </c>
      <c r="D25" s="48">
        <v>6.524475528318182</v>
      </c>
    </row>
    <row r="26">
      <c r="A26" s="45">
        <v>10902.0</v>
      </c>
      <c r="B26" s="45" t="s">
        <v>83</v>
      </c>
      <c r="C26" s="48">
        <v>8.380894796066979</v>
      </c>
      <c r="D26" s="48">
        <v>6.0293113689011815</v>
      </c>
    </row>
    <row r="27">
      <c r="A27" s="45">
        <v>10903.0</v>
      </c>
      <c r="B27" s="45" t="s">
        <v>84</v>
      </c>
      <c r="C27" s="48">
        <v>8.29471072849771</v>
      </c>
      <c r="D27" s="48">
        <v>5.415857993623452</v>
      </c>
    </row>
    <row r="28">
      <c r="A28" s="45">
        <v>11001.0</v>
      </c>
      <c r="B28" s="45" t="s">
        <v>85</v>
      </c>
      <c r="C28" s="48">
        <v>8.470720443956077</v>
      </c>
      <c r="D28" s="48">
        <v>6.483211848366765</v>
      </c>
    </row>
    <row r="29">
      <c r="A29" s="45">
        <v>11002.0</v>
      </c>
      <c r="B29" s="45" t="s">
        <v>86</v>
      </c>
      <c r="C29" s="48">
        <v>8.29471072849771</v>
      </c>
      <c r="D29" s="48">
        <v>5.415857993623452</v>
      </c>
    </row>
    <row r="30">
      <c r="A30" s="45">
        <v>11003.0</v>
      </c>
      <c r="B30" s="45" t="s">
        <v>87</v>
      </c>
      <c r="C30" s="48">
        <v>8.29471072849771</v>
      </c>
      <c r="D30" s="48">
        <v>5.415857993623452</v>
      </c>
    </row>
    <row r="31">
      <c r="A31" s="45">
        <v>20101.0</v>
      </c>
      <c r="B31" s="45" t="s">
        <v>88</v>
      </c>
      <c r="C31" s="48">
        <v>8.396420337601398</v>
      </c>
      <c r="D31" s="48">
        <v>11.716506447563251</v>
      </c>
    </row>
    <row r="32">
      <c r="A32" s="45">
        <v>20102.0</v>
      </c>
      <c r="B32" s="45" t="s">
        <v>89</v>
      </c>
      <c r="C32" s="48">
        <v>7.828207063890694</v>
      </c>
      <c r="D32" s="48">
        <v>7.796154480317751</v>
      </c>
    </row>
    <row r="33">
      <c r="A33" s="45">
        <v>20103.0</v>
      </c>
      <c r="B33" s="45" t="s">
        <v>90</v>
      </c>
      <c r="C33" s="48">
        <v>7.828207063890694</v>
      </c>
      <c r="D33" s="48">
        <v>7.796154480317751</v>
      </c>
    </row>
    <row r="34">
      <c r="A34" s="45">
        <v>20104.0</v>
      </c>
      <c r="B34" s="45" t="s">
        <v>91</v>
      </c>
      <c r="C34" s="48">
        <v>8.275560457810107</v>
      </c>
      <c r="D34" s="48">
        <v>11.205672706376713</v>
      </c>
    </row>
    <row r="35">
      <c r="A35" s="45">
        <v>20105.0</v>
      </c>
      <c r="B35" s="45" t="s">
        <v>92</v>
      </c>
      <c r="C35" s="48">
        <v>8.399284315795503</v>
      </c>
      <c r="D35" s="48">
        <v>11.752146010901845</v>
      </c>
    </row>
    <row r="36">
      <c r="A36" s="45">
        <v>20201.0</v>
      </c>
      <c r="B36" s="45" t="s">
        <v>93</v>
      </c>
      <c r="C36" s="48">
        <v>7.935892643989093</v>
      </c>
      <c r="D36" s="48">
        <v>8.584184825248917</v>
      </c>
    </row>
    <row r="37">
      <c r="A37" s="45">
        <v>20202.0</v>
      </c>
      <c r="B37" s="45" t="s">
        <v>94</v>
      </c>
      <c r="C37" s="48">
        <v>7.828207063890694</v>
      </c>
      <c r="D37" s="48">
        <v>7.796154480317751</v>
      </c>
    </row>
    <row r="38">
      <c r="A38" s="45">
        <v>20203.0</v>
      </c>
      <c r="B38" s="45" t="s">
        <v>95</v>
      </c>
      <c r="C38" s="48">
        <v>7.828207063890694</v>
      </c>
      <c r="D38" s="48">
        <v>7.796154480317751</v>
      </c>
    </row>
    <row r="39">
      <c r="A39" s="45">
        <v>20204.0</v>
      </c>
      <c r="B39" s="45" t="s">
        <v>96</v>
      </c>
      <c r="C39" s="48">
        <v>7.828207063890694</v>
      </c>
      <c r="D39" s="48">
        <v>7.796154480317751</v>
      </c>
    </row>
    <row r="40">
      <c r="A40" s="45">
        <v>20205.0</v>
      </c>
      <c r="B40" s="45" t="s">
        <v>97</v>
      </c>
      <c r="C40" s="48">
        <v>7.828207063890694</v>
      </c>
      <c r="D40" s="48">
        <v>7.796154480317751</v>
      </c>
    </row>
    <row r="41">
      <c r="A41" s="45">
        <v>20206.0</v>
      </c>
      <c r="B41" s="45" t="s">
        <v>98</v>
      </c>
      <c r="C41" s="48">
        <v>7.828207063890694</v>
      </c>
      <c r="D41" s="48">
        <v>7.796154480317751</v>
      </c>
    </row>
    <row r="42">
      <c r="A42" s="45">
        <v>20301.0</v>
      </c>
      <c r="B42" s="45" t="s">
        <v>99</v>
      </c>
      <c r="C42" s="48">
        <v>7.828207063890694</v>
      </c>
      <c r="D42" s="48">
        <v>8.441626571894535</v>
      </c>
    </row>
    <row r="43">
      <c r="A43" s="45">
        <v>20302.0</v>
      </c>
      <c r="B43" s="45" t="s">
        <v>100</v>
      </c>
      <c r="C43" s="48">
        <v>7.828207063890694</v>
      </c>
      <c r="D43" s="48">
        <v>7.796154480317751</v>
      </c>
    </row>
    <row r="44">
      <c r="A44" s="45">
        <v>20303.0</v>
      </c>
      <c r="B44" s="45" t="s">
        <v>101</v>
      </c>
      <c r="C44" s="48">
        <v>7.828207063890694</v>
      </c>
      <c r="D44" s="48">
        <v>7.796154480317751</v>
      </c>
    </row>
    <row r="45">
      <c r="A45" s="45">
        <v>20304.0</v>
      </c>
      <c r="B45" s="45" t="s">
        <v>102</v>
      </c>
      <c r="C45" s="48">
        <v>7.828207063890694</v>
      </c>
      <c r="D45" s="48">
        <v>7.796154480317751</v>
      </c>
    </row>
    <row r="46">
      <c r="A46" s="45">
        <v>20305.0</v>
      </c>
      <c r="B46" s="45" t="s">
        <v>103</v>
      </c>
      <c r="C46" s="48">
        <v>7.828207063890694</v>
      </c>
      <c r="D46" s="48">
        <v>7.796154480317751</v>
      </c>
    </row>
    <row r="47">
      <c r="A47" s="45">
        <v>20306.0</v>
      </c>
      <c r="B47" s="45" t="s">
        <v>104</v>
      </c>
      <c r="C47" s="48">
        <v>7.974269951790119</v>
      </c>
      <c r="D47" s="48">
        <v>9.05541905161479</v>
      </c>
    </row>
    <row r="48">
      <c r="A48" s="45">
        <v>20307.0</v>
      </c>
      <c r="B48" s="45" t="s">
        <v>105</v>
      </c>
      <c r="C48" s="48">
        <v>7.828207063890694</v>
      </c>
      <c r="D48" s="48">
        <v>7.796154480317751</v>
      </c>
    </row>
    <row r="49">
      <c r="A49" s="45">
        <v>20308.0</v>
      </c>
      <c r="B49" s="45" t="s">
        <v>106</v>
      </c>
      <c r="C49" s="48">
        <v>7.828207063890694</v>
      </c>
      <c r="D49" s="48">
        <v>7.796154480317751</v>
      </c>
    </row>
    <row r="50">
      <c r="A50" s="45">
        <v>20401.0</v>
      </c>
      <c r="B50" s="45" t="s">
        <v>107</v>
      </c>
      <c r="C50" s="48">
        <v>7.828207063890694</v>
      </c>
      <c r="D50" s="48">
        <v>7.796154480317751</v>
      </c>
    </row>
    <row r="51">
      <c r="A51" s="45">
        <v>20402.0</v>
      </c>
      <c r="B51" s="45" t="s">
        <v>108</v>
      </c>
      <c r="C51" s="48">
        <v>7.828207063890694</v>
      </c>
      <c r="D51" s="48">
        <v>7.796154480317751</v>
      </c>
    </row>
    <row r="52">
      <c r="A52" s="45">
        <v>20403.0</v>
      </c>
      <c r="B52" s="45" t="s">
        <v>109</v>
      </c>
      <c r="C52" s="48">
        <v>7.828207063890694</v>
      </c>
      <c r="D52" s="48">
        <v>7.796154480317751</v>
      </c>
    </row>
    <row r="53">
      <c r="A53" s="45">
        <v>20404.0</v>
      </c>
      <c r="B53" s="45" t="s">
        <v>110</v>
      </c>
      <c r="C53" s="48">
        <v>7.828207063890694</v>
      </c>
      <c r="D53" s="48">
        <v>7.796154480317751</v>
      </c>
    </row>
    <row r="54">
      <c r="A54" s="45">
        <v>20405.0</v>
      </c>
      <c r="B54" s="45" t="s">
        <v>111</v>
      </c>
      <c r="C54" s="48">
        <v>7.828207063890694</v>
      </c>
      <c r="D54" s="48">
        <v>7.796154480317751</v>
      </c>
    </row>
    <row r="55">
      <c r="A55" s="45">
        <v>20501.0</v>
      </c>
      <c r="B55" s="45" t="s">
        <v>112</v>
      </c>
      <c r="C55" s="48">
        <v>7.828207063890694</v>
      </c>
      <c r="D55" s="48">
        <v>7.796154480317751</v>
      </c>
    </row>
    <row r="56">
      <c r="A56" s="45">
        <v>20502.0</v>
      </c>
      <c r="B56" s="45" t="s">
        <v>113</v>
      </c>
      <c r="C56" s="48">
        <v>7.828207063890694</v>
      </c>
      <c r="D56" s="48">
        <v>7.796154480317751</v>
      </c>
    </row>
    <row r="57">
      <c r="A57" s="45">
        <v>20503.0</v>
      </c>
      <c r="B57" s="45" t="s">
        <v>114</v>
      </c>
      <c r="C57" s="48">
        <v>7.828207063890694</v>
      </c>
      <c r="D57" s="48">
        <v>7.796154480317751</v>
      </c>
    </row>
    <row r="58">
      <c r="A58" s="45">
        <v>20601.0</v>
      </c>
      <c r="B58" s="45" t="s">
        <v>115</v>
      </c>
      <c r="C58" s="48">
        <v>7.895796949271604</v>
      </c>
      <c r="D58" s="48">
        <v>8.310948172986352</v>
      </c>
    </row>
    <row r="59">
      <c r="A59" s="45">
        <v>20602.0</v>
      </c>
      <c r="B59" s="45" t="s">
        <v>116</v>
      </c>
      <c r="C59" s="48">
        <v>8.00119134681472</v>
      </c>
      <c r="D59" s="48">
        <v>8.897020992332143</v>
      </c>
    </row>
    <row r="60">
      <c r="A60" s="45">
        <v>20603.0</v>
      </c>
      <c r="B60" s="45" t="s">
        <v>117</v>
      </c>
      <c r="C60" s="48">
        <v>7.828207063890694</v>
      </c>
      <c r="D60" s="48">
        <v>7.796154480317751</v>
      </c>
    </row>
    <row r="61">
      <c r="A61" s="45">
        <v>20604.0</v>
      </c>
      <c r="B61" s="45" t="s">
        <v>118</v>
      </c>
      <c r="C61" s="48">
        <v>7.828207063890694</v>
      </c>
      <c r="D61" s="48">
        <v>7.796154480317751</v>
      </c>
    </row>
    <row r="62">
      <c r="A62" s="45">
        <v>20605.0</v>
      </c>
      <c r="B62" s="45" t="s">
        <v>119</v>
      </c>
      <c r="C62" s="48">
        <v>7.828207063890694</v>
      </c>
      <c r="D62" s="48">
        <v>7.796154480317751</v>
      </c>
    </row>
    <row r="63">
      <c r="A63" s="45">
        <v>20606.0</v>
      </c>
      <c r="B63" s="45" t="s">
        <v>120</v>
      </c>
      <c r="C63" s="48">
        <v>7.975415543067762</v>
      </c>
      <c r="D63" s="48">
        <v>8.9841399249376</v>
      </c>
    </row>
    <row r="64">
      <c r="A64" s="45">
        <v>20607.0</v>
      </c>
      <c r="B64" s="45" t="s">
        <v>121</v>
      </c>
      <c r="C64" s="48">
        <v>8.041287041532208</v>
      </c>
      <c r="D64" s="48">
        <v>9.657331676888846</v>
      </c>
    </row>
    <row r="65">
      <c r="A65" s="45">
        <v>20608.0</v>
      </c>
      <c r="B65" s="45" t="s">
        <v>122</v>
      </c>
      <c r="C65" s="48">
        <v>7.828207063890694</v>
      </c>
      <c r="D65" s="48">
        <v>8.600024631177183</v>
      </c>
    </row>
    <row r="66">
      <c r="A66" s="45">
        <v>20701.0</v>
      </c>
      <c r="B66" s="45" t="s">
        <v>123</v>
      </c>
      <c r="C66" s="48">
        <v>7.975988338706583</v>
      </c>
      <c r="D66" s="48">
        <v>8.972260070491402</v>
      </c>
    </row>
    <row r="67">
      <c r="A67" s="45">
        <v>20702.0</v>
      </c>
      <c r="B67" s="45" t="s">
        <v>124</v>
      </c>
      <c r="C67" s="48">
        <v>7.828207063890694</v>
      </c>
      <c r="D67" s="48">
        <v>7.796154480317751</v>
      </c>
    </row>
    <row r="68">
      <c r="A68" s="45">
        <v>20801.0</v>
      </c>
      <c r="B68" s="45" t="s">
        <v>125</v>
      </c>
      <c r="C68" s="48">
        <v>8.242911106397298</v>
      </c>
      <c r="D68" s="48">
        <v>10.968075617452746</v>
      </c>
    </row>
    <row r="69">
      <c r="A69" s="45">
        <v>20802.0</v>
      </c>
      <c r="B69" s="45" t="s">
        <v>126</v>
      </c>
      <c r="C69" s="48">
        <v>7.828207063890694</v>
      </c>
      <c r="D69" s="48">
        <v>7.796154480317751</v>
      </c>
    </row>
    <row r="70">
      <c r="A70" s="45">
        <v>20803.0</v>
      </c>
      <c r="B70" s="45" t="s">
        <v>127</v>
      </c>
      <c r="C70" s="48">
        <v>7.88892340160575</v>
      </c>
      <c r="D70" s="48">
        <v>7.851593801066678</v>
      </c>
    </row>
    <row r="71">
      <c r="A71" s="45">
        <v>20804.0</v>
      </c>
      <c r="B71" s="45" t="s">
        <v>128</v>
      </c>
      <c r="C71" s="48">
        <v>8.132934343743612</v>
      </c>
      <c r="D71" s="48">
        <v>10.243404496234637</v>
      </c>
    </row>
    <row r="72">
      <c r="A72" s="45">
        <v>20805.0</v>
      </c>
      <c r="B72" s="45" t="s">
        <v>129</v>
      </c>
      <c r="C72" s="48">
        <v>7.828207063890694</v>
      </c>
      <c r="D72" s="48">
        <v>7.796154480317751</v>
      </c>
    </row>
    <row r="73">
      <c r="A73" s="45">
        <v>20806.0</v>
      </c>
      <c r="B73" s="45" t="s">
        <v>130</v>
      </c>
      <c r="C73" s="48">
        <v>7.828207063890694</v>
      </c>
      <c r="D73" s="48">
        <v>7.796154480317751</v>
      </c>
    </row>
    <row r="74">
      <c r="A74" s="45">
        <v>20807.0</v>
      </c>
      <c r="B74" s="45" t="s">
        <v>131</v>
      </c>
      <c r="C74" s="48">
        <v>7.828207063890694</v>
      </c>
      <c r="D74" s="48">
        <v>7.796154480317751</v>
      </c>
    </row>
    <row r="75">
      <c r="A75" s="45">
        <v>20901.0</v>
      </c>
      <c r="B75" s="45" t="s">
        <v>132</v>
      </c>
      <c r="C75" s="48">
        <v>7.828207063890694</v>
      </c>
      <c r="D75" s="48">
        <v>7.796154480317751</v>
      </c>
    </row>
    <row r="76">
      <c r="A76" s="45">
        <v>20902.0</v>
      </c>
      <c r="B76" s="45" t="s">
        <v>133</v>
      </c>
      <c r="C76" s="48">
        <v>7.828207063890694</v>
      </c>
      <c r="D76" s="48">
        <v>7.796154480317751</v>
      </c>
    </row>
    <row r="77">
      <c r="A77" s="45">
        <v>20903.0</v>
      </c>
      <c r="B77" s="45" t="s">
        <v>134</v>
      </c>
      <c r="C77" s="48">
        <v>7.828207063890694</v>
      </c>
      <c r="D77" s="48">
        <v>8.449546474858666</v>
      </c>
    </row>
    <row r="78">
      <c r="A78" s="45">
        <v>20904.0</v>
      </c>
      <c r="B78" s="45" t="s">
        <v>135</v>
      </c>
      <c r="C78" s="48">
        <v>7.828207063890694</v>
      </c>
      <c r="D78" s="48">
        <v>7.796154480317751</v>
      </c>
    </row>
    <row r="79">
      <c r="A79" s="45">
        <v>20905.0</v>
      </c>
      <c r="B79" s="45" t="s">
        <v>136</v>
      </c>
      <c r="C79" s="48">
        <v>7.828207063890694</v>
      </c>
      <c r="D79" s="48">
        <v>7.796154480317751</v>
      </c>
    </row>
    <row r="80">
      <c r="A80" s="45">
        <v>21001.0</v>
      </c>
      <c r="B80" s="45" t="s">
        <v>137</v>
      </c>
      <c r="C80" s="48">
        <v>7.828207063890694</v>
      </c>
      <c r="D80" s="48">
        <v>7.796154480317751</v>
      </c>
    </row>
    <row r="81">
      <c r="A81" s="45">
        <v>21002.0</v>
      </c>
      <c r="B81" s="45" t="s">
        <v>138</v>
      </c>
      <c r="C81" s="48">
        <v>8.035559085143996</v>
      </c>
      <c r="D81" s="48">
        <v>9.411814685000744</v>
      </c>
    </row>
    <row r="82">
      <c r="A82" s="45">
        <v>21003.0</v>
      </c>
      <c r="B82" s="45" t="s">
        <v>139</v>
      </c>
      <c r="C82" s="48">
        <v>7.828207063890694</v>
      </c>
      <c r="D82" s="48">
        <v>8.291148415576021</v>
      </c>
    </row>
    <row r="83">
      <c r="A83" s="45">
        <v>21004.0</v>
      </c>
      <c r="B83" s="45" t="s">
        <v>140</v>
      </c>
      <c r="C83" s="48">
        <v>7.984580273288902</v>
      </c>
      <c r="D83" s="48">
        <v>8.916820749742474</v>
      </c>
    </row>
    <row r="84">
      <c r="A84" s="45">
        <v>21005.0</v>
      </c>
      <c r="B84" s="45" t="s">
        <v>141</v>
      </c>
      <c r="C84" s="48">
        <v>7.828207063890694</v>
      </c>
      <c r="D84" s="48">
        <v>8.584184825248917</v>
      </c>
    </row>
    <row r="85">
      <c r="A85" s="45">
        <v>21006.0</v>
      </c>
      <c r="B85" s="45" t="s">
        <v>142</v>
      </c>
      <c r="C85" s="48">
        <v>7.983434682011261</v>
      </c>
      <c r="D85" s="48">
        <v>9.562292841319259</v>
      </c>
    </row>
    <row r="86">
      <c r="A86" s="45">
        <v>21101.0</v>
      </c>
      <c r="B86" s="45" t="s">
        <v>143</v>
      </c>
      <c r="C86" s="48">
        <v>7.913553614075063</v>
      </c>
      <c r="D86" s="48">
        <v>8.350547687807014</v>
      </c>
    </row>
    <row r="87">
      <c r="A87" s="45">
        <v>21102.0</v>
      </c>
      <c r="B87" s="45" t="s">
        <v>144</v>
      </c>
      <c r="C87" s="48">
        <v>7.828207063890694</v>
      </c>
      <c r="D87" s="48">
        <v>8.223829240380898</v>
      </c>
    </row>
    <row r="88">
      <c r="A88" s="45">
        <v>21103.0</v>
      </c>
      <c r="B88" s="45" t="s">
        <v>145</v>
      </c>
      <c r="C88" s="48">
        <v>7.828207063890694</v>
      </c>
      <c r="D88" s="48">
        <v>7.796154480317751</v>
      </c>
    </row>
    <row r="89">
      <c r="A89" s="45">
        <v>21104.0</v>
      </c>
      <c r="B89" s="45" t="s">
        <v>146</v>
      </c>
      <c r="C89" s="48">
        <v>7.945630169849056</v>
      </c>
      <c r="D89" s="48">
        <v>8.889101089368012</v>
      </c>
    </row>
    <row r="90">
      <c r="A90" s="45">
        <v>21105.0</v>
      </c>
      <c r="B90" s="45" t="s">
        <v>147</v>
      </c>
      <c r="C90" s="48">
        <v>7.849973298165904</v>
      </c>
      <c r="D90" s="48">
        <v>8.045631423687919</v>
      </c>
    </row>
    <row r="91">
      <c r="A91" s="45">
        <v>21201.0</v>
      </c>
      <c r="B91" s="45" t="s">
        <v>148</v>
      </c>
      <c r="C91" s="48">
        <v>7.828207063890694</v>
      </c>
      <c r="D91" s="48">
        <v>8.952460313081069</v>
      </c>
    </row>
    <row r="92">
      <c r="A92" s="45">
        <v>21202.0</v>
      </c>
      <c r="B92" s="45" t="s">
        <v>149</v>
      </c>
      <c r="C92" s="48">
        <v>7.828207063890694</v>
      </c>
      <c r="D92" s="48">
        <v>8.821781914172886</v>
      </c>
    </row>
    <row r="93">
      <c r="A93" s="45">
        <v>21203.0</v>
      </c>
      <c r="B93" s="45" t="s">
        <v>150</v>
      </c>
      <c r="C93" s="48">
        <v>7.87574910191286</v>
      </c>
      <c r="D93" s="48">
        <v>8.346587736324947</v>
      </c>
    </row>
    <row r="94">
      <c r="A94" s="45">
        <v>21204.0</v>
      </c>
      <c r="B94" s="45" t="s">
        <v>151</v>
      </c>
      <c r="C94" s="48">
        <v>7.828207063890694</v>
      </c>
      <c r="D94" s="48">
        <v>7.796154480317751</v>
      </c>
    </row>
    <row r="95">
      <c r="A95" s="45">
        <v>21301.0</v>
      </c>
      <c r="B95" s="45" t="s">
        <v>152</v>
      </c>
      <c r="C95" s="48">
        <v>8.010356077035862</v>
      </c>
      <c r="D95" s="48">
        <v>8.948500361599004</v>
      </c>
    </row>
    <row r="96">
      <c r="A96" s="45">
        <v>21302.0</v>
      </c>
      <c r="B96" s="45" t="s">
        <v>153</v>
      </c>
      <c r="C96" s="48">
        <v>7.828207063890694</v>
      </c>
      <c r="D96" s="48">
        <v>7.796154480317751</v>
      </c>
    </row>
    <row r="97">
      <c r="A97" s="45">
        <v>21303.0</v>
      </c>
      <c r="B97" s="45" t="s">
        <v>154</v>
      </c>
      <c r="C97" s="48">
        <v>7.828207063890694</v>
      </c>
      <c r="D97" s="48">
        <v>7.796154480317751</v>
      </c>
    </row>
    <row r="98">
      <c r="A98" s="45">
        <v>21304.0</v>
      </c>
      <c r="B98" s="45" t="s">
        <v>155</v>
      </c>
      <c r="C98" s="48">
        <v>7.828207063890694</v>
      </c>
      <c r="D98" s="48">
        <v>7.796154480317751</v>
      </c>
    </row>
    <row r="99">
      <c r="A99" s="45">
        <v>21305.0</v>
      </c>
      <c r="B99" s="45" t="s">
        <v>156</v>
      </c>
      <c r="C99" s="48">
        <v>8.095129831581406</v>
      </c>
      <c r="D99" s="48">
        <v>9.898888717294883</v>
      </c>
    </row>
    <row r="100">
      <c r="A100" s="45">
        <v>21306.0</v>
      </c>
      <c r="B100" s="45" t="s">
        <v>157</v>
      </c>
      <c r="C100" s="48">
        <v>8.002909733731181</v>
      </c>
      <c r="D100" s="48">
        <v>10.069166631023725</v>
      </c>
    </row>
    <row r="101">
      <c r="A101" s="45">
        <v>21307.0</v>
      </c>
      <c r="B101" s="45" t="s">
        <v>158</v>
      </c>
      <c r="C101" s="48">
        <v>8.033840698227532</v>
      </c>
      <c r="D101" s="48">
        <v>10.413682409963481</v>
      </c>
    </row>
    <row r="102">
      <c r="A102" s="45">
        <v>21401.0</v>
      </c>
      <c r="B102" s="45" t="s">
        <v>159</v>
      </c>
      <c r="C102" s="48">
        <v>7.909544044603315</v>
      </c>
      <c r="D102" s="48">
        <v>8.196109580006434</v>
      </c>
    </row>
    <row r="103">
      <c r="A103" s="45">
        <v>21402.0</v>
      </c>
      <c r="B103" s="45" t="s">
        <v>160</v>
      </c>
      <c r="C103" s="48">
        <v>7.868302758608184</v>
      </c>
      <c r="D103" s="48">
        <v>8.27134865816569</v>
      </c>
    </row>
    <row r="104">
      <c r="A104" s="45">
        <v>21501.0</v>
      </c>
      <c r="B104" s="45" t="s">
        <v>161</v>
      </c>
      <c r="C104" s="48">
        <v>7.9851530689277235</v>
      </c>
      <c r="D104" s="48">
        <v>9.316775849431156</v>
      </c>
    </row>
    <row r="105">
      <c r="A105" s="45">
        <v>21502.0</v>
      </c>
      <c r="B105" s="45" t="s">
        <v>162</v>
      </c>
      <c r="C105" s="48">
        <v>8.048733384836883</v>
      </c>
      <c r="D105" s="48">
        <v>9.51873337501653</v>
      </c>
    </row>
    <row r="106">
      <c r="A106" s="45">
        <v>21601.0</v>
      </c>
      <c r="B106" s="45" t="s">
        <v>163</v>
      </c>
      <c r="C106" s="48">
        <v>7.920999957379743</v>
      </c>
      <c r="D106" s="48">
        <v>8.516865650053791</v>
      </c>
    </row>
    <row r="107">
      <c r="A107" s="45">
        <v>21602.0</v>
      </c>
      <c r="B107" s="45" t="s">
        <v>164</v>
      </c>
      <c r="C107" s="48">
        <v>7.828207063890694</v>
      </c>
      <c r="D107" s="48">
        <v>7.796154480317751</v>
      </c>
    </row>
    <row r="108">
      <c r="A108" s="45">
        <v>21701.0</v>
      </c>
      <c r="B108" s="45" t="s">
        <v>165</v>
      </c>
      <c r="C108" s="48">
        <v>8.027539946200497</v>
      </c>
      <c r="D108" s="48">
        <v>9.186097450522974</v>
      </c>
    </row>
    <row r="109">
      <c r="A109" s="45">
        <v>21702.0</v>
      </c>
      <c r="B109" s="45" t="s">
        <v>166</v>
      </c>
      <c r="C109" s="48">
        <v>7.828207063890694</v>
      </c>
      <c r="D109" s="48">
        <v>7.796154480317751</v>
      </c>
    </row>
    <row r="110">
      <c r="A110" s="45">
        <v>21703.0</v>
      </c>
      <c r="B110" s="45" t="s">
        <v>167</v>
      </c>
      <c r="C110" s="48">
        <v>8.029258333116962</v>
      </c>
      <c r="D110" s="48">
        <v>9.732570755048103</v>
      </c>
    </row>
    <row r="111">
      <c r="A111" s="45">
        <v>21801.0</v>
      </c>
      <c r="B111" s="45" t="s">
        <v>168</v>
      </c>
      <c r="C111" s="48">
        <v>7.828207063890694</v>
      </c>
      <c r="D111" s="48">
        <v>7.796154480317751</v>
      </c>
    </row>
    <row r="112">
      <c r="A112" s="45">
        <v>21802.0</v>
      </c>
      <c r="B112" s="45" t="s">
        <v>169</v>
      </c>
      <c r="C112" s="48">
        <v>7.828207063890694</v>
      </c>
      <c r="D112" s="48">
        <v>7.796154480317751</v>
      </c>
    </row>
    <row r="113">
      <c r="A113" s="45">
        <v>21803.0</v>
      </c>
      <c r="B113" s="45" t="s">
        <v>170</v>
      </c>
      <c r="C113" s="48">
        <v>7.828207063890694</v>
      </c>
      <c r="D113" s="48">
        <v>7.796154480317751</v>
      </c>
    </row>
    <row r="114">
      <c r="A114" s="45">
        <v>21901.0</v>
      </c>
      <c r="B114" s="45" t="s">
        <v>171</v>
      </c>
      <c r="C114" s="48">
        <v>7.828207063890694</v>
      </c>
      <c r="D114" s="48">
        <v>7.796154480317751</v>
      </c>
    </row>
    <row r="115">
      <c r="A115" s="45">
        <v>21902.0</v>
      </c>
      <c r="B115" s="45" t="s">
        <v>172</v>
      </c>
      <c r="C115" s="48">
        <v>7.828207063890694</v>
      </c>
      <c r="D115" s="48">
        <v>7.796154480317751</v>
      </c>
    </row>
    <row r="116">
      <c r="A116" s="45">
        <v>22001.0</v>
      </c>
      <c r="B116" s="45" t="s">
        <v>173</v>
      </c>
      <c r="C116" s="48">
        <v>7.982861886372439</v>
      </c>
      <c r="D116" s="48">
        <v>9.150457887184377</v>
      </c>
    </row>
    <row r="117">
      <c r="A117" s="45">
        <v>22002.0</v>
      </c>
      <c r="B117" s="45" t="s">
        <v>174</v>
      </c>
      <c r="C117" s="48">
        <v>7.828207063890694</v>
      </c>
      <c r="D117" s="48">
        <v>7.796154480317751</v>
      </c>
    </row>
    <row r="118">
      <c r="A118" s="45">
        <v>30101.0</v>
      </c>
      <c r="B118" s="45" t="s">
        <v>55</v>
      </c>
      <c r="C118" s="48">
        <v>8.093648945295676</v>
      </c>
      <c r="D118" s="48">
        <v>6.925995458381834</v>
      </c>
    </row>
    <row r="119">
      <c r="A119" s="45">
        <v>30201.0</v>
      </c>
      <c r="B119" s="45" t="s">
        <v>175</v>
      </c>
      <c r="C119" s="48">
        <v>7.716742429638611</v>
      </c>
      <c r="D119" s="48">
        <v>5.477223018919056</v>
      </c>
    </row>
    <row r="120">
      <c r="A120" s="45">
        <v>30202.0</v>
      </c>
      <c r="B120" s="45" t="s">
        <v>176</v>
      </c>
      <c r="C120" s="48">
        <v>7.702394597417404</v>
      </c>
      <c r="D120" s="48">
        <v>5.617201032393721</v>
      </c>
    </row>
    <row r="121">
      <c r="A121" s="45">
        <v>30203.0</v>
      </c>
      <c r="B121" s="45" t="s">
        <v>177</v>
      </c>
      <c r="C121" s="48">
        <v>7.54180924448006</v>
      </c>
      <c r="D121" s="48">
        <v>4.593028567137426</v>
      </c>
    </row>
    <row r="122">
      <c r="A122" s="45">
        <v>30301.0</v>
      </c>
      <c r="B122" s="45" t="s">
        <v>178</v>
      </c>
      <c r="C122" s="48">
        <v>7.556708916402082</v>
      </c>
      <c r="D122" s="48">
        <v>4.593028567137426</v>
      </c>
    </row>
    <row r="123">
      <c r="A123" s="45">
        <v>30302.0</v>
      </c>
      <c r="B123" s="45" t="s">
        <v>179</v>
      </c>
      <c r="C123" s="48">
        <v>7.54180924448006</v>
      </c>
      <c r="D123" s="48">
        <v>4.593028567137426</v>
      </c>
    </row>
    <row r="124">
      <c r="A124" s="45">
        <v>30303.0</v>
      </c>
      <c r="B124" s="45" t="s">
        <v>180</v>
      </c>
      <c r="C124" s="48">
        <v>7.54180924448006</v>
      </c>
      <c r="D124" s="48">
        <v>4.593028567137426</v>
      </c>
    </row>
    <row r="125">
      <c r="A125" s="45">
        <v>30401.0</v>
      </c>
      <c r="B125" s="45" t="s">
        <v>181</v>
      </c>
      <c r="C125" s="48">
        <v>7.78627423194138</v>
      </c>
      <c r="D125" s="48">
        <v>5.544879058765145</v>
      </c>
    </row>
    <row r="126">
      <c r="A126" s="45">
        <v>30402.0</v>
      </c>
      <c r="B126" s="45" t="s">
        <v>182</v>
      </c>
      <c r="C126" s="48">
        <v>7.54180924448006</v>
      </c>
      <c r="D126" s="48">
        <v>4.593028567137426</v>
      </c>
    </row>
    <row r="127">
      <c r="A127" s="45">
        <v>30403.0</v>
      </c>
      <c r="B127" s="45" t="s">
        <v>183</v>
      </c>
      <c r="C127" s="48">
        <v>7.61354840558609</v>
      </c>
      <c r="D127" s="48">
        <v>6.10945704644629</v>
      </c>
    </row>
    <row r="128">
      <c r="A128" s="45">
        <v>30404.0</v>
      </c>
      <c r="B128" s="45" t="s">
        <v>184</v>
      </c>
      <c r="C128" s="48">
        <v>7.54180924448006</v>
      </c>
      <c r="D128" s="48">
        <v>4.593028567137426</v>
      </c>
    </row>
    <row r="129">
      <c r="A129" s="45">
        <v>30501.0</v>
      </c>
      <c r="B129" s="45" t="s">
        <v>185</v>
      </c>
      <c r="C129" s="48">
        <v>7.733849460363895</v>
      </c>
      <c r="D129" s="48">
        <v>5.477223018919056</v>
      </c>
    </row>
    <row r="130">
      <c r="A130" s="45">
        <v>30502.0</v>
      </c>
      <c r="B130" s="45" t="s">
        <v>186</v>
      </c>
      <c r="C130" s="48">
        <v>7.54180924448006</v>
      </c>
      <c r="D130" s="48">
        <v>4.593028567137426</v>
      </c>
    </row>
    <row r="131">
      <c r="A131" s="45">
        <v>30601.0</v>
      </c>
      <c r="B131" s="45" t="s">
        <v>187</v>
      </c>
      <c r="C131" s="48">
        <v>7.54180924448006</v>
      </c>
      <c r="D131" s="48">
        <v>4.593028567137426</v>
      </c>
    </row>
    <row r="132">
      <c r="A132" s="45">
        <v>30602.0</v>
      </c>
      <c r="B132" s="45" t="s">
        <v>188</v>
      </c>
      <c r="C132" s="48">
        <v>7.54180924448006</v>
      </c>
      <c r="D132" s="48">
        <v>4.593028567137426</v>
      </c>
    </row>
    <row r="133">
      <c r="A133" s="45">
        <v>30701.0</v>
      </c>
      <c r="B133" s="45" t="s">
        <v>189</v>
      </c>
      <c r="C133" s="48">
        <v>7.796759186256875</v>
      </c>
      <c r="D133" s="48">
        <v>5.6591944364361195</v>
      </c>
    </row>
    <row r="134">
      <c r="A134" s="45">
        <v>30702.0</v>
      </c>
      <c r="B134" s="45" t="s">
        <v>190</v>
      </c>
      <c r="C134" s="48">
        <v>7.54180924448006</v>
      </c>
      <c r="D134" s="48">
        <v>4.593028567137426</v>
      </c>
    </row>
    <row r="135">
      <c r="A135" s="45">
        <v>30703.0</v>
      </c>
      <c r="B135" s="45" t="s">
        <v>191</v>
      </c>
      <c r="C135" s="48">
        <v>7.54180924448006</v>
      </c>
      <c r="D135" s="48">
        <v>4.593028567137426</v>
      </c>
    </row>
    <row r="136">
      <c r="A136" s="45">
        <v>30801.0</v>
      </c>
      <c r="B136" s="45" t="s">
        <v>192</v>
      </c>
      <c r="C136" s="48">
        <v>7.812210697879713</v>
      </c>
      <c r="D136" s="48">
        <v>5.817836185040739</v>
      </c>
    </row>
    <row r="137">
      <c r="A137" s="45">
        <v>30802.0</v>
      </c>
      <c r="B137" s="45" t="s">
        <v>193</v>
      </c>
      <c r="C137" s="48">
        <v>7.54180924448006</v>
      </c>
      <c r="D137" s="48">
        <v>4.593028567137426</v>
      </c>
    </row>
    <row r="138">
      <c r="A138" s="45">
        <v>30803.0</v>
      </c>
      <c r="B138" s="45" t="s">
        <v>194</v>
      </c>
      <c r="C138" s="48">
        <v>7.838699003518862</v>
      </c>
      <c r="D138" s="48">
        <v>5.276587866272037</v>
      </c>
    </row>
    <row r="139">
      <c r="A139" s="45">
        <v>30901.0</v>
      </c>
      <c r="B139" s="45" t="s">
        <v>195</v>
      </c>
      <c r="C139" s="48">
        <v>8.026876341496989</v>
      </c>
      <c r="D139" s="48">
        <v>6.818678981384591</v>
      </c>
    </row>
    <row r="140">
      <c r="A140" s="45">
        <v>30902.0</v>
      </c>
      <c r="B140" s="45" t="s">
        <v>196</v>
      </c>
      <c r="C140" s="48">
        <v>7.682528368188042</v>
      </c>
      <c r="D140" s="48">
        <v>6.097792211990069</v>
      </c>
    </row>
    <row r="141">
      <c r="A141" s="45">
        <v>30903.0</v>
      </c>
      <c r="B141" s="45" t="s">
        <v>197</v>
      </c>
      <c r="C141" s="48">
        <v>8.005906432865993</v>
      </c>
      <c r="D141" s="48">
        <v>6.78601744490717</v>
      </c>
    </row>
    <row r="142">
      <c r="A142" s="45">
        <v>30904.0</v>
      </c>
      <c r="B142" s="45" t="s">
        <v>198</v>
      </c>
      <c r="C142" s="48">
        <v>7.90933448522326</v>
      </c>
      <c r="D142" s="48">
        <v>6.555053722673972</v>
      </c>
    </row>
    <row r="143">
      <c r="A143" s="45">
        <v>30905.0</v>
      </c>
      <c r="B143" s="45" t="s">
        <v>199</v>
      </c>
      <c r="C143" s="48">
        <v>8.091993426193229</v>
      </c>
      <c r="D143" s="48">
        <v>6.925995458381834</v>
      </c>
    </row>
    <row r="144">
      <c r="A144" s="45">
        <v>31001.0</v>
      </c>
      <c r="B144" s="45" t="s">
        <v>200</v>
      </c>
      <c r="C144" s="48">
        <v>8.005906432865993</v>
      </c>
      <c r="D144" s="48">
        <v>6.636707563867526</v>
      </c>
    </row>
    <row r="145">
      <c r="A145" s="45">
        <v>31002.0</v>
      </c>
      <c r="B145" s="45" t="s">
        <v>201</v>
      </c>
      <c r="C145" s="48">
        <v>7.656040062548892</v>
      </c>
      <c r="D145" s="48">
        <v>5.05029007782133</v>
      </c>
    </row>
    <row r="146">
      <c r="A146" s="45">
        <v>31003.0</v>
      </c>
      <c r="B146" s="45" t="s">
        <v>202</v>
      </c>
      <c r="C146" s="48">
        <v>7.601959771868963</v>
      </c>
      <c r="D146" s="48">
        <v>4.872984594086755</v>
      </c>
    </row>
    <row r="147">
      <c r="A147" s="45">
        <v>31101.0</v>
      </c>
      <c r="B147" s="45" t="s">
        <v>203</v>
      </c>
      <c r="C147" s="48">
        <v>7.54180924448006</v>
      </c>
      <c r="D147" s="48">
        <v>4.593028567137426</v>
      </c>
    </row>
    <row r="148">
      <c r="A148" s="45">
        <v>31201.0</v>
      </c>
      <c r="B148" s="45" t="s">
        <v>204</v>
      </c>
      <c r="C148" s="48">
        <v>7.54180924448006</v>
      </c>
      <c r="D148" s="48">
        <v>4.593028567137426</v>
      </c>
    </row>
    <row r="149">
      <c r="A149" s="45">
        <v>31202.0</v>
      </c>
      <c r="B149" s="45" t="s">
        <v>205</v>
      </c>
      <c r="C149" s="48">
        <v>7.54180924448006</v>
      </c>
      <c r="D149" s="48">
        <v>4.593028567137426</v>
      </c>
    </row>
    <row r="150">
      <c r="A150" s="45">
        <v>31203.0</v>
      </c>
      <c r="B150" s="45" t="s">
        <v>206</v>
      </c>
      <c r="C150" s="48">
        <v>7.54180924448006</v>
      </c>
      <c r="D150" s="48">
        <v>4.593028567137426</v>
      </c>
    </row>
    <row r="151">
      <c r="A151" s="45">
        <v>31204.0</v>
      </c>
      <c r="B151" s="45" t="s">
        <v>207</v>
      </c>
      <c r="C151" s="48">
        <v>7.695220681306802</v>
      </c>
      <c r="D151" s="48">
        <v>5.491220820266523</v>
      </c>
    </row>
    <row r="152">
      <c r="A152" s="45">
        <v>31205.0</v>
      </c>
      <c r="B152" s="45" t="s">
        <v>208</v>
      </c>
      <c r="C152" s="48">
        <v>7.670939734470915</v>
      </c>
      <c r="D152" s="48">
        <v>5.407234012181724</v>
      </c>
    </row>
    <row r="153">
      <c r="A153" s="45">
        <v>31206.0</v>
      </c>
      <c r="B153" s="45" t="s">
        <v>209</v>
      </c>
      <c r="C153" s="48">
        <v>7.7531638498924424</v>
      </c>
      <c r="D153" s="48">
        <v>6.011472437014025</v>
      </c>
    </row>
    <row r="154">
      <c r="A154" s="45">
        <v>31301.0</v>
      </c>
      <c r="B154" s="45" t="s">
        <v>210</v>
      </c>
      <c r="C154" s="48">
        <v>7.6284480775081125</v>
      </c>
      <c r="D154" s="48">
        <v>5.288252700728259</v>
      </c>
    </row>
    <row r="155">
      <c r="A155" s="45">
        <v>31302.0</v>
      </c>
      <c r="B155" s="45" t="s">
        <v>211</v>
      </c>
      <c r="C155" s="48">
        <v>7.54180924448006</v>
      </c>
      <c r="D155" s="48">
        <v>4.593028567137426</v>
      </c>
    </row>
    <row r="156">
      <c r="A156" s="45">
        <v>31303.0</v>
      </c>
      <c r="B156" s="45" t="s">
        <v>212</v>
      </c>
      <c r="C156" s="48">
        <v>7.54180924448006</v>
      </c>
      <c r="D156" s="48">
        <v>4.593028567137426</v>
      </c>
    </row>
    <row r="157">
      <c r="A157" s="45">
        <v>31304.0</v>
      </c>
      <c r="B157" s="45" t="s">
        <v>213</v>
      </c>
      <c r="C157" s="48">
        <v>7.54180924448006</v>
      </c>
      <c r="D157" s="48">
        <v>4.593028567137426</v>
      </c>
    </row>
    <row r="158">
      <c r="A158" s="45">
        <v>31401.0</v>
      </c>
      <c r="B158" s="45" t="s">
        <v>214</v>
      </c>
      <c r="C158" s="48">
        <v>7.893331133899608</v>
      </c>
      <c r="D158" s="48">
        <v>6.338087801788243</v>
      </c>
    </row>
    <row r="159">
      <c r="A159" s="45">
        <v>31402.0</v>
      </c>
      <c r="B159" s="45" t="s">
        <v>215</v>
      </c>
      <c r="C159" s="48">
        <v>7.54180924448006</v>
      </c>
      <c r="D159" s="48">
        <v>5.2602570980333265</v>
      </c>
    </row>
    <row r="160">
      <c r="A160" s="45">
        <v>31403.0</v>
      </c>
      <c r="B160" s="45" t="s">
        <v>216</v>
      </c>
      <c r="C160" s="48">
        <v>7.793999987752796</v>
      </c>
      <c r="D160" s="48">
        <v>6.062797708621402</v>
      </c>
    </row>
    <row r="161">
      <c r="A161" s="45">
        <v>31404.0</v>
      </c>
      <c r="B161" s="45" t="s">
        <v>217</v>
      </c>
      <c r="C161" s="48">
        <v>7.54180924448006</v>
      </c>
      <c r="D161" s="48">
        <v>4.593028567137426</v>
      </c>
    </row>
    <row r="162">
      <c r="A162" s="45">
        <v>31405.0</v>
      </c>
      <c r="B162" s="45" t="s">
        <v>218</v>
      </c>
      <c r="C162" s="48">
        <v>7.54180924448006</v>
      </c>
      <c r="D162" s="48">
        <v>4.593028567137426</v>
      </c>
    </row>
    <row r="163">
      <c r="A163" s="45">
        <v>31501.0</v>
      </c>
      <c r="B163" s="45" t="s">
        <v>219</v>
      </c>
      <c r="C163" s="48">
        <v>7.54180924448006</v>
      </c>
      <c r="D163" s="48">
        <v>4.593028567137426</v>
      </c>
    </row>
    <row r="164">
      <c r="A164" s="45">
        <v>31601.0</v>
      </c>
      <c r="B164" s="45" t="s">
        <v>220</v>
      </c>
      <c r="C164" s="48">
        <v>7.581541702938786</v>
      </c>
      <c r="D164" s="48">
        <v>4.9126450312379095</v>
      </c>
    </row>
    <row r="165">
      <c r="A165" s="45">
        <v>31602.0</v>
      </c>
      <c r="B165" s="45" t="s">
        <v>221</v>
      </c>
      <c r="C165" s="48">
        <v>7.695772521007617</v>
      </c>
      <c r="D165" s="48">
        <v>5.318581270314437</v>
      </c>
    </row>
    <row r="166">
      <c r="A166" s="45">
        <v>40101.0</v>
      </c>
      <c r="B166" s="45" t="s">
        <v>57</v>
      </c>
      <c r="C166" s="48">
        <v>6.454428905742121</v>
      </c>
      <c r="D166" s="48">
        <v>8.234593678629093</v>
      </c>
    </row>
    <row r="167">
      <c r="A167" s="45">
        <v>40102.0</v>
      </c>
      <c r="B167" s="45" t="s">
        <v>222</v>
      </c>
      <c r="C167" s="48">
        <v>6.113371014700065</v>
      </c>
      <c r="D167" s="48">
        <v>6.353985842297127</v>
      </c>
    </row>
    <row r="168">
      <c r="A168" s="45">
        <v>40103.0</v>
      </c>
      <c r="B168" s="45" t="s">
        <v>223</v>
      </c>
      <c r="C168" s="48">
        <v>6.014354207623339</v>
      </c>
      <c r="D168" s="48">
        <v>5.460835807932978</v>
      </c>
    </row>
    <row r="169">
      <c r="A169" s="45">
        <v>40104.0</v>
      </c>
      <c r="B169" s="45" t="s">
        <v>224</v>
      </c>
      <c r="C169" s="48">
        <v>6.014354207623339</v>
      </c>
      <c r="D169" s="48">
        <v>5.460835807932978</v>
      </c>
    </row>
    <row r="170">
      <c r="A170" s="45">
        <v>40201.0</v>
      </c>
      <c r="B170" s="45" t="s">
        <v>225</v>
      </c>
      <c r="C170" s="48">
        <v>6.1877436386821385</v>
      </c>
      <c r="D170" s="48">
        <v>6.492673735831932</v>
      </c>
    </row>
    <row r="171">
      <c r="A171" s="45">
        <v>40202.0</v>
      </c>
      <c r="B171" s="45" t="s">
        <v>226</v>
      </c>
      <c r="C171" s="48">
        <v>6.014354207623339</v>
      </c>
      <c r="D171" s="48">
        <v>5.460835807932978</v>
      </c>
    </row>
    <row r="172">
      <c r="A172" s="45">
        <v>40301.0</v>
      </c>
      <c r="B172" s="45" t="s">
        <v>227</v>
      </c>
      <c r="C172" s="48">
        <v>6.014354207623339</v>
      </c>
      <c r="D172" s="48">
        <v>5.460835807932978</v>
      </c>
    </row>
    <row r="173">
      <c r="A173" s="45">
        <v>40302.0</v>
      </c>
      <c r="B173" s="45" t="s">
        <v>228</v>
      </c>
      <c r="C173" s="48">
        <v>6.014354207623339</v>
      </c>
      <c r="D173" s="48">
        <v>5.460835807932978</v>
      </c>
    </row>
    <row r="174">
      <c r="A174" s="45">
        <v>40401.0</v>
      </c>
      <c r="B174" s="45" t="s">
        <v>229</v>
      </c>
      <c r="C174" s="48">
        <v>6.014354207623339</v>
      </c>
      <c r="D174" s="48">
        <v>5.460835807932978</v>
      </c>
    </row>
    <row r="175">
      <c r="A175" s="45">
        <v>40402.0</v>
      </c>
      <c r="B175" s="45" t="s">
        <v>230</v>
      </c>
      <c r="C175" s="48">
        <v>6.014354207623339</v>
      </c>
      <c r="D175" s="48">
        <v>5.460835807932978</v>
      </c>
    </row>
    <row r="176">
      <c r="A176" s="45">
        <v>40501.0</v>
      </c>
      <c r="B176" s="45" t="s">
        <v>231</v>
      </c>
      <c r="C176" s="48">
        <v>6.014354207623339</v>
      </c>
      <c r="D176" s="48">
        <v>7.918385281369735</v>
      </c>
    </row>
    <row r="177">
      <c r="A177" s="45">
        <v>40502.0</v>
      </c>
      <c r="B177" s="45" t="s">
        <v>232</v>
      </c>
      <c r="C177" s="48">
        <v>6.014354207623339</v>
      </c>
      <c r="D177" s="48">
        <v>7.04465155210046</v>
      </c>
    </row>
    <row r="178">
      <c r="A178" s="45">
        <v>40503.0</v>
      </c>
      <c r="B178" s="45" t="s">
        <v>233</v>
      </c>
      <c r="C178" s="48">
        <v>6.014354207623339</v>
      </c>
      <c r="D178" s="48">
        <v>5.460835807932978</v>
      </c>
    </row>
    <row r="179">
      <c r="A179" s="45">
        <v>40504.0</v>
      </c>
      <c r="B179" s="45" t="s">
        <v>234</v>
      </c>
      <c r="C179" s="48">
        <v>6.014354207623339</v>
      </c>
      <c r="D179" s="48">
        <v>5.460835807932978</v>
      </c>
    </row>
    <row r="180">
      <c r="A180" s="45">
        <v>40505.0</v>
      </c>
      <c r="B180" s="45" t="s">
        <v>235</v>
      </c>
      <c r="C180" s="48">
        <v>6.014354207623339</v>
      </c>
      <c r="D180" s="48">
        <v>5.460835807932978</v>
      </c>
    </row>
    <row r="181">
      <c r="A181" s="45">
        <v>40601.0</v>
      </c>
      <c r="B181" s="45" t="s">
        <v>236</v>
      </c>
      <c r="C181" s="48">
        <v>6.149457139945806</v>
      </c>
      <c r="D181" s="48">
        <v>6.864357290505212</v>
      </c>
    </row>
    <row r="182">
      <c r="A182" s="45">
        <v>40602.0</v>
      </c>
      <c r="B182" s="45" t="s">
        <v>237</v>
      </c>
      <c r="C182" s="48">
        <v>6.014354207623339</v>
      </c>
      <c r="D182" s="48">
        <v>5.460835807932978</v>
      </c>
    </row>
    <row r="183">
      <c r="A183" s="45">
        <v>40603.0</v>
      </c>
      <c r="B183" s="45" t="s">
        <v>238</v>
      </c>
      <c r="C183" s="48">
        <v>6.014354207623339</v>
      </c>
      <c r="D183" s="48">
        <v>5.460835807932978</v>
      </c>
    </row>
    <row r="184">
      <c r="A184" s="45">
        <v>40701.0</v>
      </c>
      <c r="B184" s="45" t="s">
        <v>239</v>
      </c>
      <c r="C184" s="48">
        <v>6.369494489005197</v>
      </c>
      <c r="D184" s="48">
        <v>7.704805925326135</v>
      </c>
    </row>
    <row r="185">
      <c r="A185" s="45">
        <v>40702.0</v>
      </c>
      <c r="B185" s="45" t="s">
        <v>240</v>
      </c>
      <c r="C185" s="48">
        <v>6.2585956650792625</v>
      </c>
      <c r="D185" s="48">
        <v>6.911511174307044</v>
      </c>
    </row>
    <row r="186">
      <c r="A186" s="45">
        <v>40801.0</v>
      </c>
      <c r="B186" s="45" t="s">
        <v>241</v>
      </c>
      <c r="C186" s="48">
        <v>6.014354207623339</v>
      </c>
      <c r="D186" s="48">
        <v>5.460835807932978</v>
      </c>
    </row>
    <row r="187">
      <c r="A187" s="45">
        <v>40802.0</v>
      </c>
      <c r="B187" s="45" t="s">
        <v>242</v>
      </c>
      <c r="C187" s="48">
        <v>6.014354207623339</v>
      </c>
      <c r="D187" s="48">
        <v>5.460835807932978</v>
      </c>
    </row>
    <row r="188">
      <c r="A188" s="45">
        <v>40901.0</v>
      </c>
      <c r="B188" s="45" t="s">
        <v>243</v>
      </c>
      <c r="C188" s="48">
        <v>6.014354207623339</v>
      </c>
      <c r="D188" s="48">
        <v>5.962885982528974</v>
      </c>
    </row>
    <row r="189">
      <c r="A189" s="45">
        <v>40902.0</v>
      </c>
      <c r="B189" s="45" t="s">
        <v>244</v>
      </c>
      <c r="C189" s="48">
        <v>6.014354207623339</v>
      </c>
      <c r="D189" s="48">
        <v>5.460835807932978</v>
      </c>
    </row>
    <row r="190">
      <c r="A190" s="45">
        <v>40903.0</v>
      </c>
      <c r="B190" s="45" t="s">
        <v>245</v>
      </c>
      <c r="C190" s="48">
        <v>6.014354207623339</v>
      </c>
      <c r="D190" s="48">
        <v>5.460835807932978</v>
      </c>
    </row>
    <row r="191">
      <c r="A191" s="45">
        <v>41001.0</v>
      </c>
      <c r="B191" s="45" t="s">
        <v>246</v>
      </c>
      <c r="C191" s="48">
        <v>6.014354207623339</v>
      </c>
      <c r="D191" s="48">
        <v>5.460835807932978</v>
      </c>
    </row>
    <row r="192">
      <c r="A192" s="45">
        <v>41101.0</v>
      </c>
      <c r="B192" s="45" t="s">
        <v>247</v>
      </c>
      <c r="C192" s="48">
        <v>6.226910286814712</v>
      </c>
      <c r="D192" s="48">
        <v>6.617492840013257</v>
      </c>
    </row>
    <row r="193">
      <c r="A193" s="45">
        <v>41201.0</v>
      </c>
      <c r="B193" s="45" t="s">
        <v>248</v>
      </c>
      <c r="C193" s="48">
        <v>6.014354207623339</v>
      </c>
      <c r="D193" s="48">
        <v>5.460835807932978</v>
      </c>
    </row>
    <row r="194">
      <c r="A194" s="45">
        <v>41202.0</v>
      </c>
      <c r="B194" s="45" t="s">
        <v>249</v>
      </c>
      <c r="C194" s="48">
        <v>6.014354207623339</v>
      </c>
      <c r="D194" s="48">
        <v>5.460835807932978</v>
      </c>
    </row>
    <row r="195">
      <c r="A195" s="45">
        <v>41301.0</v>
      </c>
      <c r="B195" s="45" t="s">
        <v>204</v>
      </c>
      <c r="C195" s="48">
        <v>6.014354207623339</v>
      </c>
      <c r="D195" s="48">
        <v>5.460835807932978</v>
      </c>
    </row>
    <row r="196">
      <c r="A196" s="45">
        <v>41401.0</v>
      </c>
      <c r="B196" s="45" t="s">
        <v>250</v>
      </c>
      <c r="C196" s="48">
        <v>6.1538578869269935</v>
      </c>
      <c r="D196" s="48">
        <v>6.348438326555733</v>
      </c>
    </row>
    <row r="197">
      <c r="A197" s="45">
        <v>41501.0</v>
      </c>
      <c r="B197" s="45" t="s">
        <v>251</v>
      </c>
      <c r="C197" s="48">
        <v>6.014354207623339</v>
      </c>
      <c r="D197" s="48">
        <v>5.460835807932978</v>
      </c>
    </row>
    <row r="198">
      <c r="A198" s="45">
        <v>41502.0</v>
      </c>
      <c r="B198" s="45" t="s">
        <v>252</v>
      </c>
      <c r="C198" s="48">
        <v>6.014354207623339</v>
      </c>
      <c r="D198" s="48">
        <v>5.460835807932978</v>
      </c>
    </row>
    <row r="199">
      <c r="A199" s="45">
        <v>41503.0</v>
      </c>
      <c r="B199" s="45" t="s">
        <v>253</v>
      </c>
      <c r="C199" s="48">
        <v>6.014354207623339</v>
      </c>
      <c r="D199" s="48">
        <v>5.460835807932978</v>
      </c>
    </row>
    <row r="200">
      <c r="A200" s="45">
        <v>41601.0</v>
      </c>
      <c r="B200" s="45" t="s">
        <v>254</v>
      </c>
      <c r="C200" s="48">
        <v>6.014354207623339</v>
      </c>
      <c r="D200" s="48">
        <v>5.460835807932978</v>
      </c>
    </row>
    <row r="201">
      <c r="A201" s="45">
        <v>50101.0</v>
      </c>
      <c r="B201" s="45" t="s">
        <v>59</v>
      </c>
      <c r="C201" s="48">
        <v>6.967073585093294</v>
      </c>
      <c r="D201" s="48">
        <v>7.231982790825999</v>
      </c>
    </row>
    <row r="202">
      <c r="A202" s="45">
        <v>50102.0</v>
      </c>
      <c r="B202" s="45" t="s">
        <v>255</v>
      </c>
      <c r="C202" s="48">
        <v>6.528098749658912</v>
      </c>
      <c r="D202" s="48">
        <v>4.949323409903079</v>
      </c>
    </row>
    <row r="203">
      <c r="A203" s="45">
        <v>50103.0</v>
      </c>
      <c r="B203" s="45" t="s">
        <v>256</v>
      </c>
      <c r="C203" s="48">
        <v>6.528098749658912</v>
      </c>
      <c r="D203" s="48">
        <v>4.949323409903079</v>
      </c>
    </row>
    <row r="204">
      <c r="A204" s="45">
        <v>50104.0</v>
      </c>
      <c r="B204" s="45" t="s">
        <v>257</v>
      </c>
      <c r="C204" s="48">
        <v>6.528098749658912</v>
      </c>
      <c r="D204" s="48">
        <v>4.949323409903079</v>
      </c>
    </row>
    <row r="205">
      <c r="A205" s="45">
        <v>50201.0</v>
      </c>
      <c r="B205" s="45" t="s">
        <v>258</v>
      </c>
      <c r="C205" s="48">
        <v>6.703879750137533</v>
      </c>
      <c r="D205" s="48">
        <v>5.967469939940284</v>
      </c>
    </row>
    <row r="206">
      <c r="A206" s="45">
        <v>50202.0</v>
      </c>
      <c r="B206" s="45" t="s">
        <v>259</v>
      </c>
      <c r="C206" s="48">
        <v>6.599270948222267</v>
      </c>
      <c r="D206" s="48">
        <v>5.391777210610606</v>
      </c>
    </row>
    <row r="207">
      <c r="A207" s="45">
        <v>50203.0</v>
      </c>
      <c r="B207" s="45" t="s">
        <v>260</v>
      </c>
      <c r="C207" s="48">
        <v>6.9255166637844905</v>
      </c>
      <c r="D207" s="48">
        <v>7.143994819094387</v>
      </c>
    </row>
    <row r="208">
      <c r="A208" s="45">
        <v>50204.0</v>
      </c>
      <c r="B208" s="45" t="s">
        <v>261</v>
      </c>
      <c r="C208" s="48">
        <v>6.528098749658912</v>
      </c>
      <c r="D208" s="48">
        <v>5.5174743130843344</v>
      </c>
    </row>
    <row r="209">
      <c r="A209" s="45">
        <v>50301.0</v>
      </c>
      <c r="B209" s="45" t="s">
        <v>262</v>
      </c>
      <c r="C209" s="48">
        <v>6.590195298741033</v>
      </c>
      <c r="D209" s="48">
        <v>5.426972399303249</v>
      </c>
    </row>
    <row r="210">
      <c r="A210" s="45">
        <v>50302.0</v>
      </c>
      <c r="B210" s="45" t="s">
        <v>263</v>
      </c>
      <c r="C210" s="48">
        <v>6.528098749658912</v>
      </c>
      <c r="D210" s="48">
        <v>4.949323409903079</v>
      </c>
    </row>
    <row r="211">
      <c r="A211" s="45">
        <v>50303.0</v>
      </c>
      <c r="B211" s="45" t="s">
        <v>264</v>
      </c>
      <c r="C211" s="48">
        <v>6.528098749658912</v>
      </c>
      <c r="D211" s="48">
        <v>4.949323409903079</v>
      </c>
    </row>
    <row r="212">
      <c r="A212" s="45">
        <v>50401.0</v>
      </c>
      <c r="B212" s="45" t="s">
        <v>265</v>
      </c>
      <c r="C212" s="48">
        <v>6.613123255325201</v>
      </c>
      <c r="D212" s="48">
        <v>5.78395217032864</v>
      </c>
    </row>
    <row r="213">
      <c r="A213" s="45">
        <v>50402.0</v>
      </c>
      <c r="B213" s="45" t="s">
        <v>266</v>
      </c>
      <c r="C213" s="48">
        <v>6.528098749658912</v>
      </c>
      <c r="D213" s="48">
        <v>4.949323409903079</v>
      </c>
    </row>
    <row r="214">
      <c r="A214" s="45">
        <v>50403.0</v>
      </c>
      <c r="B214" s="45" t="s">
        <v>267</v>
      </c>
      <c r="C214" s="48">
        <v>6.528098749658912</v>
      </c>
      <c r="D214" s="48">
        <v>5.107701759019977</v>
      </c>
    </row>
    <row r="215">
      <c r="A215" s="45">
        <v>50404.0</v>
      </c>
      <c r="B215" s="45" t="s">
        <v>268</v>
      </c>
      <c r="C215" s="48">
        <v>6.528098749658912</v>
      </c>
      <c r="D215" s="48">
        <v>4.949323409903079</v>
      </c>
    </row>
    <row r="216">
      <c r="A216" s="45">
        <v>50405.0</v>
      </c>
      <c r="B216" s="45" t="s">
        <v>269</v>
      </c>
      <c r="C216" s="48">
        <v>6.528098749658912</v>
      </c>
      <c r="D216" s="48">
        <v>4.949323409903079</v>
      </c>
    </row>
    <row r="217">
      <c r="A217" s="45">
        <v>50501.0</v>
      </c>
      <c r="B217" s="45" t="s">
        <v>270</v>
      </c>
      <c r="C217" s="48">
        <v>6.528098749658912</v>
      </c>
      <c r="D217" s="48">
        <v>4.949323409903079</v>
      </c>
    </row>
    <row r="218">
      <c r="A218" s="45">
        <v>50502.0</v>
      </c>
      <c r="B218" s="45" t="s">
        <v>271</v>
      </c>
      <c r="C218" s="48">
        <v>6.528098749658912</v>
      </c>
      <c r="D218" s="48">
        <v>4.949323409903079</v>
      </c>
    </row>
    <row r="219">
      <c r="A219" s="45">
        <v>50601.0</v>
      </c>
      <c r="B219" s="45" t="s">
        <v>272</v>
      </c>
      <c r="C219" s="48">
        <v>6.589717632978863</v>
      </c>
      <c r="D219" s="48">
        <v>5.243454629691605</v>
      </c>
    </row>
    <row r="220">
      <c r="A220" s="45">
        <v>50602.0</v>
      </c>
      <c r="B220" s="45" t="s">
        <v>273</v>
      </c>
      <c r="C220" s="48">
        <v>6.528098749658912</v>
      </c>
      <c r="D220" s="48">
        <v>4.949323409903079</v>
      </c>
    </row>
    <row r="221">
      <c r="A221" s="45">
        <v>50701.0</v>
      </c>
      <c r="B221" s="45" t="s">
        <v>274</v>
      </c>
      <c r="C221" s="48">
        <v>6.565356679108184</v>
      </c>
      <c r="D221" s="48">
        <v>5.283677702483199</v>
      </c>
    </row>
    <row r="222">
      <c r="A222" s="45">
        <v>50702.0</v>
      </c>
      <c r="B222" s="45" t="s">
        <v>275</v>
      </c>
      <c r="C222" s="48">
        <v>6.528098749658912</v>
      </c>
      <c r="D222" s="48">
        <v>4.949323409903079</v>
      </c>
    </row>
    <row r="223">
      <c r="A223" s="45">
        <v>50801.0</v>
      </c>
      <c r="B223" s="45" t="s">
        <v>276</v>
      </c>
      <c r="C223" s="48">
        <v>6.812787543912331</v>
      </c>
      <c r="D223" s="48">
        <v>6.520537190824692</v>
      </c>
    </row>
    <row r="224">
      <c r="A224" s="45">
        <v>50802.0</v>
      </c>
      <c r="B224" s="45" t="s">
        <v>277</v>
      </c>
      <c r="C224" s="48">
        <v>6.731584364343402</v>
      </c>
      <c r="D224" s="48">
        <v>5.03228349753574</v>
      </c>
    </row>
    <row r="225">
      <c r="A225" s="45">
        <v>50901.0</v>
      </c>
      <c r="B225" s="45" t="s">
        <v>278</v>
      </c>
      <c r="C225" s="48">
        <v>6.528098749658912</v>
      </c>
      <c r="D225" s="48">
        <v>5.338984427571639</v>
      </c>
    </row>
    <row r="226">
      <c r="A226" s="45">
        <v>50902.0</v>
      </c>
      <c r="B226" s="45" t="s">
        <v>279</v>
      </c>
      <c r="C226" s="48">
        <v>6.528098749658912</v>
      </c>
      <c r="D226" s="48">
        <v>4.949323409903079</v>
      </c>
    </row>
    <row r="227">
      <c r="A227" s="45">
        <v>51001.0</v>
      </c>
      <c r="B227" s="45" t="s">
        <v>280</v>
      </c>
      <c r="C227" s="48">
        <v>6.528098749658912</v>
      </c>
      <c r="D227" s="48">
        <v>4.949323409903079</v>
      </c>
    </row>
    <row r="228">
      <c r="A228" s="45">
        <v>51002.0</v>
      </c>
      <c r="B228" s="45" t="s">
        <v>281</v>
      </c>
      <c r="C228" s="48">
        <v>6.528098749658912</v>
      </c>
      <c r="D228" s="48">
        <v>4.949323409903079</v>
      </c>
    </row>
    <row r="229">
      <c r="A229" s="45">
        <v>51003.0</v>
      </c>
      <c r="B229" s="45" t="s">
        <v>282</v>
      </c>
      <c r="C229" s="48">
        <v>6.528098749658912</v>
      </c>
      <c r="D229" s="48">
        <v>4.949323409903079</v>
      </c>
    </row>
    <row r="230">
      <c r="A230" s="45">
        <v>51101.0</v>
      </c>
      <c r="B230" s="45" t="s">
        <v>283</v>
      </c>
      <c r="C230" s="48">
        <v>6.528098749658912</v>
      </c>
      <c r="D230" s="48">
        <v>4.949323409903079</v>
      </c>
    </row>
    <row r="231">
      <c r="A231" s="45">
        <v>51102.0</v>
      </c>
      <c r="B231" s="45" t="s">
        <v>284</v>
      </c>
      <c r="C231" s="48">
        <v>6.594494290600566</v>
      </c>
      <c r="D231" s="48">
        <v>5.620545937112792</v>
      </c>
    </row>
    <row r="232">
      <c r="A232" s="45">
        <v>51103.0</v>
      </c>
      <c r="B232" s="45" t="s">
        <v>285</v>
      </c>
      <c r="C232" s="48">
        <v>6.528098749658912</v>
      </c>
      <c r="D232" s="48">
        <v>4.949323409903079</v>
      </c>
    </row>
    <row r="233">
      <c r="A233" s="45">
        <v>51201.0</v>
      </c>
      <c r="B233" s="45" t="s">
        <v>286</v>
      </c>
      <c r="C233" s="48">
        <v>6.811832212387991</v>
      </c>
      <c r="D233" s="48">
        <v>6.7065689024858095</v>
      </c>
    </row>
    <row r="234">
      <c r="A234" s="45">
        <v>51202.0</v>
      </c>
      <c r="B234" s="45" t="s">
        <v>287</v>
      </c>
      <c r="C234" s="48">
        <v>6.528098749658912</v>
      </c>
      <c r="D234" s="48">
        <v>4.949323409903079</v>
      </c>
    </row>
    <row r="235">
      <c r="A235" s="45">
        <v>51203.0</v>
      </c>
      <c r="B235" s="45" t="s">
        <v>288</v>
      </c>
      <c r="C235" s="48">
        <v>6.754989986689742</v>
      </c>
      <c r="D235" s="48">
        <v>6.945393397185895</v>
      </c>
    </row>
    <row r="236">
      <c r="A236" s="45">
        <v>51204.0</v>
      </c>
      <c r="B236" s="45" t="s">
        <v>289</v>
      </c>
      <c r="C236" s="48">
        <v>6.528098749658912</v>
      </c>
      <c r="D236" s="48">
        <v>4.949323409903079</v>
      </c>
    </row>
    <row r="237">
      <c r="A237" s="45">
        <v>51301.0</v>
      </c>
      <c r="B237" s="45" t="s">
        <v>290</v>
      </c>
      <c r="C237" s="48">
        <v>6.528098749658912</v>
      </c>
      <c r="D237" s="48">
        <v>4.949323409903079</v>
      </c>
    </row>
    <row r="238">
      <c r="A238" s="45">
        <v>51302.0</v>
      </c>
      <c r="B238" s="45" t="s">
        <v>291</v>
      </c>
      <c r="C238" s="48">
        <v>6.528098749658912</v>
      </c>
      <c r="D238" s="48">
        <v>4.949323409903079</v>
      </c>
    </row>
    <row r="239">
      <c r="A239" s="45">
        <v>51401.0</v>
      </c>
      <c r="B239" s="45" t="s">
        <v>292</v>
      </c>
      <c r="C239" s="48">
        <v>6.528098749658912</v>
      </c>
      <c r="D239" s="48">
        <v>4.949323409903079</v>
      </c>
    </row>
    <row r="240">
      <c r="A240" s="45">
        <v>51402.0</v>
      </c>
      <c r="B240" s="45" t="s">
        <v>293</v>
      </c>
      <c r="C240" s="48">
        <v>6.528098749658912</v>
      </c>
      <c r="D240" s="48">
        <v>4.949323409903079</v>
      </c>
    </row>
    <row r="241">
      <c r="A241" s="45">
        <v>51501.0</v>
      </c>
      <c r="B241" s="45" t="s">
        <v>294</v>
      </c>
      <c r="C241" s="48">
        <v>6.901633375675981</v>
      </c>
      <c r="D241" s="48">
        <v>7.053492905313304</v>
      </c>
    </row>
    <row r="242">
      <c r="A242" s="45">
        <v>51601.0</v>
      </c>
      <c r="B242" s="45" t="s">
        <v>295</v>
      </c>
      <c r="C242" s="48">
        <v>6.528098749658912</v>
      </c>
      <c r="D242" s="48">
        <v>4.949323409903079</v>
      </c>
    </row>
    <row r="243">
      <c r="A243" s="45">
        <v>60101.0</v>
      </c>
      <c r="B243" s="45" t="s">
        <v>61</v>
      </c>
      <c r="C243" s="48">
        <v>11.582291053224855</v>
      </c>
      <c r="D243" s="48">
        <v>11.55432896399845</v>
      </c>
    </row>
    <row r="244">
      <c r="A244" s="45">
        <v>60201.0</v>
      </c>
      <c r="B244" s="45" t="s">
        <v>296</v>
      </c>
      <c r="C244" s="48">
        <v>10.883117137604138</v>
      </c>
      <c r="D244" s="48">
        <v>7.926678333608138</v>
      </c>
    </row>
    <row r="245">
      <c r="A245" s="45">
        <v>60202.0</v>
      </c>
      <c r="B245" s="45" t="s">
        <v>297</v>
      </c>
      <c r="C245" s="48">
        <v>11.544067422302538</v>
      </c>
      <c r="D245" s="48">
        <v>11.49796147362613</v>
      </c>
    </row>
    <row r="246">
      <c r="A246" s="45">
        <v>60301.0</v>
      </c>
      <c r="B246" s="45" t="s">
        <v>298</v>
      </c>
      <c r="C246" s="48">
        <v>11.459656904015757</v>
      </c>
      <c r="D246" s="48">
        <v>10.889997827467486</v>
      </c>
    </row>
    <row r="247">
      <c r="A247" s="45">
        <v>60302.0</v>
      </c>
      <c r="B247" s="45" t="s">
        <v>299</v>
      </c>
      <c r="C247" s="48">
        <v>11.000177007303733</v>
      </c>
      <c r="D247" s="48">
        <v>8.957398157559215</v>
      </c>
    </row>
    <row r="248">
      <c r="A248" s="45">
        <v>60303.0</v>
      </c>
      <c r="B248" s="45" t="s">
        <v>300</v>
      </c>
      <c r="C248" s="48">
        <v>11.463638532236828</v>
      </c>
      <c r="D248" s="48">
        <v>10.841682835719778</v>
      </c>
    </row>
    <row r="249">
      <c r="A249" s="45">
        <v>60401.0</v>
      </c>
      <c r="B249" s="45" t="s">
        <v>301</v>
      </c>
      <c r="C249" s="48">
        <v>10.883117137604138</v>
      </c>
      <c r="D249" s="48">
        <v>8.498405735956002</v>
      </c>
    </row>
    <row r="250">
      <c r="A250" s="45">
        <v>60402.0</v>
      </c>
      <c r="B250" s="45" t="s">
        <v>302</v>
      </c>
      <c r="C250" s="48">
        <v>10.883117137604138</v>
      </c>
      <c r="D250" s="48">
        <v>7.926678333608138</v>
      </c>
    </row>
    <row r="251">
      <c r="A251" s="45">
        <v>60501.0</v>
      </c>
      <c r="B251" s="45" t="s">
        <v>303</v>
      </c>
      <c r="C251" s="48">
        <v>10.9930100765058</v>
      </c>
      <c r="D251" s="48">
        <v>8.707770700196065</v>
      </c>
    </row>
    <row r="252">
      <c r="A252" s="45">
        <v>60502.0</v>
      </c>
      <c r="B252" s="45" t="s">
        <v>304</v>
      </c>
      <c r="C252" s="48">
        <v>10.883117137604138</v>
      </c>
      <c r="D252" s="48">
        <v>7.926678333608138</v>
      </c>
    </row>
    <row r="253">
      <c r="A253" s="45">
        <v>60601.0</v>
      </c>
      <c r="B253" s="45" t="s">
        <v>209</v>
      </c>
      <c r="C253" s="48">
        <v>11.012918217611173</v>
      </c>
      <c r="D253" s="48">
        <v>8.735954445382227</v>
      </c>
    </row>
    <row r="254">
      <c r="A254" s="45">
        <v>70101.0</v>
      </c>
      <c r="B254" s="45" t="s">
        <v>305</v>
      </c>
      <c r="C254" s="48">
        <v>10.94245283187093</v>
      </c>
      <c r="D254" s="48">
        <v>10.192807604843306</v>
      </c>
    </row>
    <row r="255">
      <c r="A255" s="45">
        <v>70102.0</v>
      </c>
      <c r="B255" s="45" t="s">
        <v>306</v>
      </c>
      <c r="C255" s="48">
        <v>10.628118946760441</v>
      </c>
      <c r="D255" s="48">
        <v>9.621714511465873</v>
      </c>
    </row>
    <row r="256">
      <c r="A256" s="45">
        <v>70103.0</v>
      </c>
      <c r="B256" s="45" t="s">
        <v>307</v>
      </c>
      <c r="C256" s="48">
        <v>10.330211060396813</v>
      </c>
      <c r="D256" s="48">
        <v>8.396960648560052</v>
      </c>
    </row>
    <row r="257">
      <c r="A257" s="45">
        <v>70104.0</v>
      </c>
      <c r="B257" s="45" t="s">
        <v>308</v>
      </c>
      <c r="C257" s="48">
        <v>10.799845297295866</v>
      </c>
      <c r="D257" s="48">
        <v>10.010470653343281</v>
      </c>
    </row>
    <row r="258">
      <c r="A258" s="45">
        <v>70105.0</v>
      </c>
      <c r="B258" s="45" t="s">
        <v>309</v>
      </c>
      <c r="C258" s="48">
        <v>10.643798309200632</v>
      </c>
      <c r="D258" s="48">
        <v>9.222637410069595</v>
      </c>
    </row>
    <row r="259">
      <c r="A259" s="45">
        <v>70201.0</v>
      </c>
      <c r="B259" s="45" t="s">
        <v>310</v>
      </c>
      <c r="C259" s="48">
        <v>10.724435030321612</v>
      </c>
      <c r="D259" s="48">
        <v>9.82813370184326</v>
      </c>
    </row>
    <row r="260">
      <c r="A260" s="45">
        <v>70202.0</v>
      </c>
      <c r="B260" s="45" t="s">
        <v>311</v>
      </c>
      <c r="C260" s="48">
        <v>10.543002407799404</v>
      </c>
      <c r="D260" s="48">
        <v>8.455446085833646</v>
      </c>
    </row>
    <row r="261">
      <c r="A261" s="45">
        <v>70301.0</v>
      </c>
      <c r="B261" s="45" t="s">
        <v>312</v>
      </c>
      <c r="C261" s="48">
        <v>10.540762498879376</v>
      </c>
      <c r="D261" s="48">
        <v>8.4038412882393</v>
      </c>
    </row>
    <row r="262">
      <c r="A262" s="45">
        <v>70302.0</v>
      </c>
      <c r="B262" s="45" t="s">
        <v>313</v>
      </c>
      <c r="C262" s="48">
        <v>10.505670592465615</v>
      </c>
      <c r="D262" s="48">
        <v>7.991002907484529</v>
      </c>
    </row>
    <row r="263">
      <c r="A263" s="45">
        <v>70303.0</v>
      </c>
      <c r="B263" s="45" t="s">
        <v>314</v>
      </c>
      <c r="C263" s="48">
        <v>10.560921679159623</v>
      </c>
      <c r="D263" s="48">
        <v>7.929077150371312</v>
      </c>
    </row>
    <row r="264">
      <c r="A264" s="45">
        <v>70401.0</v>
      </c>
      <c r="B264" s="45" t="s">
        <v>315</v>
      </c>
      <c r="C264" s="48">
        <v>10.444446415318206</v>
      </c>
      <c r="D264" s="48">
        <v>8.152697939946814</v>
      </c>
    </row>
    <row r="265">
      <c r="A265" s="45">
        <v>70402.0</v>
      </c>
      <c r="B265" s="45" t="s">
        <v>316</v>
      </c>
      <c r="C265" s="48">
        <v>10.67366376146766</v>
      </c>
      <c r="D265" s="48">
        <v>9.07126333712618</v>
      </c>
    </row>
    <row r="266">
      <c r="A266" s="45">
        <v>70403.0</v>
      </c>
      <c r="B266" s="45" t="s">
        <v>317</v>
      </c>
      <c r="C266" s="48">
        <v>10.64230503658728</v>
      </c>
      <c r="D266" s="48">
        <v>8.919889264182762</v>
      </c>
    </row>
    <row r="267">
      <c r="A267" s="45">
        <v>70404.0</v>
      </c>
      <c r="B267" s="45" t="s">
        <v>318</v>
      </c>
      <c r="C267" s="48">
        <v>10.58033422313319</v>
      </c>
      <c r="D267" s="48">
        <v>8.82700062851294</v>
      </c>
    </row>
    <row r="268">
      <c r="A268" s="45">
        <v>70501.0</v>
      </c>
      <c r="B268" s="45" t="s">
        <v>319</v>
      </c>
      <c r="C268" s="48">
        <v>10.560175042852947</v>
      </c>
      <c r="D268" s="48">
        <v>7.904994911493953</v>
      </c>
    </row>
    <row r="269">
      <c r="A269" s="45">
        <v>70502.0</v>
      </c>
      <c r="B269" s="45" t="s">
        <v>320</v>
      </c>
      <c r="C269" s="48">
        <v>10.395168419077605</v>
      </c>
      <c r="D269" s="48">
        <v>7.83618851470149</v>
      </c>
    </row>
    <row r="270">
      <c r="A270" s="45">
        <v>70503.0</v>
      </c>
      <c r="B270" s="45" t="s">
        <v>321</v>
      </c>
      <c r="C270" s="48">
        <v>10.702782577428014</v>
      </c>
      <c r="D270" s="48">
        <v>8.98181502129598</v>
      </c>
    </row>
    <row r="271">
      <c r="A271" s="45">
        <v>70601.0</v>
      </c>
      <c r="B271" s="45" t="s">
        <v>322</v>
      </c>
      <c r="C271" s="48">
        <v>10.766246663495455</v>
      </c>
      <c r="D271" s="48">
        <v>9.511624276597933</v>
      </c>
    </row>
    <row r="272">
      <c r="A272" s="45">
        <v>70602.0</v>
      </c>
      <c r="B272" s="45" t="s">
        <v>323</v>
      </c>
      <c r="C272" s="48">
        <v>10.407861236291092</v>
      </c>
      <c r="D272" s="48">
        <v>7.66761284255996</v>
      </c>
    </row>
    <row r="273">
      <c r="A273" s="45">
        <v>70603.0</v>
      </c>
      <c r="B273" s="45" t="s">
        <v>324</v>
      </c>
      <c r="C273" s="48">
        <v>10.77968611701562</v>
      </c>
      <c r="D273" s="48">
        <v>9.611393551947003</v>
      </c>
    </row>
    <row r="274">
      <c r="A274" s="45">
        <v>70701.0</v>
      </c>
      <c r="B274" s="45" t="s">
        <v>325</v>
      </c>
      <c r="C274" s="48">
        <v>10.204029524568613</v>
      </c>
      <c r="D274" s="48">
        <v>6.773129684257955</v>
      </c>
    </row>
    <row r="275">
      <c r="A275" s="45">
        <v>70702.0</v>
      </c>
      <c r="B275" s="45" t="s">
        <v>326</v>
      </c>
      <c r="C275" s="48">
        <v>10.286159518302945</v>
      </c>
      <c r="D275" s="48">
        <v>7.26853574116368</v>
      </c>
    </row>
    <row r="276">
      <c r="A276" s="45">
        <v>70703.0</v>
      </c>
      <c r="B276" s="45" t="s">
        <v>327</v>
      </c>
      <c r="C276" s="48">
        <v>10.315278334263299</v>
      </c>
      <c r="D276" s="48">
        <v>7.677933802078829</v>
      </c>
    </row>
    <row r="277">
      <c r="A277" s="45">
        <v>70704.0</v>
      </c>
      <c r="B277" s="45" t="s">
        <v>328</v>
      </c>
      <c r="C277" s="48">
        <v>10.436980052251448</v>
      </c>
      <c r="D277" s="48">
        <v>8.651544316692164</v>
      </c>
    </row>
    <row r="278">
      <c r="A278" s="45">
        <v>70705.0</v>
      </c>
      <c r="B278" s="45" t="s">
        <v>329</v>
      </c>
      <c r="C278" s="48">
        <v>10.204029524568613</v>
      </c>
      <c r="D278" s="48">
        <v>6.773129684257955</v>
      </c>
    </row>
    <row r="279">
      <c r="A279" s="45">
        <v>70706.0</v>
      </c>
      <c r="B279" s="45" t="s">
        <v>330</v>
      </c>
      <c r="C279" s="48">
        <v>10.842403566776381</v>
      </c>
      <c r="D279" s="48">
        <v>9.546027474994164</v>
      </c>
    </row>
    <row r="280">
      <c r="A280" s="45">
        <v>70707.0</v>
      </c>
      <c r="B280" s="45" t="s">
        <v>331</v>
      </c>
      <c r="C280" s="48">
        <v>10.717715303561532</v>
      </c>
      <c r="D280" s="48">
        <v>9.143510053758263</v>
      </c>
    </row>
    <row r="281">
      <c r="A281" s="45">
        <v>70801.0</v>
      </c>
      <c r="B281" s="45" t="s">
        <v>332</v>
      </c>
      <c r="C281" s="48">
        <v>10.610199675400223</v>
      </c>
      <c r="D281" s="48">
        <v>8.913008624503517</v>
      </c>
    </row>
    <row r="282">
      <c r="A282" s="45">
        <v>70802.0</v>
      </c>
      <c r="B282" s="45" t="s">
        <v>333</v>
      </c>
      <c r="C282" s="48">
        <v>10.204029524568613</v>
      </c>
      <c r="D282" s="48">
        <v>6.773129684257955</v>
      </c>
    </row>
    <row r="283">
      <c r="A283" s="45">
        <v>70803.0</v>
      </c>
      <c r="B283" s="45" t="s">
        <v>334</v>
      </c>
      <c r="C283" s="48">
        <v>10.204029524568613</v>
      </c>
      <c r="D283" s="48">
        <v>6.773129684257955</v>
      </c>
    </row>
    <row r="284">
      <c r="A284" s="45">
        <v>70804.0</v>
      </c>
      <c r="B284" s="45" t="s">
        <v>335</v>
      </c>
      <c r="C284" s="48">
        <v>10.204029524568613</v>
      </c>
      <c r="D284" s="48">
        <v>6.773129684257955</v>
      </c>
    </row>
    <row r="285">
      <c r="A285" s="45">
        <v>70805.0</v>
      </c>
      <c r="B285" s="45" t="s">
        <v>336</v>
      </c>
      <c r="C285" s="48">
        <v>10.204029524568613</v>
      </c>
      <c r="D285" s="48">
        <v>6.773129684257955</v>
      </c>
    </row>
    <row r="286">
      <c r="A286" s="45">
        <v>70901.0</v>
      </c>
      <c r="B286" s="45" t="s">
        <v>337</v>
      </c>
      <c r="C286" s="48">
        <v>10.484764775878695</v>
      </c>
      <c r="D286" s="48">
        <v>8.310952652569476</v>
      </c>
    </row>
    <row r="287">
      <c r="A287" s="45">
        <v>70902.0</v>
      </c>
      <c r="B287" s="45" t="s">
        <v>338</v>
      </c>
      <c r="C287" s="48">
        <v>10.478045049118613</v>
      </c>
      <c r="D287" s="48">
        <v>8.166459219305306</v>
      </c>
    </row>
    <row r="288">
      <c r="A288" s="45">
        <v>70903.0</v>
      </c>
      <c r="B288" s="45" t="s">
        <v>339</v>
      </c>
      <c r="C288" s="48">
        <v>10.655744490107445</v>
      </c>
      <c r="D288" s="48">
        <v>8.878605426107285</v>
      </c>
    </row>
    <row r="289">
      <c r="A289" s="45">
        <v>70904.0</v>
      </c>
      <c r="B289" s="45" t="s">
        <v>340</v>
      </c>
      <c r="C289" s="48">
        <v>10.204029524568613</v>
      </c>
      <c r="D289" s="48">
        <v>6.773129684257955</v>
      </c>
    </row>
    <row r="290">
      <c r="A290" s="45">
        <v>71001.0</v>
      </c>
      <c r="B290" s="45" t="s">
        <v>341</v>
      </c>
      <c r="C290" s="48">
        <v>10.9342398324975</v>
      </c>
      <c r="D290" s="48">
        <v>10.189367285003682</v>
      </c>
    </row>
    <row r="291">
      <c r="A291" s="45">
        <v>71002.0</v>
      </c>
      <c r="B291" s="45" t="s">
        <v>342</v>
      </c>
      <c r="C291" s="48">
        <v>10.439966597478149</v>
      </c>
      <c r="D291" s="48">
        <v>8.372878409682693</v>
      </c>
    </row>
    <row r="292">
      <c r="A292" s="45">
        <v>71003.0</v>
      </c>
      <c r="B292" s="45" t="s">
        <v>343</v>
      </c>
      <c r="C292" s="48">
        <v>10.760273573042047</v>
      </c>
      <c r="D292" s="48">
        <v>9.546027474994164</v>
      </c>
    </row>
    <row r="293">
      <c r="A293" s="45">
        <v>71004.0</v>
      </c>
      <c r="B293" s="45" t="s">
        <v>344</v>
      </c>
      <c r="C293" s="48">
        <v>10.675157034081012</v>
      </c>
      <c r="D293" s="48">
        <v>9.239839009267712</v>
      </c>
    </row>
    <row r="294">
      <c r="A294" s="45">
        <v>71005.0</v>
      </c>
      <c r="B294" s="45" t="s">
        <v>270</v>
      </c>
      <c r="C294" s="48">
        <v>10.492977775252127</v>
      </c>
      <c r="D294" s="48">
        <v>8.716910393645001</v>
      </c>
    </row>
    <row r="295">
      <c r="A295" s="45">
        <v>71101.0</v>
      </c>
      <c r="B295" s="45" t="s">
        <v>345</v>
      </c>
      <c r="C295" s="48">
        <v>10.558681770239595</v>
      </c>
      <c r="D295" s="48">
        <v>8.486408964390252</v>
      </c>
    </row>
    <row r="296">
      <c r="A296" s="45">
        <v>71102.0</v>
      </c>
      <c r="B296" s="45" t="s">
        <v>346</v>
      </c>
      <c r="C296" s="48">
        <v>10.585560677279924</v>
      </c>
      <c r="D296" s="48">
        <v>8.606820158777062</v>
      </c>
    </row>
    <row r="297">
      <c r="A297" s="45">
        <v>71103.0</v>
      </c>
      <c r="B297" s="45" t="s">
        <v>347</v>
      </c>
      <c r="C297" s="48">
        <v>10.837923748936326</v>
      </c>
      <c r="D297" s="48">
        <v>9.731804746333813</v>
      </c>
    </row>
    <row r="298">
      <c r="A298" s="45">
        <v>71104.0</v>
      </c>
      <c r="B298" s="45" t="s">
        <v>348</v>
      </c>
      <c r="C298" s="48">
        <v>10.44519305162488</v>
      </c>
      <c r="D298" s="48">
        <v>8.551775041343094</v>
      </c>
    </row>
    <row r="299">
      <c r="A299" s="45">
        <v>71105.0</v>
      </c>
      <c r="B299" s="45" t="s">
        <v>349</v>
      </c>
      <c r="C299" s="48">
        <v>10.204029524568613</v>
      </c>
      <c r="D299" s="48">
        <v>6.773129684257955</v>
      </c>
    </row>
    <row r="300">
      <c r="A300" s="45">
        <v>71106.0</v>
      </c>
      <c r="B300" s="45" t="s">
        <v>350</v>
      </c>
      <c r="C300" s="48">
        <v>10.44519305162488</v>
      </c>
      <c r="D300" s="48">
        <v>8.211183377220406</v>
      </c>
    </row>
    <row r="301">
      <c r="A301" s="45">
        <v>71201.0</v>
      </c>
      <c r="B301" s="45" t="s">
        <v>351</v>
      </c>
      <c r="C301" s="48">
        <v>10.523589863825835</v>
      </c>
      <c r="D301" s="48">
        <v>8.524252482626107</v>
      </c>
    </row>
    <row r="302">
      <c r="A302" s="45">
        <v>71301.0</v>
      </c>
      <c r="B302" s="45" t="s">
        <v>352</v>
      </c>
      <c r="C302" s="48">
        <v>10.438473324864798</v>
      </c>
      <c r="D302" s="48">
        <v>8.032286745560006</v>
      </c>
    </row>
    <row r="303">
      <c r="A303" s="45">
        <v>71302.0</v>
      </c>
      <c r="B303" s="45" t="s">
        <v>353</v>
      </c>
      <c r="C303" s="48">
        <v>10.587800586199949</v>
      </c>
      <c r="D303" s="48">
        <v>8.851082867390302</v>
      </c>
    </row>
    <row r="304">
      <c r="A304" s="45">
        <v>71401.0</v>
      </c>
      <c r="B304" s="45" t="s">
        <v>354</v>
      </c>
      <c r="C304" s="48">
        <v>10.802085206215889</v>
      </c>
      <c r="D304" s="48">
        <v>9.153831013277134</v>
      </c>
    </row>
    <row r="305">
      <c r="A305" s="45">
        <v>71402.0</v>
      </c>
      <c r="B305" s="45" t="s">
        <v>355</v>
      </c>
      <c r="C305" s="48">
        <v>10.934986468804173</v>
      </c>
      <c r="D305" s="48">
        <v>10.130881847730091</v>
      </c>
    </row>
    <row r="306">
      <c r="A306" s="45">
        <v>71403.0</v>
      </c>
      <c r="B306" s="45" t="s">
        <v>356</v>
      </c>
      <c r="C306" s="48">
        <v>10.569881314839732</v>
      </c>
      <c r="D306" s="48">
        <v>8.25934785497513</v>
      </c>
    </row>
    <row r="307">
      <c r="A307" s="45">
        <v>71501.0</v>
      </c>
      <c r="B307" s="45" t="s">
        <v>357</v>
      </c>
      <c r="C307" s="48">
        <v>10.75131393736194</v>
      </c>
      <c r="D307" s="48">
        <v>9.143510053758263</v>
      </c>
    </row>
    <row r="308">
      <c r="A308" s="45">
        <v>71502.0</v>
      </c>
      <c r="B308" s="45" t="s">
        <v>358</v>
      </c>
      <c r="C308" s="48">
        <v>10.77595293548224</v>
      </c>
      <c r="D308" s="48">
        <v>9.666438669380973</v>
      </c>
    </row>
    <row r="309">
      <c r="A309" s="45">
        <v>71503.0</v>
      </c>
      <c r="B309" s="45" t="s">
        <v>304</v>
      </c>
      <c r="C309" s="48">
        <v>10.351116876983735</v>
      </c>
      <c r="D309" s="48">
        <v>7.382066295871242</v>
      </c>
    </row>
    <row r="310">
      <c r="A310" s="45">
        <v>80101.0</v>
      </c>
      <c r="B310" s="45" t="s">
        <v>359</v>
      </c>
      <c r="C310" s="48">
        <v>7.453445039222879</v>
      </c>
      <c r="D310" s="48">
        <v>8.476215001052964</v>
      </c>
    </row>
    <row r="311">
      <c r="A311" s="45">
        <v>80102.0</v>
      </c>
      <c r="B311" s="45" t="s">
        <v>346</v>
      </c>
      <c r="C311" s="48">
        <v>6.969013605658789</v>
      </c>
      <c r="D311" s="48">
        <v>5.709536663526823</v>
      </c>
    </row>
    <row r="312">
      <c r="A312" s="45">
        <v>80201.0</v>
      </c>
      <c r="B312" s="45" t="s">
        <v>360</v>
      </c>
      <c r="C312" s="48">
        <v>7.413670668888142</v>
      </c>
      <c r="D312" s="48">
        <v>8.293509827820106</v>
      </c>
    </row>
    <row r="313">
      <c r="A313" s="45">
        <v>80202.0</v>
      </c>
      <c r="B313" s="45" t="s">
        <v>361</v>
      </c>
      <c r="C313" s="48">
        <v>7.3983728341440145</v>
      </c>
      <c r="D313" s="48">
        <v>8.177506543227814</v>
      </c>
    </row>
    <row r="314">
      <c r="A314" s="45">
        <v>80301.0</v>
      </c>
      <c r="B314" s="45" t="s">
        <v>362</v>
      </c>
      <c r="C314" s="48">
        <v>7.248963981476353</v>
      </c>
      <c r="D314" s="48">
        <v>7.4002845364594645</v>
      </c>
    </row>
    <row r="315">
      <c r="A315" s="45">
        <v>80302.0</v>
      </c>
      <c r="B315" s="45" t="s">
        <v>363</v>
      </c>
      <c r="C315" s="48">
        <v>7.249473909301155</v>
      </c>
      <c r="D315" s="48">
        <v>7.142177228241617</v>
      </c>
    </row>
    <row r="316">
      <c r="A316" s="45">
        <v>80303.0</v>
      </c>
      <c r="B316" s="45" t="s">
        <v>323</v>
      </c>
      <c r="C316" s="48">
        <v>7.213778961564855</v>
      </c>
      <c r="D316" s="48">
        <v>7.159577720930462</v>
      </c>
    </row>
    <row r="317">
      <c r="A317" s="45">
        <v>80304.0</v>
      </c>
      <c r="B317" s="45" t="s">
        <v>364</v>
      </c>
      <c r="C317" s="48">
        <v>7.311175176102478</v>
      </c>
      <c r="D317" s="48">
        <v>7.661291926792121</v>
      </c>
    </row>
    <row r="318">
      <c r="A318" s="45">
        <v>80401.0</v>
      </c>
      <c r="B318" s="45" t="s">
        <v>365</v>
      </c>
      <c r="C318" s="48">
        <v>7.310665248277673</v>
      </c>
      <c r="D318" s="48">
        <v>7.797595786188061</v>
      </c>
    </row>
    <row r="319">
      <c r="A319" s="45">
        <v>80402.0</v>
      </c>
      <c r="B319" s="45" t="s">
        <v>366</v>
      </c>
      <c r="C319" s="48">
        <v>6.969013605658789</v>
      </c>
      <c r="D319" s="48">
        <v>6.402656288965763</v>
      </c>
    </row>
    <row r="320">
      <c r="A320" s="45">
        <v>80501.0</v>
      </c>
      <c r="B320" s="45" t="s">
        <v>312</v>
      </c>
      <c r="C320" s="48">
        <v>7.2239775180609405</v>
      </c>
      <c r="D320" s="48">
        <v>7.10737624286393</v>
      </c>
    </row>
    <row r="321">
      <c r="A321" s="45">
        <v>80601.0</v>
      </c>
      <c r="B321" s="45" t="s">
        <v>367</v>
      </c>
      <c r="C321" s="48">
        <v>6.969013605658789</v>
      </c>
      <c r="D321" s="48">
        <v>5.709536663526823</v>
      </c>
    </row>
    <row r="322">
      <c r="A322" s="45">
        <v>80602.0</v>
      </c>
      <c r="B322" s="45" t="s">
        <v>368</v>
      </c>
      <c r="C322" s="48">
        <v>7.0296950168105035</v>
      </c>
      <c r="D322" s="48">
        <v>6.190950294584831</v>
      </c>
    </row>
    <row r="323">
      <c r="A323" s="45">
        <v>80701.0</v>
      </c>
      <c r="B323" s="45" t="s">
        <v>369</v>
      </c>
      <c r="C323" s="48">
        <v>7.302506403080803</v>
      </c>
      <c r="D323" s="48">
        <v>7.742494226006722</v>
      </c>
    </row>
    <row r="324">
      <c r="A324" s="45">
        <v>80702.0</v>
      </c>
      <c r="B324" s="45" t="s">
        <v>347</v>
      </c>
      <c r="C324" s="48">
        <v>7.320863804773758</v>
      </c>
      <c r="D324" s="48">
        <v>7.739594143891916</v>
      </c>
    </row>
    <row r="325">
      <c r="A325" s="45">
        <v>80703.0</v>
      </c>
      <c r="B325" s="45" t="s">
        <v>370</v>
      </c>
      <c r="C325" s="48">
        <v>6.969013605658789</v>
      </c>
      <c r="D325" s="48">
        <v>5.709536663526823</v>
      </c>
    </row>
    <row r="326">
      <c r="A326" s="45">
        <v>80801.0</v>
      </c>
      <c r="B326" s="45" t="s">
        <v>371</v>
      </c>
      <c r="C326" s="48">
        <v>7.318314165649737</v>
      </c>
      <c r="D326" s="48">
        <v>7.928099481354388</v>
      </c>
    </row>
    <row r="327">
      <c r="A327" s="45">
        <v>80802.0</v>
      </c>
      <c r="B327" s="45" t="s">
        <v>372</v>
      </c>
      <c r="C327" s="48">
        <v>7.169925168631684</v>
      </c>
      <c r="D327" s="48">
        <v>6.559260723165354</v>
      </c>
    </row>
    <row r="328">
      <c r="A328" s="45">
        <v>80803.0</v>
      </c>
      <c r="B328" s="45" t="s">
        <v>373</v>
      </c>
      <c r="C328" s="48">
        <v>7.13117065394656</v>
      </c>
      <c r="D328" s="48">
        <v>7.113176407093545</v>
      </c>
    </row>
    <row r="329">
      <c r="A329" s="45">
        <v>80901.0</v>
      </c>
      <c r="B329" s="45" t="s">
        <v>374</v>
      </c>
      <c r="C329" s="48">
        <v>6.969013605658789</v>
      </c>
      <c r="D329" s="48">
        <v>5.709536663526823</v>
      </c>
    </row>
    <row r="330">
      <c r="A330" s="45">
        <v>90101.0</v>
      </c>
      <c r="B330" s="45" t="s">
        <v>375</v>
      </c>
      <c r="C330" s="48">
        <v>4.375503933555512</v>
      </c>
      <c r="D330" s="48">
        <v>5.4444875693200805</v>
      </c>
    </row>
    <row r="331">
      <c r="A331" s="45">
        <v>90102.0</v>
      </c>
      <c r="B331" s="45" t="s">
        <v>376</v>
      </c>
      <c r="C331" s="48">
        <v>4.197341733605775</v>
      </c>
      <c r="D331" s="48">
        <v>5.064305349542982</v>
      </c>
    </row>
    <row r="332">
      <c r="A332" s="45">
        <v>90103.0</v>
      </c>
      <c r="B332" s="45" t="s">
        <v>377</v>
      </c>
      <c r="C332" s="48">
        <v>4.09224100724887</v>
      </c>
      <c r="D332" s="48">
        <v>3.6511402204203036</v>
      </c>
    </row>
    <row r="333">
      <c r="A333" s="45">
        <v>90104.0</v>
      </c>
      <c r="B333" s="45" t="s">
        <v>378</v>
      </c>
      <c r="C333" s="48">
        <v>4.09224100724887</v>
      </c>
      <c r="D333" s="48">
        <v>3.6511402204203036</v>
      </c>
    </row>
    <row r="334">
      <c r="A334" s="45">
        <v>90201.0</v>
      </c>
      <c r="B334" s="45" t="s">
        <v>379</v>
      </c>
      <c r="C334" s="48">
        <v>4.175782610250512</v>
      </c>
      <c r="D334" s="48">
        <v>4.535759336682138</v>
      </c>
    </row>
    <row r="335">
      <c r="A335" s="45">
        <v>90202.0</v>
      </c>
      <c r="B335" s="45" t="s">
        <v>270</v>
      </c>
      <c r="C335" s="48">
        <v>4.09224100724887</v>
      </c>
      <c r="D335" s="48">
        <v>3.6511402204203036</v>
      </c>
    </row>
    <row r="336">
      <c r="A336" s="45">
        <v>90203.0</v>
      </c>
      <c r="B336" s="45" t="s">
        <v>380</v>
      </c>
      <c r="C336" s="48">
        <v>4.09224100724887</v>
      </c>
      <c r="D336" s="48">
        <v>3.6511402204203036</v>
      </c>
    </row>
    <row r="337">
      <c r="A337" s="45">
        <v>90301.0</v>
      </c>
      <c r="B337" s="45" t="s">
        <v>381</v>
      </c>
      <c r="C337" s="48">
        <v>4.09224100724887</v>
      </c>
      <c r="D337" s="48">
        <v>3.9274677850387802</v>
      </c>
    </row>
    <row r="338">
      <c r="A338" s="45">
        <v>90302.0</v>
      </c>
      <c r="B338" s="45" t="s">
        <v>303</v>
      </c>
      <c r="C338" s="48">
        <v>4.09224100724887</v>
      </c>
      <c r="D338" s="48">
        <v>3.6511402204203036</v>
      </c>
    </row>
    <row r="339">
      <c r="A339" s="45">
        <v>90303.0</v>
      </c>
      <c r="B339" s="45" t="s">
        <v>382</v>
      </c>
      <c r="C339" s="48">
        <v>4.151828028744665</v>
      </c>
      <c r="D339" s="48">
        <v>4.4263410392828755</v>
      </c>
    </row>
    <row r="340">
      <c r="A340" s="45">
        <v>90401.0</v>
      </c>
      <c r="B340" s="45" t="s">
        <v>323</v>
      </c>
      <c r="C340" s="48">
        <v>4.09224100724887</v>
      </c>
      <c r="D340" s="48">
        <v>3.6511402204203036</v>
      </c>
    </row>
    <row r="341">
      <c r="A341" s="45">
        <v>90402.0</v>
      </c>
      <c r="B341" s="45" t="s">
        <v>383</v>
      </c>
      <c r="C341" s="48">
        <v>4.09224100724887</v>
      </c>
      <c r="D341" s="48">
        <v>3.6511402204203036</v>
      </c>
    </row>
    <row r="342">
      <c r="A342" s="45">
        <v>90501.0</v>
      </c>
      <c r="B342" s="45" t="s">
        <v>384</v>
      </c>
      <c r="C342" s="48">
        <v>4.09224100724887</v>
      </c>
      <c r="D342" s="48">
        <v>3.6511402204203036</v>
      </c>
    </row>
    <row r="343">
      <c r="A343" s="45">
        <v>90502.0</v>
      </c>
      <c r="B343" s="45" t="s">
        <v>385</v>
      </c>
      <c r="C343" s="48">
        <v>4.09224100724887</v>
      </c>
      <c r="D343" s="48">
        <v>3.6511402204203036</v>
      </c>
    </row>
    <row r="344">
      <c r="A344" s="45">
        <v>90503.0</v>
      </c>
      <c r="B344" s="45" t="s">
        <v>386</v>
      </c>
      <c r="C344" s="48">
        <v>4.09224100724887</v>
      </c>
      <c r="D344" s="48">
        <v>3.6511402204203036</v>
      </c>
    </row>
    <row r="345">
      <c r="B345" s="1"/>
      <c r="C345" s="99"/>
      <c r="D345" s="99"/>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75" customHeight="1">
      <c r="A1" s="36" t="s">
        <v>32</v>
      </c>
      <c r="B1" s="36" t="s">
        <v>33</v>
      </c>
      <c r="C1" s="98" t="s">
        <v>403</v>
      </c>
      <c r="D1" s="98" t="s">
        <v>404</v>
      </c>
      <c r="E1" s="100"/>
      <c r="F1" s="100"/>
      <c r="G1" s="100"/>
      <c r="H1" s="100"/>
      <c r="I1" s="100"/>
      <c r="J1" s="100"/>
      <c r="K1" s="100"/>
      <c r="L1" s="100"/>
      <c r="M1" s="100"/>
      <c r="N1" s="100"/>
      <c r="O1" s="100"/>
      <c r="P1" s="100"/>
      <c r="Q1" s="100"/>
      <c r="R1" s="100"/>
      <c r="S1" s="100"/>
      <c r="T1" s="100"/>
      <c r="U1" s="100"/>
      <c r="V1" s="100"/>
      <c r="W1" s="100"/>
      <c r="X1" s="100"/>
      <c r="Y1" s="100"/>
      <c r="Z1" s="100"/>
    </row>
    <row r="2">
      <c r="A2" s="45">
        <v>10101.0</v>
      </c>
      <c r="B2" s="45" t="s">
        <v>47</v>
      </c>
      <c r="C2" s="101">
        <v>2373.0495219197915</v>
      </c>
      <c r="D2" s="101">
        <v>1613.1036820860363</v>
      </c>
    </row>
    <row r="3">
      <c r="A3" s="45">
        <v>10102.0</v>
      </c>
      <c r="B3" s="45" t="s">
        <v>50</v>
      </c>
      <c r="C3" s="101">
        <v>88.91929900949546</v>
      </c>
      <c r="D3" s="101">
        <v>35.36555269836114</v>
      </c>
    </row>
    <row r="4">
      <c r="A4" s="45">
        <v>10103.0</v>
      </c>
      <c r="B4" s="45" t="s">
        <v>53</v>
      </c>
      <c r="C4" s="101">
        <v>201.14673516606948</v>
      </c>
      <c r="D4" s="101">
        <v>66.29010184195106</v>
      </c>
    </row>
    <row r="5">
      <c r="A5" s="45">
        <v>10201.0</v>
      </c>
      <c r="B5" s="45" t="s">
        <v>56</v>
      </c>
      <c r="C5" s="101">
        <v>133.2960014069582</v>
      </c>
      <c r="D5" s="101">
        <v>42.08121661045422</v>
      </c>
    </row>
    <row r="6">
      <c r="A6" s="45">
        <v>10202.0</v>
      </c>
      <c r="B6" s="45" t="s">
        <v>58</v>
      </c>
      <c r="C6" s="101">
        <v>173.77418976202702</v>
      </c>
      <c r="D6" s="101">
        <v>79.5589539263285</v>
      </c>
    </row>
    <row r="7">
      <c r="A7" s="45">
        <v>10301.0</v>
      </c>
      <c r="B7" s="45" t="s">
        <v>60</v>
      </c>
      <c r="C7" s="101">
        <v>92.29785202902286</v>
      </c>
      <c r="D7" s="101">
        <v>58.262438593962706</v>
      </c>
    </row>
    <row r="8">
      <c r="A8" s="45">
        <v>10302.0</v>
      </c>
      <c r="B8" s="45" t="s">
        <v>62</v>
      </c>
      <c r="C8" s="101">
        <v>129.39212614909337</v>
      </c>
      <c r="D8" s="101">
        <v>64.608441829211</v>
      </c>
    </row>
    <row r="9">
      <c r="A9" s="45">
        <v>10303.0</v>
      </c>
      <c r="B9" s="45" t="s">
        <v>64</v>
      </c>
      <c r="C9" s="101">
        <v>87.84098661479075</v>
      </c>
      <c r="D9" s="101">
        <v>48.14439858331552</v>
      </c>
    </row>
    <row r="10">
      <c r="A10" s="45">
        <v>10304.0</v>
      </c>
      <c r="B10" s="45" t="s">
        <v>65</v>
      </c>
      <c r="C10" s="101">
        <v>86.43088579094614</v>
      </c>
      <c r="D10" s="101">
        <v>32.87425802129435</v>
      </c>
    </row>
    <row r="11">
      <c r="A11" s="45">
        <v>10401.0</v>
      </c>
      <c r="B11" s="45" t="s">
        <v>66</v>
      </c>
      <c r="C11" s="101">
        <v>110.31022099599119</v>
      </c>
      <c r="D11" s="101">
        <v>47.73455395947806</v>
      </c>
    </row>
    <row r="12">
      <c r="A12" s="45">
        <v>10402.0</v>
      </c>
      <c r="B12" s="45" t="s">
        <v>68</v>
      </c>
      <c r="C12" s="101">
        <v>94.14496676844901</v>
      </c>
      <c r="D12" s="101">
        <v>39.32375056586082</v>
      </c>
    </row>
    <row r="13">
      <c r="A13" s="45">
        <v>10403.0</v>
      </c>
      <c r="B13" s="45" t="s">
        <v>70</v>
      </c>
      <c r="C13" s="101">
        <v>81.55371726860015</v>
      </c>
      <c r="D13" s="101">
        <v>31.35635292244151</v>
      </c>
    </row>
    <row r="14">
      <c r="A14" s="45">
        <v>10404.0</v>
      </c>
      <c r="B14" s="45" t="s">
        <v>71</v>
      </c>
      <c r="C14" s="101">
        <v>45.703856114022386</v>
      </c>
      <c r="D14" s="101">
        <v>13.864596463676037</v>
      </c>
    </row>
    <row r="15">
      <c r="A15" s="45">
        <v>10405.0</v>
      </c>
      <c r="B15" s="45" t="s">
        <v>72</v>
      </c>
      <c r="C15" s="101">
        <v>42.63481314447823</v>
      </c>
      <c r="D15" s="101">
        <v>23.234030792644607</v>
      </c>
    </row>
    <row r="16">
      <c r="A16" s="45">
        <v>10501.0</v>
      </c>
      <c r="B16" s="45" t="s">
        <v>73</v>
      </c>
      <c r="C16" s="101">
        <v>255.35610904710404</v>
      </c>
      <c r="D16" s="101">
        <v>123.03134799722477</v>
      </c>
    </row>
    <row r="17">
      <c r="A17" s="45">
        <v>10502.0</v>
      </c>
      <c r="B17" s="45" t="s">
        <v>74</v>
      </c>
      <c r="C17" s="101">
        <v>105.25987914463595</v>
      </c>
      <c r="D17" s="101">
        <v>34.87812547893503</v>
      </c>
    </row>
    <row r="18">
      <c r="A18" s="45">
        <v>10601.0</v>
      </c>
      <c r="B18" s="45" t="s">
        <v>75</v>
      </c>
      <c r="C18" s="101">
        <v>197.58447048870724</v>
      </c>
      <c r="D18" s="101">
        <v>59.0665851888559</v>
      </c>
    </row>
    <row r="19">
      <c r="A19" s="45">
        <v>10602.0</v>
      </c>
      <c r="B19" s="45" t="s">
        <v>76</v>
      </c>
      <c r="C19" s="101">
        <v>97.79463948898801</v>
      </c>
      <c r="D19" s="101">
        <v>31.303659203143553</v>
      </c>
    </row>
    <row r="20">
      <c r="A20" s="45">
        <v>10701.0</v>
      </c>
      <c r="B20" s="45" t="s">
        <v>77</v>
      </c>
      <c r="C20" s="101">
        <v>156.54043517564187</v>
      </c>
      <c r="D20" s="101">
        <v>65.64785329534723</v>
      </c>
    </row>
    <row r="21">
      <c r="A21" s="45">
        <v>10702.0</v>
      </c>
      <c r="B21" s="45" t="s">
        <v>78</v>
      </c>
      <c r="C21" s="101">
        <v>395.6577017493408</v>
      </c>
      <c r="D21" s="101">
        <v>140.4762564246854</v>
      </c>
    </row>
    <row r="22">
      <c r="A22" s="45">
        <v>10703.0</v>
      </c>
      <c r="B22" s="45" t="s">
        <v>79</v>
      </c>
      <c r="C22" s="101">
        <v>155.02814351562222</v>
      </c>
      <c r="D22" s="101">
        <v>82.703617711746</v>
      </c>
    </row>
    <row r="23">
      <c r="A23" s="45">
        <v>10704.0</v>
      </c>
      <c r="B23" s="45" t="s">
        <v>80</v>
      </c>
      <c r="C23" s="101">
        <v>186.57154461557747</v>
      </c>
      <c r="D23" s="101">
        <v>76.25187629662221</v>
      </c>
    </row>
    <row r="24">
      <c r="A24" s="45">
        <v>10801.0</v>
      </c>
      <c r="B24" s="45" t="s">
        <v>81</v>
      </c>
      <c r="C24" s="101">
        <v>116.32219091620314</v>
      </c>
      <c r="D24" s="101">
        <v>39.119323418101516</v>
      </c>
    </row>
    <row r="25">
      <c r="A25" s="45">
        <v>10901.0</v>
      </c>
      <c r="B25" s="45" t="s">
        <v>82</v>
      </c>
      <c r="C25" s="101">
        <v>34.340102415980525</v>
      </c>
      <c r="D25" s="101">
        <v>23.488111901945455</v>
      </c>
    </row>
    <row r="26">
      <c r="A26" s="45">
        <v>10902.0</v>
      </c>
      <c r="B26" s="45" t="s">
        <v>83</v>
      </c>
      <c r="C26" s="101">
        <v>200.97385720968617</v>
      </c>
      <c r="D26" s="101">
        <v>82.6618588676352</v>
      </c>
    </row>
    <row r="27">
      <c r="A27" s="45">
        <v>10903.0</v>
      </c>
      <c r="B27" s="45" t="s">
        <v>84</v>
      </c>
      <c r="C27" s="101">
        <v>34.58894373783545</v>
      </c>
      <c r="D27" s="101">
        <v>17.11411125985011</v>
      </c>
    </row>
    <row r="28">
      <c r="A28" s="45">
        <v>11001.0</v>
      </c>
      <c r="B28" s="45" t="s">
        <v>85</v>
      </c>
      <c r="C28" s="101">
        <v>114.35472599340704</v>
      </c>
      <c r="D28" s="101">
        <v>54.39414740779716</v>
      </c>
    </row>
    <row r="29">
      <c r="A29" s="45">
        <v>11002.0</v>
      </c>
      <c r="B29" s="45" t="s">
        <v>86</v>
      </c>
      <c r="C29" s="101">
        <v>28.450857798747148</v>
      </c>
      <c r="D29" s="101">
        <v>11.752411846162891</v>
      </c>
    </row>
    <row r="30">
      <c r="A30" s="45">
        <v>11003.0</v>
      </c>
      <c r="B30" s="45" t="s">
        <v>87</v>
      </c>
      <c r="C30" s="101">
        <v>76.8090213458888</v>
      </c>
      <c r="D30" s="101">
        <v>29.94969470473769</v>
      </c>
    </row>
    <row r="31">
      <c r="A31" s="45">
        <v>20101.0</v>
      </c>
      <c r="B31" s="45" t="s">
        <v>88</v>
      </c>
      <c r="C31" s="101">
        <v>5730.304987802827</v>
      </c>
      <c r="D31" s="101">
        <v>4620.87297785447</v>
      </c>
    </row>
    <row r="32">
      <c r="A32" s="45">
        <v>20102.0</v>
      </c>
      <c r="B32" s="45" t="s">
        <v>89</v>
      </c>
      <c r="C32" s="101">
        <v>138.95067538405982</v>
      </c>
      <c r="D32" s="101">
        <v>139.7850498320973</v>
      </c>
    </row>
    <row r="33">
      <c r="A33" s="45">
        <v>20103.0</v>
      </c>
      <c r="B33" s="45" t="s">
        <v>90</v>
      </c>
      <c r="C33" s="101">
        <v>106.30705192763564</v>
      </c>
      <c r="D33" s="101">
        <v>101.27204669932759</v>
      </c>
    </row>
    <row r="34">
      <c r="A34" s="45">
        <v>20104.0</v>
      </c>
      <c r="B34" s="45" t="s">
        <v>91</v>
      </c>
      <c r="C34" s="101">
        <v>173.37299159112175</v>
      </c>
      <c r="D34" s="101">
        <v>355.10776806507806</v>
      </c>
    </row>
    <row r="35">
      <c r="A35" s="45">
        <v>20105.0</v>
      </c>
      <c r="B35" s="45" t="s">
        <v>92</v>
      </c>
      <c r="C35" s="101">
        <v>7645.784519825488</v>
      </c>
      <c r="D35" s="101">
        <v>7790.9676764672695</v>
      </c>
    </row>
    <row r="36">
      <c r="A36" s="45">
        <v>20201.0</v>
      </c>
      <c r="B36" s="45" t="s">
        <v>93</v>
      </c>
      <c r="C36" s="101">
        <v>342.671844367449</v>
      </c>
      <c r="D36" s="101">
        <v>252.7184012553281</v>
      </c>
    </row>
    <row r="37">
      <c r="A37" s="45">
        <v>20202.0</v>
      </c>
      <c r="B37" s="45" t="s">
        <v>94</v>
      </c>
      <c r="C37" s="101">
        <v>97.46117794543915</v>
      </c>
      <c r="D37" s="101">
        <v>77.49377553435845</v>
      </c>
    </row>
    <row r="38">
      <c r="A38" s="45">
        <v>20203.0</v>
      </c>
      <c r="B38" s="45" t="s">
        <v>95</v>
      </c>
      <c r="C38" s="101">
        <v>31.704238608757315</v>
      </c>
      <c r="D38" s="101">
        <v>29.937233204420163</v>
      </c>
    </row>
    <row r="39">
      <c r="A39" s="45">
        <v>20204.0</v>
      </c>
      <c r="B39" s="45" t="s">
        <v>96</v>
      </c>
      <c r="C39" s="101">
        <v>46.96924238334416</v>
      </c>
      <c r="D39" s="101">
        <v>36.87581069190296</v>
      </c>
    </row>
    <row r="40">
      <c r="A40" s="45">
        <v>20205.0</v>
      </c>
      <c r="B40" s="45" t="s">
        <v>97</v>
      </c>
      <c r="C40" s="101">
        <v>49.23942243187247</v>
      </c>
      <c r="D40" s="101">
        <v>36.641926057493436</v>
      </c>
    </row>
    <row r="41">
      <c r="A41" s="45">
        <v>20206.0</v>
      </c>
      <c r="B41" s="45" t="s">
        <v>98</v>
      </c>
      <c r="C41" s="101">
        <v>22.62351841464411</v>
      </c>
      <c r="D41" s="101">
        <v>23.310501896150075</v>
      </c>
    </row>
    <row r="42">
      <c r="A42" s="45">
        <v>20301.0</v>
      </c>
      <c r="B42" s="45" t="s">
        <v>99</v>
      </c>
      <c r="C42" s="101">
        <v>80.23912240487962</v>
      </c>
      <c r="D42" s="101">
        <v>75.46814155273714</v>
      </c>
    </row>
    <row r="43">
      <c r="A43" s="45">
        <v>20302.0</v>
      </c>
      <c r="B43" s="45" t="s">
        <v>100</v>
      </c>
      <c r="C43" s="101">
        <v>98.71369107566166</v>
      </c>
      <c r="D43" s="101">
        <v>82.48331440176182</v>
      </c>
    </row>
    <row r="44">
      <c r="A44" s="45">
        <v>20303.0</v>
      </c>
      <c r="B44" s="45" t="s">
        <v>101</v>
      </c>
      <c r="C44" s="101">
        <v>60.43375853323616</v>
      </c>
      <c r="D44" s="101">
        <v>60.420197222462576</v>
      </c>
    </row>
    <row r="45">
      <c r="A45" s="45">
        <v>20304.0</v>
      </c>
      <c r="B45" s="45" t="s">
        <v>102</v>
      </c>
      <c r="C45" s="101">
        <v>29.98203305470136</v>
      </c>
      <c r="D45" s="101">
        <v>29.001694666782036</v>
      </c>
    </row>
    <row r="46">
      <c r="A46" s="45">
        <v>20305.0</v>
      </c>
      <c r="B46" s="45" t="s">
        <v>103</v>
      </c>
      <c r="C46" s="101">
        <v>23.719467403588805</v>
      </c>
      <c r="D46" s="101">
        <v>22.452924903315125</v>
      </c>
    </row>
    <row r="47">
      <c r="A47" s="45">
        <v>20306.0</v>
      </c>
      <c r="B47" s="45" t="s">
        <v>104</v>
      </c>
      <c r="C47" s="101">
        <v>33.7311618960722</v>
      </c>
      <c r="D47" s="101">
        <v>33.68615887200702</v>
      </c>
    </row>
    <row r="48">
      <c r="A48" s="45">
        <v>20307.0</v>
      </c>
      <c r="B48" s="45" t="s">
        <v>105</v>
      </c>
      <c r="C48" s="101">
        <v>3.4444111081119058</v>
      </c>
      <c r="D48" s="101">
        <v>19.256501566384845</v>
      </c>
    </row>
    <row r="49">
      <c r="A49" s="45">
        <v>20308.0</v>
      </c>
      <c r="B49" s="45" t="s">
        <v>106</v>
      </c>
      <c r="C49" s="101">
        <v>53.15352596381782</v>
      </c>
      <c r="D49" s="101">
        <v>35.94027215426483</v>
      </c>
    </row>
    <row r="50">
      <c r="A50" s="45">
        <v>20401.0</v>
      </c>
      <c r="B50" s="45" t="s">
        <v>107</v>
      </c>
      <c r="C50" s="101">
        <v>78.9866092746571</v>
      </c>
      <c r="D50" s="101">
        <v>56.83396616151641</v>
      </c>
    </row>
    <row r="51">
      <c r="A51" s="45">
        <v>20402.0</v>
      </c>
      <c r="B51" s="45" t="s">
        <v>108</v>
      </c>
      <c r="C51" s="101">
        <v>126.11241579927908</v>
      </c>
      <c r="D51" s="101">
        <v>81.1579681401078</v>
      </c>
    </row>
    <row r="52">
      <c r="A52" s="45">
        <v>20403.0</v>
      </c>
      <c r="B52" s="45" t="s">
        <v>109</v>
      </c>
      <c r="C52" s="101">
        <v>107.79441126977487</v>
      </c>
      <c r="D52" s="101">
        <v>77.57173707916164</v>
      </c>
    </row>
    <row r="53">
      <c r="A53" s="45">
        <v>20404.0</v>
      </c>
      <c r="B53" s="45" t="s">
        <v>110</v>
      </c>
      <c r="C53" s="101">
        <v>40.78495880287052</v>
      </c>
      <c r="D53" s="101">
        <v>27.442463770718486</v>
      </c>
    </row>
    <row r="54">
      <c r="A54" s="45">
        <v>20405.0</v>
      </c>
      <c r="B54" s="45" t="s">
        <v>111</v>
      </c>
      <c r="C54" s="101">
        <v>41.88090779181522</v>
      </c>
      <c r="D54" s="101">
        <v>35.08269516142988</v>
      </c>
    </row>
    <row r="55">
      <c r="A55" s="45">
        <v>20501.0</v>
      </c>
      <c r="B55" s="45" t="s">
        <v>112</v>
      </c>
      <c r="C55" s="101">
        <v>102.86264081952373</v>
      </c>
      <c r="D55" s="101">
        <v>105.09216239468329</v>
      </c>
    </row>
    <row r="56">
      <c r="A56" s="45">
        <v>20502.0</v>
      </c>
      <c r="B56" s="45" t="s">
        <v>113</v>
      </c>
      <c r="C56" s="101">
        <v>83.13555901851917</v>
      </c>
      <c r="D56" s="101">
        <v>55.11881217584651</v>
      </c>
    </row>
    <row r="57">
      <c r="A57" s="45">
        <v>20503.0</v>
      </c>
      <c r="B57" s="45" t="s">
        <v>114</v>
      </c>
      <c r="C57" s="101">
        <v>47.90862723101105</v>
      </c>
      <c r="D57" s="101">
        <v>46.075272978677916</v>
      </c>
    </row>
    <row r="58">
      <c r="A58" s="45">
        <v>20601.0</v>
      </c>
      <c r="B58" s="45" t="s">
        <v>115</v>
      </c>
      <c r="C58" s="101">
        <v>181.28749795527605</v>
      </c>
      <c r="D58" s="101">
        <v>193.31265450366257</v>
      </c>
    </row>
    <row r="59">
      <c r="A59" s="45">
        <v>20602.0</v>
      </c>
      <c r="B59" s="45" t="s">
        <v>116</v>
      </c>
      <c r="C59" s="101">
        <v>130.81947852042066</v>
      </c>
      <c r="D59" s="101">
        <v>122.95683011403021</v>
      </c>
    </row>
    <row r="60">
      <c r="A60" s="45">
        <v>20603.0</v>
      </c>
      <c r="B60" s="45" t="s">
        <v>117</v>
      </c>
      <c r="C60" s="101">
        <v>69.74932493926609</v>
      </c>
      <c r="D60" s="101">
        <v>63.14885129057379</v>
      </c>
    </row>
    <row r="61">
      <c r="A61" s="45">
        <v>20604.0</v>
      </c>
      <c r="B61" s="45" t="s">
        <v>118</v>
      </c>
      <c r="C61" s="101">
        <v>25.05026260445022</v>
      </c>
      <c r="D61" s="101">
        <v>28.923733121978856</v>
      </c>
    </row>
    <row r="62">
      <c r="A62" s="45">
        <v>20605.0</v>
      </c>
      <c r="B62" s="45" t="s">
        <v>119</v>
      </c>
      <c r="C62" s="101">
        <v>20.353338366115807</v>
      </c>
      <c r="D62" s="101">
        <v>16.9956167670927</v>
      </c>
    </row>
    <row r="63">
      <c r="A63" s="45">
        <v>20606.0</v>
      </c>
      <c r="B63" s="45" t="s">
        <v>120</v>
      </c>
      <c r="C63" s="101">
        <v>95.86449482767449</v>
      </c>
      <c r="D63" s="101">
        <v>63.607710668558205</v>
      </c>
    </row>
    <row r="64">
      <c r="A64" s="45">
        <v>20607.0</v>
      </c>
      <c r="B64" s="45" t="s">
        <v>121</v>
      </c>
      <c r="C64" s="101">
        <v>140.32045887473703</v>
      </c>
      <c r="D64" s="101">
        <v>190.44258066824804</v>
      </c>
    </row>
    <row r="65">
      <c r="A65" s="45">
        <v>20608.0</v>
      </c>
      <c r="B65" s="45" t="s">
        <v>122</v>
      </c>
      <c r="C65" s="101">
        <v>82.11789210021338</v>
      </c>
      <c r="D65" s="101">
        <v>100.62028818477303</v>
      </c>
    </row>
    <row r="66">
      <c r="A66" s="45">
        <v>20701.0</v>
      </c>
      <c r="B66" s="45" t="s">
        <v>123</v>
      </c>
      <c r="C66" s="101">
        <v>190.06780211137786</v>
      </c>
      <c r="D66" s="101">
        <v>177.47130419431994</v>
      </c>
    </row>
    <row r="67">
      <c r="A67" s="45">
        <v>20702.0</v>
      </c>
      <c r="B67" s="45" t="s">
        <v>124</v>
      </c>
      <c r="C67" s="101">
        <v>60.66860474515288</v>
      </c>
      <c r="D67" s="101">
        <v>56.75600461671323</v>
      </c>
    </row>
    <row r="68">
      <c r="A68" s="45">
        <v>20801.0</v>
      </c>
      <c r="B68" s="45" t="s">
        <v>125</v>
      </c>
      <c r="C68" s="101">
        <v>589.3681441074068</v>
      </c>
      <c r="D68" s="101">
        <v>903.6597501219317</v>
      </c>
    </row>
    <row r="69">
      <c r="A69" s="45">
        <v>20802.0</v>
      </c>
      <c r="B69" s="45" t="s">
        <v>126</v>
      </c>
      <c r="C69" s="101">
        <v>42.97685678075991</v>
      </c>
      <c r="D69" s="101">
        <v>37.343579960722025</v>
      </c>
    </row>
    <row r="70">
      <c r="A70" s="45">
        <v>20803.0</v>
      </c>
      <c r="B70" s="45" t="s">
        <v>127</v>
      </c>
      <c r="C70" s="101">
        <v>78.25812014392903</v>
      </c>
      <c r="D70" s="101">
        <v>74.43310923411211</v>
      </c>
    </row>
    <row r="71">
      <c r="A71" s="45">
        <v>20804.0</v>
      </c>
      <c r="B71" s="45" t="s">
        <v>128</v>
      </c>
      <c r="C71" s="101">
        <v>49.366911466523725</v>
      </c>
      <c r="D71" s="101">
        <v>54.29004383004358</v>
      </c>
    </row>
    <row r="72">
      <c r="A72" s="45">
        <v>20805.0</v>
      </c>
      <c r="B72" s="45" t="s">
        <v>129</v>
      </c>
      <c r="C72" s="101">
        <v>38.74962496625894</v>
      </c>
      <c r="D72" s="101">
        <v>36.17415678867437</v>
      </c>
    </row>
    <row r="73">
      <c r="A73" s="45">
        <v>20806.0</v>
      </c>
      <c r="B73" s="45" t="s">
        <v>130</v>
      </c>
      <c r="C73" s="101">
        <v>97.69602415735586</v>
      </c>
      <c r="D73" s="101">
        <v>89.26596879963824</v>
      </c>
    </row>
    <row r="74">
      <c r="A74" s="45">
        <v>20807.0</v>
      </c>
      <c r="B74" s="45" t="s">
        <v>131</v>
      </c>
      <c r="C74" s="101">
        <v>34.052700727924524</v>
      </c>
      <c r="D74" s="101">
        <v>35.39454134064259</v>
      </c>
    </row>
    <row r="75">
      <c r="A75" s="45">
        <v>20901.0</v>
      </c>
      <c r="B75" s="45" t="s">
        <v>132</v>
      </c>
      <c r="C75" s="101">
        <v>73.2720181180169</v>
      </c>
      <c r="D75" s="101">
        <v>53.247735100570246</v>
      </c>
    </row>
    <row r="76">
      <c r="A76" s="45">
        <v>20902.0</v>
      </c>
      <c r="B76" s="45" t="s">
        <v>133</v>
      </c>
      <c r="C76" s="101">
        <v>91.3551764356044</v>
      </c>
      <c r="D76" s="101">
        <v>84.27642993223489</v>
      </c>
    </row>
    <row r="77">
      <c r="A77" s="45">
        <v>20903.0</v>
      </c>
      <c r="B77" s="45" t="s">
        <v>134</v>
      </c>
      <c r="C77" s="101">
        <v>63.17363100559791</v>
      </c>
      <c r="D77" s="101">
        <v>77.3133502449568</v>
      </c>
    </row>
    <row r="78">
      <c r="A78" s="45">
        <v>20904.0</v>
      </c>
      <c r="B78" s="45" t="s">
        <v>135</v>
      </c>
      <c r="C78" s="101">
        <v>45.325318899927126</v>
      </c>
      <c r="D78" s="101">
        <v>41.70942646969998</v>
      </c>
    </row>
    <row r="79">
      <c r="A79" s="45">
        <v>20905.0</v>
      </c>
      <c r="B79" s="45" t="s">
        <v>136</v>
      </c>
      <c r="C79" s="101">
        <v>103.48889738463498</v>
      </c>
      <c r="D79" s="101">
        <v>88.56431489640966</v>
      </c>
    </row>
    <row r="80">
      <c r="A80" s="45">
        <v>21001.0</v>
      </c>
      <c r="B80" s="45" t="s">
        <v>137</v>
      </c>
      <c r="C80" s="101">
        <v>143.72588169303316</v>
      </c>
      <c r="D80" s="101">
        <v>124.89439477469037</v>
      </c>
    </row>
    <row r="81">
      <c r="A81" s="45">
        <v>21002.0</v>
      </c>
      <c r="B81" s="45" t="s">
        <v>138</v>
      </c>
      <c r="C81" s="101">
        <v>68.7843857688326</v>
      </c>
      <c r="D81" s="101">
        <v>82.82396922800655</v>
      </c>
    </row>
    <row r="82">
      <c r="A82" s="45">
        <v>21003.0</v>
      </c>
      <c r="B82" s="45" t="s">
        <v>139</v>
      </c>
      <c r="C82" s="101">
        <v>87.20622669174234</v>
      </c>
      <c r="D82" s="101">
        <v>118.23177640611407</v>
      </c>
    </row>
    <row r="83">
      <c r="A83" s="45">
        <v>21004.0</v>
      </c>
      <c r="B83" s="45" t="s">
        <v>140</v>
      </c>
      <c r="C83" s="101">
        <v>190.19270210974165</v>
      </c>
      <c r="D83" s="101">
        <v>177.35556471237783</v>
      </c>
    </row>
    <row r="84">
      <c r="A84" s="45">
        <v>21005.0</v>
      </c>
      <c r="B84" s="45" t="s">
        <v>141</v>
      </c>
      <c r="C84" s="101">
        <v>71.47153049332205</v>
      </c>
      <c r="D84" s="101">
        <v>64.29554434111438</v>
      </c>
    </row>
    <row r="85">
      <c r="A85" s="45">
        <v>21006.0</v>
      </c>
      <c r="B85" s="45" t="s">
        <v>142</v>
      </c>
      <c r="C85" s="101">
        <v>31.454732647124366</v>
      </c>
      <c r="D85" s="101">
        <v>78.50642422723112</v>
      </c>
    </row>
    <row r="86">
      <c r="A86" s="45">
        <v>21101.0</v>
      </c>
      <c r="B86" s="45" t="s">
        <v>143</v>
      </c>
      <c r="C86" s="101">
        <v>135.1634957284021</v>
      </c>
      <c r="D86" s="101">
        <v>112.73239378539469</v>
      </c>
    </row>
    <row r="87">
      <c r="A87" s="45">
        <v>21102.0</v>
      </c>
      <c r="B87" s="45" t="s">
        <v>144</v>
      </c>
      <c r="C87" s="101">
        <v>126.11241579927908</v>
      </c>
      <c r="D87" s="101">
        <v>133.96617832580483</v>
      </c>
    </row>
    <row r="88">
      <c r="A88" s="45">
        <v>21103.0</v>
      </c>
      <c r="B88" s="45" t="s">
        <v>145</v>
      </c>
      <c r="C88" s="101">
        <v>44.22936991098242</v>
      </c>
      <c r="D88" s="101">
        <v>39.44854167040782</v>
      </c>
    </row>
    <row r="89">
      <c r="A89" s="45">
        <v>21104.0</v>
      </c>
      <c r="B89" s="45" t="s">
        <v>146</v>
      </c>
      <c r="C89" s="101">
        <v>224.94079010842677</v>
      </c>
      <c r="D89" s="101">
        <v>210.84947783980923</v>
      </c>
    </row>
    <row r="90">
      <c r="A90" s="45">
        <v>21105.0</v>
      </c>
      <c r="B90" s="45" t="s">
        <v>147</v>
      </c>
      <c r="C90" s="101">
        <v>365.0237583647145</v>
      </c>
      <c r="D90" s="101">
        <v>346.76671436094927</v>
      </c>
    </row>
    <row r="91">
      <c r="A91" s="45">
        <v>21201.0</v>
      </c>
      <c r="B91" s="45" t="s">
        <v>148</v>
      </c>
      <c r="C91" s="101">
        <v>229.99272353710862</v>
      </c>
      <c r="D91" s="101">
        <v>321.4828498427412</v>
      </c>
    </row>
    <row r="92">
      <c r="A92" s="45">
        <v>21202.0</v>
      </c>
      <c r="B92" s="45" t="s">
        <v>149</v>
      </c>
      <c r="C92" s="101">
        <v>158.99088546762002</v>
      </c>
      <c r="D92" s="101">
        <v>251.8618736496359</v>
      </c>
    </row>
    <row r="93">
      <c r="A93" s="45">
        <v>21203.0</v>
      </c>
      <c r="B93" s="45" t="s">
        <v>150</v>
      </c>
      <c r="C93" s="101">
        <v>144.36248103806273</v>
      </c>
      <c r="D93" s="101">
        <v>117.770352959545</v>
      </c>
    </row>
    <row r="94">
      <c r="A94" s="45">
        <v>21204.0</v>
      </c>
      <c r="B94" s="45" t="s">
        <v>151</v>
      </c>
      <c r="C94" s="101">
        <v>47.67378101909433</v>
      </c>
      <c r="D94" s="101">
        <v>36.096195243871186</v>
      </c>
    </row>
    <row r="95">
      <c r="A95" s="45">
        <v>21301.0</v>
      </c>
      <c r="B95" s="45" t="s">
        <v>152</v>
      </c>
      <c r="C95" s="101">
        <v>263.6208184952502</v>
      </c>
      <c r="D95" s="101">
        <v>239.19341466554138</v>
      </c>
    </row>
    <row r="96">
      <c r="A96" s="45">
        <v>21302.0</v>
      </c>
      <c r="B96" s="45" t="s">
        <v>153</v>
      </c>
      <c r="C96" s="101">
        <v>71.94122291715549</v>
      </c>
      <c r="D96" s="101">
        <v>42.800888096944455</v>
      </c>
    </row>
    <row r="97">
      <c r="A97" s="45">
        <v>21303.0</v>
      </c>
      <c r="B97" s="45" t="s">
        <v>154</v>
      </c>
      <c r="C97" s="101">
        <v>62.78222065240337</v>
      </c>
      <c r="D97" s="101">
        <v>60.65408185687211</v>
      </c>
    </row>
    <row r="98">
      <c r="A98" s="45">
        <v>21304.0</v>
      </c>
      <c r="B98" s="45" t="s">
        <v>155</v>
      </c>
      <c r="C98" s="101">
        <v>96.44351102713335</v>
      </c>
      <c r="D98" s="101">
        <v>87.7067379035747</v>
      </c>
    </row>
    <row r="99">
      <c r="A99" s="45">
        <v>21305.0</v>
      </c>
      <c r="B99" s="45" t="s">
        <v>156</v>
      </c>
      <c r="C99" s="101">
        <v>206.50676200364168</v>
      </c>
      <c r="D99" s="101">
        <v>195.404063279401</v>
      </c>
    </row>
    <row r="100">
      <c r="A100" s="45">
        <v>21306.0</v>
      </c>
      <c r="B100" s="45" t="s">
        <v>157</v>
      </c>
      <c r="C100" s="101">
        <v>80.82938831068493</v>
      </c>
      <c r="D100" s="101">
        <v>113.37881626532715</v>
      </c>
    </row>
    <row r="101">
      <c r="A101" s="45">
        <v>21307.0</v>
      </c>
      <c r="B101" s="45" t="s">
        <v>158</v>
      </c>
      <c r="C101" s="101">
        <v>33.340438897644255</v>
      </c>
      <c r="D101" s="101">
        <v>43.32091882544808</v>
      </c>
    </row>
    <row r="102">
      <c r="A102" s="45">
        <v>21401.0</v>
      </c>
      <c r="B102" s="45" t="s">
        <v>159</v>
      </c>
      <c r="C102" s="101">
        <v>132.56395818755155</v>
      </c>
      <c r="D102" s="101">
        <v>154.66058777472142</v>
      </c>
    </row>
    <row r="103">
      <c r="A103" s="45">
        <v>21402.0</v>
      </c>
      <c r="B103" s="45" t="s">
        <v>160</v>
      </c>
      <c r="C103" s="101">
        <v>123.37498725497633</v>
      </c>
      <c r="D103" s="101">
        <v>139.86850580958182</v>
      </c>
    </row>
    <row r="104">
      <c r="A104" s="45">
        <v>21501.0</v>
      </c>
      <c r="B104" s="45" t="s">
        <v>161</v>
      </c>
      <c r="C104" s="101">
        <v>94.06510315196857</v>
      </c>
      <c r="D104" s="101">
        <v>117.6708789783155</v>
      </c>
    </row>
    <row r="105">
      <c r="A105" s="45">
        <v>21502.0</v>
      </c>
      <c r="B105" s="45" t="s">
        <v>162</v>
      </c>
      <c r="C105" s="101">
        <v>88.37509256550896</v>
      </c>
      <c r="D105" s="101">
        <v>97.94776642892009</v>
      </c>
    </row>
    <row r="106">
      <c r="A106" s="45">
        <v>21601.0</v>
      </c>
      <c r="B106" s="45" t="s">
        <v>163</v>
      </c>
      <c r="C106" s="101">
        <v>119.29025935813893</v>
      </c>
      <c r="D106" s="101">
        <v>133.28894742334182</v>
      </c>
    </row>
    <row r="107">
      <c r="A107" s="45">
        <v>21602.0</v>
      </c>
      <c r="B107" s="45" t="s">
        <v>164</v>
      </c>
      <c r="C107" s="101">
        <v>29.590622701506827</v>
      </c>
      <c r="D107" s="101">
        <v>56.75600461671323</v>
      </c>
    </row>
    <row r="108">
      <c r="A108" s="45">
        <v>21701.0</v>
      </c>
      <c r="B108" s="45" t="s">
        <v>165</v>
      </c>
      <c r="C108" s="101">
        <v>113.108037841965</v>
      </c>
      <c r="D108" s="101">
        <v>90.39119891314606</v>
      </c>
    </row>
    <row r="109">
      <c r="A109" s="45">
        <v>21702.0</v>
      </c>
      <c r="B109" s="45" t="s">
        <v>166</v>
      </c>
      <c r="C109" s="101">
        <v>34.52239315175796</v>
      </c>
      <c r="D109" s="101">
        <v>33.60142581016951</v>
      </c>
    </row>
    <row r="110">
      <c r="A110" s="45">
        <v>21703.0</v>
      </c>
      <c r="B110" s="45" t="s">
        <v>167</v>
      </c>
      <c r="C110" s="101">
        <v>24.489237916006733</v>
      </c>
      <c r="D110" s="101">
        <v>29.878992217997673</v>
      </c>
    </row>
    <row r="111">
      <c r="A111" s="45">
        <v>21801.0</v>
      </c>
      <c r="B111" s="45" t="s">
        <v>168</v>
      </c>
      <c r="C111" s="101">
        <v>58.6332709085413</v>
      </c>
      <c r="D111" s="101">
        <v>42.48904191773175</v>
      </c>
    </row>
    <row r="112">
      <c r="A112" s="45">
        <v>21802.0</v>
      </c>
      <c r="B112" s="45" t="s">
        <v>169</v>
      </c>
      <c r="C112" s="101">
        <v>50.570217632733886</v>
      </c>
      <c r="D112" s="101">
        <v>31.808310279696425</v>
      </c>
    </row>
    <row r="113">
      <c r="A113" s="45">
        <v>21803.0</v>
      </c>
      <c r="B113" s="45" t="s">
        <v>170</v>
      </c>
      <c r="C113" s="101">
        <v>16.047824480975923</v>
      </c>
      <c r="D113" s="101">
        <v>11.30442399646074</v>
      </c>
    </row>
    <row r="114">
      <c r="A114" s="45">
        <v>21901.0</v>
      </c>
      <c r="B114" s="45" t="s">
        <v>171</v>
      </c>
      <c r="C114" s="101">
        <v>26.69418608786727</v>
      </c>
      <c r="D114" s="101">
        <v>28.45596385315979</v>
      </c>
    </row>
    <row r="115">
      <c r="A115" s="45">
        <v>21902.0</v>
      </c>
      <c r="B115" s="45" t="s">
        <v>172</v>
      </c>
      <c r="C115" s="101">
        <v>19.570517659726736</v>
      </c>
      <c r="D115" s="101">
        <v>35.78434906465848</v>
      </c>
    </row>
    <row r="116">
      <c r="A116" s="45">
        <v>22001.0</v>
      </c>
      <c r="B116" s="45" t="s">
        <v>173</v>
      </c>
      <c r="C116" s="101">
        <v>465.79999106983183</v>
      </c>
      <c r="D116" s="101">
        <v>455.7843073606538</v>
      </c>
    </row>
    <row r="117">
      <c r="A117" s="45">
        <v>22002.0</v>
      </c>
      <c r="B117" s="45" t="s">
        <v>174</v>
      </c>
      <c r="C117" s="101">
        <v>96.60007516841117</v>
      </c>
      <c r="D117" s="101">
        <v>65.09788991065322</v>
      </c>
    </row>
    <row r="118">
      <c r="A118" s="45">
        <v>30101.0</v>
      </c>
      <c r="B118" s="45" t="s">
        <v>55</v>
      </c>
      <c r="C118" s="101">
        <v>4937.4496025881745</v>
      </c>
      <c r="D118" s="101">
        <v>3062.1903720143605</v>
      </c>
    </row>
    <row r="119">
      <c r="A119" s="45">
        <v>30201.0</v>
      </c>
      <c r="B119" s="45" t="s">
        <v>175</v>
      </c>
      <c r="C119" s="101">
        <v>246.78142289984277</v>
      </c>
      <c r="D119" s="101">
        <v>99.19250887262412</v>
      </c>
    </row>
    <row r="120">
      <c r="A120" s="45">
        <v>30202.0</v>
      </c>
      <c r="B120" s="45" t="s">
        <v>176</v>
      </c>
      <c r="C120" s="101">
        <v>52.76140299230922</v>
      </c>
      <c r="D120" s="101">
        <v>24.99654459415206</v>
      </c>
    </row>
    <row r="121">
      <c r="A121" s="45">
        <v>30203.0</v>
      </c>
      <c r="B121" s="45" t="s">
        <v>177</v>
      </c>
      <c r="C121" s="101">
        <v>56.78982361093485</v>
      </c>
      <c r="D121" s="101">
        <v>26.455844546711575</v>
      </c>
    </row>
    <row r="122">
      <c r="A122" s="45">
        <v>30301.0</v>
      </c>
      <c r="B122" s="45" t="s">
        <v>178</v>
      </c>
      <c r="C122" s="101">
        <v>263.12460446912047</v>
      </c>
      <c r="D122" s="101">
        <v>91.9065016284199</v>
      </c>
    </row>
    <row r="123">
      <c r="A123" s="45">
        <v>30302.0</v>
      </c>
      <c r="B123" s="45" t="s">
        <v>179</v>
      </c>
      <c r="C123" s="101">
        <v>151.8166200913836</v>
      </c>
      <c r="D123" s="101">
        <v>54.427388520578496</v>
      </c>
    </row>
    <row r="124">
      <c r="A124" s="45">
        <v>30303.0</v>
      </c>
      <c r="B124" s="45" t="s">
        <v>180</v>
      </c>
      <c r="C124" s="101">
        <v>195.93620417159195</v>
      </c>
      <c r="D124" s="101">
        <v>92.04429248543401</v>
      </c>
    </row>
    <row r="125">
      <c r="A125" s="45">
        <v>30401.0</v>
      </c>
      <c r="B125" s="45" t="s">
        <v>181</v>
      </c>
      <c r="C125" s="101">
        <v>70.77723276834713</v>
      </c>
      <c r="D125" s="101">
        <v>44.96896916658532</v>
      </c>
    </row>
    <row r="126">
      <c r="A126" s="45">
        <v>30402.0</v>
      </c>
      <c r="B126" s="45" t="s">
        <v>182</v>
      </c>
      <c r="C126" s="101">
        <v>75.0410019825766</v>
      </c>
      <c r="D126" s="101">
        <v>22.873282264344382</v>
      </c>
    </row>
    <row r="127">
      <c r="A127" s="45">
        <v>30403.0</v>
      </c>
      <c r="B127" s="45" t="s">
        <v>183</v>
      </c>
      <c r="C127" s="101">
        <v>110.32031639694243</v>
      </c>
      <c r="D127" s="101">
        <v>153.9583175704465</v>
      </c>
    </row>
    <row r="128">
      <c r="A128" s="45">
        <v>30404.0</v>
      </c>
      <c r="B128" s="45" t="s">
        <v>184</v>
      </c>
      <c r="C128" s="101">
        <v>41.63078702952993</v>
      </c>
      <c r="D128" s="101">
        <v>14.88141255752526</v>
      </c>
    </row>
    <row r="129">
      <c r="A129" s="45">
        <v>30501.0</v>
      </c>
      <c r="B129" s="45" t="s">
        <v>185</v>
      </c>
      <c r="C129" s="101">
        <v>77.80252557126079</v>
      </c>
      <c r="D129" s="101">
        <v>40.531450340001015</v>
      </c>
    </row>
    <row r="130">
      <c r="A130" s="45">
        <v>30502.0</v>
      </c>
      <c r="B130" s="45" t="s">
        <v>186</v>
      </c>
      <c r="C130" s="101">
        <v>94.57428792577996</v>
      </c>
      <c r="D130" s="101">
        <v>25.996541689997834</v>
      </c>
    </row>
    <row r="131">
      <c r="A131" s="45">
        <v>30601.0</v>
      </c>
      <c r="B131" s="45" t="s">
        <v>187</v>
      </c>
      <c r="C131" s="101">
        <v>137.4117644344267</v>
      </c>
      <c r="D131" s="101">
        <v>54.611109663263996</v>
      </c>
    </row>
    <row r="132">
      <c r="A132" s="45">
        <v>30602.0</v>
      </c>
      <c r="B132" s="45" t="s">
        <v>188</v>
      </c>
      <c r="C132" s="101">
        <v>114.10757386898331</v>
      </c>
      <c r="D132" s="101">
        <v>39.178533677682246</v>
      </c>
    </row>
    <row r="133">
      <c r="A133" s="45">
        <v>30701.0</v>
      </c>
      <c r="B133" s="45" t="s">
        <v>189</v>
      </c>
      <c r="C133" s="101">
        <v>181.8983918153729</v>
      </c>
      <c r="D133" s="101">
        <v>90.99984653789281</v>
      </c>
    </row>
    <row r="134">
      <c r="A134" s="45">
        <v>30702.0</v>
      </c>
      <c r="B134" s="45" t="s">
        <v>190</v>
      </c>
      <c r="C134" s="101">
        <v>47.13630777800037</v>
      </c>
      <c r="D134" s="101">
        <v>26.08840226134058</v>
      </c>
    </row>
    <row r="135">
      <c r="A135" s="45">
        <v>30703.0</v>
      </c>
      <c r="B135" s="45" t="s">
        <v>191</v>
      </c>
      <c r="C135" s="101">
        <v>31.072254087257846</v>
      </c>
      <c r="D135" s="101">
        <v>15.983739413638244</v>
      </c>
    </row>
    <row r="136">
      <c r="A136" s="45">
        <v>30801.0</v>
      </c>
      <c r="B136" s="45" t="s">
        <v>192</v>
      </c>
      <c r="C136" s="101">
        <v>167.18130893462586</v>
      </c>
      <c r="D136" s="101">
        <v>95.64522688206975</v>
      </c>
    </row>
    <row r="137">
      <c r="A137" s="45">
        <v>30802.0</v>
      </c>
      <c r="B137" s="45" t="s">
        <v>193</v>
      </c>
      <c r="C137" s="101">
        <v>45.70336402154916</v>
      </c>
      <c r="D137" s="101">
        <v>22.827351978673008</v>
      </c>
    </row>
    <row r="138">
      <c r="A138" s="45">
        <v>30803.0</v>
      </c>
      <c r="B138" s="45" t="s">
        <v>194</v>
      </c>
      <c r="C138" s="101">
        <v>42.72090956917779</v>
      </c>
      <c r="D138" s="101">
        <v>30.28761435240149</v>
      </c>
    </row>
    <row r="139">
      <c r="A139" s="45">
        <v>30901.0</v>
      </c>
      <c r="B139" s="45" t="s">
        <v>195</v>
      </c>
      <c r="C139" s="101">
        <v>1116.4582303388163</v>
      </c>
      <c r="D139" s="101">
        <v>842.0386674111832</v>
      </c>
    </row>
    <row r="140">
      <c r="A140" s="45">
        <v>30902.0</v>
      </c>
      <c r="B140" s="45" t="s">
        <v>196</v>
      </c>
      <c r="C140" s="101">
        <v>354.08773248978684</v>
      </c>
      <c r="D140" s="101">
        <v>310.74349112301394</v>
      </c>
    </row>
    <row r="141">
      <c r="A141" s="45">
        <v>30903.0</v>
      </c>
      <c r="B141" s="45" t="s">
        <v>197</v>
      </c>
      <c r="C141" s="101">
        <v>434.0001877256655</v>
      </c>
      <c r="D141" s="101">
        <v>299.3312294948553</v>
      </c>
    </row>
    <row r="142">
      <c r="A142" s="45">
        <v>30904.0</v>
      </c>
      <c r="B142" s="45" t="s">
        <v>198</v>
      </c>
      <c r="C142" s="101">
        <v>420.7765946138775</v>
      </c>
      <c r="D142" s="101">
        <v>301.9913250035899</v>
      </c>
    </row>
    <row r="143">
      <c r="A143" s="45">
        <v>30905.0</v>
      </c>
      <c r="B143" s="45" t="s">
        <v>199</v>
      </c>
      <c r="C143" s="101">
        <v>413.09626440716437</v>
      </c>
      <c r="D143" s="101">
        <v>300.38042303002015</v>
      </c>
    </row>
    <row r="144">
      <c r="A144" s="45">
        <v>31001.0</v>
      </c>
      <c r="B144" s="45" t="s">
        <v>200</v>
      </c>
      <c r="C144" s="101">
        <v>1376.2153158096644</v>
      </c>
      <c r="D144" s="101">
        <v>1039.9720752580415</v>
      </c>
    </row>
    <row r="145">
      <c r="A145" s="45">
        <v>31002.0</v>
      </c>
      <c r="B145" s="45" t="s">
        <v>201</v>
      </c>
      <c r="C145" s="101">
        <v>192.47284717247916</v>
      </c>
      <c r="D145" s="101">
        <v>92.52131422568677</v>
      </c>
    </row>
    <row r="146">
      <c r="A146" s="45">
        <v>31003.0</v>
      </c>
      <c r="B146" s="45" t="s">
        <v>202</v>
      </c>
      <c r="C146" s="101">
        <v>704.5496316568154</v>
      </c>
      <c r="D146" s="101">
        <v>395.92999826954883</v>
      </c>
    </row>
    <row r="147">
      <c r="A147" s="45">
        <v>31101.0</v>
      </c>
      <c r="B147" s="45" t="s">
        <v>203</v>
      </c>
      <c r="C147" s="101">
        <v>254.913152463426</v>
      </c>
      <c r="D147" s="101">
        <v>102.60825818985009</v>
      </c>
    </row>
    <row r="148">
      <c r="A148" s="45">
        <v>31201.0</v>
      </c>
      <c r="B148" s="45" t="s">
        <v>204</v>
      </c>
      <c r="C148" s="101">
        <v>153.0987276629452</v>
      </c>
      <c r="D148" s="101">
        <v>71.10008221928736</v>
      </c>
    </row>
    <row r="149">
      <c r="A149" s="45">
        <v>31202.0</v>
      </c>
      <c r="B149" s="45" t="s">
        <v>205</v>
      </c>
      <c r="C149" s="101">
        <v>121.72480120590816</v>
      </c>
      <c r="D149" s="101">
        <v>51.671571380296044</v>
      </c>
    </row>
    <row r="150">
      <c r="A150" s="45">
        <v>31203.0</v>
      </c>
      <c r="B150" s="45" t="s">
        <v>206</v>
      </c>
      <c r="C150" s="101">
        <v>113.8813195916489</v>
      </c>
      <c r="D150" s="101">
        <v>43.266329102434554</v>
      </c>
    </row>
    <row r="151">
      <c r="A151" s="45">
        <v>31204.0</v>
      </c>
      <c r="B151" s="45" t="s">
        <v>207</v>
      </c>
      <c r="C151" s="101">
        <v>208.84828929066663</v>
      </c>
      <c r="D151" s="101">
        <v>128.9887770680606</v>
      </c>
    </row>
    <row r="152">
      <c r="A152" s="45">
        <v>31205.0</v>
      </c>
      <c r="B152" s="45" t="s">
        <v>208</v>
      </c>
      <c r="C152" s="101">
        <v>471.6860842726166</v>
      </c>
      <c r="D152" s="101">
        <v>315.67432163116905</v>
      </c>
    </row>
    <row r="153">
      <c r="A153" s="45">
        <v>31206.0</v>
      </c>
      <c r="B153" s="45" t="s">
        <v>209</v>
      </c>
      <c r="C153" s="101">
        <v>292.2942771409451</v>
      </c>
      <c r="D153" s="101">
        <v>244.4865840133604</v>
      </c>
    </row>
    <row r="154">
      <c r="A154" s="45">
        <v>31301.0</v>
      </c>
      <c r="B154" s="45" t="s">
        <v>210</v>
      </c>
      <c r="C154" s="101">
        <v>220.99614080541002</v>
      </c>
      <c r="D154" s="101">
        <v>93.39054269486107</v>
      </c>
    </row>
    <row r="155">
      <c r="A155" s="45">
        <v>31302.0</v>
      </c>
      <c r="B155" s="45" t="s">
        <v>211</v>
      </c>
      <c r="C155" s="101">
        <v>57.317750258048456</v>
      </c>
      <c r="D155" s="101">
        <v>33.16166625473222</v>
      </c>
    </row>
    <row r="156">
      <c r="A156" s="45">
        <v>31303.0</v>
      </c>
      <c r="B156" s="45" t="s">
        <v>212</v>
      </c>
      <c r="C156" s="101">
        <v>47.06088968555557</v>
      </c>
      <c r="D156" s="101">
        <v>12.952340559327542</v>
      </c>
    </row>
    <row r="157">
      <c r="A157" s="45">
        <v>31304.0</v>
      </c>
      <c r="B157" s="45" t="s">
        <v>213</v>
      </c>
      <c r="C157" s="101">
        <v>76.70020001636222</v>
      </c>
      <c r="D157" s="101">
        <v>38.85702167798262</v>
      </c>
    </row>
    <row r="158">
      <c r="A158" s="45">
        <v>31401.0</v>
      </c>
      <c r="B158" s="45" t="s">
        <v>214</v>
      </c>
      <c r="C158" s="101">
        <v>211.14660783181452</v>
      </c>
      <c r="D158" s="101">
        <v>160.79728753136772</v>
      </c>
    </row>
    <row r="159">
      <c r="A159" s="45">
        <v>31402.0</v>
      </c>
      <c r="B159" s="45" t="s">
        <v>215</v>
      </c>
      <c r="C159" s="101">
        <v>61.01323678784369</v>
      </c>
      <c r="D159" s="101">
        <v>35.19111998584296</v>
      </c>
    </row>
    <row r="160">
      <c r="A160" s="45">
        <v>31403.0</v>
      </c>
      <c r="B160" s="45" t="s">
        <v>216</v>
      </c>
      <c r="C160" s="101">
        <v>103.58225983723467</v>
      </c>
      <c r="D160" s="101">
        <v>58.020974071506814</v>
      </c>
    </row>
    <row r="161">
      <c r="A161" s="45">
        <v>31404.0</v>
      </c>
      <c r="B161" s="45" t="s">
        <v>217</v>
      </c>
      <c r="C161" s="101">
        <v>7.918899706704064</v>
      </c>
      <c r="D161" s="101">
        <v>3.9500045677381865</v>
      </c>
    </row>
    <row r="162">
      <c r="A162" s="45">
        <v>31405.0</v>
      </c>
      <c r="B162" s="45" t="s">
        <v>218</v>
      </c>
      <c r="C162" s="101">
        <v>21.267902069433767</v>
      </c>
      <c r="D162" s="101">
        <v>11.20698970381532</v>
      </c>
    </row>
    <row r="163">
      <c r="A163" s="45">
        <v>31501.0</v>
      </c>
      <c r="B163" s="45" t="s">
        <v>219</v>
      </c>
      <c r="C163" s="101">
        <v>77.37896284836542</v>
      </c>
      <c r="D163" s="101">
        <v>33.75875996846008</v>
      </c>
    </row>
    <row r="164">
      <c r="A164" s="45">
        <v>31601.0</v>
      </c>
      <c r="B164" s="45" t="s">
        <v>220</v>
      </c>
      <c r="C164" s="101">
        <v>215.31578436346155</v>
      </c>
      <c r="D164" s="101">
        <v>73.10015806482009</v>
      </c>
    </row>
    <row r="165">
      <c r="A165" s="45">
        <v>31602.0</v>
      </c>
      <c r="B165" s="45" t="s">
        <v>221</v>
      </c>
      <c r="C165" s="101">
        <v>188.54642676468663</v>
      </c>
      <c r="D165" s="101">
        <v>125.30577472860813</v>
      </c>
    </row>
    <row r="166">
      <c r="A166" s="45">
        <v>40101.0</v>
      </c>
      <c r="B166" s="45" t="s">
        <v>57</v>
      </c>
      <c r="C166" s="101">
        <v>1738.3713371835256</v>
      </c>
      <c r="D166" s="101">
        <v>1847.2663999268643</v>
      </c>
    </row>
    <row r="167">
      <c r="A167" s="45">
        <v>40102.0</v>
      </c>
      <c r="B167" s="45" t="s">
        <v>222</v>
      </c>
      <c r="C167" s="101">
        <v>157.29703620823267</v>
      </c>
      <c r="D167" s="101">
        <v>112.40200955023619</v>
      </c>
    </row>
    <row r="168">
      <c r="A168" s="45">
        <v>40103.0</v>
      </c>
      <c r="B168" s="45" t="s">
        <v>223</v>
      </c>
      <c r="C168" s="101">
        <v>47.27282407191944</v>
      </c>
      <c r="D168" s="101">
        <v>48.65604704868283</v>
      </c>
    </row>
    <row r="169">
      <c r="A169" s="45">
        <v>40104.0</v>
      </c>
      <c r="B169" s="45" t="s">
        <v>224</v>
      </c>
      <c r="C169" s="101">
        <v>93.58335147061915</v>
      </c>
      <c r="D169" s="101">
        <v>68.69731446379686</v>
      </c>
    </row>
    <row r="170">
      <c r="A170" s="45">
        <v>40201.0</v>
      </c>
      <c r="B170" s="45" t="s">
        <v>225</v>
      </c>
      <c r="C170" s="101">
        <v>203.0817462215478</v>
      </c>
      <c r="D170" s="101">
        <v>197.05264788249914</v>
      </c>
    </row>
    <row r="171">
      <c r="A171" s="45">
        <v>40202.0</v>
      </c>
      <c r="B171" s="45" t="s">
        <v>226</v>
      </c>
      <c r="C171" s="101">
        <v>25.38057475617049</v>
      </c>
      <c r="D171" s="101">
        <v>16.109465633402284</v>
      </c>
    </row>
    <row r="172">
      <c r="A172" s="45">
        <v>40301.0</v>
      </c>
      <c r="B172" s="45" t="s">
        <v>227</v>
      </c>
      <c r="C172" s="101">
        <v>55.93349413089705</v>
      </c>
      <c r="D172" s="101">
        <v>58.97702672567616</v>
      </c>
    </row>
    <row r="173">
      <c r="A173" s="45">
        <v>40302.0</v>
      </c>
      <c r="B173" s="45" t="s">
        <v>228</v>
      </c>
      <c r="C173" s="101">
        <v>11.36712945240811</v>
      </c>
      <c r="D173" s="101">
        <v>9.119595799248073</v>
      </c>
    </row>
    <row r="174">
      <c r="A174" s="45">
        <v>40401.0</v>
      </c>
      <c r="B174" s="45" t="s">
        <v>229</v>
      </c>
      <c r="C174" s="101">
        <v>28.92904373866826</v>
      </c>
      <c r="D174" s="101">
        <v>20.915001144383304</v>
      </c>
    </row>
    <row r="175">
      <c r="A175" s="45">
        <v>40402.0</v>
      </c>
      <c r="B175" s="45" t="s">
        <v>230</v>
      </c>
      <c r="C175" s="101">
        <v>29.771053327735526</v>
      </c>
      <c r="D175" s="101">
        <v>22.06177666404923</v>
      </c>
    </row>
    <row r="176">
      <c r="A176" s="45">
        <v>40501.0</v>
      </c>
      <c r="B176" s="45" t="s">
        <v>231</v>
      </c>
      <c r="C176" s="101">
        <v>7.036794422919306</v>
      </c>
      <c r="D176" s="101">
        <v>18.60820541121888</v>
      </c>
    </row>
    <row r="177">
      <c r="A177" s="45">
        <v>40502.0</v>
      </c>
      <c r="B177" s="45" t="s">
        <v>232</v>
      </c>
      <c r="C177" s="101">
        <v>19.486507632699617</v>
      </c>
      <c r="D177" s="101">
        <v>25.290299072040646</v>
      </c>
    </row>
    <row r="178">
      <c r="A178" s="45">
        <v>40503.0</v>
      </c>
      <c r="B178" s="45" t="s">
        <v>233</v>
      </c>
      <c r="C178" s="101">
        <v>12.028708415246678</v>
      </c>
      <c r="D178" s="101">
        <v>6.061527746805606</v>
      </c>
    </row>
    <row r="179">
      <c r="A179" s="45">
        <v>40504.0</v>
      </c>
      <c r="B179" s="45" t="s">
        <v>234</v>
      </c>
      <c r="C179" s="101">
        <v>2.5260287672018022</v>
      </c>
      <c r="D179" s="101">
        <v>3.9864101397910736</v>
      </c>
    </row>
    <row r="180">
      <c r="A180" s="45">
        <v>40505.0</v>
      </c>
      <c r="B180" s="45" t="s">
        <v>235</v>
      </c>
      <c r="C180" s="101">
        <v>16.539474070964182</v>
      </c>
      <c r="D180" s="101">
        <v>17.802324733861507</v>
      </c>
    </row>
    <row r="181">
      <c r="A181" s="45">
        <v>40601.0</v>
      </c>
      <c r="B181" s="45" t="s">
        <v>236</v>
      </c>
      <c r="C181" s="101">
        <v>42.12378140862877</v>
      </c>
      <c r="D181" s="101">
        <v>51.551323251694136</v>
      </c>
    </row>
    <row r="182">
      <c r="A182" s="45">
        <v>40602.0</v>
      </c>
      <c r="B182" s="45" t="s">
        <v>237</v>
      </c>
      <c r="C182" s="101">
        <v>39.93531193861897</v>
      </c>
      <c r="D182" s="101">
        <v>18.075366524258158</v>
      </c>
    </row>
    <row r="183">
      <c r="A183" s="45">
        <v>40603.0</v>
      </c>
      <c r="B183" s="45" t="s">
        <v>238</v>
      </c>
      <c r="C183" s="101">
        <v>24.899426419560623</v>
      </c>
      <c r="D183" s="101">
        <v>14.143564742546411</v>
      </c>
    </row>
    <row r="184">
      <c r="A184" s="45">
        <v>40701.0</v>
      </c>
      <c r="B184" s="45" t="s">
        <v>239</v>
      </c>
      <c r="C184" s="101">
        <v>186.307713803402</v>
      </c>
      <c r="D184" s="101">
        <v>111.79673397648223</v>
      </c>
    </row>
    <row r="185">
      <c r="A185" s="45">
        <v>40702.0</v>
      </c>
      <c r="B185" s="45" t="s">
        <v>240</v>
      </c>
      <c r="C185" s="101">
        <v>31.48073619534869</v>
      </c>
      <c r="D185" s="101">
        <v>30.548879390437136</v>
      </c>
    </row>
    <row r="186">
      <c r="A186" s="45">
        <v>40801.0</v>
      </c>
      <c r="B186" s="45" t="s">
        <v>241</v>
      </c>
      <c r="C186" s="101">
        <v>74.81856634283434</v>
      </c>
      <c r="D186" s="101">
        <v>66.45837178254433</v>
      </c>
    </row>
    <row r="187">
      <c r="A187" s="45">
        <v>40802.0</v>
      </c>
      <c r="B187" s="45" t="s">
        <v>242</v>
      </c>
      <c r="C187" s="101">
        <v>23.21540724142609</v>
      </c>
      <c r="D187" s="101">
        <v>12.614530716325177</v>
      </c>
    </row>
    <row r="188">
      <c r="A188" s="45">
        <v>40901.0</v>
      </c>
      <c r="B188" s="45" t="s">
        <v>243</v>
      </c>
      <c r="C188" s="101">
        <v>53.948757242381355</v>
      </c>
      <c r="D188" s="101">
        <v>77.63677549252724</v>
      </c>
    </row>
    <row r="189">
      <c r="A189" s="45">
        <v>40902.0</v>
      </c>
      <c r="B189" s="45" t="s">
        <v>244</v>
      </c>
      <c r="C189" s="101">
        <v>6.254928375928273</v>
      </c>
      <c r="D189" s="101">
        <v>9.720287738120701</v>
      </c>
    </row>
    <row r="190">
      <c r="A190" s="45">
        <v>40903.0</v>
      </c>
      <c r="B190" s="45" t="s">
        <v>245</v>
      </c>
      <c r="C190" s="101">
        <v>16.659761155116648</v>
      </c>
      <c r="D190" s="101">
        <v>11.904622061293892</v>
      </c>
    </row>
    <row r="191">
      <c r="A191" s="45">
        <v>41001.0</v>
      </c>
      <c r="B191" s="45" t="s">
        <v>246</v>
      </c>
      <c r="C191" s="101">
        <v>55.572632878439656</v>
      </c>
      <c r="D191" s="101">
        <v>35.87769125811966</v>
      </c>
    </row>
    <row r="192">
      <c r="A192" s="45">
        <v>41101.0</v>
      </c>
      <c r="B192" s="45" t="s">
        <v>247</v>
      </c>
      <c r="C192" s="101">
        <v>37.36146172088827</v>
      </c>
      <c r="D192" s="101">
        <v>26.668496145253425</v>
      </c>
    </row>
    <row r="193">
      <c r="A193" s="45">
        <v>41201.0</v>
      </c>
      <c r="B193" s="45" t="s">
        <v>248</v>
      </c>
      <c r="C193" s="101">
        <v>29.28990499112566</v>
      </c>
      <c r="D193" s="101">
        <v>20.150484131272687</v>
      </c>
    </row>
    <row r="194">
      <c r="A194" s="45">
        <v>41202.0</v>
      </c>
      <c r="B194" s="45" t="s">
        <v>249</v>
      </c>
      <c r="C194" s="101">
        <v>12.209139041475378</v>
      </c>
      <c r="D194" s="101">
        <v>10.703238183548635</v>
      </c>
    </row>
    <row r="195">
      <c r="A195" s="45">
        <v>41301.0</v>
      </c>
      <c r="B195" s="45" t="s">
        <v>204</v>
      </c>
      <c r="C195" s="101">
        <v>35.90569461951133</v>
      </c>
      <c r="D195" s="101">
        <v>24.027677554905104</v>
      </c>
    </row>
    <row r="196">
      <c r="A196" s="45">
        <v>41401.0</v>
      </c>
      <c r="B196" s="45" t="s">
        <v>250</v>
      </c>
      <c r="C196" s="101">
        <v>80.18476826665874</v>
      </c>
      <c r="D196" s="101">
        <v>68.56313392680192</v>
      </c>
    </row>
    <row r="197">
      <c r="A197" s="45">
        <v>41501.0</v>
      </c>
      <c r="B197" s="45" t="s">
        <v>251</v>
      </c>
      <c r="C197" s="101">
        <v>3.7288996087264703</v>
      </c>
      <c r="D197" s="101">
        <v>5.5154441660123075</v>
      </c>
    </row>
    <row r="198">
      <c r="A198" s="45">
        <v>41502.0</v>
      </c>
      <c r="B198" s="45" t="s">
        <v>252</v>
      </c>
      <c r="C198" s="101">
        <v>4.390478571565038</v>
      </c>
      <c r="D198" s="101">
        <v>5.570052524091637</v>
      </c>
    </row>
    <row r="199">
      <c r="A199" s="45">
        <v>41503.0</v>
      </c>
      <c r="B199" s="45" t="s">
        <v>253</v>
      </c>
      <c r="C199" s="101">
        <v>5.533205871013472</v>
      </c>
      <c r="D199" s="101">
        <v>4.96936058521901</v>
      </c>
    </row>
    <row r="200">
      <c r="A200" s="45">
        <v>41601.0</v>
      </c>
      <c r="B200" s="45" t="s">
        <v>254</v>
      </c>
      <c r="C200" s="101">
        <v>30.01162749604046</v>
      </c>
      <c r="D200" s="101">
        <v>17.14702443690955</v>
      </c>
    </row>
    <row r="201">
      <c r="A201" s="45">
        <v>50101.0</v>
      </c>
      <c r="B201" s="45" t="s">
        <v>59</v>
      </c>
      <c r="C201" s="101">
        <v>1490.3963813231574</v>
      </c>
      <c r="D201" s="101">
        <v>1383.1167087454721</v>
      </c>
    </row>
    <row r="202">
      <c r="A202" s="45">
        <v>50102.0</v>
      </c>
      <c r="B202" s="45" t="s">
        <v>255</v>
      </c>
      <c r="C202" s="101">
        <v>235.33795992520376</v>
      </c>
      <c r="D202" s="101">
        <v>157.58645737131405</v>
      </c>
    </row>
    <row r="203">
      <c r="A203" s="45">
        <v>50103.0</v>
      </c>
      <c r="B203" s="45" t="s">
        <v>256</v>
      </c>
      <c r="C203" s="101">
        <v>55.292996409610986</v>
      </c>
      <c r="D203" s="101">
        <v>44.098471582236435</v>
      </c>
    </row>
    <row r="204">
      <c r="A204" s="45">
        <v>50104.0</v>
      </c>
      <c r="B204" s="45" t="s">
        <v>257</v>
      </c>
      <c r="C204" s="101">
        <v>17.69114761157565</v>
      </c>
      <c r="D204" s="101">
        <v>10.294592692598405</v>
      </c>
    </row>
    <row r="205">
      <c r="A205" s="45">
        <v>50201.0</v>
      </c>
      <c r="B205" s="45" t="s">
        <v>258</v>
      </c>
      <c r="C205" s="101">
        <v>168.40145932345484</v>
      </c>
      <c r="D205" s="101">
        <v>110.99494088288928</v>
      </c>
    </row>
    <row r="206">
      <c r="A206" s="45">
        <v>50202.0</v>
      </c>
      <c r="B206" s="45" t="s">
        <v>259</v>
      </c>
      <c r="C206" s="101">
        <v>134.2291710868409</v>
      </c>
      <c r="D206" s="101">
        <v>74.89178545538131</v>
      </c>
    </row>
    <row r="207">
      <c r="A207" s="45">
        <v>50203.0</v>
      </c>
      <c r="B207" s="45" t="s">
        <v>260</v>
      </c>
      <c r="C207" s="101">
        <v>333.6713928611368</v>
      </c>
      <c r="D207" s="101">
        <v>234.03727027353213</v>
      </c>
    </row>
    <row r="208">
      <c r="A208" s="45">
        <v>50204.0</v>
      </c>
      <c r="B208" s="45" t="s">
        <v>261</v>
      </c>
      <c r="C208" s="101">
        <v>74.15920179612523</v>
      </c>
      <c r="D208" s="101">
        <v>42.981124898926964</v>
      </c>
    </row>
    <row r="209">
      <c r="A209" s="45">
        <v>50301.0</v>
      </c>
      <c r="B209" s="45" t="s">
        <v>262</v>
      </c>
      <c r="C209" s="101">
        <v>281.5990451152044</v>
      </c>
      <c r="D209" s="101">
        <v>143.8147685815361</v>
      </c>
    </row>
    <row r="210">
      <c r="A210" s="45">
        <v>50302.0</v>
      </c>
      <c r="B210" s="45" t="s">
        <v>263</v>
      </c>
      <c r="C210" s="101">
        <v>67.69638403396291</v>
      </c>
      <c r="D210" s="101">
        <v>35.23918267850993</v>
      </c>
    </row>
    <row r="211">
      <c r="A211" s="45">
        <v>50303.0</v>
      </c>
      <c r="B211" s="45" t="s">
        <v>264</v>
      </c>
      <c r="C211" s="101">
        <v>105.42879480699143</v>
      </c>
      <c r="D211" s="101">
        <v>63.15336671036329</v>
      </c>
    </row>
    <row r="212">
      <c r="A212" s="45">
        <v>50401.0</v>
      </c>
      <c r="B212" s="45" t="s">
        <v>265</v>
      </c>
      <c r="C212" s="101">
        <v>135.3045018039536</v>
      </c>
      <c r="D212" s="101">
        <v>93.35298802910425</v>
      </c>
    </row>
    <row r="213">
      <c r="A213" s="45">
        <v>50402.0</v>
      </c>
      <c r="B213" s="45" t="s">
        <v>266</v>
      </c>
      <c r="C213" s="101">
        <v>181.28530227802798</v>
      </c>
      <c r="D213" s="101">
        <v>61.47059675099624</v>
      </c>
    </row>
    <row r="214">
      <c r="A214" s="45">
        <v>50403.0</v>
      </c>
      <c r="B214" s="45" t="s">
        <v>267</v>
      </c>
      <c r="C214" s="101">
        <v>197.47498717718207</v>
      </c>
      <c r="D214" s="101">
        <v>151.54551119012274</v>
      </c>
    </row>
    <row r="215">
      <c r="A215" s="45">
        <v>50404.0</v>
      </c>
      <c r="B215" s="45" t="s">
        <v>268</v>
      </c>
      <c r="C215" s="101">
        <v>163.46359269145916</v>
      </c>
      <c r="D215" s="101">
        <v>63.54931258315553</v>
      </c>
    </row>
    <row r="216">
      <c r="A216" s="45">
        <v>50405.0</v>
      </c>
      <c r="B216" s="45" t="s">
        <v>269</v>
      </c>
      <c r="C216" s="101">
        <v>179.9144015405996</v>
      </c>
      <c r="D216" s="101">
        <v>95.81890121572361</v>
      </c>
    </row>
    <row r="217">
      <c r="A217" s="45">
        <v>50501.0</v>
      </c>
      <c r="B217" s="45" t="s">
        <v>270</v>
      </c>
      <c r="C217" s="101">
        <v>259.7530492489281</v>
      </c>
      <c r="D217" s="101">
        <v>142.68899390750576</v>
      </c>
    </row>
    <row r="218">
      <c r="A218" s="45">
        <v>50502.0</v>
      </c>
      <c r="B218" s="45" t="s">
        <v>271</v>
      </c>
      <c r="C218" s="101">
        <v>95.24496075752353</v>
      </c>
      <c r="D218" s="101">
        <v>48.750835587545325</v>
      </c>
    </row>
    <row r="219">
      <c r="A219" s="45">
        <v>50601.0</v>
      </c>
      <c r="B219" s="45" t="s">
        <v>272</v>
      </c>
      <c r="C219" s="101">
        <v>211.6617303712811</v>
      </c>
      <c r="D219" s="101">
        <v>111.84288725132194</v>
      </c>
    </row>
    <row r="220">
      <c r="A220" s="45">
        <v>50602.0</v>
      </c>
      <c r="B220" s="45" t="s">
        <v>273</v>
      </c>
      <c r="C220" s="101">
        <v>77.22740820846494</v>
      </c>
      <c r="D220" s="101">
        <v>33.1109736122516</v>
      </c>
    </row>
    <row r="221">
      <c r="A221" s="45">
        <v>50701.0</v>
      </c>
      <c r="B221" s="45" t="s">
        <v>274</v>
      </c>
      <c r="C221" s="101">
        <v>179.693812307191</v>
      </c>
      <c r="D221" s="101">
        <v>92.09450235428216</v>
      </c>
    </row>
    <row r="222">
      <c r="A222" s="45">
        <v>50702.0</v>
      </c>
      <c r="B222" s="45" t="s">
        <v>275</v>
      </c>
      <c r="C222" s="101">
        <v>76.11763142102292</v>
      </c>
      <c r="D222" s="101">
        <v>35.43715561490605</v>
      </c>
    </row>
    <row r="223">
      <c r="A223" s="45">
        <v>50801.0</v>
      </c>
      <c r="B223" s="45" t="s">
        <v>276</v>
      </c>
      <c r="C223" s="101">
        <v>324.6974543428617</v>
      </c>
      <c r="D223" s="101">
        <v>226.78428349688278</v>
      </c>
    </row>
    <row r="224">
      <c r="A224" s="45">
        <v>50802.0</v>
      </c>
      <c r="B224" s="45" t="s">
        <v>277</v>
      </c>
      <c r="C224" s="101">
        <v>95.45386628638944</v>
      </c>
      <c r="D224" s="101">
        <v>42.01956720442343</v>
      </c>
    </row>
    <row r="225">
      <c r="A225" s="45">
        <v>50901.0</v>
      </c>
      <c r="B225" s="45" t="s">
        <v>278</v>
      </c>
      <c r="C225" s="101">
        <v>90.21832472028616</v>
      </c>
      <c r="D225" s="101">
        <v>54.404251316955005</v>
      </c>
    </row>
    <row r="226">
      <c r="A226" s="45">
        <v>50902.0</v>
      </c>
      <c r="B226" s="45" t="s">
        <v>279</v>
      </c>
      <c r="C226" s="101">
        <v>5.679445912203254</v>
      </c>
      <c r="D226" s="101">
        <v>4.949323409903079</v>
      </c>
    </row>
    <row r="227">
      <c r="A227" s="45">
        <v>51001.0</v>
      </c>
      <c r="B227" s="45" t="s">
        <v>280</v>
      </c>
      <c r="C227" s="101">
        <v>27.744419686050374</v>
      </c>
      <c r="D227" s="101">
        <v>13.264186738540252</v>
      </c>
    </row>
    <row r="228">
      <c r="A228" s="45">
        <v>51002.0</v>
      </c>
      <c r="B228" s="45" t="s">
        <v>281</v>
      </c>
      <c r="C228" s="101">
        <v>8.87821429953612</v>
      </c>
      <c r="D228" s="101">
        <v>4.107938430219556</v>
      </c>
    </row>
    <row r="229">
      <c r="A229" s="45">
        <v>51003.0</v>
      </c>
      <c r="B229" s="45" t="s">
        <v>282</v>
      </c>
      <c r="C229" s="101">
        <v>17.952271561562007</v>
      </c>
      <c r="D229" s="101">
        <v>8.215876860439112</v>
      </c>
    </row>
    <row r="230">
      <c r="A230" s="45">
        <v>51101.0</v>
      </c>
      <c r="B230" s="45" t="s">
        <v>283</v>
      </c>
      <c r="C230" s="101">
        <v>165.6831462663432</v>
      </c>
      <c r="D230" s="101">
        <v>56.47178010699414</v>
      </c>
    </row>
    <row r="231">
      <c r="A231" s="45">
        <v>51102.0</v>
      </c>
      <c r="B231" s="45" t="s">
        <v>284</v>
      </c>
      <c r="C231" s="101">
        <v>79.72743597336084</v>
      </c>
      <c r="D231" s="101">
        <v>59.01573233968431</v>
      </c>
    </row>
    <row r="232">
      <c r="A232" s="45">
        <v>51103.0</v>
      </c>
      <c r="B232" s="45" t="s">
        <v>285</v>
      </c>
      <c r="C232" s="101">
        <v>157.52302282926954</v>
      </c>
      <c r="D232" s="101">
        <v>70.32988565472276</v>
      </c>
    </row>
    <row r="233">
      <c r="A233" s="45">
        <v>51201.0</v>
      </c>
      <c r="B233" s="45" t="s">
        <v>286</v>
      </c>
      <c r="C233" s="101">
        <v>213.61905818048737</v>
      </c>
      <c r="D233" s="101">
        <v>186.04022135495634</v>
      </c>
    </row>
    <row r="234">
      <c r="A234" s="45">
        <v>51202.0</v>
      </c>
      <c r="B234" s="45" t="s">
        <v>287</v>
      </c>
      <c r="C234" s="101">
        <v>63.84480577166416</v>
      </c>
      <c r="D234" s="101">
        <v>29.102021650230103</v>
      </c>
    </row>
    <row r="235">
      <c r="A235" s="45">
        <v>51203.0</v>
      </c>
      <c r="B235" s="45" t="s">
        <v>288</v>
      </c>
      <c r="C235" s="101">
        <v>93.21886181631844</v>
      </c>
      <c r="D235" s="101">
        <v>99.80530311756131</v>
      </c>
    </row>
    <row r="236">
      <c r="A236" s="45">
        <v>51204.0</v>
      </c>
      <c r="B236" s="45" t="s">
        <v>289</v>
      </c>
      <c r="C236" s="101">
        <v>46.675906060061216</v>
      </c>
      <c r="D236" s="101">
        <v>22.222462110464825</v>
      </c>
    </row>
    <row r="237">
      <c r="A237" s="45">
        <v>51301.0</v>
      </c>
      <c r="B237" s="45" t="s">
        <v>290</v>
      </c>
      <c r="C237" s="101">
        <v>41.91039397281022</v>
      </c>
      <c r="D237" s="101">
        <v>17.174152232363685</v>
      </c>
    </row>
    <row r="238">
      <c r="A238" s="45">
        <v>51302.0</v>
      </c>
      <c r="B238" s="45" t="s">
        <v>291</v>
      </c>
      <c r="C238" s="101">
        <v>54.18321962216897</v>
      </c>
      <c r="D238" s="101">
        <v>16.77820635957144</v>
      </c>
    </row>
    <row r="239">
      <c r="A239" s="45">
        <v>51401.0</v>
      </c>
      <c r="B239" s="45" t="s">
        <v>292</v>
      </c>
      <c r="C239" s="101">
        <v>24.741494261207276</v>
      </c>
      <c r="D239" s="101">
        <v>14.551010825115052</v>
      </c>
    </row>
    <row r="240">
      <c r="A240" s="45">
        <v>51402.0</v>
      </c>
      <c r="B240" s="45" t="s">
        <v>293</v>
      </c>
      <c r="C240" s="101">
        <v>13.121478486814413</v>
      </c>
      <c r="D240" s="101">
        <v>4.751350473506956</v>
      </c>
    </row>
    <row r="241">
      <c r="A241" s="45">
        <v>51501.0</v>
      </c>
      <c r="B241" s="45" t="s">
        <v>294</v>
      </c>
      <c r="C241" s="101">
        <v>331.7615163687444</v>
      </c>
      <c r="D241" s="101">
        <v>274.5219438747938</v>
      </c>
    </row>
    <row r="242">
      <c r="A242" s="45">
        <v>51601.0</v>
      </c>
      <c r="B242" s="45" t="s">
        <v>295</v>
      </c>
      <c r="C242" s="101">
        <v>11.424172811903095</v>
      </c>
      <c r="D242" s="101">
        <v>7.6714512853497725</v>
      </c>
    </row>
    <row r="243">
      <c r="A243" s="45">
        <v>60101.0</v>
      </c>
      <c r="B243" s="45" t="s">
        <v>61</v>
      </c>
      <c r="C243" s="101">
        <v>2182.9143948012884</v>
      </c>
      <c r="D243" s="101">
        <v>1698.0241845492121</v>
      </c>
    </row>
    <row r="244">
      <c r="A244" s="45">
        <v>60201.0</v>
      </c>
      <c r="B244" s="45" t="s">
        <v>296</v>
      </c>
      <c r="C244" s="101">
        <v>243.45533036820456</v>
      </c>
      <c r="D244" s="101">
        <v>92.50433615320696</v>
      </c>
    </row>
    <row r="245">
      <c r="A245" s="45">
        <v>60202.0</v>
      </c>
      <c r="B245" s="45" t="s">
        <v>297</v>
      </c>
      <c r="C245" s="101">
        <v>434.0569350785754</v>
      </c>
      <c r="D245" s="101">
        <v>290.43850682379605</v>
      </c>
    </row>
    <row r="246">
      <c r="A246" s="45">
        <v>60301.0</v>
      </c>
      <c r="B246" s="45" t="s">
        <v>298</v>
      </c>
      <c r="C246" s="101">
        <v>1225.7249024535254</v>
      </c>
      <c r="D246" s="101">
        <v>807.0577389936153</v>
      </c>
    </row>
    <row r="247">
      <c r="A247" s="45">
        <v>60302.0</v>
      </c>
      <c r="B247" s="45" t="s">
        <v>299</v>
      </c>
      <c r="C247" s="101">
        <v>164.4526462591908</v>
      </c>
      <c r="D247" s="101">
        <v>112.14662493264137</v>
      </c>
    </row>
    <row r="248">
      <c r="A248" s="45">
        <v>60303.0</v>
      </c>
      <c r="B248" s="45" t="s">
        <v>300</v>
      </c>
      <c r="C248" s="101">
        <v>460.4943598399534</v>
      </c>
      <c r="D248" s="101">
        <v>387.59016137698205</v>
      </c>
    </row>
    <row r="249">
      <c r="A249" s="45">
        <v>60401.0</v>
      </c>
      <c r="B249" s="45" t="s">
        <v>301</v>
      </c>
      <c r="C249" s="101">
        <v>158.7846790376444</v>
      </c>
      <c r="D249" s="101">
        <v>93.14252686607779</v>
      </c>
    </row>
    <row r="250">
      <c r="A250" s="45">
        <v>60402.0</v>
      </c>
      <c r="B250" s="45" t="s">
        <v>302</v>
      </c>
      <c r="C250" s="101">
        <v>74.33169004983625</v>
      </c>
      <c r="D250" s="101">
        <v>30.676245151063494</v>
      </c>
    </row>
    <row r="251">
      <c r="A251" s="45">
        <v>60501.0</v>
      </c>
      <c r="B251" s="45" t="s">
        <v>303</v>
      </c>
      <c r="C251" s="101">
        <v>287.46721350062666</v>
      </c>
      <c r="D251" s="101">
        <v>172.4138598638821</v>
      </c>
    </row>
    <row r="252">
      <c r="A252" s="45">
        <v>60502.0</v>
      </c>
      <c r="B252" s="45" t="s">
        <v>304</v>
      </c>
      <c r="C252" s="101">
        <v>144.4189644160069</v>
      </c>
      <c r="D252" s="101">
        <v>51.999009868469386</v>
      </c>
    </row>
    <row r="253">
      <c r="A253" s="45">
        <v>60601.0</v>
      </c>
      <c r="B253" s="45" t="s">
        <v>209</v>
      </c>
      <c r="C253" s="101">
        <v>284.90419428960104</v>
      </c>
      <c r="D253" s="101">
        <v>140.64886657065384</v>
      </c>
    </row>
    <row r="254">
      <c r="A254" s="45">
        <v>70101.0</v>
      </c>
      <c r="B254" s="45" t="s">
        <v>305</v>
      </c>
      <c r="C254" s="101">
        <v>16256.217351555773</v>
      </c>
      <c r="D254" s="101">
        <v>11930.987085697234</v>
      </c>
    </row>
    <row r="255">
      <c r="A255" s="45">
        <v>70102.0</v>
      </c>
      <c r="B255" s="45" t="s">
        <v>306</v>
      </c>
      <c r="C255" s="101">
        <v>712.4028130013523</v>
      </c>
      <c r="D255" s="101">
        <v>924.0694616811825</v>
      </c>
    </row>
    <row r="256">
      <c r="A256" s="45">
        <v>70103.0</v>
      </c>
      <c r="B256" s="45" t="s">
        <v>307</v>
      </c>
      <c r="C256" s="101">
        <v>171.99801415560694</v>
      </c>
      <c r="D256" s="101">
        <v>135.02312722884565</v>
      </c>
    </row>
    <row r="257">
      <c r="A257" s="45">
        <v>70104.0</v>
      </c>
      <c r="B257" s="45" t="s">
        <v>308</v>
      </c>
      <c r="C257" s="101">
        <v>935.9145934636597</v>
      </c>
      <c r="D257" s="101">
        <v>1206.3618184343989</v>
      </c>
    </row>
    <row r="258">
      <c r="A258" s="45">
        <v>70105.0</v>
      </c>
      <c r="B258" s="45" t="s">
        <v>309</v>
      </c>
      <c r="C258" s="101">
        <v>582.0028915470906</v>
      </c>
      <c r="D258" s="101">
        <v>413.08192959701717</v>
      </c>
    </row>
    <row r="259">
      <c r="A259" s="45">
        <v>70201.0</v>
      </c>
      <c r="B259" s="45" t="s">
        <v>310</v>
      </c>
      <c r="C259" s="101">
        <v>1100.0053010600877</v>
      </c>
      <c r="D259" s="101">
        <v>1268.615498233928</v>
      </c>
    </row>
    <row r="260">
      <c r="A260" s="45">
        <v>70202.0</v>
      </c>
      <c r="B260" s="45" t="s">
        <v>311</v>
      </c>
      <c r="C260" s="101">
        <v>179.44190098074586</v>
      </c>
      <c r="D260" s="101">
        <v>85.14634208434481</v>
      </c>
    </row>
    <row r="261">
      <c r="A261" s="45">
        <v>70301.0</v>
      </c>
      <c r="B261" s="45" t="s">
        <v>312</v>
      </c>
      <c r="C261" s="101">
        <v>751.1347356701443</v>
      </c>
      <c r="D261" s="101">
        <v>615.3292591248816</v>
      </c>
    </row>
    <row r="262">
      <c r="A262" s="45">
        <v>70302.0</v>
      </c>
      <c r="B262" s="45" t="s">
        <v>313</v>
      </c>
      <c r="C262" s="101">
        <v>160.94687347657322</v>
      </c>
      <c r="D262" s="101">
        <v>119.94495364134278</v>
      </c>
    </row>
    <row r="263">
      <c r="A263" s="45">
        <v>70303.0</v>
      </c>
      <c r="B263" s="45" t="s">
        <v>314</v>
      </c>
      <c r="C263" s="101">
        <v>95.47073197960299</v>
      </c>
      <c r="D263" s="101">
        <v>67.39715577815616</v>
      </c>
    </row>
    <row r="264">
      <c r="A264" s="45">
        <v>70401.0</v>
      </c>
      <c r="B264" s="45" t="s">
        <v>315</v>
      </c>
      <c r="C264" s="101">
        <v>170.975587818759</v>
      </c>
      <c r="D264" s="101">
        <v>93.02228349479314</v>
      </c>
    </row>
    <row r="265">
      <c r="A265" s="45">
        <v>70402.0</v>
      </c>
      <c r="B265" s="45" t="s">
        <v>316</v>
      </c>
      <c r="C265" s="101">
        <v>259.47676604127884</v>
      </c>
      <c r="D265" s="101">
        <v>146.41019026121654</v>
      </c>
    </row>
    <row r="266">
      <c r="A266" s="45">
        <v>70403.0</v>
      </c>
      <c r="B266" s="45" t="s">
        <v>317</v>
      </c>
      <c r="C266" s="101">
        <v>586.9231227677884</v>
      </c>
      <c r="D266" s="101">
        <v>422.8027511222629</v>
      </c>
    </row>
    <row r="267">
      <c r="A267" s="45">
        <v>70404.0</v>
      </c>
      <c r="B267" s="45" t="s">
        <v>318</v>
      </c>
      <c r="C267" s="101">
        <v>130.45552097123223</v>
      </c>
      <c r="D267" s="101">
        <v>78.38376558119491</v>
      </c>
    </row>
    <row r="268">
      <c r="A268" s="45">
        <v>70501.0</v>
      </c>
      <c r="B268" s="45" t="s">
        <v>319</v>
      </c>
      <c r="C268" s="101">
        <v>359.1515532074287</v>
      </c>
      <c r="D268" s="101">
        <v>377.6216069220661</v>
      </c>
    </row>
    <row r="269">
      <c r="A269" s="45">
        <v>70502.0</v>
      </c>
      <c r="B269" s="45" t="s">
        <v>320</v>
      </c>
      <c r="C269" s="101">
        <v>600.9446863068763</v>
      </c>
      <c r="D269" s="101">
        <v>561.3845451932148</v>
      </c>
    </row>
    <row r="270">
      <c r="A270" s="45">
        <v>70503.0</v>
      </c>
      <c r="B270" s="45" t="s">
        <v>321</v>
      </c>
      <c r="C270" s="101">
        <v>181.19810903585628</v>
      </c>
      <c r="D270" s="101">
        <v>146.94249374840223</v>
      </c>
    </row>
    <row r="271">
      <c r="A271" s="45">
        <v>70601.0</v>
      </c>
      <c r="B271" s="45" t="s">
        <v>322</v>
      </c>
      <c r="C271" s="101">
        <v>231.15131586524743</v>
      </c>
      <c r="D271" s="101">
        <v>167.21435478259164</v>
      </c>
    </row>
    <row r="272">
      <c r="A272" s="45">
        <v>70602.0</v>
      </c>
      <c r="B272" s="45" t="s">
        <v>323</v>
      </c>
      <c r="C272" s="101">
        <v>239.48488704705804</v>
      </c>
      <c r="D272" s="101">
        <v>111.48709073082182</v>
      </c>
    </row>
    <row r="273">
      <c r="A273" s="45">
        <v>70603.0</v>
      </c>
      <c r="B273" s="45" t="s">
        <v>324</v>
      </c>
      <c r="C273" s="101">
        <v>91.51953513346261</v>
      </c>
      <c r="D273" s="101">
        <v>48.921993179410244</v>
      </c>
    </row>
    <row r="274">
      <c r="A274" s="45">
        <v>70701.0</v>
      </c>
      <c r="B274" s="45" t="s">
        <v>325</v>
      </c>
      <c r="C274" s="101">
        <v>74.69349611984225</v>
      </c>
      <c r="D274" s="101">
        <v>38.810033090798086</v>
      </c>
    </row>
    <row r="275">
      <c r="A275" s="45">
        <v>70702.0</v>
      </c>
      <c r="B275" s="45" t="s">
        <v>326</v>
      </c>
      <c r="C275" s="101">
        <v>472.5461682708373</v>
      </c>
      <c r="D275" s="101">
        <v>318.07112403332263</v>
      </c>
    </row>
    <row r="276">
      <c r="A276" s="45">
        <v>70703.0</v>
      </c>
      <c r="B276" s="45" t="s">
        <v>327</v>
      </c>
      <c r="C276" s="101">
        <v>384.45042351799316</v>
      </c>
      <c r="D276" s="101">
        <v>272.7969879878608</v>
      </c>
    </row>
    <row r="277">
      <c r="A277" s="45">
        <v>70704.0</v>
      </c>
      <c r="B277" s="45" t="s">
        <v>328</v>
      </c>
      <c r="C277" s="101">
        <v>60.01263530044583</v>
      </c>
      <c r="D277" s="101">
        <v>34.69269270993558</v>
      </c>
    </row>
    <row r="278">
      <c r="A278" s="45">
        <v>70705.0</v>
      </c>
      <c r="B278" s="45" t="s">
        <v>329</v>
      </c>
      <c r="C278" s="101">
        <v>191.93779535713563</v>
      </c>
      <c r="D278" s="101">
        <v>109.25058180708082</v>
      </c>
    </row>
    <row r="279">
      <c r="A279" s="45">
        <v>70706.0</v>
      </c>
      <c r="B279" s="45" t="s">
        <v>330</v>
      </c>
      <c r="C279" s="101">
        <v>377.7493402664892</v>
      </c>
      <c r="D279" s="101">
        <v>221.37237714511465</v>
      </c>
    </row>
    <row r="280">
      <c r="A280" s="45">
        <v>70707.0</v>
      </c>
      <c r="B280" s="45" t="s">
        <v>331</v>
      </c>
      <c r="C280" s="101">
        <v>58.947434169588426</v>
      </c>
      <c r="D280" s="101">
        <v>53.67240401556101</v>
      </c>
    </row>
    <row r="281">
      <c r="A281" s="45">
        <v>70801.0</v>
      </c>
      <c r="B281" s="45" t="s">
        <v>332</v>
      </c>
      <c r="C281" s="101">
        <v>182.2832304233758</v>
      </c>
      <c r="D281" s="101">
        <v>101.07351780186987</v>
      </c>
    </row>
    <row r="282">
      <c r="A282" s="45">
        <v>70802.0</v>
      </c>
      <c r="B282" s="45" t="s">
        <v>333</v>
      </c>
      <c r="C282" s="101">
        <v>21.63254259208546</v>
      </c>
      <c r="D282" s="101">
        <v>10.159694526386932</v>
      </c>
    </row>
    <row r="283">
      <c r="A283" s="45">
        <v>70803.0</v>
      </c>
      <c r="B283" s="45" t="s">
        <v>334</v>
      </c>
      <c r="C283" s="101">
        <v>33.06105565960231</v>
      </c>
      <c r="D283" s="101">
        <v>12.394827322192059</v>
      </c>
    </row>
    <row r="284">
      <c r="A284" s="45">
        <v>70804.0</v>
      </c>
      <c r="B284" s="45" t="s">
        <v>335</v>
      </c>
      <c r="C284" s="101">
        <v>27.652920011580942</v>
      </c>
      <c r="D284" s="101">
        <v>8.330949511637286</v>
      </c>
    </row>
    <row r="285">
      <c r="A285" s="45">
        <v>70805.0</v>
      </c>
      <c r="B285" s="45" t="s">
        <v>336</v>
      </c>
      <c r="C285" s="101">
        <v>25.714154401912907</v>
      </c>
      <c r="D285" s="101">
        <v>9.956500635859193</v>
      </c>
    </row>
    <row r="286">
      <c r="A286" s="45">
        <v>70901.0</v>
      </c>
      <c r="B286" s="45" t="s">
        <v>337</v>
      </c>
      <c r="C286" s="101">
        <v>116.17119371673594</v>
      </c>
      <c r="D286" s="101">
        <v>72.38839760388014</v>
      </c>
    </row>
    <row r="287">
      <c r="A287" s="45">
        <v>70902.0</v>
      </c>
      <c r="B287" s="45" t="s">
        <v>338</v>
      </c>
      <c r="C287" s="101">
        <v>109.39079031279833</v>
      </c>
      <c r="D287" s="101">
        <v>73.33480378936164</v>
      </c>
    </row>
    <row r="288">
      <c r="A288" s="45">
        <v>70903.0</v>
      </c>
      <c r="B288" s="45" t="s">
        <v>339</v>
      </c>
      <c r="C288" s="101">
        <v>119.98368295860982</v>
      </c>
      <c r="D288" s="101">
        <v>98.55252022979086</v>
      </c>
    </row>
    <row r="289">
      <c r="A289" s="45">
        <v>70904.0</v>
      </c>
      <c r="B289" s="45" t="s">
        <v>340</v>
      </c>
      <c r="C289" s="101">
        <v>32.04065270714545</v>
      </c>
      <c r="D289" s="101">
        <v>13.88491585272881</v>
      </c>
    </row>
    <row r="290">
      <c r="A290" s="45">
        <v>71001.0</v>
      </c>
      <c r="B290" s="45" t="s">
        <v>341</v>
      </c>
      <c r="C290" s="101">
        <v>1269.6839293496096</v>
      </c>
      <c r="D290" s="101">
        <v>1095.560770483596</v>
      </c>
    </row>
    <row r="291">
      <c r="A291" s="45">
        <v>71002.0</v>
      </c>
      <c r="B291" s="45" t="s">
        <v>342</v>
      </c>
      <c r="C291" s="101">
        <v>227.59127182502365</v>
      </c>
      <c r="D291" s="101">
        <v>130.36571683875954</v>
      </c>
    </row>
    <row r="292">
      <c r="A292" s="45">
        <v>71003.0</v>
      </c>
      <c r="B292" s="45" t="s">
        <v>343</v>
      </c>
      <c r="C292" s="101">
        <v>321.0865634195747</v>
      </c>
      <c r="D292" s="101">
        <v>207.24425648212326</v>
      </c>
    </row>
    <row r="293">
      <c r="A293" s="45">
        <v>71004.0</v>
      </c>
      <c r="B293" s="45" t="s">
        <v>344</v>
      </c>
      <c r="C293" s="101">
        <v>182.65193685312613</v>
      </c>
      <c r="D293" s="101">
        <v>110.69327133102719</v>
      </c>
    </row>
    <row r="294">
      <c r="A294" s="45">
        <v>71005.0</v>
      </c>
      <c r="B294" s="45" t="s">
        <v>270</v>
      </c>
      <c r="C294" s="101">
        <v>231.78987905531952</v>
      </c>
      <c r="D294" s="101">
        <v>114.27869526068596</v>
      </c>
    </row>
    <row r="295">
      <c r="A295" s="45">
        <v>71101.0</v>
      </c>
      <c r="B295" s="45" t="s">
        <v>345</v>
      </c>
      <c r="C295" s="101">
        <v>262.38324199045394</v>
      </c>
      <c r="D295" s="101">
        <v>253.82849212491246</v>
      </c>
    </row>
    <row r="296">
      <c r="A296" s="45">
        <v>71102.0</v>
      </c>
      <c r="B296" s="45" t="s">
        <v>346</v>
      </c>
      <c r="C296" s="101">
        <v>198.58511830577135</v>
      </c>
      <c r="D296" s="101">
        <v>135.6434857023265</v>
      </c>
    </row>
    <row r="297">
      <c r="A297" s="45">
        <v>71103.0</v>
      </c>
      <c r="B297" s="45" t="s">
        <v>347</v>
      </c>
      <c r="C297" s="101">
        <v>98.95024382778865</v>
      </c>
      <c r="D297" s="101">
        <v>79.31420868262057</v>
      </c>
    </row>
    <row r="298">
      <c r="A298" s="45">
        <v>71104.0</v>
      </c>
      <c r="B298" s="45" t="s">
        <v>348</v>
      </c>
      <c r="C298" s="101">
        <v>648.0197769228075</v>
      </c>
      <c r="D298" s="101">
        <v>363.1938860058412</v>
      </c>
    </row>
    <row r="299">
      <c r="A299" s="45">
        <v>71105.0</v>
      </c>
      <c r="B299" s="45" t="s">
        <v>349</v>
      </c>
      <c r="C299" s="101">
        <v>93.77503133078555</v>
      </c>
      <c r="D299" s="101">
        <v>48.63107113297212</v>
      </c>
    </row>
    <row r="300">
      <c r="A300" s="45">
        <v>71106.0</v>
      </c>
      <c r="B300" s="45" t="s">
        <v>350</v>
      </c>
      <c r="C300" s="101">
        <v>326.203379002245</v>
      </c>
      <c r="D300" s="101">
        <v>227.69611505032185</v>
      </c>
    </row>
    <row r="301">
      <c r="A301" s="45">
        <v>71201.0</v>
      </c>
      <c r="B301" s="45" t="s">
        <v>351</v>
      </c>
      <c r="C301" s="101">
        <v>191.3188637243537</v>
      </c>
      <c r="D301" s="101">
        <v>134.17173407653493</v>
      </c>
    </row>
    <row r="302">
      <c r="A302" s="45">
        <v>71301.0</v>
      </c>
      <c r="B302" s="45" t="s">
        <v>352</v>
      </c>
      <c r="C302" s="101">
        <v>213.46677949348512</v>
      </c>
      <c r="D302" s="101">
        <v>121.44817559286729</v>
      </c>
    </row>
    <row r="303">
      <c r="A303" s="45">
        <v>71302.0</v>
      </c>
      <c r="B303" s="45" t="s">
        <v>353</v>
      </c>
      <c r="C303" s="101">
        <v>92.96088914683554</v>
      </c>
      <c r="D303" s="101">
        <v>46.8222283684947</v>
      </c>
    </row>
    <row r="304">
      <c r="A304" s="45">
        <v>71401.0</v>
      </c>
      <c r="B304" s="45" t="s">
        <v>354</v>
      </c>
      <c r="C304" s="101">
        <v>214.85347475163402</v>
      </c>
      <c r="D304" s="101">
        <v>116.98596034968178</v>
      </c>
    </row>
    <row r="305">
      <c r="A305" s="45">
        <v>71402.0</v>
      </c>
      <c r="B305" s="45" t="s">
        <v>355</v>
      </c>
      <c r="C305" s="101">
        <v>194.4240594153382</v>
      </c>
      <c r="D305" s="101">
        <v>137.17214021826544</v>
      </c>
    </row>
    <row r="306">
      <c r="A306" s="45">
        <v>71403.0</v>
      </c>
      <c r="B306" s="45" t="s">
        <v>356</v>
      </c>
      <c r="C306" s="101">
        <v>81.28238731111753</v>
      </c>
      <c r="D306" s="101">
        <v>77.80305679386574</v>
      </c>
    </row>
    <row r="307">
      <c r="A307" s="45">
        <v>71501.0</v>
      </c>
      <c r="B307" s="45" t="s">
        <v>357</v>
      </c>
      <c r="C307" s="101">
        <v>356.08351760542746</v>
      </c>
      <c r="D307" s="101">
        <v>294.2381535299409</v>
      </c>
    </row>
    <row r="308">
      <c r="A308" s="45">
        <v>71502.0</v>
      </c>
      <c r="B308" s="45" t="s">
        <v>358</v>
      </c>
      <c r="C308" s="101">
        <v>107.97504841353204</v>
      </c>
      <c r="D308" s="101">
        <v>62.15520064411966</v>
      </c>
    </row>
    <row r="309">
      <c r="A309" s="45">
        <v>71503.0</v>
      </c>
      <c r="B309" s="45" t="s">
        <v>304</v>
      </c>
      <c r="C309" s="101">
        <v>177.9356991153504</v>
      </c>
      <c r="D309" s="101">
        <v>106.00647200871104</v>
      </c>
    </row>
    <row r="310">
      <c r="A310" s="45">
        <v>80101.0</v>
      </c>
      <c r="B310" s="45" t="s">
        <v>359</v>
      </c>
      <c r="C310" s="101">
        <v>851.4815612808217</v>
      </c>
      <c r="D310" s="101">
        <v>867.3710810577498</v>
      </c>
    </row>
    <row r="311">
      <c r="A311" s="45">
        <v>80102.0</v>
      </c>
      <c r="B311" s="45" t="s">
        <v>346</v>
      </c>
      <c r="C311" s="101">
        <v>45.019827892555774</v>
      </c>
      <c r="D311" s="101">
        <v>50.30101800567131</v>
      </c>
    </row>
    <row r="312">
      <c r="A312" s="45">
        <v>80201.0</v>
      </c>
      <c r="B312" s="45" t="s">
        <v>360</v>
      </c>
      <c r="C312" s="101">
        <v>899.3523888428205</v>
      </c>
      <c r="D312" s="101">
        <v>853.7339016758018</v>
      </c>
    </row>
    <row r="313">
      <c r="A313" s="45">
        <v>80202.0</v>
      </c>
      <c r="B313" s="45" t="s">
        <v>361</v>
      </c>
      <c r="C313" s="101">
        <v>399.1422144020696</v>
      </c>
      <c r="D313" s="101">
        <v>303.30371768831964</v>
      </c>
    </row>
    <row r="314">
      <c r="A314" s="45">
        <v>80301.0</v>
      </c>
      <c r="B314" s="45" t="s">
        <v>362</v>
      </c>
      <c r="C314" s="101">
        <v>124.60969084157853</v>
      </c>
      <c r="D314" s="101">
        <v>93.31758800475386</v>
      </c>
    </row>
    <row r="315">
      <c r="A315" s="45">
        <v>80302.0</v>
      </c>
      <c r="B315" s="45" t="s">
        <v>363</v>
      </c>
      <c r="C315" s="101">
        <v>428.8063817351633</v>
      </c>
      <c r="D315" s="101">
        <v>391.0342032462285</v>
      </c>
    </row>
    <row r="316">
      <c r="A316" s="45">
        <v>80303.0</v>
      </c>
      <c r="B316" s="45" t="s">
        <v>323</v>
      </c>
      <c r="C316" s="101">
        <v>96.23181134727515</v>
      </c>
      <c r="D316" s="101">
        <v>87.70482708139816</v>
      </c>
    </row>
    <row r="317">
      <c r="A317" s="45">
        <v>80304.0</v>
      </c>
      <c r="B317" s="45" t="s">
        <v>364</v>
      </c>
      <c r="C317" s="101">
        <v>167.49902328450779</v>
      </c>
      <c r="D317" s="101">
        <v>162.8790663636005</v>
      </c>
    </row>
    <row r="318">
      <c r="A318" s="45">
        <v>80401.0</v>
      </c>
      <c r="B318" s="45" t="s">
        <v>365</v>
      </c>
      <c r="C318" s="101">
        <v>190.1504031077023</v>
      </c>
      <c r="D318" s="101">
        <v>152.4429976199766</v>
      </c>
    </row>
    <row r="319">
      <c r="A319" s="45">
        <v>80402.0</v>
      </c>
      <c r="B319" s="45" t="s">
        <v>366</v>
      </c>
      <c r="C319" s="101">
        <v>71.362699321946</v>
      </c>
      <c r="D319" s="101">
        <v>53.71828626442275</v>
      </c>
    </row>
    <row r="320">
      <c r="A320" s="45">
        <v>80501.0</v>
      </c>
      <c r="B320" s="45" t="s">
        <v>312</v>
      </c>
      <c r="C320" s="101">
        <v>213.03509700761714</v>
      </c>
      <c r="D320" s="101">
        <v>182.8017169664603</v>
      </c>
    </row>
    <row r="321">
      <c r="A321" s="45">
        <v>80601.0</v>
      </c>
      <c r="B321" s="45" t="s">
        <v>367</v>
      </c>
      <c r="C321" s="101">
        <v>45.08951802861237</v>
      </c>
      <c r="D321" s="101">
        <v>32.20178678229128</v>
      </c>
    </row>
    <row r="322">
      <c r="A322" s="45">
        <v>80602.0</v>
      </c>
      <c r="B322" s="45" t="s">
        <v>368</v>
      </c>
      <c r="C322" s="101">
        <v>116.55234337871815</v>
      </c>
      <c r="D322" s="101">
        <v>81.16335836200714</v>
      </c>
    </row>
    <row r="323">
      <c r="A323" s="45">
        <v>80701.0</v>
      </c>
      <c r="B323" s="45" t="s">
        <v>369</v>
      </c>
      <c r="C323" s="101">
        <v>60.39172795347824</v>
      </c>
      <c r="D323" s="101">
        <v>52.95866050588598</v>
      </c>
    </row>
    <row r="324">
      <c r="A324" s="45">
        <v>80702.0</v>
      </c>
      <c r="B324" s="45" t="s">
        <v>347</v>
      </c>
      <c r="C324" s="101">
        <v>55.56535627823282</v>
      </c>
      <c r="D324" s="101">
        <v>39.54932607528769</v>
      </c>
    </row>
    <row r="325">
      <c r="A325" s="45">
        <v>80703.0</v>
      </c>
      <c r="B325" s="45" t="s">
        <v>370</v>
      </c>
      <c r="C325" s="101">
        <v>11.56856258539359</v>
      </c>
      <c r="D325" s="101">
        <v>6.623062529691115</v>
      </c>
    </row>
    <row r="326">
      <c r="A326" s="45">
        <v>80801.0</v>
      </c>
      <c r="B326" s="45" t="s">
        <v>371</v>
      </c>
      <c r="C326" s="101">
        <v>106.84738681848616</v>
      </c>
      <c r="D326" s="101">
        <v>100.13189644950592</v>
      </c>
    </row>
    <row r="327">
      <c r="A327" s="45">
        <v>80802.0</v>
      </c>
      <c r="B327" s="45" t="s">
        <v>372</v>
      </c>
      <c r="C327" s="101">
        <v>51.98195747257971</v>
      </c>
      <c r="D327" s="101">
        <v>35.02645226170299</v>
      </c>
    </row>
    <row r="328">
      <c r="A328" s="45">
        <v>80803.0</v>
      </c>
      <c r="B328" s="45" t="s">
        <v>373</v>
      </c>
      <c r="C328" s="101">
        <v>35.94110009589066</v>
      </c>
      <c r="D328" s="101">
        <v>28.73723268465792</v>
      </c>
    </row>
    <row r="329">
      <c r="A329" s="45">
        <v>80901.0</v>
      </c>
      <c r="B329" s="45" t="s">
        <v>374</v>
      </c>
      <c r="C329" s="101">
        <v>33.17250476293584</v>
      </c>
      <c r="D329" s="101">
        <v>32.487263615467626</v>
      </c>
    </row>
    <row r="330">
      <c r="A330" s="45">
        <v>90101.0</v>
      </c>
      <c r="B330" s="45" t="s">
        <v>375</v>
      </c>
      <c r="C330" s="101">
        <v>211.64312526608012</v>
      </c>
      <c r="D330" s="101">
        <v>227.14402139203375</v>
      </c>
    </row>
    <row r="331">
      <c r="A331" s="45">
        <v>90102.0</v>
      </c>
      <c r="B331" s="45" t="s">
        <v>376</v>
      </c>
      <c r="C331" s="101">
        <v>35.71937815298514</v>
      </c>
      <c r="D331" s="101">
        <v>45.983892573850284</v>
      </c>
    </row>
    <row r="332">
      <c r="A332" s="45">
        <v>90103.0</v>
      </c>
      <c r="B332" s="45" t="s">
        <v>377</v>
      </c>
      <c r="C332" s="101">
        <v>10.885361079281996</v>
      </c>
      <c r="D332" s="101">
        <v>6.4990295923481405</v>
      </c>
    </row>
    <row r="333">
      <c r="A333" s="45">
        <v>90104.0</v>
      </c>
      <c r="B333" s="45" t="s">
        <v>378</v>
      </c>
      <c r="C333" s="101">
        <v>17.842170791605074</v>
      </c>
      <c r="D333" s="101">
        <v>10.770863650239896</v>
      </c>
    </row>
    <row r="334">
      <c r="A334" s="45">
        <v>90201.0</v>
      </c>
      <c r="B334" s="45" t="s">
        <v>379</v>
      </c>
      <c r="C334" s="101">
        <v>34.784269143386766</v>
      </c>
      <c r="D334" s="101">
        <v>30.93387867617218</v>
      </c>
    </row>
    <row r="335">
      <c r="A335" s="45">
        <v>90202.0</v>
      </c>
      <c r="B335" s="45" t="s">
        <v>270</v>
      </c>
      <c r="C335" s="101">
        <v>12.3176454318191</v>
      </c>
      <c r="D335" s="101">
        <v>13.47270741335092</v>
      </c>
    </row>
    <row r="336">
      <c r="A336" s="45">
        <v>90203.0</v>
      </c>
      <c r="B336" s="45" t="s">
        <v>380</v>
      </c>
      <c r="C336" s="101">
        <v>30.077971403279196</v>
      </c>
      <c r="D336" s="101">
        <v>26.653323609068217</v>
      </c>
    </row>
    <row r="337">
      <c r="A337" s="45">
        <v>90301.0</v>
      </c>
      <c r="B337" s="45" t="s">
        <v>381</v>
      </c>
      <c r="C337" s="101">
        <v>41.37255658328608</v>
      </c>
      <c r="D337" s="101">
        <v>57.34102966156619</v>
      </c>
    </row>
    <row r="338">
      <c r="A338" s="45">
        <v>90302.0</v>
      </c>
      <c r="B338" s="45" t="s">
        <v>303</v>
      </c>
      <c r="C338" s="101">
        <v>40.63595320198128</v>
      </c>
      <c r="D338" s="101">
        <v>46.22343519052104</v>
      </c>
    </row>
    <row r="339">
      <c r="A339" s="45">
        <v>90303.0</v>
      </c>
      <c r="B339" s="45" t="s">
        <v>382</v>
      </c>
      <c r="C339" s="101">
        <v>42.390164173483036</v>
      </c>
      <c r="D339" s="101">
        <v>52.09803403235944</v>
      </c>
    </row>
    <row r="340">
      <c r="A340" s="45">
        <v>90401.0</v>
      </c>
      <c r="B340" s="45" t="s">
        <v>323</v>
      </c>
      <c r="C340" s="101">
        <v>12.93148158290643</v>
      </c>
      <c r="D340" s="101">
        <v>9.821567192930617</v>
      </c>
    </row>
    <row r="341">
      <c r="A341" s="45">
        <v>90402.0</v>
      </c>
      <c r="B341" s="45" t="s">
        <v>383</v>
      </c>
      <c r="C341" s="101">
        <v>9.903223237542267</v>
      </c>
      <c r="D341" s="101">
        <v>9.529475975296993</v>
      </c>
    </row>
    <row r="342">
      <c r="A342" s="45">
        <v>90501.0</v>
      </c>
      <c r="B342" s="45" t="s">
        <v>384</v>
      </c>
      <c r="C342" s="101">
        <v>8.020792374207785</v>
      </c>
      <c r="D342" s="101">
        <v>6.060892765897704</v>
      </c>
    </row>
    <row r="343">
      <c r="A343" s="45">
        <v>90502.0</v>
      </c>
      <c r="B343" s="45" t="s">
        <v>385</v>
      </c>
      <c r="C343" s="101">
        <v>14.650222805950957</v>
      </c>
      <c r="D343" s="101">
        <v>9.565987377501195</v>
      </c>
    </row>
    <row r="344">
      <c r="A344" s="45">
        <v>90503.0</v>
      </c>
      <c r="B344" s="45" t="s">
        <v>386</v>
      </c>
      <c r="C344" s="101">
        <v>8.921085395802537</v>
      </c>
      <c r="D344" s="101">
        <v>7.92297427831206</v>
      </c>
    </row>
    <row r="345">
      <c r="B345" s="1"/>
      <c r="C345" s="102"/>
      <c r="D345" s="102"/>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4.25" customHeight="1">
      <c r="A1" s="103" t="s">
        <v>405</v>
      </c>
      <c r="B1" s="103" t="s">
        <v>46</v>
      </c>
      <c r="C1" s="98" t="s">
        <v>401</v>
      </c>
      <c r="D1" s="98" t="s">
        <v>402</v>
      </c>
      <c r="E1" s="104"/>
      <c r="F1" s="104"/>
      <c r="G1" s="104"/>
      <c r="H1" s="104"/>
      <c r="I1" s="104"/>
      <c r="J1" s="104"/>
      <c r="K1" s="104"/>
      <c r="L1" s="104"/>
      <c r="M1" s="104"/>
      <c r="N1" s="104"/>
      <c r="O1" s="104"/>
      <c r="P1" s="104"/>
      <c r="Q1" s="104"/>
      <c r="R1" s="104"/>
      <c r="S1" s="104"/>
      <c r="T1" s="104"/>
      <c r="U1" s="104"/>
      <c r="V1" s="104"/>
      <c r="W1" s="104"/>
      <c r="X1" s="104"/>
      <c r="Y1" s="104"/>
      <c r="Z1" s="104"/>
    </row>
    <row r="2">
      <c r="A2" s="45">
        <v>1.0</v>
      </c>
      <c r="B2" s="45" t="s">
        <v>49</v>
      </c>
      <c r="C2" s="105">
        <v>8.54944942330617</v>
      </c>
      <c r="D2" s="105">
        <v>6.843289334324863</v>
      </c>
    </row>
    <row r="3">
      <c r="A3" s="45">
        <v>2.0</v>
      </c>
      <c r="B3" s="45" t="s">
        <v>52</v>
      </c>
      <c r="C3" s="105">
        <v>8.20582473564434</v>
      </c>
      <c r="D3" s="105">
        <v>10.263263768265904</v>
      </c>
    </row>
    <row r="4">
      <c r="A4" s="45">
        <v>3.0</v>
      </c>
      <c r="B4" s="45" t="s">
        <v>55</v>
      </c>
      <c r="C4" s="105">
        <v>7.875271937192179</v>
      </c>
      <c r="D4" s="105">
        <v>6.14380578492283</v>
      </c>
    </row>
    <row r="5">
      <c r="A5" s="45">
        <v>4.0</v>
      </c>
      <c r="B5" s="45" t="s">
        <v>57</v>
      </c>
      <c r="C5" s="105">
        <v>6.29062026047541</v>
      </c>
      <c r="D5" s="105">
        <v>7.20955743744394</v>
      </c>
    </row>
    <row r="6">
      <c r="A6" s="45">
        <v>5.0</v>
      </c>
      <c r="B6" s="45" t="s">
        <v>59</v>
      </c>
      <c r="C6" s="105">
        <v>6.704692723888785</v>
      </c>
      <c r="D6" s="105">
        <v>6.047393303036394</v>
      </c>
    </row>
    <row r="7">
      <c r="A7" s="45">
        <v>6.0</v>
      </c>
      <c r="B7" s="45" t="s">
        <v>61</v>
      </c>
      <c r="C7" s="105">
        <v>11.385083985468402</v>
      </c>
      <c r="D7" s="105">
        <v>10.66300489919023</v>
      </c>
    </row>
    <row r="8">
      <c r="A8" s="45">
        <v>7.0</v>
      </c>
      <c r="B8" s="45" t="s">
        <v>63</v>
      </c>
      <c r="C8" s="105">
        <v>10.776459812883992</v>
      </c>
      <c r="D8" s="105">
        <v>9.506454686608327</v>
      </c>
    </row>
    <row r="9">
      <c r="A9" s="45">
        <v>8.0</v>
      </c>
      <c r="B9" s="45" t="s">
        <v>22</v>
      </c>
      <c r="C9" s="105">
        <v>7.326126798116017</v>
      </c>
      <c r="D9" s="105">
        <v>7.753702109016211</v>
      </c>
    </row>
    <row r="10">
      <c r="A10" s="70">
        <v>9.0</v>
      </c>
      <c r="B10" s="70" t="s">
        <v>23</v>
      </c>
      <c r="C10" s="106">
        <v>4.21829237849689</v>
      </c>
      <c r="D10" s="106">
        <v>4.511932914771581</v>
      </c>
    </row>
    <row r="11" ht="15.0" customHeight="1">
      <c r="A11" s="45">
        <v>10.0</v>
      </c>
      <c r="B11" s="45" t="s">
        <v>69</v>
      </c>
      <c r="C11" s="107">
        <v>11.418262022166028</v>
      </c>
      <c r="D11" s="107">
        <v>10.67817065944794</v>
      </c>
    </row>
    <row r="12" ht="15.0" customHeight="1">
      <c r="A12" s="45">
        <v>11.0</v>
      </c>
      <c r="B12" s="45" t="s">
        <v>67</v>
      </c>
      <c r="C12" s="107">
        <v>8.68988925953857</v>
      </c>
      <c r="D12" s="107">
        <v>8.443329394938388</v>
      </c>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0" customHeight="1">
      <c r="A1" s="103" t="s">
        <v>405</v>
      </c>
      <c r="B1" s="103" t="s">
        <v>46</v>
      </c>
      <c r="C1" s="98" t="s">
        <v>403</v>
      </c>
      <c r="D1" s="98" t="s">
        <v>404</v>
      </c>
    </row>
    <row r="2">
      <c r="A2" s="45">
        <v>1.0</v>
      </c>
      <c r="B2" s="45" t="s">
        <v>49</v>
      </c>
      <c r="C2" s="101">
        <v>5896.1277947831</v>
      </c>
      <c r="D2" s="101">
        <v>3067.6413098978064</v>
      </c>
      <c r="F2" s="108"/>
      <c r="G2" s="108"/>
    </row>
    <row r="3">
      <c r="A3" s="45">
        <v>2.0</v>
      </c>
      <c r="B3" s="45" t="s">
        <v>52</v>
      </c>
      <c r="C3" s="101">
        <v>22079.74084918765</v>
      </c>
      <c r="D3" s="101">
        <v>21422.30519822606</v>
      </c>
    </row>
    <row r="4">
      <c r="A4" s="45">
        <v>3.0</v>
      </c>
      <c r="B4" s="45" t="s">
        <v>55</v>
      </c>
      <c r="C4" s="101">
        <v>15058.386223824537</v>
      </c>
      <c r="D4" s="101">
        <v>9350.442338247603</v>
      </c>
    </row>
    <row r="5">
      <c r="A5" s="45">
        <v>4.0</v>
      </c>
      <c r="B5" s="45" t="s">
        <v>57</v>
      </c>
      <c r="C5" s="101">
        <v>3242.437307059445</v>
      </c>
      <c r="D5" s="101">
        <v>3096.649110530921</v>
      </c>
    </row>
    <row r="6">
      <c r="A6" s="45">
        <v>5.0</v>
      </c>
      <c r="B6" s="45" t="s">
        <v>59</v>
      </c>
      <c r="C6" s="101">
        <v>6589.103821328942</v>
      </c>
      <c r="D6" s="101">
        <v>4442.052276812353</v>
      </c>
    </row>
    <row r="7">
      <c r="A7" s="45">
        <v>6.0</v>
      </c>
      <c r="B7" s="45" t="s">
        <v>61</v>
      </c>
      <c r="C7" s="101">
        <v>5661.005310094453</v>
      </c>
      <c r="D7" s="101">
        <v>3876.6420611496</v>
      </c>
    </row>
    <row r="8">
      <c r="A8" s="45">
        <v>7.0</v>
      </c>
      <c r="B8" s="45" t="s">
        <v>63</v>
      </c>
      <c r="C8" s="101">
        <v>31576.104897731384</v>
      </c>
      <c r="D8" s="101">
        <v>24232.143125258357</v>
      </c>
    </row>
    <row r="9">
      <c r="A9" s="45">
        <v>8.0</v>
      </c>
      <c r="B9" s="45" t="s">
        <v>22</v>
      </c>
      <c r="C9" s="101">
        <v>4003.8015564383845</v>
      </c>
      <c r="D9" s="101">
        <v>3607.487443240882</v>
      </c>
    </row>
    <row r="10">
      <c r="A10" s="45">
        <v>9.0</v>
      </c>
      <c r="B10" s="45" t="s">
        <v>23</v>
      </c>
      <c r="C10" s="101">
        <v>532.0954006235977</v>
      </c>
      <c r="D10" s="101">
        <v>560.0211133814487</v>
      </c>
    </row>
    <row r="11" ht="15.0" customHeight="1">
      <c r="A11" s="45">
        <v>10.0</v>
      </c>
      <c r="B11" s="45" t="s">
        <v>69</v>
      </c>
      <c r="C11" s="67">
        <v>1850.6719085526695</v>
      </c>
      <c r="D11" s="67">
        <v>1306.7945253032387</v>
      </c>
    </row>
    <row r="12" ht="15.0" customHeight="1">
      <c r="A12" s="45">
        <v>11.0</v>
      </c>
      <c r="B12" s="45" t="s">
        <v>67</v>
      </c>
      <c r="C12" s="109">
        <v>94638.8031610715</v>
      </c>
      <c r="D12" s="109">
        <v>73655.38397674503</v>
      </c>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39.75" customHeight="1">
      <c r="A1" s="110" t="s">
        <v>406</v>
      </c>
      <c r="B1" s="110" t="s">
        <v>407</v>
      </c>
      <c r="C1" s="111" t="s">
        <v>408</v>
      </c>
      <c r="D1" s="111" t="s">
        <v>409</v>
      </c>
      <c r="E1" s="112" t="s">
        <v>410</v>
      </c>
      <c r="F1" s="112" t="s">
        <v>411</v>
      </c>
      <c r="G1" s="113" t="s">
        <v>412</v>
      </c>
      <c r="H1" s="113" t="s">
        <v>413</v>
      </c>
      <c r="I1" s="114" t="s">
        <v>414</v>
      </c>
      <c r="J1" s="114" t="s">
        <v>415</v>
      </c>
    </row>
    <row r="2" ht="29.25" customHeight="1">
      <c r="A2" s="115">
        <v>2.0</v>
      </c>
      <c r="B2" s="116" t="s">
        <v>416</v>
      </c>
      <c r="C2" s="115">
        <v>0.0</v>
      </c>
      <c r="D2" s="115">
        <v>6.2</v>
      </c>
      <c r="E2" s="115">
        <v>6.2</v>
      </c>
      <c r="F2" s="115">
        <v>7.9</v>
      </c>
      <c r="G2" s="115">
        <v>7.9</v>
      </c>
      <c r="H2" s="115">
        <v>9.5</v>
      </c>
      <c r="I2" s="115">
        <v>9.5</v>
      </c>
      <c r="J2" s="115">
        <v>100.0</v>
      </c>
    </row>
    <row r="3">
      <c r="A3" s="117"/>
      <c r="B3" s="117"/>
      <c r="C3" s="117"/>
      <c r="D3" s="117"/>
      <c r="E3" s="117"/>
      <c r="F3" s="117"/>
      <c r="G3" s="117"/>
      <c r="H3" s="117"/>
      <c r="I3" s="117"/>
      <c r="J3" s="117"/>
    </row>
    <row r="4">
      <c r="A4" s="117"/>
      <c r="B4" s="117"/>
      <c r="C4" s="117"/>
      <c r="D4" s="117"/>
      <c r="E4" s="117"/>
      <c r="F4" s="117"/>
      <c r="G4" s="117"/>
      <c r="H4" s="117"/>
      <c r="I4" s="117"/>
      <c r="J4" s="117"/>
    </row>
    <row r="5">
      <c r="A5" s="117"/>
      <c r="B5" s="117"/>
      <c r="C5" s="117"/>
      <c r="D5" s="117"/>
      <c r="E5" s="117"/>
      <c r="F5" s="117"/>
      <c r="G5" s="117"/>
      <c r="H5" s="117"/>
      <c r="I5" s="117"/>
      <c r="J5" s="117"/>
    </row>
    <row r="6">
      <c r="A6" s="117"/>
      <c r="B6" s="117"/>
      <c r="C6" s="117"/>
      <c r="D6" s="117"/>
      <c r="E6" s="117"/>
      <c r="F6" s="117"/>
      <c r="G6" s="117"/>
      <c r="H6" s="117"/>
      <c r="I6" s="117"/>
      <c r="J6" s="117"/>
    </row>
    <row r="7">
      <c r="A7" s="117"/>
      <c r="B7" s="117"/>
      <c r="C7" s="117"/>
      <c r="D7" s="117"/>
      <c r="E7" s="117"/>
      <c r="F7" s="117"/>
      <c r="G7" s="117"/>
      <c r="H7" s="117"/>
      <c r="I7" s="117"/>
      <c r="J7" s="117"/>
    </row>
    <row r="8">
      <c r="A8" s="117"/>
      <c r="B8" s="117"/>
      <c r="C8" s="117"/>
      <c r="D8" s="117"/>
      <c r="E8" s="117"/>
      <c r="F8" s="117"/>
      <c r="G8" s="117"/>
      <c r="H8" s="117"/>
      <c r="I8" s="117"/>
      <c r="J8" s="117"/>
    </row>
    <row r="9">
      <c r="A9" s="117"/>
      <c r="B9" s="117"/>
      <c r="C9" s="117"/>
      <c r="D9" s="117"/>
      <c r="E9" s="117"/>
      <c r="F9" s="117"/>
      <c r="G9" s="117"/>
      <c r="H9" s="117"/>
      <c r="I9" s="117"/>
      <c r="J9" s="117"/>
    </row>
    <row r="10">
      <c r="A10" s="117"/>
      <c r="B10" s="117"/>
      <c r="C10" s="117"/>
      <c r="D10" s="117"/>
      <c r="E10" s="117"/>
      <c r="F10" s="117"/>
      <c r="G10" s="117"/>
      <c r="H10" s="117"/>
      <c r="I10" s="117"/>
      <c r="J10" s="117"/>
    </row>
    <row r="11">
      <c r="A11" s="117"/>
      <c r="B11" s="117"/>
      <c r="C11" s="117"/>
      <c r="D11" s="117"/>
      <c r="E11" s="117"/>
      <c r="F11" s="117"/>
      <c r="G11" s="117"/>
      <c r="H11" s="117"/>
      <c r="I11" s="117"/>
      <c r="J11" s="117"/>
    </row>
    <row r="12">
      <c r="A12" s="117"/>
      <c r="B12" s="117"/>
      <c r="C12" s="117"/>
      <c r="D12" s="117"/>
      <c r="E12" s="117"/>
      <c r="F12" s="117"/>
      <c r="G12" s="117"/>
      <c r="H12" s="117"/>
      <c r="I12" s="117"/>
      <c r="J12" s="117"/>
    </row>
    <row r="13">
      <c r="A13" s="117"/>
      <c r="B13" s="117"/>
      <c r="C13" s="117"/>
      <c r="D13" s="117"/>
      <c r="E13" s="117"/>
      <c r="F13" s="117"/>
      <c r="G13" s="117"/>
      <c r="H13" s="117"/>
      <c r="I13" s="117"/>
      <c r="J13" s="117"/>
    </row>
    <row r="14">
      <c r="A14" s="117"/>
      <c r="B14" s="117"/>
      <c r="C14" s="117"/>
      <c r="D14" s="117"/>
      <c r="E14" s="117"/>
      <c r="F14" s="117"/>
      <c r="G14" s="117"/>
      <c r="H14" s="117"/>
      <c r="I14" s="117"/>
      <c r="J14" s="117"/>
    </row>
    <row r="15">
      <c r="A15" s="117"/>
      <c r="B15" s="117"/>
      <c r="C15" s="117"/>
      <c r="D15" s="117"/>
      <c r="E15" s="117"/>
      <c r="F15" s="117"/>
      <c r="G15" s="117"/>
      <c r="H15" s="117"/>
      <c r="I15" s="117"/>
      <c r="J15" s="117"/>
    </row>
    <row r="16">
      <c r="A16" s="117"/>
      <c r="B16" s="117"/>
      <c r="C16" s="117"/>
      <c r="D16" s="117"/>
      <c r="E16" s="117"/>
      <c r="F16" s="117"/>
      <c r="G16" s="117"/>
      <c r="H16" s="117"/>
      <c r="I16" s="117"/>
      <c r="J16" s="117"/>
    </row>
    <row r="17">
      <c r="A17" s="117"/>
      <c r="B17" s="117"/>
      <c r="C17" s="117"/>
      <c r="D17" s="117"/>
      <c r="E17" s="117"/>
      <c r="F17" s="117"/>
      <c r="G17" s="117"/>
      <c r="H17" s="117"/>
      <c r="I17" s="117"/>
      <c r="J17" s="117"/>
    </row>
    <row r="18">
      <c r="A18" s="117"/>
      <c r="B18" s="117"/>
      <c r="C18" s="117"/>
      <c r="D18" s="117"/>
      <c r="E18" s="117"/>
      <c r="F18" s="117"/>
      <c r="G18" s="117"/>
      <c r="H18" s="117"/>
      <c r="I18" s="117"/>
      <c r="J18" s="117"/>
    </row>
    <row r="19">
      <c r="A19" s="117"/>
      <c r="B19" s="117"/>
      <c r="C19" s="117"/>
      <c r="D19" s="117"/>
      <c r="E19" s="117"/>
      <c r="F19" s="117"/>
      <c r="G19" s="117"/>
      <c r="H19" s="117"/>
      <c r="I19" s="117"/>
      <c r="J19" s="117"/>
    </row>
    <row r="20">
      <c r="A20" s="117"/>
      <c r="B20" s="117"/>
      <c r="C20" s="117"/>
      <c r="D20" s="117"/>
      <c r="E20" s="117"/>
      <c r="F20" s="117"/>
      <c r="G20" s="117"/>
      <c r="H20" s="117"/>
      <c r="I20" s="117"/>
      <c r="J20" s="117"/>
    </row>
    <row r="21">
      <c r="A21" s="117"/>
      <c r="B21" s="117"/>
      <c r="C21" s="117"/>
      <c r="D21" s="117"/>
      <c r="E21" s="117"/>
      <c r="F21" s="117"/>
      <c r="G21" s="117"/>
      <c r="H21" s="117"/>
      <c r="I21" s="117"/>
      <c r="J21" s="117"/>
    </row>
    <row r="22">
      <c r="A22" s="117"/>
      <c r="B22" s="117"/>
      <c r="C22" s="117"/>
      <c r="D22" s="117"/>
      <c r="E22" s="117"/>
      <c r="F22" s="117"/>
      <c r="G22" s="117"/>
      <c r="H22" s="117"/>
      <c r="I22" s="117"/>
      <c r="J22" s="117"/>
    </row>
    <row r="23">
      <c r="A23" s="117"/>
      <c r="B23" s="117"/>
      <c r="C23" s="117"/>
      <c r="D23" s="117"/>
      <c r="E23" s="117"/>
      <c r="F23" s="117"/>
      <c r="G23" s="117"/>
      <c r="H23" s="117"/>
      <c r="I23" s="117"/>
      <c r="J23" s="117"/>
    </row>
    <row r="24">
      <c r="A24" s="117"/>
      <c r="B24" s="117"/>
      <c r="C24" s="117"/>
      <c r="D24" s="117"/>
      <c r="E24" s="117"/>
      <c r="F24" s="117"/>
      <c r="G24" s="117"/>
      <c r="H24" s="117"/>
      <c r="I24" s="117"/>
      <c r="J24" s="117"/>
    </row>
    <row r="25">
      <c r="A25" s="117"/>
      <c r="B25" s="117"/>
      <c r="C25" s="117"/>
      <c r="D25" s="117"/>
      <c r="E25" s="117"/>
      <c r="F25" s="117"/>
      <c r="G25" s="117"/>
      <c r="H25" s="117"/>
      <c r="I25" s="117"/>
      <c r="J25" s="117"/>
    </row>
    <row r="26">
      <c r="A26" s="117"/>
      <c r="B26" s="117"/>
      <c r="C26" s="117"/>
      <c r="D26" s="117"/>
      <c r="E26" s="117"/>
      <c r="F26" s="117"/>
      <c r="G26" s="117"/>
      <c r="H26" s="117"/>
      <c r="I26" s="117"/>
      <c r="J26" s="117"/>
    </row>
    <row r="27">
      <c r="A27" s="117"/>
      <c r="B27" s="117"/>
      <c r="C27" s="117"/>
      <c r="D27" s="117"/>
      <c r="E27" s="117"/>
      <c r="F27" s="117"/>
      <c r="G27" s="117"/>
      <c r="H27" s="117"/>
      <c r="I27" s="117"/>
      <c r="J27" s="117"/>
    </row>
    <row r="28">
      <c r="A28" s="117"/>
      <c r="B28" s="117"/>
      <c r="C28" s="117"/>
      <c r="D28" s="117"/>
      <c r="E28" s="117"/>
      <c r="F28" s="117"/>
      <c r="G28" s="117"/>
      <c r="H28" s="117"/>
      <c r="I28" s="117"/>
      <c r="J28" s="117"/>
    </row>
    <row r="29">
      <c r="A29" s="117"/>
      <c r="B29" s="117"/>
      <c r="C29" s="117"/>
      <c r="D29" s="117"/>
      <c r="E29" s="117"/>
      <c r="F29" s="117"/>
      <c r="G29" s="117"/>
      <c r="H29" s="117"/>
      <c r="I29" s="117"/>
      <c r="J29" s="117"/>
    </row>
    <row r="30">
      <c r="A30" s="117"/>
      <c r="B30" s="117"/>
      <c r="C30" s="117"/>
      <c r="D30" s="117"/>
      <c r="E30" s="117"/>
      <c r="F30" s="117"/>
      <c r="G30" s="117"/>
      <c r="H30" s="117"/>
      <c r="I30" s="117"/>
      <c r="J30" s="117"/>
    </row>
    <row r="31">
      <c r="A31" s="117"/>
      <c r="B31" s="117"/>
      <c r="C31" s="117"/>
      <c r="D31" s="117"/>
      <c r="E31" s="117"/>
      <c r="F31" s="117"/>
      <c r="G31" s="117"/>
      <c r="H31" s="117"/>
      <c r="I31" s="117"/>
      <c r="J31" s="117"/>
    </row>
    <row r="32">
      <c r="A32" s="117"/>
      <c r="B32" s="117"/>
      <c r="C32" s="117"/>
      <c r="D32" s="117"/>
      <c r="E32" s="117"/>
      <c r="F32" s="117"/>
      <c r="G32" s="117"/>
      <c r="H32" s="117"/>
      <c r="I32" s="117"/>
      <c r="J32" s="117"/>
    </row>
    <row r="33">
      <c r="A33" s="117"/>
      <c r="B33" s="117"/>
      <c r="C33" s="117"/>
      <c r="D33" s="117"/>
      <c r="E33" s="117"/>
      <c r="F33" s="117"/>
      <c r="G33" s="117"/>
      <c r="H33" s="117"/>
      <c r="I33" s="117"/>
      <c r="J33" s="117"/>
    </row>
    <row r="34">
      <c r="A34" s="117"/>
      <c r="B34" s="117"/>
      <c r="C34" s="117"/>
      <c r="D34" s="117"/>
      <c r="E34" s="117"/>
      <c r="F34" s="117"/>
      <c r="G34" s="117"/>
      <c r="H34" s="117"/>
      <c r="I34" s="117"/>
      <c r="J34" s="117"/>
    </row>
    <row r="35">
      <c r="A35" s="117"/>
      <c r="B35" s="117"/>
      <c r="C35" s="117"/>
      <c r="D35" s="117"/>
      <c r="E35" s="117"/>
      <c r="F35" s="117"/>
      <c r="G35" s="117"/>
      <c r="H35" s="117"/>
      <c r="I35" s="117"/>
      <c r="J35" s="117"/>
    </row>
    <row r="36">
      <c r="A36" s="117"/>
      <c r="B36" s="117"/>
      <c r="C36" s="117"/>
      <c r="D36" s="117"/>
      <c r="E36" s="117"/>
      <c r="F36" s="117"/>
      <c r="G36" s="117"/>
      <c r="H36" s="117"/>
      <c r="I36" s="117"/>
      <c r="J36" s="117"/>
    </row>
    <row r="37">
      <c r="A37" s="117"/>
      <c r="B37" s="117"/>
      <c r="C37" s="117"/>
      <c r="D37" s="117"/>
      <c r="E37" s="117"/>
      <c r="F37" s="117"/>
      <c r="G37" s="117"/>
      <c r="H37" s="117"/>
      <c r="I37" s="117"/>
      <c r="J37" s="117"/>
    </row>
    <row r="38">
      <c r="A38" s="117"/>
      <c r="B38" s="117"/>
      <c r="C38" s="117"/>
      <c r="D38" s="117"/>
      <c r="E38" s="117"/>
      <c r="F38" s="117"/>
      <c r="G38" s="117"/>
      <c r="H38" s="117"/>
      <c r="I38" s="117"/>
      <c r="J38" s="117"/>
    </row>
    <row r="39">
      <c r="A39" s="117"/>
      <c r="B39" s="117"/>
      <c r="C39" s="117"/>
      <c r="D39" s="117"/>
      <c r="E39" s="117"/>
      <c r="F39" s="117"/>
      <c r="G39" s="117"/>
      <c r="H39" s="117"/>
      <c r="I39" s="117"/>
      <c r="J39" s="117"/>
    </row>
    <row r="40">
      <c r="A40" s="117"/>
      <c r="B40" s="117"/>
      <c r="C40" s="117"/>
      <c r="D40" s="117"/>
      <c r="E40" s="117"/>
      <c r="F40" s="117"/>
      <c r="G40" s="117"/>
      <c r="H40" s="117"/>
      <c r="I40" s="117"/>
      <c r="J40" s="117"/>
    </row>
    <row r="41">
      <c r="A41" s="117"/>
      <c r="B41" s="117"/>
      <c r="C41" s="117"/>
      <c r="D41" s="117"/>
      <c r="E41" s="117"/>
      <c r="F41" s="117"/>
      <c r="G41" s="117"/>
      <c r="H41" s="117"/>
      <c r="I41" s="117"/>
      <c r="J41" s="117"/>
    </row>
    <row r="42">
      <c r="A42" s="117"/>
      <c r="B42" s="117"/>
      <c r="C42" s="117"/>
      <c r="D42" s="117"/>
      <c r="E42" s="117"/>
      <c r="F42" s="117"/>
      <c r="G42" s="117"/>
      <c r="H42" s="117"/>
      <c r="I42" s="117"/>
      <c r="J42" s="117"/>
    </row>
    <row r="43">
      <c r="A43" s="117"/>
      <c r="B43" s="117"/>
      <c r="C43" s="117"/>
      <c r="D43" s="117"/>
      <c r="E43" s="117"/>
      <c r="F43" s="117"/>
      <c r="G43" s="117"/>
      <c r="H43" s="117"/>
      <c r="I43" s="117"/>
      <c r="J43" s="117"/>
    </row>
    <row r="44">
      <c r="A44" s="117"/>
      <c r="B44" s="117"/>
      <c r="C44" s="117"/>
      <c r="D44" s="117"/>
      <c r="E44" s="117"/>
      <c r="F44" s="117"/>
      <c r="G44" s="117"/>
      <c r="H44" s="117"/>
      <c r="I44" s="117"/>
      <c r="J44" s="117"/>
    </row>
    <row r="45">
      <c r="A45" s="117"/>
      <c r="B45" s="117"/>
      <c r="C45" s="117"/>
      <c r="D45" s="117"/>
      <c r="E45" s="117"/>
      <c r="F45" s="117"/>
      <c r="G45" s="117"/>
      <c r="H45" s="117"/>
      <c r="I45" s="117"/>
      <c r="J45" s="117"/>
    </row>
    <row r="46">
      <c r="A46" s="117"/>
      <c r="B46" s="117"/>
      <c r="C46" s="117"/>
      <c r="D46" s="117"/>
      <c r="E46" s="117"/>
      <c r="F46" s="117"/>
      <c r="G46" s="117"/>
      <c r="H46" s="117"/>
      <c r="I46" s="117"/>
      <c r="J46" s="117"/>
    </row>
    <row r="47">
      <c r="A47" s="117"/>
      <c r="B47" s="117"/>
      <c r="C47" s="117"/>
      <c r="D47" s="117"/>
      <c r="E47" s="117"/>
      <c r="F47" s="117"/>
      <c r="G47" s="117"/>
      <c r="H47" s="117"/>
      <c r="I47" s="117"/>
      <c r="J47" s="117"/>
    </row>
    <row r="48">
      <c r="A48" s="117"/>
      <c r="B48" s="117"/>
      <c r="C48" s="117"/>
      <c r="D48" s="117"/>
      <c r="E48" s="117"/>
      <c r="F48" s="117"/>
      <c r="G48" s="117"/>
      <c r="H48" s="117"/>
      <c r="I48" s="117"/>
      <c r="J48" s="117"/>
    </row>
    <row r="49">
      <c r="A49" s="117"/>
      <c r="B49" s="117"/>
      <c r="C49" s="117"/>
      <c r="D49" s="117"/>
      <c r="E49" s="117"/>
      <c r="F49" s="117"/>
      <c r="G49" s="117"/>
      <c r="H49" s="117"/>
      <c r="I49" s="117"/>
      <c r="J49" s="117"/>
    </row>
    <row r="50">
      <c r="A50" s="117"/>
      <c r="B50" s="117"/>
      <c r="C50" s="117"/>
      <c r="D50" s="117"/>
      <c r="E50" s="117"/>
      <c r="F50" s="117"/>
      <c r="G50" s="117"/>
      <c r="H50" s="117"/>
      <c r="I50" s="117"/>
      <c r="J50" s="117"/>
    </row>
    <row r="51">
      <c r="A51" s="117"/>
      <c r="B51" s="117"/>
      <c r="C51" s="117"/>
      <c r="D51" s="117"/>
      <c r="E51" s="117"/>
      <c r="F51" s="117"/>
      <c r="G51" s="117"/>
      <c r="H51" s="117"/>
      <c r="I51" s="117"/>
      <c r="J51" s="117"/>
    </row>
    <row r="52">
      <c r="A52" s="117"/>
      <c r="B52" s="117"/>
      <c r="C52" s="117"/>
      <c r="D52" s="117"/>
      <c r="E52" s="117"/>
      <c r="F52" s="117"/>
      <c r="G52" s="117"/>
      <c r="H52" s="117"/>
      <c r="I52" s="117"/>
      <c r="J52" s="117"/>
    </row>
    <row r="53">
      <c r="A53" s="117"/>
      <c r="B53" s="117"/>
      <c r="C53" s="117"/>
      <c r="D53" s="117"/>
      <c r="E53" s="117"/>
      <c r="F53" s="117"/>
      <c r="G53" s="117"/>
      <c r="H53" s="117"/>
      <c r="I53" s="117"/>
      <c r="J53" s="117"/>
    </row>
    <row r="54">
      <c r="A54" s="117"/>
      <c r="B54" s="117"/>
      <c r="C54" s="117"/>
      <c r="D54" s="117"/>
      <c r="E54" s="117"/>
      <c r="F54" s="117"/>
      <c r="G54" s="117"/>
      <c r="H54" s="117"/>
      <c r="I54" s="117"/>
      <c r="J54" s="117"/>
    </row>
    <row r="55">
      <c r="A55" s="117"/>
      <c r="B55" s="117"/>
      <c r="C55" s="117"/>
      <c r="D55" s="117"/>
      <c r="E55" s="117"/>
      <c r="F55" s="117"/>
      <c r="G55" s="117"/>
      <c r="H55" s="117"/>
      <c r="I55" s="117"/>
      <c r="J55" s="117"/>
    </row>
    <row r="56">
      <c r="A56" s="117"/>
      <c r="B56" s="117"/>
      <c r="C56" s="117"/>
      <c r="D56" s="117"/>
      <c r="E56" s="117"/>
      <c r="F56" s="117"/>
      <c r="G56" s="117"/>
      <c r="H56" s="117"/>
      <c r="I56" s="117"/>
      <c r="J56" s="117"/>
    </row>
    <row r="57">
      <c r="A57" s="117"/>
      <c r="B57" s="117"/>
      <c r="C57" s="117"/>
      <c r="D57" s="117"/>
      <c r="E57" s="117"/>
      <c r="F57" s="117"/>
      <c r="G57" s="117"/>
      <c r="H57" s="117"/>
      <c r="I57" s="117"/>
      <c r="J57" s="117"/>
    </row>
    <row r="58">
      <c r="A58" s="117"/>
      <c r="B58" s="117"/>
      <c r="C58" s="117"/>
      <c r="D58" s="117"/>
      <c r="E58" s="117"/>
      <c r="F58" s="117"/>
      <c r="G58" s="117"/>
      <c r="H58" s="117"/>
      <c r="I58" s="117"/>
      <c r="J58" s="117"/>
    </row>
    <row r="59">
      <c r="A59" s="117"/>
      <c r="B59" s="117"/>
      <c r="C59" s="117"/>
      <c r="D59" s="117"/>
      <c r="E59" s="117"/>
      <c r="F59" s="117"/>
      <c r="G59" s="117"/>
      <c r="H59" s="117"/>
      <c r="I59" s="117"/>
      <c r="J59" s="117"/>
    </row>
    <row r="60">
      <c r="A60" s="117"/>
      <c r="B60" s="117"/>
      <c r="C60" s="117"/>
      <c r="D60" s="117"/>
      <c r="E60" s="117"/>
      <c r="F60" s="117"/>
      <c r="G60" s="117"/>
      <c r="H60" s="117"/>
      <c r="I60" s="117"/>
      <c r="J60" s="117"/>
    </row>
    <row r="61">
      <c r="A61" s="117"/>
      <c r="B61" s="117"/>
      <c r="C61" s="117"/>
      <c r="D61" s="117"/>
      <c r="E61" s="117"/>
      <c r="F61" s="117"/>
      <c r="G61" s="117"/>
      <c r="H61" s="117"/>
      <c r="I61" s="117"/>
      <c r="J61" s="117"/>
    </row>
    <row r="62">
      <c r="A62" s="117"/>
      <c r="B62" s="117"/>
      <c r="C62" s="117"/>
      <c r="D62" s="117"/>
      <c r="E62" s="117"/>
      <c r="F62" s="117"/>
      <c r="G62" s="117"/>
      <c r="H62" s="117"/>
      <c r="I62" s="117"/>
      <c r="J62" s="117"/>
    </row>
    <row r="63">
      <c r="A63" s="117"/>
      <c r="B63" s="117"/>
      <c r="C63" s="117"/>
      <c r="D63" s="117"/>
      <c r="E63" s="117"/>
      <c r="F63" s="117"/>
      <c r="G63" s="117"/>
      <c r="H63" s="117"/>
      <c r="I63" s="117"/>
      <c r="J63" s="117"/>
    </row>
    <row r="64">
      <c r="A64" s="117"/>
      <c r="B64" s="117"/>
      <c r="C64" s="117"/>
      <c r="D64" s="117"/>
      <c r="E64" s="117"/>
      <c r="F64" s="117"/>
      <c r="G64" s="117"/>
      <c r="H64" s="117"/>
      <c r="I64" s="117"/>
      <c r="J64" s="117"/>
    </row>
    <row r="65">
      <c r="A65" s="117"/>
      <c r="B65" s="117"/>
      <c r="C65" s="117"/>
      <c r="D65" s="117"/>
      <c r="E65" s="117"/>
      <c r="F65" s="117"/>
      <c r="G65" s="117"/>
      <c r="H65" s="117"/>
      <c r="I65" s="117"/>
      <c r="J65" s="117"/>
    </row>
    <row r="66">
      <c r="A66" s="117"/>
      <c r="B66" s="117"/>
      <c r="C66" s="117"/>
      <c r="D66" s="117"/>
      <c r="E66" s="117"/>
      <c r="F66" s="117"/>
      <c r="G66" s="117"/>
      <c r="H66" s="117"/>
      <c r="I66" s="117"/>
      <c r="J66" s="117"/>
    </row>
    <row r="67">
      <c r="A67" s="117"/>
      <c r="B67" s="117"/>
      <c r="C67" s="117"/>
      <c r="D67" s="117"/>
      <c r="E67" s="117"/>
      <c r="F67" s="117"/>
      <c r="G67" s="117"/>
      <c r="H67" s="117"/>
      <c r="I67" s="117"/>
      <c r="J67" s="117"/>
    </row>
    <row r="68">
      <c r="A68" s="117"/>
      <c r="B68" s="117"/>
      <c r="C68" s="117"/>
      <c r="D68" s="117"/>
      <c r="E68" s="117"/>
      <c r="F68" s="117"/>
      <c r="G68" s="117"/>
      <c r="H68" s="117"/>
      <c r="I68" s="117"/>
      <c r="J68" s="117"/>
    </row>
    <row r="69">
      <c r="A69" s="117"/>
      <c r="B69" s="117"/>
      <c r="C69" s="117"/>
      <c r="D69" s="117"/>
      <c r="E69" s="117"/>
      <c r="F69" s="117"/>
      <c r="G69" s="117"/>
      <c r="H69" s="117"/>
      <c r="I69" s="117"/>
      <c r="J69" s="117"/>
    </row>
    <row r="70">
      <c r="A70" s="117"/>
      <c r="B70" s="117"/>
      <c r="C70" s="117"/>
      <c r="D70" s="117"/>
      <c r="E70" s="117"/>
      <c r="F70" s="117"/>
      <c r="G70" s="117"/>
      <c r="H70" s="117"/>
      <c r="I70" s="117"/>
      <c r="J70" s="117"/>
    </row>
    <row r="71">
      <c r="A71" s="117"/>
      <c r="B71" s="117"/>
      <c r="C71" s="117"/>
      <c r="D71" s="117"/>
      <c r="E71" s="117"/>
      <c r="F71" s="117"/>
      <c r="G71" s="117"/>
      <c r="H71" s="117"/>
      <c r="I71" s="117"/>
      <c r="J71" s="117"/>
    </row>
    <row r="72">
      <c r="A72" s="117"/>
      <c r="B72" s="117"/>
      <c r="C72" s="117"/>
      <c r="D72" s="117"/>
      <c r="E72" s="117"/>
      <c r="F72" s="117"/>
      <c r="G72" s="117"/>
      <c r="H72" s="117"/>
      <c r="I72" s="117"/>
      <c r="J72" s="117"/>
    </row>
    <row r="73">
      <c r="A73" s="117"/>
      <c r="B73" s="117"/>
      <c r="C73" s="117"/>
      <c r="D73" s="117"/>
      <c r="E73" s="117"/>
      <c r="F73" s="117"/>
      <c r="G73" s="117"/>
      <c r="H73" s="117"/>
      <c r="I73" s="117"/>
      <c r="J73" s="117"/>
    </row>
    <row r="74">
      <c r="A74" s="117"/>
      <c r="B74" s="117"/>
      <c r="C74" s="117"/>
      <c r="D74" s="117"/>
      <c r="E74" s="117"/>
      <c r="F74" s="117"/>
      <c r="G74" s="117"/>
      <c r="H74" s="117"/>
      <c r="I74" s="117"/>
      <c r="J74" s="117"/>
    </row>
    <row r="75">
      <c r="A75" s="117"/>
      <c r="B75" s="117"/>
      <c r="C75" s="117"/>
      <c r="D75" s="117"/>
      <c r="E75" s="117"/>
      <c r="F75" s="117"/>
      <c r="G75" s="117"/>
      <c r="H75" s="117"/>
      <c r="I75" s="117"/>
      <c r="J75" s="117"/>
    </row>
    <row r="76">
      <c r="A76" s="117"/>
      <c r="B76" s="117"/>
      <c r="C76" s="117"/>
      <c r="D76" s="117"/>
      <c r="E76" s="117"/>
      <c r="F76" s="117"/>
      <c r="G76" s="117"/>
      <c r="H76" s="117"/>
      <c r="I76" s="117"/>
      <c r="J76" s="117"/>
    </row>
    <row r="77">
      <c r="A77" s="117"/>
      <c r="B77" s="117"/>
      <c r="C77" s="117"/>
      <c r="D77" s="117"/>
      <c r="E77" s="117"/>
      <c r="F77" s="117"/>
      <c r="G77" s="117"/>
      <c r="H77" s="117"/>
      <c r="I77" s="117"/>
      <c r="J77" s="117"/>
    </row>
    <row r="78">
      <c r="A78" s="117"/>
      <c r="B78" s="117"/>
      <c r="C78" s="117"/>
      <c r="D78" s="117"/>
      <c r="E78" s="117"/>
      <c r="F78" s="117"/>
      <c r="G78" s="117"/>
      <c r="H78" s="117"/>
      <c r="I78" s="117"/>
      <c r="J78" s="117"/>
    </row>
    <row r="79">
      <c r="A79" s="117"/>
      <c r="B79" s="117"/>
      <c r="C79" s="117"/>
      <c r="D79" s="117"/>
      <c r="E79" s="117"/>
      <c r="F79" s="117"/>
      <c r="G79" s="117"/>
      <c r="H79" s="117"/>
      <c r="I79" s="117"/>
      <c r="J79" s="117"/>
    </row>
    <row r="80">
      <c r="A80" s="117"/>
      <c r="B80" s="117"/>
      <c r="C80" s="117"/>
      <c r="D80" s="117"/>
      <c r="E80" s="117"/>
      <c r="F80" s="117"/>
      <c r="G80" s="117"/>
      <c r="H80" s="117"/>
      <c r="I80" s="117"/>
      <c r="J80" s="117"/>
    </row>
    <row r="81">
      <c r="A81" s="117"/>
      <c r="B81" s="117"/>
      <c r="C81" s="117"/>
      <c r="D81" s="117"/>
      <c r="E81" s="117"/>
      <c r="F81" s="117"/>
      <c r="G81" s="117"/>
      <c r="H81" s="117"/>
      <c r="I81" s="117"/>
      <c r="J81" s="117"/>
    </row>
    <row r="82">
      <c r="A82" s="117"/>
      <c r="B82" s="117"/>
      <c r="C82" s="117"/>
      <c r="D82" s="117"/>
      <c r="E82" s="117"/>
      <c r="F82" s="117"/>
      <c r="G82" s="117"/>
      <c r="H82" s="117"/>
      <c r="I82" s="117"/>
      <c r="J82" s="117"/>
    </row>
    <row r="83">
      <c r="A83" s="117"/>
      <c r="B83" s="117"/>
      <c r="C83" s="117"/>
      <c r="D83" s="117"/>
      <c r="E83" s="117"/>
      <c r="F83" s="117"/>
      <c r="G83" s="117"/>
      <c r="H83" s="117"/>
      <c r="I83" s="117"/>
      <c r="J83" s="117"/>
    </row>
    <row r="84">
      <c r="A84" s="117"/>
      <c r="B84" s="117"/>
      <c r="C84" s="117"/>
      <c r="D84" s="117"/>
      <c r="E84" s="117"/>
      <c r="F84" s="117"/>
      <c r="G84" s="117"/>
      <c r="H84" s="117"/>
      <c r="I84" s="117"/>
      <c r="J84" s="117"/>
    </row>
    <row r="85">
      <c r="A85" s="117"/>
      <c r="B85" s="117"/>
      <c r="C85" s="117"/>
      <c r="D85" s="117"/>
      <c r="E85" s="117"/>
      <c r="F85" s="117"/>
      <c r="G85" s="117"/>
      <c r="H85" s="117"/>
      <c r="I85" s="117"/>
      <c r="J85" s="117"/>
    </row>
    <row r="86">
      <c r="A86" s="117"/>
      <c r="B86" s="117"/>
      <c r="C86" s="117"/>
      <c r="D86" s="117"/>
      <c r="E86" s="117"/>
      <c r="F86" s="117"/>
      <c r="G86" s="117"/>
      <c r="H86" s="117"/>
      <c r="I86" s="117"/>
      <c r="J86" s="117"/>
    </row>
    <row r="87">
      <c r="A87" s="117"/>
      <c r="B87" s="117"/>
      <c r="C87" s="117"/>
      <c r="D87" s="117"/>
      <c r="E87" s="117"/>
      <c r="F87" s="117"/>
      <c r="G87" s="117"/>
      <c r="H87" s="117"/>
      <c r="I87" s="117"/>
      <c r="J87" s="117"/>
    </row>
    <row r="88">
      <c r="A88" s="117"/>
      <c r="B88" s="117"/>
      <c r="C88" s="117"/>
      <c r="D88" s="117"/>
      <c r="E88" s="117"/>
      <c r="F88" s="117"/>
      <c r="G88" s="117"/>
      <c r="H88" s="117"/>
      <c r="I88" s="117"/>
      <c r="J88" s="117"/>
    </row>
    <row r="89">
      <c r="A89" s="117"/>
      <c r="B89" s="117"/>
      <c r="C89" s="117"/>
      <c r="D89" s="117"/>
      <c r="E89" s="117"/>
      <c r="F89" s="117"/>
      <c r="G89" s="117"/>
      <c r="H89" s="117"/>
      <c r="I89" s="117"/>
      <c r="J89" s="117"/>
    </row>
    <row r="90">
      <c r="A90" s="117"/>
      <c r="B90" s="117"/>
      <c r="C90" s="117"/>
      <c r="D90" s="117"/>
      <c r="E90" s="117"/>
      <c r="F90" s="117"/>
      <c r="G90" s="117"/>
      <c r="H90" s="117"/>
      <c r="I90" s="117"/>
      <c r="J90" s="117"/>
    </row>
    <row r="91">
      <c r="A91" s="117"/>
      <c r="B91" s="117"/>
      <c r="C91" s="117"/>
      <c r="D91" s="117"/>
      <c r="E91" s="117"/>
      <c r="F91" s="117"/>
      <c r="G91" s="117"/>
      <c r="H91" s="117"/>
      <c r="I91" s="117"/>
      <c r="J91" s="117"/>
    </row>
    <row r="92">
      <c r="A92" s="117"/>
      <c r="B92" s="117"/>
      <c r="C92" s="117"/>
      <c r="D92" s="117"/>
      <c r="E92" s="117"/>
      <c r="F92" s="117"/>
      <c r="G92" s="117"/>
      <c r="H92" s="117"/>
      <c r="I92" s="117"/>
      <c r="J92" s="117"/>
    </row>
    <row r="93">
      <c r="A93" s="117"/>
      <c r="B93" s="117"/>
      <c r="C93" s="117"/>
      <c r="D93" s="117"/>
      <c r="E93" s="117"/>
      <c r="F93" s="117"/>
      <c r="G93" s="117"/>
      <c r="H93" s="117"/>
      <c r="I93" s="117"/>
      <c r="J93" s="117"/>
    </row>
    <row r="94">
      <c r="A94" s="117"/>
      <c r="B94" s="117"/>
      <c r="C94" s="117"/>
      <c r="D94" s="117"/>
      <c r="E94" s="117"/>
      <c r="F94" s="117"/>
      <c r="G94" s="117"/>
      <c r="H94" s="117"/>
      <c r="I94" s="117"/>
      <c r="J94" s="117"/>
    </row>
    <row r="95">
      <c r="A95" s="117"/>
      <c r="B95" s="117"/>
      <c r="C95" s="117"/>
      <c r="D95" s="117"/>
      <c r="E95" s="117"/>
      <c r="F95" s="117"/>
      <c r="G95" s="117"/>
      <c r="H95" s="117"/>
      <c r="I95" s="117"/>
      <c r="J95" s="117"/>
    </row>
    <row r="96">
      <c r="A96" s="117"/>
      <c r="B96" s="117"/>
      <c r="C96" s="117"/>
      <c r="D96" s="117"/>
      <c r="E96" s="117"/>
      <c r="F96" s="117"/>
      <c r="G96" s="117"/>
      <c r="H96" s="117"/>
      <c r="I96" s="117"/>
      <c r="J96" s="117"/>
    </row>
    <row r="97">
      <c r="A97" s="117"/>
      <c r="B97" s="117"/>
      <c r="C97" s="117"/>
      <c r="D97" s="117"/>
      <c r="E97" s="117"/>
      <c r="F97" s="117"/>
      <c r="G97" s="117"/>
      <c r="H97" s="117"/>
      <c r="I97" s="117"/>
      <c r="J97" s="117"/>
    </row>
    <row r="98">
      <c r="A98" s="117"/>
      <c r="B98" s="117"/>
      <c r="C98" s="117"/>
      <c r="D98" s="117"/>
      <c r="E98" s="117"/>
      <c r="F98" s="117"/>
      <c r="G98" s="117"/>
      <c r="H98" s="117"/>
      <c r="I98" s="117"/>
      <c r="J98" s="117"/>
    </row>
    <row r="99">
      <c r="A99" s="117"/>
      <c r="B99" s="117"/>
      <c r="C99" s="117"/>
      <c r="D99" s="117"/>
      <c r="E99" s="117"/>
      <c r="F99" s="117"/>
      <c r="G99" s="117"/>
      <c r="H99" s="117"/>
      <c r="I99" s="117"/>
      <c r="J99" s="117"/>
    </row>
    <row r="100">
      <c r="A100" s="117"/>
      <c r="B100" s="117"/>
      <c r="C100" s="117"/>
      <c r="D100" s="117"/>
      <c r="E100" s="117"/>
      <c r="F100" s="117"/>
      <c r="G100" s="117"/>
      <c r="H100" s="117"/>
      <c r="I100" s="117"/>
      <c r="J100" s="117"/>
    </row>
    <row r="101">
      <c r="A101" s="117"/>
      <c r="B101" s="117"/>
      <c r="C101" s="117"/>
      <c r="D101" s="117"/>
      <c r="E101" s="117"/>
      <c r="F101" s="117"/>
      <c r="G101" s="117"/>
      <c r="H101" s="117"/>
      <c r="I101" s="117"/>
      <c r="J101" s="117"/>
    </row>
    <row r="102">
      <c r="A102" s="117"/>
      <c r="B102" s="117"/>
      <c r="C102" s="117"/>
      <c r="D102" s="117"/>
      <c r="E102" s="117"/>
      <c r="F102" s="117"/>
      <c r="G102" s="117"/>
      <c r="H102" s="117"/>
      <c r="I102" s="117"/>
      <c r="J102" s="117"/>
    </row>
    <row r="103">
      <c r="A103" s="117"/>
      <c r="B103" s="117"/>
      <c r="C103" s="117"/>
      <c r="D103" s="117"/>
      <c r="E103" s="117"/>
      <c r="F103" s="117"/>
      <c r="G103" s="117"/>
      <c r="H103" s="117"/>
      <c r="I103" s="117"/>
      <c r="J103" s="117"/>
    </row>
    <row r="104">
      <c r="A104" s="117"/>
      <c r="B104" s="117"/>
      <c r="C104" s="117"/>
      <c r="D104" s="117"/>
      <c r="E104" s="117"/>
      <c r="F104" s="117"/>
      <c r="G104" s="117"/>
      <c r="H104" s="117"/>
      <c r="I104" s="117"/>
      <c r="J104" s="117"/>
    </row>
    <row r="105">
      <c r="A105" s="117"/>
      <c r="B105" s="117"/>
      <c r="C105" s="117"/>
      <c r="D105" s="117"/>
      <c r="E105" s="117"/>
      <c r="F105" s="117"/>
      <c r="G105" s="117"/>
      <c r="H105" s="117"/>
      <c r="I105" s="117"/>
      <c r="J105" s="117"/>
    </row>
    <row r="106">
      <c r="A106" s="117"/>
      <c r="B106" s="117"/>
      <c r="C106" s="117"/>
      <c r="D106" s="117"/>
      <c r="E106" s="117"/>
      <c r="F106" s="117"/>
      <c r="G106" s="117"/>
      <c r="H106" s="117"/>
      <c r="I106" s="117"/>
      <c r="J106" s="117"/>
    </row>
    <row r="107">
      <c r="A107" s="117"/>
      <c r="B107" s="117"/>
      <c r="C107" s="117"/>
      <c r="D107" s="117"/>
      <c r="E107" s="117"/>
      <c r="F107" s="117"/>
      <c r="G107" s="117"/>
      <c r="H107" s="117"/>
      <c r="I107" s="117"/>
      <c r="J107" s="117"/>
    </row>
    <row r="108">
      <c r="A108" s="117"/>
      <c r="B108" s="117"/>
      <c r="C108" s="117"/>
      <c r="D108" s="117"/>
      <c r="E108" s="117"/>
      <c r="F108" s="117"/>
      <c r="G108" s="117"/>
      <c r="H108" s="117"/>
      <c r="I108" s="117"/>
      <c r="J108" s="117"/>
    </row>
    <row r="109">
      <c r="A109" s="117"/>
      <c r="B109" s="117"/>
      <c r="C109" s="117"/>
      <c r="D109" s="117"/>
      <c r="E109" s="117"/>
      <c r="F109" s="117"/>
      <c r="G109" s="117"/>
      <c r="H109" s="117"/>
      <c r="I109" s="117"/>
      <c r="J109" s="117"/>
    </row>
    <row r="110">
      <c r="A110" s="117"/>
      <c r="B110" s="117"/>
      <c r="C110" s="117"/>
      <c r="D110" s="117"/>
      <c r="E110" s="117"/>
      <c r="F110" s="117"/>
      <c r="G110" s="117"/>
      <c r="H110" s="117"/>
      <c r="I110" s="117"/>
      <c r="J110" s="117"/>
    </row>
    <row r="111">
      <c r="A111" s="117"/>
      <c r="B111" s="117"/>
      <c r="C111" s="117"/>
      <c r="D111" s="117"/>
      <c r="E111" s="117"/>
      <c r="F111" s="117"/>
      <c r="G111" s="117"/>
      <c r="H111" s="117"/>
      <c r="I111" s="117"/>
      <c r="J111" s="117"/>
    </row>
    <row r="112">
      <c r="A112" s="117"/>
      <c r="B112" s="117"/>
      <c r="C112" s="117"/>
      <c r="D112" s="117"/>
      <c r="E112" s="117"/>
      <c r="F112" s="117"/>
      <c r="G112" s="117"/>
      <c r="H112" s="117"/>
      <c r="I112" s="117"/>
      <c r="J112" s="117"/>
    </row>
    <row r="113">
      <c r="A113" s="117"/>
      <c r="B113" s="117"/>
      <c r="C113" s="117"/>
      <c r="D113" s="117"/>
      <c r="E113" s="117"/>
      <c r="F113" s="117"/>
      <c r="G113" s="117"/>
      <c r="H113" s="117"/>
      <c r="I113" s="117"/>
      <c r="J113" s="117"/>
    </row>
    <row r="114">
      <c r="A114" s="117"/>
      <c r="B114" s="117"/>
      <c r="C114" s="117"/>
      <c r="D114" s="117"/>
      <c r="E114" s="117"/>
      <c r="F114" s="117"/>
      <c r="G114" s="117"/>
      <c r="H114" s="117"/>
      <c r="I114" s="117"/>
      <c r="J114" s="117"/>
    </row>
    <row r="115">
      <c r="A115" s="117"/>
      <c r="B115" s="117"/>
      <c r="C115" s="117"/>
      <c r="D115" s="117"/>
      <c r="E115" s="117"/>
      <c r="F115" s="117"/>
      <c r="G115" s="117"/>
      <c r="H115" s="117"/>
      <c r="I115" s="117"/>
      <c r="J115" s="117"/>
    </row>
    <row r="116">
      <c r="A116" s="117"/>
      <c r="B116" s="117"/>
      <c r="C116" s="117"/>
      <c r="D116" s="117"/>
      <c r="E116" s="117"/>
      <c r="F116" s="117"/>
      <c r="G116" s="117"/>
      <c r="H116" s="117"/>
      <c r="I116" s="117"/>
      <c r="J116" s="117"/>
    </row>
    <row r="117">
      <c r="A117" s="117"/>
      <c r="B117" s="117"/>
      <c r="C117" s="117"/>
      <c r="D117" s="117"/>
      <c r="E117" s="117"/>
      <c r="F117" s="117"/>
      <c r="G117" s="117"/>
      <c r="H117" s="117"/>
      <c r="I117" s="117"/>
      <c r="J117" s="117"/>
    </row>
    <row r="118">
      <c r="A118" s="117"/>
      <c r="B118" s="117"/>
      <c r="C118" s="117"/>
      <c r="D118" s="117"/>
      <c r="E118" s="117"/>
      <c r="F118" s="117"/>
      <c r="G118" s="117"/>
      <c r="H118" s="117"/>
      <c r="I118" s="117"/>
      <c r="J118" s="117"/>
    </row>
    <row r="119">
      <c r="A119" s="117"/>
      <c r="B119" s="117"/>
      <c r="C119" s="117"/>
      <c r="D119" s="117"/>
      <c r="E119" s="117"/>
      <c r="F119" s="117"/>
      <c r="G119" s="117"/>
      <c r="H119" s="117"/>
      <c r="I119" s="117"/>
      <c r="J119" s="117"/>
    </row>
    <row r="120">
      <c r="A120" s="117"/>
      <c r="B120" s="117"/>
      <c r="C120" s="117"/>
      <c r="D120" s="117"/>
      <c r="E120" s="117"/>
      <c r="F120" s="117"/>
      <c r="G120" s="117"/>
      <c r="H120" s="117"/>
      <c r="I120" s="117"/>
      <c r="J120" s="117"/>
    </row>
    <row r="121">
      <c r="A121" s="117"/>
      <c r="B121" s="117"/>
      <c r="C121" s="117"/>
      <c r="D121" s="117"/>
      <c r="E121" s="117"/>
      <c r="F121" s="117"/>
      <c r="G121" s="117"/>
      <c r="H121" s="117"/>
      <c r="I121" s="117"/>
      <c r="J121" s="117"/>
    </row>
    <row r="122">
      <c r="A122" s="117"/>
      <c r="B122" s="117"/>
      <c r="C122" s="117"/>
      <c r="D122" s="117"/>
      <c r="E122" s="117"/>
      <c r="F122" s="117"/>
      <c r="G122" s="117"/>
      <c r="H122" s="117"/>
      <c r="I122" s="117"/>
      <c r="J122" s="117"/>
    </row>
    <row r="123">
      <c r="A123" s="117"/>
      <c r="B123" s="117"/>
      <c r="C123" s="117"/>
      <c r="D123" s="117"/>
      <c r="E123" s="117"/>
      <c r="F123" s="117"/>
      <c r="G123" s="117"/>
      <c r="H123" s="117"/>
      <c r="I123" s="117"/>
      <c r="J123" s="117"/>
    </row>
    <row r="124">
      <c r="A124" s="117"/>
      <c r="B124" s="117"/>
      <c r="C124" s="117"/>
      <c r="D124" s="117"/>
      <c r="E124" s="117"/>
      <c r="F124" s="117"/>
      <c r="G124" s="117"/>
      <c r="H124" s="117"/>
      <c r="I124" s="117"/>
      <c r="J124" s="117"/>
    </row>
    <row r="125">
      <c r="A125" s="117"/>
      <c r="B125" s="117"/>
      <c r="C125" s="117"/>
      <c r="D125" s="117"/>
      <c r="E125" s="117"/>
      <c r="F125" s="117"/>
      <c r="G125" s="117"/>
      <c r="H125" s="117"/>
      <c r="I125" s="117"/>
      <c r="J125" s="117"/>
    </row>
    <row r="126">
      <c r="A126" s="117"/>
      <c r="B126" s="117"/>
      <c r="C126" s="117"/>
      <c r="D126" s="117"/>
      <c r="E126" s="117"/>
      <c r="F126" s="117"/>
      <c r="G126" s="117"/>
      <c r="H126" s="117"/>
      <c r="I126" s="117"/>
      <c r="J126" s="117"/>
    </row>
    <row r="127">
      <c r="A127" s="117"/>
      <c r="B127" s="117"/>
      <c r="C127" s="117"/>
      <c r="D127" s="117"/>
      <c r="E127" s="117"/>
      <c r="F127" s="117"/>
      <c r="G127" s="117"/>
      <c r="H127" s="117"/>
      <c r="I127" s="117"/>
      <c r="J127" s="117"/>
    </row>
    <row r="128">
      <c r="A128" s="117"/>
      <c r="B128" s="117"/>
      <c r="C128" s="117"/>
      <c r="D128" s="117"/>
      <c r="E128" s="117"/>
      <c r="F128" s="117"/>
      <c r="G128" s="117"/>
      <c r="H128" s="117"/>
      <c r="I128" s="117"/>
      <c r="J128" s="117"/>
    </row>
    <row r="129">
      <c r="A129" s="117"/>
      <c r="B129" s="117"/>
      <c r="C129" s="117"/>
      <c r="D129" s="117"/>
      <c r="E129" s="117"/>
      <c r="F129" s="117"/>
      <c r="G129" s="117"/>
      <c r="H129" s="117"/>
      <c r="I129" s="117"/>
      <c r="J129" s="117"/>
    </row>
    <row r="130">
      <c r="A130" s="117"/>
      <c r="B130" s="117"/>
      <c r="C130" s="117"/>
      <c r="D130" s="117"/>
      <c r="E130" s="117"/>
      <c r="F130" s="117"/>
      <c r="G130" s="117"/>
      <c r="H130" s="117"/>
      <c r="I130" s="117"/>
      <c r="J130" s="117"/>
    </row>
    <row r="131">
      <c r="A131" s="117"/>
      <c r="B131" s="117"/>
      <c r="C131" s="117"/>
      <c r="D131" s="117"/>
      <c r="E131" s="117"/>
      <c r="F131" s="117"/>
      <c r="G131" s="117"/>
      <c r="H131" s="117"/>
      <c r="I131" s="117"/>
      <c r="J131" s="117"/>
    </row>
    <row r="132">
      <c r="A132" s="117"/>
      <c r="B132" s="117"/>
      <c r="C132" s="117"/>
      <c r="D132" s="117"/>
      <c r="E132" s="117"/>
      <c r="F132" s="117"/>
      <c r="G132" s="117"/>
      <c r="H132" s="117"/>
      <c r="I132" s="117"/>
      <c r="J132" s="117"/>
    </row>
    <row r="133">
      <c r="A133" s="117"/>
      <c r="B133" s="117"/>
      <c r="C133" s="117"/>
      <c r="D133" s="117"/>
      <c r="E133" s="117"/>
      <c r="F133" s="117"/>
      <c r="G133" s="117"/>
      <c r="H133" s="117"/>
      <c r="I133" s="117"/>
      <c r="J133" s="117"/>
    </row>
    <row r="134">
      <c r="A134" s="117"/>
      <c r="B134" s="117"/>
      <c r="C134" s="117"/>
      <c r="D134" s="117"/>
      <c r="E134" s="117"/>
      <c r="F134" s="117"/>
      <c r="G134" s="117"/>
      <c r="H134" s="117"/>
      <c r="I134" s="117"/>
      <c r="J134" s="117"/>
    </row>
    <row r="135">
      <c r="A135" s="117"/>
      <c r="B135" s="117"/>
      <c r="C135" s="117"/>
      <c r="D135" s="117"/>
      <c r="E135" s="117"/>
      <c r="F135" s="117"/>
      <c r="G135" s="117"/>
      <c r="H135" s="117"/>
      <c r="I135" s="117"/>
      <c r="J135" s="117"/>
    </row>
    <row r="136">
      <c r="A136" s="117"/>
      <c r="B136" s="117"/>
      <c r="C136" s="117"/>
      <c r="D136" s="117"/>
      <c r="E136" s="117"/>
      <c r="F136" s="117"/>
      <c r="G136" s="117"/>
      <c r="H136" s="117"/>
      <c r="I136" s="117"/>
      <c r="J136" s="117"/>
    </row>
    <row r="137">
      <c r="A137" s="117"/>
      <c r="B137" s="117"/>
      <c r="C137" s="117"/>
      <c r="D137" s="117"/>
      <c r="E137" s="117"/>
      <c r="F137" s="117"/>
      <c r="G137" s="117"/>
      <c r="H137" s="117"/>
      <c r="I137" s="117"/>
      <c r="J137" s="117"/>
    </row>
    <row r="138">
      <c r="A138" s="117"/>
      <c r="B138" s="117"/>
      <c r="C138" s="117"/>
      <c r="D138" s="117"/>
      <c r="E138" s="117"/>
      <c r="F138" s="117"/>
      <c r="G138" s="117"/>
      <c r="H138" s="117"/>
      <c r="I138" s="117"/>
      <c r="J138" s="117"/>
    </row>
    <row r="139">
      <c r="A139" s="117"/>
      <c r="B139" s="117"/>
      <c r="C139" s="117"/>
      <c r="D139" s="117"/>
      <c r="E139" s="117"/>
      <c r="F139" s="117"/>
      <c r="G139" s="117"/>
      <c r="H139" s="117"/>
      <c r="I139" s="117"/>
      <c r="J139" s="117"/>
    </row>
    <row r="140">
      <c r="A140" s="117"/>
      <c r="B140" s="117"/>
      <c r="C140" s="117"/>
      <c r="D140" s="117"/>
      <c r="E140" s="117"/>
      <c r="F140" s="117"/>
      <c r="G140" s="117"/>
      <c r="H140" s="117"/>
      <c r="I140" s="117"/>
      <c r="J140" s="117"/>
    </row>
    <row r="141">
      <c r="A141" s="117"/>
      <c r="B141" s="117"/>
      <c r="C141" s="117"/>
      <c r="D141" s="117"/>
      <c r="E141" s="117"/>
      <c r="F141" s="117"/>
      <c r="G141" s="117"/>
      <c r="H141" s="117"/>
      <c r="I141" s="117"/>
      <c r="J141" s="117"/>
    </row>
    <row r="142">
      <c r="A142" s="117"/>
      <c r="B142" s="117"/>
      <c r="C142" s="117"/>
      <c r="D142" s="117"/>
      <c r="E142" s="117"/>
      <c r="F142" s="117"/>
      <c r="G142" s="117"/>
      <c r="H142" s="117"/>
      <c r="I142" s="117"/>
      <c r="J142" s="117"/>
    </row>
    <row r="143">
      <c r="A143" s="117"/>
      <c r="B143" s="117"/>
      <c r="C143" s="117"/>
      <c r="D143" s="117"/>
      <c r="E143" s="117"/>
      <c r="F143" s="117"/>
      <c r="G143" s="117"/>
      <c r="H143" s="117"/>
      <c r="I143" s="117"/>
      <c r="J143" s="117"/>
    </row>
    <row r="144">
      <c r="A144" s="117"/>
      <c r="B144" s="117"/>
      <c r="C144" s="117"/>
      <c r="D144" s="117"/>
      <c r="E144" s="117"/>
      <c r="F144" s="117"/>
      <c r="G144" s="117"/>
      <c r="H144" s="117"/>
      <c r="I144" s="117"/>
      <c r="J144" s="117"/>
    </row>
    <row r="145">
      <c r="A145" s="117"/>
      <c r="B145" s="117"/>
      <c r="C145" s="117"/>
      <c r="D145" s="117"/>
      <c r="E145" s="117"/>
      <c r="F145" s="117"/>
      <c r="G145" s="117"/>
      <c r="H145" s="117"/>
      <c r="I145" s="117"/>
      <c r="J145" s="117"/>
    </row>
    <row r="146">
      <c r="A146" s="117"/>
      <c r="B146" s="117"/>
      <c r="C146" s="117"/>
      <c r="D146" s="117"/>
      <c r="E146" s="117"/>
      <c r="F146" s="117"/>
      <c r="G146" s="117"/>
      <c r="H146" s="117"/>
      <c r="I146" s="117"/>
      <c r="J146" s="117"/>
    </row>
    <row r="147">
      <c r="A147" s="117"/>
      <c r="B147" s="117"/>
      <c r="C147" s="117"/>
      <c r="D147" s="117"/>
      <c r="E147" s="117"/>
      <c r="F147" s="117"/>
      <c r="G147" s="117"/>
      <c r="H147" s="117"/>
      <c r="I147" s="117"/>
      <c r="J147" s="117"/>
    </row>
    <row r="148">
      <c r="A148" s="117"/>
      <c r="B148" s="117"/>
      <c r="C148" s="117"/>
      <c r="D148" s="117"/>
      <c r="E148" s="117"/>
      <c r="F148" s="117"/>
      <c r="G148" s="117"/>
      <c r="H148" s="117"/>
      <c r="I148" s="117"/>
      <c r="J148" s="117"/>
    </row>
    <row r="149">
      <c r="A149" s="117"/>
      <c r="B149" s="117"/>
      <c r="C149" s="117"/>
      <c r="D149" s="117"/>
      <c r="E149" s="117"/>
      <c r="F149" s="117"/>
      <c r="G149" s="117"/>
      <c r="H149" s="117"/>
      <c r="I149" s="117"/>
      <c r="J149" s="117"/>
    </row>
    <row r="150">
      <c r="A150" s="117"/>
      <c r="B150" s="117"/>
      <c r="C150" s="117"/>
      <c r="D150" s="117"/>
      <c r="E150" s="117"/>
      <c r="F150" s="117"/>
      <c r="G150" s="117"/>
      <c r="H150" s="117"/>
      <c r="I150" s="117"/>
      <c r="J150" s="117"/>
    </row>
    <row r="151">
      <c r="A151" s="117"/>
      <c r="B151" s="117"/>
      <c r="C151" s="117"/>
      <c r="D151" s="117"/>
      <c r="E151" s="117"/>
      <c r="F151" s="117"/>
      <c r="G151" s="117"/>
      <c r="H151" s="117"/>
      <c r="I151" s="117"/>
      <c r="J151" s="117"/>
    </row>
    <row r="152">
      <c r="A152" s="117"/>
      <c r="B152" s="117"/>
      <c r="C152" s="117"/>
      <c r="D152" s="117"/>
      <c r="E152" s="117"/>
      <c r="F152" s="117"/>
      <c r="G152" s="117"/>
      <c r="H152" s="117"/>
      <c r="I152" s="117"/>
      <c r="J152" s="117"/>
    </row>
    <row r="153">
      <c r="A153" s="117"/>
      <c r="B153" s="117"/>
      <c r="C153" s="117"/>
      <c r="D153" s="117"/>
      <c r="E153" s="117"/>
      <c r="F153" s="117"/>
      <c r="G153" s="117"/>
      <c r="H153" s="117"/>
      <c r="I153" s="117"/>
      <c r="J153" s="117"/>
    </row>
    <row r="154">
      <c r="A154" s="117"/>
      <c r="B154" s="117"/>
      <c r="C154" s="117"/>
      <c r="D154" s="117"/>
      <c r="E154" s="117"/>
      <c r="F154" s="117"/>
      <c r="G154" s="117"/>
      <c r="H154" s="117"/>
      <c r="I154" s="117"/>
      <c r="J154" s="117"/>
    </row>
    <row r="155">
      <c r="A155" s="117"/>
      <c r="B155" s="117"/>
      <c r="C155" s="117"/>
      <c r="D155" s="117"/>
      <c r="E155" s="117"/>
      <c r="F155" s="117"/>
      <c r="G155" s="117"/>
      <c r="H155" s="117"/>
      <c r="I155" s="117"/>
      <c r="J155" s="117"/>
    </row>
    <row r="156">
      <c r="A156" s="117"/>
      <c r="B156" s="117"/>
      <c r="C156" s="117"/>
      <c r="D156" s="117"/>
      <c r="E156" s="117"/>
      <c r="F156" s="117"/>
      <c r="G156" s="117"/>
      <c r="H156" s="117"/>
      <c r="I156" s="117"/>
      <c r="J156" s="117"/>
    </row>
    <row r="157">
      <c r="A157" s="117"/>
      <c r="B157" s="117"/>
      <c r="C157" s="117"/>
      <c r="D157" s="117"/>
      <c r="E157" s="117"/>
      <c r="F157" s="117"/>
      <c r="G157" s="117"/>
      <c r="H157" s="117"/>
      <c r="I157" s="117"/>
      <c r="J157" s="117"/>
    </row>
    <row r="158">
      <c r="A158" s="117"/>
      <c r="B158" s="117"/>
      <c r="C158" s="117"/>
      <c r="D158" s="117"/>
      <c r="E158" s="117"/>
      <c r="F158" s="117"/>
      <c r="G158" s="117"/>
      <c r="H158" s="117"/>
      <c r="I158" s="117"/>
      <c r="J158" s="117"/>
    </row>
    <row r="159">
      <c r="A159" s="117"/>
      <c r="B159" s="117"/>
      <c r="C159" s="117"/>
      <c r="D159" s="117"/>
      <c r="E159" s="117"/>
      <c r="F159" s="117"/>
      <c r="G159" s="117"/>
      <c r="H159" s="117"/>
      <c r="I159" s="117"/>
      <c r="J159" s="117"/>
    </row>
    <row r="160">
      <c r="A160" s="117"/>
      <c r="B160" s="117"/>
      <c r="C160" s="117"/>
      <c r="D160" s="117"/>
      <c r="E160" s="117"/>
      <c r="F160" s="117"/>
      <c r="G160" s="117"/>
      <c r="H160" s="117"/>
      <c r="I160" s="117"/>
      <c r="J160" s="117"/>
    </row>
    <row r="161">
      <c r="A161" s="117"/>
      <c r="B161" s="117"/>
      <c r="C161" s="117"/>
      <c r="D161" s="117"/>
      <c r="E161" s="117"/>
      <c r="F161" s="117"/>
      <c r="G161" s="117"/>
      <c r="H161" s="117"/>
      <c r="I161" s="117"/>
      <c r="J161" s="117"/>
    </row>
    <row r="162">
      <c r="A162" s="117"/>
      <c r="B162" s="117"/>
      <c r="C162" s="117"/>
      <c r="D162" s="117"/>
      <c r="E162" s="117"/>
      <c r="F162" s="117"/>
      <c r="G162" s="117"/>
      <c r="H162" s="117"/>
      <c r="I162" s="117"/>
      <c r="J162" s="117"/>
    </row>
    <row r="163">
      <c r="A163" s="117"/>
      <c r="B163" s="117"/>
      <c r="C163" s="117"/>
      <c r="D163" s="117"/>
      <c r="E163" s="117"/>
      <c r="F163" s="117"/>
      <c r="G163" s="117"/>
      <c r="H163" s="117"/>
      <c r="I163" s="117"/>
      <c r="J163" s="117"/>
    </row>
    <row r="164">
      <c r="A164" s="117"/>
      <c r="B164" s="117"/>
      <c r="C164" s="117"/>
      <c r="D164" s="117"/>
      <c r="E164" s="117"/>
      <c r="F164" s="117"/>
      <c r="G164" s="117"/>
      <c r="H164" s="117"/>
      <c r="I164" s="117"/>
      <c r="J164" s="117"/>
    </row>
    <row r="165">
      <c r="A165" s="117"/>
      <c r="B165" s="117"/>
      <c r="C165" s="117"/>
      <c r="D165" s="117"/>
      <c r="E165" s="117"/>
      <c r="F165" s="117"/>
      <c r="G165" s="117"/>
      <c r="H165" s="117"/>
      <c r="I165" s="117"/>
      <c r="J165" s="117"/>
    </row>
    <row r="166">
      <c r="A166" s="117"/>
      <c r="B166" s="117"/>
      <c r="C166" s="117"/>
      <c r="D166" s="117"/>
      <c r="E166" s="117"/>
      <c r="F166" s="117"/>
      <c r="G166" s="117"/>
      <c r="H166" s="117"/>
      <c r="I166" s="117"/>
      <c r="J166" s="117"/>
    </row>
    <row r="167">
      <c r="A167" s="117"/>
      <c r="B167" s="117"/>
      <c r="C167" s="117"/>
      <c r="D167" s="117"/>
      <c r="E167" s="117"/>
      <c r="F167" s="117"/>
      <c r="G167" s="117"/>
      <c r="H167" s="117"/>
      <c r="I167" s="117"/>
      <c r="J167" s="117"/>
    </row>
    <row r="168">
      <c r="A168" s="117"/>
      <c r="B168" s="117"/>
      <c r="C168" s="117"/>
      <c r="D168" s="117"/>
      <c r="E168" s="117"/>
      <c r="F168" s="117"/>
      <c r="G168" s="117"/>
      <c r="H168" s="117"/>
      <c r="I168" s="117"/>
      <c r="J168" s="117"/>
    </row>
    <row r="169">
      <c r="A169" s="117"/>
      <c r="B169" s="117"/>
      <c r="C169" s="117"/>
      <c r="D169" s="117"/>
      <c r="E169" s="117"/>
      <c r="F169" s="117"/>
      <c r="G169" s="117"/>
      <c r="H169" s="117"/>
      <c r="I169" s="117"/>
      <c r="J169" s="117"/>
    </row>
    <row r="170">
      <c r="A170" s="117"/>
      <c r="B170" s="117"/>
      <c r="C170" s="117"/>
      <c r="D170" s="117"/>
      <c r="E170" s="117"/>
      <c r="F170" s="117"/>
      <c r="G170" s="117"/>
      <c r="H170" s="117"/>
      <c r="I170" s="117"/>
      <c r="J170" s="117"/>
    </row>
    <row r="171">
      <c r="A171" s="117"/>
      <c r="B171" s="117"/>
      <c r="C171" s="117"/>
      <c r="D171" s="117"/>
      <c r="E171" s="117"/>
      <c r="F171" s="117"/>
      <c r="G171" s="117"/>
      <c r="H171" s="117"/>
      <c r="I171" s="117"/>
      <c r="J171" s="117"/>
    </row>
    <row r="172">
      <c r="A172" s="117"/>
      <c r="B172" s="117"/>
      <c r="C172" s="117"/>
      <c r="D172" s="117"/>
      <c r="E172" s="117"/>
      <c r="F172" s="117"/>
      <c r="G172" s="117"/>
      <c r="H172" s="117"/>
      <c r="I172" s="117"/>
      <c r="J172" s="117"/>
    </row>
    <row r="173">
      <c r="A173" s="117"/>
      <c r="B173" s="117"/>
      <c r="C173" s="117"/>
      <c r="D173" s="117"/>
      <c r="E173" s="117"/>
      <c r="F173" s="117"/>
      <c r="G173" s="117"/>
      <c r="H173" s="117"/>
      <c r="I173" s="117"/>
      <c r="J173" s="117"/>
    </row>
    <row r="174">
      <c r="A174" s="117"/>
      <c r="B174" s="117"/>
      <c r="C174" s="117"/>
      <c r="D174" s="117"/>
      <c r="E174" s="117"/>
      <c r="F174" s="117"/>
      <c r="G174" s="117"/>
      <c r="H174" s="117"/>
      <c r="I174" s="117"/>
      <c r="J174" s="117"/>
    </row>
    <row r="175">
      <c r="A175" s="117"/>
      <c r="B175" s="117"/>
      <c r="C175" s="117"/>
      <c r="D175" s="117"/>
      <c r="E175" s="117"/>
      <c r="F175" s="117"/>
      <c r="G175" s="117"/>
      <c r="H175" s="117"/>
      <c r="I175" s="117"/>
      <c r="J175" s="117"/>
    </row>
    <row r="176">
      <c r="A176" s="117"/>
      <c r="B176" s="117"/>
      <c r="C176" s="117"/>
      <c r="D176" s="117"/>
      <c r="E176" s="117"/>
      <c r="F176" s="117"/>
      <c r="G176" s="117"/>
      <c r="H176" s="117"/>
      <c r="I176" s="117"/>
      <c r="J176" s="117"/>
    </row>
    <row r="177">
      <c r="A177" s="117"/>
      <c r="B177" s="117"/>
      <c r="C177" s="117"/>
      <c r="D177" s="117"/>
      <c r="E177" s="117"/>
      <c r="F177" s="117"/>
      <c r="G177" s="117"/>
      <c r="H177" s="117"/>
      <c r="I177" s="117"/>
      <c r="J177" s="117"/>
    </row>
    <row r="178">
      <c r="A178" s="117"/>
      <c r="B178" s="117"/>
      <c r="C178" s="117"/>
      <c r="D178" s="117"/>
      <c r="E178" s="117"/>
      <c r="F178" s="117"/>
      <c r="G178" s="117"/>
      <c r="H178" s="117"/>
      <c r="I178" s="117"/>
      <c r="J178" s="117"/>
    </row>
    <row r="179">
      <c r="A179" s="117"/>
      <c r="B179" s="117"/>
      <c r="C179" s="117"/>
      <c r="D179" s="117"/>
      <c r="E179" s="117"/>
      <c r="F179" s="117"/>
      <c r="G179" s="117"/>
      <c r="H179" s="117"/>
      <c r="I179" s="117"/>
      <c r="J179" s="117"/>
    </row>
    <row r="180">
      <c r="A180" s="117"/>
      <c r="B180" s="117"/>
      <c r="C180" s="117"/>
      <c r="D180" s="117"/>
      <c r="E180" s="117"/>
      <c r="F180" s="117"/>
      <c r="G180" s="117"/>
      <c r="H180" s="117"/>
      <c r="I180" s="117"/>
      <c r="J180" s="117"/>
    </row>
    <row r="181">
      <c r="A181" s="117"/>
      <c r="B181" s="117"/>
      <c r="C181" s="117"/>
      <c r="D181" s="117"/>
      <c r="E181" s="117"/>
      <c r="F181" s="117"/>
      <c r="G181" s="117"/>
      <c r="H181" s="117"/>
      <c r="I181" s="117"/>
      <c r="J181" s="117"/>
    </row>
    <row r="182">
      <c r="A182" s="117"/>
      <c r="B182" s="117"/>
      <c r="C182" s="117"/>
      <c r="D182" s="117"/>
      <c r="E182" s="117"/>
      <c r="F182" s="117"/>
      <c r="G182" s="117"/>
      <c r="H182" s="117"/>
      <c r="I182" s="117"/>
      <c r="J182" s="117"/>
    </row>
    <row r="183">
      <c r="A183" s="117"/>
      <c r="B183" s="117"/>
      <c r="C183" s="117"/>
      <c r="D183" s="117"/>
      <c r="E183" s="117"/>
      <c r="F183" s="117"/>
      <c r="G183" s="117"/>
      <c r="H183" s="117"/>
      <c r="I183" s="117"/>
      <c r="J183" s="117"/>
    </row>
    <row r="184">
      <c r="A184" s="117"/>
      <c r="B184" s="117"/>
      <c r="C184" s="117"/>
      <c r="D184" s="117"/>
      <c r="E184" s="117"/>
      <c r="F184" s="117"/>
      <c r="G184" s="117"/>
      <c r="H184" s="117"/>
      <c r="I184" s="117"/>
      <c r="J184" s="117"/>
    </row>
    <row r="185">
      <c r="A185" s="117"/>
      <c r="B185" s="117"/>
      <c r="C185" s="117"/>
      <c r="D185" s="117"/>
      <c r="E185" s="117"/>
      <c r="F185" s="117"/>
      <c r="G185" s="117"/>
      <c r="H185" s="117"/>
      <c r="I185" s="117"/>
      <c r="J185" s="117"/>
    </row>
    <row r="186">
      <c r="A186" s="117"/>
      <c r="B186" s="117"/>
      <c r="C186" s="117"/>
      <c r="D186" s="117"/>
      <c r="E186" s="117"/>
      <c r="F186" s="117"/>
      <c r="G186" s="117"/>
      <c r="H186" s="117"/>
      <c r="I186" s="117"/>
      <c r="J186" s="117"/>
    </row>
    <row r="187">
      <c r="A187" s="117"/>
      <c r="B187" s="117"/>
      <c r="C187" s="117"/>
      <c r="D187" s="117"/>
      <c r="E187" s="117"/>
      <c r="F187" s="117"/>
      <c r="G187" s="117"/>
      <c r="H187" s="117"/>
      <c r="I187" s="117"/>
      <c r="J187" s="117"/>
    </row>
    <row r="188">
      <c r="A188" s="117"/>
      <c r="B188" s="117"/>
      <c r="C188" s="117"/>
      <c r="D188" s="117"/>
      <c r="E188" s="117"/>
      <c r="F188" s="117"/>
      <c r="G188" s="117"/>
      <c r="H188" s="117"/>
      <c r="I188" s="117"/>
      <c r="J188" s="117"/>
    </row>
    <row r="189">
      <c r="A189" s="117"/>
      <c r="B189" s="117"/>
      <c r="C189" s="117"/>
      <c r="D189" s="117"/>
      <c r="E189" s="117"/>
      <c r="F189" s="117"/>
      <c r="G189" s="117"/>
      <c r="H189" s="117"/>
      <c r="I189" s="117"/>
      <c r="J189" s="117"/>
    </row>
    <row r="190">
      <c r="A190" s="117"/>
      <c r="B190" s="117"/>
      <c r="C190" s="117"/>
      <c r="D190" s="117"/>
      <c r="E190" s="117"/>
      <c r="F190" s="117"/>
      <c r="G190" s="117"/>
      <c r="H190" s="117"/>
      <c r="I190" s="117"/>
      <c r="J190" s="117"/>
    </row>
    <row r="191">
      <c r="A191" s="117"/>
      <c r="B191" s="117"/>
      <c r="C191" s="117"/>
      <c r="D191" s="117"/>
      <c r="E191" s="117"/>
      <c r="F191" s="117"/>
      <c r="G191" s="117"/>
      <c r="H191" s="117"/>
      <c r="I191" s="117"/>
      <c r="J191" s="117"/>
    </row>
    <row r="192">
      <c r="A192" s="117"/>
      <c r="B192" s="117"/>
      <c r="C192" s="117"/>
      <c r="D192" s="117"/>
      <c r="E192" s="117"/>
      <c r="F192" s="117"/>
      <c r="G192" s="117"/>
      <c r="H192" s="117"/>
      <c r="I192" s="117"/>
      <c r="J192" s="117"/>
    </row>
    <row r="193">
      <c r="A193" s="117"/>
      <c r="B193" s="117"/>
      <c r="C193" s="117"/>
      <c r="D193" s="117"/>
      <c r="E193" s="117"/>
      <c r="F193" s="117"/>
      <c r="G193" s="117"/>
      <c r="H193" s="117"/>
      <c r="I193" s="117"/>
      <c r="J193" s="117"/>
    </row>
    <row r="194">
      <c r="A194" s="117"/>
      <c r="B194" s="117"/>
      <c r="C194" s="117"/>
      <c r="D194" s="117"/>
      <c r="E194" s="117"/>
      <c r="F194" s="117"/>
      <c r="G194" s="117"/>
      <c r="H194" s="117"/>
      <c r="I194" s="117"/>
      <c r="J194" s="117"/>
    </row>
    <row r="195">
      <c r="A195" s="117"/>
      <c r="B195" s="117"/>
      <c r="C195" s="117"/>
      <c r="D195" s="117"/>
      <c r="E195" s="117"/>
      <c r="F195" s="117"/>
      <c r="G195" s="117"/>
      <c r="H195" s="117"/>
      <c r="I195" s="117"/>
      <c r="J195" s="117"/>
    </row>
    <row r="196">
      <c r="A196" s="117"/>
      <c r="B196" s="117"/>
      <c r="C196" s="117"/>
      <c r="D196" s="117"/>
      <c r="E196" s="117"/>
      <c r="F196" s="117"/>
      <c r="G196" s="117"/>
      <c r="H196" s="117"/>
      <c r="I196" s="117"/>
      <c r="J196" s="117"/>
    </row>
    <row r="197">
      <c r="A197" s="117"/>
      <c r="B197" s="117"/>
      <c r="C197" s="117"/>
      <c r="D197" s="117"/>
      <c r="E197" s="117"/>
      <c r="F197" s="117"/>
      <c r="G197" s="117"/>
      <c r="H197" s="117"/>
      <c r="I197" s="117"/>
      <c r="J197" s="117"/>
    </row>
    <row r="198">
      <c r="A198" s="117"/>
      <c r="B198" s="117"/>
      <c r="C198" s="117"/>
      <c r="D198" s="117"/>
      <c r="E198" s="117"/>
      <c r="F198" s="117"/>
      <c r="G198" s="117"/>
      <c r="H198" s="117"/>
      <c r="I198" s="117"/>
      <c r="J198" s="117"/>
    </row>
    <row r="199">
      <c r="A199" s="117"/>
      <c r="B199" s="117"/>
      <c r="C199" s="117"/>
      <c r="D199" s="117"/>
      <c r="E199" s="117"/>
      <c r="F199" s="117"/>
      <c r="G199" s="117"/>
      <c r="H199" s="117"/>
      <c r="I199" s="117"/>
      <c r="J199" s="117"/>
    </row>
    <row r="200">
      <c r="A200" s="117"/>
      <c r="B200" s="117"/>
      <c r="C200" s="117"/>
      <c r="D200" s="117"/>
      <c r="E200" s="117"/>
      <c r="F200" s="117"/>
      <c r="G200" s="117"/>
      <c r="H200" s="117"/>
      <c r="I200" s="117"/>
      <c r="J200" s="117"/>
    </row>
    <row r="201">
      <c r="A201" s="117"/>
      <c r="B201" s="117"/>
      <c r="C201" s="117"/>
      <c r="D201" s="117"/>
      <c r="E201" s="117"/>
      <c r="F201" s="117"/>
      <c r="G201" s="117"/>
      <c r="H201" s="117"/>
      <c r="I201" s="117"/>
      <c r="J201" s="117"/>
    </row>
    <row r="202">
      <c r="A202" s="117"/>
      <c r="B202" s="117"/>
      <c r="C202" s="117"/>
      <c r="D202" s="117"/>
      <c r="E202" s="117"/>
      <c r="F202" s="117"/>
      <c r="G202" s="117"/>
      <c r="H202" s="117"/>
      <c r="I202" s="117"/>
      <c r="J202" s="117"/>
    </row>
    <row r="203">
      <c r="A203" s="117"/>
      <c r="B203" s="117"/>
      <c r="C203" s="117"/>
      <c r="D203" s="117"/>
      <c r="E203" s="117"/>
      <c r="F203" s="117"/>
      <c r="G203" s="117"/>
      <c r="H203" s="117"/>
      <c r="I203" s="117"/>
      <c r="J203" s="117"/>
    </row>
    <row r="204">
      <c r="A204" s="117"/>
      <c r="B204" s="117"/>
      <c r="C204" s="117"/>
      <c r="D204" s="117"/>
      <c r="E204" s="117"/>
      <c r="F204" s="117"/>
      <c r="G204" s="117"/>
      <c r="H204" s="117"/>
      <c r="I204" s="117"/>
      <c r="J204" s="117"/>
    </row>
    <row r="205">
      <c r="A205" s="117"/>
      <c r="B205" s="117"/>
      <c r="C205" s="117"/>
      <c r="D205" s="117"/>
      <c r="E205" s="117"/>
      <c r="F205" s="117"/>
      <c r="G205" s="117"/>
      <c r="H205" s="117"/>
      <c r="I205" s="117"/>
      <c r="J205" s="117"/>
    </row>
    <row r="206">
      <c r="A206" s="117"/>
      <c r="B206" s="117"/>
      <c r="C206" s="117"/>
      <c r="D206" s="117"/>
      <c r="E206" s="117"/>
      <c r="F206" s="117"/>
      <c r="G206" s="117"/>
      <c r="H206" s="117"/>
      <c r="I206" s="117"/>
      <c r="J206" s="117"/>
    </row>
    <row r="207">
      <c r="A207" s="117"/>
      <c r="B207" s="117"/>
      <c r="C207" s="117"/>
      <c r="D207" s="117"/>
      <c r="E207" s="117"/>
      <c r="F207" s="117"/>
      <c r="G207" s="117"/>
      <c r="H207" s="117"/>
      <c r="I207" s="117"/>
      <c r="J207" s="117"/>
    </row>
    <row r="208">
      <c r="A208" s="117"/>
      <c r="B208" s="117"/>
      <c r="C208" s="117"/>
      <c r="D208" s="117"/>
      <c r="E208" s="117"/>
      <c r="F208" s="117"/>
      <c r="G208" s="117"/>
      <c r="H208" s="117"/>
      <c r="I208" s="117"/>
      <c r="J208" s="117"/>
    </row>
    <row r="209">
      <c r="A209" s="117"/>
      <c r="B209" s="117"/>
      <c r="C209" s="117"/>
      <c r="D209" s="117"/>
      <c r="E209" s="117"/>
      <c r="F209" s="117"/>
      <c r="G209" s="117"/>
      <c r="H209" s="117"/>
      <c r="I209" s="117"/>
      <c r="J209" s="117"/>
    </row>
    <row r="210">
      <c r="A210" s="117"/>
      <c r="B210" s="117"/>
      <c r="C210" s="117"/>
      <c r="D210" s="117"/>
      <c r="E210" s="117"/>
      <c r="F210" s="117"/>
      <c r="G210" s="117"/>
      <c r="H210" s="117"/>
      <c r="I210" s="117"/>
      <c r="J210" s="117"/>
    </row>
    <row r="211">
      <c r="A211" s="117"/>
      <c r="B211" s="117"/>
      <c r="C211" s="117"/>
      <c r="D211" s="117"/>
      <c r="E211" s="117"/>
      <c r="F211" s="117"/>
      <c r="G211" s="117"/>
      <c r="H211" s="117"/>
      <c r="I211" s="117"/>
      <c r="J211" s="117"/>
    </row>
    <row r="212">
      <c r="A212" s="117"/>
      <c r="B212" s="117"/>
      <c r="C212" s="117"/>
      <c r="D212" s="117"/>
      <c r="E212" s="117"/>
      <c r="F212" s="117"/>
      <c r="G212" s="117"/>
      <c r="H212" s="117"/>
      <c r="I212" s="117"/>
      <c r="J212" s="117"/>
    </row>
    <row r="213">
      <c r="A213" s="117"/>
      <c r="B213" s="117"/>
      <c r="C213" s="117"/>
      <c r="D213" s="117"/>
      <c r="E213" s="117"/>
      <c r="F213" s="117"/>
      <c r="G213" s="117"/>
      <c r="H213" s="117"/>
      <c r="I213" s="117"/>
      <c r="J213" s="117"/>
    </row>
    <row r="214">
      <c r="A214" s="117"/>
      <c r="B214" s="117"/>
      <c r="C214" s="117"/>
      <c r="D214" s="117"/>
      <c r="E214" s="117"/>
      <c r="F214" s="117"/>
      <c r="G214" s="117"/>
      <c r="H214" s="117"/>
      <c r="I214" s="117"/>
      <c r="J214" s="117"/>
    </row>
    <row r="215">
      <c r="A215" s="117"/>
      <c r="B215" s="117"/>
      <c r="C215" s="117"/>
      <c r="D215" s="117"/>
      <c r="E215" s="117"/>
      <c r="F215" s="117"/>
      <c r="G215" s="117"/>
      <c r="H215" s="117"/>
      <c r="I215" s="117"/>
      <c r="J215" s="117"/>
    </row>
    <row r="216">
      <c r="A216" s="117"/>
      <c r="B216" s="117"/>
      <c r="C216" s="117"/>
      <c r="D216" s="117"/>
      <c r="E216" s="117"/>
      <c r="F216" s="117"/>
      <c r="G216" s="117"/>
      <c r="H216" s="117"/>
      <c r="I216" s="117"/>
      <c r="J216" s="117"/>
    </row>
    <row r="217">
      <c r="A217" s="117"/>
      <c r="B217" s="117"/>
      <c r="C217" s="117"/>
      <c r="D217" s="117"/>
      <c r="E217" s="117"/>
      <c r="F217" s="117"/>
      <c r="G217" s="117"/>
      <c r="H217" s="117"/>
      <c r="I217" s="117"/>
      <c r="J217" s="117"/>
    </row>
    <row r="218">
      <c r="A218" s="117"/>
      <c r="B218" s="117"/>
      <c r="C218" s="117"/>
      <c r="D218" s="117"/>
      <c r="E218" s="117"/>
      <c r="F218" s="117"/>
      <c r="G218" s="117"/>
      <c r="H218" s="117"/>
      <c r="I218" s="117"/>
      <c r="J218" s="117"/>
    </row>
    <row r="219">
      <c r="A219" s="117"/>
      <c r="B219" s="117"/>
      <c r="C219" s="117"/>
      <c r="D219" s="117"/>
      <c r="E219" s="117"/>
      <c r="F219" s="117"/>
      <c r="G219" s="117"/>
      <c r="H219" s="117"/>
      <c r="I219" s="117"/>
      <c r="J219" s="117"/>
    </row>
    <row r="220">
      <c r="A220" s="117"/>
      <c r="B220" s="117"/>
      <c r="C220" s="117"/>
      <c r="D220" s="117"/>
      <c r="E220" s="117"/>
      <c r="F220" s="117"/>
      <c r="G220" s="117"/>
      <c r="H220" s="117"/>
      <c r="I220" s="117"/>
      <c r="J220" s="117"/>
    </row>
    <row r="221">
      <c r="A221" s="117"/>
      <c r="B221" s="117"/>
      <c r="C221" s="117"/>
      <c r="D221" s="117"/>
      <c r="E221" s="117"/>
      <c r="F221" s="117"/>
      <c r="G221" s="117"/>
      <c r="H221" s="117"/>
      <c r="I221" s="117"/>
      <c r="J221" s="117"/>
    </row>
    <row r="222">
      <c r="A222" s="117"/>
      <c r="B222" s="117"/>
      <c r="C222" s="117"/>
      <c r="D222" s="117"/>
      <c r="E222" s="117"/>
      <c r="F222" s="117"/>
      <c r="G222" s="117"/>
      <c r="H222" s="117"/>
      <c r="I222" s="117"/>
      <c r="J222" s="117"/>
    </row>
    <row r="223">
      <c r="A223" s="117"/>
      <c r="B223" s="117"/>
      <c r="C223" s="117"/>
      <c r="D223" s="117"/>
      <c r="E223" s="117"/>
      <c r="F223" s="117"/>
      <c r="G223" s="117"/>
      <c r="H223" s="117"/>
      <c r="I223" s="117"/>
      <c r="J223" s="117"/>
    </row>
    <row r="224">
      <c r="A224" s="117"/>
      <c r="B224" s="117"/>
      <c r="C224" s="117"/>
      <c r="D224" s="117"/>
      <c r="E224" s="117"/>
      <c r="F224" s="117"/>
      <c r="G224" s="117"/>
      <c r="H224" s="117"/>
      <c r="I224" s="117"/>
      <c r="J224" s="117"/>
    </row>
    <row r="225">
      <c r="A225" s="117"/>
      <c r="B225" s="117"/>
      <c r="C225" s="117"/>
      <c r="D225" s="117"/>
      <c r="E225" s="117"/>
      <c r="F225" s="117"/>
      <c r="G225" s="117"/>
      <c r="H225" s="117"/>
      <c r="I225" s="117"/>
      <c r="J225" s="117"/>
    </row>
    <row r="226">
      <c r="A226" s="117"/>
      <c r="B226" s="117"/>
      <c r="C226" s="117"/>
      <c r="D226" s="117"/>
      <c r="E226" s="117"/>
      <c r="F226" s="117"/>
      <c r="G226" s="117"/>
      <c r="H226" s="117"/>
      <c r="I226" s="117"/>
      <c r="J226" s="117"/>
    </row>
    <row r="227">
      <c r="A227" s="117"/>
      <c r="B227" s="117"/>
      <c r="C227" s="117"/>
      <c r="D227" s="117"/>
      <c r="E227" s="117"/>
      <c r="F227" s="117"/>
      <c r="G227" s="117"/>
      <c r="H227" s="117"/>
      <c r="I227" s="117"/>
      <c r="J227" s="117"/>
    </row>
    <row r="228">
      <c r="A228" s="117"/>
      <c r="B228" s="117"/>
      <c r="C228" s="117"/>
      <c r="D228" s="117"/>
      <c r="E228" s="117"/>
      <c r="F228" s="117"/>
      <c r="G228" s="117"/>
      <c r="H228" s="117"/>
      <c r="I228" s="117"/>
      <c r="J228" s="117"/>
    </row>
    <row r="229">
      <c r="A229" s="117"/>
      <c r="B229" s="117"/>
      <c r="C229" s="117"/>
      <c r="D229" s="117"/>
      <c r="E229" s="117"/>
      <c r="F229" s="117"/>
      <c r="G229" s="117"/>
      <c r="H229" s="117"/>
      <c r="I229" s="117"/>
      <c r="J229" s="117"/>
    </row>
    <row r="230">
      <c r="A230" s="117"/>
      <c r="B230" s="117"/>
      <c r="C230" s="117"/>
      <c r="D230" s="117"/>
      <c r="E230" s="117"/>
      <c r="F230" s="117"/>
      <c r="G230" s="117"/>
      <c r="H230" s="117"/>
      <c r="I230" s="117"/>
      <c r="J230" s="117"/>
    </row>
    <row r="231">
      <c r="A231" s="117"/>
      <c r="B231" s="117"/>
      <c r="C231" s="117"/>
      <c r="D231" s="117"/>
      <c r="E231" s="117"/>
      <c r="F231" s="117"/>
      <c r="G231" s="117"/>
      <c r="H231" s="117"/>
      <c r="I231" s="117"/>
      <c r="J231" s="117"/>
    </row>
    <row r="232">
      <c r="A232" s="117"/>
      <c r="B232" s="117"/>
      <c r="C232" s="117"/>
      <c r="D232" s="117"/>
      <c r="E232" s="117"/>
      <c r="F232" s="117"/>
      <c r="G232" s="117"/>
      <c r="H232" s="117"/>
      <c r="I232" s="117"/>
      <c r="J232" s="117"/>
    </row>
    <row r="233">
      <c r="A233" s="117"/>
      <c r="B233" s="117"/>
      <c r="C233" s="117"/>
      <c r="D233" s="117"/>
      <c r="E233" s="117"/>
      <c r="F233" s="117"/>
      <c r="G233" s="117"/>
      <c r="H233" s="117"/>
      <c r="I233" s="117"/>
      <c r="J233" s="117"/>
    </row>
    <row r="234">
      <c r="A234" s="117"/>
      <c r="B234" s="117"/>
      <c r="C234" s="117"/>
      <c r="D234" s="117"/>
      <c r="E234" s="117"/>
      <c r="F234" s="117"/>
      <c r="G234" s="117"/>
      <c r="H234" s="117"/>
      <c r="I234" s="117"/>
      <c r="J234" s="117"/>
    </row>
    <row r="235">
      <c r="A235" s="117"/>
      <c r="B235" s="117"/>
      <c r="C235" s="117"/>
      <c r="D235" s="117"/>
      <c r="E235" s="117"/>
      <c r="F235" s="117"/>
      <c r="G235" s="117"/>
      <c r="H235" s="117"/>
      <c r="I235" s="117"/>
      <c r="J235" s="117"/>
    </row>
    <row r="236">
      <c r="A236" s="117"/>
      <c r="B236" s="117"/>
      <c r="C236" s="117"/>
      <c r="D236" s="117"/>
      <c r="E236" s="117"/>
      <c r="F236" s="117"/>
      <c r="G236" s="117"/>
      <c r="H236" s="117"/>
      <c r="I236" s="117"/>
      <c r="J236" s="117"/>
    </row>
    <row r="237">
      <c r="A237" s="117"/>
      <c r="B237" s="117"/>
      <c r="C237" s="117"/>
      <c r="D237" s="117"/>
      <c r="E237" s="117"/>
      <c r="F237" s="117"/>
      <c r="G237" s="117"/>
      <c r="H237" s="117"/>
      <c r="I237" s="117"/>
      <c r="J237" s="117"/>
    </row>
    <row r="238">
      <c r="A238" s="117"/>
      <c r="B238" s="117"/>
      <c r="C238" s="117"/>
      <c r="D238" s="117"/>
      <c r="E238" s="117"/>
      <c r="F238" s="117"/>
      <c r="G238" s="117"/>
      <c r="H238" s="117"/>
      <c r="I238" s="117"/>
      <c r="J238" s="117"/>
    </row>
    <row r="239">
      <c r="A239" s="117"/>
      <c r="B239" s="117"/>
      <c r="C239" s="117"/>
      <c r="D239" s="117"/>
      <c r="E239" s="117"/>
      <c r="F239" s="117"/>
      <c r="G239" s="117"/>
      <c r="H239" s="117"/>
      <c r="I239" s="117"/>
      <c r="J239" s="117"/>
    </row>
    <row r="240">
      <c r="A240" s="117"/>
      <c r="B240" s="117"/>
      <c r="C240" s="117"/>
      <c r="D240" s="117"/>
      <c r="E240" s="117"/>
      <c r="F240" s="117"/>
      <c r="G240" s="117"/>
      <c r="H240" s="117"/>
      <c r="I240" s="117"/>
      <c r="J240" s="117"/>
    </row>
    <row r="241">
      <c r="A241" s="117"/>
      <c r="B241" s="117"/>
      <c r="C241" s="117"/>
      <c r="D241" s="117"/>
      <c r="E241" s="117"/>
      <c r="F241" s="117"/>
      <c r="G241" s="117"/>
      <c r="H241" s="117"/>
      <c r="I241" s="117"/>
      <c r="J241" s="117"/>
    </row>
    <row r="242">
      <c r="A242" s="117"/>
      <c r="B242" s="117"/>
      <c r="C242" s="117"/>
      <c r="D242" s="117"/>
      <c r="E242" s="117"/>
      <c r="F242" s="117"/>
      <c r="G242" s="117"/>
      <c r="H242" s="117"/>
      <c r="I242" s="117"/>
      <c r="J242" s="117"/>
    </row>
    <row r="243">
      <c r="A243" s="117"/>
      <c r="B243" s="117"/>
      <c r="C243" s="117"/>
      <c r="D243" s="117"/>
      <c r="E243" s="117"/>
      <c r="F243" s="117"/>
      <c r="G243" s="117"/>
      <c r="H243" s="117"/>
      <c r="I243" s="117"/>
      <c r="J243" s="117"/>
    </row>
    <row r="244">
      <c r="A244" s="117"/>
      <c r="B244" s="117"/>
      <c r="C244" s="117"/>
      <c r="D244" s="117"/>
      <c r="E244" s="117"/>
      <c r="F244" s="117"/>
      <c r="G244" s="117"/>
      <c r="H244" s="117"/>
      <c r="I244" s="117"/>
      <c r="J244" s="117"/>
    </row>
    <row r="245">
      <c r="A245" s="117"/>
      <c r="B245" s="117"/>
      <c r="C245" s="117"/>
      <c r="D245" s="117"/>
      <c r="E245" s="117"/>
      <c r="F245" s="117"/>
      <c r="G245" s="117"/>
      <c r="H245" s="117"/>
      <c r="I245" s="117"/>
      <c r="J245" s="117"/>
    </row>
    <row r="246">
      <c r="A246" s="117"/>
      <c r="B246" s="117"/>
      <c r="C246" s="117"/>
      <c r="D246" s="117"/>
      <c r="E246" s="117"/>
      <c r="F246" s="117"/>
      <c r="G246" s="117"/>
      <c r="H246" s="117"/>
      <c r="I246" s="117"/>
      <c r="J246" s="117"/>
    </row>
    <row r="247">
      <c r="A247" s="117"/>
      <c r="B247" s="117"/>
      <c r="C247" s="117"/>
      <c r="D247" s="117"/>
      <c r="E247" s="117"/>
      <c r="F247" s="117"/>
      <c r="G247" s="117"/>
      <c r="H247" s="117"/>
      <c r="I247" s="117"/>
      <c r="J247" s="117"/>
    </row>
    <row r="248">
      <c r="A248" s="117"/>
      <c r="B248" s="117"/>
      <c r="C248" s="117"/>
      <c r="D248" s="117"/>
      <c r="E248" s="117"/>
      <c r="F248" s="117"/>
      <c r="G248" s="117"/>
      <c r="H248" s="117"/>
      <c r="I248" s="117"/>
      <c r="J248" s="117"/>
    </row>
    <row r="249">
      <c r="A249" s="117"/>
      <c r="B249" s="117"/>
      <c r="C249" s="117"/>
      <c r="D249" s="117"/>
      <c r="E249" s="117"/>
      <c r="F249" s="117"/>
      <c r="G249" s="117"/>
      <c r="H249" s="117"/>
      <c r="I249" s="117"/>
      <c r="J249" s="117"/>
    </row>
    <row r="250">
      <c r="A250" s="117"/>
      <c r="B250" s="117"/>
      <c r="C250" s="117"/>
      <c r="D250" s="117"/>
      <c r="E250" s="117"/>
      <c r="F250" s="117"/>
      <c r="G250" s="117"/>
      <c r="H250" s="117"/>
      <c r="I250" s="117"/>
      <c r="J250" s="117"/>
    </row>
    <row r="251">
      <c r="A251" s="117"/>
      <c r="B251" s="117"/>
      <c r="C251" s="117"/>
      <c r="D251" s="117"/>
      <c r="E251" s="117"/>
      <c r="F251" s="117"/>
      <c r="G251" s="117"/>
      <c r="H251" s="117"/>
      <c r="I251" s="117"/>
      <c r="J251" s="117"/>
    </row>
    <row r="252">
      <c r="A252" s="117"/>
      <c r="B252" s="117"/>
      <c r="C252" s="117"/>
      <c r="D252" s="117"/>
      <c r="E252" s="117"/>
      <c r="F252" s="117"/>
      <c r="G252" s="117"/>
      <c r="H252" s="117"/>
      <c r="I252" s="117"/>
      <c r="J252" s="117"/>
    </row>
    <row r="253">
      <c r="A253" s="117"/>
      <c r="B253" s="117"/>
      <c r="C253" s="117"/>
      <c r="D253" s="117"/>
      <c r="E253" s="117"/>
      <c r="F253" s="117"/>
      <c r="G253" s="117"/>
      <c r="H253" s="117"/>
      <c r="I253" s="117"/>
      <c r="J253" s="117"/>
    </row>
    <row r="254">
      <c r="A254" s="117"/>
      <c r="B254" s="117"/>
      <c r="C254" s="117"/>
      <c r="D254" s="117"/>
      <c r="E254" s="117"/>
      <c r="F254" s="117"/>
      <c r="G254" s="117"/>
      <c r="H254" s="117"/>
      <c r="I254" s="117"/>
      <c r="J254" s="117"/>
    </row>
    <row r="255">
      <c r="A255" s="117"/>
      <c r="B255" s="117"/>
      <c r="C255" s="117"/>
      <c r="D255" s="117"/>
      <c r="E255" s="117"/>
      <c r="F255" s="117"/>
      <c r="G255" s="117"/>
      <c r="H255" s="117"/>
      <c r="I255" s="117"/>
      <c r="J255" s="117"/>
    </row>
    <row r="256">
      <c r="A256" s="117"/>
      <c r="B256" s="117"/>
      <c r="C256" s="117"/>
      <c r="D256" s="117"/>
      <c r="E256" s="117"/>
      <c r="F256" s="117"/>
      <c r="G256" s="117"/>
      <c r="H256" s="117"/>
      <c r="I256" s="117"/>
      <c r="J256" s="117"/>
    </row>
    <row r="257">
      <c r="A257" s="117"/>
      <c r="B257" s="117"/>
      <c r="C257" s="117"/>
      <c r="D257" s="117"/>
      <c r="E257" s="117"/>
      <c r="F257" s="117"/>
      <c r="G257" s="117"/>
      <c r="H257" s="117"/>
      <c r="I257" s="117"/>
      <c r="J257" s="117"/>
    </row>
    <row r="258">
      <c r="A258" s="117"/>
      <c r="B258" s="117"/>
      <c r="C258" s="117"/>
      <c r="D258" s="117"/>
      <c r="E258" s="117"/>
      <c r="F258" s="117"/>
      <c r="G258" s="117"/>
      <c r="H258" s="117"/>
      <c r="I258" s="117"/>
      <c r="J258" s="117"/>
    </row>
    <row r="259">
      <c r="A259" s="117"/>
      <c r="B259" s="117"/>
      <c r="C259" s="117"/>
      <c r="D259" s="117"/>
      <c r="E259" s="117"/>
      <c r="F259" s="117"/>
      <c r="G259" s="117"/>
      <c r="H259" s="117"/>
      <c r="I259" s="117"/>
      <c r="J259" s="117"/>
    </row>
    <row r="260">
      <c r="A260" s="117"/>
      <c r="B260" s="117"/>
      <c r="C260" s="117"/>
      <c r="D260" s="117"/>
      <c r="E260" s="117"/>
      <c r="F260" s="117"/>
      <c r="G260" s="117"/>
      <c r="H260" s="117"/>
      <c r="I260" s="117"/>
      <c r="J260" s="117"/>
    </row>
    <row r="261">
      <c r="A261" s="117"/>
      <c r="B261" s="117"/>
      <c r="C261" s="117"/>
      <c r="D261" s="117"/>
      <c r="E261" s="117"/>
      <c r="F261" s="117"/>
      <c r="G261" s="117"/>
      <c r="H261" s="117"/>
      <c r="I261" s="117"/>
      <c r="J261" s="117"/>
    </row>
    <row r="262">
      <c r="A262" s="117"/>
      <c r="B262" s="117"/>
      <c r="C262" s="117"/>
      <c r="D262" s="117"/>
      <c r="E262" s="117"/>
      <c r="F262" s="117"/>
      <c r="G262" s="117"/>
      <c r="H262" s="117"/>
      <c r="I262" s="117"/>
      <c r="J262" s="117"/>
    </row>
    <row r="263">
      <c r="A263" s="117"/>
      <c r="B263" s="117"/>
      <c r="C263" s="117"/>
      <c r="D263" s="117"/>
      <c r="E263" s="117"/>
      <c r="F263" s="117"/>
      <c r="G263" s="117"/>
      <c r="H263" s="117"/>
      <c r="I263" s="117"/>
      <c r="J263" s="117"/>
    </row>
    <row r="264">
      <c r="A264" s="117"/>
      <c r="B264" s="117"/>
      <c r="C264" s="117"/>
      <c r="D264" s="117"/>
      <c r="E264" s="117"/>
      <c r="F264" s="117"/>
      <c r="G264" s="117"/>
      <c r="H264" s="117"/>
      <c r="I264" s="117"/>
      <c r="J264" s="117"/>
    </row>
    <row r="265">
      <c r="A265" s="117"/>
      <c r="B265" s="117"/>
      <c r="C265" s="117"/>
      <c r="D265" s="117"/>
      <c r="E265" s="117"/>
      <c r="F265" s="117"/>
      <c r="G265" s="117"/>
      <c r="H265" s="117"/>
      <c r="I265" s="117"/>
      <c r="J265" s="117"/>
    </row>
    <row r="266">
      <c r="A266" s="117"/>
      <c r="B266" s="117"/>
      <c r="C266" s="117"/>
      <c r="D266" s="117"/>
      <c r="E266" s="117"/>
      <c r="F266" s="117"/>
      <c r="G266" s="117"/>
      <c r="H266" s="117"/>
      <c r="I266" s="117"/>
      <c r="J266" s="117"/>
    </row>
    <row r="267">
      <c r="A267" s="117"/>
      <c r="B267" s="117"/>
      <c r="C267" s="117"/>
      <c r="D267" s="117"/>
      <c r="E267" s="117"/>
      <c r="F267" s="117"/>
      <c r="G267" s="117"/>
      <c r="H267" s="117"/>
      <c r="I267" s="117"/>
      <c r="J267" s="117"/>
    </row>
    <row r="268">
      <c r="A268" s="117"/>
      <c r="B268" s="117"/>
      <c r="C268" s="117"/>
      <c r="D268" s="117"/>
      <c r="E268" s="117"/>
      <c r="F268" s="117"/>
      <c r="G268" s="117"/>
      <c r="H268" s="117"/>
      <c r="I268" s="117"/>
      <c r="J268" s="117"/>
    </row>
    <row r="269">
      <c r="A269" s="117"/>
      <c r="B269" s="117"/>
      <c r="C269" s="117"/>
      <c r="D269" s="117"/>
      <c r="E269" s="117"/>
      <c r="F269" s="117"/>
      <c r="G269" s="117"/>
      <c r="H269" s="117"/>
      <c r="I269" s="117"/>
      <c r="J269" s="117"/>
    </row>
    <row r="270">
      <c r="A270" s="117"/>
      <c r="B270" s="117"/>
      <c r="C270" s="117"/>
      <c r="D270" s="117"/>
      <c r="E270" s="117"/>
      <c r="F270" s="117"/>
      <c r="G270" s="117"/>
      <c r="H270" s="117"/>
      <c r="I270" s="117"/>
      <c r="J270" s="117"/>
    </row>
    <row r="271">
      <c r="A271" s="117"/>
      <c r="B271" s="117"/>
      <c r="C271" s="117"/>
      <c r="D271" s="117"/>
      <c r="E271" s="117"/>
      <c r="F271" s="117"/>
      <c r="G271" s="117"/>
      <c r="H271" s="117"/>
      <c r="I271" s="117"/>
      <c r="J271" s="117"/>
    </row>
    <row r="272">
      <c r="A272" s="117"/>
      <c r="B272" s="117"/>
      <c r="C272" s="117"/>
      <c r="D272" s="117"/>
      <c r="E272" s="117"/>
      <c r="F272" s="117"/>
      <c r="G272" s="117"/>
      <c r="H272" s="117"/>
      <c r="I272" s="117"/>
      <c r="J272" s="117"/>
    </row>
    <row r="273">
      <c r="A273" s="117"/>
      <c r="B273" s="117"/>
      <c r="C273" s="117"/>
      <c r="D273" s="117"/>
      <c r="E273" s="117"/>
      <c r="F273" s="117"/>
      <c r="G273" s="117"/>
      <c r="H273" s="117"/>
      <c r="I273" s="117"/>
      <c r="J273" s="117"/>
    </row>
    <row r="274">
      <c r="A274" s="117"/>
      <c r="B274" s="117"/>
      <c r="C274" s="117"/>
      <c r="D274" s="117"/>
      <c r="E274" s="117"/>
      <c r="F274" s="117"/>
      <c r="G274" s="117"/>
      <c r="H274" s="117"/>
      <c r="I274" s="117"/>
      <c r="J274" s="117"/>
    </row>
    <row r="275">
      <c r="A275" s="117"/>
      <c r="B275" s="117"/>
      <c r="C275" s="117"/>
      <c r="D275" s="117"/>
      <c r="E275" s="117"/>
      <c r="F275" s="117"/>
      <c r="G275" s="117"/>
      <c r="H275" s="117"/>
      <c r="I275" s="117"/>
      <c r="J275" s="117"/>
    </row>
    <row r="276">
      <c r="A276" s="117"/>
      <c r="B276" s="117"/>
      <c r="C276" s="117"/>
      <c r="D276" s="117"/>
      <c r="E276" s="117"/>
      <c r="F276" s="117"/>
      <c r="G276" s="117"/>
      <c r="H276" s="117"/>
      <c r="I276" s="117"/>
      <c r="J276" s="117"/>
    </row>
    <row r="277">
      <c r="A277" s="117"/>
      <c r="B277" s="117"/>
      <c r="C277" s="117"/>
      <c r="D277" s="117"/>
      <c r="E277" s="117"/>
      <c r="F277" s="117"/>
      <c r="G277" s="117"/>
      <c r="H277" s="117"/>
      <c r="I277" s="117"/>
      <c r="J277" s="117"/>
    </row>
    <row r="278">
      <c r="A278" s="117"/>
      <c r="B278" s="117"/>
      <c r="C278" s="117"/>
      <c r="D278" s="117"/>
      <c r="E278" s="117"/>
      <c r="F278" s="117"/>
      <c r="G278" s="117"/>
      <c r="H278" s="117"/>
      <c r="I278" s="117"/>
      <c r="J278" s="117"/>
    </row>
    <row r="279">
      <c r="A279" s="117"/>
      <c r="B279" s="117"/>
      <c r="C279" s="117"/>
      <c r="D279" s="117"/>
      <c r="E279" s="117"/>
      <c r="F279" s="117"/>
      <c r="G279" s="117"/>
      <c r="H279" s="117"/>
      <c r="I279" s="117"/>
      <c r="J279" s="117"/>
    </row>
    <row r="280">
      <c r="A280" s="117"/>
      <c r="B280" s="117"/>
      <c r="C280" s="117"/>
      <c r="D280" s="117"/>
      <c r="E280" s="117"/>
      <c r="F280" s="117"/>
      <c r="G280" s="117"/>
      <c r="H280" s="117"/>
      <c r="I280" s="117"/>
      <c r="J280" s="117"/>
    </row>
    <row r="281">
      <c r="A281" s="117"/>
      <c r="B281" s="117"/>
      <c r="C281" s="117"/>
      <c r="D281" s="117"/>
      <c r="E281" s="117"/>
      <c r="F281" s="117"/>
      <c r="G281" s="117"/>
      <c r="H281" s="117"/>
      <c r="I281" s="117"/>
      <c r="J281" s="117"/>
    </row>
    <row r="282">
      <c r="A282" s="117"/>
      <c r="B282" s="117"/>
      <c r="C282" s="117"/>
      <c r="D282" s="117"/>
      <c r="E282" s="117"/>
      <c r="F282" s="117"/>
      <c r="G282" s="117"/>
      <c r="H282" s="117"/>
      <c r="I282" s="117"/>
      <c r="J282" s="117"/>
    </row>
    <row r="283">
      <c r="A283" s="117"/>
      <c r="B283" s="117"/>
      <c r="C283" s="117"/>
      <c r="D283" s="117"/>
      <c r="E283" s="117"/>
      <c r="F283" s="117"/>
      <c r="G283" s="117"/>
      <c r="H283" s="117"/>
      <c r="I283" s="117"/>
      <c r="J283" s="117"/>
    </row>
    <row r="284">
      <c r="A284" s="117"/>
      <c r="B284" s="117"/>
      <c r="C284" s="117"/>
      <c r="D284" s="117"/>
      <c r="E284" s="117"/>
      <c r="F284" s="117"/>
      <c r="G284" s="117"/>
      <c r="H284" s="117"/>
      <c r="I284" s="117"/>
      <c r="J284" s="117"/>
    </row>
    <row r="285">
      <c r="A285" s="117"/>
      <c r="B285" s="117"/>
      <c r="C285" s="117"/>
      <c r="D285" s="117"/>
      <c r="E285" s="117"/>
      <c r="F285" s="117"/>
      <c r="G285" s="117"/>
      <c r="H285" s="117"/>
      <c r="I285" s="117"/>
      <c r="J285" s="117"/>
    </row>
    <row r="286">
      <c r="A286" s="117"/>
      <c r="B286" s="117"/>
      <c r="C286" s="117"/>
      <c r="D286" s="117"/>
      <c r="E286" s="117"/>
      <c r="F286" s="117"/>
      <c r="G286" s="117"/>
      <c r="H286" s="117"/>
      <c r="I286" s="117"/>
      <c r="J286" s="117"/>
    </row>
    <row r="287">
      <c r="A287" s="117"/>
      <c r="B287" s="117"/>
      <c r="C287" s="117"/>
      <c r="D287" s="117"/>
      <c r="E287" s="117"/>
      <c r="F287" s="117"/>
      <c r="G287" s="117"/>
      <c r="H287" s="117"/>
      <c r="I287" s="117"/>
      <c r="J287" s="117"/>
    </row>
    <row r="288">
      <c r="A288" s="117"/>
      <c r="B288" s="117"/>
      <c r="C288" s="117"/>
      <c r="D288" s="117"/>
      <c r="E288" s="117"/>
      <c r="F288" s="117"/>
      <c r="G288" s="117"/>
      <c r="H288" s="117"/>
      <c r="I288" s="117"/>
      <c r="J288" s="117"/>
    </row>
    <row r="289">
      <c r="A289" s="117"/>
      <c r="B289" s="117"/>
      <c r="C289" s="117"/>
      <c r="D289" s="117"/>
      <c r="E289" s="117"/>
      <c r="F289" s="117"/>
      <c r="G289" s="117"/>
      <c r="H289" s="117"/>
      <c r="I289" s="117"/>
      <c r="J289" s="117"/>
    </row>
    <row r="290">
      <c r="A290" s="117"/>
      <c r="B290" s="117"/>
      <c r="C290" s="117"/>
      <c r="D290" s="117"/>
      <c r="E290" s="117"/>
      <c r="F290" s="117"/>
      <c r="G290" s="117"/>
      <c r="H290" s="117"/>
      <c r="I290" s="117"/>
      <c r="J290" s="117"/>
    </row>
    <row r="291">
      <c r="A291" s="117"/>
      <c r="B291" s="117"/>
      <c r="C291" s="117"/>
      <c r="D291" s="117"/>
      <c r="E291" s="117"/>
      <c r="F291" s="117"/>
      <c r="G291" s="117"/>
      <c r="H291" s="117"/>
      <c r="I291" s="117"/>
      <c r="J291" s="117"/>
    </row>
    <row r="292">
      <c r="A292" s="117"/>
      <c r="B292" s="117"/>
      <c r="C292" s="117"/>
      <c r="D292" s="117"/>
      <c r="E292" s="117"/>
      <c r="F292" s="117"/>
      <c r="G292" s="117"/>
      <c r="H292" s="117"/>
      <c r="I292" s="117"/>
      <c r="J292" s="117"/>
    </row>
    <row r="293">
      <c r="A293" s="117"/>
      <c r="B293" s="117"/>
      <c r="C293" s="117"/>
      <c r="D293" s="117"/>
      <c r="E293" s="117"/>
      <c r="F293" s="117"/>
      <c r="G293" s="117"/>
      <c r="H293" s="117"/>
      <c r="I293" s="117"/>
      <c r="J293" s="117"/>
    </row>
    <row r="294">
      <c r="A294" s="117"/>
      <c r="B294" s="117"/>
      <c r="C294" s="117"/>
      <c r="D294" s="117"/>
      <c r="E294" s="117"/>
      <c r="F294" s="117"/>
      <c r="G294" s="117"/>
      <c r="H294" s="117"/>
      <c r="I294" s="117"/>
      <c r="J294" s="117"/>
    </row>
    <row r="295">
      <c r="A295" s="117"/>
      <c r="B295" s="117"/>
      <c r="C295" s="117"/>
      <c r="D295" s="117"/>
      <c r="E295" s="117"/>
      <c r="F295" s="117"/>
      <c r="G295" s="117"/>
      <c r="H295" s="117"/>
      <c r="I295" s="117"/>
      <c r="J295" s="117"/>
    </row>
    <row r="296">
      <c r="A296" s="117"/>
      <c r="B296" s="117"/>
      <c r="C296" s="117"/>
      <c r="D296" s="117"/>
      <c r="E296" s="117"/>
      <c r="F296" s="117"/>
      <c r="G296" s="117"/>
      <c r="H296" s="117"/>
      <c r="I296" s="117"/>
      <c r="J296" s="117"/>
    </row>
    <row r="297">
      <c r="A297" s="117"/>
      <c r="B297" s="117"/>
      <c r="C297" s="117"/>
      <c r="D297" s="117"/>
      <c r="E297" s="117"/>
      <c r="F297" s="117"/>
      <c r="G297" s="117"/>
      <c r="H297" s="117"/>
      <c r="I297" s="117"/>
      <c r="J297" s="117"/>
    </row>
    <row r="298">
      <c r="A298" s="117"/>
      <c r="B298" s="117"/>
      <c r="C298" s="117"/>
      <c r="D298" s="117"/>
      <c r="E298" s="117"/>
      <c r="F298" s="117"/>
      <c r="G298" s="117"/>
      <c r="H298" s="117"/>
      <c r="I298" s="117"/>
      <c r="J298" s="117"/>
    </row>
    <row r="299">
      <c r="A299" s="117"/>
      <c r="B299" s="117"/>
      <c r="C299" s="117"/>
      <c r="D299" s="117"/>
      <c r="E299" s="117"/>
      <c r="F299" s="117"/>
      <c r="G299" s="117"/>
      <c r="H299" s="117"/>
      <c r="I299" s="117"/>
      <c r="J299" s="117"/>
    </row>
    <row r="300">
      <c r="A300" s="117"/>
      <c r="B300" s="117"/>
      <c r="C300" s="117"/>
      <c r="D300" s="117"/>
      <c r="E300" s="117"/>
      <c r="F300" s="117"/>
      <c r="G300" s="117"/>
      <c r="H300" s="117"/>
      <c r="I300" s="117"/>
      <c r="J300" s="117"/>
    </row>
    <row r="301">
      <c r="A301" s="117"/>
      <c r="B301" s="117"/>
      <c r="C301" s="117"/>
      <c r="D301" s="117"/>
      <c r="E301" s="117"/>
      <c r="F301" s="117"/>
      <c r="G301" s="117"/>
      <c r="H301" s="117"/>
      <c r="I301" s="117"/>
      <c r="J301" s="117"/>
    </row>
    <row r="302">
      <c r="A302" s="117"/>
      <c r="B302" s="117"/>
      <c r="C302" s="117"/>
      <c r="D302" s="117"/>
      <c r="E302" s="117"/>
      <c r="F302" s="117"/>
      <c r="G302" s="117"/>
      <c r="H302" s="117"/>
      <c r="I302" s="117"/>
      <c r="J302" s="117"/>
    </row>
    <row r="303">
      <c r="A303" s="117"/>
      <c r="B303" s="117"/>
      <c r="C303" s="117"/>
      <c r="D303" s="117"/>
      <c r="E303" s="117"/>
      <c r="F303" s="117"/>
      <c r="G303" s="117"/>
      <c r="H303" s="117"/>
      <c r="I303" s="117"/>
      <c r="J303" s="117"/>
    </row>
    <row r="304">
      <c r="A304" s="117"/>
      <c r="B304" s="117"/>
      <c r="C304" s="117"/>
      <c r="D304" s="117"/>
      <c r="E304" s="117"/>
      <c r="F304" s="117"/>
      <c r="G304" s="117"/>
      <c r="H304" s="117"/>
      <c r="I304" s="117"/>
      <c r="J304" s="117"/>
    </row>
    <row r="305">
      <c r="A305" s="117"/>
      <c r="B305" s="117"/>
      <c r="C305" s="117"/>
      <c r="D305" s="117"/>
      <c r="E305" s="117"/>
      <c r="F305" s="117"/>
      <c r="G305" s="117"/>
      <c r="H305" s="117"/>
      <c r="I305" s="117"/>
      <c r="J305" s="117"/>
    </row>
    <row r="306">
      <c r="A306" s="117"/>
      <c r="B306" s="117"/>
      <c r="C306" s="117"/>
      <c r="D306" s="117"/>
      <c r="E306" s="117"/>
      <c r="F306" s="117"/>
      <c r="G306" s="117"/>
      <c r="H306" s="117"/>
      <c r="I306" s="117"/>
      <c r="J306" s="117"/>
    </row>
    <row r="307">
      <c r="A307" s="117"/>
      <c r="B307" s="117"/>
      <c r="C307" s="117"/>
      <c r="D307" s="117"/>
      <c r="E307" s="117"/>
      <c r="F307" s="117"/>
      <c r="G307" s="117"/>
      <c r="H307" s="117"/>
      <c r="I307" s="117"/>
      <c r="J307" s="117"/>
    </row>
    <row r="308">
      <c r="A308" s="117"/>
      <c r="B308" s="117"/>
      <c r="C308" s="117"/>
      <c r="D308" s="117"/>
      <c r="E308" s="117"/>
      <c r="F308" s="117"/>
      <c r="G308" s="117"/>
      <c r="H308" s="117"/>
      <c r="I308" s="117"/>
      <c r="J308" s="117"/>
    </row>
    <row r="309">
      <c r="A309" s="117"/>
      <c r="B309" s="117"/>
      <c r="C309" s="117"/>
      <c r="D309" s="117"/>
      <c r="E309" s="117"/>
      <c r="F309" s="117"/>
      <c r="G309" s="117"/>
      <c r="H309" s="117"/>
      <c r="I309" s="117"/>
      <c r="J309" s="117"/>
    </row>
    <row r="310">
      <c r="A310" s="117"/>
      <c r="B310" s="117"/>
      <c r="C310" s="117"/>
      <c r="D310" s="117"/>
      <c r="E310" s="117"/>
      <c r="F310" s="117"/>
      <c r="G310" s="117"/>
      <c r="H310" s="117"/>
      <c r="I310" s="117"/>
      <c r="J310" s="117"/>
    </row>
    <row r="311">
      <c r="A311" s="117"/>
      <c r="B311" s="117"/>
      <c r="C311" s="117"/>
      <c r="D311" s="117"/>
      <c r="E311" s="117"/>
      <c r="F311" s="117"/>
      <c r="G311" s="117"/>
      <c r="H311" s="117"/>
      <c r="I311" s="117"/>
      <c r="J311" s="117"/>
    </row>
    <row r="312">
      <c r="A312" s="117"/>
      <c r="B312" s="117"/>
      <c r="C312" s="117"/>
      <c r="D312" s="117"/>
      <c r="E312" s="117"/>
      <c r="F312" s="117"/>
      <c r="G312" s="117"/>
      <c r="H312" s="117"/>
      <c r="I312" s="117"/>
      <c r="J312" s="117"/>
    </row>
    <row r="313">
      <c r="A313" s="117"/>
      <c r="B313" s="117"/>
      <c r="C313" s="117"/>
      <c r="D313" s="117"/>
      <c r="E313" s="117"/>
      <c r="F313" s="117"/>
      <c r="G313" s="117"/>
      <c r="H313" s="117"/>
      <c r="I313" s="117"/>
      <c r="J313" s="117"/>
    </row>
    <row r="314">
      <c r="A314" s="117"/>
      <c r="B314" s="117"/>
      <c r="C314" s="117"/>
      <c r="D314" s="117"/>
      <c r="E314" s="117"/>
      <c r="F314" s="117"/>
      <c r="G314" s="117"/>
      <c r="H314" s="117"/>
      <c r="I314" s="117"/>
      <c r="J314" s="117"/>
    </row>
    <row r="315">
      <c r="A315" s="117"/>
      <c r="B315" s="117"/>
      <c r="C315" s="117"/>
      <c r="D315" s="117"/>
      <c r="E315" s="117"/>
      <c r="F315" s="117"/>
      <c r="G315" s="117"/>
      <c r="H315" s="117"/>
      <c r="I315" s="117"/>
      <c r="J315" s="117"/>
    </row>
    <row r="316">
      <c r="A316" s="117"/>
      <c r="B316" s="117"/>
      <c r="C316" s="117"/>
      <c r="D316" s="117"/>
      <c r="E316" s="117"/>
      <c r="F316" s="117"/>
      <c r="G316" s="117"/>
      <c r="H316" s="117"/>
      <c r="I316" s="117"/>
      <c r="J316" s="117"/>
    </row>
    <row r="317">
      <c r="A317" s="117"/>
      <c r="B317" s="117"/>
      <c r="C317" s="117"/>
      <c r="D317" s="117"/>
      <c r="E317" s="117"/>
      <c r="F317" s="117"/>
      <c r="G317" s="117"/>
      <c r="H317" s="117"/>
      <c r="I317" s="117"/>
      <c r="J317" s="117"/>
    </row>
    <row r="318">
      <c r="A318" s="117"/>
      <c r="B318" s="117"/>
      <c r="C318" s="117"/>
      <c r="D318" s="117"/>
      <c r="E318" s="117"/>
      <c r="F318" s="117"/>
      <c r="G318" s="117"/>
      <c r="H318" s="117"/>
      <c r="I318" s="117"/>
      <c r="J318" s="117"/>
    </row>
    <row r="319">
      <c r="A319" s="117"/>
      <c r="B319" s="117"/>
      <c r="C319" s="117"/>
      <c r="D319" s="117"/>
      <c r="E319" s="117"/>
      <c r="F319" s="117"/>
      <c r="G319" s="117"/>
      <c r="H319" s="117"/>
      <c r="I319" s="117"/>
      <c r="J319" s="117"/>
    </row>
    <row r="320">
      <c r="A320" s="117"/>
      <c r="B320" s="117"/>
      <c r="C320" s="117"/>
      <c r="D320" s="117"/>
      <c r="E320" s="117"/>
      <c r="F320" s="117"/>
      <c r="G320" s="117"/>
      <c r="H320" s="117"/>
      <c r="I320" s="117"/>
      <c r="J320" s="117"/>
    </row>
    <row r="321">
      <c r="A321" s="117"/>
      <c r="B321" s="117"/>
      <c r="C321" s="117"/>
      <c r="D321" s="117"/>
      <c r="E321" s="117"/>
      <c r="F321" s="117"/>
      <c r="G321" s="117"/>
      <c r="H321" s="117"/>
      <c r="I321" s="117"/>
      <c r="J321" s="117"/>
    </row>
    <row r="322">
      <c r="A322" s="117"/>
      <c r="B322" s="117"/>
      <c r="C322" s="117"/>
      <c r="D322" s="117"/>
      <c r="E322" s="117"/>
      <c r="F322" s="117"/>
      <c r="G322" s="117"/>
      <c r="H322" s="117"/>
      <c r="I322" s="117"/>
      <c r="J322" s="117"/>
    </row>
    <row r="323">
      <c r="A323" s="117"/>
      <c r="B323" s="117"/>
      <c r="C323" s="117"/>
      <c r="D323" s="117"/>
      <c r="E323" s="117"/>
      <c r="F323" s="117"/>
      <c r="G323" s="117"/>
      <c r="H323" s="117"/>
      <c r="I323" s="117"/>
      <c r="J323" s="117"/>
    </row>
    <row r="324">
      <c r="A324" s="117"/>
      <c r="B324" s="117"/>
      <c r="C324" s="117"/>
      <c r="D324" s="117"/>
      <c r="E324" s="117"/>
      <c r="F324" s="117"/>
      <c r="G324" s="117"/>
      <c r="H324" s="117"/>
      <c r="I324" s="117"/>
      <c r="J324" s="117"/>
    </row>
    <row r="325">
      <c r="A325" s="117"/>
      <c r="B325" s="117"/>
      <c r="C325" s="117"/>
      <c r="D325" s="117"/>
      <c r="E325" s="117"/>
      <c r="F325" s="117"/>
      <c r="G325" s="117"/>
      <c r="H325" s="117"/>
      <c r="I325" s="117"/>
      <c r="J325" s="117"/>
    </row>
    <row r="326">
      <c r="A326" s="117"/>
      <c r="B326" s="117"/>
      <c r="C326" s="117"/>
      <c r="D326" s="117"/>
      <c r="E326" s="117"/>
      <c r="F326" s="117"/>
      <c r="G326" s="117"/>
      <c r="H326" s="117"/>
      <c r="I326" s="117"/>
      <c r="J326" s="117"/>
    </row>
    <row r="327">
      <c r="A327" s="117"/>
      <c r="B327" s="117"/>
      <c r="C327" s="117"/>
      <c r="D327" s="117"/>
      <c r="E327" s="117"/>
      <c r="F327" s="117"/>
      <c r="G327" s="117"/>
      <c r="H327" s="117"/>
      <c r="I327" s="117"/>
      <c r="J327" s="117"/>
    </row>
    <row r="328">
      <c r="A328" s="117"/>
      <c r="B328" s="117"/>
      <c r="C328" s="117"/>
      <c r="D328" s="117"/>
      <c r="E328" s="117"/>
      <c r="F328" s="117"/>
      <c r="G328" s="117"/>
      <c r="H328" s="117"/>
      <c r="I328" s="117"/>
      <c r="J328" s="117"/>
    </row>
    <row r="329">
      <c r="A329" s="117"/>
      <c r="B329" s="117"/>
      <c r="C329" s="117"/>
      <c r="D329" s="117"/>
      <c r="E329" s="117"/>
      <c r="F329" s="117"/>
      <c r="G329" s="117"/>
      <c r="H329" s="117"/>
      <c r="I329" s="117"/>
      <c r="J329" s="117"/>
    </row>
    <row r="330">
      <c r="A330" s="117"/>
      <c r="B330" s="117"/>
      <c r="C330" s="117"/>
      <c r="D330" s="117"/>
      <c r="E330" s="117"/>
      <c r="F330" s="117"/>
      <c r="G330" s="117"/>
      <c r="H330" s="117"/>
      <c r="I330" s="117"/>
      <c r="J330" s="117"/>
    </row>
    <row r="331">
      <c r="A331" s="117"/>
      <c r="B331" s="117"/>
      <c r="C331" s="117"/>
      <c r="D331" s="117"/>
      <c r="E331" s="117"/>
      <c r="F331" s="117"/>
      <c r="G331" s="117"/>
      <c r="H331" s="117"/>
      <c r="I331" s="117"/>
      <c r="J331" s="117"/>
    </row>
    <row r="332">
      <c r="A332" s="117"/>
      <c r="B332" s="117"/>
      <c r="C332" s="117"/>
      <c r="D332" s="117"/>
      <c r="E332" s="117"/>
      <c r="F332" s="117"/>
      <c r="G332" s="117"/>
      <c r="H332" s="117"/>
      <c r="I332" s="117"/>
      <c r="J332" s="117"/>
    </row>
    <row r="333">
      <c r="A333" s="117"/>
      <c r="B333" s="117"/>
      <c r="C333" s="117"/>
      <c r="D333" s="117"/>
      <c r="E333" s="117"/>
      <c r="F333" s="117"/>
      <c r="G333" s="117"/>
      <c r="H333" s="117"/>
      <c r="I333" s="117"/>
      <c r="J333" s="117"/>
    </row>
    <row r="334">
      <c r="A334" s="117"/>
      <c r="B334" s="117"/>
      <c r="C334" s="117"/>
      <c r="D334" s="117"/>
      <c r="E334" s="117"/>
      <c r="F334" s="117"/>
      <c r="G334" s="117"/>
      <c r="H334" s="117"/>
      <c r="I334" s="117"/>
      <c r="J334" s="117"/>
    </row>
    <row r="335">
      <c r="A335" s="117"/>
      <c r="B335" s="117"/>
      <c r="C335" s="117"/>
      <c r="D335" s="117"/>
      <c r="E335" s="117"/>
      <c r="F335" s="117"/>
      <c r="G335" s="117"/>
      <c r="H335" s="117"/>
      <c r="I335" s="117"/>
      <c r="J335" s="117"/>
    </row>
    <row r="336">
      <c r="A336" s="117"/>
      <c r="B336" s="117"/>
      <c r="C336" s="117"/>
      <c r="D336" s="117"/>
      <c r="E336" s="117"/>
      <c r="F336" s="117"/>
      <c r="G336" s="117"/>
      <c r="H336" s="117"/>
      <c r="I336" s="117"/>
      <c r="J336" s="117"/>
    </row>
    <row r="337">
      <c r="A337" s="117"/>
      <c r="B337" s="117"/>
      <c r="C337" s="117"/>
      <c r="D337" s="117"/>
      <c r="E337" s="117"/>
      <c r="F337" s="117"/>
      <c r="G337" s="117"/>
      <c r="H337" s="117"/>
      <c r="I337" s="117"/>
      <c r="J337" s="117"/>
    </row>
    <row r="338">
      <c r="A338" s="117"/>
      <c r="B338" s="117"/>
      <c r="C338" s="117"/>
      <c r="D338" s="117"/>
      <c r="E338" s="117"/>
      <c r="F338" s="117"/>
      <c r="G338" s="117"/>
      <c r="H338" s="117"/>
      <c r="I338" s="117"/>
      <c r="J338" s="117"/>
    </row>
    <row r="339">
      <c r="A339" s="117"/>
      <c r="B339" s="117"/>
      <c r="C339" s="117"/>
      <c r="D339" s="117"/>
      <c r="E339" s="117"/>
      <c r="F339" s="117"/>
      <c r="G339" s="117"/>
      <c r="H339" s="117"/>
      <c r="I339" s="117"/>
      <c r="J339" s="117"/>
    </row>
    <row r="340">
      <c r="A340" s="117"/>
      <c r="B340" s="117"/>
      <c r="C340" s="117"/>
      <c r="D340" s="117"/>
      <c r="E340" s="117"/>
      <c r="F340" s="117"/>
      <c r="G340" s="117"/>
      <c r="H340" s="117"/>
      <c r="I340" s="117"/>
      <c r="J340" s="117"/>
    </row>
    <row r="341">
      <c r="A341" s="117"/>
      <c r="B341" s="117"/>
      <c r="C341" s="117"/>
      <c r="D341" s="117"/>
      <c r="E341" s="117"/>
      <c r="F341" s="117"/>
      <c r="G341" s="117"/>
      <c r="H341" s="117"/>
      <c r="I341" s="117"/>
      <c r="J341" s="117"/>
    </row>
    <row r="342">
      <c r="A342" s="117"/>
      <c r="B342" s="117"/>
      <c r="C342" s="117"/>
      <c r="D342" s="117"/>
      <c r="E342" s="117"/>
      <c r="F342" s="117"/>
      <c r="G342" s="117"/>
      <c r="H342" s="117"/>
      <c r="I342" s="117"/>
      <c r="J342" s="117"/>
    </row>
    <row r="343">
      <c r="A343" s="117"/>
      <c r="B343" s="117"/>
      <c r="C343" s="117"/>
      <c r="D343" s="117"/>
      <c r="E343" s="117"/>
      <c r="F343" s="117"/>
      <c r="G343" s="117"/>
      <c r="H343" s="117"/>
      <c r="I343" s="117"/>
      <c r="J343" s="117"/>
    </row>
    <row r="344">
      <c r="A344" s="117"/>
      <c r="B344" s="117"/>
      <c r="C344" s="117"/>
      <c r="D344" s="117"/>
      <c r="E344" s="117"/>
      <c r="F344" s="117"/>
      <c r="G344" s="117"/>
      <c r="H344" s="117"/>
      <c r="I344" s="117"/>
      <c r="J344" s="117"/>
    </row>
    <row r="345">
      <c r="A345" s="117"/>
      <c r="B345" s="117"/>
      <c r="C345" s="117"/>
      <c r="D345" s="117"/>
      <c r="E345" s="117"/>
      <c r="F345" s="117"/>
      <c r="G345" s="117"/>
      <c r="H345" s="117"/>
      <c r="I345" s="117"/>
      <c r="J345" s="117"/>
    </row>
    <row r="346">
      <c r="A346" s="117"/>
      <c r="B346" s="117"/>
      <c r="C346" s="117"/>
      <c r="D346" s="117"/>
      <c r="E346" s="117"/>
      <c r="F346" s="117"/>
      <c r="G346" s="117"/>
      <c r="H346" s="117"/>
      <c r="I346" s="117"/>
      <c r="J346" s="117"/>
    </row>
    <row r="347">
      <c r="A347" s="117"/>
      <c r="B347" s="117"/>
      <c r="C347" s="117"/>
      <c r="D347" s="117"/>
      <c r="E347" s="117"/>
      <c r="F347" s="117"/>
      <c r="G347" s="117"/>
      <c r="H347" s="117"/>
      <c r="I347" s="117"/>
      <c r="J347" s="117"/>
    </row>
    <row r="348">
      <c r="A348" s="117"/>
      <c r="B348" s="117"/>
      <c r="C348" s="117"/>
      <c r="D348" s="117"/>
      <c r="E348" s="117"/>
      <c r="F348" s="117"/>
      <c r="G348" s="117"/>
      <c r="H348" s="117"/>
      <c r="I348" s="117"/>
      <c r="J348" s="117"/>
    </row>
    <row r="349">
      <c r="A349" s="117"/>
      <c r="B349" s="117"/>
      <c r="C349" s="117"/>
      <c r="D349" s="117"/>
      <c r="E349" s="117"/>
      <c r="F349" s="117"/>
      <c r="G349" s="117"/>
      <c r="H349" s="117"/>
      <c r="I349" s="117"/>
      <c r="J349" s="117"/>
    </row>
    <row r="350">
      <c r="A350" s="117"/>
      <c r="B350" s="117"/>
      <c r="C350" s="117"/>
      <c r="D350" s="117"/>
      <c r="E350" s="117"/>
      <c r="F350" s="117"/>
      <c r="G350" s="117"/>
      <c r="H350" s="117"/>
      <c r="I350" s="117"/>
      <c r="J350" s="117"/>
    </row>
    <row r="351">
      <c r="A351" s="117"/>
      <c r="B351" s="117"/>
      <c r="C351" s="117"/>
      <c r="D351" s="117"/>
      <c r="E351" s="117"/>
      <c r="F351" s="117"/>
      <c r="G351" s="117"/>
      <c r="H351" s="117"/>
      <c r="I351" s="117"/>
      <c r="J351" s="117"/>
    </row>
    <row r="352">
      <c r="A352" s="117"/>
      <c r="B352" s="117"/>
      <c r="C352" s="117"/>
      <c r="D352" s="117"/>
      <c r="E352" s="117"/>
      <c r="F352" s="117"/>
      <c r="G352" s="117"/>
      <c r="H352" s="117"/>
      <c r="I352" s="117"/>
      <c r="J352" s="117"/>
    </row>
    <row r="353">
      <c r="A353" s="117"/>
      <c r="B353" s="117"/>
      <c r="C353" s="117"/>
      <c r="D353" s="117"/>
      <c r="E353" s="117"/>
      <c r="F353" s="117"/>
      <c r="G353" s="117"/>
      <c r="H353" s="117"/>
      <c r="I353" s="117"/>
      <c r="J353" s="117"/>
    </row>
    <row r="354">
      <c r="A354" s="117"/>
      <c r="B354" s="117"/>
      <c r="C354" s="117"/>
      <c r="D354" s="117"/>
      <c r="E354" s="117"/>
      <c r="F354" s="117"/>
      <c r="G354" s="117"/>
      <c r="H354" s="117"/>
      <c r="I354" s="117"/>
      <c r="J354" s="117"/>
    </row>
    <row r="355">
      <c r="A355" s="117"/>
      <c r="B355" s="117"/>
      <c r="C355" s="117"/>
      <c r="D355" s="117"/>
      <c r="E355" s="117"/>
      <c r="F355" s="117"/>
      <c r="G355" s="117"/>
      <c r="H355" s="117"/>
      <c r="I355" s="117"/>
      <c r="J355" s="117"/>
    </row>
    <row r="356">
      <c r="A356" s="117"/>
      <c r="B356" s="117"/>
      <c r="C356" s="117"/>
      <c r="D356" s="117"/>
      <c r="E356" s="117"/>
      <c r="F356" s="117"/>
      <c r="G356" s="117"/>
      <c r="H356" s="117"/>
      <c r="I356" s="117"/>
      <c r="J356" s="117"/>
    </row>
    <row r="357">
      <c r="A357" s="117"/>
      <c r="B357" s="117"/>
      <c r="C357" s="117"/>
      <c r="D357" s="117"/>
      <c r="E357" s="117"/>
      <c r="F357" s="117"/>
      <c r="G357" s="117"/>
      <c r="H357" s="117"/>
      <c r="I357" s="117"/>
      <c r="J357" s="117"/>
    </row>
    <row r="358">
      <c r="A358" s="117"/>
      <c r="B358" s="117"/>
      <c r="C358" s="117"/>
      <c r="D358" s="117"/>
      <c r="E358" s="117"/>
      <c r="F358" s="117"/>
      <c r="G358" s="117"/>
      <c r="H358" s="117"/>
      <c r="I358" s="117"/>
      <c r="J358" s="117"/>
    </row>
    <row r="359">
      <c r="A359" s="117"/>
      <c r="B359" s="117"/>
      <c r="C359" s="117"/>
      <c r="D359" s="117"/>
      <c r="E359" s="117"/>
      <c r="F359" s="117"/>
      <c r="G359" s="117"/>
      <c r="H359" s="117"/>
      <c r="I359" s="117"/>
      <c r="J359" s="117"/>
    </row>
    <row r="360">
      <c r="A360" s="117"/>
      <c r="B360" s="117"/>
      <c r="C360" s="117"/>
      <c r="D360" s="117"/>
      <c r="E360" s="117"/>
      <c r="F360" s="117"/>
      <c r="G360" s="117"/>
      <c r="H360" s="117"/>
      <c r="I360" s="117"/>
      <c r="J360" s="117"/>
    </row>
    <row r="361">
      <c r="A361" s="117"/>
      <c r="B361" s="117"/>
      <c r="C361" s="117"/>
      <c r="D361" s="117"/>
      <c r="E361" s="117"/>
      <c r="F361" s="117"/>
      <c r="G361" s="117"/>
      <c r="H361" s="117"/>
      <c r="I361" s="117"/>
      <c r="J361" s="117"/>
    </row>
    <row r="362">
      <c r="A362" s="117"/>
      <c r="B362" s="117"/>
      <c r="C362" s="117"/>
      <c r="D362" s="117"/>
      <c r="E362" s="117"/>
      <c r="F362" s="117"/>
      <c r="G362" s="117"/>
      <c r="H362" s="117"/>
      <c r="I362" s="117"/>
      <c r="J362" s="117"/>
    </row>
    <row r="363">
      <c r="A363" s="117"/>
      <c r="B363" s="117"/>
      <c r="C363" s="117"/>
      <c r="D363" s="117"/>
      <c r="E363" s="117"/>
      <c r="F363" s="117"/>
      <c r="G363" s="117"/>
      <c r="H363" s="117"/>
      <c r="I363" s="117"/>
      <c r="J363" s="117"/>
    </row>
    <row r="364">
      <c r="A364" s="117"/>
      <c r="B364" s="117"/>
      <c r="C364" s="117"/>
      <c r="D364" s="117"/>
      <c r="E364" s="117"/>
      <c r="F364" s="117"/>
      <c r="G364" s="117"/>
      <c r="H364" s="117"/>
      <c r="I364" s="117"/>
      <c r="J364" s="117"/>
    </row>
    <row r="365">
      <c r="A365" s="117"/>
      <c r="B365" s="117"/>
      <c r="C365" s="117"/>
      <c r="D365" s="117"/>
      <c r="E365" s="117"/>
      <c r="F365" s="117"/>
      <c r="G365" s="117"/>
      <c r="H365" s="117"/>
      <c r="I365" s="117"/>
      <c r="J365" s="117"/>
    </row>
    <row r="366">
      <c r="A366" s="117"/>
      <c r="B366" s="117"/>
      <c r="C366" s="117"/>
      <c r="D366" s="117"/>
      <c r="E366" s="117"/>
      <c r="F366" s="117"/>
      <c r="G366" s="117"/>
      <c r="H366" s="117"/>
      <c r="I366" s="117"/>
      <c r="J366" s="117"/>
    </row>
    <row r="367">
      <c r="A367" s="117"/>
      <c r="B367" s="117"/>
      <c r="C367" s="117"/>
      <c r="D367" s="117"/>
      <c r="E367" s="117"/>
      <c r="F367" s="117"/>
      <c r="G367" s="117"/>
      <c r="H367" s="117"/>
      <c r="I367" s="117"/>
      <c r="J367" s="117"/>
    </row>
    <row r="368">
      <c r="A368" s="117"/>
      <c r="B368" s="117"/>
      <c r="C368" s="117"/>
      <c r="D368" s="117"/>
      <c r="E368" s="117"/>
      <c r="F368" s="117"/>
      <c r="G368" s="117"/>
      <c r="H368" s="117"/>
      <c r="I368" s="117"/>
      <c r="J368" s="117"/>
    </row>
    <row r="369">
      <c r="A369" s="117"/>
      <c r="B369" s="117"/>
      <c r="C369" s="117"/>
      <c r="D369" s="117"/>
      <c r="E369" s="117"/>
      <c r="F369" s="117"/>
      <c r="G369" s="117"/>
      <c r="H369" s="117"/>
      <c r="I369" s="117"/>
      <c r="J369" s="117"/>
    </row>
    <row r="370">
      <c r="A370" s="117"/>
      <c r="B370" s="117"/>
      <c r="C370" s="117"/>
      <c r="D370" s="117"/>
      <c r="E370" s="117"/>
      <c r="F370" s="117"/>
      <c r="G370" s="117"/>
      <c r="H370" s="117"/>
      <c r="I370" s="117"/>
      <c r="J370" s="117"/>
    </row>
    <row r="371">
      <c r="A371" s="117"/>
      <c r="B371" s="117"/>
      <c r="C371" s="117"/>
      <c r="D371" s="117"/>
      <c r="E371" s="117"/>
      <c r="F371" s="117"/>
      <c r="G371" s="117"/>
      <c r="H371" s="117"/>
      <c r="I371" s="117"/>
      <c r="J371" s="117"/>
    </row>
    <row r="372">
      <c r="A372" s="117"/>
      <c r="B372" s="117"/>
      <c r="C372" s="117"/>
      <c r="D372" s="117"/>
      <c r="E372" s="117"/>
      <c r="F372" s="117"/>
      <c r="G372" s="117"/>
      <c r="H372" s="117"/>
      <c r="I372" s="117"/>
      <c r="J372" s="117"/>
    </row>
    <row r="373">
      <c r="A373" s="117"/>
      <c r="B373" s="117"/>
      <c r="C373" s="117"/>
      <c r="D373" s="117"/>
      <c r="E373" s="117"/>
      <c r="F373" s="117"/>
      <c r="G373" s="117"/>
      <c r="H373" s="117"/>
      <c r="I373" s="117"/>
      <c r="J373" s="117"/>
    </row>
    <row r="374">
      <c r="A374" s="117"/>
      <c r="B374" s="117"/>
      <c r="C374" s="117"/>
      <c r="D374" s="117"/>
      <c r="E374" s="117"/>
      <c r="F374" s="117"/>
      <c r="G374" s="117"/>
      <c r="H374" s="117"/>
      <c r="I374" s="117"/>
      <c r="J374" s="117"/>
    </row>
    <row r="375">
      <c r="A375" s="117"/>
      <c r="B375" s="117"/>
      <c r="C375" s="117"/>
      <c r="D375" s="117"/>
      <c r="E375" s="117"/>
      <c r="F375" s="117"/>
      <c r="G375" s="117"/>
      <c r="H375" s="117"/>
      <c r="I375" s="117"/>
      <c r="J375" s="117"/>
    </row>
    <row r="376">
      <c r="A376" s="117"/>
      <c r="B376" s="117"/>
      <c r="C376" s="117"/>
      <c r="D376" s="117"/>
      <c r="E376" s="117"/>
      <c r="F376" s="117"/>
      <c r="G376" s="117"/>
      <c r="H376" s="117"/>
      <c r="I376" s="117"/>
      <c r="J376" s="117"/>
    </row>
    <row r="377">
      <c r="A377" s="117"/>
      <c r="B377" s="117"/>
      <c r="C377" s="117"/>
      <c r="D377" s="117"/>
      <c r="E377" s="117"/>
      <c r="F377" s="117"/>
      <c r="G377" s="117"/>
      <c r="H377" s="117"/>
      <c r="I377" s="117"/>
      <c r="J377" s="117"/>
    </row>
    <row r="378">
      <c r="A378" s="117"/>
      <c r="B378" s="117"/>
      <c r="C378" s="117"/>
      <c r="D378" s="117"/>
      <c r="E378" s="117"/>
      <c r="F378" s="117"/>
      <c r="G378" s="117"/>
      <c r="H378" s="117"/>
      <c r="I378" s="117"/>
      <c r="J378" s="117"/>
    </row>
    <row r="379">
      <c r="A379" s="117"/>
      <c r="B379" s="117"/>
      <c r="C379" s="117"/>
      <c r="D379" s="117"/>
      <c r="E379" s="117"/>
      <c r="F379" s="117"/>
      <c r="G379" s="117"/>
      <c r="H379" s="117"/>
      <c r="I379" s="117"/>
      <c r="J379" s="117"/>
    </row>
    <row r="380">
      <c r="A380" s="117"/>
      <c r="B380" s="117"/>
      <c r="C380" s="117"/>
      <c r="D380" s="117"/>
      <c r="E380" s="117"/>
      <c r="F380" s="117"/>
      <c r="G380" s="117"/>
      <c r="H380" s="117"/>
      <c r="I380" s="117"/>
      <c r="J380" s="117"/>
    </row>
    <row r="381">
      <c r="A381" s="117"/>
      <c r="B381" s="117"/>
      <c r="C381" s="117"/>
      <c r="D381" s="117"/>
      <c r="E381" s="117"/>
      <c r="F381" s="117"/>
      <c r="G381" s="117"/>
      <c r="H381" s="117"/>
      <c r="I381" s="117"/>
      <c r="J381" s="117"/>
    </row>
    <row r="382">
      <c r="A382" s="117"/>
      <c r="B382" s="117"/>
      <c r="C382" s="117"/>
      <c r="D382" s="117"/>
      <c r="E382" s="117"/>
      <c r="F382" s="117"/>
      <c r="G382" s="117"/>
      <c r="H382" s="117"/>
      <c r="I382" s="117"/>
      <c r="J382" s="117"/>
    </row>
    <row r="383">
      <c r="A383" s="117"/>
      <c r="B383" s="117"/>
      <c r="C383" s="117"/>
      <c r="D383" s="117"/>
      <c r="E383" s="117"/>
      <c r="F383" s="117"/>
      <c r="G383" s="117"/>
      <c r="H383" s="117"/>
      <c r="I383" s="117"/>
      <c r="J383" s="117"/>
    </row>
    <row r="384">
      <c r="A384" s="117"/>
      <c r="B384" s="117"/>
      <c r="C384" s="117"/>
      <c r="D384" s="117"/>
      <c r="E384" s="117"/>
      <c r="F384" s="117"/>
      <c r="G384" s="117"/>
      <c r="H384" s="117"/>
      <c r="I384" s="117"/>
      <c r="J384" s="117"/>
    </row>
    <row r="385">
      <c r="A385" s="117"/>
      <c r="B385" s="117"/>
      <c r="C385" s="117"/>
      <c r="D385" s="117"/>
      <c r="E385" s="117"/>
      <c r="F385" s="117"/>
      <c r="G385" s="117"/>
      <c r="H385" s="117"/>
      <c r="I385" s="117"/>
      <c r="J385" s="117"/>
    </row>
    <row r="386">
      <c r="A386" s="117"/>
      <c r="B386" s="117"/>
      <c r="C386" s="117"/>
      <c r="D386" s="117"/>
      <c r="E386" s="117"/>
      <c r="F386" s="117"/>
      <c r="G386" s="117"/>
      <c r="H386" s="117"/>
      <c r="I386" s="117"/>
      <c r="J386" s="117"/>
    </row>
    <row r="387">
      <c r="A387" s="117"/>
      <c r="B387" s="117"/>
      <c r="C387" s="117"/>
      <c r="D387" s="117"/>
      <c r="E387" s="117"/>
      <c r="F387" s="117"/>
      <c r="G387" s="117"/>
      <c r="H387" s="117"/>
      <c r="I387" s="117"/>
      <c r="J387" s="117"/>
    </row>
    <row r="388">
      <c r="A388" s="117"/>
      <c r="B388" s="117"/>
      <c r="C388" s="117"/>
      <c r="D388" s="117"/>
      <c r="E388" s="117"/>
      <c r="F388" s="117"/>
      <c r="G388" s="117"/>
      <c r="H388" s="117"/>
      <c r="I388" s="117"/>
      <c r="J388" s="117"/>
    </row>
    <row r="389">
      <c r="A389" s="117"/>
      <c r="B389" s="117"/>
      <c r="C389" s="117"/>
      <c r="D389" s="117"/>
      <c r="E389" s="117"/>
      <c r="F389" s="117"/>
      <c r="G389" s="117"/>
      <c r="H389" s="117"/>
      <c r="I389" s="117"/>
      <c r="J389" s="117"/>
    </row>
    <row r="390">
      <c r="A390" s="117"/>
      <c r="B390" s="117"/>
      <c r="C390" s="117"/>
      <c r="D390" s="117"/>
      <c r="E390" s="117"/>
      <c r="F390" s="117"/>
      <c r="G390" s="117"/>
      <c r="H390" s="117"/>
      <c r="I390" s="117"/>
      <c r="J390" s="117"/>
    </row>
    <row r="391">
      <c r="A391" s="117"/>
      <c r="B391" s="117"/>
      <c r="C391" s="117"/>
      <c r="D391" s="117"/>
      <c r="E391" s="117"/>
      <c r="F391" s="117"/>
      <c r="G391" s="117"/>
      <c r="H391" s="117"/>
      <c r="I391" s="117"/>
      <c r="J391" s="117"/>
    </row>
    <row r="392">
      <c r="A392" s="117"/>
      <c r="B392" s="117"/>
      <c r="C392" s="117"/>
      <c r="D392" s="117"/>
      <c r="E392" s="117"/>
      <c r="F392" s="117"/>
      <c r="G392" s="117"/>
      <c r="H392" s="117"/>
      <c r="I392" s="117"/>
      <c r="J392" s="117"/>
    </row>
    <row r="393">
      <c r="A393" s="117"/>
      <c r="B393" s="117"/>
      <c r="C393" s="117"/>
      <c r="D393" s="117"/>
      <c r="E393" s="117"/>
      <c r="F393" s="117"/>
      <c r="G393" s="117"/>
      <c r="H393" s="117"/>
      <c r="I393" s="117"/>
      <c r="J393" s="117"/>
    </row>
    <row r="394">
      <c r="A394" s="117"/>
      <c r="B394" s="117"/>
      <c r="C394" s="117"/>
      <c r="D394" s="117"/>
      <c r="E394" s="117"/>
      <c r="F394" s="117"/>
      <c r="G394" s="117"/>
      <c r="H394" s="117"/>
      <c r="I394" s="117"/>
      <c r="J394" s="117"/>
    </row>
    <row r="395">
      <c r="A395" s="117"/>
      <c r="B395" s="117"/>
      <c r="C395" s="117"/>
      <c r="D395" s="117"/>
      <c r="E395" s="117"/>
      <c r="F395" s="117"/>
      <c r="G395" s="117"/>
      <c r="H395" s="117"/>
      <c r="I395" s="117"/>
      <c r="J395" s="117"/>
    </row>
    <row r="396">
      <c r="A396" s="117"/>
      <c r="B396" s="117"/>
      <c r="C396" s="117"/>
      <c r="D396" s="117"/>
      <c r="E396" s="117"/>
      <c r="F396" s="117"/>
      <c r="G396" s="117"/>
      <c r="H396" s="117"/>
      <c r="I396" s="117"/>
      <c r="J396" s="117"/>
    </row>
    <row r="397">
      <c r="A397" s="117"/>
      <c r="B397" s="117"/>
      <c r="C397" s="117"/>
      <c r="D397" s="117"/>
      <c r="E397" s="117"/>
      <c r="F397" s="117"/>
      <c r="G397" s="117"/>
      <c r="H397" s="117"/>
      <c r="I397" s="117"/>
      <c r="J397" s="117"/>
    </row>
    <row r="398">
      <c r="A398" s="117"/>
      <c r="B398" s="117"/>
      <c r="C398" s="117"/>
      <c r="D398" s="117"/>
      <c r="E398" s="117"/>
      <c r="F398" s="117"/>
      <c r="G398" s="117"/>
      <c r="H398" s="117"/>
      <c r="I398" s="117"/>
      <c r="J398" s="117"/>
    </row>
    <row r="399">
      <c r="A399" s="117"/>
      <c r="B399" s="117"/>
      <c r="C399" s="117"/>
      <c r="D399" s="117"/>
      <c r="E399" s="117"/>
      <c r="F399" s="117"/>
      <c r="G399" s="117"/>
      <c r="H399" s="117"/>
      <c r="I399" s="117"/>
      <c r="J399" s="117"/>
    </row>
    <row r="400">
      <c r="A400" s="117"/>
      <c r="B400" s="117"/>
      <c r="C400" s="117"/>
      <c r="D400" s="117"/>
      <c r="E400" s="117"/>
      <c r="F400" s="117"/>
      <c r="G400" s="117"/>
      <c r="H400" s="117"/>
      <c r="I400" s="117"/>
      <c r="J400" s="117"/>
    </row>
    <row r="401">
      <c r="A401" s="117"/>
      <c r="B401" s="117"/>
      <c r="C401" s="117"/>
      <c r="D401" s="117"/>
      <c r="E401" s="117"/>
      <c r="F401" s="117"/>
      <c r="G401" s="117"/>
      <c r="H401" s="117"/>
      <c r="I401" s="117"/>
      <c r="J401" s="117"/>
    </row>
    <row r="402">
      <c r="A402" s="117"/>
      <c r="B402" s="117"/>
      <c r="C402" s="117"/>
      <c r="D402" s="117"/>
      <c r="E402" s="117"/>
      <c r="F402" s="117"/>
      <c r="G402" s="117"/>
      <c r="H402" s="117"/>
      <c r="I402" s="117"/>
      <c r="J402" s="117"/>
    </row>
    <row r="403">
      <c r="A403" s="117"/>
      <c r="B403" s="117"/>
      <c r="C403" s="117"/>
      <c r="D403" s="117"/>
      <c r="E403" s="117"/>
      <c r="F403" s="117"/>
      <c r="G403" s="117"/>
      <c r="H403" s="117"/>
      <c r="I403" s="117"/>
      <c r="J403" s="117"/>
    </row>
    <row r="404">
      <c r="A404" s="117"/>
      <c r="B404" s="117"/>
      <c r="C404" s="117"/>
      <c r="D404" s="117"/>
      <c r="E404" s="117"/>
      <c r="F404" s="117"/>
      <c r="G404" s="117"/>
      <c r="H404" s="117"/>
      <c r="I404" s="117"/>
      <c r="J404" s="117"/>
    </row>
    <row r="405">
      <c r="A405" s="117"/>
      <c r="B405" s="117"/>
      <c r="C405" s="117"/>
      <c r="D405" s="117"/>
      <c r="E405" s="117"/>
      <c r="F405" s="117"/>
      <c r="G405" s="117"/>
      <c r="H405" s="117"/>
      <c r="I405" s="117"/>
      <c r="J405" s="117"/>
    </row>
    <row r="406">
      <c r="A406" s="117"/>
      <c r="B406" s="117"/>
      <c r="C406" s="117"/>
      <c r="D406" s="117"/>
      <c r="E406" s="117"/>
      <c r="F406" s="117"/>
      <c r="G406" s="117"/>
      <c r="H406" s="117"/>
      <c r="I406" s="117"/>
      <c r="J406" s="117"/>
    </row>
    <row r="407">
      <c r="A407" s="117"/>
      <c r="B407" s="117"/>
      <c r="C407" s="117"/>
      <c r="D407" s="117"/>
      <c r="E407" s="117"/>
      <c r="F407" s="117"/>
      <c r="G407" s="117"/>
      <c r="H407" s="117"/>
      <c r="I407" s="117"/>
      <c r="J407" s="117"/>
    </row>
    <row r="408">
      <c r="A408" s="117"/>
      <c r="B408" s="117"/>
      <c r="C408" s="117"/>
      <c r="D408" s="117"/>
      <c r="E408" s="117"/>
      <c r="F408" s="117"/>
      <c r="G408" s="117"/>
      <c r="H408" s="117"/>
      <c r="I408" s="117"/>
      <c r="J408" s="117"/>
    </row>
    <row r="409">
      <c r="A409" s="117"/>
      <c r="B409" s="117"/>
      <c r="C409" s="117"/>
      <c r="D409" s="117"/>
      <c r="E409" s="117"/>
      <c r="F409" s="117"/>
      <c r="G409" s="117"/>
      <c r="H409" s="117"/>
      <c r="I409" s="117"/>
      <c r="J409" s="117"/>
    </row>
    <row r="410">
      <c r="A410" s="117"/>
      <c r="B410" s="117"/>
      <c r="C410" s="117"/>
      <c r="D410" s="117"/>
      <c r="E410" s="117"/>
      <c r="F410" s="117"/>
      <c r="G410" s="117"/>
      <c r="H410" s="117"/>
      <c r="I410" s="117"/>
      <c r="J410" s="117"/>
    </row>
    <row r="411">
      <c r="A411" s="117"/>
      <c r="B411" s="117"/>
      <c r="C411" s="117"/>
      <c r="D411" s="117"/>
      <c r="E411" s="117"/>
      <c r="F411" s="117"/>
      <c r="G411" s="117"/>
      <c r="H411" s="117"/>
      <c r="I411" s="117"/>
      <c r="J411" s="117"/>
    </row>
    <row r="412">
      <c r="A412" s="117"/>
      <c r="B412" s="117"/>
      <c r="C412" s="117"/>
      <c r="D412" s="117"/>
      <c r="E412" s="117"/>
      <c r="F412" s="117"/>
      <c r="G412" s="117"/>
      <c r="H412" s="117"/>
      <c r="I412" s="117"/>
      <c r="J412" s="117"/>
    </row>
    <row r="413">
      <c r="A413" s="117"/>
      <c r="B413" s="117"/>
      <c r="C413" s="117"/>
      <c r="D413" s="117"/>
      <c r="E413" s="117"/>
      <c r="F413" s="117"/>
      <c r="G413" s="117"/>
      <c r="H413" s="117"/>
      <c r="I413" s="117"/>
      <c r="J413" s="117"/>
    </row>
    <row r="414">
      <c r="A414" s="117"/>
      <c r="B414" s="117"/>
      <c r="C414" s="117"/>
      <c r="D414" s="117"/>
      <c r="E414" s="117"/>
      <c r="F414" s="117"/>
      <c r="G414" s="117"/>
      <c r="H414" s="117"/>
      <c r="I414" s="117"/>
      <c r="J414" s="117"/>
    </row>
    <row r="415">
      <c r="A415" s="117"/>
      <c r="B415" s="117"/>
      <c r="C415" s="117"/>
      <c r="D415" s="117"/>
      <c r="E415" s="117"/>
      <c r="F415" s="117"/>
      <c r="G415" s="117"/>
      <c r="H415" s="117"/>
      <c r="I415" s="117"/>
      <c r="J415" s="117"/>
    </row>
    <row r="416">
      <c r="A416" s="117"/>
      <c r="B416" s="117"/>
      <c r="C416" s="117"/>
      <c r="D416" s="117"/>
      <c r="E416" s="117"/>
      <c r="F416" s="117"/>
      <c r="G416" s="117"/>
      <c r="H416" s="117"/>
      <c r="I416" s="117"/>
      <c r="J416" s="117"/>
    </row>
    <row r="417">
      <c r="A417" s="117"/>
      <c r="B417" s="117"/>
      <c r="C417" s="117"/>
      <c r="D417" s="117"/>
      <c r="E417" s="117"/>
      <c r="F417" s="117"/>
      <c r="G417" s="117"/>
      <c r="H417" s="117"/>
      <c r="I417" s="117"/>
      <c r="J417" s="117"/>
    </row>
    <row r="418">
      <c r="A418" s="117"/>
      <c r="B418" s="117"/>
      <c r="C418" s="117"/>
      <c r="D418" s="117"/>
      <c r="E418" s="117"/>
      <c r="F418" s="117"/>
      <c r="G418" s="117"/>
      <c r="H418" s="117"/>
      <c r="I418" s="117"/>
      <c r="J418" s="117"/>
    </row>
    <row r="419">
      <c r="A419" s="117"/>
      <c r="B419" s="117"/>
      <c r="C419" s="117"/>
      <c r="D419" s="117"/>
      <c r="E419" s="117"/>
      <c r="F419" s="117"/>
      <c r="G419" s="117"/>
      <c r="H419" s="117"/>
      <c r="I419" s="117"/>
      <c r="J419" s="117"/>
    </row>
    <row r="420">
      <c r="A420" s="117"/>
      <c r="B420" s="117"/>
      <c r="C420" s="117"/>
      <c r="D420" s="117"/>
      <c r="E420" s="117"/>
      <c r="F420" s="117"/>
      <c r="G420" s="117"/>
      <c r="H420" s="117"/>
      <c r="I420" s="117"/>
      <c r="J420" s="117"/>
    </row>
    <row r="421">
      <c r="A421" s="117"/>
      <c r="B421" s="117"/>
      <c r="C421" s="117"/>
      <c r="D421" s="117"/>
      <c r="E421" s="117"/>
      <c r="F421" s="117"/>
      <c r="G421" s="117"/>
      <c r="H421" s="117"/>
      <c r="I421" s="117"/>
      <c r="J421" s="117"/>
    </row>
    <row r="422">
      <c r="A422" s="117"/>
      <c r="B422" s="117"/>
      <c r="C422" s="117"/>
      <c r="D422" s="117"/>
      <c r="E422" s="117"/>
      <c r="F422" s="117"/>
      <c r="G422" s="117"/>
      <c r="H422" s="117"/>
      <c r="I422" s="117"/>
      <c r="J422" s="117"/>
    </row>
    <row r="423">
      <c r="A423" s="117"/>
      <c r="B423" s="117"/>
      <c r="C423" s="117"/>
      <c r="D423" s="117"/>
      <c r="E423" s="117"/>
      <c r="F423" s="117"/>
      <c r="G423" s="117"/>
      <c r="H423" s="117"/>
      <c r="I423" s="117"/>
      <c r="J423" s="117"/>
    </row>
    <row r="424">
      <c r="A424" s="117"/>
      <c r="B424" s="117"/>
      <c r="C424" s="117"/>
      <c r="D424" s="117"/>
      <c r="E424" s="117"/>
      <c r="F424" s="117"/>
      <c r="G424" s="117"/>
      <c r="H424" s="117"/>
      <c r="I424" s="117"/>
      <c r="J424" s="117"/>
    </row>
    <row r="425">
      <c r="A425" s="117"/>
      <c r="B425" s="117"/>
      <c r="C425" s="117"/>
      <c r="D425" s="117"/>
      <c r="E425" s="117"/>
      <c r="F425" s="117"/>
      <c r="G425" s="117"/>
      <c r="H425" s="117"/>
      <c r="I425" s="117"/>
      <c r="J425" s="117"/>
    </row>
    <row r="426">
      <c r="A426" s="117"/>
      <c r="B426" s="117"/>
      <c r="C426" s="117"/>
      <c r="D426" s="117"/>
      <c r="E426" s="117"/>
      <c r="F426" s="117"/>
      <c r="G426" s="117"/>
      <c r="H426" s="117"/>
      <c r="I426" s="117"/>
      <c r="J426" s="117"/>
    </row>
    <row r="427">
      <c r="A427" s="117"/>
      <c r="B427" s="117"/>
      <c r="C427" s="117"/>
      <c r="D427" s="117"/>
      <c r="E427" s="117"/>
      <c r="F427" s="117"/>
      <c r="G427" s="117"/>
      <c r="H427" s="117"/>
      <c r="I427" s="117"/>
      <c r="J427" s="117"/>
    </row>
    <row r="428">
      <c r="A428" s="117"/>
      <c r="B428" s="117"/>
      <c r="C428" s="117"/>
      <c r="D428" s="117"/>
      <c r="E428" s="117"/>
      <c r="F428" s="117"/>
      <c r="G428" s="117"/>
      <c r="H428" s="117"/>
      <c r="I428" s="117"/>
      <c r="J428" s="117"/>
    </row>
    <row r="429">
      <c r="A429" s="117"/>
      <c r="B429" s="117"/>
      <c r="C429" s="117"/>
      <c r="D429" s="117"/>
      <c r="E429" s="117"/>
      <c r="F429" s="117"/>
      <c r="G429" s="117"/>
      <c r="H429" s="117"/>
      <c r="I429" s="117"/>
      <c r="J429" s="117"/>
    </row>
    <row r="430">
      <c r="A430" s="117"/>
      <c r="B430" s="117"/>
      <c r="C430" s="117"/>
      <c r="D430" s="117"/>
      <c r="E430" s="117"/>
      <c r="F430" s="117"/>
      <c r="G430" s="117"/>
      <c r="H430" s="117"/>
      <c r="I430" s="117"/>
      <c r="J430" s="117"/>
    </row>
    <row r="431">
      <c r="A431" s="117"/>
      <c r="B431" s="117"/>
      <c r="C431" s="117"/>
      <c r="D431" s="117"/>
      <c r="E431" s="117"/>
      <c r="F431" s="117"/>
      <c r="G431" s="117"/>
      <c r="H431" s="117"/>
      <c r="I431" s="117"/>
      <c r="J431" s="117"/>
    </row>
    <row r="432">
      <c r="A432" s="117"/>
      <c r="B432" s="117"/>
      <c r="C432" s="117"/>
      <c r="D432" s="117"/>
      <c r="E432" s="117"/>
      <c r="F432" s="117"/>
      <c r="G432" s="117"/>
      <c r="H432" s="117"/>
      <c r="I432" s="117"/>
      <c r="J432" s="117"/>
    </row>
    <row r="433">
      <c r="A433" s="117"/>
      <c r="B433" s="117"/>
      <c r="C433" s="117"/>
      <c r="D433" s="117"/>
      <c r="E433" s="117"/>
      <c r="F433" s="117"/>
      <c r="G433" s="117"/>
      <c r="H433" s="117"/>
      <c r="I433" s="117"/>
      <c r="J433" s="117"/>
    </row>
    <row r="434">
      <c r="A434" s="117"/>
      <c r="B434" s="117"/>
      <c r="C434" s="117"/>
      <c r="D434" s="117"/>
      <c r="E434" s="117"/>
      <c r="F434" s="117"/>
      <c r="G434" s="117"/>
      <c r="H434" s="117"/>
      <c r="I434" s="117"/>
      <c r="J434" s="117"/>
    </row>
    <row r="435">
      <c r="A435" s="117"/>
      <c r="B435" s="117"/>
      <c r="C435" s="117"/>
      <c r="D435" s="117"/>
      <c r="E435" s="117"/>
      <c r="F435" s="117"/>
      <c r="G435" s="117"/>
      <c r="H435" s="117"/>
      <c r="I435" s="117"/>
      <c r="J435" s="117"/>
    </row>
    <row r="436">
      <c r="A436" s="117"/>
      <c r="B436" s="117"/>
      <c r="C436" s="117"/>
      <c r="D436" s="117"/>
      <c r="E436" s="117"/>
      <c r="F436" s="117"/>
      <c r="G436" s="117"/>
      <c r="H436" s="117"/>
      <c r="I436" s="117"/>
      <c r="J436" s="117"/>
    </row>
    <row r="437">
      <c r="A437" s="117"/>
      <c r="B437" s="117"/>
      <c r="C437" s="117"/>
      <c r="D437" s="117"/>
      <c r="E437" s="117"/>
      <c r="F437" s="117"/>
      <c r="G437" s="117"/>
      <c r="H437" s="117"/>
      <c r="I437" s="117"/>
      <c r="J437" s="117"/>
    </row>
    <row r="438">
      <c r="A438" s="117"/>
      <c r="B438" s="117"/>
      <c r="C438" s="117"/>
      <c r="D438" s="117"/>
      <c r="E438" s="117"/>
      <c r="F438" s="117"/>
      <c r="G438" s="117"/>
      <c r="H438" s="117"/>
      <c r="I438" s="117"/>
      <c r="J438" s="117"/>
    </row>
    <row r="439">
      <c r="A439" s="117"/>
      <c r="B439" s="117"/>
      <c r="C439" s="117"/>
      <c r="D439" s="117"/>
      <c r="E439" s="117"/>
      <c r="F439" s="117"/>
      <c r="G439" s="117"/>
      <c r="H439" s="117"/>
      <c r="I439" s="117"/>
      <c r="J439" s="117"/>
    </row>
    <row r="440">
      <c r="A440" s="117"/>
      <c r="B440" s="117"/>
      <c r="C440" s="117"/>
      <c r="D440" s="117"/>
      <c r="E440" s="117"/>
      <c r="F440" s="117"/>
      <c r="G440" s="117"/>
      <c r="H440" s="117"/>
      <c r="I440" s="117"/>
      <c r="J440" s="117"/>
    </row>
    <row r="441">
      <c r="A441" s="117"/>
      <c r="B441" s="117"/>
      <c r="C441" s="117"/>
      <c r="D441" s="117"/>
      <c r="E441" s="117"/>
      <c r="F441" s="117"/>
      <c r="G441" s="117"/>
      <c r="H441" s="117"/>
      <c r="I441" s="117"/>
      <c r="J441" s="117"/>
    </row>
    <row r="442">
      <c r="A442" s="117"/>
      <c r="B442" s="117"/>
      <c r="C442" s="117"/>
      <c r="D442" s="117"/>
      <c r="E442" s="117"/>
      <c r="F442" s="117"/>
      <c r="G442" s="117"/>
      <c r="H442" s="117"/>
      <c r="I442" s="117"/>
      <c r="J442" s="117"/>
    </row>
    <row r="443">
      <c r="A443" s="117"/>
      <c r="B443" s="117"/>
      <c r="C443" s="117"/>
      <c r="D443" s="117"/>
      <c r="E443" s="117"/>
      <c r="F443" s="117"/>
      <c r="G443" s="117"/>
      <c r="H443" s="117"/>
      <c r="I443" s="117"/>
      <c r="J443" s="117"/>
    </row>
    <row r="444">
      <c r="A444" s="117"/>
      <c r="B444" s="117"/>
      <c r="C444" s="117"/>
      <c r="D444" s="117"/>
      <c r="E444" s="117"/>
      <c r="F444" s="117"/>
      <c r="G444" s="117"/>
      <c r="H444" s="117"/>
      <c r="I444" s="117"/>
      <c r="J444" s="117"/>
    </row>
    <row r="445">
      <c r="A445" s="117"/>
      <c r="B445" s="117"/>
      <c r="C445" s="117"/>
      <c r="D445" s="117"/>
      <c r="E445" s="117"/>
      <c r="F445" s="117"/>
      <c r="G445" s="117"/>
      <c r="H445" s="117"/>
      <c r="I445" s="117"/>
      <c r="J445" s="117"/>
    </row>
    <row r="446">
      <c r="A446" s="117"/>
      <c r="B446" s="117"/>
      <c r="C446" s="117"/>
      <c r="D446" s="117"/>
      <c r="E446" s="117"/>
      <c r="F446" s="117"/>
      <c r="G446" s="117"/>
      <c r="H446" s="117"/>
      <c r="I446" s="117"/>
      <c r="J446" s="117"/>
    </row>
    <row r="447">
      <c r="A447" s="117"/>
      <c r="B447" s="117"/>
      <c r="C447" s="117"/>
      <c r="D447" s="117"/>
      <c r="E447" s="117"/>
      <c r="F447" s="117"/>
      <c r="G447" s="117"/>
      <c r="H447" s="117"/>
      <c r="I447" s="117"/>
      <c r="J447" s="117"/>
    </row>
    <row r="448">
      <c r="A448" s="117"/>
      <c r="B448" s="117"/>
      <c r="C448" s="117"/>
      <c r="D448" s="117"/>
      <c r="E448" s="117"/>
      <c r="F448" s="117"/>
      <c r="G448" s="117"/>
      <c r="H448" s="117"/>
      <c r="I448" s="117"/>
      <c r="J448" s="117"/>
    </row>
    <row r="449">
      <c r="A449" s="117"/>
      <c r="B449" s="117"/>
      <c r="C449" s="117"/>
      <c r="D449" s="117"/>
      <c r="E449" s="117"/>
      <c r="F449" s="117"/>
      <c r="G449" s="117"/>
      <c r="H449" s="117"/>
      <c r="I449" s="117"/>
      <c r="J449" s="117"/>
    </row>
    <row r="450">
      <c r="A450" s="117"/>
      <c r="B450" s="117"/>
      <c r="C450" s="117"/>
      <c r="D450" s="117"/>
      <c r="E450" s="117"/>
      <c r="F450" s="117"/>
      <c r="G450" s="117"/>
      <c r="H450" s="117"/>
      <c r="I450" s="117"/>
      <c r="J450" s="117"/>
    </row>
    <row r="451">
      <c r="A451" s="117"/>
      <c r="B451" s="117"/>
      <c r="C451" s="117"/>
      <c r="D451" s="117"/>
      <c r="E451" s="117"/>
      <c r="F451" s="117"/>
      <c r="G451" s="117"/>
      <c r="H451" s="117"/>
      <c r="I451" s="117"/>
      <c r="J451" s="117"/>
    </row>
    <row r="452">
      <c r="A452" s="117"/>
      <c r="B452" s="117"/>
      <c r="C452" s="117"/>
      <c r="D452" s="117"/>
      <c r="E452" s="117"/>
      <c r="F452" s="117"/>
      <c r="G452" s="117"/>
      <c r="H452" s="117"/>
      <c r="I452" s="117"/>
      <c r="J452" s="117"/>
    </row>
    <row r="453">
      <c r="A453" s="117"/>
      <c r="B453" s="117"/>
      <c r="C453" s="117"/>
      <c r="D453" s="117"/>
      <c r="E453" s="117"/>
      <c r="F453" s="117"/>
      <c r="G453" s="117"/>
      <c r="H453" s="117"/>
      <c r="I453" s="117"/>
      <c r="J453" s="117"/>
    </row>
    <row r="454">
      <c r="A454" s="117"/>
      <c r="B454" s="117"/>
      <c r="C454" s="117"/>
      <c r="D454" s="117"/>
      <c r="E454" s="117"/>
      <c r="F454" s="117"/>
      <c r="G454" s="117"/>
      <c r="H454" s="117"/>
      <c r="I454" s="117"/>
      <c r="J454" s="117"/>
    </row>
    <row r="455">
      <c r="A455" s="117"/>
      <c r="B455" s="117"/>
      <c r="C455" s="117"/>
      <c r="D455" s="117"/>
      <c r="E455" s="117"/>
      <c r="F455" s="117"/>
      <c r="G455" s="117"/>
      <c r="H455" s="117"/>
      <c r="I455" s="117"/>
      <c r="J455" s="117"/>
    </row>
    <row r="456">
      <c r="A456" s="117"/>
      <c r="B456" s="117"/>
      <c r="C456" s="117"/>
      <c r="D456" s="117"/>
      <c r="E456" s="117"/>
      <c r="F456" s="117"/>
      <c r="G456" s="117"/>
      <c r="H456" s="117"/>
      <c r="I456" s="117"/>
      <c r="J456" s="117"/>
    </row>
    <row r="457">
      <c r="A457" s="117"/>
      <c r="B457" s="117"/>
      <c r="C457" s="117"/>
      <c r="D457" s="117"/>
      <c r="E457" s="117"/>
      <c r="F457" s="117"/>
      <c r="G457" s="117"/>
      <c r="H457" s="117"/>
      <c r="I457" s="117"/>
      <c r="J457" s="117"/>
    </row>
    <row r="458">
      <c r="A458" s="117"/>
      <c r="B458" s="117"/>
      <c r="C458" s="117"/>
      <c r="D458" s="117"/>
      <c r="E458" s="117"/>
      <c r="F458" s="117"/>
      <c r="G458" s="117"/>
      <c r="H458" s="117"/>
      <c r="I458" s="117"/>
      <c r="J458" s="117"/>
    </row>
    <row r="459">
      <c r="A459" s="117"/>
      <c r="B459" s="117"/>
      <c r="C459" s="117"/>
      <c r="D459" s="117"/>
      <c r="E459" s="117"/>
      <c r="F459" s="117"/>
      <c r="G459" s="117"/>
      <c r="H459" s="117"/>
      <c r="I459" s="117"/>
      <c r="J459" s="117"/>
    </row>
    <row r="460">
      <c r="A460" s="117"/>
      <c r="B460" s="117"/>
      <c r="C460" s="117"/>
      <c r="D460" s="117"/>
      <c r="E460" s="117"/>
      <c r="F460" s="117"/>
      <c r="G460" s="117"/>
      <c r="H460" s="117"/>
      <c r="I460" s="117"/>
      <c r="J460" s="117"/>
    </row>
    <row r="461">
      <c r="A461" s="117"/>
      <c r="B461" s="117"/>
      <c r="C461" s="117"/>
      <c r="D461" s="117"/>
      <c r="E461" s="117"/>
      <c r="F461" s="117"/>
      <c r="G461" s="117"/>
      <c r="H461" s="117"/>
      <c r="I461" s="117"/>
      <c r="J461" s="117"/>
    </row>
    <row r="462">
      <c r="A462" s="117"/>
      <c r="B462" s="117"/>
      <c r="C462" s="117"/>
      <c r="D462" s="117"/>
      <c r="E462" s="117"/>
      <c r="F462" s="117"/>
      <c r="G462" s="117"/>
      <c r="H462" s="117"/>
      <c r="I462" s="117"/>
      <c r="J462" s="117"/>
    </row>
    <row r="463">
      <c r="A463" s="117"/>
      <c r="B463" s="117"/>
      <c r="C463" s="117"/>
      <c r="D463" s="117"/>
      <c r="E463" s="117"/>
      <c r="F463" s="117"/>
      <c r="G463" s="117"/>
      <c r="H463" s="117"/>
      <c r="I463" s="117"/>
      <c r="J463" s="117"/>
    </row>
    <row r="464">
      <c r="A464" s="117"/>
      <c r="B464" s="117"/>
      <c r="C464" s="117"/>
      <c r="D464" s="117"/>
      <c r="E464" s="117"/>
      <c r="F464" s="117"/>
      <c r="G464" s="117"/>
      <c r="H464" s="117"/>
      <c r="I464" s="117"/>
      <c r="J464" s="117"/>
    </row>
    <row r="465">
      <c r="A465" s="117"/>
      <c r="B465" s="117"/>
      <c r="C465" s="117"/>
      <c r="D465" s="117"/>
      <c r="E465" s="117"/>
      <c r="F465" s="117"/>
      <c r="G465" s="117"/>
      <c r="H465" s="117"/>
      <c r="I465" s="117"/>
      <c r="J465" s="117"/>
    </row>
    <row r="466">
      <c r="A466" s="117"/>
      <c r="B466" s="117"/>
      <c r="C466" s="117"/>
      <c r="D466" s="117"/>
      <c r="E466" s="117"/>
      <c r="F466" s="117"/>
      <c r="G466" s="117"/>
      <c r="H466" s="117"/>
      <c r="I466" s="117"/>
      <c r="J466" s="117"/>
    </row>
    <row r="467">
      <c r="A467" s="117"/>
      <c r="B467" s="117"/>
      <c r="C467" s="117"/>
      <c r="D467" s="117"/>
      <c r="E467" s="117"/>
      <c r="F467" s="117"/>
      <c r="G467" s="117"/>
      <c r="H467" s="117"/>
      <c r="I467" s="117"/>
      <c r="J467" s="117"/>
    </row>
    <row r="468">
      <c r="A468" s="117"/>
      <c r="B468" s="117"/>
      <c r="C468" s="117"/>
      <c r="D468" s="117"/>
      <c r="E468" s="117"/>
      <c r="F468" s="117"/>
      <c r="G468" s="117"/>
      <c r="H468" s="117"/>
      <c r="I468" s="117"/>
      <c r="J468" s="117"/>
    </row>
    <row r="469">
      <c r="A469" s="117"/>
      <c r="B469" s="117"/>
      <c r="C469" s="117"/>
      <c r="D469" s="117"/>
      <c r="E469" s="117"/>
      <c r="F469" s="117"/>
      <c r="G469" s="117"/>
      <c r="H469" s="117"/>
      <c r="I469" s="117"/>
      <c r="J469" s="117"/>
    </row>
    <row r="470">
      <c r="A470" s="117"/>
      <c r="B470" s="117"/>
      <c r="C470" s="117"/>
      <c r="D470" s="117"/>
      <c r="E470" s="117"/>
      <c r="F470" s="117"/>
      <c r="G470" s="117"/>
      <c r="H470" s="117"/>
      <c r="I470" s="117"/>
      <c r="J470" s="117"/>
    </row>
    <row r="471">
      <c r="A471" s="117"/>
      <c r="B471" s="117"/>
      <c r="C471" s="117"/>
      <c r="D471" s="117"/>
      <c r="E471" s="117"/>
      <c r="F471" s="117"/>
      <c r="G471" s="117"/>
      <c r="H471" s="117"/>
      <c r="I471" s="117"/>
      <c r="J471" s="117"/>
    </row>
    <row r="472">
      <c r="A472" s="117"/>
      <c r="B472" s="117"/>
      <c r="C472" s="117"/>
      <c r="D472" s="117"/>
      <c r="E472" s="117"/>
      <c r="F472" s="117"/>
      <c r="G472" s="117"/>
      <c r="H472" s="117"/>
      <c r="I472" s="117"/>
      <c r="J472" s="117"/>
    </row>
    <row r="473">
      <c r="A473" s="117"/>
      <c r="B473" s="117"/>
      <c r="C473" s="117"/>
      <c r="D473" s="117"/>
      <c r="E473" s="117"/>
      <c r="F473" s="117"/>
      <c r="G473" s="117"/>
      <c r="H473" s="117"/>
      <c r="I473" s="117"/>
      <c r="J473" s="117"/>
    </row>
    <row r="474">
      <c r="A474" s="117"/>
      <c r="B474" s="117"/>
      <c r="C474" s="117"/>
      <c r="D474" s="117"/>
      <c r="E474" s="117"/>
      <c r="F474" s="117"/>
      <c r="G474" s="117"/>
      <c r="H474" s="117"/>
      <c r="I474" s="117"/>
      <c r="J474" s="117"/>
    </row>
    <row r="475">
      <c r="A475" s="117"/>
      <c r="B475" s="117"/>
      <c r="C475" s="117"/>
      <c r="D475" s="117"/>
      <c r="E475" s="117"/>
      <c r="F475" s="117"/>
      <c r="G475" s="117"/>
      <c r="H475" s="117"/>
      <c r="I475" s="117"/>
      <c r="J475" s="117"/>
    </row>
    <row r="476">
      <c r="A476" s="117"/>
      <c r="B476" s="117"/>
      <c r="C476" s="117"/>
      <c r="D476" s="117"/>
      <c r="E476" s="117"/>
      <c r="F476" s="117"/>
      <c r="G476" s="117"/>
      <c r="H476" s="117"/>
      <c r="I476" s="117"/>
      <c r="J476" s="117"/>
    </row>
    <row r="477">
      <c r="A477" s="117"/>
      <c r="B477" s="117"/>
      <c r="C477" s="117"/>
      <c r="D477" s="117"/>
      <c r="E477" s="117"/>
      <c r="F477" s="117"/>
      <c r="G477" s="117"/>
      <c r="H477" s="117"/>
      <c r="I477" s="117"/>
      <c r="J477" s="117"/>
    </row>
    <row r="478">
      <c r="A478" s="117"/>
      <c r="B478" s="117"/>
      <c r="C478" s="117"/>
      <c r="D478" s="117"/>
      <c r="E478" s="117"/>
      <c r="F478" s="117"/>
      <c r="G478" s="117"/>
      <c r="H478" s="117"/>
      <c r="I478" s="117"/>
      <c r="J478" s="117"/>
    </row>
    <row r="479">
      <c r="A479" s="117"/>
      <c r="B479" s="117"/>
      <c r="C479" s="117"/>
      <c r="D479" s="117"/>
      <c r="E479" s="117"/>
      <c r="F479" s="117"/>
      <c r="G479" s="117"/>
      <c r="H479" s="117"/>
      <c r="I479" s="117"/>
      <c r="J479" s="117"/>
    </row>
    <row r="480">
      <c r="A480" s="117"/>
      <c r="B480" s="117"/>
      <c r="C480" s="117"/>
      <c r="D480" s="117"/>
      <c r="E480" s="117"/>
      <c r="F480" s="117"/>
      <c r="G480" s="117"/>
      <c r="H480" s="117"/>
      <c r="I480" s="117"/>
      <c r="J480" s="117"/>
    </row>
    <row r="481">
      <c r="A481" s="117"/>
      <c r="B481" s="117"/>
      <c r="C481" s="117"/>
      <c r="D481" s="117"/>
      <c r="E481" s="117"/>
      <c r="F481" s="117"/>
      <c r="G481" s="117"/>
      <c r="H481" s="117"/>
      <c r="I481" s="117"/>
      <c r="J481" s="117"/>
    </row>
    <row r="482">
      <c r="A482" s="117"/>
      <c r="B482" s="117"/>
      <c r="C482" s="117"/>
      <c r="D482" s="117"/>
      <c r="E482" s="117"/>
      <c r="F482" s="117"/>
      <c r="G482" s="117"/>
      <c r="H482" s="117"/>
      <c r="I482" s="117"/>
      <c r="J482" s="117"/>
    </row>
    <row r="483">
      <c r="A483" s="117"/>
      <c r="B483" s="117"/>
      <c r="C483" s="117"/>
      <c r="D483" s="117"/>
      <c r="E483" s="117"/>
      <c r="F483" s="117"/>
      <c r="G483" s="117"/>
      <c r="H483" s="117"/>
      <c r="I483" s="117"/>
      <c r="J483" s="117"/>
    </row>
    <row r="484">
      <c r="A484" s="117"/>
      <c r="B484" s="117"/>
      <c r="C484" s="117"/>
      <c r="D484" s="117"/>
      <c r="E484" s="117"/>
      <c r="F484" s="117"/>
      <c r="G484" s="117"/>
      <c r="H484" s="117"/>
      <c r="I484" s="117"/>
      <c r="J484" s="117"/>
    </row>
    <row r="485">
      <c r="A485" s="117"/>
      <c r="B485" s="117"/>
      <c r="C485" s="117"/>
      <c r="D485" s="117"/>
      <c r="E485" s="117"/>
      <c r="F485" s="117"/>
      <c r="G485" s="117"/>
      <c r="H485" s="117"/>
      <c r="I485" s="117"/>
      <c r="J485" s="117"/>
    </row>
    <row r="486">
      <c r="A486" s="117"/>
      <c r="B486" s="117"/>
      <c r="C486" s="117"/>
      <c r="D486" s="117"/>
      <c r="E486" s="117"/>
      <c r="F486" s="117"/>
      <c r="G486" s="117"/>
      <c r="H486" s="117"/>
      <c r="I486" s="117"/>
      <c r="J486" s="117"/>
    </row>
    <row r="487">
      <c r="A487" s="117"/>
      <c r="B487" s="117"/>
      <c r="C487" s="117"/>
      <c r="D487" s="117"/>
      <c r="E487" s="117"/>
      <c r="F487" s="117"/>
      <c r="G487" s="117"/>
      <c r="H487" s="117"/>
      <c r="I487" s="117"/>
      <c r="J487" s="117"/>
    </row>
    <row r="488">
      <c r="A488" s="117"/>
      <c r="B488" s="117"/>
      <c r="C488" s="117"/>
      <c r="D488" s="117"/>
      <c r="E488" s="117"/>
      <c r="F488" s="117"/>
      <c r="G488" s="117"/>
      <c r="H488" s="117"/>
      <c r="I488" s="117"/>
      <c r="J488" s="117"/>
    </row>
    <row r="489">
      <c r="A489" s="117"/>
      <c r="B489" s="117"/>
      <c r="C489" s="117"/>
      <c r="D489" s="117"/>
      <c r="E489" s="117"/>
      <c r="F489" s="117"/>
      <c r="G489" s="117"/>
      <c r="H489" s="117"/>
      <c r="I489" s="117"/>
      <c r="J489" s="117"/>
    </row>
    <row r="490">
      <c r="A490" s="117"/>
      <c r="B490" s="117"/>
      <c r="C490" s="117"/>
      <c r="D490" s="117"/>
      <c r="E490" s="117"/>
      <c r="F490" s="117"/>
      <c r="G490" s="117"/>
      <c r="H490" s="117"/>
      <c r="I490" s="117"/>
      <c r="J490" s="117"/>
    </row>
    <row r="491">
      <c r="A491" s="117"/>
      <c r="B491" s="117"/>
      <c r="C491" s="117"/>
      <c r="D491" s="117"/>
      <c r="E491" s="117"/>
      <c r="F491" s="117"/>
      <c r="G491" s="117"/>
      <c r="H491" s="117"/>
      <c r="I491" s="117"/>
      <c r="J491" s="117"/>
    </row>
    <row r="492">
      <c r="A492" s="117"/>
      <c r="B492" s="117"/>
      <c r="C492" s="117"/>
      <c r="D492" s="117"/>
      <c r="E492" s="117"/>
      <c r="F492" s="117"/>
      <c r="G492" s="117"/>
      <c r="H492" s="117"/>
      <c r="I492" s="117"/>
      <c r="J492" s="117"/>
    </row>
    <row r="493">
      <c r="A493" s="117"/>
      <c r="B493" s="117"/>
      <c r="C493" s="117"/>
      <c r="D493" s="117"/>
      <c r="E493" s="117"/>
      <c r="F493" s="117"/>
      <c r="G493" s="117"/>
      <c r="H493" s="117"/>
      <c r="I493" s="117"/>
      <c r="J493" s="117"/>
    </row>
    <row r="494">
      <c r="A494" s="117"/>
      <c r="B494" s="117"/>
      <c r="C494" s="117"/>
      <c r="D494" s="117"/>
      <c r="E494" s="117"/>
      <c r="F494" s="117"/>
      <c r="G494" s="117"/>
      <c r="H494" s="117"/>
      <c r="I494" s="117"/>
      <c r="J494" s="117"/>
    </row>
    <row r="495">
      <c r="A495" s="117"/>
      <c r="B495" s="117"/>
      <c r="C495" s="117"/>
      <c r="D495" s="117"/>
      <c r="E495" s="117"/>
      <c r="F495" s="117"/>
      <c r="G495" s="117"/>
      <c r="H495" s="117"/>
      <c r="I495" s="117"/>
      <c r="J495" s="117"/>
    </row>
    <row r="496">
      <c r="A496" s="117"/>
      <c r="B496" s="117"/>
      <c r="C496" s="117"/>
      <c r="D496" s="117"/>
      <c r="E496" s="117"/>
      <c r="F496" s="117"/>
      <c r="G496" s="117"/>
      <c r="H496" s="117"/>
      <c r="I496" s="117"/>
      <c r="J496" s="117"/>
    </row>
    <row r="497">
      <c r="A497" s="117"/>
      <c r="B497" s="117"/>
      <c r="C497" s="117"/>
      <c r="D497" s="117"/>
      <c r="E497" s="117"/>
      <c r="F497" s="117"/>
      <c r="G497" s="117"/>
      <c r="H497" s="117"/>
      <c r="I497" s="117"/>
      <c r="J497" s="117"/>
    </row>
    <row r="498">
      <c r="A498" s="117"/>
      <c r="B498" s="117"/>
      <c r="C498" s="117"/>
      <c r="D498" s="117"/>
      <c r="E498" s="117"/>
      <c r="F498" s="117"/>
      <c r="G498" s="117"/>
      <c r="H498" s="117"/>
      <c r="I498" s="117"/>
      <c r="J498" s="117"/>
    </row>
    <row r="499">
      <c r="A499" s="117"/>
      <c r="B499" s="117"/>
      <c r="C499" s="117"/>
      <c r="D499" s="117"/>
      <c r="E499" s="117"/>
      <c r="F499" s="117"/>
      <c r="G499" s="117"/>
      <c r="H499" s="117"/>
      <c r="I499" s="117"/>
      <c r="J499" s="117"/>
    </row>
    <row r="500">
      <c r="A500" s="117"/>
      <c r="B500" s="117"/>
      <c r="C500" s="117"/>
      <c r="D500" s="117"/>
      <c r="E500" s="117"/>
      <c r="F500" s="117"/>
      <c r="G500" s="117"/>
      <c r="H500" s="117"/>
      <c r="I500" s="117"/>
      <c r="J500" s="117"/>
    </row>
    <row r="501">
      <c r="A501" s="117"/>
      <c r="B501" s="117"/>
      <c r="C501" s="117"/>
      <c r="D501" s="117"/>
      <c r="E501" s="117"/>
      <c r="F501" s="117"/>
      <c r="G501" s="117"/>
      <c r="H501" s="117"/>
      <c r="I501" s="117"/>
      <c r="J501" s="117"/>
    </row>
    <row r="502">
      <c r="A502" s="117"/>
      <c r="B502" s="117"/>
      <c r="C502" s="117"/>
      <c r="D502" s="117"/>
      <c r="E502" s="117"/>
      <c r="F502" s="117"/>
      <c r="G502" s="117"/>
      <c r="H502" s="117"/>
      <c r="I502" s="117"/>
      <c r="J502" s="117"/>
    </row>
    <row r="503">
      <c r="A503" s="117"/>
      <c r="B503" s="117"/>
      <c r="C503" s="117"/>
      <c r="D503" s="117"/>
      <c r="E503" s="117"/>
      <c r="F503" s="117"/>
      <c r="G503" s="117"/>
      <c r="H503" s="117"/>
      <c r="I503" s="117"/>
      <c r="J503" s="117"/>
    </row>
    <row r="504">
      <c r="A504" s="117"/>
      <c r="B504" s="117"/>
      <c r="C504" s="117"/>
      <c r="D504" s="117"/>
      <c r="E504" s="117"/>
      <c r="F504" s="117"/>
      <c r="G504" s="117"/>
      <c r="H504" s="117"/>
      <c r="I504" s="117"/>
      <c r="J504" s="117"/>
    </row>
    <row r="505">
      <c r="A505" s="117"/>
      <c r="B505" s="117"/>
      <c r="C505" s="117"/>
      <c r="D505" s="117"/>
      <c r="E505" s="117"/>
      <c r="F505" s="117"/>
      <c r="G505" s="117"/>
      <c r="H505" s="117"/>
      <c r="I505" s="117"/>
      <c r="J505" s="117"/>
    </row>
    <row r="506">
      <c r="A506" s="117"/>
      <c r="B506" s="117"/>
      <c r="C506" s="117"/>
      <c r="D506" s="117"/>
      <c r="E506" s="117"/>
      <c r="F506" s="117"/>
      <c r="G506" s="117"/>
      <c r="H506" s="117"/>
      <c r="I506" s="117"/>
      <c r="J506" s="117"/>
    </row>
    <row r="507">
      <c r="A507" s="117"/>
      <c r="B507" s="117"/>
      <c r="C507" s="117"/>
      <c r="D507" s="117"/>
      <c r="E507" s="117"/>
      <c r="F507" s="117"/>
      <c r="G507" s="117"/>
      <c r="H507" s="117"/>
      <c r="I507" s="117"/>
      <c r="J507" s="117"/>
    </row>
    <row r="508">
      <c r="A508" s="117"/>
      <c r="B508" s="117"/>
      <c r="C508" s="117"/>
      <c r="D508" s="117"/>
      <c r="E508" s="117"/>
      <c r="F508" s="117"/>
      <c r="G508" s="117"/>
      <c r="H508" s="117"/>
      <c r="I508" s="117"/>
      <c r="J508" s="117"/>
    </row>
    <row r="509">
      <c r="A509" s="117"/>
      <c r="B509" s="117"/>
      <c r="C509" s="117"/>
      <c r="D509" s="117"/>
      <c r="E509" s="117"/>
      <c r="F509" s="117"/>
      <c r="G509" s="117"/>
      <c r="H509" s="117"/>
      <c r="I509" s="117"/>
      <c r="J509" s="117"/>
    </row>
    <row r="510">
      <c r="A510" s="117"/>
      <c r="B510" s="117"/>
      <c r="C510" s="117"/>
      <c r="D510" s="117"/>
      <c r="E510" s="117"/>
      <c r="F510" s="117"/>
      <c r="G510" s="117"/>
      <c r="H510" s="117"/>
      <c r="I510" s="117"/>
      <c r="J510" s="117"/>
    </row>
    <row r="511">
      <c r="A511" s="117"/>
      <c r="B511" s="117"/>
      <c r="C511" s="117"/>
      <c r="D511" s="117"/>
      <c r="E511" s="117"/>
      <c r="F511" s="117"/>
      <c r="G511" s="117"/>
      <c r="H511" s="117"/>
      <c r="I511" s="117"/>
      <c r="J511" s="117"/>
    </row>
    <row r="512">
      <c r="A512" s="117"/>
      <c r="B512" s="117"/>
      <c r="C512" s="117"/>
      <c r="D512" s="117"/>
      <c r="E512" s="117"/>
      <c r="F512" s="117"/>
      <c r="G512" s="117"/>
      <c r="H512" s="117"/>
      <c r="I512" s="117"/>
      <c r="J512" s="117"/>
    </row>
    <row r="513">
      <c r="A513" s="117"/>
      <c r="B513" s="117"/>
      <c r="C513" s="117"/>
      <c r="D513" s="117"/>
      <c r="E513" s="117"/>
      <c r="F513" s="117"/>
      <c r="G513" s="117"/>
      <c r="H513" s="117"/>
      <c r="I513" s="117"/>
      <c r="J513" s="117"/>
    </row>
    <row r="514">
      <c r="A514" s="117"/>
      <c r="B514" s="117"/>
      <c r="C514" s="117"/>
      <c r="D514" s="117"/>
      <c r="E514" s="117"/>
      <c r="F514" s="117"/>
      <c r="G514" s="117"/>
      <c r="H514" s="117"/>
      <c r="I514" s="117"/>
      <c r="J514" s="117"/>
    </row>
    <row r="515">
      <c r="A515" s="117"/>
      <c r="B515" s="117"/>
      <c r="C515" s="117"/>
      <c r="D515" s="117"/>
      <c r="E515" s="117"/>
      <c r="F515" s="117"/>
      <c r="G515" s="117"/>
      <c r="H515" s="117"/>
      <c r="I515" s="117"/>
      <c r="J515" s="117"/>
    </row>
    <row r="516">
      <c r="A516" s="117"/>
      <c r="B516" s="117"/>
      <c r="C516" s="117"/>
      <c r="D516" s="117"/>
      <c r="E516" s="117"/>
      <c r="F516" s="117"/>
      <c r="G516" s="117"/>
      <c r="H516" s="117"/>
      <c r="I516" s="117"/>
      <c r="J516" s="117"/>
    </row>
    <row r="517">
      <c r="A517" s="117"/>
      <c r="B517" s="117"/>
      <c r="C517" s="117"/>
      <c r="D517" s="117"/>
      <c r="E517" s="117"/>
      <c r="F517" s="117"/>
      <c r="G517" s="117"/>
      <c r="H517" s="117"/>
      <c r="I517" s="117"/>
      <c r="J517" s="117"/>
    </row>
    <row r="518">
      <c r="A518" s="117"/>
      <c r="B518" s="117"/>
      <c r="C518" s="117"/>
      <c r="D518" s="117"/>
      <c r="E518" s="117"/>
      <c r="F518" s="117"/>
      <c r="G518" s="117"/>
      <c r="H518" s="117"/>
      <c r="I518" s="117"/>
      <c r="J518" s="117"/>
    </row>
    <row r="519">
      <c r="A519" s="117"/>
      <c r="B519" s="117"/>
      <c r="C519" s="117"/>
      <c r="D519" s="117"/>
      <c r="E519" s="117"/>
      <c r="F519" s="117"/>
      <c r="G519" s="117"/>
      <c r="H519" s="117"/>
      <c r="I519" s="117"/>
      <c r="J519" s="117"/>
    </row>
    <row r="520">
      <c r="A520" s="117"/>
      <c r="B520" s="117"/>
      <c r="C520" s="117"/>
      <c r="D520" s="117"/>
      <c r="E520" s="117"/>
      <c r="F520" s="117"/>
      <c r="G520" s="117"/>
      <c r="H520" s="117"/>
      <c r="I520" s="117"/>
      <c r="J520" s="117"/>
    </row>
    <row r="521">
      <c r="A521" s="117"/>
      <c r="B521" s="117"/>
      <c r="C521" s="117"/>
      <c r="D521" s="117"/>
      <c r="E521" s="117"/>
      <c r="F521" s="117"/>
      <c r="G521" s="117"/>
      <c r="H521" s="117"/>
      <c r="I521" s="117"/>
      <c r="J521" s="117"/>
    </row>
    <row r="522">
      <c r="A522" s="117"/>
      <c r="B522" s="117"/>
      <c r="C522" s="117"/>
      <c r="D522" s="117"/>
      <c r="E522" s="117"/>
      <c r="F522" s="117"/>
      <c r="G522" s="117"/>
      <c r="H522" s="117"/>
      <c r="I522" s="117"/>
      <c r="J522" s="117"/>
    </row>
    <row r="523">
      <c r="A523" s="117"/>
      <c r="B523" s="117"/>
      <c r="C523" s="117"/>
      <c r="D523" s="117"/>
      <c r="E523" s="117"/>
      <c r="F523" s="117"/>
      <c r="G523" s="117"/>
      <c r="H523" s="117"/>
      <c r="I523" s="117"/>
      <c r="J523" s="117"/>
    </row>
    <row r="524">
      <c r="A524" s="117"/>
      <c r="B524" s="117"/>
      <c r="C524" s="117"/>
      <c r="D524" s="117"/>
      <c r="E524" s="117"/>
      <c r="F524" s="117"/>
      <c r="G524" s="117"/>
      <c r="H524" s="117"/>
      <c r="I524" s="117"/>
      <c r="J524" s="117"/>
    </row>
    <row r="525">
      <c r="A525" s="117"/>
      <c r="B525" s="117"/>
      <c r="C525" s="117"/>
      <c r="D525" s="117"/>
      <c r="E525" s="117"/>
      <c r="F525" s="117"/>
      <c r="G525" s="117"/>
      <c r="H525" s="117"/>
      <c r="I525" s="117"/>
      <c r="J525" s="117"/>
    </row>
    <row r="526">
      <c r="A526" s="117"/>
      <c r="B526" s="117"/>
      <c r="C526" s="117"/>
      <c r="D526" s="117"/>
      <c r="E526" s="117"/>
      <c r="F526" s="117"/>
      <c r="G526" s="117"/>
      <c r="H526" s="117"/>
      <c r="I526" s="117"/>
      <c r="J526" s="117"/>
    </row>
    <row r="527">
      <c r="A527" s="117"/>
      <c r="B527" s="117"/>
      <c r="C527" s="117"/>
      <c r="D527" s="117"/>
      <c r="E527" s="117"/>
      <c r="F527" s="117"/>
      <c r="G527" s="117"/>
      <c r="H527" s="117"/>
      <c r="I527" s="117"/>
      <c r="J527" s="117"/>
    </row>
    <row r="528">
      <c r="A528" s="117"/>
      <c r="B528" s="117"/>
      <c r="C528" s="117"/>
      <c r="D528" s="117"/>
      <c r="E528" s="117"/>
      <c r="F528" s="117"/>
      <c r="G528" s="117"/>
      <c r="H528" s="117"/>
      <c r="I528" s="117"/>
      <c r="J528" s="117"/>
    </row>
    <row r="529">
      <c r="A529" s="117"/>
      <c r="B529" s="117"/>
      <c r="C529" s="117"/>
      <c r="D529" s="117"/>
      <c r="E529" s="117"/>
      <c r="F529" s="117"/>
      <c r="G529" s="117"/>
      <c r="H529" s="117"/>
      <c r="I529" s="117"/>
      <c r="J529" s="117"/>
    </row>
    <row r="530">
      <c r="A530" s="117"/>
      <c r="B530" s="117"/>
      <c r="C530" s="117"/>
      <c r="D530" s="117"/>
      <c r="E530" s="117"/>
      <c r="F530" s="117"/>
      <c r="G530" s="117"/>
      <c r="H530" s="117"/>
      <c r="I530" s="117"/>
      <c r="J530" s="117"/>
    </row>
    <row r="531">
      <c r="A531" s="117"/>
      <c r="B531" s="117"/>
      <c r="C531" s="117"/>
      <c r="D531" s="117"/>
      <c r="E531" s="117"/>
      <c r="F531" s="117"/>
      <c r="G531" s="117"/>
      <c r="H531" s="117"/>
      <c r="I531" s="117"/>
      <c r="J531" s="117"/>
    </row>
    <row r="532">
      <c r="A532" s="117"/>
      <c r="B532" s="117"/>
      <c r="C532" s="117"/>
      <c r="D532" s="117"/>
      <c r="E532" s="117"/>
      <c r="F532" s="117"/>
      <c r="G532" s="117"/>
      <c r="H532" s="117"/>
      <c r="I532" s="117"/>
      <c r="J532" s="117"/>
    </row>
    <row r="533">
      <c r="A533" s="117"/>
      <c r="B533" s="117"/>
      <c r="C533" s="117"/>
      <c r="D533" s="117"/>
      <c r="E533" s="117"/>
      <c r="F533" s="117"/>
      <c r="G533" s="117"/>
      <c r="H533" s="117"/>
      <c r="I533" s="117"/>
      <c r="J533" s="117"/>
    </row>
    <row r="534">
      <c r="A534" s="117"/>
      <c r="B534" s="117"/>
      <c r="C534" s="117"/>
      <c r="D534" s="117"/>
      <c r="E534" s="117"/>
      <c r="F534" s="117"/>
      <c r="G534" s="117"/>
      <c r="H534" s="117"/>
      <c r="I534" s="117"/>
      <c r="J534" s="117"/>
    </row>
    <row r="535">
      <c r="A535" s="117"/>
      <c r="B535" s="117"/>
      <c r="C535" s="117"/>
      <c r="D535" s="117"/>
      <c r="E535" s="117"/>
      <c r="F535" s="117"/>
      <c r="G535" s="117"/>
      <c r="H535" s="117"/>
      <c r="I535" s="117"/>
      <c r="J535" s="117"/>
    </row>
    <row r="536">
      <c r="A536" s="117"/>
      <c r="B536" s="117"/>
      <c r="C536" s="117"/>
      <c r="D536" s="117"/>
      <c r="E536" s="117"/>
      <c r="F536" s="117"/>
      <c r="G536" s="117"/>
      <c r="H536" s="117"/>
      <c r="I536" s="117"/>
      <c r="J536" s="117"/>
    </row>
    <row r="537">
      <c r="A537" s="117"/>
      <c r="B537" s="117"/>
      <c r="C537" s="117"/>
      <c r="D537" s="117"/>
      <c r="E537" s="117"/>
      <c r="F537" s="117"/>
      <c r="G537" s="117"/>
      <c r="H537" s="117"/>
      <c r="I537" s="117"/>
      <c r="J537" s="117"/>
    </row>
    <row r="538">
      <c r="A538" s="117"/>
      <c r="B538" s="117"/>
      <c r="C538" s="117"/>
      <c r="D538" s="117"/>
      <c r="E538" s="117"/>
      <c r="F538" s="117"/>
      <c r="G538" s="117"/>
      <c r="H538" s="117"/>
      <c r="I538" s="117"/>
      <c r="J538" s="117"/>
    </row>
    <row r="539">
      <c r="A539" s="117"/>
      <c r="B539" s="117"/>
      <c r="C539" s="117"/>
      <c r="D539" s="117"/>
      <c r="E539" s="117"/>
      <c r="F539" s="117"/>
      <c r="G539" s="117"/>
      <c r="H539" s="117"/>
      <c r="I539" s="117"/>
      <c r="J539" s="117"/>
    </row>
    <row r="540">
      <c r="A540" s="117"/>
      <c r="B540" s="117"/>
      <c r="C540" s="117"/>
      <c r="D540" s="117"/>
      <c r="E540" s="117"/>
      <c r="F540" s="117"/>
      <c r="G540" s="117"/>
      <c r="H540" s="117"/>
      <c r="I540" s="117"/>
      <c r="J540" s="117"/>
    </row>
    <row r="541">
      <c r="A541" s="117"/>
      <c r="B541" s="117"/>
      <c r="C541" s="117"/>
      <c r="D541" s="117"/>
      <c r="E541" s="117"/>
      <c r="F541" s="117"/>
      <c r="G541" s="117"/>
      <c r="H541" s="117"/>
      <c r="I541" s="117"/>
      <c r="J541" s="117"/>
    </row>
    <row r="542">
      <c r="A542" s="117"/>
      <c r="B542" s="117"/>
      <c r="C542" s="117"/>
      <c r="D542" s="117"/>
      <c r="E542" s="117"/>
      <c r="F542" s="117"/>
      <c r="G542" s="117"/>
      <c r="H542" s="117"/>
      <c r="I542" s="117"/>
      <c r="J542" s="117"/>
    </row>
    <row r="543">
      <c r="A543" s="117"/>
      <c r="B543" s="117"/>
      <c r="C543" s="117"/>
      <c r="D543" s="117"/>
      <c r="E543" s="117"/>
      <c r="F543" s="117"/>
      <c r="G543" s="117"/>
      <c r="H543" s="117"/>
      <c r="I543" s="117"/>
      <c r="J543" s="117"/>
    </row>
    <row r="544">
      <c r="A544" s="117"/>
      <c r="B544" s="117"/>
      <c r="C544" s="117"/>
      <c r="D544" s="117"/>
      <c r="E544" s="117"/>
      <c r="F544" s="117"/>
      <c r="G544" s="117"/>
      <c r="H544" s="117"/>
      <c r="I544" s="117"/>
      <c r="J544" s="117"/>
    </row>
    <row r="545">
      <c r="A545" s="117"/>
      <c r="B545" s="117"/>
      <c r="C545" s="117"/>
      <c r="D545" s="117"/>
      <c r="E545" s="117"/>
      <c r="F545" s="117"/>
      <c r="G545" s="117"/>
      <c r="H545" s="117"/>
      <c r="I545" s="117"/>
      <c r="J545" s="117"/>
    </row>
    <row r="546">
      <c r="A546" s="117"/>
      <c r="B546" s="117"/>
      <c r="C546" s="117"/>
      <c r="D546" s="117"/>
      <c r="E546" s="117"/>
      <c r="F546" s="117"/>
      <c r="G546" s="117"/>
      <c r="H546" s="117"/>
      <c r="I546" s="117"/>
      <c r="J546" s="117"/>
    </row>
    <row r="547">
      <c r="A547" s="117"/>
      <c r="B547" s="117"/>
      <c r="C547" s="117"/>
      <c r="D547" s="117"/>
      <c r="E547" s="117"/>
      <c r="F547" s="117"/>
      <c r="G547" s="117"/>
      <c r="H547" s="117"/>
      <c r="I547" s="117"/>
      <c r="J547" s="117"/>
    </row>
    <row r="548">
      <c r="A548" s="117"/>
      <c r="B548" s="117"/>
      <c r="C548" s="117"/>
      <c r="D548" s="117"/>
      <c r="E548" s="117"/>
      <c r="F548" s="117"/>
      <c r="G548" s="117"/>
      <c r="H548" s="117"/>
      <c r="I548" s="117"/>
      <c r="J548" s="117"/>
    </row>
    <row r="549">
      <c r="A549" s="117"/>
      <c r="B549" s="117"/>
      <c r="C549" s="117"/>
      <c r="D549" s="117"/>
      <c r="E549" s="117"/>
      <c r="F549" s="117"/>
      <c r="G549" s="117"/>
      <c r="H549" s="117"/>
      <c r="I549" s="117"/>
      <c r="J549" s="117"/>
    </row>
    <row r="550">
      <c r="A550" s="117"/>
      <c r="B550" s="117"/>
      <c r="C550" s="117"/>
      <c r="D550" s="117"/>
      <c r="E550" s="117"/>
      <c r="F550" s="117"/>
      <c r="G550" s="117"/>
      <c r="H550" s="117"/>
      <c r="I550" s="117"/>
      <c r="J550" s="117"/>
    </row>
    <row r="551">
      <c r="A551" s="117"/>
      <c r="B551" s="117"/>
      <c r="C551" s="117"/>
      <c r="D551" s="117"/>
      <c r="E551" s="117"/>
      <c r="F551" s="117"/>
      <c r="G551" s="117"/>
      <c r="H551" s="117"/>
      <c r="I551" s="117"/>
      <c r="J551" s="117"/>
    </row>
    <row r="552">
      <c r="A552" s="117"/>
      <c r="B552" s="117"/>
      <c r="C552" s="117"/>
      <c r="D552" s="117"/>
      <c r="E552" s="117"/>
      <c r="F552" s="117"/>
      <c r="G552" s="117"/>
      <c r="H552" s="117"/>
      <c r="I552" s="117"/>
      <c r="J552" s="117"/>
    </row>
    <row r="553">
      <c r="A553" s="117"/>
      <c r="B553" s="117"/>
      <c r="C553" s="117"/>
      <c r="D553" s="117"/>
      <c r="E553" s="117"/>
      <c r="F553" s="117"/>
      <c r="G553" s="117"/>
      <c r="H553" s="117"/>
      <c r="I553" s="117"/>
      <c r="J553" s="117"/>
    </row>
    <row r="554">
      <c r="A554" s="117"/>
      <c r="B554" s="117"/>
      <c r="C554" s="117"/>
      <c r="D554" s="117"/>
      <c r="E554" s="117"/>
      <c r="F554" s="117"/>
      <c r="G554" s="117"/>
      <c r="H554" s="117"/>
      <c r="I554" s="117"/>
      <c r="J554" s="117"/>
    </row>
    <row r="555">
      <c r="A555" s="117"/>
      <c r="B555" s="117"/>
      <c r="C555" s="117"/>
      <c r="D555" s="117"/>
      <c r="E555" s="117"/>
      <c r="F555" s="117"/>
      <c r="G555" s="117"/>
      <c r="H555" s="117"/>
      <c r="I555" s="117"/>
      <c r="J555" s="117"/>
    </row>
    <row r="556">
      <c r="A556" s="117"/>
      <c r="B556" s="117"/>
      <c r="C556" s="117"/>
      <c r="D556" s="117"/>
      <c r="E556" s="117"/>
      <c r="F556" s="117"/>
      <c r="G556" s="117"/>
      <c r="H556" s="117"/>
      <c r="I556" s="117"/>
      <c r="J556" s="117"/>
    </row>
    <row r="557">
      <c r="A557" s="117"/>
      <c r="B557" s="117"/>
      <c r="C557" s="117"/>
      <c r="D557" s="117"/>
      <c r="E557" s="117"/>
      <c r="F557" s="117"/>
      <c r="G557" s="117"/>
      <c r="H557" s="117"/>
      <c r="I557" s="117"/>
      <c r="J557" s="117"/>
    </row>
    <row r="558">
      <c r="A558" s="117"/>
      <c r="B558" s="117"/>
      <c r="C558" s="117"/>
      <c r="D558" s="117"/>
      <c r="E558" s="117"/>
      <c r="F558" s="117"/>
      <c r="G558" s="117"/>
      <c r="H558" s="117"/>
      <c r="I558" s="117"/>
      <c r="J558" s="117"/>
    </row>
    <row r="559">
      <c r="A559" s="117"/>
      <c r="B559" s="117"/>
      <c r="C559" s="117"/>
      <c r="D559" s="117"/>
      <c r="E559" s="117"/>
      <c r="F559" s="117"/>
      <c r="G559" s="117"/>
      <c r="H559" s="117"/>
      <c r="I559" s="117"/>
      <c r="J559" s="117"/>
    </row>
    <row r="560">
      <c r="A560" s="117"/>
      <c r="B560" s="117"/>
      <c r="C560" s="117"/>
      <c r="D560" s="117"/>
      <c r="E560" s="117"/>
      <c r="F560" s="117"/>
      <c r="G560" s="117"/>
      <c r="H560" s="117"/>
      <c r="I560" s="117"/>
      <c r="J560" s="117"/>
    </row>
    <row r="561">
      <c r="A561" s="117"/>
      <c r="B561" s="117"/>
      <c r="C561" s="117"/>
      <c r="D561" s="117"/>
      <c r="E561" s="117"/>
      <c r="F561" s="117"/>
      <c r="G561" s="117"/>
      <c r="H561" s="117"/>
      <c r="I561" s="117"/>
      <c r="J561" s="117"/>
    </row>
    <row r="562">
      <c r="A562" s="117"/>
      <c r="B562" s="117"/>
      <c r="C562" s="117"/>
      <c r="D562" s="117"/>
      <c r="E562" s="117"/>
      <c r="F562" s="117"/>
      <c r="G562" s="117"/>
      <c r="H562" s="117"/>
      <c r="I562" s="117"/>
      <c r="J562" s="117"/>
    </row>
    <row r="563">
      <c r="A563" s="117"/>
      <c r="B563" s="117"/>
      <c r="C563" s="117"/>
      <c r="D563" s="117"/>
      <c r="E563" s="117"/>
      <c r="F563" s="117"/>
      <c r="G563" s="117"/>
      <c r="H563" s="117"/>
      <c r="I563" s="117"/>
      <c r="J563" s="117"/>
    </row>
    <row r="564">
      <c r="A564" s="117"/>
      <c r="B564" s="117"/>
      <c r="C564" s="117"/>
      <c r="D564" s="117"/>
      <c r="E564" s="117"/>
      <c r="F564" s="117"/>
      <c r="G564" s="117"/>
      <c r="H564" s="117"/>
      <c r="I564" s="117"/>
      <c r="J564" s="117"/>
    </row>
    <row r="565">
      <c r="A565" s="117"/>
      <c r="B565" s="117"/>
      <c r="C565" s="117"/>
      <c r="D565" s="117"/>
      <c r="E565" s="117"/>
      <c r="F565" s="117"/>
      <c r="G565" s="117"/>
      <c r="H565" s="117"/>
      <c r="I565" s="117"/>
      <c r="J565" s="117"/>
    </row>
    <row r="566">
      <c r="A566" s="117"/>
      <c r="B566" s="117"/>
      <c r="C566" s="117"/>
      <c r="D566" s="117"/>
      <c r="E566" s="117"/>
      <c r="F566" s="117"/>
      <c r="G566" s="117"/>
      <c r="H566" s="117"/>
      <c r="I566" s="117"/>
      <c r="J566" s="117"/>
    </row>
    <row r="567">
      <c r="A567" s="117"/>
      <c r="B567" s="117"/>
      <c r="C567" s="117"/>
      <c r="D567" s="117"/>
      <c r="E567" s="117"/>
      <c r="F567" s="117"/>
      <c r="G567" s="117"/>
      <c r="H567" s="117"/>
      <c r="I567" s="117"/>
      <c r="J567" s="117"/>
    </row>
    <row r="568">
      <c r="A568" s="117"/>
      <c r="B568" s="117"/>
      <c r="C568" s="117"/>
      <c r="D568" s="117"/>
      <c r="E568" s="117"/>
      <c r="F568" s="117"/>
      <c r="G568" s="117"/>
      <c r="H568" s="117"/>
      <c r="I568" s="117"/>
      <c r="J568" s="117"/>
    </row>
    <row r="569">
      <c r="A569" s="117"/>
      <c r="B569" s="117"/>
      <c r="C569" s="117"/>
      <c r="D569" s="117"/>
      <c r="E569" s="117"/>
      <c r="F569" s="117"/>
      <c r="G569" s="117"/>
      <c r="H569" s="117"/>
      <c r="I569" s="117"/>
      <c r="J569" s="117"/>
    </row>
    <row r="570">
      <c r="A570" s="117"/>
      <c r="B570" s="117"/>
      <c r="C570" s="117"/>
      <c r="D570" s="117"/>
      <c r="E570" s="117"/>
      <c r="F570" s="117"/>
      <c r="G570" s="117"/>
      <c r="H570" s="117"/>
      <c r="I570" s="117"/>
      <c r="J570" s="117"/>
    </row>
    <row r="571">
      <c r="A571" s="117"/>
      <c r="B571" s="117"/>
      <c r="C571" s="117"/>
      <c r="D571" s="117"/>
      <c r="E571" s="117"/>
      <c r="F571" s="117"/>
      <c r="G571" s="117"/>
      <c r="H571" s="117"/>
      <c r="I571" s="117"/>
      <c r="J571" s="117"/>
    </row>
    <row r="572">
      <c r="A572" s="117"/>
      <c r="B572" s="117"/>
      <c r="C572" s="117"/>
      <c r="D572" s="117"/>
      <c r="E572" s="117"/>
      <c r="F572" s="117"/>
      <c r="G572" s="117"/>
      <c r="H572" s="117"/>
      <c r="I572" s="117"/>
      <c r="J572" s="117"/>
    </row>
    <row r="573">
      <c r="A573" s="117"/>
      <c r="B573" s="117"/>
      <c r="C573" s="117"/>
      <c r="D573" s="117"/>
      <c r="E573" s="117"/>
      <c r="F573" s="117"/>
      <c r="G573" s="117"/>
      <c r="H573" s="117"/>
      <c r="I573" s="117"/>
      <c r="J573" s="117"/>
    </row>
    <row r="574">
      <c r="A574" s="117"/>
      <c r="B574" s="117"/>
      <c r="C574" s="117"/>
      <c r="D574" s="117"/>
      <c r="E574" s="117"/>
      <c r="F574" s="117"/>
      <c r="G574" s="117"/>
      <c r="H574" s="117"/>
      <c r="I574" s="117"/>
      <c r="J574" s="117"/>
    </row>
    <row r="575">
      <c r="A575" s="117"/>
      <c r="B575" s="117"/>
      <c r="C575" s="117"/>
      <c r="D575" s="117"/>
      <c r="E575" s="117"/>
      <c r="F575" s="117"/>
      <c r="G575" s="117"/>
      <c r="H575" s="117"/>
      <c r="I575" s="117"/>
      <c r="J575" s="117"/>
    </row>
    <row r="576">
      <c r="A576" s="117"/>
      <c r="B576" s="117"/>
      <c r="C576" s="117"/>
      <c r="D576" s="117"/>
      <c r="E576" s="117"/>
      <c r="F576" s="117"/>
      <c r="G576" s="117"/>
      <c r="H576" s="117"/>
      <c r="I576" s="117"/>
      <c r="J576" s="117"/>
    </row>
    <row r="577">
      <c r="A577" s="117"/>
      <c r="B577" s="117"/>
      <c r="C577" s="117"/>
      <c r="D577" s="117"/>
      <c r="E577" s="117"/>
      <c r="F577" s="117"/>
      <c r="G577" s="117"/>
      <c r="H577" s="117"/>
      <c r="I577" s="117"/>
      <c r="J577" s="117"/>
    </row>
    <row r="578">
      <c r="A578" s="117"/>
      <c r="B578" s="117"/>
      <c r="C578" s="117"/>
      <c r="D578" s="117"/>
      <c r="E578" s="117"/>
      <c r="F578" s="117"/>
      <c r="G578" s="117"/>
      <c r="H578" s="117"/>
      <c r="I578" s="117"/>
      <c r="J578" s="117"/>
    </row>
    <row r="579">
      <c r="A579" s="117"/>
      <c r="B579" s="117"/>
      <c r="C579" s="117"/>
      <c r="D579" s="117"/>
      <c r="E579" s="117"/>
      <c r="F579" s="117"/>
      <c r="G579" s="117"/>
      <c r="H579" s="117"/>
      <c r="I579" s="117"/>
      <c r="J579" s="117"/>
    </row>
    <row r="580">
      <c r="A580" s="117"/>
      <c r="B580" s="117"/>
      <c r="C580" s="117"/>
      <c r="D580" s="117"/>
      <c r="E580" s="117"/>
      <c r="F580" s="117"/>
      <c r="G580" s="117"/>
      <c r="H580" s="117"/>
      <c r="I580" s="117"/>
      <c r="J580" s="117"/>
    </row>
    <row r="581">
      <c r="A581" s="117"/>
      <c r="B581" s="117"/>
      <c r="C581" s="117"/>
      <c r="D581" s="117"/>
      <c r="E581" s="117"/>
      <c r="F581" s="117"/>
      <c r="G581" s="117"/>
      <c r="H581" s="117"/>
      <c r="I581" s="117"/>
      <c r="J581" s="117"/>
    </row>
    <row r="582">
      <c r="A582" s="117"/>
      <c r="B582" s="117"/>
      <c r="C582" s="117"/>
      <c r="D582" s="117"/>
      <c r="E582" s="117"/>
      <c r="F582" s="117"/>
      <c r="G582" s="117"/>
      <c r="H582" s="117"/>
      <c r="I582" s="117"/>
      <c r="J582" s="117"/>
    </row>
    <row r="583">
      <c r="A583" s="117"/>
      <c r="B583" s="117"/>
      <c r="C583" s="117"/>
      <c r="D583" s="117"/>
      <c r="E583" s="117"/>
      <c r="F583" s="117"/>
      <c r="G583" s="117"/>
      <c r="H583" s="117"/>
      <c r="I583" s="117"/>
      <c r="J583" s="117"/>
    </row>
    <row r="584">
      <c r="A584" s="117"/>
      <c r="B584" s="117"/>
      <c r="C584" s="117"/>
      <c r="D584" s="117"/>
      <c r="E584" s="117"/>
      <c r="F584" s="117"/>
      <c r="G584" s="117"/>
      <c r="H584" s="117"/>
      <c r="I584" s="117"/>
      <c r="J584" s="117"/>
    </row>
    <row r="585">
      <c r="A585" s="117"/>
      <c r="B585" s="117"/>
      <c r="C585" s="117"/>
      <c r="D585" s="117"/>
      <c r="E585" s="117"/>
      <c r="F585" s="117"/>
      <c r="G585" s="117"/>
      <c r="H585" s="117"/>
      <c r="I585" s="117"/>
      <c r="J585" s="117"/>
    </row>
    <row r="586">
      <c r="A586" s="117"/>
      <c r="B586" s="117"/>
      <c r="C586" s="117"/>
      <c r="D586" s="117"/>
      <c r="E586" s="117"/>
      <c r="F586" s="117"/>
      <c r="G586" s="117"/>
      <c r="H586" s="117"/>
      <c r="I586" s="117"/>
      <c r="J586" s="117"/>
    </row>
    <row r="587">
      <c r="A587" s="117"/>
      <c r="B587" s="117"/>
      <c r="C587" s="117"/>
      <c r="D587" s="117"/>
      <c r="E587" s="117"/>
      <c r="F587" s="117"/>
      <c r="G587" s="117"/>
      <c r="H587" s="117"/>
      <c r="I587" s="117"/>
      <c r="J587" s="117"/>
    </row>
    <row r="588">
      <c r="A588" s="117"/>
      <c r="B588" s="117"/>
      <c r="C588" s="117"/>
      <c r="D588" s="117"/>
      <c r="E588" s="117"/>
      <c r="F588" s="117"/>
      <c r="G588" s="117"/>
      <c r="H588" s="117"/>
      <c r="I588" s="117"/>
      <c r="J588" s="117"/>
    </row>
    <row r="589">
      <c r="A589" s="117"/>
      <c r="B589" s="117"/>
      <c r="C589" s="117"/>
      <c r="D589" s="117"/>
      <c r="E589" s="117"/>
      <c r="F589" s="117"/>
      <c r="G589" s="117"/>
      <c r="H589" s="117"/>
      <c r="I589" s="117"/>
      <c r="J589" s="117"/>
    </row>
    <row r="590">
      <c r="A590" s="117"/>
      <c r="B590" s="117"/>
      <c r="C590" s="117"/>
      <c r="D590" s="117"/>
      <c r="E590" s="117"/>
      <c r="F590" s="117"/>
      <c r="G590" s="117"/>
      <c r="H590" s="117"/>
      <c r="I590" s="117"/>
      <c r="J590" s="117"/>
    </row>
    <row r="591">
      <c r="A591" s="117"/>
      <c r="B591" s="117"/>
      <c r="C591" s="117"/>
      <c r="D591" s="117"/>
      <c r="E591" s="117"/>
      <c r="F591" s="117"/>
      <c r="G591" s="117"/>
      <c r="H591" s="117"/>
      <c r="I591" s="117"/>
      <c r="J591" s="117"/>
    </row>
    <row r="592">
      <c r="A592" s="117"/>
      <c r="B592" s="117"/>
      <c r="C592" s="117"/>
      <c r="D592" s="117"/>
      <c r="E592" s="117"/>
      <c r="F592" s="117"/>
      <c r="G592" s="117"/>
      <c r="H592" s="117"/>
      <c r="I592" s="117"/>
      <c r="J592" s="117"/>
    </row>
    <row r="593">
      <c r="A593" s="117"/>
      <c r="B593" s="117"/>
      <c r="C593" s="117"/>
      <c r="D593" s="117"/>
      <c r="E593" s="117"/>
      <c r="F593" s="117"/>
      <c r="G593" s="117"/>
      <c r="H593" s="117"/>
      <c r="I593" s="117"/>
      <c r="J593" s="117"/>
    </row>
    <row r="594">
      <c r="A594" s="117"/>
      <c r="B594" s="117"/>
      <c r="C594" s="117"/>
      <c r="D594" s="117"/>
      <c r="E594" s="117"/>
      <c r="F594" s="117"/>
      <c r="G594" s="117"/>
      <c r="H594" s="117"/>
      <c r="I594" s="117"/>
      <c r="J594" s="117"/>
    </row>
    <row r="595">
      <c r="A595" s="117"/>
      <c r="B595" s="117"/>
      <c r="C595" s="117"/>
      <c r="D595" s="117"/>
      <c r="E595" s="117"/>
      <c r="F595" s="117"/>
      <c r="G595" s="117"/>
      <c r="H595" s="117"/>
      <c r="I595" s="117"/>
      <c r="J595" s="117"/>
    </row>
    <row r="596">
      <c r="A596" s="117"/>
      <c r="B596" s="117"/>
      <c r="C596" s="117"/>
      <c r="D596" s="117"/>
      <c r="E596" s="117"/>
      <c r="F596" s="117"/>
      <c r="G596" s="117"/>
      <c r="H596" s="117"/>
      <c r="I596" s="117"/>
      <c r="J596" s="117"/>
    </row>
    <row r="597">
      <c r="A597" s="117"/>
      <c r="B597" s="117"/>
      <c r="C597" s="117"/>
      <c r="D597" s="117"/>
      <c r="E597" s="117"/>
      <c r="F597" s="117"/>
      <c r="G597" s="117"/>
      <c r="H597" s="117"/>
      <c r="I597" s="117"/>
      <c r="J597" s="117"/>
    </row>
    <row r="598">
      <c r="A598" s="117"/>
      <c r="B598" s="117"/>
      <c r="C598" s="117"/>
      <c r="D598" s="117"/>
      <c r="E598" s="117"/>
      <c r="F598" s="117"/>
      <c r="G598" s="117"/>
      <c r="H598" s="117"/>
      <c r="I598" s="117"/>
      <c r="J598" s="117"/>
    </row>
    <row r="599">
      <c r="A599" s="117"/>
      <c r="B599" s="117"/>
      <c r="C599" s="117"/>
      <c r="D599" s="117"/>
      <c r="E599" s="117"/>
      <c r="F599" s="117"/>
      <c r="G599" s="117"/>
      <c r="H599" s="117"/>
      <c r="I599" s="117"/>
      <c r="J599" s="117"/>
    </row>
    <row r="600">
      <c r="A600" s="117"/>
      <c r="B600" s="117"/>
      <c r="C600" s="117"/>
      <c r="D600" s="117"/>
      <c r="E600" s="117"/>
      <c r="F600" s="117"/>
      <c r="G600" s="117"/>
      <c r="H600" s="117"/>
      <c r="I600" s="117"/>
      <c r="J600" s="117"/>
    </row>
    <row r="601">
      <c r="A601" s="117"/>
      <c r="B601" s="117"/>
      <c r="C601" s="117"/>
      <c r="D601" s="117"/>
      <c r="E601" s="117"/>
      <c r="F601" s="117"/>
      <c r="G601" s="117"/>
      <c r="H601" s="117"/>
      <c r="I601" s="117"/>
      <c r="J601" s="117"/>
    </row>
    <row r="602">
      <c r="A602" s="117"/>
      <c r="B602" s="117"/>
      <c r="C602" s="117"/>
      <c r="D602" s="117"/>
      <c r="E602" s="117"/>
      <c r="F602" s="117"/>
      <c r="G602" s="117"/>
      <c r="H602" s="117"/>
      <c r="I602" s="117"/>
      <c r="J602" s="117"/>
    </row>
    <row r="603">
      <c r="A603" s="117"/>
      <c r="B603" s="117"/>
      <c r="C603" s="117"/>
      <c r="D603" s="117"/>
      <c r="E603" s="117"/>
      <c r="F603" s="117"/>
      <c r="G603" s="117"/>
      <c r="H603" s="117"/>
      <c r="I603" s="117"/>
      <c r="J603" s="117"/>
    </row>
    <row r="604">
      <c r="A604" s="117"/>
      <c r="B604" s="117"/>
      <c r="C604" s="117"/>
      <c r="D604" s="117"/>
      <c r="E604" s="117"/>
      <c r="F604" s="117"/>
      <c r="G604" s="117"/>
      <c r="H604" s="117"/>
      <c r="I604" s="117"/>
      <c r="J604" s="117"/>
    </row>
    <row r="605">
      <c r="A605" s="117"/>
      <c r="B605" s="117"/>
      <c r="C605" s="117"/>
      <c r="D605" s="117"/>
      <c r="E605" s="117"/>
      <c r="F605" s="117"/>
      <c r="G605" s="117"/>
      <c r="H605" s="117"/>
      <c r="I605" s="117"/>
      <c r="J605" s="117"/>
    </row>
    <row r="606">
      <c r="A606" s="117"/>
      <c r="B606" s="117"/>
      <c r="C606" s="117"/>
      <c r="D606" s="117"/>
      <c r="E606" s="117"/>
      <c r="F606" s="117"/>
      <c r="G606" s="117"/>
      <c r="H606" s="117"/>
      <c r="I606" s="117"/>
      <c r="J606" s="117"/>
    </row>
    <row r="607">
      <c r="A607" s="117"/>
      <c r="B607" s="117"/>
      <c r="C607" s="117"/>
      <c r="D607" s="117"/>
      <c r="E607" s="117"/>
      <c r="F607" s="117"/>
      <c r="G607" s="117"/>
      <c r="H607" s="117"/>
      <c r="I607" s="117"/>
      <c r="J607" s="117"/>
    </row>
    <row r="608">
      <c r="A608" s="117"/>
      <c r="B608" s="117"/>
      <c r="C608" s="117"/>
      <c r="D608" s="117"/>
      <c r="E608" s="117"/>
      <c r="F608" s="117"/>
      <c r="G608" s="117"/>
      <c r="H608" s="117"/>
      <c r="I608" s="117"/>
      <c r="J608" s="117"/>
    </row>
    <row r="609">
      <c r="A609" s="117"/>
      <c r="B609" s="117"/>
      <c r="C609" s="117"/>
      <c r="D609" s="117"/>
      <c r="E609" s="117"/>
      <c r="F609" s="117"/>
      <c r="G609" s="117"/>
      <c r="H609" s="117"/>
      <c r="I609" s="117"/>
      <c r="J609" s="117"/>
    </row>
    <row r="610">
      <c r="A610" s="117"/>
      <c r="B610" s="117"/>
      <c r="C610" s="117"/>
      <c r="D610" s="117"/>
      <c r="E610" s="117"/>
      <c r="F610" s="117"/>
      <c r="G610" s="117"/>
      <c r="H610" s="117"/>
      <c r="I610" s="117"/>
      <c r="J610" s="117"/>
    </row>
    <row r="611">
      <c r="A611" s="117"/>
      <c r="B611" s="117"/>
      <c r="C611" s="117"/>
      <c r="D611" s="117"/>
      <c r="E611" s="117"/>
      <c r="F611" s="117"/>
      <c r="G611" s="117"/>
      <c r="H611" s="117"/>
      <c r="I611" s="117"/>
      <c r="J611" s="117"/>
    </row>
    <row r="612">
      <c r="A612" s="117"/>
      <c r="B612" s="117"/>
      <c r="C612" s="117"/>
      <c r="D612" s="117"/>
      <c r="E612" s="117"/>
      <c r="F612" s="117"/>
      <c r="G612" s="117"/>
      <c r="H612" s="117"/>
      <c r="I612" s="117"/>
      <c r="J612" s="117"/>
    </row>
    <row r="613">
      <c r="A613" s="117"/>
      <c r="B613" s="117"/>
      <c r="C613" s="117"/>
      <c r="D613" s="117"/>
      <c r="E613" s="117"/>
      <c r="F613" s="117"/>
      <c r="G613" s="117"/>
      <c r="H613" s="117"/>
      <c r="I613" s="117"/>
      <c r="J613" s="117"/>
    </row>
    <row r="614">
      <c r="A614" s="117"/>
      <c r="B614" s="117"/>
      <c r="C614" s="117"/>
      <c r="D614" s="117"/>
      <c r="E614" s="117"/>
      <c r="F614" s="117"/>
      <c r="G614" s="117"/>
      <c r="H614" s="117"/>
      <c r="I614" s="117"/>
      <c r="J614" s="117"/>
    </row>
    <row r="615">
      <c r="A615" s="117"/>
      <c r="B615" s="117"/>
      <c r="C615" s="117"/>
      <c r="D615" s="117"/>
      <c r="E615" s="117"/>
      <c r="F615" s="117"/>
      <c r="G615" s="117"/>
      <c r="H615" s="117"/>
      <c r="I615" s="117"/>
      <c r="J615" s="117"/>
    </row>
    <row r="616">
      <c r="A616" s="117"/>
      <c r="B616" s="117"/>
      <c r="C616" s="117"/>
      <c r="D616" s="117"/>
      <c r="E616" s="117"/>
      <c r="F616" s="117"/>
      <c r="G616" s="117"/>
      <c r="H616" s="117"/>
      <c r="I616" s="117"/>
      <c r="J616" s="117"/>
    </row>
    <row r="617">
      <c r="A617" s="117"/>
      <c r="B617" s="117"/>
      <c r="C617" s="117"/>
      <c r="D617" s="117"/>
      <c r="E617" s="117"/>
      <c r="F617" s="117"/>
      <c r="G617" s="117"/>
      <c r="H617" s="117"/>
      <c r="I617" s="117"/>
      <c r="J617" s="117"/>
    </row>
    <row r="618">
      <c r="A618" s="117"/>
      <c r="B618" s="117"/>
      <c r="C618" s="117"/>
      <c r="D618" s="117"/>
      <c r="E618" s="117"/>
      <c r="F618" s="117"/>
      <c r="G618" s="117"/>
      <c r="H618" s="117"/>
      <c r="I618" s="117"/>
      <c r="J618" s="117"/>
    </row>
    <row r="619">
      <c r="A619" s="117"/>
      <c r="B619" s="117"/>
      <c r="C619" s="117"/>
      <c r="D619" s="117"/>
      <c r="E619" s="117"/>
      <c r="F619" s="117"/>
      <c r="G619" s="117"/>
      <c r="H619" s="117"/>
      <c r="I619" s="117"/>
      <c r="J619" s="117"/>
    </row>
    <row r="620">
      <c r="A620" s="117"/>
      <c r="B620" s="117"/>
      <c r="C620" s="117"/>
      <c r="D620" s="117"/>
      <c r="E620" s="117"/>
      <c r="F620" s="117"/>
      <c r="G620" s="117"/>
      <c r="H620" s="117"/>
      <c r="I620" s="117"/>
      <c r="J620" s="117"/>
    </row>
    <row r="621">
      <c r="A621" s="117"/>
      <c r="B621" s="117"/>
      <c r="C621" s="117"/>
      <c r="D621" s="117"/>
      <c r="E621" s="117"/>
      <c r="F621" s="117"/>
      <c r="G621" s="117"/>
      <c r="H621" s="117"/>
      <c r="I621" s="117"/>
      <c r="J621" s="117"/>
    </row>
    <row r="622">
      <c r="A622" s="117"/>
      <c r="B622" s="117"/>
      <c r="C622" s="117"/>
      <c r="D622" s="117"/>
      <c r="E622" s="117"/>
      <c r="F622" s="117"/>
      <c r="G622" s="117"/>
      <c r="H622" s="117"/>
      <c r="I622" s="117"/>
      <c r="J622" s="117"/>
    </row>
    <row r="623">
      <c r="A623" s="117"/>
      <c r="B623" s="117"/>
      <c r="C623" s="117"/>
      <c r="D623" s="117"/>
      <c r="E623" s="117"/>
      <c r="F623" s="117"/>
      <c r="G623" s="117"/>
      <c r="H623" s="117"/>
      <c r="I623" s="117"/>
      <c r="J623" s="117"/>
    </row>
    <row r="624">
      <c r="A624" s="117"/>
      <c r="B624" s="117"/>
      <c r="C624" s="117"/>
      <c r="D624" s="117"/>
      <c r="E624" s="117"/>
      <c r="F624" s="117"/>
      <c r="G624" s="117"/>
      <c r="H624" s="117"/>
      <c r="I624" s="117"/>
      <c r="J624" s="117"/>
    </row>
    <row r="625">
      <c r="A625" s="117"/>
      <c r="B625" s="117"/>
      <c r="C625" s="117"/>
      <c r="D625" s="117"/>
      <c r="E625" s="117"/>
      <c r="F625" s="117"/>
      <c r="G625" s="117"/>
      <c r="H625" s="117"/>
      <c r="I625" s="117"/>
      <c r="J625" s="117"/>
    </row>
    <row r="626">
      <c r="A626" s="117"/>
      <c r="B626" s="117"/>
      <c r="C626" s="117"/>
      <c r="D626" s="117"/>
      <c r="E626" s="117"/>
      <c r="F626" s="117"/>
      <c r="G626" s="117"/>
      <c r="H626" s="117"/>
      <c r="I626" s="117"/>
      <c r="J626" s="117"/>
    </row>
    <row r="627">
      <c r="A627" s="117"/>
      <c r="B627" s="117"/>
      <c r="C627" s="117"/>
      <c r="D627" s="117"/>
      <c r="E627" s="117"/>
      <c r="F627" s="117"/>
      <c r="G627" s="117"/>
      <c r="H627" s="117"/>
      <c r="I627" s="117"/>
      <c r="J627" s="117"/>
    </row>
    <row r="628">
      <c r="A628" s="117"/>
      <c r="B628" s="117"/>
      <c r="C628" s="117"/>
      <c r="D628" s="117"/>
      <c r="E628" s="117"/>
      <c r="F628" s="117"/>
      <c r="G628" s="117"/>
      <c r="H628" s="117"/>
      <c r="I628" s="117"/>
      <c r="J628" s="117"/>
    </row>
    <row r="629">
      <c r="A629" s="117"/>
      <c r="B629" s="117"/>
      <c r="C629" s="117"/>
      <c r="D629" s="117"/>
      <c r="E629" s="117"/>
      <c r="F629" s="117"/>
      <c r="G629" s="117"/>
      <c r="H629" s="117"/>
      <c r="I629" s="117"/>
      <c r="J629" s="117"/>
    </row>
    <row r="630">
      <c r="A630" s="117"/>
      <c r="B630" s="117"/>
      <c r="C630" s="117"/>
      <c r="D630" s="117"/>
      <c r="E630" s="117"/>
      <c r="F630" s="117"/>
      <c r="G630" s="117"/>
      <c r="H630" s="117"/>
      <c r="I630" s="117"/>
      <c r="J630" s="117"/>
    </row>
    <row r="631">
      <c r="A631" s="117"/>
      <c r="B631" s="117"/>
      <c r="C631" s="117"/>
      <c r="D631" s="117"/>
      <c r="E631" s="117"/>
      <c r="F631" s="117"/>
      <c r="G631" s="117"/>
      <c r="H631" s="117"/>
      <c r="I631" s="117"/>
      <c r="J631" s="117"/>
    </row>
    <row r="632">
      <c r="A632" s="117"/>
      <c r="B632" s="117"/>
      <c r="C632" s="117"/>
      <c r="D632" s="117"/>
      <c r="E632" s="117"/>
      <c r="F632" s="117"/>
      <c r="G632" s="117"/>
      <c r="H632" s="117"/>
      <c r="I632" s="117"/>
      <c r="J632" s="117"/>
    </row>
    <row r="633">
      <c r="A633" s="117"/>
      <c r="B633" s="117"/>
      <c r="C633" s="117"/>
      <c r="D633" s="117"/>
      <c r="E633" s="117"/>
      <c r="F633" s="117"/>
      <c r="G633" s="117"/>
      <c r="H633" s="117"/>
      <c r="I633" s="117"/>
      <c r="J633" s="117"/>
    </row>
    <row r="634">
      <c r="A634" s="117"/>
      <c r="B634" s="117"/>
      <c r="C634" s="117"/>
      <c r="D634" s="117"/>
      <c r="E634" s="117"/>
      <c r="F634" s="117"/>
      <c r="G634" s="117"/>
      <c r="H634" s="117"/>
      <c r="I634" s="117"/>
      <c r="J634" s="117"/>
    </row>
    <row r="635">
      <c r="A635" s="117"/>
      <c r="B635" s="117"/>
      <c r="C635" s="117"/>
      <c r="D635" s="117"/>
      <c r="E635" s="117"/>
      <c r="F635" s="117"/>
      <c r="G635" s="117"/>
      <c r="H635" s="117"/>
      <c r="I635" s="117"/>
      <c r="J635" s="117"/>
    </row>
    <row r="636">
      <c r="A636" s="117"/>
      <c r="B636" s="117"/>
      <c r="C636" s="117"/>
      <c r="D636" s="117"/>
      <c r="E636" s="117"/>
      <c r="F636" s="117"/>
      <c r="G636" s="117"/>
      <c r="H636" s="117"/>
      <c r="I636" s="117"/>
      <c r="J636" s="117"/>
    </row>
    <row r="637">
      <c r="A637" s="117"/>
      <c r="B637" s="117"/>
      <c r="C637" s="117"/>
      <c r="D637" s="117"/>
      <c r="E637" s="117"/>
      <c r="F637" s="117"/>
      <c r="G637" s="117"/>
      <c r="H637" s="117"/>
      <c r="I637" s="117"/>
      <c r="J637" s="117"/>
    </row>
    <row r="638">
      <c r="A638" s="117"/>
      <c r="B638" s="117"/>
      <c r="C638" s="117"/>
      <c r="D638" s="117"/>
      <c r="E638" s="117"/>
      <c r="F638" s="117"/>
      <c r="G638" s="117"/>
      <c r="H638" s="117"/>
      <c r="I638" s="117"/>
      <c r="J638" s="117"/>
    </row>
    <row r="639">
      <c r="A639" s="117"/>
      <c r="B639" s="117"/>
      <c r="C639" s="117"/>
      <c r="D639" s="117"/>
      <c r="E639" s="117"/>
      <c r="F639" s="117"/>
      <c r="G639" s="117"/>
      <c r="H639" s="117"/>
      <c r="I639" s="117"/>
      <c r="J639" s="117"/>
    </row>
    <row r="640">
      <c r="A640" s="117"/>
      <c r="B640" s="117"/>
      <c r="C640" s="117"/>
      <c r="D640" s="117"/>
      <c r="E640" s="117"/>
      <c r="F640" s="117"/>
      <c r="G640" s="117"/>
      <c r="H640" s="117"/>
      <c r="I640" s="117"/>
      <c r="J640" s="117"/>
    </row>
    <row r="641">
      <c r="A641" s="117"/>
      <c r="B641" s="117"/>
      <c r="C641" s="117"/>
      <c r="D641" s="117"/>
      <c r="E641" s="117"/>
      <c r="F641" s="117"/>
      <c r="G641" s="117"/>
      <c r="H641" s="117"/>
      <c r="I641" s="117"/>
      <c r="J641" s="117"/>
    </row>
    <row r="642">
      <c r="A642" s="117"/>
      <c r="B642" s="117"/>
      <c r="C642" s="117"/>
      <c r="D642" s="117"/>
      <c r="E642" s="117"/>
      <c r="F642" s="117"/>
      <c r="G642" s="117"/>
      <c r="H642" s="117"/>
      <c r="I642" s="117"/>
      <c r="J642" s="117"/>
    </row>
    <row r="643">
      <c r="A643" s="117"/>
      <c r="B643" s="117"/>
      <c r="C643" s="117"/>
      <c r="D643" s="117"/>
      <c r="E643" s="117"/>
      <c r="F643" s="117"/>
      <c r="G643" s="117"/>
      <c r="H643" s="117"/>
      <c r="I643" s="117"/>
      <c r="J643" s="117"/>
    </row>
    <row r="644">
      <c r="A644" s="117"/>
      <c r="B644" s="117"/>
      <c r="C644" s="117"/>
      <c r="D644" s="117"/>
      <c r="E644" s="117"/>
      <c r="F644" s="117"/>
      <c r="G644" s="117"/>
      <c r="H644" s="117"/>
      <c r="I644" s="117"/>
      <c r="J644" s="117"/>
    </row>
    <row r="645">
      <c r="A645" s="117"/>
      <c r="B645" s="117"/>
      <c r="C645" s="117"/>
      <c r="D645" s="117"/>
      <c r="E645" s="117"/>
      <c r="F645" s="117"/>
      <c r="G645" s="117"/>
      <c r="H645" s="117"/>
      <c r="I645" s="117"/>
      <c r="J645" s="117"/>
    </row>
    <row r="646">
      <c r="A646" s="117"/>
      <c r="B646" s="117"/>
      <c r="C646" s="117"/>
      <c r="D646" s="117"/>
      <c r="E646" s="117"/>
      <c r="F646" s="117"/>
      <c r="G646" s="117"/>
      <c r="H646" s="117"/>
      <c r="I646" s="117"/>
      <c r="J646" s="117"/>
    </row>
    <row r="647">
      <c r="A647" s="117"/>
      <c r="B647" s="117"/>
      <c r="C647" s="117"/>
      <c r="D647" s="117"/>
      <c r="E647" s="117"/>
      <c r="F647" s="117"/>
      <c r="G647" s="117"/>
      <c r="H647" s="117"/>
      <c r="I647" s="117"/>
      <c r="J647" s="117"/>
    </row>
    <row r="648">
      <c r="A648" s="117"/>
      <c r="B648" s="117"/>
      <c r="C648" s="117"/>
      <c r="D648" s="117"/>
      <c r="E648" s="117"/>
      <c r="F648" s="117"/>
      <c r="G648" s="117"/>
      <c r="H648" s="117"/>
      <c r="I648" s="117"/>
      <c r="J648" s="117"/>
    </row>
    <row r="649">
      <c r="A649" s="117"/>
      <c r="B649" s="117"/>
      <c r="C649" s="117"/>
      <c r="D649" s="117"/>
      <c r="E649" s="117"/>
      <c r="F649" s="117"/>
      <c r="G649" s="117"/>
      <c r="H649" s="117"/>
      <c r="I649" s="117"/>
      <c r="J649" s="117"/>
    </row>
    <row r="650">
      <c r="A650" s="117"/>
      <c r="B650" s="117"/>
      <c r="C650" s="117"/>
      <c r="D650" s="117"/>
      <c r="E650" s="117"/>
      <c r="F650" s="117"/>
      <c r="G650" s="117"/>
      <c r="H650" s="117"/>
      <c r="I650" s="117"/>
      <c r="J650" s="117"/>
    </row>
    <row r="651">
      <c r="A651" s="117"/>
      <c r="B651" s="117"/>
      <c r="C651" s="117"/>
      <c r="D651" s="117"/>
      <c r="E651" s="117"/>
      <c r="F651" s="117"/>
      <c r="G651" s="117"/>
      <c r="H651" s="117"/>
      <c r="I651" s="117"/>
      <c r="J651" s="117"/>
    </row>
    <row r="652">
      <c r="A652" s="117"/>
      <c r="B652" s="117"/>
      <c r="C652" s="117"/>
      <c r="D652" s="117"/>
      <c r="E652" s="117"/>
      <c r="F652" s="117"/>
      <c r="G652" s="117"/>
      <c r="H652" s="117"/>
      <c r="I652" s="117"/>
      <c r="J652" s="117"/>
    </row>
    <row r="653">
      <c r="A653" s="117"/>
      <c r="B653" s="117"/>
      <c r="C653" s="117"/>
      <c r="D653" s="117"/>
      <c r="E653" s="117"/>
      <c r="F653" s="117"/>
      <c r="G653" s="117"/>
      <c r="H653" s="117"/>
      <c r="I653" s="117"/>
      <c r="J653" s="117"/>
    </row>
    <row r="654">
      <c r="A654" s="117"/>
      <c r="B654" s="117"/>
      <c r="C654" s="117"/>
      <c r="D654" s="117"/>
      <c r="E654" s="117"/>
      <c r="F654" s="117"/>
      <c r="G654" s="117"/>
      <c r="H654" s="117"/>
      <c r="I654" s="117"/>
      <c r="J654" s="117"/>
    </row>
    <row r="655">
      <c r="A655" s="117"/>
      <c r="B655" s="117"/>
      <c r="C655" s="117"/>
      <c r="D655" s="117"/>
      <c r="E655" s="117"/>
      <c r="F655" s="117"/>
      <c r="G655" s="117"/>
      <c r="H655" s="117"/>
      <c r="I655" s="117"/>
      <c r="J655" s="117"/>
    </row>
    <row r="656">
      <c r="A656" s="117"/>
      <c r="B656" s="117"/>
      <c r="C656" s="117"/>
      <c r="D656" s="117"/>
      <c r="E656" s="117"/>
      <c r="F656" s="117"/>
      <c r="G656" s="117"/>
      <c r="H656" s="117"/>
      <c r="I656" s="117"/>
      <c r="J656" s="117"/>
    </row>
    <row r="657">
      <c r="A657" s="117"/>
      <c r="B657" s="117"/>
      <c r="C657" s="117"/>
      <c r="D657" s="117"/>
      <c r="E657" s="117"/>
      <c r="F657" s="117"/>
      <c r="G657" s="117"/>
      <c r="H657" s="117"/>
      <c r="I657" s="117"/>
      <c r="J657" s="117"/>
    </row>
    <row r="658">
      <c r="A658" s="117"/>
      <c r="B658" s="117"/>
      <c r="C658" s="117"/>
      <c r="D658" s="117"/>
      <c r="E658" s="117"/>
      <c r="F658" s="117"/>
      <c r="G658" s="117"/>
      <c r="H658" s="117"/>
      <c r="I658" s="117"/>
      <c r="J658" s="117"/>
    </row>
    <row r="659">
      <c r="A659" s="117"/>
      <c r="B659" s="117"/>
      <c r="C659" s="117"/>
      <c r="D659" s="117"/>
      <c r="E659" s="117"/>
      <c r="F659" s="117"/>
      <c r="G659" s="117"/>
      <c r="H659" s="117"/>
      <c r="I659" s="117"/>
      <c r="J659" s="117"/>
    </row>
    <row r="660">
      <c r="A660" s="117"/>
      <c r="B660" s="117"/>
      <c r="C660" s="117"/>
      <c r="D660" s="117"/>
      <c r="E660" s="117"/>
      <c r="F660" s="117"/>
      <c r="G660" s="117"/>
      <c r="H660" s="117"/>
      <c r="I660" s="117"/>
      <c r="J660" s="117"/>
    </row>
    <row r="661">
      <c r="A661" s="117"/>
      <c r="B661" s="117"/>
      <c r="C661" s="117"/>
      <c r="D661" s="117"/>
      <c r="E661" s="117"/>
      <c r="F661" s="117"/>
      <c r="G661" s="117"/>
      <c r="H661" s="117"/>
      <c r="I661" s="117"/>
      <c r="J661" s="117"/>
    </row>
    <row r="662">
      <c r="A662" s="117"/>
      <c r="B662" s="117"/>
      <c r="C662" s="117"/>
      <c r="D662" s="117"/>
      <c r="E662" s="117"/>
      <c r="F662" s="117"/>
      <c r="G662" s="117"/>
      <c r="H662" s="117"/>
      <c r="I662" s="117"/>
      <c r="J662" s="117"/>
    </row>
    <row r="663">
      <c r="A663" s="117"/>
      <c r="B663" s="117"/>
      <c r="C663" s="117"/>
      <c r="D663" s="117"/>
      <c r="E663" s="117"/>
      <c r="F663" s="117"/>
      <c r="G663" s="117"/>
      <c r="H663" s="117"/>
      <c r="I663" s="117"/>
      <c r="J663" s="117"/>
    </row>
    <row r="664">
      <c r="A664" s="117"/>
      <c r="B664" s="117"/>
      <c r="C664" s="117"/>
      <c r="D664" s="117"/>
      <c r="E664" s="117"/>
      <c r="F664" s="117"/>
      <c r="G664" s="117"/>
      <c r="H664" s="117"/>
      <c r="I664" s="117"/>
      <c r="J664" s="117"/>
    </row>
    <row r="665">
      <c r="A665" s="117"/>
      <c r="B665" s="117"/>
      <c r="C665" s="117"/>
      <c r="D665" s="117"/>
      <c r="E665" s="117"/>
      <c r="F665" s="117"/>
      <c r="G665" s="117"/>
      <c r="H665" s="117"/>
      <c r="I665" s="117"/>
      <c r="J665" s="117"/>
    </row>
    <row r="666">
      <c r="A666" s="117"/>
      <c r="B666" s="117"/>
      <c r="C666" s="117"/>
      <c r="D666" s="117"/>
      <c r="E666" s="117"/>
      <c r="F666" s="117"/>
      <c r="G666" s="117"/>
      <c r="H666" s="117"/>
      <c r="I666" s="117"/>
      <c r="J666" s="117"/>
    </row>
    <row r="667">
      <c r="A667" s="117"/>
      <c r="B667" s="117"/>
      <c r="C667" s="117"/>
      <c r="D667" s="117"/>
      <c r="E667" s="117"/>
      <c r="F667" s="117"/>
      <c r="G667" s="117"/>
      <c r="H667" s="117"/>
      <c r="I667" s="117"/>
      <c r="J667" s="117"/>
    </row>
    <row r="668">
      <c r="A668" s="117"/>
      <c r="B668" s="117"/>
      <c r="C668" s="117"/>
      <c r="D668" s="117"/>
      <c r="E668" s="117"/>
      <c r="F668" s="117"/>
      <c r="G668" s="117"/>
      <c r="H668" s="117"/>
      <c r="I668" s="117"/>
      <c r="J668" s="117"/>
    </row>
    <row r="669">
      <c r="A669" s="117"/>
      <c r="B669" s="117"/>
      <c r="C669" s="117"/>
      <c r="D669" s="117"/>
      <c r="E669" s="117"/>
      <c r="F669" s="117"/>
      <c r="G669" s="117"/>
      <c r="H669" s="117"/>
      <c r="I669" s="117"/>
      <c r="J669" s="117"/>
    </row>
    <row r="670">
      <c r="A670" s="117"/>
      <c r="B670" s="117"/>
      <c r="C670" s="117"/>
      <c r="D670" s="117"/>
      <c r="E670" s="117"/>
      <c r="F670" s="117"/>
      <c r="G670" s="117"/>
      <c r="H670" s="117"/>
      <c r="I670" s="117"/>
      <c r="J670" s="117"/>
    </row>
    <row r="671">
      <c r="A671" s="117"/>
      <c r="B671" s="117"/>
      <c r="C671" s="117"/>
      <c r="D671" s="117"/>
      <c r="E671" s="117"/>
      <c r="F671" s="117"/>
      <c r="G671" s="117"/>
      <c r="H671" s="117"/>
      <c r="I671" s="117"/>
      <c r="J671" s="117"/>
    </row>
    <row r="672">
      <c r="A672" s="117"/>
      <c r="B672" s="117"/>
      <c r="C672" s="117"/>
      <c r="D672" s="117"/>
      <c r="E672" s="117"/>
      <c r="F672" s="117"/>
      <c r="G672" s="117"/>
      <c r="H672" s="117"/>
      <c r="I672" s="117"/>
      <c r="J672" s="117"/>
    </row>
    <row r="673">
      <c r="A673" s="117"/>
      <c r="B673" s="117"/>
      <c r="C673" s="117"/>
      <c r="D673" s="117"/>
      <c r="E673" s="117"/>
      <c r="F673" s="117"/>
      <c r="G673" s="117"/>
      <c r="H673" s="117"/>
      <c r="I673" s="117"/>
      <c r="J673" s="117"/>
    </row>
    <row r="674">
      <c r="A674" s="117"/>
      <c r="B674" s="117"/>
      <c r="C674" s="117"/>
      <c r="D674" s="117"/>
      <c r="E674" s="117"/>
      <c r="F674" s="117"/>
      <c r="G674" s="117"/>
      <c r="H674" s="117"/>
      <c r="I674" s="117"/>
      <c r="J674" s="117"/>
    </row>
    <row r="675">
      <c r="A675" s="117"/>
      <c r="B675" s="117"/>
      <c r="C675" s="117"/>
      <c r="D675" s="117"/>
      <c r="E675" s="117"/>
      <c r="F675" s="117"/>
      <c r="G675" s="117"/>
      <c r="H675" s="117"/>
      <c r="I675" s="117"/>
      <c r="J675" s="117"/>
    </row>
    <row r="676">
      <c r="A676" s="117"/>
      <c r="B676" s="117"/>
      <c r="C676" s="117"/>
      <c r="D676" s="117"/>
      <c r="E676" s="117"/>
      <c r="F676" s="117"/>
      <c r="G676" s="117"/>
      <c r="H676" s="117"/>
      <c r="I676" s="117"/>
      <c r="J676" s="117"/>
    </row>
    <row r="677">
      <c r="A677" s="117"/>
      <c r="B677" s="117"/>
      <c r="C677" s="117"/>
      <c r="D677" s="117"/>
      <c r="E677" s="117"/>
      <c r="F677" s="117"/>
      <c r="G677" s="117"/>
      <c r="H677" s="117"/>
      <c r="I677" s="117"/>
      <c r="J677" s="117"/>
    </row>
    <row r="678">
      <c r="A678" s="117"/>
      <c r="B678" s="117"/>
      <c r="C678" s="117"/>
      <c r="D678" s="117"/>
      <c r="E678" s="117"/>
      <c r="F678" s="117"/>
      <c r="G678" s="117"/>
      <c r="H678" s="117"/>
      <c r="I678" s="117"/>
      <c r="J678" s="117"/>
    </row>
    <row r="679">
      <c r="A679" s="117"/>
      <c r="B679" s="117"/>
      <c r="C679" s="117"/>
      <c r="D679" s="117"/>
      <c r="E679" s="117"/>
      <c r="F679" s="117"/>
      <c r="G679" s="117"/>
      <c r="H679" s="117"/>
      <c r="I679" s="117"/>
      <c r="J679" s="117"/>
    </row>
    <row r="680">
      <c r="A680" s="117"/>
      <c r="B680" s="117"/>
      <c r="C680" s="117"/>
      <c r="D680" s="117"/>
      <c r="E680" s="117"/>
      <c r="F680" s="117"/>
      <c r="G680" s="117"/>
      <c r="H680" s="117"/>
      <c r="I680" s="117"/>
      <c r="J680" s="117"/>
    </row>
    <row r="681">
      <c r="A681" s="117"/>
      <c r="B681" s="117"/>
      <c r="C681" s="117"/>
      <c r="D681" s="117"/>
      <c r="E681" s="117"/>
      <c r="F681" s="117"/>
      <c r="G681" s="117"/>
      <c r="H681" s="117"/>
      <c r="I681" s="117"/>
      <c r="J681" s="117"/>
    </row>
    <row r="682">
      <c r="A682" s="117"/>
      <c r="B682" s="117"/>
      <c r="C682" s="117"/>
      <c r="D682" s="117"/>
      <c r="E682" s="117"/>
      <c r="F682" s="117"/>
      <c r="G682" s="117"/>
      <c r="H682" s="117"/>
      <c r="I682" s="117"/>
      <c r="J682" s="117"/>
    </row>
    <row r="683">
      <c r="A683" s="117"/>
      <c r="B683" s="117"/>
      <c r="C683" s="117"/>
      <c r="D683" s="117"/>
      <c r="E683" s="117"/>
      <c r="F683" s="117"/>
      <c r="G683" s="117"/>
      <c r="H683" s="117"/>
      <c r="I683" s="117"/>
      <c r="J683" s="117"/>
    </row>
    <row r="684">
      <c r="A684" s="117"/>
      <c r="B684" s="117"/>
      <c r="C684" s="117"/>
      <c r="D684" s="117"/>
      <c r="E684" s="117"/>
      <c r="F684" s="117"/>
      <c r="G684" s="117"/>
      <c r="H684" s="117"/>
      <c r="I684" s="117"/>
      <c r="J684" s="117"/>
    </row>
    <row r="685">
      <c r="A685" s="117"/>
      <c r="B685" s="117"/>
      <c r="C685" s="117"/>
      <c r="D685" s="117"/>
      <c r="E685" s="117"/>
      <c r="F685" s="117"/>
      <c r="G685" s="117"/>
      <c r="H685" s="117"/>
      <c r="I685" s="117"/>
      <c r="J685" s="117"/>
    </row>
    <row r="686">
      <c r="A686" s="117"/>
      <c r="B686" s="117"/>
      <c r="C686" s="117"/>
      <c r="D686" s="117"/>
      <c r="E686" s="117"/>
      <c r="F686" s="117"/>
      <c r="G686" s="117"/>
      <c r="H686" s="117"/>
      <c r="I686" s="117"/>
      <c r="J686" s="117"/>
    </row>
    <row r="687">
      <c r="A687" s="117"/>
      <c r="B687" s="117"/>
      <c r="C687" s="117"/>
      <c r="D687" s="117"/>
      <c r="E687" s="117"/>
      <c r="F687" s="117"/>
      <c r="G687" s="117"/>
      <c r="H687" s="117"/>
      <c r="I687" s="117"/>
      <c r="J687" s="117"/>
    </row>
    <row r="688">
      <c r="A688" s="117"/>
      <c r="B688" s="117"/>
      <c r="C688" s="117"/>
      <c r="D688" s="117"/>
      <c r="E688" s="117"/>
      <c r="F688" s="117"/>
      <c r="G688" s="117"/>
      <c r="H688" s="117"/>
      <c r="I688" s="117"/>
      <c r="J688" s="117"/>
    </row>
    <row r="689">
      <c r="A689" s="117"/>
      <c r="B689" s="117"/>
      <c r="C689" s="117"/>
      <c r="D689" s="117"/>
      <c r="E689" s="117"/>
      <c r="F689" s="117"/>
      <c r="G689" s="117"/>
      <c r="H689" s="117"/>
      <c r="I689" s="117"/>
      <c r="J689" s="117"/>
    </row>
    <row r="690">
      <c r="A690" s="117"/>
      <c r="B690" s="117"/>
      <c r="C690" s="117"/>
      <c r="D690" s="117"/>
      <c r="E690" s="117"/>
      <c r="F690" s="117"/>
      <c r="G690" s="117"/>
      <c r="H690" s="117"/>
      <c r="I690" s="117"/>
      <c r="J690" s="117"/>
    </row>
    <row r="691">
      <c r="A691" s="117"/>
      <c r="B691" s="117"/>
      <c r="C691" s="117"/>
      <c r="D691" s="117"/>
      <c r="E691" s="117"/>
      <c r="F691" s="117"/>
      <c r="G691" s="117"/>
      <c r="H691" s="117"/>
      <c r="I691" s="117"/>
      <c r="J691" s="117"/>
    </row>
    <row r="692">
      <c r="A692" s="117"/>
      <c r="B692" s="117"/>
      <c r="C692" s="117"/>
      <c r="D692" s="117"/>
      <c r="E692" s="117"/>
      <c r="F692" s="117"/>
      <c r="G692" s="117"/>
      <c r="H692" s="117"/>
      <c r="I692" s="117"/>
      <c r="J692" s="117"/>
    </row>
    <row r="693">
      <c r="A693" s="117"/>
      <c r="B693" s="117"/>
      <c r="C693" s="117"/>
      <c r="D693" s="117"/>
      <c r="E693" s="117"/>
      <c r="F693" s="117"/>
      <c r="G693" s="117"/>
      <c r="H693" s="117"/>
      <c r="I693" s="117"/>
      <c r="J693" s="117"/>
    </row>
    <row r="694">
      <c r="A694" s="117"/>
      <c r="B694" s="117"/>
      <c r="C694" s="117"/>
      <c r="D694" s="117"/>
      <c r="E694" s="117"/>
      <c r="F694" s="117"/>
      <c r="G694" s="117"/>
      <c r="H694" s="117"/>
      <c r="I694" s="117"/>
      <c r="J694" s="117"/>
    </row>
    <row r="695">
      <c r="A695" s="117"/>
      <c r="B695" s="117"/>
      <c r="C695" s="117"/>
      <c r="D695" s="117"/>
      <c r="E695" s="117"/>
      <c r="F695" s="117"/>
      <c r="G695" s="117"/>
      <c r="H695" s="117"/>
      <c r="I695" s="117"/>
      <c r="J695" s="117"/>
    </row>
    <row r="696">
      <c r="A696" s="117"/>
      <c r="B696" s="117"/>
      <c r="C696" s="117"/>
      <c r="D696" s="117"/>
      <c r="E696" s="117"/>
      <c r="F696" s="117"/>
      <c r="G696" s="117"/>
      <c r="H696" s="117"/>
      <c r="I696" s="117"/>
      <c r="J696" s="117"/>
    </row>
    <row r="697">
      <c r="A697" s="117"/>
      <c r="B697" s="117"/>
      <c r="C697" s="117"/>
      <c r="D697" s="117"/>
      <c r="E697" s="117"/>
      <c r="F697" s="117"/>
      <c r="G697" s="117"/>
      <c r="H697" s="117"/>
      <c r="I697" s="117"/>
      <c r="J697" s="117"/>
    </row>
    <row r="698">
      <c r="A698" s="117"/>
      <c r="B698" s="117"/>
      <c r="C698" s="117"/>
      <c r="D698" s="117"/>
      <c r="E698" s="117"/>
      <c r="F698" s="117"/>
      <c r="G698" s="117"/>
      <c r="H698" s="117"/>
      <c r="I698" s="117"/>
      <c r="J698" s="117"/>
    </row>
    <row r="699">
      <c r="A699" s="117"/>
      <c r="B699" s="117"/>
      <c r="C699" s="117"/>
      <c r="D699" s="117"/>
      <c r="E699" s="117"/>
      <c r="F699" s="117"/>
      <c r="G699" s="117"/>
      <c r="H699" s="117"/>
      <c r="I699" s="117"/>
      <c r="J699" s="117"/>
    </row>
    <row r="700">
      <c r="A700" s="117"/>
      <c r="B700" s="117"/>
      <c r="C700" s="117"/>
      <c r="D700" s="117"/>
      <c r="E700" s="117"/>
      <c r="F700" s="117"/>
      <c r="G700" s="117"/>
      <c r="H700" s="117"/>
      <c r="I700" s="117"/>
      <c r="J700" s="117"/>
    </row>
    <row r="701">
      <c r="A701" s="117"/>
      <c r="B701" s="117"/>
      <c r="C701" s="117"/>
      <c r="D701" s="117"/>
      <c r="E701" s="117"/>
      <c r="F701" s="117"/>
      <c r="G701" s="117"/>
      <c r="H701" s="117"/>
      <c r="I701" s="117"/>
      <c r="J701" s="117"/>
    </row>
    <row r="702">
      <c r="A702" s="117"/>
      <c r="B702" s="117"/>
      <c r="C702" s="117"/>
      <c r="D702" s="117"/>
      <c r="E702" s="117"/>
      <c r="F702" s="117"/>
      <c r="G702" s="117"/>
      <c r="H702" s="117"/>
      <c r="I702" s="117"/>
      <c r="J702" s="117"/>
    </row>
    <row r="703">
      <c r="A703" s="117"/>
      <c r="B703" s="117"/>
      <c r="C703" s="117"/>
      <c r="D703" s="117"/>
      <c r="E703" s="117"/>
      <c r="F703" s="117"/>
      <c r="G703" s="117"/>
      <c r="H703" s="117"/>
      <c r="I703" s="117"/>
      <c r="J703" s="117"/>
    </row>
    <row r="704">
      <c r="A704" s="117"/>
      <c r="B704" s="117"/>
      <c r="C704" s="117"/>
      <c r="D704" s="117"/>
      <c r="E704" s="117"/>
      <c r="F704" s="117"/>
      <c r="G704" s="117"/>
      <c r="H704" s="117"/>
      <c r="I704" s="117"/>
      <c r="J704" s="117"/>
    </row>
    <row r="705">
      <c r="A705" s="117"/>
      <c r="B705" s="117"/>
      <c r="C705" s="117"/>
      <c r="D705" s="117"/>
      <c r="E705" s="117"/>
      <c r="F705" s="117"/>
      <c r="G705" s="117"/>
      <c r="H705" s="117"/>
      <c r="I705" s="117"/>
      <c r="J705" s="117"/>
    </row>
    <row r="706">
      <c r="A706" s="117"/>
      <c r="B706" s="117"/>
      <c r="C706" s="117"/>
      <c r="D706" s="117"/>
      <c r="E706" s="117"/>
      <c r="F706" s="117"/>
      <c r="G706" s="117"/>
      <c r="H706" s="117"/>
      <c r="I706" s="117"/>
      <c r="J706" s="117"/>
    </row>
    <row r="707">
      <c r="A707" s="117"/>
      <c r="B707" s="117"/>
      <c r="C707" s="117"/>
      <c r="D707" s="117"/>
      <c r="E707" s="117"/>
      <c r="F707" s="117"/>
      <c r="G707" s="117"/>
      <c r="H707" s="117"/>
      <c r="I707" s="117"/>
      <c r="J707" s="117"/>
    </row>
    <row r="708">
      <c r="A708" s="117"/>
      <c r="B708" s="117"/>
      <c r="C708" s="117"/>
      <c r="D708" s="117"/>
      <c r="E708" s="117"/>
      <c r="F708" s="117"/>
      <c r="G708" s="117"/>
      <c r="H708" s="117"/>
      <c r="I708" s="117"/>
      <c r="J708" s="117"/>
    </row>
    <row r="709">
      <c r="A709" s="117"/>
      <c r="B709" s="117"/>
      <c r="C709" s="117"/>
      <c r="D709" s="117"/>
      <c r="E709" s="117"/>
      <c r="F709" s="117"/>
      <c r="G709" s="117"/>
      <c r="H709" s="117"/>
      <c r="I709" s="117"/>
      <c r="J709" s="117"/>
    </row>
    <row r="710">
      <c r="A710" s="117"/>
      <c r="B710" s="117"/>
      <c r="C710" s="117"/>
      <c r="D710" s="117"/>
      <c r="E710" s="117"/>
      <c r="F710" s="117"/>
      <c r="G710" s="117"/>
      <c r="H710" s="117"/>
      <c r="I710" s="117"/>
      <c r="J710" s="117"/>
    </row>
    <row r="711">
      <c r="A711" s="117"/>
      <c r="B711" s="117"/>
      <c r="C711" s="117"/>
      <c r="D711" s="117"/>
      <c r="E711" s="117"/>
      <c r="F711" s="117"/>
      <c r="G711" s="117"/>
      <c r="H711" s="117"/>
      <c r="I711" s="117"/>
      <c r="J711" s="117"/>
    </row>
    <row r="712">
      <c r="A712" s="117"/>
      <c r="B712" s="117"/>
      <c r="C712" s="117"/>
      <c r="D712" s="117"/>
      <c r="E712" s="117"/>
      <c r="F712" s="117"/>
      <c r="G712" s="117"/>
      <c r="H712" s="117"/>
      <c r="I712" s="117"/>
      <c r="J712" s="117"/>
    </row>
    <row r="713">
      <c r="A713" s="117"/>
      <c r="B713" s="117"/>
      <c r="C713" s="117"/>
      <c r="D713" s="117"/>
      <c r="E713" s="117"/>
      <c r="F713" s="117"/>
      <c r="G713" s="117"/>
      <c r="H713" s="117"/>
      <c r="I713" s="117"/>
      <c r="J713" s="117"/>
    </row>
    <row r="714">
      <c r="A714" s="117"/>
      <c r="B714" s="117"/>
      <c r="C714" s="117"/>
      <c r="D714" s="117"/>
      <c r="E714" s="117"/>
      <c r="F714" s="117"/>
      <c r="G714" s="117"/>
      <c r="H714" s="117"/>
      <c r="I714" s="117"/>
      <c r="J714" s="117"/>
    </row>
    <row r="715">
      <c r="A715" s="117"/>
      <c r="B715" s="117"/>
      <c r="C715" s="117"/>
      <c r="D715" s="117"/>
      <c r="E715" s="117"/>
      <c r="F715" s="117"/>
      <c r="G715" s="117"/>
      <c r="H715" s="117"/>
      <c r="I715" s="117"/>
      <c r="J715" s="117"/>
    </row>
    <row r="716">
      <c r="A716" s="117"/>
      <c r="B716" s="117"/>
      <c r="C716" s="117"/>
      <c r="D716" s="117"/>
      <c r="E716" s="117"/>
      <c r="F716" s="117"/>
      <c r="G716" s="117"/>
      <c r="H716" s="117"/>
      <c r="I716" s="117"/>
      <c r="J716" s="117"/>
    </row>
    <row r="717">
      <c r="A717" s="117"/>
      <c r="B717" s="117"/>
      <c r="C717" s="117"/>
      <c r="D717" s="117"/>
      <c r="E717" s="117"/>
      <c r="F717" s="117"/>
      <c r="G717" s="117"/>
      <c r="H717" s="117"/>
      <c r="I717" s="117"/>
      <c r="J717" s="117"/>
    </row>
    <row r="718">
      <c r="A718" s="117"/>
      <c r="B718" s="117"/>
      <c r="C718" s="117"/>
      <c r="D718" s="117"/>
      <c r="E718" s="117"/>
      <c r="F718" s="117"/>
      <c r="G718" s="117"/>
      <c r="H718" s="117"/>
      <c r="I718" s="117"/>
      <c r="J718" s="117"/>
    </row>
    <row r="719">
      <c r="A719" s="117"/>
      <c r="B719" s="117"/>
      <c r="C719" s="117"/>
      <c r="D719" s="117"/>
      <c r="E719" s="117"/>
      <c r="F719" s="117"/>
      <c r="G719" s="117"/>
      <c r="H719" s="117"/>
      <c r="I719" s="117"/>
      <c r="J719" s="117"/>
    </row>
    <row r="720">
      <c r="A720" s="117"/>
      <c r="B720" s="117"/>
      <c r="C720" s="117"/>
      <c r="D720" s="117"/>
      <c r="E720" s="117"/>
      <c r="F720" s="117"/>
      <c r="G720" s="117"/>
      <c r="H720" s="117"/>
      <c r="I720" s="117"/>
      <c r="J720" s="117"/>
    </row>
    <row r="721">
      <c r="A721" s="117"/>
      <c r="B721" s="117"/>
      <c r="C721" s="117"/>
      <c r="D721" s="117"/>
      <c r="E721" s="117"/>
      <c r="F721" s="117"/>
      <c r="G721" s="117"/>
      <c r="H721" s="117"/>
      <c r="I721" s="117"/>
      <c r="J721" s="117"/>
    </row>
    <row r="722">
      <c r="A722" s="117"/>
      <c r="B722" s="117"/>
      <c r="C722" s="117"/>
      <c r="D722" s="117"/>
      <c r="E722" s="117"/>
      <c r="F722" s="117"/>
      <c r="G722" s="117"/>
      <c r="H722" s="117"/>
      <c r="I722" s="117"/>
      <c r="J722" s="117"/>
    </row>
    <row r="723">
      <c r="A723" s="117"/>
      <c r="B723" s="117"/>
      <c r="C723" s="117"/>
      <c r="D723" s="117"/>
      <c r="E723" s="117"/>
      <c r="F723" s="117"/>
      <c r="G723" s="117"/>
      <c r="H723" s="117"/>
      <c r="I723" s="117"/>
      <c r="J723" s="117"/>
    </row>
    <row r="724">
      <c r="A724" s="117"/>
      <c r="B724" s="117"/>
      <c r="C724" s="117"/>
      <c r="D724" s="117"/>
      <c r="E724" s="117"/>
      <c r="F724" s="117"/>
      <c r="G724" s="117"/>
      <c r="H724" s="117"/>
      <c r="I724" s="117"/>
      <c r="J724" s="117"/>
    </row>
    <row r="725">
      <c r="A725" s="117"/>
      <c r="B725" s="117"/>
      <c r="C725" s="117"/>
      <c r="D725" s="117"/>
      <c r="E725" s="117"/>
      <c r="F725" s="117"/>
      <c r="G725" s="117"/>
      <c r="H725" s="117"/>
      <c r="I725" s="117"/>
      <c r="J725" s="117"/>
    </row>
    <row r="726">
      <c r="A726" s="117"/>
      <c r="B726" s="117"/>
      <c r="C726" s="117"/>
      <c r="D726" s="117"/>
      <c r="E726" s="117"/>
      <c r="F726" s="117"/>
      <c r="G726" s="117"/>
      <c r="H726" s="117"/>
      <c r="I726" s="117"/>
      <c r="J726" s="117"/>
    </row>
    <row r="727">
      <c r="A727" s="117"/>
      <c r="B727" s="117"/>
      <c r="C727" s="117"/>
      <c r="D727" s="117"/>
      <c r="E727" s="117"/>
      <c r="F727" s="117"/>
      <c r="G727" s="117"/>
      <c r="H727" s="117"/>
      <c r="I727" s="117"/>
      <c r="J727" s="117"/>
    </row>
    <row r="728">
      <c r="A728" s="117"/>
      <c r="B728" s="117"/>
      <c r="C728" s="117"/>
      <c r="D728" s="117"/>
      <c r="E728" s="117"/>
      <c r="F728" s="117"/>
      <c r="G728" s="117"/>
      <c r="H728" s="117"/>
      <c r="I728" s="117"/>
      <c r="J728" s="117"/>
    </row>
    <row r="729">
      <c r="A729" s="117"/>
      <c r="B729" s="117"/>
      <c r="C729" s="117"/>
      <c r="D729" s="117"/>
      <c r="E729" s="117"/>
      <c r="F729" s="117"/>
      <c r="G729" s="117"/>
      <c r="H729" s="117"/>
      <c r="I729" s="117"/>
      <c r="J729" s="117"/>
    </row>
    <row r="730">
      <c r="A730" s="117"/>
      <c r="B730" s="117"/>
      <c r="C730" s="117"/>
      <c r="D730" s="117"/>
      <c r="E730" s="117"/>
      <c r="F730" s="117"/>
      <c r="G730" s="117"/>
      <c r="H730" s="117"/>
      <c r="I730" s="117"/>
      <c r="J730" s="117"/>
    </row>
    <row r="731">
      <c r="A731" s="117"/>
      <c r="B731" s="117"/>
      <c r="C731" s="117"/>
      <c r="D731" s="117"/>
      <c r="E731" s="117"/>
      <c r="F731" s="117"/>
      <c r="G731" s="117"/>
      <c r="H731" s="117"/>
      <c r="I731" s="117"/>
      <c r="J731" s="117"/>
    </row>
    <row r="732">
      <c r="A732" s="117"/>
      <c r="B732" s="117"/>
      <c r="C732" s="117"/>
      <c r="D732" s="117"/>
      <c r="E732" s="117"/>
      <c r="F732" s="117"/>
      <c r="G732" s="117"/>
      <c r="H732" s="117"/>
      <c r="I732" s="117"/>
      <c r="J732" s="117"/>
    </row>
    <row r="733">
      <c r="A733" s="117"/>
      <c r="B733" s="117"/>
      <c r="C733" s="117"/>
      <c r="D733" s="117"/>
      <c r="E733" s="117"/>
      <c r="F733" s="117"/>
      <c r="G733" s="117"/>
      <c r="H733" s="117"/>
      <c r="I733" s="117"/>
      <c r="J733" s="117"/>
    </row>
    <row r="734">
      <c r="A734" s="117"/>
      <c r="B734" s="117"/>
      <c r="C734" s="117"/>
      <c r="D734" s="117"/>
      <c r="E734" s="117"/>
      <c r="F734" s="117"/>
      <c r="G734" s="117"/>
      <c r="H734" s="117"/>
      <c r="I734" s="117"/>
      <c r="J734" s="117"/>
    </row>
    <row r="735">
      <c r="A735" s="117"/>
      <c r="B735" s="117"/>
      <c r="C735" s="117"/>
      <c r="D735" s="117"/>
      <c r="E735" s="117"/>
      <c r="F735" s="117"/>
      <c r="G735" s="117"/>
      <c r="H735" s="117"/>
      <c r="I735" s="117"/>
      <c r="J735" s="117"/>
    </row>
    <row r="736">
      <c r="A736" s="117"/>
      <c r="B736" s="117"/>
      <c r="C736" s="117"/>
      <c r="D736" s="117"/>
      <c r="E736" s="117"/>
      <c r="F736" s="117"/>
      <c r="G736" s="117"/>
      <c r="H736" s="117"/>
      <c r="I736" s="117"/>
      <c r="J736" s="117"/>
    </row>
    <row r="737">
      <c r="A737" s="117"/>
      <c r="B737" s="117"/>
      <c r="C737" s="117"/>
      <c r="D737" s="117"/>
      <c r="E737" s="117"/>
      <c r="F737" s="117"/>
      <c r="G737" s="117"/>
      <c r="H737" s="117"/>
      <c r="I737" s="117"/>
      <c r="J737" s="117"/>
    </row>
    <row r="738">
      <c r="A738" s="117"/>
      <c r="B738" s="117"/>
      <c r="C738" s="117"/>
      <c r="D738" s="117"/>
      <c r="E738" s="117"/>
      <c r="F738" s="117"/>
      <c r="G738" s="117"/>
      <c r="H738" s="117"/>
      <c r="I738" s="117"/>
      <c r="J738" s="117"/>
    </row>
    <row r="739">
      <c r="A739" s="117"/>
      <c r="B739" s="117"/>
      <c r="C739" s="117"/>
      <c r="D739" s="117"/>
      <c r="E739" s="117"/>
      <c r="F739" s="117"/>
      <c r="G739" s="117"/>
      <c r="H739" s="117"/>
      <c r="I739" s="117"/>
      <c r="J739" s="117"/>
    </row>
    <row r="740">
      <c r="A740" s="117"/>
      <c r="B740" s="117"/>
      <c r="C740" s="117"/>
      <c r="D740" s="117"/>
      <c r="E740" s="117"/>
      <c r="F740" s="117"/>
      <c r="G740" s="117"/>
      <c r="H740" s="117"/>
      <c r="I740" s="117"/>
      <c r="J740" s="117"/>
    </row>
    <row r="741">
      <c r="A741" s="117"/>
      <c r="B741" s="117"/>
      <c r="C741" s="117"/>
      <c r="D741" s="117"/>
      <c r="E741" s="117"/>
      <c r="F741" s="117"/>
      <c r="G741" s="117"/>
      <c r="H741" s="117"/>
      <c r="I741" s="117"/>
      <c r="J741" s="117"/>
    </row>
    <row r="742">
      <c r="A742" s="117"/>
      <c r="B742" s="117"/>
      <c r="C742" s="117"/>
      <c r="D742" s="117"/>
      <c r="E742" s="117"/>
      <c r="F742" s="117"/>
      <c r="G742" s="117"/>
      <c r="H742" s="117"/>
      <c r="I742" s="117"/>
      <c r="J742" s="117"/>
    </row>
    <row r="743">
      <c r="A743" s="117"/>
      <c r="B743" s="117"/>
      <c r="C743" s="117"/>
      <c r="D743" s="117"/>
      <c r="E743" s="117"/>
      <c r="F743" s="117"/>
      <c r="G743" s="117"/>
      <c r="H743" s="117"/>
      <c r="I743" s="117"/>
      <c r="J743" s="117"/>
    </row>
    <row r="744">
      <c r="A744" s="117"/>
      <c r="B744" s="117"/>
      <c r="C744" s="117"/>
      <c r="D744" s="117"/>
      <c r="E744" s="117"/>
      <c r="F744" s="117"/>
      <c r="G744" s="117"/>
      <c r="H744" s="117"/>
      <c r="I744" s="117"/>
      <c r="J744" s="117"/>
    </row>
    <row r="745">
      <c r="A745" s="117"/>
      <c r="B745" s="117"/>
      <c r="C745" s="117"/>
      <c r="D745" s="117"/>
      <c r="E745" s="117"/>
      <c r="F745" s="117"/>
      <c r="G745" s="117"/>
      <c r="H745" s="117"/>
      <c r="I745" s="117"/>
      <c r="J745" s="117"/>
    </row>
    <row r="746">
      <c r="A746" s="117"/>
      <c r="B746" s="117"/>
      <c r="C746" s="117"/>
      <c r="D746" s="117"/>
      <c r="E746" s="117"/>
      <c r="F746" s="117"/>
      <c r="G746" s="117"/>
      <c r="H746" s="117"/>
      <c r="I746" s="117"/>
      <c r="J746" s="117"/>
    </row>
    <row r="747">
      <c r="A747" s="117"/>
      <c r="B747" s="117"/>
      <c r="C747" s="117"/>
      <c r="D747" s="117"/>
      <c r="E747" s="117"/>
      <c r="F747" s="117"/>
      <c r="G747" s="117"/>
      <c r="H747" s="117"/>
      <c r="I747" s="117"/>
      <c r="J747" s="117"/>
    </row>
    <row r="748">
      <c r="A748" s="117"/>
      <c r="B748" s="117"/>
      <c r="C748" s="117"/>
      <c r="D748" s="117"/>
      <c r="E748" s="117"/>
      <c r="F748" s="117"/>
      <c r="G748" s="117"/>
      <c r="H748" s="117"/>
      <c r="I748" s="117"/>
      <c r="J748" s="117"/>
    </row>
    <row r="749">
      <c r="A749" s="117"/>
      <c r="B749" s="117"/>
      <c r="C749" s="117"/>
      <c r="D749" s="117"/>
      <c r="E749" s="117"/>
      <c r="F749" s="117"/>
      <c r="G749" s="117"/>
      <c r="H749" s="117"/>
      <c r="I749" s="117"/>
      <c r="J749" s="117"/>
    </row>
    <row r="750">
      <c r="A750" s="117"/>
      <c r="B750" s="117"/>
      <c r="C750" s="117"/>
      <c r="D750" s="117"/>
      <c r="E750" s="117"/>
      <c r="F750" s="117"/>
      <c r="G750" s="117"/>
      <c r="H750" s="117"/>
      <c r="I750" s="117"/>
      <c r="J750" s="117"/>
    </row>
    <row r="751">
      <c r="A751" s="117"/>
      <c r="B751" s="117"/>
      <c r="C751" s="117"/>
      <c r="D751" s="117"/>
      <c r="E751" s="117"/>
      <c r="F751" s="117"/>
      <c r="G751" s="117"/>
      <c r="H751" s="117"/>
      <c r="I751" s="117"/>
      <c r="J751" s="117"/>
    </row>
    <row r="752">
      <c r="A752" s="117"/>
      <c r="B752" s="117"/>
      <c r="C752" s="117"/>
      <c r="D752" s="117"/>
      <c r="E752" s="117"/>
      <c r="F752" s="117"/>
      <c r="G752" s="117"/>
      <c r="H752" s="117"/>
      <c r="I752" s="117"/>
      <c r="J752" s="117"/>
    </row>
    <row r="753">
      <c r="A753" s="117"/>
      <c r="B753" s="117"/>
      <c r="C753" s="117"/>
      <c r="D753" s="117"/>
      <c r="E753" s="117"/>
      <c r="F753" s="117"/>
      <c r="G753" s="117"/>
      <c r="H753" s="117"/>
      <c r="I753" s="117"/>
      <c r="J753" s="117"/>
    </row>
    <row r="754">
      <c r="A754" s="117"/>
      <c r="B754" s="117"/>
      <c r="C754" s="117"/>
      <c r="D754" s="117"/>
      <c r="E754" s="117"/>
      <c r="F754" s="117"/>
      <c r="G754" s="117"/>
      <c r="H754" s="117"/>
      <c r="I754" s="117"/>
      <c r="J754" s="117"/>
    </row>
    <row r="755">
      <c r="A755" s="117"/>
      <c r="B755" s="117"/>
      <c r="C755" s="117"/>
      <c r="D755" s="117"/>
      <c r="E755" s="117"/>
      <c r="F755" s="117"/>
      <c r="G755" s="117"/>
      <c r="H755" s="117"/>
      <c r="I755" s="117"/>
      <c r="J755" s="117"/>
    </row>
    <row r="756">
      <c r="A756" s="117"/>
      <c r="B756" s="117"/>
      <c r="C756" s="117"/>
      <c r="D756" s="117"/>
      <c r="E756" s="117"/>
      <c r="F756" s="117"/>
      <c r="G756" s="117"/>
      <c r="H756" s="117"/>
      <c r="I756" s="117"/>
      <c r="J756" s="117"/>
    </row>
    <row r="757">
      <c r="A757" s="117"/>
      <c r="B757" s="117"/>
      <c r="C757" s="117"/>
      <c r="D757" s="117"/>
      <c r="E757" s="117"/>
      <c r="F757" s="117"/>
      <c r="G757" s="117"/>
      <c r="H757" s="117"/>
      <c r="I757" s="117"/>
      <c r="J757" s="117"/>
    </row>
    <row r="758">
      <c r="A758" s="117"/>
      <c r="B758" s="117"/>
      <c r="C758" s="117"/>
      <c r="D758" s="117"/>
      <c r="E758" s="117"/>
      <c r="F758" s="117"/>
      <c r="G758" s="117"/>
      <c r="H758" s="117"/>
      <c r="I758" s="117"/>
      <c r="J758" s="117"/>
    </row>
    <row r="759">
      <c r="A759" s="117"/>
      <c r="B759" s="117"/>
      <c r="C759" s="117"/>
      <c r="D759" s="117"/>
      <c r="E759" s="117"/>
      <c r="F759" s="117"/>
      <c r="G759" s="117"/>
      <c r="H759" s="117"/>
      <c r="I759" s="117"/>
      <c r="J759" s="117"/>
    </row>
    <row r="760">
      <c r="A760" s="117"/>
      <c r="B760" s="117"/>
      <c r="C760" s="117"/>
      <c r="D760" s="117"/>
      <c r="E760" s="117"/>
      <c r="F760" s="117"/>
      <c r="G760" s="117"/>
      <c r="H760" s="117"/>
      <c r="I760" s="117"/>
      <c r="J760" s="117"/>
    </row>
    <row r="761">
      <c r="A761" s="117"/>
      <c r="B761" s="117"/>
      <c r="C761" s="117"/>
      <c r="D761" s="117"/>
      <c r="E761" s="117"/>
      <c r="F761" s="117"/>
      <c r="G761" s="117"/>
      <c r="H761" s="117"/>
      <c r="I761" s="117"/>
      <c r="J761" s="117"/>
    </row>
    <row r="762">
      <c r="A762" s="117"/>
      <c r="B762" s="117"/>
      <c r="C762" s="117"/>
      <c r="D762" s="117"/>
      <c r="E762" s="117"/>
      <c r="F762" s="117"/>
      <c r="G762" s="117"/>
      <c r="H762" s="117"/>
      <c r="I762" s="117"/>
      <c r="J762" s="117"/>
    </row>
    <row r="763">
      <c r="A763" s="117"/>
      <c r="B763" s="117"/>
      <c r="C763" s="117"/>
      <c r="D763" s="117"/>
      <c r="E763" s="117"/>
      <c r="F763" s="117"/>
      <c r="G763" s="117"/>
      <c r="H763" s="117"/>
      <c r="I763" s="117"/>
      <c r="J763" s="117"/>
    </row>
    <row r="764">
      <c r="A764" s="117"/>
      <c r="B764" s="117"/>
      <c r="C764" s="117"/>
      <c r="D764" s="117"/>
      <c r="E764" s="117"/>
      <c r="F764" s="117"/>
      <c r="G764" s="117"/>
      <c r="H764" s="117"/>
      <c r="I764" s="117"/>
      <c r="J764" s="117"/>
    </row>
    <row r="765">
      <c r="A765" s="117"/>
      <c r="B765" s="117"/>
      <c r="C765" s="117"/>
      <c r="D765" s="117"/>
      <c r="E765" s="117"/>
      <c r="F765" s="117"/>
      <c r="G765" s="117"/>
      <c r="H765" s="117"/>
      <c r="I765" s="117"/>
      <c r="J765" s="117"/>
    </row>
    <row r="766">
      <c r="A766" s="117"/>
      <c r="B766" s="117"/>
      <c r="C766" s="117"/>
      <c r="D766" s="117"/>
      <c r="E766" s="117"/>
      <c r="F766" s="117"/>
      <c r="G766" s="117"/>
      <c r="H766" s="117"/>
      <c r="I766" s="117"/>
      <c r="J766" s="117"/>
    </row>
    <row r="767">
      <c r="A767" s="117"/>
      <c r="B767" s="117"/>
      <c r="C767" s="117"/>
      <c r="D767" s="117"/>
      <c r="E767" s="117"/>
      <c r="F767" s="117"/>
      <c r="G767" s="117"/>
      <c r="H767" s="117"/>
      <c r="I767" s="117"/>
      <c r="J767" s="117"/>
    </row>
    <row r="768">
      <c r="A768" s="117"/>
      <c r="B768" s="117"/>
      <c r="C768" s="117"/>
      <c r="D768" s="117"/>
      <c r="E768" s="117"/>
      <c r="F768" s="117"/>
      <c r="G768" s="117"/>
      <c r="H768" s="117"/>
      <c r="I768" s="117"/>
      <c r="J768" s="117"/>
    </row>
    <row r="769">
      <c r="A769" s="117"/>
      <c r="B769" s="117"/>
      <c r="C769" s="117"/>
      <c r="D769" s="117"/>
      <c r="E769" s="117"/>
      <c r="F769" s="117"/>
      <c r="G769" s="117"/>
      <c r="H769" s="117"/>
      <c r="I769" s="117"/>
      <c r="J769" s="117"/>
    </row>
    <row r="770">
      <c r="A770" s="117"/>
      <c r="B770" s="117"/>
      <c r="C770" s="117"/>
      <c r="D770" s="117"/>
      <c r="E770" s="117"/>
      <c r="F770" s="117"/>
      <c r="G770" s="117"/>
      <c r="H770" s="117"/>
      <c r="I770" s="117"/>
      <c r="J770" s="117"/>
    </row>
    <row r="771">
      <c r="A771" s="117"/>
      <c r="B771" s="117"/>
      <c r="C771" s="117"/>
      <c r="D771" s="117"/>
      <c r="E771" s="117"/>
      <c r="F771" s="117"/>
      <c r="G771" s="117"/>
      <c r="H771" s="117"/>
      <c r="I771" s="117"/>
      <c r="J771" s="117"/>
    </row>
    <row r="772">
      <c r="A772" s="117"/>
      <c r="B772" s="117"/>
      <c r="C772" s="117"/>
      <c r="D772" s="117"/>
      <c r="E772" s="117"/>
      <c r="F772" s="117"/>
      <c r="G772" s="117"/>
      <c r="H772" s="117"/>
      <c r="I772" s="117"/>
      <c r="J772" s="117"/>
    </row>
    <row r="773">
      <c r="A773" s="117"/>
      <c r="B773" s="117"/>
      <c r="C773" s="117"/>
      <c r="D773" s="117"/>
      <c r="E773" s="117"/>
      <c r="F773" s="117"/>
      <c r="G773" s="117"/>
      <c r="H773" s="117"/>
      <c r="I773" s="117"/>
      <c r="J773" s="117"/>
    </row>
    <row r="774">
      <c r="A774" s="117"/>
      <c r="B774" s="117"/>
      <c r="C774" s="117"/>
      <c r="D774" s="117"/>
      <c r="E774" s="117"/>
      <c r="F774" s="117"/>
      <c r="G774" s="117"/>
      <c r="H774" s="117"/>
      <c r="I774" s="117"/>
      <c r="J774" s="117"/>
    </row>
    <row r="775">
      <c r="A775" s="117"/>
      <c r="B775" s="117"/>
      <c r="C775" s="117"/>
      <c r="D775" s="117"/>
      <c r="E775" s="117"/>
      <c r="F775" s="117"/>
      <c r="G775" s="117"/>
      <c r="H775" s="117"/>
      <c r="I775" s="117"/>
      <c r="J775" s="117"/>
    </row>
    <row r="776">
      <c r="A776" s="117"/>
      <c r="B776" s="117"/>
      <c r="C776" s="117"/>
      <c r="D776" s="117"/>
      <c r="E776" s="117"/>
      <c r="F776" s="117"/>
      <c r="G776" s="117"/>
      <c r="H776" s="117"/>
      <c r="I776" s="117"/>
      <c r="J776" s="117"/>
    </row>
    <row r="777">
      <c r="A777" s="117"/>
      <c r="B777" s="117"/>
      <c r="C777" s="117"/>
      <c r="D777" s="117"/>
      <c r="E777" s="117"/>
      <c r="F777" s="117"/>
      <c r="G777" s="117"/>
      <c r="H777" s="117"/>
      <c r="I777" s="117"/>
      <c r="J777" s="117"/>
    </row>
    <row r="778">
      <c r="A778" s="117"/>
      <c r="B778" s="117"/>
      <c r="C778" s="117"/>
      <c r="D778" s="117"/>
      <c r="E778" s="117"/>
      <c r="F778" s="117"/>
      <c r="G778" s="117"/>
      <c r="H778" s="117"/>
      <c r="I778" s="117"/>
      <c r="J778" s="117"/>
    </row>
    <row r="779">
      <c r="A779" s="117"/>
      <c r="B779" s="117"/>
      <c r="C779" s="117"/>
      <c r="D779" s="117"/>
      <c r="E779" s="117"/>
      <c r="F779" s="117"/>
      <c r="G779" s="117"/>
      <c r="H779" s="117"/>
      <c r="I779" s="117"/>
      <c r="J779" s="117"/>
    </row>
    <row r="780">
      <c r="A780" s="117"/>
      <c r="B780" s="117"/>
      <c r="C780" s="117"/>
      <c r="D780" s="117"/>
      <c r="E780" s="117"/>
      <c r="F780" s="117"/>
      <c r="G780" s="117"/>
      <c r="H780" s="117"/>
      <c r="I780" s="117"/>
      <c r="J780" s="117"/>
    </row>
    <row r="781">
      <c r="A781" s="117"/>
      <c r="B781" s="117"/>
      <c r="C781" s="117"/>
      <c r="D781" s="117"/>
      <c r="E781" s="117"/>
      <c r="F781" s="117"/>
      <c r="G781" s="117"/>
      <c r="H781" s="117"/>
      <c r="I781" s="117"/>
      <c r="J781" s="117"/>
    </row>
    <row r="782">
      <c r="A782" s="117"/>
      <c r="B782" s="117"/>
      <c r="C782" s="117"/>
      <c r="D782" s="117"/>
      <c r="E782" s="117"/>
      <c r="F782" s="117"/>
      <c r="G782" s="117"/>
      <c r="H782" s="117"/>
      <c r="I782" s="117"/>
      <c r="J782" s="117"/>
    </row>
    <row r="783">
      <c r="A783" s="117"/>
      <c r="B783" s="117"/>
      <c r="C783" s="117"/>
      <c r="D783" s="117"/>
      <c r="E783" s="117"/>
      <c r="F783" s="117"/>
      <c r="G783" s="117"/>
      <c r="H783" s="117"/>
      <c r="I783" s="117"/>
      <c r="J783" s="117"/>
    </row>
    <row r="784">
      <c r="A784" s="117"/>
      <c r="B784" s="117"/>
      <c r="C784" s="117"/>
      <c r="D784" s="117"/>
      <c r="E784" s="117"/>
      <c r="F784" s="117"/>
      <c r="G784" s="117"/>
      <c r="H784" s="117"/>
      <c r="I784" s="117"/>
      <c r="J784" s="117"/>
    </row>
    <row r="785">
      <c r="A785" s="117"/>
      <c r="B785" s="117"/>
      <c r="C785" s="117"/>
      <c r="D785" s="117"/>
      <c r="E785" s="117"/>
      <c r="F785" s="117"/>
      <c r="G785" s="117"/>
      <c r="H785" s="117"/>
      <c r="I785" s="117"/>
      <c r="J785" s="117"/>
    </row>
    <row r="786">
      <c r="A786" s="117"/>
      <c r="B786" s="117"/>
      <c r="C786" s="117"/>
      <c r="D786" s="117"/>
      <c r="E786" s="117"/>
      <c r="F786" s="117"/>
      <c r="G786" s="117"/>
      <c r="H786" s="117"/>
      <c r="I786" s="117"/>
      <c r="J786" s="117"/>
    </row>
    <row r="787">
      <c r="A787" s="117"/>
      <c r="B787" s="117"/>
      <c r="C787" s="117"/>
      <c r="D787" s="117"/>
      <c r="E787" s="117"/>
      <c r="F787" s="117"/>
      <c r="G787" s="117"/>
      <c r="H787" s="117"/>
      <c r="I787" s="117"/>
      <c r="J787" s="117"/>
    </row>
    <row r="788">
      <c r="A788" s="117"/>
      <c r="B788" s="117"/>
      <c r="C788" s="117"/>
      <c r="D788" s="117"/>
      <c r="E788" s="117"/>
      <c r="F788" s="117"/>
      <c r="G788" s="117"/>
      <c r="H788" s="117"/>
      <c r="I788" s="117"/>
      <c r="J788" s="117"/>
    </row>
    <row r="789">
      <c r="A789" s="117"/>
      <c r="B789" s="117"/>
      <c r="C789" s="117"/>
      <c r="D789" s="117"/>
      <c r="E789" s="117"/>
      <c r="F789" s="117"/>
      <c r="G789" s="117"/>
      <c r="H789" s="117"/>
      <c r="I789" s="117"/>
      <c r="J789" s="117"/>
    </row>
    <row r="790">
      <c r="A790" s="117"/>
      <c r="B790" s="117"/>
      <c r="C790" s="117"/>
      <c r="D790" s="117"/>
      <c r="E790" s="117"/>
      <c r="F790" s="117"/>
      <c r="G790" s="117"/>
      <c r="H790" s="117"/>
      <c r="I790" s="117"/>
      <c r="J790" s="117"/>
    </row>
    <row r="791">
      <c r="A791" s="117"/>
      <c r="B791" s="117"/>
      <c r="C791" s="117"/>
      <c r="D791" s="117"/>
      <c r="E791" s="117"/>
      <c r="F791" s="117"/>
      <c r="G791" s="117"/>
      <c r="H791" s="117"/>
      <c r="I791" s="117"/>
      <c r="J791" s="117"/>
    </row>
    <row r="792">
      <c r="A792" s="117"/>
      <c r="B792" s="117"/>
      <c r="C792" s="117"/>
      <c r="D792" s="117"/>
      <c r="E792" s="117"/>
      <c r="F792" s="117"/>
      <c r="G792" s="117"/>
      <c r="H792" s="117"/>
      <c r="I792" s="117"/>
      <c r="J792" s="117"/>
    </row>
    <row r="793">
      <c r="A793" s="117"/>
      <c r="B793" s="117"/>
      <c r="C793" s="117"/>
      <c r="D793" s="117"/>
      <c r="E793" s="117"/>
      <c r="F793" s="117"/>
      <c r="G793" s="117"/>
      <c r="H793" s="117"/>
      <c r="I793" s="117"/>
      <c r="J793" s="117"/>
    </row>
    <row r="794">
      <c r="A794" s="117"/>
      <c r="B794" s="117"/>
      <c r="C794" s="117"/>
      <c r="D794" s="117"/>
      <c r="E794" s="117"/>
      <c r="F794" s="117"/>
      <c r="G794" s="117"/>
      <c r="H794" s="117"/>
      <c r="I794" s="117"/>
      <c r="J794" s="117"/>
    </row>
    <row r="795">
      <c r="A795" s="117"/>
      <c r="B795" s="117"/>
      <c r="C795" s="117"/>
      <c r="D795" s="117"/>
      <c r="E795" s="117"/>
      <c r="F795" s="117"/>
      <c r="G795" s="117"/>
      <c r="H795" s="117"/>
      <c r="I795" s="117"/>
      <c r="J795" s="117"/>
    </row>
    <row r="796">
      <c r="A796" s="117"/>
      <c r="B796" s="117"/>
      <c r="C796" s="117"/>
      <c r="D796" s="117"/>
      <c r="E796" s="117"/>
      <c r="F796" s="117"/>
      <c r="G796" s="117"/>
      <c r="H796" s="117"/>
      <c r="I796" s="117"/>
      <c r="J796" s="117"/>
    </row>
    <row r="797">
      <c r="A797" s="117"/>
      <c r="B797" s="117"/>
      <c r="C797" s="117"/>
      <c r="D797" s="117"/>
      <c r="E797" s="117"/>
      <c r="F797" s="117"/>
      <c r="G797" s="117"/>
      <c r="H797" s="117"/>
      <c r="I797" s="117"/>
      <c r="J797" s="117"/>
    </row>
    <row r="798">
      <c r="A798" s="117"/>
      <c r="B798" s="117"/>
      <c r="C798" s="117"/>
      <c r="D798" s="117"/>
      <c r="E798" s="117"/>
      <c r="F798" s="117"/>
      <c r="G798" s="117"/>
      <c r="H798" s="117"/>
      <c r="I798" s="117"/>
      <c r="J798" s="117"/>
    </row>
    <row r="799">
      <c r="A799" s="117"/>
      <c r="B799" s="117"/>
      <c r="C799" s="117"/>
      <c r="D799" s="117"/>
      <c r="E799" s="117"/>
      <c r="F799" s="117"/>
      <c r="G799" s="117"/>
      <c r="H799" s="117"/>
      <c r="I799" s="117"/>
      <c r="J799" s="117"/>
    </row>
    <row r="800">
      <c r="A800" s="117"/>
      <c r="B800" s="117"/>
      <c r="C800" s="117"/>
      <c r="D800" s="117"/>
      <c r="E800" s="117"/>
      <c r="F800" s="117"/>
      <c r="G800" s="117"/>
      <c r="H800" s="117"/>
      <c r="I800" s="117"/>
      <c r="J800" s="117"/>
    </row>
    <row r="801">
      <c r="A801" s="117"/>
      <c r="B801" s="117"/>
      <c r="C801" s="117"/>
      <c r="D801" s="117"/>
      <c r="E801" s="117"/>
      <c r="F801" s="117"/>
      <c r="G801" s="117"/>
      <c r="H801" s="117"/>
      <c r="I801" s="117"/>
      <c r="J801" s="117"/>
    </row>
    <row r="802">
      <c r="A802" s="117"/>
      <c r="B802" s="117"/>
      <c r="C802" s="117"/>
      <c r="D802" s="117"/>
      <c r="E802" s="117"/>
      <c r="F802" s="117"/>
      <c r="G802" s="117"/>
      <c r="H802" s="117"/>
      <c r="I802" s="117"/>
      <c r="J802" s="117"/>
    </row>
    <row r="803">
      <c r="A803" s="117"/>
      <c r="B803" s="117"/>
      <c r="C803" s="117"/>
      <c r="D803" s="117"/>
      <c r="E803" s="117"/>
      <c r="F803" s="117"/>
      <c r="G803" s="117"/>
      <c r="H803" s="117"/>
      <c r="I803" s="117"/>
      <c r="J803" s="117"/>
    </row>
    <row r="804">
      <c r="A804" s="117"/>
      <c r="B804" s="117"/>
      <c r="C804" s="117"/>
      <c r="D804" s="117"/>
      <c r="E804" s="117"/>
      <c r="F804" s="117"/>
      <c r="G804" s="117"/>
      <c r="H804" s="117"/>
      <c r="I804" s="117"/>
      <c r="J804" s="117"/>
    </row>
    <row r="805">
      <c r="A805" s="117"/>
      <c r="B805" s="117"/>
      <c r="C805" s="117"/>
      <c r="D805" s="117"/>
      <c r="E805" s="117"/>
      <c r="F805" s="117"/>
      <c r="G805" s="117"/>
      <c r="H805" s="117"/>
      <c r="I805" s="117"/>
      <c r="J805" s="117"/>
    </row>
    <row r="806">
      <c r="A806" s="117"/>
      <c r="B806" s="117"/>
      <c r="C806" s="117"/>
      <c r="D806" s="117"/>
      <c r="E806" s="117"/>
      <c r="F806" s="117"/>
      <c r="G806" s="117"/>
      <c r="H806" s="117"/>
      <c r="I806" s="117"/>
      <c r="J806" s="117"/>
    </row>
    <row r="807">
      <c r="A807" s="117"/>
      <c r="B807" s="117"/>
      <c r="C807" s="117"/>
      <c r="D807" s="117"/>
      <c r="E807" s="117"/>
      <c r="F807" s="117"/>
      <c r="G807" s="117"/>
      <c r="H807" s="117"/>
      <c r="I807" s="117"/>
      <c r="J807" s="117"/>
    </row>
    <row r="808">
      <c r="A808" s="117"/>
      <c r="B808" s="117"/>
      <c r="C808" s="117"/>
      <c r="D808" s="117"/>
      <c r="E808" s="117"/>
      <c r="F808" s="117"/>
      <c r="G808" s="117"/>
      <c r="H808" s="117"/>
      <c r="I808" s="117"/>
      <c r="J808" s="117"/>
    </row>
    <row r="809">
      <c r="A809" s="117"/>
      <c r="B809" s="117"/>
      <c r="C809" s="117"/>
      <c r="D809" s="117"/>
      <c r="E809" s="117"/>
      <c r="F809" s="117"/>
      <c r="G809" s="117"/>
      <c r="H809" s="117"/>
      <c r="I809" s="117"/>
      <c r="J809" s="117"/>
    </row>
    <row r="810">
      <c r="A810" s="117"/>
      <c r="B810" s="117"/>
      <c r="C810" s="117"/>
      <c r="D810" s="117"/>
      <c r="E810" s="117"/>
      <c r="F810" s="117"/>
      <c r="G810" s="117"/>
      <c r="H810" s="117"/>
      <c r="I810" s="117"/>
      <c r="J810" s="117"/>
    </row>
    <row r="811">
      <c r="A811" s="117"/>
      <c r="B811" s="117"/>
      <c r="C811" s="117"/>
      <c r="D811" s="117"/>
      <c r="E811" s="117"/>
      <c r="F811" s="117"/>
      <c r="G811" s="117"/>
      <c r="H811" s="117"/>
      <c r="I811" s="117"/>
      <c r="J811" s="117"/>
    </row>
    <row r="812">
      <c r="A812" s="117"/>
      <c r="B812" s="117"/>
      <c r="C812" s="117"/>
      <c r="D812" s="117"/>
      <c r="E812" s="117"/>
      <c r="F812" s="117"/>
      <c r="G812" s="117"/>
      <c r="H812" s="117"/>
      <c r="I812" s="117"/>
      <c r="J812" s="117"/>
    </row>
    <row r="813">
      <c r="A813" s="117"/>
      <c r="B813" s="117"/>
      <c r="C813" s="117"/>
      <c r="D813" s="117"/>
      <c r="E813" s="117"/>
      <c r="F813" s="117"/>
      <c r="G813" s="117"/>
      <c r="H813" s="117"/>
      <c r="I813" s="117"/>
      <c r="J813" s="117"/>
    </row>
    <row r="814">
      <c r="A814" s="117"/>
      <c r="B814" s="117"/>
      <c r="C814" s="117"/>
      <c r="D814" s="117"/>
      <c r="E814" s="117"/>
      <c r="F814" s="117"/>
      <c r="G814" s="117"/>
      <c r="H814" s="117"/>
      <c r="I814" s="117"/>
      <c r="J814" s="117"/>
    </row>
    <row r="815">
      <c r="A815" s="117"/>
      <c r="B815" s="117"/>
      <c r="C815" s="117"/>
      <c r="D815" s="117"/>
      <c r="E815" s="117"/>
      <c r="F815" s="117"/>
      <c r="G815" s="117"/>
      <c r="H815" s="117"/>
      <c r="I815" s="117"/>
      <c r="J815" s="117"/>
    </row>
    <row r="816">
      <c r="A816" s="117"/>
      <c r="B816" s="117"/>
      <c r="C816" s="117"/>
      <c r="D816" s="117"/>
      <c r="E816" s="117"/>
      <c r="F816" s="117"/>
      <c r="G816" s="117"/>
      <c r="H816" s="117"/>
      <c r="I816" s="117"/>
      <c r="J816" s="117"/>
    </row>
    <row r="817">
      <c r="A817" s="117"/>
      <c r="B817" s="117"/>
      <c r="C817" s="117"/>
      <c r="D817" s="117"/>
      <c r="E817" s="117"/>
      <c r="F817" s="117"/>
      <c r="G817" s="117"/>
      <c r="H817" s="117"/>
      <c r="I817" s="117"/>
      <c r="J817" s="117"/>
    </row>
    <row r="818">
      <c r="A818" s="117"/>
      <c r="B818" s="117"/>
      <c r="C818" s="117"/>
      <c r="D818" s="117"/>
      <c r="E818" s="117"/>
      <c r="F818" s="117"/>
      <c r="G818" s="117"/>
      <c r="H818" s="117"/>
      <c r="I818" s="117"/>
      <c r="J818" s="117"/>
    </row>
    <row r="819">
      <c r="A819" s="117"/>
      <c r="B819" s="117"/>
      <c r="C819" s="117"/>
      <c r="D819" s="117"/>
      <c r="E819" s="117"/>
      <c r="F819" s="117"/>
      <c r="G819" s="117"/>
      <c r="H819" s="117"/>
      <c r="I819" s="117"/>
      <c r="J819" s="117"/>
    </row>
    <row r="820">
      <c r="A820" s="117"/>
      <c r="B820" s="117"/>
      <c r="C820" s="117"/>
      <c r="D820" s="117"/>
      <c r="E820" s="117"/>
      <c r="F820" s="117"/>
      <c r="G820" s="117"/>
      <c r="H820" s="117"/>
      <c r="I820" s="117"/>
      <c r="J820" s="117"/>
    </row>
    <row r="821">
      <c r="A821" s="117"/>
      <c r="B821" s="117"/>
      <c r="C821" s="117"/>
      <c r="D821" s="117"/>
      <c r="E821" s="117"/>
      <c r="F821" s="117"/>
      <c r="G821" s="117"/>
      <c r="H821" s="117"/>
      <c r="I821" s="117"/>
      <c r="J821" s="117"/>
    </row>
    <row r="822">
      <c r="A822" s="117"/>
      <c r="B822" s="117"/>
      <c r="C822" s="117"/>
      <c r="D822" s="117"/>
      <c r="E822" s="117"/>
      <c r="F822" s="117"/>
      <c r="G822" s="117"/>
      <c r="H822" s="117"/>
      <c r="I822" s="117"/>
      <c r="J822" s="117"/>
    </row>
    <row r="823">
      <c r="A823" s="117"/>
      <c r="B823" s="117"/>
      <c r="C823" s="117"/>
      <c r="D823" s="117"/>
      <c r="E823" s="117"/>
      <c r="F823" s="117"/>
      <c r="G823" s="117"/>
      <c r="H823" s="117"/>
      <c r="I823" s="117"/>
      <c r="J823" s="117"/>
    </row>
    <row r="824">
      <c r="A824" s="117"/>
      <c r="B824" s="117"/>
      <c r="C824" s="117"/>
      <c r="D824" s="117"/>
      <c r="E824" s="117"/>
      <c r="F824" s="117"/>
      <c r="G824" s="117"/>
      <c r="H824" s="117"/>
      <c r="I824" s="117"/>
      <c r="J824" s="117"/>
    </row>
    <row r="825">
      <c r="A825" s="117"/>
      <c r="B825" s="117"/>
      <c r="C825" s="117"/>
      <c r="D825" s="117"/>
      <c r="E825" s="117"/>
      <c r="F825" s="117"/>
      <c r="G825" s="117"/>
      <c r="H825" s="117"/>
      <c r="I825" s="117"/>
      <c r="J825" s="117"/>
    </row>
    <row r="826">
      <c r="A826" s="117"/>
      <c r="B826" s="117"/>
      <c r="C826" s="117"/>
      <c r="D826" s="117"/>
      <c r="E826" s="117"/>
      <c r="F826" s="117"/>
      <c r="G826" s="117"/>
      <c r="H826" s="117"/>
      <c r="I826" s="117"/>
      <c r="J826" s="117"/>
    </row>
    <row r="827">
      <c r="A827" s="117"/>
      <c r="B827" s="117"/>
      <c r="C827" s="117"/>
      <c r="D827" s="117"/>
      <c r="E827" s="117"/>
      <c r="F827" s="117"/>
      <c r="G827" s="117"/>
      <c r="H827" s="117"/>
      <c r="I827" s="117"/>
      <c r="J827" s="117"/>
    </row>
    <row r="828">
      <c r="A828" s="117"/>
      <c r="B828" s="117"/>
      <c r="C828" s="117"/>
      <c r="D828" s="117"/>
      <c r="E828" s="117"/>
      <c r="F828" s="117"/>
      <c r="G828" s="117"/>
      <c r="H828" s="117"/>
      <c r="I828" s="117"/>
      <c r="J828" s="117"/>
    </row>
    <row r="829">
      <c r="A829" s="117"/>
      <c r="B829" s="117"/>
      <c r="C829" s="117"/>
      <c r="D829" s="117"/>
      <c r="E829" s="117"/>
      <c r="F829" s="117"/>
      <c r="G829" s="117"/>
      <c r="H829" s="117"/>
      <c r="I829" s="117"/>
      <c r="J829" s="117"/>
    </row>
    <row r="830">
      <c r="A830" s="117"/>
      <c r="B830" s="117"/>
      <c r="C830" s="117"/>
      <c r="D830" s="117"/>
      <c r="E830" s="117"/>
      <c r="F830" s="117"/>
      <c r="G830" s="117"/>
      <c r="H830" s="117"/>
      <c r="I830" s="117"/>
      <c r="J830" s="117"/>
    </row>
    <row r="831">
      <c r="A831" s="117"/>
      <c r="B831" s="117"/>
      <c r="C831" s="117"/>
      <c r="D831" s="117"/>
      <c r="E831" s="117"/>
      <c r="F831" s="117"/>
      <c r="G831" s="117"/>
      <c r="H831" s="117"/>
      <c r="I831" s="117"/>
      <c r="J831" s="117"/>
    </row>
    <row r="832">
      <c r="A832" s="117"/>
      <c r="B832" s="117"/>
      <c r="C832" s="117"/>
      <c r="D832" s="117"/>
      <c r="E832" s="117"/>
      <c r="F832" s="117"/>
      <c r="G832" s="117"/>
      <c r="H832" s="117"/>
      <c r="I832" s="117"/>
      <c r="J832" s="117"/>
    </row>
    <row r="833">
      <c r="A833" s="117"/>
      <c r="B833" s="117"/>
      <c r="C833" s="117"/>
      <c r="D833" s="117"/>
      <c r="E833" s="117"/>
      <c r="F833" s="117"/>
      <c r="G833" s="117"/>
      <c r="H833" s="117"/>
      <c r="I833" s="117"/>
      <c r="J833" s="117"/>
    </row>
    <row r="834">
      <c r="A834" s="117"/>
      <c r="B834" s="117"/>
      <c r="C834" s="117"/>
      <c r="D834" s="117"/>
      <c r="E834" s="117"/>
      <c r="F834" s="117"/>
      <c r="G834" s="117"/>
      <c r="H834" s="117"/>
      <c r="I834" s="117"/>
      <c r="J834" s="117"/>
    </row>
    <row r="835">
      <c r="A835" s="117"/>
      <c r="B835" s="117"/>
      <c r="C835" s="117"/>
      <c r="D835" s="117"/>
      <c r="E835" s="117"/>
      <c r="F835" s="117"/>
      <c r="G835" s="117"/>
      <c r="H835" s="117"/>
      <c r="I835" s="117"/>
      <c r="J835" s="117"/>
    </row>
    <row r="836">
      <c r="A836" s="117"/>
      <c r="B836" s="117"/>
      <c r="C836" s="117"/>
      <c r="D836" s="117"/>
      <c r="E836" s="117"/>
      <c r="F836" s="117"/>
      <c r="G836" s="117"/>
      <c r="H836" s="117"/>
      <c r="I836" s="117"/>
      <c r="J836" s="117"/>
    </row>
    <row r="837">
      <c r="A837" s="117"/>
      <c r="B837" s="117"/>
      <c r="C837" s="117"/>
      <c r="D837" s="117"/>
      <c r="E837" s="117"/>
      <c r="F837" s="117"/>
      <c r="G837" s="117"/>
      <c r="H837" s="117"/>
      <c r="I837" s="117"/>
      <c r="J837" s="117"/>
    </row>
    <row r="838">
      <c r="A838" s="117"/>
      <c r="B838" s="117"/>
      <c r="C838" s="117"/>
      <c r="D838" s="117"/>
      <c r="E838" s="117"/>
      <c r="F838" s="117"/>
      <c r="G838" s="117"/>
      <c r="H838" s="117"/>
      <c r="I838" s="117"/>
      <c r="J838" s="117"/>
    </row>
    <row r="839">
      <c r="A839" s="117"/>
      <c r="B839" s="117"/>
      <c r="C839" s="117"/>
      <c r="D839" s="117"/>
      <c r="E839" s="117"/>
      <c r="F839" s="117"/>
      <c r="G839" s="117"/>
      <c r="H839" s="117"/>
      <c r="I839" s="117"/>
      <c r="J839" s="117"/>
    </row>
    <row r="840">
      <c r="A840" s="117"/>
      <c r="B840" s="117"/>
      <c r="C840" s="117"/>
      <c r="D840" s="117"/>
      <c r="E840" s="117"/>
      <c r="F840" s="117"/>
      <c r="G840" s="117"/>
      <c r="H840" s="117"/>
      <c r="I840" s="117"/>
      <c r="J840" s="117"/>
    </row>
    <row r="841">
      <c r="A841" s="117"/>
      <c r="B841" s="117"/>
      <c r="C841" s="117"/>
      <c r="D841" s="117"/>
      <c r="E841" s="117"/>
      <c r="F841" s="117"/>
      <c r="G841" s="117"/>
      <c r="H841" s="117"/>
      <c r="I841" s="117"/>
      <c r="J841" s="117"/>
    </row>
    <row r="842">
      <c r="A842" s="117"/>
      <c r="B842" s="117"/>
      <c r="C842" s="117"/>
      <c r="D842" s="117"/>
      <c r="E842" s="117"/>
      <c r="F842" s="117"/>
      <c r="G842" s="117"/>
      <c r="H842" s="117"/>
      <c r="I842" s="117"/>
      <c r="J842" s="117"/>
    </row>
    <row r="843">
      <c r="A843" s="117"/>
      <c r="B843" s="117"/>
      <c r="C843" s="117"/>
      <c r="D843" s="117"/>
      <c r="E843" s="117"/>
      <c r="F843" s="117"/>
      <c r="G843" s="117"/>
      <c r="H843" s="117"/>
      <c r="I843" s="117"/>
      <c r="J843" s="117"/>
    </row>
    <row r="844">
      <c r="A844" s="117"/>
      <c r="B844" s="117"/>
      <c r="C844" s="117"/>
      <c r="D844" s="117"/>
      <c r="E844" s="117"/>
      <c r="F844" s="117"/>
      <c r="G844" s="117"/>
      <c r="H844" s="117"/>
      <c r="I844" s="117"/>
      <c r="J844" s="117"/>
    </row>
    <row r="845">
      <c r="A845" s="117"/>
      <c r="B845" s="117"/>
      <c r="C845" s="117"/>
      <c r="D845" s="117"/>
      <c r="E845" s="117"/>
      <c r="F845" s="117"/>
      <c r="G845" s="117"/>
      <c r="H845" s="117"/>
      <c r="I845" s="117"/>
      <c r="J845" s="117"/>
    </row>
    <row r="846">
      <c r="A846" s="117"/>
      <c r="B846" s="117"/>
      <c r="C846" s="117"/>
      <c r="D846" s="117"/>
      <c r="E846" s="117"/>
      <c r="F846" s="117"/>
      <c r="G846" s="117"/>
      <c r="H846" s="117"/>
      <c r="I846" s="117"/>
      <c r="J846" s="117"/>
    </row>
    <row r="847">
      <c r="A847" s="117"/>
      <c r="B847" s="117"/>
      <c r="C847" s="117"/>
      <c r="D847" s="117"/>
      <c r="E847" s="117"/>
      <c r="F847" s="117"/>
      <c r="G847" s="117"/>
      <c r="H847" s="117"/>
      <c r="I847" s="117"/>
      <c r="J847" s="117"/>
    </row>
    <row r="848">
      <c r="A848" s="117"/>
      <c r="B848" s="117"/>
      <c r="C848" s="117"/>
      <c r="D848" s="117"/>
      <c r="E848" s="117"/>
      <c r="F848" s="117"/>
      <c r="G848" s="117"/>
      <c r="H848" s="117"/>
      <c r="I848" s="117"/>
      <c r="J848" s="117"/>
    </row>
    <row r="849">
      <c r="A849" s="117"/>
      <c r="B849" s="117"/>
      <c r="C849" s="117"/>
      <c r="D849" s="117"/>
      <c r="E849" s="117"/>
      <c r="F849" s="117"/>
      <c r="G849" s="117"/>
      <c r="H849" s="117"/>
      <c r="I849" s="117"/>
      <c r="J849" s="117"/>
    </row>
    <row r="850">
      <c r="A850" s="117"/>
      <c r="B850" s="117"/>
      <c r="C850" s="117"/>
      <c r="D850" s="117"/>
      <c r="E850" s="117"/>
      <c r="F850" s="117"/>
      <c r="G850" s="117"/>
      <c r="H850" s="117"/>
      <c r="I850" s="117"/>
      <c r="J850" s="117"/>
    </row>
    <row r="851">
      <c r="A851" s="117"/>
      <c r="B851" s="117"/>
      <c r="C851" s="117"/>
      <c r="D851" s="117"/>
      <c r="E851" s="117"/>
      <c r="F851" s="117"/>
      <c r="G851" s="117"/>
      <c r="H851" s="117"/>
      <c r="I851" s="117"/>
      <c r="J851" s="117"/>
    </row>
    <row r="852">
      <c r="A852" s="117"/>
      <c r="B852" s="117"/>
      <c r="C852" s="117"/>
      <c r="D852" s="117"/>
      <c r="E852" s="117"/>
      <c r="F852" s="117"/>
      <c r="G852" s="117"/>
      <c r="H852" s="117"/>
      <c r="I852" s="117"/>
      <c r="J852" s="117"/>
    </row>
    <row r="853">
      <c r="A853" s="117"/>
      <c r="B853" s="117"/>
      <c r="C853" s="117"/>
      <c r="D853" s="117"/>
      <c r="E853" s="117"/>
      <c r="F853" s="117"/>
      <c r="G853" s="117"/>
      <c r="H853" s="117"/>
      <c r="I853" s="117"/>
      <c r="J853" s="117"/>
    </row>
    <row r="854">
      <c r="A854" s="117"/>
      <c r="B854" s="117"/>
      <c r="C854" s="117"/>
      <c r="D854" s="117"/>
      <c r="E854" s="117"/>
      <c r="F854" s="117"/>
      <c r="G854" s="117"/>
      <c r="H854" s="117"/>
      <c r="I854" s="117"/>
      <c r="J854" s="117"/>
    </row>
    <row r="855">
      <c r="A855" s="117"/>
      <c r="B855" s="117"/>
      <c r="C855" s="117"/>
      <c r="D855" s="117"/>
      <c r="E855" s="117"/>
      <c r="F855" s="117"/>
      <c r="G855" s="117"/>
      <c r="H855" s="117"/>
      <c r="I855" s="117"/>
      <c r="J855" s="117"/>
    </row>
    <row r="856">
      <c r="A856" s="117"/>
      <c r="B856" s="117"/>
      <c r="C856" s="117"/>
      <c r="D856" s="117"/>
      <c r="E856" s="117"/>
      <c r="F856" s="117"/>
      <c r="G856" s="117"/>
      <c r="H856" s="117"/>
      <c r="I856" s="117"/>
      <c r="J856" s="117"/>
    </row>
    <row r="857">
      <c r="A857" s="117"/>
      <c r="B857" s="117"/>
      <c r="C857" s="117"/>
      <c r="D857" s="117"/>
      <c r="E857" s="117"/>
      <c r="F857" s="117"/>
      <c r="G857" s="117"/>
      <c r="H857" s="117"/>
      <c r="I857" s="117"/>
      <c r="J857" s="117"/>
    </row>
    <row r="858">
      <c r="A858" s="117"/>
      <c r="B858" s="117"/>
      <c r="C858" s="117"/>
      <c r="D858" s="117"/>
      <c r="E858" s="117"/>
      <c r="F858" s="117"/>
      <c r="G858" s="117"/>
      <c r="H858" s="117"/>
      <c r="I858" s="117"/>
      <c r="J858" s="117"/>
    </row>
    <row r="859">
      <c r="A859" s="117"/>
      <c r="B859" s="117"/>
      <c r="C859" s="117"/>
      <c r="D859" s="117"/>
      <c r="E859" s="117"/>
      <c r="F859" s="117"/>
      <c r="G859" s="117"/>
      <c r="H859" s="117"/>
      <c r="I859" s="117"/>
      <c r="J859" s="117"/>
    </row>
    <row r="860">
      <c r="A860" s="117"/>
      <c r="B860" s="117"/>
      <c r="C860" s="117"/>
      <c r="D860" s="117"/>
      <c r="E860" s="117"/>
      <c r="F860" s="117"/>
      <c r="G860" s="117"/>
      <c r="H860" s="117"/>
      <c r="I860" s="117"/>
      <c r="J860" s="117"/>
    </row>
    <row r="861">
      <c r="A861" s="117"/>
      <c r="B861" s="117"/>
      <c r="C861" s="117"/>
      <c r="D861" s="117"/>
      <c r="E861" s="117"/>
      <c r="F861" s="117"/>
      <c r="G861" s="117"/>
      <c r="H861" s="117"/>
      <c r="I861" s="117"/>
      <c r="J861" s="117"/>
    </row>
    <row r="862">
      <c r="A862" s="117"/>
      <c r="B862" s="117"/>
      <c r="C862" s="117"/>
      <c r="D862" s="117"/>
      <c r="E862" s="117"/>
      <c r="F862" s="117"/>
      <c r="G862" s="117"/>
      <c r="H862" s="117"/>
      <c r="I862" s="117"/>
      <c r="J862" s="117"/>
    </row>
    <row r="863">
      <c r="A863" s="117"/>
      <c r="B863" s="117"/>
      <c r="C863" s="117"/>
      <c r="D863" s="117"/>
      <c r="E863" s="117"/>
      <c r="F863" s="117"/>
      <c r="G863" s="117"/>
      <c r="H863" s="117"/>
      <c r="I863" s="117"/>
      <c r="J863" s="117"/>
    </row>
    <row r="864">
      <c r="A864" s="117"/>
      <c r="B864" s="117"/>
      <c r="C864" s="117"/>
      <c r="D864" s="117"/>
      <c r="E864" s="117"/>
      <c r="F864" s="117"/>
      <c r="G864" s="117"/>
      <c r="H864" s="117"/>
      <c r="I864" s="117"/>
      <c r="J864" s="117"/>
    </row>
    <row r="865">
      <c r="A865" s="117"/>
      <c r="B865" s="117"/>
      <c r="C865" s="117"/>
      <c r="D865" s="117"/>
      <c r="E865" s="117"/>
      <c r="F865" s="117"/>
      <c r="G865" s="117"/>
      <c r="H865" s="117"/>
      <c r="I865" s="117"/>
      <c r="J865" s="117"/>
    </row>
    <row r="866">
      <c r="A866" s="117"/>
      <c r="B866" s="117"/>
      <c r="C866" s="117"/>
      <c r="D866" s="117"/>
      <c r="E866" s="117"/>
      <c r="F866" s="117"/>
      <c r="G866" s="117"/>
      <c r="H866" s="117"/>
      <c r="I866" s="117"/>
      <c r="J866" s="117"/>
    </row>
    <row r="867">
      <c r="A867" s="117"/>
      <c r="B867" s="117"/>
      <c r="C867" s="117"/>
      <c r="D867" s="117"/>
      <c r="E867" s="117"/>
      <c r="F867" s="117"/>
      <c r="G867" s="117"/>
      <c r="H867" s="117"/>
      <c r="I867" s="117"/>
      <c r="J867" s="117"/>
    </row>
    <row r="868">
      <c r="A868" s="117"/>
      <c r="B868" s="117"/>
      <c r="C868" s="117"/>
      <c r="D868" s="117"/>
      <c r="E868" s="117"/>
      <c r="F868" s="117"/>
      <c r="G868" s="117"/>
      <c r="H868" s="117"/>
      <c r="I868" s="117"/>
      <c r="J868" s="117"/>
    </row>
    <row r="869">
      <c r="A869" s="117"/>
      <c r="B869" s="117"/>
      <c r="C869" s="117"/>
      <c r="D869" s="117"/>
      <c r="E869" s="117"/>
      <c r="F869" s="117"/>
      <c r="G869" s="117"/>
      <c r="H869" s="117"/>
      <c r="I869" s="117"/>
      <c r="J869" s="117"/>
    </row>
    <row r="870">
      <c r="A870" s="117"/>
      <c r="B870" s="117"/>
      <c r="C870" s="117"/>
      <c r="D870" s="117"/>
      <c r="E870" s="117"/>
      <c r="F870" s="117"/>
      <c r="G870" s="117"/>
      <c r="H870" s="117"/>
      <c r="I870" s="117"/>
      <c r="J870" s="117"/>
    </row>
    <row r="871">
      <c r="A871" s="117"/>
      <c r="B871" s="117"/>
      <c r="C871" s="117"/>
      <c r="D871" s="117"/>
      <c r="E871" s="117"/>
      <c r="F871" s="117"/>
      <c r="G871" s="117"/>
      <c r="H871" s="117"/>
      <c r="I871" s="117"/>
      <c r="J871" s="117"/>
    </row>
    <row r="872">
      <c r="A872" s="117"/>
      <c r="B872" s="117"/>
      <c r="C872" s="117"/>
      <c r="D872" s="117"/>
      <c r="E872" s="117"/>
      <c r="F872" s="117"/>
      <c r="G872" s="117"/>
      <c r="H872" s="117"/>
      <c r="I872" s="117"/>
      <c r="J872" s="117"/>
    </row>
    <row r="873">
      <c r="A873" s="117"/>
      <c r="B873" s="117"/>
      <c r="C873" s="117"/>
      <c r="D873" s="117"/>
      <c r="E873" s="117"/>
      <c r="F873" s="117"/>
      <c r="G873" s="117"/>
      <c r="H873" s="117"/>
      <c r="I873" s="117"/>
      <c r="J873" s="117"/>
    </row>
    <row r="874">
      <c r="A874" s="117"/>
      <c r="B874" s="117"/>
      <c r="C874" s="117"/>
      <c r="D874" s="117"/>
      <c r="E874" s="117"/>
      <c r="F874" s="117"/>
      <c r="G874" s="117"/>
      <c r="H874" s="117"/>
      <c r="I874" s="117"/>
      <c r="J874" s="117"/>
    </row>
    <row r="875">
      <c r="A875" s="117"/>
      <c r="B875" s="117"/>
      <c r="C875" s="117"/>
      <c r="D875" s="117"/>
      <c r="E875" s="117"/>
      <c r="F875" s="117"/>
      <c r="G875" s="117"/>
      <c r="H875" s="117"/>
      <c r="I875" s="117"/>
      <c r="J875" s="117"/>
    </row>
    <row r="876">
      <c r="A876" s="117"/>
      <c r="B876" s="117"/>
      <c r="C876" s="117"/>
      <c r="D876" s="117"/>
      <c r="E876" s="117"/>
      <c r="F876" s="117"/>
      <c r="G876" s="117"/>
      <c r="H876" s="117"/>
      <c r="I876" s="117"/>
      <c r="J876" s="117"/>
    </row>
    <row r="877">
      <c r="A877" s="117"/>
      <c r="B877" s="117"/>
      <c r="C877" s="117"/>
      <c r="D877" s="117"/>
      <c r="E877" s="117"/>
      <c r="F877" s="117"/>
      <c r="G877" s="117"/>
      <c r="H877" s="117"/>
      <c r="I877" s="117"/>
      <c r="J877" s="117"/>
    </row>
    <row r="878">
      <c r="A878" s="117"/>
      <c r="B878" s="117"/>
      <c r="C878" s="117"/>
      <c r="D878" s="117"/>
      <c r="E878" s="117"/>
      <c r="F878" s="117"/>
      <c r="G878" s="117"/>
      <c r="H878" s="117"/>
      <c r="I878" s="117"/>
      <c r="J878" s="117"/>
    </row>
    <row r="879">
      <c r="A879" s="117"/>
      <c r="B879" s="117"/>
      <c r="C879" s="117"/>
      <c r="D879" s="117"/>
      <c r="E879" s="117"/>
      <c r="F879" s="117"/>
      <c r="G879" s="117"/>
      <c r="H879" s="117"/>
      <c r="I879" s="117"/>
      <c r="J879" s="117"/>
    </row>
    <row r="880">
      <c r="A880" s="117"/>
      <c r="B880" s="117"/>
      <c r="C880" s="117"/>
      <c r="D880" s="117"/>
      <c r="E880" s="117"/>
      <c r="F880" s="117"/>
      <c r="G880" s="117"/>
      <c r="H880" s="117"/>
      <c r="I880" s="117"/>
      <c r="J880" s="117"/>
    </row>
    <row r="881">
      <c r="A881" s="117"/>
      <c r="B881" s="117"/>
      <c r="C881" s="117"/>
      <c r="D881" s="117"/>
      <c r="E881" s="117"/>
      <c r="F881" s="117"/>
      <c r="G881" s="117"/>
      <c r="H881" s="117"/>
      <c r="I881" s="117"/>
      <c r="J881" s="117"/>
    </row>
    <row r="882">
      <c r="A882" s="117"/>
      <c r="B882" s="117"/>
      <c r="C882" s="117"/>
      <c r="D882" s="117"/>
      <c r="E882" s="117"/>
      <c r="F882" s="117"/>
      <c r="G882" s="117"/>
      <c r="H882" s="117"/>
      <c r="I882" s="117"/>
      <c r="J882" s="117"/>
    </row>
    <row r="883">
      <c r="A883" s="117"/>
      <c r="B883" s="117"/>
      <c r="C883" s="117"/>
      <c r="D883" s="117"/>
      <c r="E883" s="117"/>
      <c r="F883" s="117"/>
      <c r="G883" s="117"/>
      <c r="H883" s="117"/>
      <c r="I883" s="117"/>
      <c r="J883" s="117"/>
    </row>
    <row r="884">
      <c r="A884" s="117"/>
      <c r="B884" s="117"/>
      <c r="C884" s="117"/>
      <c r="D884" s="117"/>
      <c r="E884" s="117"/>
      <c r="F884" s="117"/>
      <c r="G884" s="117"/>
      <c r="H884" s="117"/>
      <c r="I884" s="117"/>
      <c r="J884" s="117"/>
    </row>
    <row r="885">
      <c r="A885" s="117"/>
      <c r="B885" s="117"/>
      <c r="C885" s="117"/>
      <c r="D885" s="117"/>
      <c r="E885" s="117"/>
      <c r="F885" s="117"/>
      <c r="G885" s="117"/>
      <c r="H885" s="117"/>
      <c r="I885" s="117"/>
      <c r="J885" s="117"/>
    </row>
    <row r="886">
      <c r="A886" s="117"/>
      <c r="B886" s="117"/>
      <c r="C886" s="117"/>
      <c r="D886" s="117"/>
      <c r="E886" s="117"/>
      <c r="F886" s="117"/>
      <c r="G886" s="117"/>
      <c r="H886" s="117"/>
      <c r="I886" s="117"/>
      <c r="J886" s="117"/>
    </row>
    <row r="887">
      <c r="A887" s="117"/>
      <c r="B887" s="117"/>
      <c r="C887" s="117"/>
      <c r="D887" s="117"/>
      <c r="E887" s="117"/>
      <c r="F887" s="117"/>
      <c r="G887" s="117"/>
      <c r="H887" s="117"/>
      <c r="I887" s="117"/>
      <c r="J887" s="117"/>
    </row>
    <row r="888">
      <c r="A888" s="117"/>
      <c r="B888" s="117"/>
      <c r="C888" s="117"/>
      <c r="D888" s="117"/>
      <c r="E888" s="117"/>
      <c r="F888" s="117"/>
      <c r="G888" s="117"/>
      <c r="H888" s="117"/>
      <c r="I888" s="117"/>
      <c r="J888" s="117"/>
    </row>
    <row r="889">
      <c r="A889" s="117"/>
      <c r="B889" s="117"/>
      <c r="C889" s="117"/>
      <c r="D889" s="117"/>
      <c r="E889" s="117"/>
      <c r="F889" s="117"/>
      <c r="G889" s="117"/>
      <c r="H889" s="117"/>
      <c r="I889" s="117"/>
      <c r="J889" s="117"/>
    </row>
    <row r="890">
      <c r="A890" s="117"/>
      <c r="B890" s="117"/>
      <c r="C890" s="117"/>
      <c r="D890" s="117"/>
      <c r="E890" s="117"/>
      <c r="F890" s="117"/>
      <c r="G890" s="117"/>
      <c r="H890" s="117"/>
      <c r="I890" s="117"/>
      <c r="J890" s="117"/>
    </row>
    <row r="891">
      <c r="A891" s="117"/>
      <c r="B891" s="117"/>
      <c r="C891" s="117"/>
      <c r="D891" s="117"/>
      <c r="E891" s="117"/>
      <c r="F891" s="117"/>
      <c r="G891" s="117"/>
      <c r="H891" s="117"/>
      <c r="I891" s="117"/>
      <c r="J891" s="117"/>
    </row>
    <row r="892">
      <c r="A892" s="117"/>
      <c r="B892" s="117"/>
      <c r="C892" s="117"/>
      <c r="D892" s="117"/>
      <c r="E892" s="117"/>
      <c r="F892" s="117"/>
      <c r="G892" s="117"/>
      <c r="H892" s="117"/>
      <c r="I892" s="117"/>
      <c r="J892" s="117"/>
    </row>
    <row r="893">
      <c r="A893" s="117"/>
      <c r="B893" s="117"/>
      <c r="C893" s="117"/>
      <c r="D893" s="117"/>
      <c r="E893" s="117"/>
      <c r="F893" s="117"/>
      <c r="G893" s="117"/>
      <c r="H893" s="117"/>
      <c r="I893" s="117"/>
      <c r="J893" s="117"/>
    </row>
    <row r="894">
      <c r="A894" s="117"/>
      <c r="B894" s="117"/>
      <c r="C894" s="117"/>
      <c r="D894" s="117"/>
      <c r="E894" s="117"/>
      <c r="F894" s="117"/>
      <c r="G894" s="117"/>
      <c r="H894" s="117"/>
      <c r="I894" s="117"/>
      <c r="J894" s="117"/>
    </row>
    <row r="895">
      <c r="A895" s="117"/>
      <c r="B895" s="117"/>
      <c r="C895" s="117"/>
      <c r="D895" s="117"/>
      <c r="E895" s="117"/>
      <c r="F895" s="117"/>
      <c r="G895" s="117"/>
      <c r="H895" s="117"/>
      <c r="I895" s="117"/>
      <c r="J895" s="117"/>
    </row>
    <row r="896">
      <c r="A896" s="117"/>
      <c r="B896" s="117"/>
      <c r="C896" s="117"/>
      <c r="D896" s="117"/>
      <c r="E896" s="117"/>
      <c r="F896" s="117"/>
      <c r="G896" s="117"/>
      <c r="H896" s="117"/>
      <c r="I896" s="117"/>
      <c r="J896" s="117"/>
    </row>
    <row r="897">
      <c r="A897" s="117"/>
      <c r="B897" s="117"/>
      <c r="C897" s="117"/>
      <c r="D897" s="117"/>
      <c r="E897" s="117"/>
      <c r="F897" s="117"/>
      <c r="G897" s="117"/>
      <c r="H897" s="117"/>
      <c r="I897" s="117"/>
      <c r="J897" s="117"/>
    </row>
    <row r="898">
      <c r="A898" s="117"/>
      <c r="B898" s="117"/>
      <c r="C898" s="117"/>
      <c r="D898" s="117"/>
      <c r="E898" s="117"/>
      <c r="F898" s="117"/>
      <c r="G898" s="117"/>
      <c r="H898" s="117"/>
      <c r="I898" s="117"/>
      <c r="J898" s="117"/>
    </row>
    <row r="899">
      <c r="A899" s="117"/>
      <c r="B899" s="117"/>
      <c r="C899" s="117"/>
      <c r="D899" s="117"/>
      <c r="E899" s="117"/>
      <c r="F899" s="117"/>
      <c r="G899" s="117"/>
      <c r="H899" s="117"/>
      <c r="I899" s="117"/>
      <c r="J899" s="117"/>
    </row>
    <row r="900">
      <c r="A900" s="117"/>
      <c r="B900" s="117"/>
      <c r="C900" s="117"/>
      <c r="D900" s="117"/>
      <c r="E900" s="117"/>
      <c r="F900" s="117"/>
      <c r="G900" s="117"/>
      <c r="H900" s="117"/>
      <c r="I900" s="117"/>
      <c r="J900" s="117"/>
    </row>
    <row r="901">
      <c r="A901" s="117"/>
      <c r="B901" s="117"/>
      <c r="C901" s="117"/>
      <c r="D901" s="117"/>
      <c r="E901" s="117"/>
      <c r="F901" s="117"/>
      <c r="G901" s="117"/>
      <c r="H901" s="117"/>
      <c r="I901" s="117"/>
      <c r="J901" s="117"/>
    </row>
    <row r="902">
      <c r="A902" s="117"/>
      <c r="B902" s="117"/>
      <c r="C902" s="117"/>
      <c r="D902" s="117"/>
      <c r="E902" s="117"/>
      <c r="F902" s="117"/>
      <c r="G902" s="117"/>
      <c r="H902" s="117"/>
      <c r="I902" s="117"/>
      <c r="J902" s="117"/>
    </row>
    <row r="903">
      <c r="A903" s="117"/>
      <c r="B903" s="117"/>
      <c r="C903" s="117"/>
      <c r="D903" s="117"/>
      <c r="E903" s="117"/>
      <c r="F903" s="117"/>
      <c r="G903" s="117"/>
      <c r="H903" s="117"/>
      <c r="I903" s="117"/>
      <c r="J903" s="117"/>
    </row>
    <row r="904">
      <c r="A904" s="117"/>
      <c r="B904" s="117"/>
      <c r="C904" s="117"/>
      <c r="D904" s="117"/>
      <c r="E904" s="117"/>
      <c r="F904" s="117"/>
      <c r="G904" s="117"/>
      <c r="H904" s="117"/>
      <c r="I904" s="117"/>
      <c r="J904" s="117"/>
    </row>
    <row r="905">
      <c r="A905" s="117"/>
      <c r="B905" s="117"/>
      <c r="C905" s="117"/>
      <c r="D905" s="117"/>
      <c r="E905" s="117"/>
      <c r="F905" s="117"/>
      <c r="G905" s="117"/>
      <c r="H905" s="117"/>
      <c r="I905" s="117"/>
      <c r="J905" s="117"/>
    </row>
    <row r="906">
      <c r="A906" s="117"/>
      <c r="B906" s="117"/>
      <c r="C906" s="117"/>
      <c r="D906" s="117"/>
      <c r="E906" s="117"/>
      <c r="F906" s="117"/>
      <c r="G906" s="117"/>
      <c r="H906" s="117"/>
      <c r="I906" s="117"/>
      <c r="J906" s="117"/>
    </row>
    <row r="907">
      <c r="A907" s="117"/>
      <c r="B907" s="117"/>
      <c r="C907" s="117"/>
      <c r="D907" s="117"/>
      <c r="E907" s="117"/>
      <c r="F907" s="117"/>
      <c r="G907" s="117"/>
      <c r="H907" s="117"/>
      <c r="I907" s="117"/>
      <c r="J907" s="117"/>
    </row>
    <row r="908">
      <c r="A908" s="117"/>
      <c r="B908" s="117"/>
      <c r="C908" s="117"/>
      <c r="D908" s="117"/>
      <c r="E908" s="117"/>
      <c r="F908" s="117"/>
      <c r="G908" s="117"/>
      <c r="H908" s="117"/>
      <c r="I908" s="117"/>
      <c r="J908" s="117"/>
    </row>
    <row r="909">
      <c r="A909" s="117"/>
      <c r="B909" s="117"/>
      <c r="C909" s="117"/>
      <c r="D909" s="117"/>
      <c r="E909" s="117"/>
      <c r="F909" s="117"/>
      <c r="G909" s="117"/>
      <c r="H909" s="117"/>
      <c r="I909" s="117"/>
      <c r="J909" s="117"/>
    </row>
    <row r="910">
      <c r="A910" s="117"/>
      <c r="B910" s="117"/>
      <c r="C910" s="117"/>
      <c r="D910" s="117"/>
      <c r="E910" s="117"/>
      <c r="F910" s="117"/>
      <c r="G910" s="117"/>
      <c r="H910" s="117"/>
      <c r="I910" s="117"/>
      <c r="J910" s="117"/>
    </row>
    <row r="911">
      <c r="A911" s="117"/>
      <c r="B911" s="117"/>
      <c r="C911" s="117"/>
      <c r="D911" s="117"/>
      <c r="E911" s="117"/>
      <c r="F911" s="117"/>
      <c r="G911" s="117"/>
      <c r="H911" s="117"/>
      <c r="I911" s="117"/>
      <c r="J911" s="117"/>
    </row>
    <row r="912">
      <c r="A912" s="117"/>
      <c r="B912" s="117"/>
      <c r="C912" s="117"/>
      <c r="D912" s="117"/>
      <c r="E912" s="117"/>
      <c r="F912" s="117"/>
      <c r="G912" s="117"/>
      <c r="H912" s="117"/>
      <c r="I912" s="117"/>
      <c r="J912" s="117"/>
    </row>
    <row r="913">
      <c r="A913" s="117"/>
      <c r="B913" s="117"/>
      <c r="C913" s="117"/>
      <c r="D913" s="117"/>
      <c r="E913" s="117"/>
      <c r="F913" s="117"/>
      <c r="G913" s="117"/>
      <c r="H913" s="117"/>
      <c r="I913" s="117"/>
      <c r="J913" s="117"/>
    </row>
    <row r="914">
      <c r="A914" s="117"/>
      <c r="B914" s="117"/>
      <c r="C914" s="117"/>
      <c r="D914" s="117"/>
      <c r="E914" s="117"/>
      <c r="F914" s="117"/>
      <c r="G914" s="117"/>
      <c r="H914" s="117"/>
      <c r="I914" s="117"/>
      <c r="J914" s="117"/>
    </row>
    <row r="915">
      <c r="A915" s="117"/>
      <c r="B915" s="117"/>
      <c r="C915" s="117"/>
      <c r="D915" s="117"/>
      <c r="E915" s="117"/>
      <c r="F915" s="117"/>
      <c r="G915" s="117"/>
      <c r="H915" s="117"/>
      <c r="I915" s="117"/>
      <c r="J915" s="117"/>
    </row>
    <row r="916">
      <c r="A916" s="117"/>
      <c r="B916" s="117"/>
      <c r="C916" s="117"/>
      <c r="D916" s="117"/>
      <c r="E916" s="117"/>
      <c r="F916" s="117"/>
      <c r="G916" s="117"/>
      <c r="H916" s="117"/>
      <c r="I916" s="117"/>
      <c r="J916" s="117"/>
    </row>
    <row r="917">
      <c r="A917" s="117"/>
      <c r="B917" s="117"/>
      <c r="C917" s="117"/>
      <c r="D917" s="117"/>
      <c r="E917" s="117"/>
      <c r="F917" s="117"/>
      <c r="G917" s="117"/>
      <c r="H917" s="117"/>
      <c r="I917" s="117"/>
      <c r="J917" s="117"/>
    </row>
    <row r="918">
      <c r="A918" s="117"/>
      <c r="B918" s="117"/>
      <c r="C918" s="117"/>
      <c r="D918" s="117"/>
      <c r="E918" s="117"/>
      <c r="F918" s="117"/>
      <c r="G918" s="117"/>
      <c r="H918" s="117"/>
      <c r="I918" s="117"/>
      <c r="J918" s="117"/>
    </row>
    <row r="919">
      <c r="A919" s="117"/>
      <c r="B919" s="117"/>
      <c r="C919" s="117"/>
      <c r="D919" s="117"/>
      <c r="E919" s="117"/>
      <c r="F919" s="117"/>
      <c r="G919" s="117"/>
      <c r="H919" s="117"/>
      <c r="I919" s="117"/>
      <c r="J919" s="117"/>
    </row>
    <row r="920">
      <c r="A920" s="117"/>
      <c r="B920" s="117"/>
      <c r="C920" s="117"/>
      <c r="D920" s="117"/>
      <c r="E920" s="117"/>
      <c r="F920" s="117"/>
      <c r="G920" s="117"/>
      <c r="H920" s="117"/>
      <c r="I920" s="117"/>
      <c r="J920" s="117"/>
    </row>
    <row r="921">
      <c r="A921" s="117"/>
      <c r="B921" s="117"/>
      <c r="C921" s="117"/>
      <c r="D921" s="117"/>
      <c r="E921" s="117"/>
      <c r="F921" s="117"/>
      <c r="G921" s="117"/>
      <c r="H921" s="117"/>
      <c r="I921" s="117"/>
      <c r="J921" s="117"/>
    </row>
    <row r="922">
      <c r="A922" s="117"/>
      <c r="B922" s="117"/>
      <c r="C922" s="117"/>
      <c r="D922" s="117"/>
      <c r="E922" s="117"/>
      <c r="F922" s="117"/>
      <c r="G922" s="117"/>
      <c r="H922" s="117"/>
      <c r="I922" s="117"/>
      <c r="J922" s="117"/>
    </row>
    <row r="923">
      <c r="A923" s="117"/>
      <c r="B923" s="117"/>
      <c r="C923" s="117"/>
      <c r="D923" s="117"/>
      <c r="E923" s="117"/>
      <c r="F923" s="117"/>
      <c r="G923" s="117"/>
      <c r="H923" s="117"/>
      <c r="I923" s="117"/>
      <c r="J923" s="117"/>
    </row>
    <row r="924">
      <c r="A924" s="117"/>
      <c r="B924" s="117"/>
      <c r="C924" s="117"/>
      <c r="D924" s="117"/>
      <c r="E924" s="117"/>
      <c r="F924" s="117"/>
      <c r="G924" s="117"/>
      <c r="H924" s="117"/>
      <c r="I924" s="117"/>
      <c r="J924" s="117"/>
    </row>
    <row r="925">
      <c r="A925" s="117"/>
      <c r="B925" s="117"/>
      <c r="C925" s="117"/>
      <c r="D925" s="117"/>
      <c r="E925" s="117"/>
      <c r="F925" s="117"/>
      <c r="G925" s="117"/>
      <c r="H925" s="117"/>
      <c r="I925" s="117"/>
      <c r="J925" s="117"/>
    </row>
    <row r="926">
      <c r="A926" s="117"/>
      <c r="B926" s="117"/>
      <c r="C926" s="117"/>
      <c r="D926" s="117"/>
      <c r="E926" s="117"/>
      <c r="F926" s="117"/>
      <c r="G926" s="117"/>
      <c r="H926" s="117"/>
      <c r="I926" s="117"/>
      <c r="J926" s="117"/>
    </row>
    <row r="927">
      <c r="A927" s="117"/>
      <c r="B927" s="117"/>
      <c r="C927" s="117"/>
      <c r="D927" s="117"/>
      <c r="E927" s="117"/>
      <c r="F927" s="117"/>
      <c r="G927" s="117"/>
      <c r="H927" s="117"/>
      <c r="I927" s="117"/>
      <c r="J927" s="117"/>
    </row>
    <row r="928">
      <c r="A928" s="117"/>
      <c r="B928" s="117"/>
      <c r="C928" s="117"/>
      <c r="D928" s="117"/>
      <c r="E928" s="117"/>
      <c r="F928" s="117"/>
      <c r="G928" s="117"/>
      <c r="H928" s="117"/>
      <c r="I928" s="117"/>
      <c r="J928" s="117"/>
    </row>
    <row r="929">
      <c r="A929" s="117"/>
      <c r="B929" s="117"/>
      <c r="C929" s="117"/>
      <c r="D929" s="117"/>
      <c r="E929" s="117"/>
      <c r="F929" s="117"/>
      <c r="G929" s="117"/>
      <c r="H929" s="117"/>
      <c r="I929" s="117"/>
      <c r="J929" s="117"/>
    </row>
    <row r="930">
      <c r="A930" s="117"/>
      <c r="B930" s="117"/>
      <c r="C930" s="117"/>
      <c r="D930" s="117"/>
      <c r="E930" s="117"/>
      <c r="F930" s="117"/>
      <c r="G930" s="117"/>
      <c r="H930" s="117"/>
      <c r="I930" s="117"/>
      <c r="J930" s="117"/>
    </row>
    <row r="931">
      <c r="A931" s="117"/>
      <c r="B931" s="117"/>
      <c r="C931" s="117"/>
      <c r="D931" s="117"/>
      <c r="E931" s="117"/>
      <c r="F931" s="117"/>
      <c r="G931" s="117"/>
      <c r="H931" s="117"/>
      <c r="I931" s="117"/>
      <c r="J931" s="117"/>
    </row>
    <row r="932">
      <c r="A932" s="117"/>
      <c r="B932" s="117"/>
      <c r="C932" s="117"/>
      <c r="D932" s="117"/>
      <c r="E932" s="117"/>
      <c r="F932" s="117"/>
      <c r="G932" s="117"/>
      <c r="H932" s="117"/>
      <c r="I932" s="117"/>
      <c r="J932" s="117"/>
    </row>
    <row r="933">
      <c r="A933" s="117"/>
      <c r="B933" s="117"/>
      <c r="C933" s="117"/>
      <c r="D933" s="117"/>
      <c r="E933" s="117"/>
      <c r="F933" s="117"/>
      <c r="G933" s="117"/>
      <c r="H933" s="117"/>
      <c r="I933" s="117"/>
      <c r="J933" s="117"/>
    </row>
    <row r="934">
      <c r="A934" s="117"/>
      <c r="B934" s="117"/>
      <c r="C934" s="117"/>
      <c r="D934" s="117"/>
      <c r="E934" s="117"/>
      <c r="F934" s="117"/>
      <c r="G934" s="117"/>
      <c r="H934" s="117"/>
      <c r="I934" s="117"/>
      <c r="J934" s="117"/>
    </row>
    <row r="935">
      <c r="A935" s="117"/>
      <c r="B935" s="117"/>
      <c r="C935" s="117"/>
      <c r="D935" s="117"/>
      <c r="E935" s="117"/>
      <c r="F935" s="117"/>
      <c r="G935" s="117"/>
      <c r="H935" s="117"/>
      <c r="I935" s="117"/>
      <c r="J935" s="117"/>
    </row>
    <row r="936">
      <c r="A936" s="117"/>
      <c r="B936" s="117"/>
      <c r="C936" s="117"/>
      <c r="D936" s="117"/>
      <c r="E936" s="117"/>
      <c r="F936" s="117"/>
      <c r="G936" s="117"/>
      <c r="H936" s="117"/>
      <c r="I936" s="117"/>
      <c r="J936" s="117"/>
    </row>
    <row r="937">
      <c r="A937" s="117"/>
      <c r="B937" s="117"/>
      <c r="C937" s="117"/>
      <c r="D937" s="117"/>
      <c r="E937" s="117"/>
      <c r="F937" s="117"/>
      <c r="G937" s="117"/>
      <c r="H937" s="117"/>
      <c r="I937" s="117"/>
      <c r="J937" s="117"/>
    </row>
    <row r="938">
      <c r="A938" s="117"/>
      <c r="B938" s="117"/>
      <c r="C938" s="117"/>
      <c r="D938" s="117"/>
      <c r="E938" s="117"/>
      <c r="F938" s="117"/>
      <c r="G938" s="117"/>
      <c r="H938" s="117"/>
      <c r="I938" s="117"/>
      <c r="J938" s="117"/>
    </row>
    <row r="939">
      <c r="A939" s="117"/>
      <c r="B939" s="117"/>
      <c r="C939" s="117"/>
      <c r="D939" s="117"/>
      <c r="E939" s="117"/>
      <c r="F939" s="117"/>
      <c r="G939" s="117"/>
      <c r="H939" s="117"/>
      <c r="I939" s="117"/>
      <c r="J939" s="117"/>
    </row>
    <row r="940">
      <c r="A940" s="117"/>
      <c r="B940" s="117"/>
      <c r="C940" s="117"/>
      <c r="D940" s="117"/>
      <c r="E940" s="117"/>
      <c r="F940" s="117"/>
      <c r="G940" s="117"/>
      <c r="H940" s="117"/>
      <c r="I940" s="117"/>
      <c r="J940" s="117"/>
    </row>
    <row r="941">
      <c r="A941" s="117"/>
      <c r="B941" s="117"/>
      <c r="C941" s="117"/>
      <c r="D941" s="117"/>
      <c r="E941" s="117"/>
      <c r="F941" s="117"/>
      <c r="G941" s="117"/>
      <c r="H941" s="117"/>
      <c r="I941" s="117"/>
      <c r="J941" s="117"/>
    </row>
    <row r="942">
      <c r="A942" s="117"/>
      <c r="B942" s="117"/>
      <c r="C942" s="117"/>
      <c r="D942" s="117"/>
      <c r="E942" s="117"/>
      <c r="F942" s="117"/>
      <c r="G942" s="117"/>
      <c r="H942" s="117"/>
      <c r="I942" s="117"/>
      <c r="J942" s="117"/>
    </row>
    <row r="943">
      <c r="A943" s="117"/>
      <c r="B943" s="117"/>
      <c r="C943" s="117"/>
      <c r="D943" s="117"/>
      <c r="E943" s="117"/>
      <c r="F943" s="117"/>
      <c r="G943" s="117"/>
      <c r="H943" s="117"/>
      <c r="I943" s="117"/>
      <c r="J943" s="117"/>
    </row>
    <row r="944">
      <c r="A944" s="117"/>
      <c r="B944" s="117"/>
      <c r="C944" s="117"/>
      <c r="D944" s="117"/>
      <c r="E944" s="117"/>
      <c r="F944" s="117"/>
      <c r="G944" s="117"/>
      <c r="H944" s="117"/>
      <c r="I944" s="117"/>
      <c r="J944" s="117"/>
    </row>
    <row r="945">
      <c r="A945" s="117"/>
      <c r="B945" s="117"/>
      <c r="C945" s="117"/>
      <c r="D945" s="117"/>
      <c r="E945" s="117"/>
      <c r="F945" s="117"/>
      <c r="G945" s="117"/>
      <c r="H945" s="117"/>
      <c r="I945" s="117"/>
      <c r="J945" s="117"/>
    </row>
    <row r="946">
      <c r="A946" s="117"/>
      <c r="B946" s="117"/>
      <c r="C946" s="117"/>
      <c r="D946" s="117"/>
      <c r="E946" s="117"/>
      <c r="F946" s="117"/>
      <c r="G946" s="117"/>
      <c r="H946" s="117"/>
      <c r="I946" s="117"/>
      <c r="J946" s="117"/>
    </row>
    <row r="947">
      <c r="A947" s="117"/>
      <c r="B947" s="117"/>
      <c r="C947" s="117"/>
      <c r="D947" s="117"/>
      <c r="E947" s="117"/>
      <c r="F947" s="117"/>
      <c r="G947" s="117"/>
      <c r="H947" s="117"/>
      <c r="I947" s="117"/>
      <c r="J947" s="117"/>
    </row>
    <row r="948">
      <c r="A948" s="117"/>
      <c r="B948" s="117"/>
      <c r="C948" s="117"/>
      <c r="D948" s="117"/>
      <c r="E948" s="117"/>
      <c r="F948" s="117"/>
      <c r="G948" s="117"/>
      <c r="H948" s="117"/>
      <c r="I948" s="117"/>
      <c r="J948" s="117"/>
    </row>
    <row r="949">
      <c r="A949" s="117"/>
      <c r="B949" s="117"/>
      <c r="C949" s="117"/>
      <c r="D949" s="117"/>
      <c r="E949" s="117"/>
      <c r="F949" s="117"/>
      <c r="G949" s="117"/>
      <c r="H949" s="117"/>
      <c r="I949" s="117"/>
      <c r="J949" s="117"/>
    </row>
    <row r="950">
      <c r="A950" s="117"/>
      <c r="B950" s="117"/>
      <c r="C950" s="117"/>
      <c r="D950" s="117"/>
      <c r="E950" s="117"/>
      <c r="F950" s="117"/>
      <c r="G950" s="117"/>
      <c r="H950" s="117"/>
      <c r="I950" s="117"/>
      <c r="J950" s="117"/>
    </row>
    <row r="951">
      <c r="A951" s="117"/>
      <c r="B951" s="117"/>
      <c r="C951" s="117"/>
      <c r="D951" s="117"/>
      <c r="E951" s="117"/>
      <c r="F951" s="117"/>
      <c r="G951" s="117"/>
      <c r="H951" s="117"/>
      <c r="I951" s="117"/>
      <c r="J951" s="117"/>
    </row>
    <row r="952">
      <c r="A952" s="117"/>
      <c r="B952" s="117"/>
      <c r="C952" s="117"/>
      <c r="D952" s="117"/>
      <c r="E952" s="117"/>
      <c r="F952" s="117"/>
      <c r="G952" s="117"/>
      <c r="H952" s="117"/>
      <c r="I952" s="117"/>
      <c r="J952" s="117"/>
    </row>
    <row r="953">
      <c r="A953" s="117"/>
      <c r="B953" s="117"/>
      <c r="C953" s="117"/>
      <c r="D953" s="117"/>
      <c r="E953" s="117"/>
      <c r="F953" s="117"/>
      <c r="G953" s="117"/>
      <c r="H953" s="117"/>
      <c r="I953" s="117"/>
      <c r="J953" s="117"/>
    </row>
    <row r="954">
      <c r="A954" s="117"/>
      <c r="B954" s="117"/>
      <c r="C954" s="117"/>
      <c r="D954" s="117"/>
      <c r="E954" s="117"/>
      <c r="F954" s="117"/>
      <c r="G954" s="117"/>
      <c r="H954" s="117"/>
      <c r="I954" s="117"/>
      <c r="J954" s="117"/>
    </row>
    <row r="955">
      <c r="A955" s="117"/>
      <c r="B955" s="117"/>
      <c r="C955" s="117"/>
      <c r="D955" s="117"/>
      <c r="E955" s="117"/>
      <c r="F955" s="117"/>
      <c r="G955" s="117"/>
      <c r="H955" s="117"/>
      <c r="I955" s="117"/>
      <c r="J955" s="117"/>
    </row>
    <row r="956">
      <c r="A956" s="117"/>
      <c r="B956" s="117"/>
      <c r="C956" s="117"/>
      <c r="D956" s="117"/>
      <c r="E956" s="117"/>
      <c r="F956" s="117"/>
      <c r="G956" s="117"/>
      <c r="H956" s="117"/>
      <c r="I956" s="117"/>
      <c r="J956" s="117"/>
    </row>
    <row r="957">
      <c r="A957" s="117"/>
      <c r="B957" s="117"/>
      <c r="C957" s="117"/>
      <c r="D957" s="117"/>
      <c r="E957" s="117"/>
      <c r="F957" s="117"/>
      <c r="G957" s="117"/>
      <c r="H957" s="117"/>
      <c r="I957" s="117"/>
      <c r="J957" s="117"/>
    </row>
    <row r="958">
      <c r="A958" s="117"/>
      <c r="B958" s="117"/>
      <c r="C958" s="117"/>
      <c r="D958" s="117"/>
      <c r="E958" s="117"/>
      <c r="F958" s="117"/>
      <c r="G958" s="117"/>
      <c r="H958" s="117"/>
      <c r="I958" s="117"/>
      <c r="J958" s="117"/>
    </row>
    <row r="959">
      <c r="A959" s="117"/>
      <c r="B959" s="117"/>
      <c r="C959" s="117"/>
      <c r="D959" s="117"/>
      <c r="E959" s="117"/>
      <c r="F959" s="117"/>
      <c r="G959" s="117"/>
      <c r="H959" s="117"/>
      <c r="I959" s="117"/>
      <c r="J959" s="117"/>
    </row>
    <row r="960">
      <c r="A960" s="117"/>
      <c r="B960" s="117"/>
      <c r="C960" s="117"/>
      <c r="D960" s="117"/>
      <c r="E960" s="117"/>
      <c r="F960" s="117"/>
      <c r="G960" s="117"/>
      <c r="H960" s="117"/>
      <c r="I960" s="117"/>
      <c r="J960" s="117"/>
    </row>
    <row r="961">
      <c r="A961" s="117"/>
      <c r="B961" s="117"/>
      <c r="C961" s="117"/>
      <c r="D961" s="117"/>
      <c r="E961" s="117"/>
      <c r="F961" s="117"/>
      <c r="G961" s="117"/>
      <c r="H961" s="117"/>
      <c r="I961" s="117"/>
      <c r="J961" s="117"/>
    </row>
    <row r="962">
      <c r="A962" s="117"/>
      <c r="B962" s="117"/>
      <c r="C962" s="117"/>
      <c r="D962" s="117"/>
      <c r="E962" s="117"/>
      <c r="F962" s="117"/>
      <c r="G962" s="117"/>
      <c r="H962" s="117"/>
      <c r="I962" s="117"/>
      <c r="J962" s="117"/>
    </row>
    <row r="963">
      <c r="A963" s="117"/>
      <c r="B963" s="117"/>
      <c r="C963" s="117"/>
      <c r="D963" s="117"/>
      <c r="E963" s="117"/>
      <c r="F963" s="117"/>
      <c r="G963" s="117"/>
      <c r="H963" s="117"/>
      <c r="I963" s="117"/>
      <c r="J963" s="117"/>
    </row>
    <row r="964">
      <c r="A964" s="117"/>
      <c r="B964" s="117"/>
      <c r="C964" s="117"/>
      <c r="D964" s="117"/>
      <c r="E964" s="117"/>
      <c r="F964" s="117"/>
      <c r="G964" s="117"/>
      <c r="H964" s="117"/>
      <c r="I964" s="117"/>
      <c r="J964" s="117"/>
    </row>
    <row r="965">
      <c r="A965" s="117"/>
      <c r="B965" s="117"/>
      <c r="C965" s="117"/>
      <c r="D965" s="117"/>
      <c r="E965" s="117"/>
      <c r="F965" s="117"/>
      <c r="G965" s="117"/>
      <c r="H965" s="117"/>
      <c r="I965" s="117"/>
      <c r="J965" s="117"/>
    </row>
    <row r="966">
      <c r="A966" s="117"/>
      <c r="B966" s="117"/>
      <c r="C966" s="117"/>
      <c r="D966" s="117"/>
      <c r="E966" s="117"/>
      <c r="F966" s="117"/>
      <c r="G966" s="117"/>
      <c r="H966" s="117"/>
      <c r="I966" s="117"/>
      <c r="J966" s="117"/>
    </row>
    <row r="967">
      <c r="A967" s="117"/>
      <c r="B967" s="117"/>
      <c r="C967" s="117"/>
      <c r="D967" s="117"/>
      <c r="E967" s="117"/>
      <c r="F967" s="117"/>
      <c r="G967" s="117"/>
      <c r="H967" s="117"/>
      <c r="I967" s="117"/>
      <c r="J967" s="117"/>
    </row>
    <row r="968">
      <c r="A968" s="117"/>
      <c r="B968" s="117"/>
      <c r="C968" s="117"/>
      <c r="D968" s="117"/>
      <c r="E968" s="117"/>
      <c r="F968" s="117"/>
      <c r="G968" s="117"/>
      <c r="H968" s="117"/>
      <c r="I968" s="117"/>
      <c r="J968" s="117"/>
    </row>
    <row r="969">
      <c r="A969" s="117"/>
      <c r="B969" s="117"/>
      <c r="C969" s="117"/>
      <c r="D969" s="117"/>
      <c r="E969" s="117"/>
      <c r="F969" s="117"/>
      <c r="G969" s="117"/>
      <c r="H969" s="117"/>
      <c r="I969" s="117"/>
      <c r="J969" s="117"/>
    </row>
    <row r="970">
      <c r="A970" s="117"/>
      <c r="B970" s="117"/>
      <c r="C970" s="117"/>
      <c r="D970" s="117"/>
      <c r="E970" s="117"/>
      <c r="F970" s="117"/>
      <c r="G970" s="117"/>
      <c r="H970" s="117"/>
      <c r="I970" s="117"/>
      <c r="J970" s="117"/>
    </row>
    <row r="971">
      <c r="A971" s="117"/>
      <c r="B971" s="117"/>
      <c r="C971" s="117"/>
      <c r="D971" s="117"/>
      <c r="E971" s="117"/>
      <c r="F971" s="117"/>
      <c r="G971" s="117"/>
      <c r="H971" s="117"/>
      <c r="I971" s="117"/>
      <c r="J971" s="117"/>
    </row>
    <row r="972">
      <c r="A972" s="117"/>
      <c r="B972" s="117"/>
      <c r="C972" s="117"/>
      <c r="D972" s="117"/>
      <c r="E972" s="117"/>
      <c r="F972" s="117"/>
      <c r="G972" s="117"/>
      <c r="H972" s="117"/>
      <c r="I972" s="117"/>
      <c r="J972" s="117"/>
    </row>
    <row r="973">
      <c r="A973" s="117"/>
      <c r="B973" s="117"/>
      <c r="C973" s="117"/>
      <c r="D973" s="117"/>
      <c r="E973" s="117"/>
      <c r="F973" s="117"/>
      <c r="G973" s="117"/>
      <c r="H973" s="117"/>
      <c r="I973" s="117"/>
      <c r="J973" s="117"/>
    </row>
    <row r="974">
      <c r="A974" s="117"/>
      <c r="B974" s="117"/>
      <c r="C974" s="117"/>
      <c r="D974" s="117"/>
      <c r="E974" s="117"/>
      <c r="F974" s="117"/>
      <c r="G974" s="117"/>
      <c r="H974" s="117"/>
      <c r="I974" s="117"/>
      <c r="J974" s="117"/>
    </row>
    <row r="975">
      <c r="A975" s="117"/>
      <c r="B975" s="117"/>
      <c r="C975" s="117"/>
      <c r="D975" s="117"/>
      <c r="E975" s="117"/>
      <c r="F975" s="117"/>
      <c r="G975" s="117"/>
      <c r="H975" s="117"/>
      <c r="I975" s="117"/>
      <c r="J975" s="117"/>
    </row>
    <row r="976">
      <c r="A976" s="117"/>
      <c r="B976" s="117"/>
      <c r="C976" s="117"/>
      <c r="D976" s="117"/>
      <c r="E976" s="117"/>
      <c r="F976" s="117"/>
      <c r="G976" s="117"/>
      <c r="H976" s="117"/>
      <c r="I976" s="117"/>
      <c r="J976" s="117"/>
    </row>
    <row r="977">
      <c r="A977" s="117"/>
      <c r="B977" s="117"/>
      <c r="C977" s="117"/>
      <c r="D977" s="117"/>
      <c r="E977" s="117"/>
      <c r="F977" s="117"/>
      <c r="G977" s="117"/>
      <c r="H977" s="117"/>
      <c r="I977" s="117"/>
      <c r="J977" s="117"/>
    </row>
    <row r="978">
      <c r="A978" s="117"/>
      <c r="B978" s="117"/>
      <c r="C978" s="117"/>
      <c r="D978" s="117"/>
      <c r="E978" s="117"/>
      <c r="F978" s="117"/>
      <c r="G978" s="117"/>
      <c r="H978" s="117"/>
      <c r="I978" s="117"/>
      <c r="J978" s="117"/>
    </row>
    <row r="979">
      <c r="A979" s="117"/>
      <c r="B979" s="117"/>
      <c r="C979" s="117"/>
      <c r="D979" s="117"/>
      <c r="E979" s="117"/>
      <c r="F979" s="117"/>
      <c r="G979" s="117"/>
      <c r="H979" s="117"/>
      <c r="I979" s="117"/>
      <c r="J979" s="117"/>
    </row>
    <row r="980">
      <c r="A980" s="117"/>
      <c r="B980" s="117"/>
      <c r="C980" s="117"/>
      <c r="D980" s="117"/>
      <c r="E980" s="117"/>
      <c r="F980" s="117"/>
      <c r="G980" s="117"/>
      <c r="H980" s="117"/>
      <c r="I980" s="117"/>
      <c r="J980" s="117"/>
    </row>
    <row r="981">
      <c r="A981" s="117"/>
      <c r="B981" s="117"/>
      <c r="C981" s="117"/>
      <c r="D981" s="117"/>
      <c r="E981" s="117"/>
      <c r="F981" s="117"/>
      <c r="G981" s="117"/>
      <c r="H981" s="117"/>
      <c r="I981" s="117"/>
      <c r="J981" s="117"/>
    </row>
    <row r="982">
      <c r="A982" s="117"/>
      <c r="B982" s="117"/>
      <c r="C982" s="117"/>
      <c r="D982" s="117"/>
      <c r="E982" s="117"/>
      <c r="F982" s="117"/>
      <c r="G982" s="117"/>
      <c r="H982" s="117"/>
      <c r="I982" s="117"/>
      <c r="J982" s="117"/>
    </row>
    <row r="983">
      <c r="A983" s="117"/>
      <c r="B983" s="117"/>
      <c r="C983" s="117"/>
      <c r="D983" s="117"/>
      <c r="E983" s="117"/>
      <c r="F983" s="117"/>
      <c r="G983" s="117"/>
      <c r="H983" s="117"/>
      <c r="I983" s="117"/>
      <c r="J983" s="117"/>
    </row>
    <row r="984">
      <c r="A984" s="117"/>
      <c r="B984" s="117"/>
      <c r="C984" s="117"/>
      <c r="D984" s="117"/>
      <c r="E984" s="117"/>
      <c r="F984" s="117"/>
      <c r="G984" s="117"/>
      <c r="H984" s="117"/>
      <c r="I984" s="117"/>
      <c r="J984" s="117"/>
    </row>
    <row r="985">
      <c r="A985" s="117"/>
      <c r="B985" s="117"/>
      <c r="C985" s="117"/>
      <c r="D985" s="117"/>
      <c r="E985" s="117"/>
      <c r="F985" s="117"/>
      <c r="G985" s="117"/>
      <c r="H985" s="117"/>
      <c r="I985" s="117"/>
      <c r="J985" s="117"/>
    </row>
    <row r="986">
      <c r="A986" s="117"/>
      <c r="B986" s="117"/>
      <c r="C986" s="117"/>
      <c r="D986" s="117"/>
      <c r="E986" s="117"/>
      <c r="F986" s="117"/>
      <c r="G986" s="117"/>
      <c r="H986" s="117"/>
      <c r="I986" s="117"/>
      <c r="J986" s="117"/>
    </row>
    <row r="987">
      <c r="A987" s="117"/>
      <c r="B987" s="117"/>
      <c r="C987" s="117"/>
      <c r="D987" s="117"/>
      <c r="E987" s="117"/>
      <c r="F987" s="117"/>
      <c r="G987" s="117"/>
      <c r="H987" s="117"/>
      <c r="I987" s="117"/>
      <c r="J987" s="117"/>
    </row>
    <row r="988">
      <c r="A988" s="117"/>
      <c r="B988" s="117"/>
      <c r="C988" s="117"/>
      <c r="D988" s="117"/>
      <c r="E988" s="117"/>
      <c r="F988" s="117"/>
      <c r="G988" s="117"/>
      <c r="H988" s="117"/>
      <c r="I988" s="117"/>
      <c r="J988" s="117"/>
    </row>
    <row r="989">
      <c r="A989" s="117"/>
      <c r="B989" s="117"/>
      <c r="C989" s="117"/>
      <c r="D989" s="117"/>
      <c r="E989" s="117"/>
      <c r="F989" s="117"/>
      <c r="G989" s="117"/>
      <c r="H989" s="117"/>
      <c r="I989" s="117"/>
      <c r="J989" s="117"/>
    </row>
    <row r="990">
      <c r="A990" s="117"/>
      <c r="B990" s="117"/>
      <c r="C990" s="117"/>
      <c r="D990" s="117"/>
      <c r="E990" s="117"/>
      <c r="F990" s="117"/>
      <c r="G990" s="117"/>
      <c r="H990" s="117"/>
      <c r="I990" s="117"/>
      <c r="J990" s="117"/>
    </row>
    <row r="991">
      <c r="A991" s="117"/>
      <c r="B991" s="117"/>
      <c r="C991" s="117"/>
      <c r="D991" s="117"/>
      <c r="E991" s="117"/>
      <c r="F991" s="117"/>
      <c r="G991" s="117"/>
      <c r="H991" s="117"/>
      <c r="I991" s="117"/>
      <c r="J991" s="117"/>
    </row>
    <row r="992">
      <c r="A992" s="117"/>
      <c r="B992" s="117"/>
      <c r="C992" s="117"/>
      <c r="D992" s="117"/>
      <c r="E992" s="117"/>
      <c r="F992" s="117"/>
      <c r="G992" s="117"/>
      <c r="H992" s="117"/>
      <c r="I992" s="117"/>
      <c r="J992" s="117"/>
    </row>
    <row r="993">
      <c r="A993" s="117"/>
      <c r="B993" s="117"/>
      <c r="C993" s="117"/>
      <c r="D993" s="117"/>
      <c r="E993" s="117"/>
      <c r="F993" s="117"/>
      <c r="G993" s="117"/>
      <c r="H993" s="117"/>
      <c r="I993" s="117"/>
      <c r="J993" s="117"/>
    </row>
    <row r="994">
      <c r="A994" s="117"/>
      <c r="B994" s="117"/>
      <c r="C994" s="117"/>
      <c r="D994" s="117"/>
      <c r="E994" s="117"/>
      <c r="F994" s="117"/>
      <c r="G994" s="117"/>
      <c r="H994" s="117"/>
      <c r="I994" s="117"/>
      <c r="J994" s="117"/>
    </row>
    <row r="995">
      <c r="A995" s="117"/>
      <c r="B995" s="117"/>
      <c r="C995" s="117"/>
      <c r="D995" s="117"/>
      <c r="E995" s="117"/>
      <c r="F995" s="117"/>
      <c r="G995" s="117"/>
      <c r="H995" s="117"/>
      <c r="I995" s="117"/>
      <c r="J995" s="117"/>
    </row>
    <row r="996">
      <c r="A996" s="117"/>
      <c r="B996" s="117"/>
      <c r="C996" s="117"/>
      <c r="D996" s="117"/>
      <c r="E996" s="117"/>
      <c r="F996" s="117"/>
      <c r="G996" s="117"/>
      <c r="H996" s="117"/>
      <c r="I996" s="117"/>
      <c r="J996" s="117"/>
    </row>
    <row r="997">
      <c r="A997" s="117"/>
      <c r="B997" s="117"/>
      <c r="C997" s="117"/>
      <c r="D997" s="117"/>
      <c r="E997" s="117"/>
      <c r="F997" s="117"/>
      <c r="G997" s="117"/>
      <c r="H997" s="117"/>
      <c r="I997" s="117"/>
      <c r="J997" s="117"/>
    </row>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2005-02-28T12:58:17Z</dcterms:created>
  <dc:creator>gcalderon</dc:creator>
</cp:coreProperties>
</file>