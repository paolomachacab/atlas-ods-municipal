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2012 MORT INFANTIL CENSO" sheetId="1" r:id="rId4"/>
    <sheet state="visible" name=" 2024 MORT INFA" sheetId="2" r:id="rId5"/>
    <sheet state="visible" name="Datos procesados_EDSA_y_Cen2012" sheetId="3" r:id="rId6"/>
    <sheet state="visible" name="Datos procesados_EDSA_y_Cen2024" sheetId="4" r:id="rId7"/>
    <sheet state="visible" name="Indicador_MUN" sheetId="5" r:id="rId8"/>
    <sheet state="hidden" name="INFANTIL Absoluto_MUN" sheetId="6" r:id="rId9"/>
    <sheet state="hidden" name="NIÑEZ Absoluto_MUN " sheetId="7" r:id="rId10"/>
    <sheet state="visible" name="Absoluto_MUN" sheetId="8" r:id="rId11"/>
    <sheet state="visible" name="Indicador_DEP " sheetId="9" r:id="rId12"/>
    <sheet state="visible" name="Absoluto_DEP" sheetId="10" r:id="rId13"/>
    <sheet state="visible" name="Umbral" sheetId="11" r:id="rId14"/>
    <sheet state="visible" name="Mapa" sheetId="12" r:id="rId15"/>
  </sheets>
  <definedNames>
    <definedName hidden="1" localSheetId="4" name="_xlnm._FilterDatabase">Indicador_MUN!$A$1:$D$1</definedName>
    <definedName hidden="1" localSheetId="5" name="_xlnm._FilterDatabase">'INFANTIL Absoluto_MUN'!$A$1:$D$1</definedName>
    <definedName hidden="1" localSheetId="6" name="_xlnm._FilterDatabase">'NIÑEZ Absoluto_MUN '!$A$1:$D$1</definedName>
    <definedName hidden="1" localSheetId="7" name="_xlnm._FilterDatabase">Absoluto_MUN!$A$1:$D$1</definedName>
  </definedNames>
  <calcPr/>
  <extLst>
    <ext uri="GoogleSheetsCustomDataVersion2">
      <go:sheetsCustomData xmlns:go="http://customooxmlschemas.google.com/" r:id="rId16" roundtripDataChecksum="alo55fcc83i5b0IiiGxBcxu3A7qGmwOrnDlZGj0IBmM="/>
    </ext>
  </extLst>
</workbook>
</file>

<file path=xl/sharedStrings.xml><?xml version="1.0" encoding="utf-8"?>
<sst xmlns="http://schemas.openxmlformats.org/spreadsheetml/2006/main" count="5747" uniqueCount="503">
  <si>
    <t>id</t>
  </si>
  <si>
    <t>DEPARTAMENTO</t>
  </si>
  <si>
    <t>PROVINCIA</t>
  </si>
  <si>
    <t>MUNICIPIO</t>
  </si>
  <si>
    <t>Tasa de mortalidad infantil (&lt; 1 año) (por 1,000 nacidos vivos) 2012 (CENSO)</t>
  </si>
  <si>
    <t>Número de niños fallecidos antes de cumplir 1 año 2012 (CENSO)</t>
  </si>
  <si>
    <t>CENSO NACIDOS VIVOS (CENSO)</t>
  </si>
  <si>
    <t>Departamento</t>
  </si>
  <si>
    <t>Número de niños fallecidos antes de cumplir 1 año 2012</t>
  </si>
  <si>
    <t>NACIDOS VIVOS 2012</t>
  </si>
  <si>
    <t>Tasa de mortalidad infantil (&lt; 1 año) (por 1,000 nacidos vivos) 2012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</si>
  <si>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</si>
  <si>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</si>
  <si>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</si>
  <si>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</si>
  <si>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</si>
  <si>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</si>
  <si>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</si>
  <si>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</si>
  <si>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</si>
  <si>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</si>
  <si>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</si>
  <si>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Potosi</t>
  </si>
  <si>
    <t>Zudáñez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</si>
  <si>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</si>
  <si>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</si>
  <si>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</si>
  <si>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</si>
  <si>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</si>
  <si>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</si>
  <si>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</si>
  <si>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</si>
  <si>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Tomina</t>
  </si>
  <si>
    <t>Padilla</t>
  </si>
  <si>
    <t>Bolivia</t>
  </si>
  <si>
    <t>Gran Chaco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</si>
  <si>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</si>
  <si>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</si>
  <si>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</si>
  <si>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</si>
  <si>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</si>
  <si>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</si>
  <si>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</si>
  <si>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</si>
  <si>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</si>
  <si>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</si>
  <si>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</si>
  <si>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</si>
  <si>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</si>
  <si>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</si>
  <si>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</si>
  <si>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</si>
  <si>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</si>
  <si>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</si>
  <si>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</si>
  <si>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</si>
  <si>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</si>
  <si>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</si>
  <si>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</si>
  <si>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</si>
  <si>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</si>
  <si>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</si>
  <si>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</si>
  <si>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</si>
  <si>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</si>
  <si>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</si>
  <si>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</si>
  <si>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</si>
  <si>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</si>
  <si>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</si>
  <si>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</si>
  <si>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</si>
  <si>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</si>
  <si>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</si>
  <si>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</si>
  <si>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</si>
  <si>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</si>
  <si>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</si>
  <si>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</si>
  <si>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</si>
  <si>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</si>
  <si>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</si>
  <si>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</si>
  <si>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</si>
  <si>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</si>
  <si>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</si>
  <si>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</si>
  <si>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</si>
  <si>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</si>
  <si>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</si>
  <si>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</si>
  <si>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</si>
  <si>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</si>
  <si>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</si>
  <si>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</si>
  <si>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</si>
  <si>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</si>
  <si>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</si>
  <si>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</si>
  <si>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</si>
  <si>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</si>
  <si>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</si>
  <si>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</si>
  <si>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</si>
  <si>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</si>
  <si>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</si>
  <si>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</si>
  <si>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</si>
  <si>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</si>
  <si>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</si>
  <si>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</si>
  <si>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</si>
  <si>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</si>
  <si>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</si>
  <si>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</si>
  <si>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</si>
  <si>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</si>
  <si>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</si>
  <si>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</si>
  <si>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</si>
  <si>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</si>
  <si>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</si>
  <si>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</si>
  <si>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</si>
  <si>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</si>
  <si>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</si>
  <si>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</si>
  <si>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</si>
  <si>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</si>
  <si>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</si>
  <si>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</si>
  <si>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</si>
  <si>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</si>
  <si>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</si>
  <si>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</si>
  <si>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</si>
  <si>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</si>
  <si>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</si>
  <si>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</si>
  <si>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</si>
  <si>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</si>
  <si>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</si>
  <si>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</si>
  <si>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</si>
  <si>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</si>
  <si>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</si>
  <si>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</si>
  <si>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</si>
  <si>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</si>
  <si>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</si>
  <si>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</si>
  <si>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</si>
  <si>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</si>
  <si>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</si>
  <si>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</si>
  <si>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</si>
  <si>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</si>
  <si>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</si>
  <si>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</si>
  <si>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</si>
  <si>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</si>
  <si>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</si>
  <si>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</si>
  <si>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</si>
  <si>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</si>
  <si>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</si>
  <si>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</si>
  <si>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</si>
  <si>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</si>
  <si>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</si>
  <si>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</si>
  <si>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</si>
  <si>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</si>
  <si>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</si>
  <si>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</si>
  <si>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</si>
  <si>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</si>
  <si>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</si>
  <si>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</si>
  <si>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</si>
  <si>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</si>
  <si>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</si>
  <si>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</si>
  <si>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</si>
  <si>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</si>
  <si>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</si>
  <si>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</si>
  <si>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</si>
  <si>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</si>
  <si>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</si>
  <si>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</si>
  <si>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</si>
  <si>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</si>
  <si>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</si>
  <si>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</si>
  <si>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</si>
  <si>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</si>
  <si>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</si>
  <si>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</si>
  <si>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</si>
  <si>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</si>
  <si>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</si>
  <si>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</si>
  <si>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</si>
  <si>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</si>
  <si>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</si>
  <si>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</si>
  <si>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</si>
  <si>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</si>
  <si>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</si>
  <si>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</si>
  <si>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</si>
  <si>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</si>
  <si>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</si>
  <si>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</si>
  <si>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</si>
  <si>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</si>
  <si>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</si>
  <si>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</si>
  <si>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</si>
  <si>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</si>
  <si>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</si>
  <si>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</si>
  <si>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</si>
  <si>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</si>
  <si>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</si>
  <si>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</si>
  <si>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</si>
  <si>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</si>
  <si>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</si>
  <si>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</si>
  <si>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</si>
  <si>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</si>
  <si>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</si>
  <si>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</si>
  <si>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</si>
  <si>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</si>
  <si>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</si>
  <si>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</si>
  <si>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</si>
  <si>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</si>
  <si>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</si>
  <si>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</si>
  <si>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</si>
  <si>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</si>
  <si>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</si>
  <si>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</si>
  <si>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</si>
  <si>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</si>
  <si>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</si>
  <si>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</si>
  <si>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</si>
  <si>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</si>
  <si>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</si>
  <si>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</si>
  <si>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</si>
  <si>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</si>
  <si>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</si>
  <si>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</si>
  <si>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</si>
  <si>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</si>
  <si>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</si>
  <si>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</si>
  <si>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</si>
  <si>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</si>
  <si>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</si>
  <si>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</si>
  <si>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</si>
  <si>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</si>
  <si>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</si>
  <si>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</si>
  <si>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</si>
  <si>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</si>
  <si>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</si>
  <si>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</si>
  <si>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</si>
  <si>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</si>
  <si>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</si>
  <si>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</si>
  <si>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</si>
  <si>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</si>
  <si>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</si>
  <si>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</si>
  <si>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</si>
  <si>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</si>
  <si>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</si>
  <si>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</si>
  <si>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</si>
  <si>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</si>
  <si>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</si>
  <si>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</si>
  <si>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</si>
  <si>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</si>
  <si>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</si>
  <si>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</si>
  <si>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</si>
  <si>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</si>
  <si>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</si>
  <si>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</si>
  <si>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</si>
  <si>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</si>
  <si>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</si>
  <si>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</si>
  <si>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</si>
  <si>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</si>
  <si>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</si>
  <si>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</si>
  <si>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</si>
  <si>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</si>
  <si>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</si>
  <si>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</si>
  <si>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</si>
  <si>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</si>
  <si>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</si>
  <si>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</si>
  <si>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</si>
  <si>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</si>
  <si>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</si>
  <si>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</si>
  <si>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</si>
  <si>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</si>
  <si>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</si>
  <si>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</si>
  <si>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</si>
  <si>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</si>
  <si>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</si>
  <si>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</si>
  <si>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</si>
  <si>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</si>
  <si>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</si>
  <si>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</si>
  <si>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</si>
  <si>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</si>
  <si>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</si>
  <si>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</si>
  <si>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</si>
  <si>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</si>
  <si>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</si>
  <si>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</si>
  <si>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</si>
  <si>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</si>
  <si>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</si>
  <si>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</si>
  <si>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</si>
  <si>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</si>
  <si>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</si>
  <si>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</si>
  <si>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</si>
  <si>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</si>
  <si>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</si>
  <si>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</si>
  <si>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</si>
  <si>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</si>
  <si>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</si>
  <si>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</si>
  <si>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</si>
  <si>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</si>
  <si>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</si>
  <si>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</si>
  <si>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</si>
  <si>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</si>
  <si>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</si>
  <si>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</si>
  <si>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</si>
  <si>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</si>
  <si>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</si>
  <si>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</si>
  <si>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</si>
  <si>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</si>
  <si>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</si>
  <si>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</si>
  <si>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</si>
  <si>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</si>
  <si>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</si>
  <si>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</si>
  <si>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</si>
  <si>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</si>
  <si>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</si>
  <si>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</si>
  <si>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</si>
  <si>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</si>
  <si>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</si>
  <si>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</si>
  <si>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</si>
  <si>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</si>
  <si>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</si>
  <si>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</si>
  <si>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</si>
  <si>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</si>
  <si>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</si>
  <si>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</si>
  <si>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</si>
  <si>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</si>
  <si>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</si>
  <si>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</si>
  <si>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</si>
  <si>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</si>
  <si>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</si>
  <si>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</si>
  <si>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</si>
  <si>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</si>
  <si>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</si>
  <si>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</si>
  <si>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</si>
  <si>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</si>
  <si>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</si>
  <si>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</si>
  <si>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</si>
  <si>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</si>
  <si>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</si>
  <si>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</si>
  <si>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</si>
  <si>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</si>
  <si>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</si>
  <si>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</si>
  <si>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</si>
  <si>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</si>
  <si>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</si>
  <si>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</si>
  <si>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</si>
  <si>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</si>
  <si>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</si>
  <si>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</si>
  <si>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</si>
  <si>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</si>
  <si>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</si>
  <si>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</si>
  <si>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</si>
  <si>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</si>
  <si>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</si>
  <si>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</si>
  <si>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</si>
  <si>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</si>
  <si>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</si>
  <si>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</si>
  <si>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</si>
  <si>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</si>
  <si>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</si>
  <si>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</si>
  <si>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</si>
  <si>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</si>
  <si>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</si>
  <si>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</si>
  <si>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</si>
  <si>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</si>
  <si>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Promedio</t>
  </si>
  <si>
    <t>Desv.Est.</t>
  </si>
  <si>
    <t>Min</t>
  </si>
  <si>
    <t>Max</t>
  </si>
  <si>
    <t>Obs</t>
  </si>
  <si>
    <t>Tasa de mortalidad infantil (&lt; 1 año) (por 1,000 nacidos vivos) 2019-2023 (CENSO)</t>
  </si>
  <si>
    <t>Número de niños fallecidos antes de cumplir 1 año (2019-2023) (CENSO)</t>
  </si>
  <si>
    <t>CENSO NACIDOS VIVOS (CENSO)(2019-2023)</t>
  </si>
  <si>
    <t>Número de niños fallecidos antes de cumplir 1 año (CENSO) PROMEDIO</t>
  </si>
  <si>
    <t>CENSO NACIDOS VIVOS (CENSO) PROMEDIO</t>
  </si>
  <si>
    <t>Número de niños fallecidos antes de cumplir 1 año (2019-2023)</t>
  </si>
  <si>
    <t>NACIDOS VIVOS (2019-2023)</t>
  </si>
  <si>
    <t>Tasa de mortalidad infantil (&lt; 1 año) (por 1,000 nacidos vivos) 2019-2023</t>
  </si>
  <si>
    <t>ID</t>
  </si>
  <si>
    <t>MORTALIDAD INFANTIL  (1q0) 2008</t>
  </si>
  <si>
    <t>MORTALIDAD INFANTIL  (1q0) 2023 *</t>
  </si>
  <si>
    <t>Diferencia 2008</t>
  </si>
  <si>
    <t>Diferencia 2023</t>
  </si>
  <si>
    <t>Nacidos vivos ENDSA 2008 Número de caso sin ponderar</t>
  </si>
  <si>
    <t>Nacidos vivos ENDSA 2008 Número de casos ponderador</t>
  </si>
  <si>
    <t>Nacidos vivos EDSA 2023 Número de caso sin ponderar</t>
  </si>
  <si>
    <t>Nacidos vivos EDSA 2023 Número de casos ponderador</t>
  </si>
  <si>
    <t>(*) Con coeficiente de variación superior a 20% emplearlo solo de forma referencial</t>
  </si>
  <si>
    <t xml:space="preserve">urbano </t>
  </si>
  <si>
    <t>Urbano</t>
  </si>
  <si>
    <t xml:space="preserve">Rural </t>
  </si>
  <si>
    <t>Rural</t>
  </si>
  <si>
    <t>Porcentaje de fallecidos por municipio</t>
  </si>
  <si>
    <t>Estimados fallecidos por municipio con EDSA</t>
  </si>
  <si>
    <t>Porcentaje de nacidos por municipio</t>
  </si>
  <si>
    <t>Estimados nacidos por municipio con EDSA</t>
  </si>
  <si>
    <t>Tasa de mortalidad acorde a EDSA distribuido por censo 2024</t>
  </si>
  <si>
    <t>id_departamento</t>
  </si>
  <si>
    <t>Tasa de mortalidad infantil (&lt; 1 año) (por 1,000 nacidos vivos) 2024</t>
  </si>
  <si>
    <t>Número de niños fallecidos antes de cumplir 1 año 2012 CENSO</t>
  </si>
  <si>
    <t>CENSO NACIDOS VIVOS 2012</t>
  </si>
  <si>
    <t>Defunciones aproximadas con EDSA 2023</t>
  </si>
  <si>
    <t>Tasa de mortalidad acorde a EDSA distribuido por censo 2012</t>
  </si>
  <si>
    <t>INFANTIL Número de niños fallecidos antes de cumplir 1 año 2012</t>
  </si>
  <si>
    <t>INFANTIL Número de niños fallecidos antes de cumplir 1 año 2024</t>
  </si>
  <si>
    <t>NIÑEZ Número de niños fallecidos antes de cumplir 5 años 2012</t>
  </si>
  <si>
    <t>NIÑEZ Número de niños fallecidos antes de cumplir 5 años 2024</t>
  </si>
  <si>
    <t>Número de niños fallecidos antes de cumplir 1 año 2024</t>
  </si>
  <si>
    <t>Tasa de mortalidad INFANTIL (&lt; 1 año) (por 1,000 nacidos vivos) EDSA 2008</t>
  </si>
  <si>
    <t>Tasa de mortalidad INFANTIL (&lt; 1 año) (por 1,000 nacidos vivos) EDSA 2023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</si>
  <si>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</si>
  <si>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</si>
  <si>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</si>
  <si>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</si>
  <si>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</si>
  <si>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</si>
  <si>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</si>
  <si>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</si>
  <si>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</si>
  <si>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</si>
  <si>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</si>
  <si>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 xml:space="preserve">Tasa de mortalidad infantil (&lt; 1 año) (por 1,000 nacidos vivos) 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</si>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</sst>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_);_(* \(#,##0.0\);_(* &quot;-&quot;??_);_(@_)"/>
    <numFmt numFmtId="166" formatCode="_(* #,##0.00_);_(* \(#,##0.00\);_(* &quot;-&quot;??_);_(@_)"/>
    <numFmt numFmtId="167" formatCode="0.0"/>
    <numFmt numFmtId="168" formatCode="_-* #,##0_-;\-* #,##0_-;_-* &quot;-&quot;??_-;_-@"/>
  </numFmts>
  <fonts count="12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b/>
      <sz val="10.0"/>
      <color theme="1"/>
      <name val="Calibri"/>
    </font>
    <font>
      <b/>
      <sz val="9.0"/>
      <color theme="1"/>
      <name val="Arial"/>
    </font>
    <font>
      <sz val="10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9.0"/>
      <color theme="1"/>
      <name val="Arial"/>
    </font>
    <font>
      <b/>
      <sz val="9.0"/>
      <color theme="1"/>
      <name val="Play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B"/>
        <bgColor rgb="FFFFF2CB"/>
      </patternFill>
    </fill>
    <fill>
      <patternFill patternType="solid">
        <fgColor rgb="FF00B050"/>
        <bgColor rgb="FF00B050"/>
      </patternFill>
    </fill>
    <fill>
      <patternFill patternType="solid">
        <fgColor rgb="FF7F7F7F"/>
        <bgColor rgb="FF7F7F7F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3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2" xfId="0" applyBorder="1" applyFont="1" applyNumberFormat="1"/>
    <xf borderId="1" fillId="0" fontId="3" numFmtId="164" xfId="0" applyAlignment="1" applyBorder="1" applyFont="1" applyNumberFormat="1">
      <alignment horizontal="right" vertical="top"/>
    </xf>
    <xf borderId="3" fillId="0" fontId="2" numFmtId="164" xfId="0" applyBorder="1" applyFont="1" applyNumberFormat="1"/>
    <xf borderId="2" fillId="0" fontId="2" numFmtId="164" xfId="0" applyBorder="1" applyFont="1" applyNumberFormat="1"/>
    <xf borderId="4" fillId="2" fontId="2" numFmtId="1" xfId="0" applyBorder="1" applyFill="1" applyFont="1" applyNumberFormat="1"/>
    <xf borderId="5" fillId="2" fontId="2" numFmtId="2" xfId="0" applyBorder="1" applyFont="1" applyNumberFormat="1"/>
    <xf borderId="2" fillId="0" fontId="2" numFmtId="165" xfId="0" applyBorder="1" applyFont="1" applyNumberFormat="1"/>
    <xf borderId="1" fillId="2" fontId="2" numFmtId="1" xfId="0" applyBorder="1" applyFont="1" applyNumberFormat="1"/>
    <xf borderId="6" fillId="0" fontId="2" numFmtId="0" xfId="0" applyBorder="1" applyFont="1"/>
    <xf borderId="7" fillId="2" fontId="2" numFmtId="1" xfId="0" applyBorder="1" applyFont="1" applyNumberFormat="1"/>
    <xf borderId="8" fillId="2" fontId="2" numFmtId="2" xfId="0" applyBorder="1" applyFont="1" applyNumberFormat="1"/>
    <xf borderId="1" fillId="2" fontId="2" numFmtId="166" xfId="0" applyBorder="1" applyFont="1" applyNumberFormat="1"/>
    <xf borderId="1" fillId="0" fontId="2" numFmtId="164" xfId="0" applyBorder="1" applyFont="1" applyNumberFormat="1"/>
    <xf borderId="1" fillId="2" fontId="2" numFmtId="2" xfId="0" applyBorder="1" applyFont="1" applyNumberFormat="1"/>
    <xf borderId="0" fillId="0" fontId="2" numFmtId="165" xfId="0" applyFont="1" applyNumberFormat="1"/>
    <xf borderId="1" fillId="0" fontId="4" numFmtId="0" xfId="0" applyBorder="1" applyFont="1"/>
    <xf borderId="0" fillId="0" fontId="4" numFmtId="164" xfId="0" applyFont="1" applyNumberFormat="1"/>
    <xf borderId="1" fillId="3" fontId="2" numFmtId="0" xfId="0" applyAlignment="1" applyBorder="1" applyFill="1" applyFont="1">
      <alignment horizontal="center" vertical="center"/>
    </xf>
    <xf borderId="3" fillId="0" fontId="3" numFmtId="164" xfId="0" applyAlignment="1" applyBorder="1" applyFont="1" applyNumberFormat="1">
      <alignment horizontal="right" vertical="top"/>
    </xf>
    <xf borderId="6" fillId="0" fontId="3" numFmtId="164" xfId="0" applyAlignment="1" applyBorder="1" applyFont="1" applyNumberFormat="1">
      <alignment horizontal="right" vertical="top"/>
    </xf>
    <xf borderId="9" fillId="0" fontId="2" numFmtId="164" xfId="0" applyBorder="1" applyFont="1" applyNumberFormat="1"/>
    <xf borderId="0" fillId="0" fontId="4" numFmtId="0" xfId="0" applyAlignment="1" applyFont="1">
      <alignment horizontal="center" vertical="center"/>
    </xf>
    <xf borderId="0" fillId="0" fontId="5" numFmtId="0" xfId="0" applyFont="1"/>
    <xf borderId="10" fillId="0" fontId="2" numFmtId="2" xfId="0" applyBorder="1" applyFont="1" applyNumberFormat="1"/>
    <xf borderId="10" fillId="0" fontId="3" numFmtId="164" xfId="0" applyAlignment="1" applyBorder="1" applyFont="1" applyNumberFormat="1">
      <alignment horizontal="right" vertical="top"/>
    </xf>
    <xf borderId="2" fillId="0" fontId="3" numFmtId="164" xfId="0" applyAlignment="1" applyBorder="1" applyFont="1" applyNumberFormat="1">
      <alignment horizontal="right" vertical="top"/>
    </xf>
    <xf borderId="0" fillId="0" fontId="2" numFmtId="2" xfId="0" applyFont="1" applyNumberFormat="1"/>
    <xf borderId="0" fillId="0" fontId="3" numFmtId="164" xfId="0" applyAlignment="1" applyFont="1" applyNumberFormat="1">
      <alignment horizontal="right" vertical="top"/>
    </xf>
    <xf borderId="0" fillId="0" fontId="2" numFmtId="164" xfId="0" applyFont="1" applyNumberFormat="1"/>
    <xf borderId="0" fillId="0" fontId="6" numFmtId="3" xfId="0" applyAlignment="1" applyFont="1" applyNumberFormat="1">
      <alignment horizontal="right" vertical="center"/>
    </xf>
    <xf borderId="0" fillId="0" fontId="2" numFmtId="0" xfId="0" applyFont="1"/>
    <xf borderId="1" fillId="0" fontId="7" numFmtId="0" xfId="0" applyBorder="1" applyFont="1"/>
    <xf borderId="0" fillId="0" fontId="2" numFmtId="167" xfId="0" applyFont="1" applyNumberFormat="1"/>
    <xf borderId="0" fillId="0" fontId="7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top" wrapText="1"/>
    </xf>
    <xf borderId="0" fillId="0" fontId="2" numFmtId="166" xfId="0" applyFont="1" applyNumberFormat="1"/>
    <xf borderId="5" fillId="2" fontId="2" numFmtId="167" xfId="0" applyBorder="1" applyFont="1" applyNumberFormat="1"/>
    <xf borderId="1" fillId="0" fontId="1" numFmtId="0" xfId="0" applyAlignment="1" applyBorder="1" applyFont="1">
      <alignment shrinkToFit="0" wrapText="1"/>
    </xf>
    <xf borderId="3" fillId="0" fontId="2" numFmtId="0" xfId="0" applyBorder="1" applyFont="1"/>
    <xf borderId="1" fillId="0" fontId="4" numFmtId="168" xfId="0" applyBorder="1" applyFont="1" applyNumberFormat="1"/>
    <xf borderId="1" fillId="0" fontId="2" numFmtId="168" xfId="0" applyBorder="1" applyFont="1" applyNumberFormat="1"/>
    <xf borderId="9" fillId="0" fontId="3" numFmtId="164" xfId="0" applyAlignment="1" applyBorder="1" applyFont="1" applyNumberFormat="1">
      <alignment horizontal="right" vertical="top"/>
    </xf>
    <xf borderId="6" fillId="0" fontId="2" numFmtId="164" xfId="0" applyBorder="1" applyFont="1" applyNumberFormat="1"/>
    <xf borderId="0" fillId="0" fontId="4" numFmtId="0" xfId="0" applyFont="1"/>
    <xf borderId="11" fillId="4" fontId="8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1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  <xf borderId="11" fillId="5" fontId="4" numFmtId="0" xfId="0" applyAlignment="1" applyBorder="1" applyFont="1">
      <alignment shrinkToFit="0" wrapText="1"/>
    </xf>
    <xf borderId="11" fillId="4" fontId="4" numFmtId="0" xfId="0" applyAlignment="1" applyBorder="1" applyFont="1">
      <alignment shrinkToFit="0" wrapText="1"/>
    </xf>
    <xf borderId="1" fillId="4" fontId="3" numFmtId="164" xfId="0" applyAlignment="1" applyBorder="1" applyFont="1" applyNumberFormat="1">
      <alignment horizontal="right" vertical="top"/>
    </xf>
    <xf borderId="12" fillId="4" fontId="2" numFmtId="164" xfId="0" applyBorder="1" applyFont="1" applyNumberFormat="1"/>
    <xf borderId="0" fillId="0" fontId="4" numFmtId="9" xfId="0" applyFont="1" applyNumberFormat="1"/>
    <xf borderId="0" fillId="0" fontId="4" numFmtId="168" xfId="0" applyFont="1" applyNumberFormat="1"/>
    <xf borderId="0" fillId="0" fontId="4" numFmtId="1" xfId="0" applyFont="1" applyNumberFormat="1"/>
    <xf borderId="1" fillId="0" fontId="1" numFmtId="0" xfId="0" applyBorder="1" applyFont="1"/>
    <xf borderId="11" fillId="4" fontId="4" numFmtId="1" xfId="0" applyBorder="1" applyFont="1" applyNumberFormat="1"/>
    <xf borderId="11" fillId="4" fontId="4" numFmtId="0" xfId="0" applyBorder="1" applyFont="1"/>
    <xf borderId="1" fillId="0" fontId="1" numFmtId="0" xfId="0" applyAlignment="1" applyBorder="1" applyFont="1">
      <alignment horizontal="center" shrinkToFit="0" wrapText="1"/>
    </xf>
    <xf borderId="11" fillId="5" fontId="1" numFmtId="0" xfId="0" applyAlignment="1" applyBorder="1" applyFont="1">
      <alignment shrinkToFit="0" wrapText="1"/>
    </xf>
    <xf borderId="1" fillId="0" fontId="9" numFmtId="0" xfId="0" applyAlignment="1" applyBorder="1" applyFont="1">
      <alignment shrinkToFit="0" wrapText="1"/>
    </xf>
    <xf borderId="1" fillId="5" fontId="9" numFmtId="0" xfId="0" applyAlignment="1" applyBorder="1" applyFont="1">
      <alignment shrinkToFit="0" wrapText="1"/>
    </xf>
    <xf borderId="1" fillId="0" fontId="2" numFmtId="2" xfId="0" applyAlignment="1" applyBorder="1" applyFont="1" applyNumberFormat="1">
      <alignment shrinkToFit="0" wrapText="1"/>
    </xf>
    <xf borderId="1" fillId="4" fontId="4" numFmtId="168" xfId="0" applyBorder="1" applyFont="1" applyNumberFormat="1"/>
    <xf borderId="1" fillId="0" fontId="3" numFmtId="168" xfId="0" applyBorder="1" applyFont="1" applyNumberFormat="1"/>
    <xf borderId="6" fillId="0" fontId="2" numFmtId="2" xfId="0" applyAlignment="1" applyBorder="1" applyFont="1" applyNumberFormat="1">
      <alignment shrinkToFit="0" wrapText="1"/>
    </xf>
    <xf borderId="0" fillId="0" fontId="10" numFmtId="0" xfId="0" applyFont="1"/>
    <xf borderId="12" fillId="4" fontId="3" numFmtId="164" xfId="0" applyAlignment="1" applyBorder="1" applyFont="1" applyNumberFormat="1">
      <alignment horizontal="right" vertical="top"/>
    </xf>
    <xf borderId="7" fillId="4" fontId="3" numFmtId="164" xfId="0" applyAlignment="1" applyBorder="1" applyFont="1" applyNumberFormat="1">
      <alignment horizontal="right" vertical="top"/>
    </xf>
    <xf borderId="13" fillId="4" fontId="2" numFmtId="164" xfId="0" applyBorder="1" applyFont="1" applyNumberFormat="1"/>
    <xf borderId="1" fillId="0" fontId="2" numFmtId="167" xfId="0" applyBorder="1" applyFont="1" applyNumberFormat="1"/>
    <xf borderId="1" fillId="3" fontId="2" numFmtId="0" xfId="0" applyBorder="1" applyFont="1"/>
    <xf borderId="1" fillId="0" fontId="2" numFmtId="1" xfId="0" applyBorder="1" applyFont="1" applyNumberFormat="1"/>
    <xf borderId="0" fillId="0" fontId="4" numFmtId="2" xfId="0" applyFont="1" applyNumberFormat="1"/>
    <xf borderId="0" fillId="0" fontId="2" numFmtId="1" xfId="0" applyFont="1" applyNumberFormat="1"/>
    <xf borderId="1" fillId="6" fontId="1" numFmtId="0" xfId="0" applyBorder="1" applyFill="1" applyFont="1"/>
    <xf borderId="1" fillId="5" fontId="11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vertical="bottom"/>
    </xf>
    <xf borderId="0" fillId="0" fontId="1" numFmtId="0" xfId="0" applyFont="1"/>
    <xf borderId="1" fillId="0" fontId="4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0</xdr:rowOff>
    </xdr:from>
    <xdr:ext cx="6143625" cy="404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2" max="2" width="14.13"/>
    <col customWidth="1" min="3" max="3" width="9.38"/>
    <col customWidth="1" min="4" max="4" width="11.75"/>
    <col customWidth="1" min="5" max="5" width="23.38"/>
    <col customWidth="1" min="6" max="6" width="20.0"/>
    <col customWidth="1" min="7" max="7" width="18.38"/>
    <col customWidth="1" min="8" max="8" width="14.75"/>
    <col customWidth="1" min="9" max="9" width="9.38"/>
    <col customWidth="1" min="10" max="10" width="13.75"/>
    <col customWidth="1" min="11" max="11" width="19.75"/>
    <col customWidth="1" min="12" max="12" width="14.13"/>
    <col customWidth="1" min="13" max="13" width="20.0"/>
    <col customWidth="1" min="14" max="28" width="9.38"/>
  </cols>
  <sheetData>
    <row r="1" ht="6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2" t="s">
        <v>7</v>
      </c>
      <c r="K1" s="2" t="s">
        <v>8</v>
      </c>
      <c r="L1" s="2" t="s">
        <v>9</v>
      </c>
      <c r="M1" s="5" t="s">
        <v>10</v>
      </c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">
        <v>10101.0</v>
      </c>
      <c r="B2" s="7" t="s">
        <v>11</v>
      </c>
      <c r="C2" s="7" t="s">
        <v>12</v>
      </c>
      <c r="D2" s="7" t="s">
        <v>13</v>
      </c>
      <c r="E2" s="8">
        <f t="shared" ref="E2:E344" si="2">(F2/G2)*1000</f>
        <v>21.00098135</v>
      </c>
      <c r="F2" s="9">
        <v>107.0</v>
      </c>
      <c r="G2" s="10">
        <v>5095.0</v>
      </c>
      <c r="H2" s="11"/>
      <c r="J2" s="7" t="s">
        <v>11</v>
      </c>
      <c r="K2" s="12">
        <f t="shared" ref="K2:L2" si="1">SUM(F2:F30)</f>
        <v>287</v>
      </c>
      <c r="L2" s="12">
        <f t="shared" si="1"/>
        <v>11564</v>
      </c>
      <c r="M2" s="13">
        <f t="shared" ref="M2:M12" si="4">(K2/L2)*1000</f>
        <v>24.81840194</v>
      </c>
      <c r="N2" s="14"/>
    </row>
    <row r="3">
      <c r="A3" s="6">
        <v>10102.0</v>
      </c>
      <c r="B3" s="7" t="s">
        <v>11</v>
      </c>
      <c r="C3" s="7" t="s">
        <v>12</v>
      </c>
      <c r="D3" s="7" t="s">
        <v>14</v>
      </c>
      <c r="E3" s="8">
        <f t="shared" si="2"/>
        <v>23.66863905</v>
      </c>
      <c r="F3" s="9">
        <v>4.0</v>
      </c>
      <c r="G3" s="10">
        <v>169.0</v>
      </c>
      <c r="H3" s="11"/>
      <c r="J3" s="7" t="s">
        <v>15</v>
      </c>
      <c r="K3" s="15">
        <f t="shared" ref="K3:L3" si="3">+SUM(F31:F117)</f>
        <v>1725</v>
      </c>
      <c r="L3" s="15">
        <f t="shared" si="3"/>
        <v>54260</v>
      </c>
      <c r="M3" s="13">
        <f t="shared" si="4"/>
        <v>31.79137486</v>
      </c>
      <c r="N3" s="14"/>
    </row>
    <row r="4">
      <c r="A4" s="6">
        <v>10103.0</v>
      </c>
      <c r="B4" s="7" t="s">
        <v>11</v>
      </c>
      <c r="C4" s="7" t="s">
        <v>12</v>
      </c>
      <c r="D4" s="7" t="s">
        <v>16</v>
      </c>
      <c r="E4" s="8">
        <f t="shared" si="2"/>
        <v>33.16326531</v>
      </c>
      <c r="F4" s="9">
        <v>13.0</v>
      </c>
      <c r="G4" s="10">
        <v>392.0</v>
      </c>
      <c r="H4" s="11"/>
      <c r="J4" s="7" t="s">
        <v>17</v>
      </c>
      <c r="K4" s="15">
        <f t="shared" ref="K4:L4" si="5">+SUM(F118:F165)</f>
        <v>911</v>
      </c>
      <c r="L4" s="15">
        <f t="shared" si="5"/>
        <v>37795</v>
      </c>
      <c r="M4" s="13">
        <f t="shared" si="4"/>
        <v>24.10371742</v>
      </c>
      <c r="N4" s="14"/>
    </row>
    <row r="5">
      <c r="A5" s="6">
        <v>10201.0</v>
      </c>
      <c r="B5" s="7" t="s">
        <v>11</v>
      </c>
      <c r="C5" s="7" t="s">
        <v>18</v>
      </c>
      <c r="D5" s="7" t="s">
        <v>19</v>
      </c>
      <c r="E5" s="8">
        <f t="shared" si="2"/>
        <v>26.20087336</v>
      </c>
      <c r="F5" s="9">
        <v>6.0</v>
      </c>
      <c r="G5" s="10">
        <v>229.0</v>
      </c>
      <c r="H5" s="11"/>
      <c r="J5" s="7" t="s">
        <v>20</v>
      </c>
      <c r="K5" s="15">
        <f t="shared" ref="K5:L5" si="6">+SUM(F166:F200)</f>
        <v>209</v>
      </c>
      <c r="L5" s="15">
        <f t="shared" si="6"/>
        <v>10072</v>
      </c>
      <c r="M5" s="13">
        <f t="shared" si="4"/>
        <v>20.75059571</v>
      </c>
      <c r="N5" s="14"/>
    </row>
    <row r="6">
      <c r="A6" s="6">
        <v>10202.0</v>
      </c>
      <c r="B6" s="7" t="s">
        <v>11</v>
      </c>
      <c r="C6" s="7" t="s">
        <v>18</v>
      </c>
      <c r="D6" s="7" t="s">
        <v>21</v>
      </c>
      <c r="E6" s="8">
        <f t="shared" si="2"/>
        <v>21.58273381</v>
      </c>
      <c r="F6" s="9">
        <v>6.0</v>
      </c>
      <c r="G6" s="10">
        <v>278.0</v>
      </c>
      <c r="H6" s="11"/>
      <c r="J6" s="7" t="s">
        <v>22</v>
      </c>
      <c r="K6" s="15">
        <f t="shared" ref="K6:L6" si="7">+SUM(F201:F242)</f>
        <v>770</v>
      </c>
      <c r="L6" s="15">
        <f t="shared" si="7"/>
        <v>18587</v>
      </c>
      <c r="M6" s="13">
        <f t="shared" si="4"/>
        <v>41.42680368</v>
      </c>
      <c r="N6" s="14"/>
    </row>
    <row r="7">
      <c r="A7" s="6">
        <v>10301.0</v>
      </c>
      <c r="B7" s="7" t="s">
        <v>11</v>
      </c>
      <c r="C7" s="7" t="s">
        <v>23</v>
      </c>
      <c r="D7" s="7" t="s">
        <v>24</v>
      </c>
      <c r="E7" s="8">
        <f t="shared" si="2"/>
        <v>36.19909502</v>
      </c>
      <c r="F7" s="9">
        <v>8.0</v>
      </c>
      <c r="G7" s="10">
        <v>221.0</v>
      </c>
      <c r="H7" s="11"/>
      <c r="J7" s="7" t="s">
        <v>25</v>
      </c>
      <c r="K7" s="15">
        <f t="shared" ref="K7:L7" si="8">+SUM(F243:F253)</f>
        <v>157</v>
      </c>
      <c r="L7" s="15">
        <f t="shared" si="8"/>
        <v>9314</v>
      </c>
      <c r="M7" s="13">
        <f t="shared" si="4"/>
        <v>16.85634529</v>
      </c>
      <c r="N7" s="14"/>
    </row>
    <row r="8">
      <c r="A8" s="6">
        <v>10302.0</v>
      </c>
      <c r="B8" s="7" t="s">
        <v>11</v>
      </c>
      <c r="C8" s="7" t="s">
        <v>23</v>
      </c>
      <c r="D8" s="7" t="s">
        <v>26</v>
      </c>
      <c r="E8" s="8">
        <f t="shared" si="2"/>
        <v>58.18181818</v>
      </c>
      <c r="F8" s="9">
        <v>16.0</v>
      </c>
      <c r="G8" s="10">
        <v>275.0</v>
      </c>
      <c r="H8" s="11"/>
      <c r="J8" s="7" t="s">
        <v>27</v>
      </c>
      <c r="K8" s="15">
        <f t="shared" ref="K8:L8" si="9">+SUM(F254:F309)</f>
        <v>965</v>
      </c>
      <c r="L8" s="15">
        <f t="shared" si="9"/>
        <v>62306</v>
      </c>
      <c r="M8" s="13">
        <f t="shared" si="4"/>
        <v>15.48807498</v>
      </c>
      <c r="N8" s="14"/>
    </row>
    <row r="9">
      <c r="A9" s="6">
        <v>10303.0</v>
      </c>
      <c r="B9" s="7" t="s">
        <v>11</v>
      </c>
      <c r="C9" s="7" t="s">
        <v>23</v>
      </c>
      <c r="D9" s="7" t="s">
        <v>28</v>
      </c>
      <c r="E9" s="8">
        <f t="shared" si="2"/>
        <v>53.03030303</v>
      </c>
      <c r="F9" s="9">
        <v>7.0</v>
      </c>
      <c r="G9" s="10">
        <v>132.0</v>
      </c>
      <c r="H9" s="11"/>
      <c r="J9" s="7" t="s">
        <v>29</v>
      </c>
      <c r="K9" s="15">
        <f t="shared" ref="K9:L9" si="10">+SUM(F310:F329)</f>
        <v>322</v>
      </c>
      <c r="L9" s="15">
        <f t="shared" si="10"/>
        <v>12026</v>
      </c>
      <c r="M9" s="13">
        <f t="shared" si="4"/>
        <v>26.77532014</v>
      </c>
      <c r="N9" s="14"/>
    </row>
    <row r="10">
      <c r="A10" s="6">
        <v>10304.0</v>
      </c>
      <c r="B10" s="7" t="s">
        <v>11</v>
      </c>
      <c r="C10" s="7" t="s">
        <v>23</v>
      </c>
      <c r="D10" s="7" t="s">
        <v>30</v>
      </c>
      <c r="E10" s="8">
        <f t="shared" si="2"/>
        <v>14.38848921</v>
      </c>
      <c r="F10" s="9">
        <v>2.0</v>
      </c>
      <c r="G10" s="10">
        <v>139.0</v>
      </c>
      <c r="H10" s="11"/>
      <c r="J10" s="16" t="s">
        <v>31</v>
      </c>
      <c r="K10" s="17">
        <f t="shared" ref="K10:L10" si="11">+SUM(F330:F344)</f>
        <v>15</v>
      </c>
      <c r="L10" s="17">
        <f t="shared" si="11"/>
        <v>3404</v>
      </c>
      <c r="M10" s="18">
        <f t="shared" si="4"/>
        <v>4.406580494</v>
      </c>
      <c r="N10" s="14"/>
    </row>
    <row r="11">
      <c r="A11" s="6">
        <v>10401.0</v>
      </c>
      <c r="B11" s="7" t="s">
        <v>11</v>
      </c>
      <c r="C11" s="7" t="s">
        <v>32</v>
      </c>
      <c r="D11" s="7" t="s">
        <v>33</v>
      </c>
      <c r="E11" s="8">
        <f t="shared" si="2"/>
        <v>37.6344086</v>
      </c>
      <c r="F11" s="9">
        <v>7.0</v>
      </c>
      <c r="G11" s="10">
        <v>186.0</v>
      </c>
      <c r="H11" s="11"/>
      <c r="J11" s="7" t="s">
        <v>34</v>
      </c>
      <c r="K11" s="19">
        <f t="shared" ref="K11:L11" si="12">SUM(K2:K10)</f>
        <v>5361</v>
      </c>
      <c r="L11" s="20">
        <f t="shared" si="12"/>
        <v>219328</v>
      </c>
      <c r="M11" s="21">
        <f t="shared" si="4"/>
        <v>24.44284359</v>
      </c>
      <c r="N11" s="22"/>
    </row>
    <row r="12">
      <c r="A12" s="6">
        <v>10402.0</v>
      </c>
      <c r="B12" s="7" t="s">
        <v>11</v>
      </c>
      <c r="C12" s="7" t="s">
        <v>32</v>
      </c>
      <c r="D12" s="7" t="s">
        <v>32</v>
      </c>
      <c r="E12" s="8">
        <f t="shared" si="2"/>
        <v>30.3030303</v>
      </c>
      <c r="F12" s="9">
        <v>6.0</v>
      </c>
      <c r="G12" s="10">
        <v>198.0</v>
      </c>
      <c r="H12" s="11"/>
      <c r="J12" s="7" t="s">
        <v>35</v>
      </c>
      <c r="K12" s="23">
        <v>69.0</v>
      </c>
      <c r="L12" s="23">
        <v>3036.0</v>
      </c>
      <c r="M12" s="21">
        <f t="shared" si="4"/>
        <v>22.72727273</v>
      </c>
    </row>
    <row r="13">
      <c r="A13" s="6">
        <v>10403.0</v>
      </c>
      <c r="B13" s="7" t="s">
        <v>11</v>
      </c>
      <c r="C13" s="7" t="s">
        <v>32</v>
      </c>
      <c r="D13" s="7" t="s">
        <v>36</v>
      </c>
      <c r="E13" s="8">
        <f t="shared" si="2"/>
        <v>15.50387597</v>
      </c>
      <c r="F13" s="9">
        <v>2.0</v>
      </c>
      <c r="G13" s="10">
        <v>129.0</v>
      </c>
      <c r="H13" s="11"/>
      <c r="L13" s="24"/>
    </row>
    <row r="14">
      <c r="A14" s="6">
        <v>10404.0</v>
      </c>
      <c r="B14" s="7" t="s">
        <v>11</v>
      </c>
      <c r="C14" s="7" t="s">
        <v>32</v>
      </c>
      <c r="D14" s="7" t="s">
        <v>37</v>
      </c>
      <c r="E14" s="8">
        <f t="shared" si="2"/>
        <v>0</v>
      </c>
      <c r="F14" s="9">
        <v>0.0</v>
      </c>
      <c r="G14" s="10">
        <v>64.0</v>
      </c>
      <c r="H14" s="11"/>
    </row>
    <row r="15">
      <c r="A15" s="6">
        <v>10405.0</v>
      </c>
      <c r="B15" s="7" t="s">
        <v>11</v>
      </c>
      <c r="C15" s="7" t="s">
        <v>32</v>
      </c>
      <c r="D15" s="7" t="s">
        <v>38</v>
      </c>
      <c r="E15" s="8">
        <f t="shared" si="2"/>
        <v>28.98550725</v>
      </c>
      <c r="F15" s="9">
        <v>2.0</v>
      </c>
      <c r="G15" s="10">
        <v>69.0</v>
      </c>
      <c r="H15" s="11"/>
    </row>
    <row r="16">
      <c r="A16" s="6">
        <v>10501.0</v>
      </c>
      <c r="B16" s="7" t="s">
        <v>11</v>
      </c>
      <c r="C16" s="7" t="s">
        <v>39</v>
      </c>
      <c r="D16" s="7" t="s">
        <v>40</v>
      </c>
      <c r="E16" s="8">
        <f t="shared" si="2"/>
        <v>35.78947368</v>
      </c>
      <c r="F16" s="9">
        <v>17.0</v>
      </c>
      <c r="G16" s="10">
        <v>475.0</v>
      </c>
      <c r="H16" s="11"/>
    </row>
    <row r="17">
      <c r="A17" s="6">
        <v>10502.0</v>
      </c>
      <c r="B17" s="7" t="s">
        <v>11</v>
      </c>
      <c r="C17" s="7" t="s">
        <v>39</v>
      </c>
      <c r="D17" s="7" t="s">
        <v>41</v>
      </c>
      <c r="E17" s="8">
        <f t="shared" si="2"/>
        <v>12.04819277</v>
      </c>
      <c r="F17" s="9">
        <v>2.0</v>
      </c>
      <c r="G17" s="10">
        <v>166.0</v>
      </c>
      <c r="H17" s="11"/>
    </row>
    <row r="18">
      <c r="A18" s="6">
        <v>10601.0</v>
      </c>
      <c r="B18" s="7" t="s">
        <v>11</v>
      </c>
      <c r="C18" s="7" t="s">
        <v>42</v>
      </c>
      <c r="D18" s="7" t="s">
        <v>43</v>
      </c>
      <c r="E18" s="8">
        <f t="shared" si="2"/>
        <v>42.07119741</v>
      </c>
      <c r="F18" s="9">
        <v>13.0</v>
      </c>
      <c r="G18" s="10">
        <v>309.0</v>
      </c>
      <c r="H18" s="11"/>
    </row>
    <row r="19">
      <c r="A19" s="6">
        <v>10602.0</v>
      </c>
      <c r="B19" s="7" t="s">
        <v>11</v>
      </c>
      <c r="C19" s="7" t="s">
        <v>42</v>
      </c>
      <c r="D19" s="7" t="s">
        <v>42</v>
      </c>
      <c r="E19" s="8">
        <f t="shared" si="2"/>
        <v>13.15789474</v>
      </c>
      <c r="F19" s="9">
        <v>2.0</v>
      </c>
      <c r="G19" s="10">
        <v>152.0</v>
      </c>
      <c r="H19" s="11"/>
    </row>
    <row r="20">
      <c r="A20" s="6">
        <v>10701.0</v>
      </c>
      <c r="B20" s="7" t="s">
        <v>11</v>
      </c>
      <c r="C20" s="7" t="s">
        <v>44</v>
      </c>
      <c r="D20" s="7" t="s">
        <v>45</v>
      </c>
      <c r="E20" s="8">
        <f t="shared" si="2"/>
        <v>10.45296167</v>
      </c>
      <c r="F20" s="9">
        <v>3.0</v>
      </c>
      <c r="G20" s="10">
        <v>287.0</v>
      </c>
      <c r="H20" s="11"/>
    </row>
    <row r="21" ht="15.75" customHeight="1">
      <c r="A21" s="6">
        <v>10702.0</v>
      </c>
      <c r="B21" s="7" t="s">
        <v>11</v>
      </c>
      <c r="C21" s="7" t="s">
        <v>44</v>
      </c>
      <c r="D21" s="7" t="s">
        <v>46</v>
      </c>
      <c r="E21" s="8">
        <f t="shared" si="2"/>
        <v>31.56384505</v>
      </c>
      <c r="F21" s="9">
        <v>22.0</v>
      </c>
      <c r="G21" s="10">
        <v>697.0</v>
      </c>
      <c r="H21" s="11"/>
    </row>
    <row r="22" ht="15.75" customHeight="1">
      <c r="A22" s="6">
        <v>10703.0</v>
      </c>
      <c r="B22" s="7" t="s">
        <v>11</v>
      </c>
      <c r="C22" s="7" t="s">
        <v>44</v>
      </c>
      <c r="D22" s="7" t="s">
        <v>47</v>
      </c>
      <c r="E22" s="8">
        <f t="shared" si="2"/>
        <v>26.47058824</v>
      </c>
      <c r="F22" s="9">
        <v>9.0</v>
      </c>
      <c r="G22" s="10">
        <v>340.0</v>
      </c>
      <c r="H22" s="11"/>
    </row>
    <row r="23" ht="15.75" customHeight="1">
      <c r="A23" s="6">
        <v>10704.0</v>
      </c>
      <c r="B23" s="7" t="s">
        <v>11</v>
      </c>
      <c r="C23" s="7" t="s">
        <v>44</v>
      </c>
      <c r="D23" s="7" t="s">
        <v>48</v>
      </c>
      <c r="E23" s="8">
        <f t="shared" si="2"/>
        <v>41.56479218</v>
      </c>
      <c r="F23" s="9">
        <v>17.0</v>
      </c>
      <c r="G23" s="10">
        <v>409.0</v>
      </c>
      <c r="H23" s="11"/>
    </row>
    <row r="24" ht="15.75" customHeight="1">
      <c r="A24" s="6">
        <v>10801.0</v>
      </c>
      <c r="B24" s="7" t="s">
        <v>11</v>
      </c>
      <c r="C24" s="7" t="s">
        <v>49</v>
      </c>
      <c r="D24" s="7" t="s">
        <v>50</v>
      </c>
      <c r="E24" s="8">
        <f t="shared" si="2"/>
        <v>5</v>
      </c>
      <c r="F24" s="9">
        <v>1.0</v>
      </c>
      <c r="G24" s="10">
        <v>200.0</v>
      </c>
      <c r="H24" s="11"/>
    </row>
    <row r="25" ht="15.75" customHeight="1">
      <c r="A25" s="6">
        <v>10901.0</v>
      </c>
      <c r="B25" s="7" t="s">
        <v>11</v>
      </c>
      <c r="C25" s="7" t="s">
        <v>51</v>
      </c>
      <c r="D25" s="7" t="s">
        <v>52</v>
      </c>
      <c r="E25" s="8">
        <f t="shared" si="2"/>
        <v>15.15151515</v>
      </c>
      <c r="F25" s="9">
        <v>1.0</v>
      </c>
      <c r="G25" s="10">
        <v>66.0</v>
      </c>
      <c r="H25" s="11"/>
    </row>
    <row r="26" ht="15.75" customHeight="1">
      <c r="A26" s="6">
        <v>10902.0</v>
      </c>
      <c r="B26" s="7" t="s">
        <v>11</v>
      </c>
      <c r="C26" s="7" t="s">
        <v>51</v>
      </c>
      <c r="D26" s="7" t="s">
        <v>53</v>
      </c>
      <c r="E26" s="8">
        <f t="shared" si="2"/>
        <v>17.07317073</v>
      </c>
      <c r="F26" s="9">
        <v>7.0</v>
      </c>
      <c r="G26" s="10">
        <v>410.0</v>
      </c>
      <c r="H26" s="11"/>
    </row>
    <row r="27" ht="15.75" customHeight="1">
      <c r="A27" s="6">
        <v>10903.0</v>
      </c>
      <c r="B27" s="7" t="s">
        <v>11</v>
      </c>
      <c r="C27" s="7" t="s">
        <v>51</v>
      </c>
      <c r="D27" s="7" t="s">
        <v>54</v>
      </c>
      <c r="E27" s="8">
        <f t="shared" si="2"/>
        <v>14.49275362</v>
      </c>
      <c r="F27" s="9">
        <v>1.0</v>
      </c>
      <c r="G27" s="10">
        <v>69.0</v>
      </c>
      <c r="H27" s="11"/>
    </row>
    <row r="28" ht="15.75" customHeight="1">
      <c r="A28" s="6">
        <v>11001.0</v>
      </c>
      <c r="B28" s="7" t="s">
        <v>11</v>
      </c>
      <c r="C28" s="7" t="s">
        <v>55</v>
      </c>
      <c r="D28" s="7" t="s">
        <v>56</v>
      </c>
      <c r="E28" s="8">
        <f t="shared" si="2"/>
        <v>19.41747573</v>
      </c>
      <c r="F28" s="9">
        <v>4.0</v>
      </c>
      <c r="G28" s="10">
        <v>206.0</v>
      </c>
      <c r="H28" s="11"/>
    </row>
    <row r="29" ht="15.75" customHeight="1">
      <c r="A29" s="6">
        <v>11002.0</v>
      </c>
      <c r="B29" s="7" t="s">
        <v>11</v>
      </c>
      <c r="C29" s="7" t="s">
        <v>55</v>
      </c>
      <c r="D29" s="7" t="s">
        <v>57</v>
      </c>
      <c r="E29" s="8">
        <f t="shared" si="2"/>
        <v>16.94915254</v>
      </c>
      <c r="F29" s="9">
        <v>1.0</v>
      </c>
      <c r="G29" s="10">
        <v>59.0</v>
      </c>
      <c r="H29" s="11"/>
    </row>
    <row r="30" ht="15.75" customHeight="1">
      <c r="A30" s="6">
        <v>11003.0</v>
      </c>
      <c r="B30" s="7" t="s">
        <v>11</v>
      </c>
      <c r="C30" s="7" t="s">
        <v>55</v>
      </c>
      <c r="D30" s="7" t="s">
        <v>58</v>
      </c>
      <c r="E30" s="8">
        <f t="shared" si="2"/>
        <v>6.993006993</v>
      </c>
      <c r="F30" s="9">
        <v>1.0</v>
      </c>
      <c r="G30" s="10">
        <v>143.0</v>
      </c>
      <c r="H30" s="11"/>
    </row>
    <row r="31" ht="15.75" customHeight="1">
      <c r="A31" s="6">
        <v>20101.0</v>
      </c>
      <c r="B31" s="7" t="s">
        <v>15</v>
      </c>
      <c r="C31" s="7" t="s">
        <v>59</v>
      </c>
      <c r="D31" s="7" t="s">
        <v>60</v>
      </c>
      <c r="E31" s="8">
        <f t="shared" si="2"/>
        <v>31.25736276</v>
      </c>
      <c r="F31" s="9">
        <v>398.0</v>
      </c>
      <c r="G31" s="10">
        <v>12733.0</v>
      </c>
      <c r="H31" s="11"/>
    </row>
    <row r="32" ht="15.75" customHeight="1">
      <c r="A32" s="6">
        <v>20102.0</v>
      </c>
      <c r="B32" s="7" t="s">
        <v>15</v>
      </c>
      <c r="C32" s="7" t="s">
        <v>59</v>
      </c>
      <c r="D32" s="7" t="s">
        <v>61</v>
      </c>
      <c r="E32" s="8">
        <f t="shared" si="2"/>
        <v>61.17021277</v>
      </c>
      <c r="F32" s="9">
        <v>23.0</v>
      </c>
      <c r="G32" s="10">
        <v>376.0</v>
      </c>
      <c r="H32" s="11"/>
    </row>
    <row r="33" ht="15.75" customHeight="1">
      <c r="A33" s="6">
        <v>20103.0</v>
      </c>
      <c r="B33" s="7" t="s">
        <v>15</v>
      </c>
      <c r="C33" s="7" t="s">
        <v>59</v>
      </c>
      <c r="D33" s="7" t="s">
        <v>62</v>
      </c>
      <c r="E33" s="8">
        <f t="shared" si="2"/>
        <v>37.54266212</v>
      </c>
      <c r="F33" s="9">
        <v>11.0</v>
      </c>
      <c r="G33" s="10">
        <v>293.0</v>
      </c>
      <c r="H33" s="11"/>
    </row>
    <row r="34" ht="15.75" customHeight="1">
      <c r="A34" s="6">
        <v>20104.0</v>
      </c>
      <c r="B34" s="7" t="s">
        <v>15</v>
      </c>
      <c r="C34" s="7" t="s">
        <v>59</v>
      </c>
      <c r="D34" s="7" t="s">
        <v>63</v>
      </c>
      <c r="E34" s="8">
        <f t="shared" si="2"/>
        <v>53.53319058</v>
      </c>
      <c r="F34" s="9">
        <v>25.0</v>
      </c>
      <c r="G34" s="10">
        <v>467.0</v>
      </c>
      <c r="H34" s="11"/>
    </row>
    <row r="35" ht="15.75" customHeight="1">
      <c r="A35" s="6">
        <v>20105.0</v>
      </c>
      <c r="B35" s="7" t="s">
        <v>15</v>
      </c>
      <c r="C35" s="7" t="s">
        <v>59</v>
      </c>
      <c r="D35" s="7" t="s">
        <v>64</v>
      </c>
      <c r="E35" s="8">
        <f t="shared" si="2"/>
        <v>29.95727832</v>
      </c>
      <c r="F35" s="9">
        <v>575.0</v>
      </c>
      <c r="G35" s="10">
        <v>19194.0</v>
      </c>
      <c r="H35" s="11"/>
    </row>
    <row r="36" ht="15.75" customHeight="1">
      <c r="A36" s="6">
        <v>20201.0</v>
      </c>
      <c r="B36" s="7" t="s">
        <v>15</v>
      </c>
      <c r="C36" s="7" t="s">
        <v>65</v>
      </c>
      <c r="D36" s="7" t="s">
        <v>66</v>
      </c>
      <c r="E36" s="8">
        <f t="shared" si="2"/>
        <v>3.787878788</v>
      </c>
      <c r="F36" s="9">
        <v>3.0</v>
      </c>
      <c r="G36" s="10">
        <v>792.0</v>
      </c>
      <c r="H36" s="11"/>
    </row>
    <row r="37" ht="15.75" customHeight="1">
      <c r="A37" s="6">
        <v>20202.0</v>
      </c>
      <c r="B37" s="7" t="s">
        <v>15</v>
      </c>
      <c r="C37" s="7" t="s">
        <v>65</v>
      </c>
      <c r="D37" s="7" t="s">
        <v>67</v>
      </c>
      <c r="E37" s="8">
        <f t="shared" si="2"/>
        <v>32.11009174</v>
      </c>
      <c r="F37" s="9">
        <v>7.0</v>
      </c>
      <c r="G37" s="10">
        <v>218.0</v>
      </c>
      <c r="H37" s="11"/>
    </row>
    <row r="38" ht="15.75" customHeight="1">
      <c r="A38" s="6">
        <v>20203.0</v>
      </c>
      <c r="B38" s="7" t="s">
        <v>15</v>
      </c>
      <c r="C38" s="7" t="s">
        <v>65</v>
      </c>
      <c r="D38" s="7" t="s">
        <v>68</v>
      </c>
      <c r="E38" s="8">
        <f t="shared" si="2"/>
        <v>30.3030303</v>
      </c>
      <c r="F38" s="9">
        <v>3.0</v>
      </c>
      <c r="G38" s="10">
        <v>99.0</v>
      </c>
      <c r="H38" s="11"/>
    </row>
    <row r="39" ht="15.75" customHeight="1">
      <c r="A39" s="6">
        <v>20204.0</v>
      </c>
      <c r="B39" s="7" t="s">
        <v>15</v>
      </c>
      <c r="C39" s="7" t="s">
        <v>65</v>
      </c>
      <c r="D39" s="7" t="s">
        <v>69</v>
      </c>
      <c r="E39" s="8">
        <f t="shared" si="2"/>
        <v>36.36363636</v>
      </c>
      <c r="F39" s="9">
        <v>4.0</v>
      </c>
      <c r="G39" s="10">
        <v>110.0</v>
      </c>
      <c r="H39" s="11"/>
    </row>
    <row r="40" ht="15.75" customHeight="1">
      <c r="A40" s="6">
        <v>20205.0</v>
      </c>
      <c r="B40" s="7" t="s">
        <v>15</v>
      </c>
      <c r="C40" s="7" t="s">
        <v>65</v>
      </c>
      <c r="D40" s="7" t="s">
        <v>70</v>
      </c>
      <c r="E40" s="8">
        <f t="shared" si="2"/>
        <v>0</v>
      </c>
      <c r="F40" s="9">
        <v>0.0</v>
      </c>
      <c r="G40" s="10">
        <v>58.0</v>
      </c>
      <c r="H40" s="11"/>
    </row>
    <row r="41" ht="15.75" customHeight="1">
      <c r="A41" s="6">
        <v>20206.0</v>
      </c>
      <c r="B41" s="7" t="s">
        <v>15</v>
      </c>
      <c r="C41" s="7" t="s">
        <v>65</v>
      </c>
      <c r="D41" s="7" t="s">
        <v>71</v>
      </c>
      <c r="E41" s="8">
        <f t="shared" si="2"/>
        <v>27.02702703</v>
      </c>
      <c r="F41" s="9">
        <v>2.0</v>
      </c>
      <c r="G41" s="10">
        <v>74.0</v>
      </c>
      <c r="H41" s="11"/>
    </row>
    <row r="42" ht="15.75" customHeight="1">
      <c r="A42" s="6">
        <v>20301.0</v>
      </c>
      <c r="B42" s="7" t="s">
        <v>15</v>
      </c>
      <c r="C42" s="7" t="s">
        <v>72</v>
      </c>
      <c r="D42" s="7" t="s">
        <v>73</v>
      </c>
      <c r="E42" s="8">
        <f t="shared" si="2"/>
        <v>11.17318436</v>
      </c>
      <c r="F42" s="9">
        <v>2.0</v>
      </c>
      <c r="G42" s="10">
        <v>179.0</v>
      </c>
      <c r="H42" s="11"/>
    </row>
    <row r="43" ht="15.75" customHeight="1">
      <c r="A43" s="6">
        <v>20302.0</v>
      </c>
      <c r="B43" s="7" t="s">
        <v>15</v>
      </c>
      <c r="C43" s="7" t="s">
        <v>72</v>
      </c>
      <c r="D43" s="7" t="s">
        <v>74</v>
      </c>
      <c r="E43" s="8">
        <f t="shared" si="2"/>
        <v>16</v>
      </c>
      <c r="F43" s="9">
        <v>4.0</v>
      </c>
      <c r="G43" s="10">
        <v>250.0</v>
      </c>
      <c r="H43" s="11"/>
    </row>
    <row r="44" ht="15.75" customHeight="1">
      <c r="A44" s="6">
        <v>20303.0</v>
      </c>
      <c r="B44" s="7" t="s">
        <v>15</v>
      </c>
      <c r="C44" s="7" t="s">
        <v>72</v>
      </c>
      <c r="D44" s="7" t="s">
        <v>75</v>
      </c>
      <c r="E44" s="8">
        <f t="shared" si="2"/>
        <v>0</v>
      </c>
      <c r="F44" s="9">
        <v>0.0</v>
      </c>
      <c r="G44" s="10">
        <v>173.0</v>
      </c>
      <c r="H44" s="11"/>
    </row>
    <row r="45" ht="15.75" customHeight="1">
      <c r="A45" s="6">
        <v>20304.0</v>
      </c>
      <c r="B45" s="7" t="s">
        <v>15</v>
      </c>
      <c r="C45" s="7" t="s">
        <v>72</v>
      </c>
      <c r="D45" s="7" t="s">
        <v>76</v>
      </c>
      <c r="E45" s="8">
        <f t="shared" si="2"/>
        <v>0</v>
      </c>
      <c r="F45" s="9">
        <v>0.0</v>
      </c>
      <c r="G45" s="10">
        <v>68.0</v>
      </c>
      <c r="H45" s="11"/>
    </row>
    <row r="46" ht="15.75" customHeight="1">
      <c r="A46" s="6">
        <v>20305.0</v>
      </c>
      <c r="B46" s="7" t="s">
        <v>15</v>
      </c>
      <c r="C46" s="7" t="s">
        <v>72</v>
      </c>
      <c r="D46" s="7" t="s">
        <v>77</v>
      </c>
      <c r="E46" s="8">
        <f t="shared" si="2"/>
        <v>0</v>
      </c>
      <c r="F46" s="9">
        <v>0.0</v>
      </c>
      <c r="G46" s="10">
        <v>62.0</v>
      </c>
      <c r="H46" s="11"/>
    </row>
    <row r="47" ht="15.75" customHeight="1">
      <c r="A47" s="6">
        <v>20306.0</v>
      </c>
      <c r="B47" s="7" t="s">
        <v>15</v>
      </c>
      <c r="C47" s="7" t="s">
        <v>72</v>
      </c>
      <c r="D47" s="7" t="s">
        <v>78</v>
      </c>
      <c r="E47" s="8">
        <f t="shared" si="2"/>
        <v>19.41747573</v>
      </c>
      <c r="F47" s="9">
        <v>2.0</v>
      </c>
      <c r="G47" s="10">
        <v>103.0</v>
      </c>
      <c r="H47" s="11"/>
    </row>
    <row r="48" ht="15.75" customHeight="1">
      <c r="A48" s="6">
        <v>20307.0</v>
      </c>
      <c r="B48" s="7" t="s">
        <v>15</v>
      </c>
      <c r="C48" s="7" t="s">
        <v>72</v>
      </c>
      <c r="D48" s="7" t="s">
        <v>79</v>
      </c>
      <c r="E48" s="8">
        <f t="shared" si="2"/>
        <v>0</v>
      </c>
      <c r="F48" s="9">
        <v>0.0</v>
      </c>
      <c r="G48" s="10">
        <v>13.0</v>
      </c>
      <c r="H48" s="11"/>
    </row>
    <row r="49" ht="15.75" customHeight="1">
      <c r="A49" s="6">
        <v>20308.0</v>
      </c>
      <c r="B49" s="7" t="s">
        <v>15</v>
      </c>
      <c r="C49" s="7" t="s">
        <v>72</v>
      </c>
      <c r="D49" s="7" t="s">
        <v>80</v>
      </c>
      <c r="E49" s="8">
        <f t="shared" si="2"/>
        <v>0</v>
      </c>
      <c r="F49" s="9">
        <v>0.0</v>
      </c>
      <c r="G49" s="10">
        <v>101.0</v>
      </c>
      <c r="H49" s="11"/>
    </row>
    <row r="50" ht="15.75" customHeight="1">
      <c r="A50" s="6">
        <v>20401.0</v>
      </c>
      <c r="B50" s="7" t="s">
        <v>15</v>
      </c>
      <c r="C50" s="7" t="s">
        <v>81</v>
      </c>
      <c r="D50" s="7" t="s">
        <v>82</v>
      </c>
      <c r="E50" s="8">
        <f t="shared" si="2"/>
        <v>38.21656051</v>
      </c>
      <c r="F50" s="9">
        <v>6.0</v>
      </c>
      <c r="G50" s="10">
        <v>157.0</v>
      </c>
      <c r="H50" s="11"/>
    </row>
    <row r="51" ht="15.75" customHeight="1">
      <c r="A51" s="6">
        <v>20402.0</v>
      </c>
      <c r="B51" s="7" t="s">
        <v>15</v>
      </c>
      <c r="C51" s="7" t="s">
        <v>81</v>
      </c>
      <c r="D51" s="7" t="s">
        <v>83</v>
      </c>
      <c r="E51" s="8">
        <f t="shared" si="2"/>
        <v>52.43445693</v>
      </c>
      <c r="F51" s="9">
        <v>14.0</v>
      </c>
      <c r="G51" s="10">
        <v>267.0</v>
      </c>
      <c r="H51" s="11"/>
    </row>
    <row r="52" ht="15.75" customHeight="1">
      <c r="A52" s="6">
        <v>20403.0</v>
      </c>
      <c r="B52" s="7" t="s">
        <v>15</v>
      </c>
      <c r="C52" s="7" t="s">
        <v>81</v>
      </c>
      <c r="D52" s="7" t="s">
        <v>84</v>
      </c>
      <c r="E52" s="8">
        <f t="shared" si="2"/>
        <v>61.13537118</v>
      </c>
      <c r="F52" s="9">
        <v>14.0</v>
      </c>
      <c r="G52" s="10">
        <v>229.0</v>
      </c>
      <c r="H52" s="11"/>
    </row>
    <row r="53" ht="15.75" customHeight="1">
      <c r="A53" s="6">
        <v>20404.0</v>
      </c>
      <c r="B53" s="7" t="s">
        <v>15</v>
      </c>
      <c r="C53" s="7" t="s">
        <v>81</v>
      </c>
      <c r="D53" s="7" t="s">
        <v>85</v>
      </c>
      <c r="E53" s="8">
        <f t="shared" si="2"/>
        <v>87.37864078</v>
      </c>
      <c r="F53" s="9">
        <v>9.0</v>
      </c>
      <c r="G53" s="10">
        <v>103.0</v>
      </c>
      <c r="H53" s="11"/>
    </row>
    <row r="54" ht="15.75" customHeight="1">
      <c r="A54" s="6">
        <v>20405.0</v>
      </c>
      <c r="B54" s="7" t="s">
        <v>15</v>
      </c>
      <c r="C54" s="7" t="s">
        <v>81</v>
      </c>
      <c r="D54" s="7" t="s">
        <v>86</v>
      </c>
      <c r="E54" s="8">
        <f t="shared" si="2"/>
        <v>33.33333333</v>
      </c>
      <c r="F54" s="9">
        <v>3.0</v>
      </c>
      <c r="G54" s="10">
        <v>90.0</v>
      </c>
      <c r="H54" s="11"/>
    </row>
    <row r="55" ht="15.75" customHeight="1">
      <c r="A55" s="6">
        <v>20501.0</v>
      </c>
      <c r="B55" s="7" t="s">
        <v>15</v>
      </c>
      <c r="C55" s="7" t="s">
        <v>87</v>
      </c>
      <c r="D55" s="7" t="s">
        <v>88</v>
      </c>
      <c r="E55" s="8">
        <f t="shared" si="2"/>
        <v>30.04291845</v>
      </c>
      <c r="F55" s="9">
        <v>7.0</v>
      </c>
      <c r="G55" s="10">
        <v>233.0</v>
      </c>
      <c r="H55" s="11"/>
    </row>
    <row r="56" ht="15.75" customHeight="1">
      <c r="A56" s="6">
        <v>20502.0</v>
      </c>
      <c r="B56" s="7" t="s">
        <v>15</v>
      </c>
      <c r="C56" s="7" t="s">
        <v>87</v>
      </c>
      <c r="D56" s="7" t="s">
        <v>89</v>
      </c>
      <c r="E56" s="8">
        <f t="shared" si="2"/>
        <v>47.84688995</v>
      </c>
      <c r="F56" s="9">
        <v>10.0</v>
      </c>
      <c r="G56" s="10">
        <v>209.0</v>
      </c>
      <c r="H56" s="11"/>
    </row>
    <row r="57" ht="15.75" customHeight="1">
      <c r="A57" s="6">
        <v>20503.0</v>
      </c>
      <c r="B57" s="7" t="s">
        <v>15</v>
      </c>
      <c r="C57" s="7" t="s">
        <v>87</v>
      </c>
      <c r="D57" s="7" t="s">
        <v>90</v>
      </c>
      <c r="E57" s="8">
        <f t="shared" si="2"/>
        <v>38.0952381</v>
      </c>
      <c r="F57" s="9">
        <v>4.0</v>
      </c>
      <c r="G57" s="10">
        <v>105.0</v>
      </c>
      <c r="H57" s="11"/>
    </row>
    <row r="58" ht="15.75" customHeight="1">
      <c r="A58" s="6">
        <v>20601.0</v>
      </c>
      <c r="B58" s="7" t="s">
        <v>15</v>
      </c>
      <c r="C58" s="7" t="s">
        <v>91</v>
      </c>
      <c r="D58" s="7" t="s">
        <v>92</v>
      </c>
      <c r="E58" s="8">
        <f t="shared" si="2"/>
        <v>43.47826087</v>
      </c>
      <c r="F58" s="9">
        <v>20.0</v>
      </c>
      <c r="G58" s="10">
        <v>460.0</v>
      </c>
      <c r="H58" s="11"/>
    </row>
    <row r="59" ht="15.75" customHeight="1">
      <c r="A59" s="6">
        <v>20602.0</v>
      </c>
      <c r="B59" s="7" t="s">
        <v>15</v>
      </c>
      <c r="C59" s="7" t="s">
        <v>91</v>
      </c>
      <c r="D59" s="7" t="s">
        <v>93</v>
      </c>
      <c r="E59" s="8">
        <f t="shared" si="2"/>
        <v>77.88161994</v>
      </c>
      <c r="F59" s="9">
        <v>25.0</v>
      </c>
      <c r="G59" s="10">
        <v>321.0</v>
      </c>
      <c r="H59" s="11"/>
    </row>
    <row r="60" ht="15.75" customHeight="1">
      <c r="A60" s="6">
        <v>20603.0</v>
      </c>
      <c r="B60" s="7" t="s">
        <v>15</v>
      </c>
      <c r="C60" s="7" t="s">
        <v>91</v>
      </c>
      <c r="D60" s="7" t="s">
        <v>94</v>
      </c>
      <c r="E60" s="8">
        <f t="shared" si="2"/>
        <v>38.46153846</v>
      </c>
      <c r="F60" s="9">
        <v>7.0</v>
      </c>
      <c r="G60" s="10">
        <v>182.0</v>
      </c>
      <c r="H60" s="11"/>
    </row>
    <row r="61" ht="15.75" customHeight="1">
      <c r="A61" s="6">
        <v>20604.0</v>
      </c>
      <c r="B61" s="7" t="s">
        <v>15</v>
      </c>
      <c r="C61" s="7" t="s">
        <v>91</v>
      </c>
      <c r="D61" s="7" t="s">
        <v>95</v>
      </c>
      <c r="E61" s="8">
        <f t="shared" si="2"/>
        <v>94.33962264</v>
      </c>
      <c r="F61" s="9">
        <v>5.0</v>
      </c>
      <c r="G61" s="10">
        <v>53.0</v>
      </c>
      <c r="H61" s="11"/>
    </row>
    <row r="62" ht="15.75" customHeight="1">
      <c r="A62" s="6">
        <v>20605.0</v>
      </c>
      <c r="B62" s="7" t="s">
        <v>15</v>
      </c>
      <c r="C62" s="7" t="s">
        <v>91</v>
      </c>
      <c r="D62" s="7" t="s">
        <v>96</v>
      </c>
      <c r="E62" s="8">
        <f t="shared" si="2"/>
        <v>39.21568627</v>
      </c>
      <c r="F62" s="9">
        <v>2.0</v>
      </c>
      <c r="G62" s="10">
        <v>51.0</v>
      </c>
      <c r="H62" s="11"/>
    </row>
    <row r="63" ht="15.75" customHeight="1">
      <c r="A63" s="6">
        <v>20606.0</v>
      </c>
      <c r="B63" s="7" t="s">
        <v>15</v>
      </c>
      <c r="C63" s="7" t="s">
        <v>91</v>
      </c>
      <c r="D63" s="7" t="s">
        <v>97</v>
      </c>
      <c r="E63" s="8">
        <f t="shared" si="2"/>
        <v>50.78125</v>
      </c>
      <c r="F63" s="9">
        <v>13.0</v>
      </c>
      <c r="G63" s="10">
        <v>256.0</v>
      </c>
      <c r="H63" s="11"/>
    </row>
    <row r="64" ht="15.75" customHeight="1">
      <c r="A64" s="6">
        <v>20607.0</v>
      </c>
      <c r="B64" s="7" t="s">
        <v>15</v>
      </c>
      <c r="C64" s="7" t="s">
        <v>91</v>
      </c>
      <c r="D64" s="7" t="s">
        <v>98</v>
      </c>
      <c r="E64" s="8">
        <f t="shared" si="2"/>
        <v>34.75935829</v>
      </c>
      <c r="F64" s="9">
        <v>13.0</v>
      </c>
      <c r="G64" s="10">
        <v>374.0</v>
      </c>
      <c r="H64" s="11"/>
    </row>
    <row r="65" ht="15.75" customHeight="1">
      <c r="A65" s="6">
        <v>20608.0</v>
      </c>
      <c r="B65" s="7" t="s">
        <v>15</v>
      </c>
      <c r="C65" s="7" t="s">
        <v>91</v>
      </c>
      <c r="D65" s="7" t="s">
        <v>99</v>
      </c>
      <c r="E65" s="8">
        <f t="shared" si="2"/>
        <v>37.97468354</v>
      </c>
      <c r="F65" s="9">
        <v>9.0</v>
      </c>
      <c r="G65" s="10">
        <v>237.0</v>
      </c>
      <c r="H65" s="11"/>
    </row>
    <row r="66" ht="15.75" customHeight="1">
      <c r="A66" s="6">
        <v>20701.0</v>
      </c>
      <c r="B66" s="7" t="s">
        <v>15</v>
      </c>
      <c r="C66" s="7" t="s">
        <v>100</v>
      </c>
      <c r="D66" s="7" t="s">
        <v>101</v>
      </c>
      <c r="E66" s="8">
        <f t="shared" si="2"/>
        <v>43.98148148</v>
      </c>
      <c r="F66" s="9">
        <v>19.0</v>
      </c>
      <c r="G66" s="10">
        <v>432.0</v>
      </c>
      <c r="H66" s="11"/>
    </row>
    <row r="67" ht="15.75" customHeight="1">
      <c r="A67" s="6">
        <v>20702.0</v>
      </c>
      <c r="B67" s="7" t="s">
        <v>15</v>
      </c>
      <c r="C67" s="7" t="s">
        <v>100</v>
      </c>
      <c r="D67" s="7" t="s">
        <v>102</v>
      </c>
      <c r="E67" s="8">
        <f t="shared" si="2"/>
        <v>45.16129032</v>
      </c>
      <c r="F67" s="9">
        <v>7.0</v>
      </c>
      <c r="G67" s="10">
        <v>155.0</v>
      </c>
      <c r="H67" s="11"/>
    </row>
    <row r="68" ht="15.75" customHeight="1">
      <c r="A68" s="6">
        <v>20801.0</v>
      </c>
      <c r="B68" s="7" t="s">
        <v>15</v>
      </c>
      <c r="C68" s="7" t="s">
        <v>103</v>
      </c>
      <c r="D68" s="7" t="s">
        <v>104</v>
      </c>
      <c r="E68" s="8">
        <f t="shared" si="2"/>
        <v>37.83499737</v>
      </c>
      <c r="F68" s="9">
        <v>72.0</v>
      </c>
      <c r="G68" s="10">
        <v>1903.0</v>
      </c>
      <c r="H68" s="11"/>
    </row>
    <row r="69" ht="15.75" customHeight="1">
      <c r="A69" s="6">
        <v>20802.0</v>
      </c>
      <c r="B69" s="7" t="s">
        <v>15</v>
      </c>
      <c r="C69" s="7" t="s">
        <v>103</v>
      </c>
      <c r="D69" s="7" t="s">
        <v>105</v>
      </c>
      <c r="E69" s="8">
        <f t="shared" si="2"/>
        <v>45.45454545</v>
      </c>
      <c r="F69" s="9">
        <v>5.0</v>
      </c>
      <c r="G69" s="10">
        <v>110.0</v>
      </c>
      <c r="H69" s="11"/>
    </row>
    <row r="70" ht="15.75" customHeight="1">
      <c r="A70" s="6">
        <v>20803.0</v>
      </c>
      <c r="B70" s="7" t="s">
        <v>15</v>
      </c>
      <c r="C70" s="7" t="s">
        <v>103</v>
      </c>
      <c r="D70" s="7" t="s">
        <v>106</v>
      </c>
      <c r="E70" s="8">
        <f t="shared" si="2"/>
        <v>46.80851064</v>
      </c>
      <c r="F70" s="9">
        <v>11.0</v>
      </c>
      <c r="G70" s="10">
        <v>235.0</v>
      </c>
      <c r="H70" s="11"/>
    </row>
    <row r="71" ht="15.75" customHeight="1">
      <c r="A71" s="6">
        <v>20804.0</v>
      </c>
      <c r="B71" s="7" t="s">
        <v>15</v>
      </c>
      <c r="C71" s="7" t="s">
        <v>103</v>
      </c>
      <c r="D71" s="7" t="s">
        <v>107</v>
      </c>
      <c r="E71" s="8">
        <f t="shared" si="2"/>
        <v>46.97986577</v>
      </c>
      <c r="F71" s="9">
        <v>7.0</v>
      </c>
      <c r="G71" s="10">
        <v>149.0</v>
      </c>
      <c r="H71" s="11"/>
    </row>
    <row r="72" ht="15.75" customHeight="1">
      <c r="A72" s="6">
        <v>20805.0</v>
      </c>
      <c r="B72" s="7" t="s">
        <v>15</v>
      </c>
      <c r="C72" s="7" t="s">
        <v>103</v>
      </c>
      <c r="D72" s="7" t="s">
        <v>108</v>
      </c>
      <c r="E72" s="8">
        <f t="shared" si="2"/>
        <v>13.15789474</v>
      </c>
      <c r="F72" s="9">
        <v>1.0</v>
      </c>
      <c r="G72" s="10">
        <v>76.0</v>
      </c>
      <c r="H72" s="11"/>
    </row>
    <row r="73" ht="15.75" customHeight="1">
      <c r="A73" s="6">
        <v>20806.0</v>
      </c>
      <c r="B73" s="7" t="s">
        <v>15</v>
      </c>
      <c r="C73" s="7" t="s">
        <v>103</v>
      </c>
      <c r="D73" s="7" t="s">
        <v>109</v>
      </c>
      <c r="E73" s="8">
        <f t="shared" si="2"/>
        <v>39.13043478</v>
      </c>
      <c r="F73" s="9">
        <v>9.0</v>
      </c>
      <c r="G73" s="10">
        <v>230.0</v>
      </c>
      <c r="H73" s="11"/>
    </row>
    <row r="74" ht="15.75" customHeight="1">
      <c r="A74" s="6">
        <v>20807.0</v>
      </c>
      <c r="B74" s="7" t="s">
        <v>15</v>
      </c>
      <c r="C74" s="7" t="s">
        <v>103</v>
      </c>
      <c r="D74" s="7" t="s">
        <v>110</v>
      </c>
      <c r="E74" s="8">
        <f t="shared" si="2"/>
        <v>11.49425287</v>
      </c>
      <c r="F74" s="9">
        <v>1.0</v>
      </c>
      <c r="G74" s="10">
        <v>87.0</v>
      </c>
      <c r="H74" s="11"/>
    </row>
    <row r="75" ht="15.75" customHeight="1">
      <c r="A75" s="6">
        <v>20901.0</v>
      </c>
      <c r="B75" s="7" t="s">
        <v>15</v>
      </c>
      <c r="C75" s="7" t="s">
        <v>111</v>
      </c>
      <c r="D75" s="7" t="s">
        <v>112</v>
      </c>
      <c r="E75" s="8">
        <f t="shared" si="2"/>
        <v>44.11764706</v>
      </c>
      <c r="F75" s="9">
        <v>9.0</v>
      </c>
      <c r="G75" s="10">
        <v>204.0</v>
      </c>
      <c r="H75" s="11"/>
    </row>
    <row r="76" ht="15.75" customHeight="1">
      <c r="A76" s="6">
        <v>20902.0</v>
      </c>
      <c r="B76" s="7" t="s">
        <v>15</v>
      </c>
      <c r="C76" s="7" t="s">
        <v>111</v>
      </c>
      <c r="D76" s="7" t="s">
        <v>113</v>
      </c>
      <c r="E76" s="8">
        <f t="shared" si="2"/>
        <v>34.7826087</v>
      </c>
      <c r="F76" s="9">
        <v>8.0</v>
      </c>
      <c r="G76" s="10">
        <v>230.0</v>
      </c>
      <c r="H76" s="11"/>
    </row>
    <row r="77" ht="15.75" customHeight="1">
      <c r="A77" s="6">
        <v>20903.0</v>
      </c>
      <c r="B77" s="7" t="s">
        <v>15</v>
      </c>
      <c r="C77" s="7" t="s">
        <v>111</v>
      </c>
      <c r="D77" s="7" t="s">
        <v>114</v>
      </c>
      <c r="E77" s="8">
        <f t="shared" si="2"/>
        <v>50.72463768</v>
      </c>
      <c r="F77" s="9">
        <v>7.0</v>
      </c>
      <c r="G77" s="10">
        <v>138.0</v>
      </c>
      <c r="H77" s="11"/>
    </row>
    <row r="78" ht="15.75" customHeight="1">
      <c r="A78" s="6">
        <v>20904.0</v>
      </c>
      <c r="B78" s="7" t="s">
        <v>15</v>
      </c>
      <c r="C78" s="7" t="s">
        <v>111</v>
      </c>
      <c r="D78" s="7" t="s">
        <v>115</v>
      </c>
      <c r="E78" s="8">
        <f t="shared" si="2"/>
        <v>45.45454545</v>
      </c>
      <c r="F78" s="9">
        <v>4.0</v>
      </c>
      <c r="G78" s="10">
        <v>88.0</v>
      </c>
      <c r="H78" s="11"/>
    </row>
    <row r="79" ht="15.75" customHeight="1">
      <c r="A79" s="6">
        <v>20905.0</v>
      </c>
      <c r="B79" s="7" t="s">
        <v>15</v>
      </c>
      <c r="C79" s="7" t="s">
        <v>111</v>
      </c>
      <c r="D79" s="7" t="s">
        <v>116</v>
      </c>
      <c r="E79" s="8">
        <f t="shared" si="2"/>
        <v>69.3877551</v>
      </c>
      <c r="F79" s="9">
        <v>17.0</v>
      </c>
      <c r="G79" s="10">
        <v>245.0</v>
      </c>
      <c r="H79" s="11"/>
    </row>
    <row r="80" ht="15.75" customHeight="1">
      <c r="A80" s="6">
        <v>21001.0</v>
      </c>
      <c r="B80" s="7" t="s">
        <v>15</v>
      </c>
      <c r="C80" s="7" t="s">
        <v>117</v>
      </c>
      <c r="D80" s="7" t="s">
        <v>117</v>
      </c>
      <c r="E80" s="8">
        <f t="shared" si="2"/>
        <v>43.20987654</v>
      </c>
      <c r="F80" s="9">
        <v>14.0</v>
      </c>
      <c r="G80" s="10">
        <v>324.0</v>
      </c>
      <c r="H80" s="11"/>
    </row>
    <row r="81" ht="15.75" customHeight="1">
      <c r="A81" s="6">
        <v>21002.0</v>
      </c>
      <c r="B81" s="7" t="s">
        <v>15</v>
      </c>
      <c r="C81" s="7" t="s">
        <v>117</v>
      </c>
      <c r="D81" s="7" t="s">
        <v>118</v>
      </c>
      <c r="E81" s="8">
        <f t="shared" si="2"/>
        <v>54.94505495</v>
      </c>
      <c r="F81" s="9">
        <v>10.0</v>
      </c>
      <c r="G81" s="10">
        <v>182.0</v>
      </c>
      <c r="H81" s="11"/>
    </row>
    <row r="82" ht="15.75" customHeight="1">
      <c r="A82" s="6">
        <v>21003.0</v>
      </c>
      <c r="B82" s="7" t="s">
        <v>15</v>
      </c>
      <c r="C82" s="7" t="s">
        <v>117</v>
      </c>
      <c r="D82" s="7" t="s">
        <v>119</v>
      </c>
      <c r="E82" s="8">
        <f t="shared" si="2"/>
        <v>54.05405405</v>
      </c>
      <c r="F82" s="9">
        <v>12.0</v>
      </c>
      <c r="G82" s="10">
        <v>222.0</v>
      </c>
      <c r="H82" s="11"/>
    </row>
    <row r="83" ht="15.75" customHeight="1">
      <c r="A83" s="6">
        <v>21004.0</v>
      </c>
      <c r="B83" s="7" t="s">
        <v>15</v>
      </c>
      <c r="C83" s="7" t="s">
        <v>117</v>
      </c>
      <c r="D83" s="7" t="s">
        <v>120</v>
      </c>
      <c r="E83" s="8">
        <f t="shared" si="2"/>
        <v>45.45454545</v>
      </c>
      <c r="F83" s="9">
        <v>21.0</v>
      </c>
      <c r="G83" s="10">
        <v>462.0</v>
      </c>
      <c r="H83" s="11"/>
    </row>
    <row r="84" ht="15.75" customHeight="1">
      <c r="A84" s="6">
        <v>21005.0</v>
      </c>
      <c r="B84" s="7" t="s">
        <v>15</v>
      </c>
      <c r="C84" s="7" t="s">
        <v>117</v>
      </c>
      <c r="D84" s="7" t="s">
        <v>121</v>
      </c>
      <c r="E84" s="8">
        <f t="shared" si="2"/>
        <v>26.84563758</v>
      </c>
      <c r="F84" s="9">
        <v>4.0</v>
      </c>
      <c r="G84" s="10">
        <v>149.0</v>
      </c>
      <c r="H84" s="11"/>
    </row>
    <row r="85" ht="15.75" customHeight="1">
      <c r="A85" s="6">
        <v>21006.0</v>
      </c>
      <c r="B85" s="7" t="s">
        <v>15</v>
      </c>
      <c r="C85" s="7" t="s">
        <v>117</v>
      </c>
      <c r="D85" s="7" t="s">
        <v>122</v>
      </c>
      <c r="E85" s="8">
        <f t="shared" si="2"/>
        <v>12.19512195</v>
      </c>
      <c r="F85" s="9">
        <v>1.0</v>
      </c>
      <c r="G85" s="10">
        <v>82.0</v>
      </c>
      <c r="H85" s="11"/>
    </row>
    <row r="86" ht="15.75" customHeight="1">
      <c r="A86" s="6">
        <v>21101.0</v>
      </c>
      <c r="B86" s="7" t="s">
        <v>15</v>
      </c>
      <c r="C86" s="7" t="s">
        <v>123</v>
      </c>
      <c r="D86" s="7" t="s">
        <v>124</v>
      </c>
      <c r="E86" s="8">
        <f t="shared" si="2"/>
        <v>34.09090909</v>
      </c>
      <c r="F86" s="9">
        <v>12.0</v>
      </c>
      <c r="G86" s="10">
        <v>352.0</v>
      </c>
      <c r="H86" s="11"/>
    </row>
    <row r="87" ht="15.75" customHeight="1">
      <c r="A87" s="6">
        <v>21102.0</v>
      </c>
      <c r="B87" s="7" t="s">
        <v>15</v>
      </c>
      <c r="C87" s="7" t="s">
        <v>123</v>
      </c>
      <c r="D87" s="7" t="s">
        <v>125</v>
      </c>
      <c r="E87" s="8">
        <f t="shared" si="2"/>
        <v>26.73796791</v>
      </c>
      <c r="F87" s="9">
        <v>10.0</v>
      </c>
      <c r="G87" s="10">
        <v>374.0</v>
      </c>
      <c r="H87" s="11"/>
    </row>
    <row r="88" ht="15.75" customHeight="1">
      <c r="A88" s="6">
        <v>21103.0</v>
      </c>
      <c r="B88" s="7" t="s">
        <v>15</v>
      </c>
      <c r="C88" s="7" t="s">
        <v>123</v>
      </c>
      <c r="D88" s="7" t="s">
        <v>126</v>
      </c>
      <c r="E88" s="8">
        <f t="shared" si="2"/>
        <v>34.24657534</v>
      </c>
      <c r="F88" s="9">
        <v>5.0</v>
      </c>
      <c r="G88" s="10">
        <v>146.0</v>
      </c>
      <c r="H88" s="11"/>
    </row>
    <row r="89" ht="15.75" customHeight="1">
      <c r="A89" s="6">
        <v>21104.0</v>
      </c>
      <c r="B89" s="7" t="s">
        <v>15</v>
      </c>
      <c r="C89" s="7" t="s">
        <v>123</v>
      </c>
      <c r="D89" s="7" t="s">
        <v>127</v>
      </c>
      <c r="E89" s="8">
        <f t="shared" si="2"/>
        <v>26.19414484</v>
      </c>
      <c r="F89" s="9">
        <v>17.0</v>
      </c>
      <c r="G89" s="10">
        <v>649.0</v>
      </c>
      <c r="H89" s="11"/>
    </row>
    <row r="90" ht="15.75" customHeight="1">
      <c r="A90" s="6">
        <v>21105.0</v>
      </c>
      <c r="B90" s="7" t="s">
        <v>15</v>
      </c>
      <c r="C90" s="7" t="s">
        <v>123</v>
      </c>
      <c r="D90" s="7" t="s">
        <v>128</v>
      </c>
      <c r="E90" s="8">
        <f t="shared" si="2"/>
        <v>36.02058319</v>
      </c>
      <c r="F90" s="9">
        <v>42.0</v>
      </c>
      <c r="G90" s="10">
        <v>1166.0</v>
      </c>
      <c r="H90" s="11"/>
    </row>
    <row r="91" ht="15.75" customHeight="1">
      <c r="A91" s="6">
        <v>21201.0</v>
      </c>
      <c r="B91" s="7" t="s">
        <v>15</v>
      </c>
      <c r="C91" s="7" t="s">
        <v>129</v>
      </c>
      <c r="D91" s="7" t="s">
        <v>130</v>
      </c>
      <c r="E91" s="8">
        <f t="shared" si="2"/>
        <v>57.92163543</v>
      </c>
      <c r="F91" s="9">
        <v>34.0</v>
      </c>
      <c r="G91" s="10">
        <v>587.0</v>
      </c>
      <c r="H91" s="11"/>
    </row>
    <row r="92" ht="15.75" customHeight="1">
      <c r="A92" s="6">
        <v>21202.0</v>
      </c>
      <c r="B92" s="7" t="s">
        <v>15</v>
      </c>
      <c r="C92" s="7" t="s">
        <v>129</v>
      </c>
      <c r="D92" s="7" t="s">
        <v>131</v>
      </c>
      <c r="E92" s="8">
        <f t="shared" si="2"/>
        <v>39.73509934</v>
      </c>
      <c r="F92" s="9">
        <v>18.0</v>
      </c>
      <c r="G92" s="10">
        <v>453.0</v>
      </c>
      <c r="H92" s="11"/>
    </row>
    <row r="93" ht="15.75" customHeight="1">
      <c r="A93" s="6">
        <v>21203.0</v>
      </c>
      <c r="B93" s="7" t="s">
        <v>15</v>
      </c>
      <c r="C93" s="7" t="s">
        <v>129</v>
      </c>
      <c r="D93" s="7" t="s">
        <v>132</v>
      </c>
      <c r="E93" s="8">
        <f t="shared" si="2"/>
        <v>20.13422819</v>
      </c>
      <c r="F93" s="9">
        <v>6.0</v>
      </c>
      <c r="G93" s="10">
        <v>298.0</v>
      </c>
      <c r="H93" s="11"/>
    </row>
    <row r="94" ht="15.75" customHeight="1">
      <c r="A94" s="6">
        <v>21204.0</v>
      </c>
      <c r="B94" s="7" t="s">
        <v>15</v>
      </c>
      <c r="C94" s="7" t="s">
        <v>129</v>
      </c>
      <c r="D94" s="7" t="s">
        <v>133</v>
      </c>
      <c r="E94" s="8">
        <f t="shared" si="2"/>
        <v>77.77777778</v>
      </c>
      <c r="F94" s="9">
        <v>7.0</v>
      </c>
      <c r="G94" s="10">
        <v>90.0</v>
      </c>
      <c r="H94" s="11"/>
    </row>
    <row r="95" ht="15.75" customHeight="1">
      <c r="A95" s="6">
        <v>21301.0</v>
      </c>
      <c r="B95" s="7" t="s">
        <v>15</v>
      </c>
      <c r="C95" s="7" t="s">
        <v>134</v>
      </c>
      <c r="D95" s="7" t="s">
        <v>135</v>
      </c>
      <c r="E95" s="8">
        <f t="shared" si="2"/>
        <v>47.05882353</v>
      </c>
      <c r="F95" s="9">
        <v>28.0</v>
      </c>
      <c r="G95" s="10">
        <v>595.0</v>
      </c>
      <c r="H95" s="11"/>
    </row>
    <row r="96" ht="15.75" customHeight="1">
      <c r="A96" s="6">
        <v>21302.0</v>
      </c>
      <c r="B96" s="7" t="s">
        <v>15</v>
      </c>
      <c r="C96" s="7" t="s">
        <v>134</v>
      </c>
      <c r="D96" s="7" t="s">
        <v>136</v>
      </c>
      <c r="E96" s="8">
        <f t="shared" si="2"/>
        <v>37.97468354</v>
      </c>
      <c r="F96" s="9">
        <v>6.0</v>
      </c>
      <c r="G96" s="10">
        <v>158.0</v>
      </c>
      <c r="H96" s="11"/>
    </row>
    <row r="97" ht="15.75" customHeight="1">
      <c r="A97" s="6">
        <v>21303.0</v>
      </c>
      <c r="B97" s="7" t="s">
        <v>15</v>
      </c>
      <c r="C97" s="7" t="s">
        <v>134</v>
      </c>
      <c r="D97" s="7" t="s">
        <v>137</v>
      </c>
      <c r="E97" s="8">
        <f t="shared" si="2"/>
        <v>16.85393258</v>
      </c>
      <c r="F97" s="9">
        <v>3.0</v>
      </c>
      <c r="G97" s="10">
        <v>178.0</v>
      </c>
      <c r="H97" s="11"/>
    </row>
    <row r="98" ht="15.75" customHeight="1">
      <c r="A98" s="6">
        <v>21304.0</v>
      </c>
      <c r="B98" s="7" t="s">
        <v>15</v>
      </c>
      <c r="C98" s="7" t="s">
        <v>134</v>
      </c>
      <c r="D98" s="7" t="s">
        <v>138</v>
      </c>
      <c r="E98" s="8">
        <f t="shared" si="2"/>
        <v>18.01801802</v>
      </c>
      <c r="F98" s="9">
        <v>4.0</v>
      </c>
      <c r="G98" s="10">
        <v>222.0</v>
      </c>
      <c r="H98" s="11"/>
    </row>
    <row r="99" ht="15.75" customHeight="1">
      <c r="A99" s="6">
        <v>21305.0</v>
      </c>
      <c r="B99" s="7" t="s">
        <v>15</v>
      </c>
      <c r="C99" s="7" t="s">
        <v>134</v>
      </c>
      <c r="D99" s="7" t="s">
        <v>139</v>
      </c>
      <c r="E99" s="8">
        <f t="shared" si="2"/>
        <v>12.76595745</v>
      </c>
      <c r="F99" s="9">
        <v>6.0</v>
      </c>
      <c r="G99" s="10">
        <v>470.0</v>
      </c>
      <c r="H99" s="11"/>
    </row>
    <row r="100" ht="15.75" customHeight="1">
      <c r="A100" s="6">
        <v>21306.0</v>
      </c>
      <c r="B100" s="7" t="s">
        <v>15</v>
      </c>
      <c r="C100" s="7" t="s">
        <v>134</v>
      </c>
      <c r="D100" s="7" t="s">
        <v>140</v>
      </c>
      <c r="E100" s="8">
        <f t="shared" si="2"/>
        <v>8.474576271</v>
      </c>
      <c r="F100" s="9">
        <v>2.0</v>
      </c>
      <c r="G100" s="10">
        <v>236.0</v>
      </c>
      <c r="H100" s="11"/>
    </row>
    <row r="101" ht="15.75" customHeight="1">
      <c r="A101" s="6">
        <v>21307.0</v>
      </c>
      <c r="B101" s="7" t="s">
        <v>15</v>
      </c>
      <c r="C101" s="7" t="s">
        <v>134</v>
      </c>
      <c r="D101" s="7" t="s">
        <v>141</v>
      </c>
      <c r="E101" s="8">
        <f t="shared" si="2"/>
        <v>0</v>
      </c>
      <c r="F101" s="9">
        <v>0.0</v>
      </c>
      <c r="G101" s="10">
        <v>89.0</v>
      </c>
      <c r="H101" s="11"/>
    </row>
    <row r="102" ht="15.75" customHeight="1">
      <c r="A102" s="6">
        <v>21401.0</v>
      </c>
      <c r="B102" s="7" t="s">
        <v>15</v>
      </c>
      <c r="C102" s="7" t="s">
        <v>142</v>
      </c>
      <c r="D102" s="7" t="s">
        <v>143</v>
      </c>
      <c r="E102" s="8">
        <f t="shared" si="2"/>
        <v>13.44086022</v>
      </c>
      <c r="F102" s="9">
        <v>5.0</v>
      </c>
      <c r="G102" s="10">
        <v>372.0</v>
      </c>
      <c r="H102" s="11"/>
    </row>
    <row r="103" ht="15.75" customHeight="1">
      <c r="A103" s="6">
        <v>21402.0</v>
      </c>
      <c r="B103" s="7" t="s">
        <v>15</v>
      </c>
      <c r="C103" s="7" t="s">
        <v>142</v>
      </c>
      <c r="D103" s="7" t="s">
        <v>144</v>
      </c>
      <c r="E103" s="8">
        <f t="shared" si="2"/>
        <v>27.2479564</v>
      </c>
      <c r="F103" s="9">
        <v>10.0</v>
      </c>
      <c r="G103" s="10">
        <v>367.0</v>
      </c>
      <c r="H103" s="11"/>
    </row>
    <row r="104" ht="15.75" customHeight="1">
      <c r="A104" s="6">
        <v>21501.0</v>
      </c>
      <c r="B104" s="7" t="s">
        <v>15</v>
      </c>
      <c r="C104" s="7" t="s">
        <v>145</v>
      </c>
      <c r="D104" s="7" t="s">
        <v>146</v>
      </c>
      <c r="E104" s="8">
        <f t="shared" si="2"/>
        <v>7.042253521</v>
      </c>
      <c r="F104" s="9">
        <v>2.0</v>
      </c>
      <c r="G104" s="10">
        <v>284.0</v>
      </c>
      <c r="H104" s="11"/>
    </row>
    <row r="105" ht="15.75" customHeight="1">
      <c r="A105" s="6">
        <v>21502.0</v>
      </c>
      <c r="B105" s="7" t="s">
        <v>15</v>
      </c>
      <c r="C105" s="7" t="s">
        <v>145</v>
      </c>
      <c r="D105" s="7" t="s">
        <v>147</v>
      </c>
      <c r="E105" s="8">
        <f t="shared" si="2"/>
        <v>8.032128514</v>
      </c>
      <c r="F105" s="9">
        <v>2.0</v>
      </c>
      <c r="G105" s="10">
        <v>249.0</v>
      </c>
      <c r="H105" s="11"/>
    </row>
    <row r="106" ht="15.75" customHeight="1">
      <c r="A106" s="6">
        <v>21601.0</v>
      </c>
      <c r="B106" s="7" t="s">
        <v>15</v>
      </c>
      <c r="C106" s="7" t="s">
        <v>148</v>
      </c>
      <c r="D106" s="7" t="s">
        <v>149</v>
      </c>
      <c r="E106" s="8">
        <f t="shared" si="2"/>
        <v>20.4778157</v>
      </c>
      <c r="F106" s="9">
        <v>6.0</v>
      </c>
      <c r="G106" s="10">
        <v>293.0</v>
      </c>
      <c r="H106" s="11"/>
    </row>
    <row r="107" ht="15.75" customHeight="1">
      <c r="A107" s="6">
        <v>21602.0</v>
      </c>
      <c r="B107" s="7" t="s">
        <v>15</v>
      </c>
      <c r="C107" s="7" t="s">
        <v>148</v>
      </c>
      <c r="D107" s="7" t="s">
        <v>150</v>
      </c>
      <c r="E107" s="8">
        <f t="shared" si="2"/>
        <v>14.28571429</v>
      </c>
      <c r="F107" s="9">
        <v>1.0</v>
      </c>
      <c r="G107" s="10">
        <v>70.0</v>
      </c>
      <c r="H107" s="11"/>
    </row>
    <row r="108" ht="15.75" customHeight="1">
      <c r="A108" s="6">
        <v>21701.0</v>
      </c>
      <c r="B108" s="7" t="s">
        <v>15</v>
      </c>
      <c r="C108" s="7" t="s">
        <v>151</v>
      </c>
      <c r="D108" s="7" t="s">
        <v>152</v>
      </c>
      <c r="E108" s="8">
        <f t="shared" si="2"/>
        <v>19.08396947</v>
      </c>
      <c r="F108" s="9">
        <v>5.0</v>
      </c>
      <c r="G108" s="10">
        <v>262.0</v>
      </c>
      <c r="H108" s="11"/>
    </row>
    <row r="109" ht="15.75" customHeight="1">
      <c r="A109" s="6">
        <v>21702.0</v>
      </c>
      <c r="B109" s="7" t="s">
        <v>15</v>
      </c>
      <c r="C109" s="7" t="s">
        <v>151</v>
      </c>
      <c r="D109" s="7" t="s">
        <v>153</v>
      </c>
      <c r="E109" s="8">
        <f t="shared" si="2"/>
        <v>0</v>
      </c>
      <c r="F109" s="9">
        <v>0.0</v>
      </c>
      <c r="G109" s="10">
        <v>68.0</v>
      </c>
      <c r="H109" s="11"/>
    </row>
    <row r="110" ht="15.75" customHeight="1">
      <c r="A110" s="6">
        <v>21703.0</v>
      </c>
      <c r="B110" s="7" t="s">
        <v>15</v>
      </c>
      <c r="C110" s="7" t="s">
        <v>151</v>
      </c>
      <c r="D110" s="7" t="s">
        <v>154</v>
      </c>
      <c r="E110" s="8">
        <f t="shared" si="2"/>
        <v>0</v>
      </c>
      <c r="F110" s="9">
        <v>0.0</v>
      </c>
      <c r="G110" s="10">
        <v>59.0</v>
      </c>
      <c r="H110" s="11"/>
    </row>
    <row r="111" ht="15.75" customHeight="1">
      <c r="A111" s="6">
        <v>21801.0</v>
      </c>
      <c r="B111" s="7" t="s">
        <v>15</v>
      </c>
      <c r="C111" s="7" t="s">
        <v>155</v>
      </c>
      <c r="D111" s="7" t="s">
        <v>156</v>
      </c>
      <c r="E111" s="8">
        <f t="shared" si="2"/>
        <v>6.41025641</v>
      </c>
      <c r="F111" s="9">
        <v>1.0</v>
      </c>
      <c r="G111" s="10">
        <v>156.0</v>
      </c>
      <c r="H111" s="11"/>
    </row>
    <row r="112" ht="15.75" customHeight="1">
      <c r="A112" s="6">
        <v>21802.0</v>
      </c>
      <c r="B112" s="7" t="s">
        <v>15</v>
      </c>
      <c r="C112" s="7" t="s">
        <v>157</v>
      </c>
      <c r="D112" s="7" t="s">
        <v>158</v>
      </c>
      <c r="E112" s="8">
        <f t="shared" si="2"/>
        <v>8.474576271</v>
      </c>
      <c r="F112" s="9">
        <v>1.0</v>
      </c>
      <c r="G112" s="10">
        <v>118.0</v>
      </c>
      <c r="H112" s="11"/>
    </row>
    <row r="113" ht="15.75" customHeight="1">
      <c r="A113" s="6">
        <v>21803.0</v>
      </c>
      <c r="B113" s="7" t="s">
        <v>15</v>
      </c>
      <c r="C113" s="7" t="s">
        <v>157</v>
      </c>
      <c r="D113" s="7" t="s">
        <v>159</v>
      </c>
      <c r="E113" s="8">
        <f t="shared" si="2"/>
        <v>0</v>
      </c>
      <c r="F113" s="9">
        <v>0.0</v>
      </c>
      <c r="G113" s="10">
        <v>27.0</v>
      </c>
      <c r="H113" s="11"/>
    </row>
    <row r="114" ht="15.75" customHeight="1">
      <c r="A114" s="6">
        <v>21901.0</v>
      </c>
      <c r="B114" s="7" t="s">
        <v>15</v>
      </c>
      <c r="C114" s="7" t="s">
        <v>160</v>
      </c>
      <c r="D114" s="7" t="s">
        <v>161</v>
      </c>
      <c r="E114" s="8">
        <f t="shared" si="2"/>
        <v>0</v>
      </c>
      <c r="F114" s="9">
        <v>0.0</v>
      </c>
      <c r="G114" s="10">
        <v>62.0</v>
      </c>
      <c r="H114" s="11"/>
    </row>
    <row r="115" ht="15.75" customHeight="1">
      <c r="A115" s="6">
        <v>21902.0</v>
      </c>
      <c r="B115" s="7" t="s">
        <v>15</v>
      </c>
      <c r="C115" s="7" t="s">
        <v>160</v>
      </c>
      <c r="D115" s="7" t="s">
        <v>162</v>
      </c>
      <c r="E115" s="8">
        <f t="shared" si="2"/>
        <v>0</v>
      </c>
      <c r="F115" s="9">
        <v>0.0</v>
      </c>
      <c r="G115" s="10">
        <v>56.0</v>
      </c>
      <c r="H115" s="11"/>
    </row>
    <row r="116" ht="15.75" customHeight="1">
      <c r="A116" s="6">
        <v>22001.0</v>
      </c>
      <c r="B116" s="7" t="s">
        <v>15</v>
      </c>
      <c r="C116" s="7" t="s">
        <v>163</v>
      </c>
      <c r="D116" s="7" t="s">
        <v>163</v>
      </c>
      <c r="E116" s="8">
        <f t="shared" si="2"/>
        <v>18.77934272</v>
      </c>
      <c r="F116" s="9">
        <v>20.0</v>
      </c>
      <c r="G116" s="10">
        <v>1065.0</v>
      </c>
      <c r="H116" s="11"/>
    </row>
    <row r="117" ht="15.75" customHeight="1">
      <c r="A117" s="6">
        <v>22002.0</v>
      </c>
      <c r="B117" s="7" t="s">
        <v>15</v>
      </c>
      <c r="C117" s="7" t="s">
        <v>163</v>
      </c>
      <c r="D117" s="7" t="s">
        <v>164</v>
      </c>
      <c r="E117" s="8">
        <f t="shared" si="2"/>
        <v>43.91891892</v>
      </c>
      <c r="F117" s="9">
        <v>13.0</v>
      </c>
      <c r="G117" s="10">
        <v>296.0</v>
      </c>
      <c r="H117" s="11"/>
    </row>
    <row r="118" ht="15.75" customHeight="1">
      <c r="A118" s="6">
        <v>30101.0</v>
      </c>
      <c r="B118" s="7" t="s">
        <v>17</v>
      </c>
      <c r="C118" s="7" t="s">
        <v>165</v>
      </c>
      <c r="D118" s="7" t="s">
        <v>17</v>
      </c>
      <c r="E118" s="8">
        <f t="shared" si="2"/>
        <v>22.63083451</v>
      </c>
      <c r="F118" s="9">
        <v>288.0</v>
      </c>
      <c r="G118" s="10">
        <v>12726.0</v>
      </c>
      <c r="H118" s="11"/>
    </row>
    <row r="119" ht="15.75" customHeight="1">
      <c r="A119" s="6">
        <v>30201.0</v>
      </c>
      <c r="B119" s="7" t="s">
        <v>17</v>
      </c>
      <c r="C119" s="7" t="s">
        <v>166</v>
      </c>
      <c r="D119" s="7" t="s">
        <v>167</v>
      </c>
      <c r="E119" s="8">
        <f t="shared" si="2"/>
        <v>28.80658436</v>
      </c>
      <c r="F119" s="9">
        <v>14.0</v>
      </c>
      <c r="G119" s="10">
        <v>486.0</v>
      </c>
      <c r="H119" s="11"/>
    </row>
    <row r="120" ht="15.75" customHeight="1">
      <c r="A120" s="6">
        <v>30202.0</v>
      </c>
      <c r="B120" s="7" t="s">
        <v>17</v>
      </c>
      <c r="C120" s="7" t="s">
        <v>166</v>
      </c>
      <c r="D120" s="7" t="s">
        <v>168</v>
      </c>
      <c r="E120" s="8">
        <f t="shared" si="2"/>
        <v>0</v>
      </c>
      <c r="F120" s="9">
        <v>0.0</v>
      </c>
      <c r="G120" s="10">
        <v>111.0</v>
      </c>
      <c r="H120" s="11"/>
    </row>
    <row r="121" ht="15.75" customHeight="1">
      <c r="A121" s="6">
        <v>30203.0</v>
      </c>
      <c r="B121" s="7" t="s">
        <v>17</v>
      </c>
      <c r="C121" s="7" t="s">
        <v>166</v>
      </c>
      <c r="D121" s="7" t="s">
        <v>169</v>
      </c>
      <c r="E121" s="8">
        <f t="shared" si="2"/>
        <v>22.55639098</v>
      </c>
      <c r="F121" s="9">
        <v>3.0</v>
      </c>
      <c r="G121" s="10">
        <v>133.0</v>
      </c>
      <c r="H121" s="11"/>
    </row>
    <row r="122" ht="15.75" customHeight="1">
      <c r="A122" s="6">
        <v>30301.0</v>
      </c>
      <c r="B122" s="7" t="s">
        <v>17</v>
      </c>
      <c r="C122" s="7" t="s">
        <v>170</v>
      </c>
      <c r="D122" s="7" t="s">
        <v>171</v>
      </c>
      <c r="E122" s="8">
        <f t="shared" si="2"/>
        <v>70.08547009</v>
      </c>
      <c r="F122" s="9">
        <v>41.0</v>
      </c>
      <c r="G122" s="10">
        <v>585.0</v>
      </c>
      <c r="H122" s="11"/>
    </row>
    <row r="123" ht="15.75" customHeight="1">
      <c r="A123" s="6">
        <v>30302.0</v>
      </c>
      <c r="B123" s="7" t="s">
        <v>17</v>
      </c>
      <c r="C123" s="7" t="s">
        <v>170</v>
      </c>
      <c r="D123" s="7" t="s">
        <v>172</v>
      </c>
      <c r="E123" s="8">
        <f t="shared" si="2"/>
        <v>58.25242718</v>
      </c>
      <c r="F123" s="9">
        <v>18.0</v>
      </c>
      <c r="G123" s="10">
        <v>309.0</v>
      </c>
      <c r="H123" s="11"/>
    </row>
    <row r="124" ht="15.75" customHeight="1">
      <c r="A124" s="6">
        <v>30303.0</v>
      </c>
      <c r="B124" s="7" t="s">
        <v>17</v>
      </c>
      <c r="C124" s="7" t="s">
        <v>170</v>
      </c>
      <c r="D124" s="7" t="s">
        <v>173</v>
      </c>
      <c r="E124" s="8">
        <f t="shared" si="2"/>
        <v>56.53021442</v>
      </c>
      <c r="F124" s="9">
        <v>29.0</v>
      </c>
      <c r="G124" s="10">
        <v>513.0</v>
      </c>
      <c r="H124" s="11"/>
    </row>
    <row r="125" ht="15.75" customHeight="1">
      <c r="A125" s="6">
        <v>30401.0</v>
      </c>
      <c r="B125" s="7" t="s">
        <v>17</v>
      </c>
      <c r="C125" s="7" t="s">
        <v>174</v>
      </c>
      <c r="D125" s="7" t="s">
        <v>175</v>
      </c>
      <c r="E125" s="8">
        <f t="shared" si="2"/>
        <v>49.38271605</v>
      </c>
      <c r="F125" s="9">
        <v>8.0</v>
      </c>
      <c r="G125" s="10">
        <v>162.0</v>
      </c>
      <c r="H125" s="11"/>
    </row>
    <row r="126" ht="15.75" customHeight="1">
      <c r="A126" s="6">
        <v>30402.0</v>
      </c>
      <c r="B126" s="7" t="s">
        <v>17</v>
      </c>
      <c r="C126" s="7" t="s">
        <v>174</v>
      </c>
      <c r="D126" s="7" t="s">
        <v>176</v>
      </c>
      <c r="E126" s="8">
        <f t="shared" si="2"/>
        <v>21.89781022</v>
      </c>
      <c r="F126" s="9">
        <v>3.0</v>
      </c>
      <c r="G126" s="10">
        <v>137.0</v>
      </c>
      <c r="H126" s="11"/>
    </row>
    <row r="127" ht="15.75" customHeight="1">
      <c r="A127" s="6">
        <v>30403.0</v>
      </c>
      <c r="B127" s="7" t="s">
        <v>17</v>
      </c>
      <c r="C127" s="7" t="s">
        <v>174</v>
      </c>
      <c r="D127" s="7" t="s">
        <v>177</v>
      </c>
      <c r="E127" s="8">
        <f t="shared" si="2"/>
        <v>72.02216066</v>
      </c>
      <c r="F127" s="9">
        <v>26.0</v>
      </c>
      <c r="G127" s="10">
        <v>361.0</v>
      </c>
      <c r="H127" s="11"/>
    </row>
    <row r="128" ht="15.75" customHeight="1">
      <c r="A128" s="6">
        <v>30404.0</v>
      </c>
      <c r="B128" s="7" t="s">
        <v>17</v>
      </c>
      <c r="C128" s="7" t="s">
        <v>174</v>
      </c>
      <c r="D128" s="7" t="s">
        <v>178</v>
      </c>
      <c r="E128" s="8">
        <f t="shared" si="2"/>
        <v>0</v>
      </c>
      <c r="F128" s="9">
        <v>0.0</v>
      </c>
      <c r="G128" s="10">
        <v>93.0</v>
      </c>
      <c r="H128" s="11"/>
    </row>
    <row r="129" ht="15.75" customHeight="1">
      <c r="A129" s="6">
        <v>30501.0</v>
      </c>
      <c r="B129" s="7" t="s">
        <v>17</v>
      </c>
      <c r="C129" s="7" t="s">
        <v>179</v>
      </c>
      <c r="D129" s="7" t="s">
        <v>179</v>
      </c>
      <c r="E129" s="8">
        <f t="shared" si="2"/>
        <v>86.33093525</v>
      </c>
      <c r="F129" s="9">
        <v>12.0</v>
      </c>
      <c r="G129" s="10">
        <v>139.0</v>
      </c>
      <c r="H129" s="11"/>
    </row>
    <row r="130" ht="15.75" customHeight="1">
      <c r="A130" s="6">
        <v>30502.0</v>
      </c>
      <c r="B130" s="7" t="s">
        <v>17</v>
      </c>
      <c r="C130" s="7" t="s">
        <v>179</v>
      </c>
      <c r="D130" s="7" t="s">
        <v>180</v>
      </c>
      <c r="E130" s="8">
        <f t="shared" si="2"/>
        <v>21.97802198</v>
      </c>
      <c r="F130" s="9">
        <v>4.0</v>
      </c>
      <c r="G130" s="10">
        <v>182.0</v>
      </c>
      <c r="H130" s="11"/>
    </row>
    <row r="131" ht="15.75" customHeight="1">
      <c r="A131" s="6">
        <v>30601.0</v>
      </c>
      <c r="B131" s="7" t="s">
        <v>17</v>
      </c>
      <c r="C131" s="7" t="s">
        <v>181</v>
      </c>
      <c r="D131" s="7" t="s">
        <v>181</v>
      </c>
      <c r="E131" s="8">
        <f t="shared" si="2"/>
        <v>49.45054945</v>
      </c>
      <c r="F131" s="9">
        <v>18.0</v>
      </c>
      <c r="G131" s="10">
        <v>364.0</v>
      </c>
      <c r="H131" s="11"/>
    </row>
    <row r="132" ht="15.75" customHeight="1">
      <c r="A132" s="6">
        <v>30602.0</v>
      </c>
      <c r="B132" s="7" t="s">
        <v>17</v>
      </c>
      <c r="C132" s="7" t="s">
        <v>181</v>
      </c>
      <c r="D132" s="7" t="s">
        <v>182</v>
      </c>
      <c r="E132" s="8">
        <f t="shared" si="2"/>
        <v>50.76142132</v>
      </c>
      <c r="F132" s="9">
        <v>10.0</v>
      </c>
      <c r="G132" s="10">
        <v>197.0</v>
      </c>
      <c r="H132" s="11"/>
    </row>
    <row r="133" ht="15.75" customHeight="1">
      <c r="A133" s="6">
        <v>30701.0</v>
      </c>
      <c r="B133" s="7" t="s">
        <v>17</v>
      </c>
      <c r="C133" s="7" t="s">
        <v>183</v>
      </c>
      <c r="D133" s="7" t="s">
        <v>183</v>
      </c>
      <c r="E133" s="8">
        <f t="shared" si="2"/>
        <v>13.66742597</v>
      </c>
      <c r="F133" s="9">
        <v>6.0</v>
      </c>
      <c r="G133" s="10">
        <v>439.0</v>
      </c>
      <c r="H133" s="11"/>
    </row>
    <row r="134" ht="15.75" customHeight="1">
      <c r="A134" s="6">
        <v>30702.0</v>
      </c>
      <c r="B134" s="7" t="s">
        <v>17</v>
      </c>
      <c r="C134" s="7" t="s">
        <v>183</v>
      </c>
      <c r="D134" s="7" t="s">
        <v>184</v>
      </c>
      <c r="E134" s="8">
        <f t="shared" si="2"/>
        <v>23.80952381</v>
      </c>
      <c r="F134" s="9">
        <v>3.0</v>
      </c>
      <c r="G134" s="10">
        <v>126.0</v>
      </c>
      <c r="H134" s="11"/>
    </row>
    <row r="135" ht="15.75" customHeight="1">
      <c r="A135" s="6">
        <v>30703.0</v>
      </c>
      <c r="B135" s="7" t="s">
        <v>17</v>
      </c>
      <c r="C135" s="7" t="s">
        <v>183</v>
      </c>
      <c r="D135" s="7" t="s">
        <v>185</v>
      </c>
      <c r="E135" s="8">
        <f t="shared" si="2"/>
        <v>79.20792079</v>
      </c>
      <c r="F135" s="9">
        <v>8.0</v>
      </c>
      <c r="G135" s="10">
        <v>101.0</v>
      </c>
      <c r="H135" s="11"/>
    </row>
    <row r="136" ht="15.75" customHeight="1">
      <c r="A136" s="6">
        <v>30801.0</v>
      </c>
      <c r="B136" s="7" t="s">
        <v>17</v>
      </c>
      <c r="C136" s="7" t="s">
        <v>186</v>
      </c>
      <c r="D136" s="7" t="s">
        <v>187</v>
      </c>
      <c r="E136" s="8">
        <f t="shared" si="2"/>
        <v>20</v>
      </c>
      <c r="F136" s="9">
        <v>8.0</v>
      </c>
      <c r="G136" s="10">
        <v>400.0</v>
      </c>
      <c r="H136" s="11"/>
    </row>
    <row r="137" ht="15.75" customHeight="1">
      <c r="A137" s="6">
        <v>30802.0</v>
      </c>
      <c r="B137" s="7" t="s">
        <v>17</v>
      </c>
      <c r="C137" s="7" t="s">
        <v>186</v>
      </c>
      <c r="D137" s="7" t="s">
        <v>188</v>
      </c>
      <c r="E137" s="8">
        <f t="shared" si="2"/>
        <v>27.52293578</v>
      </c>
      <c r="F137" s="9">
        <v>3.0</v>
      </c>
      <c r="G137" s="10">
        <v>109.0</v>
      </c>
      <c r="H137" s="11"/>
    </row>
    <row r="138" ht="15.75" customHeight="1">
      <c r="A138" s="6">
        <v>30803.0</v>
      </c>
      <c r="B138" s="7" t="s">
        <v>17</v>
      </c>
      <c r="C138" s="7" t="s">
        <v>186</v>
      </c>
      <c r="D138" s="7" t="s">
        <v>189</v>
      </c>
      <c r="E138" s="8">
        <f t="shared" si="2"/>
        <v>41.2371134</v>
      </c>
      <c r="F138" s="9">
        <v>4.0</v>
      </c>
      <c r="G138" s="10">
        <v>97.0</v>
      </c>
      <c r="H138" s="11"/>
    </row>
    <row r="139" ht="15.75" customHeight="1">
      <c r="A139" s="6">
        <v>30901.0</v>
      </c>
      <c r="B139" s="7" t="s">
        <v>17</v>
      </c>
      <c r="C139" s="7" t="s">
        <v>190</v>
      </c>
      <c r="D139" s="7" t="s">
        <v>190</v>
      </c>
      <c r="E139" s="8">
        <f t="shared" si="2"/>
        <v>8.987210508</v>
      </c>
      <c r="F139" s="9">
        <v>26.0</v>
      </c>
      <c r="G139" s="10">
        <v>2893.0</v>
      </c>
      <c r="H139" s="11"/>
    </row>
    <row r="140" ht="15.75" customHeight="1">
      <c r="A140" s="6">
        <v>30902.0</v>
      </c>
      <c r="B140" s="7" t="s">
        <v>17</v>
      </c>
      <c r="C140" s="7" t="s">
        <v>190</v>
      </c>
      <c r="D140" s="7" t="s">
        <v>191</v>
      </c>
      <c r="E140" s="8">
        <f t="shared" si="2"/>
        <v>17.87592008</v>
      </c>
      <c r="F140" s="9">
        <v>17.0</v>
      </c>
      <c r="G140" s="10">
        <v>951.0</v>
      </c>
      <c r="H140" s="11"/>
    </row>
    <row r="141" ht="15.75" customHeight="1">
      <c r="A141" s="6">
        <v>30903.0</v>
      </c>
      <c r="B141" s="7" t="s">
        <v>17</v>
      </c>
      <c r="C141" s="7" t="s">
        <v>190</v>
      </c>
      <c r="D141" s="7" t="s">
        <v>192</v>
      </c>
      <c r="E141" s="8">
        <f t="shared" si="2"/>
        <v>8.976660682</v>
      </c>
      <c r="F141" s="9">
        <v>10.0</v>
      </c>
      <c r="G141" s="10">
        <v>1114.0</v>
      </c>
      <c r="H141" s="11"/>
    </row>
    <row r="142" ht="15.75" customHeight="1">
      <c r="A142" s="6">
        <v>30904.0</v>
      </c>
      <c r="B142" s="7" t="s">
        <v>17</v>
      </c>
      <c r="C142" s="7" t="s">
        <v>190</v>
      </c>
      <c r="D142" s="7" t="s">
        <v>193</v>
      </c>
      <c r="E142" s="8">
        <f t="shared" si="2"/>
        <v>13.54784081</v>
      </c>
      <c r="F142" s="9">
        <v>16.0</v>
      </c>
      <c r="G142" s="10">
        <v>1181.0</v>
      </c>
      <c r="H142" s="11"/>
    </row>
    <row r="143" ht="15.75" customHeight="1">
      <c r="A143" s="6">
        <v>30905.0</v>
      </c>
      <c r="B143" s="7" t="s">
        <v>17</v>
      </c>
      <c r="C143" s="7" t="s">
        <v>190</v>
      </c>
      <c r="D143" s="7" t="s">
        <v>194</v>
      </c>
      <c r="E143" s="8">
        <f t="shared" si="2"/>
        <v>8.955223881</v>
      </c>
      <c r="F143" s="9">
        <v>9.0</v>
      </c>
      <c r="G143" s="10">
        <v>1005.0</v>
      </c>
      <c r="H143" s="11"/>
    </row>
    <row r="144" ht="15.75" customHeight="1">
      <c r="A144" s="6">
        <v>31001.0</v>
      </c>
      <c r="B144" s="7" t="s">
        <v>17</v>
      </c>
      <c r="C144" s="7" t="s">
        <v>195</v>
      </c>
      <c r="D144" s="7" t="s">
        <v>196</v>
      </c>
      <c r="E144" s="8">
        <f t="shared" si="2"/>
        <v>23.40850699</v>
      </c>
      <c r="F144" s="9">
        <v>82.0</v>
      </c>
      <c r="G144" s="10">
        <v>3503.0</v>
      </c>
      <c r="H144" s="11"/>
    </row>
    <row r="145" ht="15.75" customHeight="1">
      <c r="A145" s="6">
        <v>31002.0</v>
      </c>
      <c r="B145" s="7" t="s">
        <v>17</v>
      </c>
      <c r="C145" s="7" t="s">
        <v>195</v>
      </c>
      <c r="D145" s="7" t="s">
        <v>197</v>
      </c>
      <c r="E145" s="8">
        <f t="shared" si="2"/>
        <v>33.47280335</v>
      </c>
      <c r="F145" s="9">
        <v>16.0</v>
      </c>
      <c r="G145" s="10">
        <v>478.0</v>
      </c>
      <c r="H145" s="11"/>
    </row>
    <row r="146" ht="15.75" customHeight="1">
      <c r="A146" s="6">
        <v>31003.0</v>
      </c>
      <c r="B146" s="7" t="s">
        <v>17</v>
      </c>
      <c r="C146" s="7" t="s">
        <v>195</v>
      </c>
      <c r="D146" s="7" t="s">
        <v>198</v>
      </c>
      <c r="E146" s="8">
        <f t="shared" si="2"/>
        <v>33.64080304</v>
      </c>
      <c r="F146" s="9">
        <v>62.0</v>
      </c>
      <c r="G146" s="10">
        <v>1843.0</v>
      </c>
      <c r="H146" s="11"/>
    </row>
    <row r="147" ht="15.75" customHeight="1">
      <c r="A147" s="6">
        <v>31101.0</v>
      </c>
      <c r="B147" s="7" t="s">
        <v>17</v>
      </c>
      <c r="C147" s="7" t="s">
        <v>199</v>
      </c>
      <c r="D147" s="7" t="s">
        <v>199</v>
      </c>
      <c r="E147" s="8">
        <f t="shared" si="2"/>
        <v>49.45054945</v>
      </c>
      <c r="F147" s="9">
        <v>27.0</v>
      </c>
      <c r="G147" s="10">
        <v>546.0</v>
      </c>
      <c r="H147" s="11"/>
    </row>
    <row r="148" ht="15.75" customHeight="1">
      <c r="A148" s="6">
        <v>31201.0</v>
      </c>
      <c r="B148" s="7" t="s">
        <v>17</v>
      </c>
      <c r="C148" s="7" t="s">
        <v>200</v>
      </c>
      <c r="D148" s="7" t="s">
        <v>201</v>
      </c>
      <c r="E148" s="8">
        <f t="shared" si="2"/>
        <v>41.66666667</v>
      </c>
      <c r="F148" s="9">
        <v>14.0</v>
      </c>
      <c r="G148" s="10">
        <v>336.0</v>
      </c>
      <c r="H148" s="11"/>
    </row>
    <row r="149" ht="15.75" customHeight="1">
      <c r="A149" s="6">
        <v>31202.0</v>
      </c>
      <c r="B149" s="7" t="s">
        <v>17</v>
      </c>
      <c r="C149" s="7" t="s">
        <v>200</v>
      </c>
      <c r="D149" s="7" t="s">
        <v>202</v>
      </c>
      <c r="E149" s="8">
        <f t="shared" si="2"/>
        <v>33.33333333</v>
      </c>
      <c r="F149" s="9">
        <v>9.0</v>
      </c>
      <c r="G149" s="10">
        <v>270.0</v>
      </c>
      <c r="H149" s="11"/>
    </row>
    <row r="150" ht="15.75" customHeight="1">
      <c r="A150" s="6">
        <v>31203.0</v>
      </c>
      <c r="B150" s="7" t="s">
        <v>17</v>
      </c>
      <c r="C150" s="7" t="s">
        <v>200</v>
      </c>
      <c r="D150" s="7" t="s">
        <v>203</v>
      </c>
      <c r="E150" s="8">
        <f t="shared" si="2"/>
        <v>22.83105023</v>
      </c>
      <c r="F150" s="9">
        <v>5.0</v>
      </c>
      <c r="G150" s="10">
        <v>219.0</v>
      </c>
      <c r="H150" s="11"/>
    </row>
    <row r="151" ht="15.75" customHeight="1">
      <c r="A151" s="6">
        <v>31204.0</v>
      </c>
      <c r="B151" s="7" t="s">
        <v>17</v>
      </c>
      <c r="C151" s="7" t="s">
        <v>200</v>
      </c>
      <c r="D151" s="7" t="s">
        <v>204</v>
      </c>
      <c r="E151" s="8">
        <f t="shared" si="2"/>
        <v>32.59005146</v>
      </c>
      <c r="F151" s="9">
        <v>19.0</v>
      </c>
      <c r="G151" s="10">
        <v>583.0</v>
      </c>
      <c r="H151" s="11"/>
    </row>
    <row r="152" ht="15.75" customHeight="1">
      <c r="A152" s="6">
        <v>31205.0</v>
      </c>
      <c r="B152" s="7" t="s">
        <v>17</v>
      </c>
      <c r="C152" s="7" t="s">
        <v>200</v>
      </c>
      <c r="D152" s="7" t="s">
        <v>205</v>
      </c>
      <c r="E152" s="8">
        <f t="shared" si="2"/>
        <v>20.29220779</v>
      </c>
      <c r="F152" s="9">
        <v>25.0</v>
      </c>
      <c r="G152" s="10">
        <v>1232.0</v>
      </c>
      <c r="H152" s="11"/>
    </row>
    <row r="153" ht="15.75" customHeight="1">
      <c r="A153" s="6">
        <v>31206.0</v>
      </c>
      <c r="B153" s="7" t="s">
        <v>17</v>
      </c>
      <c r="C153" s="7" t="s">
        <v>200</v>
      </c>
      <c r="D153" s="7" t="s">
        <v>206</v>
      </c>
      <c r="E153" s="8">
        <f t="shared" si="2"/>
        <v>14.52784504</v>
      </c>
      <c r="F153" s="9">
        <v>12.0</v>
      </c>
      <c r="G153" s="10">
        <v>826.0</v>
      </c>
      <c r="H153" s="11"/>
    </row>
    <row r="154" ht="15.75" customHeight="1">
      <c r="A154" s="6">
        <v>31301.0</v>
      </c>
      <c r="B154" s="7" t="s">
        <v>17</v>
      </c>
      <c r="C154" s="7" t="s">
        <v>207</v>
      </c>
      <c r="D154" s="7" t="s">
        <v>207</v>
      </c>
      <c r="E154" s="8">
        <f t="shared" si="2"/>
        <v>16.563147</v>
      </c>
      <c r="F154" s="9">
        <v>8.0</v>
      </c>
      <c r="G154" s="10">
        <v>483.0</v>
      </c>
      <c r="H154" s="11"/>
    </row>
    <row r="155" ht="15.75" customHeight="1">
      <c r="A155" s="6">
        <v>31302.0</v>
      </c>
      <c r="B155" s="7" t="s">
        <v>17</v>
      </c>
      <c r="C155" s="7" t="s">
        <v>207</v>
      </c>
      <c r="D155" s="7" t="s">
        <v>208</v>
      </c>
      <c r="E155" s="8">
        <f t="shared" si="2"/>
        <v>18.51851852</v>
      </c>
      <c r="F155" s="9">
        <v>2.0</v>
      </c>
      <c r="G155" s="10">
        <v>108.0</v>
      </c>
      <c r="H155" s="11"/>
    </row>
    <row r="156" ht="15.75" customHeight="1">
      <c r="A156" s="6">
        <v>31303.0</v>
      </c>
      <c r="B156" s="7" t="s">
        <v>17</v>
      </c>
      <c r="C156" s="7" t="s">
        <v>207</v>
      </c>
      <c r="D156" s="7" t="s">
        <v>209</v>
      </c>
      <c r="E156" s="8">
        <f t="shared" si="2"/>
        <v>12.19512195</v>
      </c>
      <c r="F156" s="9">
        <v>1.0</v>
      </c>
      <c r="G156" s="10">
        <v>82.0</v>
      </c>
      <c r="H156" s="11"/>
    </row>
    <row r="157" ht="15.75" customHeight="1">
      <c r="A157" s="25">
        <v>31304.0</v>
      </c>
      <c r="B157" s="7" t="s">
        <v>17</v>
      </c>
      <c r="C157" s="7" t="s">
        <v>207</v>
      </c>
      <c r="D157" s="7" t="s">
        <v>210</v>
      </c>
      <c r="E157" s="8">
        <f t="shared" si="2"/>
        <v>19.13875598</v>
      </c>
      <c r="F157" s="9">
        <v>4.0</v>
      </c>
      <c r="G157" s="10">
        <v>209.0</v>
      </c>
      <c r="H157" s="11"/>
    </row>
    <row r="158" ht="15.75" customHeight="1">
      <c r="A158" s="6">
        <v>31401.0</v>
      </c>
      <c r="B158" s="7" t="s">
        <v>17</v>
      </c>
      <c r="C158" s="7" t="s">
        <v>211</v>
      </c>
      <c r="D158" s="7" t="s">
        <v>211</v>
      </c>
      <c r="E158" s="8">
        <f t="shared" si="2"/>
        <v>13.05970149</v>
      </c>
      <c r="F158" s="9">
        <v>7.0</v>
      </c>
      <c r="G158" s="10">
        <v>536.0</v>
      </c>
      <c r="H158" s="11"/>
    </row>
    <row r="159" ht="15.75" customHeight="1">
      <c r="A159" s="6">
        <v>31402.0</v>
      </c>
      <c r="B159" s="7" t="s">
        <v>17</v>
      </c>
      <c r="C159" s="7" t="s">
        <v>211</v>
      </c>
      <c r="D159" s="7" t="s">
        <v>212</v>
      </c>
      <c r="E159" s="8">
        <f t="shared" si="2"/>
        <v>0</v>
      </c>
      <c r="F159" s="9">
        <v>0.0</v>
      </c>
      <c r="G159" s="10">
        <v>174.0</v>
      </c>
      <c r="H159" s="11"/>
    </row>
    <row r="160" ht="15.75" customHeight="1">
      <c r="A160" s="6">
        <v>31403.0</v>
      </c>
      <c r="B160" s="7" t="s">
        <v>17</v>
      </c>
      <c r="C160" s="7" t="s">
        <v>211</v>
      </c>
      <c r="D160" s="7" t="s">
        <v>213</v>
      </c>
      <c r="E160" s="8">
        <f t="shared" si="2"/>
        <v>27.64976959</v>
      </c>
      <c r="F160" s="9">
        <v>6.0</v>
      </c>
      <c r="G160" s="10">
        <v>217.0</v>
      </c>
      <c r="H160" s="11"/>
    </row>
    <row r="161" ht="15.75" customHeight="1">
      <c r="A161" s="6">
        <v>31404.0</v>
      </c>
      <c r="B161" s="7" t="s">
        <v>17</v>
      </c>
      <c r="C161" s="7" t="s">
        <v>211</v>
      </c>
      <c r="D161" s="7" t="s">
        <v>214</v>
      </c>
      <c r="E161" s="8">
        <f t="shared" si="2"/>
        <v>43.47826087</v>
      </c>
      <c r="F161" s="9">
        <v>1.0</v>
      </c>
      <c r="G161" s="10">
        <v>23.0</v>
      </c>
      <c r="H161" s="11"/>
    </row>
    <row r="162" ht="15.75" customHeight="1">
      <c r="A162" s="6">
        <v>31405.0</v>
      </c>
      <c r="B162" s="7" t="s">
        <v>17</v>
      </c>
      <c r="C162" s="7" t="s">
        <v>211</v>
      </c>
      <c r="D162" s="7" t="s">
        <v>215</v>
      </c>
      <c r="E162" s="8">
        <f t="shared" si="2"/>
        <v>0</v>
      </c>
      <c r="F162" s="9">
        <v>0.0</v>
      </c>
      <c r="G162" s="10">
        <v>49.0</v>
      </c>
      <c r="H162" s="11"/>
    </row>
    <row r="163" ht="15.75" customHeight="1">
      <c r="A163" s="6">
        <v>31501.0</v>
      </c>
      <c r="B163" s="7" t="s">
        <v>17</v>
      </c>
      <c r="C163" s="7" t="s">
        <v>216</v>
      </c>
      <c r="D163" s="7" t="s">
        <v>216</v>
      </c>
      <c r="E163" s="8">
        <f t="shared" si="2"/>
        <v>59.25925926</v>
      </c>
      <c r="F163" s="9">
        <v>8.0</v>
      </c>
      <c r="G163" s="10">
        <v>135.0</v>
      </c>
      <c r="H163" s="11"/>
    </row>
    <row r="164" ht="15.75" customHeight="1">
      <c r="A164" s="6">
        <v>31601.0</v>
      </c>
      <c r="B164" s="7" t="s">
        <v>17</v>
      </c>
      <c r="C164" s="7" t="s">
        <v>217</v>
      </c>
      <c r="D164" s="7" t="s">
        <v>217</v>
      </c>
      <c r="E164" s="8">
        <f t="shared" si="2"/>
        <v>29.85074627</v>
      </c>
      <c r="F164" s="9">
        <v>14.0</v>
      </c>
      <c r="G164" s="10">
        <v>469.0</v>
      </c>
      <c r="H164" s="11"/>
    </row>
    <row r="165" ht="15.75" customHeight="1">
      <c r="A165" s="6">
        <v>31602.0</v>
      </c>
      <c r="B165" s="7" t="s">
        <v>17</v>
      </c>
      <c r="C165" s="7" t="s">
        <v>217</v>
      </c>
      <c r="D165" s="7" t="s">
        <v>218</v>
      </c>
      <c r="E165" s="8">
        <f t="shared" si="2"/>
        <v>8.928571429</v>
      </c>
      <c r="F165" s="9">
        <v>5.0</v>
      </c>
      <c r="G165" s="10">
        <v>560.0</v>
      </c>
      <c r="H165" s="11"/>
    </row>
    <row r="166" ht="15.75" customHeight="1">
      <c r="A166" s="6">
        <v>40101.0</v>
      </c>
      <c r="B166" s="7" t="s">
        <v>20</v>
      </c>
      <c r="C166" s="7" t="s">
        <v>165</v>
      </c>
      <c r="D166" s="7" t="s">
        <v>20</v>
      </c>
      <c r="E166" s="8">
        <f t="shared" si="2"/>
        <v>5.129112133</v>
      </c>
      <c r="F166" s="9">
        <v>29.0</v>
      </c>
      <c r="G166" s="10">
        <v>5654.0</v>
      </c>
      <c r="H166" s="11"/>
    </row>
    <row r="167" ht="15.75" customHeight="1">
      <c r="A167" s="6">
        <v>40102.0</v>
      </c>
      <c r="B167" s="7" t="s">
        <v>20</v>
      </c>
      <c r="C167" s="7" t="s">
        <v>165</v>
      </c>
      <c r="D167" s="7" t="s">
        <v>219</v>
      </c>
      <c r="E167" s="8">
        <f t="shared" si="2"/>
        <v>54.58515284</v>
      </c>
      <c r="F167" s="9">
        <v>25.0</v>
      </c>
      <c r="G167" s="10">
        <v>458.0</v>
      </c>
      <c r="H167" s="11"/>
    </row>
    <row r="168" ht="15.75" customHeight="1">
      <c r="A168" s="6">
        <v>40103.0</v>
      </c>
      <c r="B168" s="7" t="s">
        <v>20</v>
      </c>
      <c r="C168" s="7" t="s">
        <v>165</v>
      </c>
      <c r="D168" s="7" t="s">
        <v>220</v>
      </c>
      <c r="E168" s="8">
        <f t="shared" si="2"/>
        <v>27.21088435</v>
      </c>
      <c r="F168" s="9">
        <v>4.0</v>
      </c>
      <c r="G168" s="10">
        <v>147.0</v>
      </c>
      <c r="H168" s="11"/>
    </row>
    <row r="169" ht="15.75" customHeight="1">
      <c r="A169" s="6">
        <v>40104.0</v>
      </c>
      <c r="B169" s="7" t="s">
        <v>20</v>
      </c>
      <c r="C169" s="7" t="s">
        <v>165</v>
      </c>
      <c r="D169" s="7" t="s">
        <v>221</v>
      </c>
      <c r="E169" s="8">
        <f t="shared" si="2"/>
        <v>60.37735849</v>
      </c>
      <c r="F169" s="9">
        <v>16.0</v>
      </c>
      <c r="G169" s="10">
        <v>265.0</v>
      </c>
      <c r="H169" s="11"/>
    </row>
    <row r="170" ht="15.75" customHeight="1">
      <c r="A170" s="6">
        <v>40201.0</v>
      </c>
      <c r="B170" s="7" t="s">
        <v>20</v>
      </c>
      <c r="C170" s="7" t="s">
        <v>222</v>
      </c>
      <c r="D170" s="7" t="s">
        <v>223</v>
      </c>
      <c r="E170" s="8">
        <f t="shared" si="2"/>
        <v>62.86549708</v>
      </c>
      <c r="F170" s="9">
        <v>43.0</v>
      </c>
      <c r="G170" s="10">
        <v>684.0</v>
      </c>
      <c r="H170" s="11"/>
    </row>
    <row r="171" ht="15.75" customHeight="1">
      <c r="A171" s="6">
        <v>40202.0</v>
      </c>
      <c r="B171" s="7" t="s">
        <v>20</v>
      </c>
      <c r="C171" s="7" t="s">
        <v>222</v>
      </c>
      <c r="D171" s="7" t="s">
        <v>224</v>
      </c>
      <c r="E171" s="8">
        <f t="shared" si="2"/>
        <v>61.72839506</v>
      </c>
      <c r="F171" s="9">
        <v>5.0</v>
      </c>
      <c r="G171" s="10">
        <v>81.0</v>
      </c>
      <c r="H171" s="11"/>
    </row>
    <row r="172" ht="15.75" customHeight="1">
      <c r="A172" s="6">
        <v>40301.0</v>
      </c>
      <c r="B172" s="7" t="s">
        <v>20</v>
      </c>
      <c r="C172" s="7" t="s">
        <v>225</v>
      </c>
      <c r="D172" s="7" t="s">
        <v>226</v>
      </c>
      <c r="E172" s="8">
        <f t="shared" si="2"/>
        <v>12.26993865</v>
      </c>
      <c r="F172" s="9">
        <v>2.0</v>
      </c>
      <c r="G172" s="10">
        <v>163.0</v>
      </c>
      <c r="H172" s="11"/>
    </row>
    <row r="173" ht="15.75" customHeight="1">
      <c r="A173" s="6">
        <v>40302.0</v>
      </c>
      <c r="B173" s="7" t="s">
        <v>20</v>
      </c>
      <c r="C173" s="7" t="s">
        <v>225</v>
      </c>
      <c r="D173" s="7" t="s">
        <v>227</v>
      </c>
      <c r="E173" s="8">
        <f t="shared" si="2"/>
        <v>33.33333333</v>
      </c>
      <c r="F173" s="9">
        <v>1.0</v>
      </c>
      <c r="G173" s="10">
        <v>30.0</v>
      </c>
      <c r="H173" s="11"/>
    </row>
    <row r="174" ht="15.75" customHeight="1">
      <c r="A174" s="6">
        <v>40401.0</v>
      </c>
      <c r="B174" s="7" t="s">
        <v>20</v>
      </c>
      <c r="C174" s="7" t="s">
        <v>228</v>
      </c>
      <c r="D174" s="7" t="s">
        <v>229</v>
      </c>
      <c r="E174" s="8">
        <f t="shared" si="2"/>
        <v>64.1025641</v>
      </c>
      <c r="F174" s="9">
        <v>5.0</v>
      </c>
      <c r="G174" s="10">
        <v>78.0</v>
      </c>
      <c r="H174" s="11"/>
    </row>
    <row r="175" ht="15.75" customHeight="1">
      <c r="A175" s="6">
        <v>40402.0</v>
      </c>
      <c r="B175" s="7" t="s">
        <v>20</v>
      </c>
      <c r="C175" s="7" t="s">
        <v>228</v>
      </c>
      <c r="D175" s="7" t="s">
        <v>230</v>
      </c>
      <c r="E175" s="8">
        <f t="shared" si="2"/>
        <v>72.91666667</v>
      </c>
      <c r="F175" s="9">
        <v>7.0</v>
      </c>
      <c r="G175" s="10">
        <v>96.0</v>
      </c>
      <c r="H175" s="11"/>
    </row>
    <row r="176" ht="15.75" customHeight="1">
      <c r="A176" s="6">
        <v>40501.0</v>
      </c>
      <c r="B176" s="7" t="s">
        <v>20</v>
      </c>
      <c r="C176" s="7" t="s">
        <v>231</v>
      </c>
      <c r="D176" s="7" t="s">
        <v>232</v>
      </c>
      <c r="E176" s="8">
        <f t="shared" si="2"/>
        <v>0</v>
      </c>
      <c r="F176" s="9">
        <v>0.0</v>
      </c>
      <c r="G176" s="10">
        <v>11.0</v>
      </c>
      <c r="H176" s="11"/>
    </row>
    <row r="177" ht="15.75" customHeight="1">
      <c r="A177" s="6">
        <v>40502.0</v>
      </c>
      <c r="B177" s="7" t="s">
        <v>20</v>
      </c>
      <c r="C177" s="7" t="s">
        <v>231</v>
      </c>
      <c r="D177" s="7" t="s">
        <v>233</v>
      </c>
      <c r="E177" s="8">
        <f t="shared" si="2"/>
        <v>25.64102564</v>
      </c>
      <c r="F177" s="9">
        <v>2.0</v>
      </c>
      <c r="G177" s="10">
        <v>78.0</v>
      </c>
      <c r="H177" s="11"/>
    </row>
    <row r="178" ht="15.75" customHeight="1">
      <c r="A178" s="6">
        <v>40503.0</v>
      </c>
      <c r="B178" s="7" t="s">
        <v>20</v>
      </c>
      <c r="C178" s="7" t="s">
        <v>231</v>
      </c>
      <c r="D178" s="7" t="s">
        <v>234</v>
      </c>
      <c r="E178" s="8">
        <f t="shared" si="2"/>
        <v>58.82352941</v>
      </c>
      <c r="F178" s="9">
        <v>2.0</v>
      </c>
      <c r="G178" s="10">
        <v>34.0</v>
      </c>
      <c r="H178" s="11"/>
    </row>
    <row r="179" ht="15.75" customHeight="1">
      <c r="A179" s="6">
        <v>40504.0</v>
      </c>
      <c r="B179" s="7" t="s">
        <v>20</v>
      </c>
      <c r="C179" s="7" t="s">
        <v>231</v>
      </c>
      <c r="D179" s="7" t="s">
        <v>235</v>
      </c>
      <c r="E179" s="8">
        <f t="shared" si="2"/>
        <v>0</v>
      </c>
      <c r="F179" s="9"/>
      <c r="G179" s="10">
        <v>8.0</v>
      </c>
      <c r="H179" s="11"/>
    </row>
    <row r="180" ht="15.75" customHeight="1">
      <c r="A180" s="6">
        <v>40505.0</v>
      </c>
      <c r="B180" s="7" t="s">
        <v>20</v>
      </c>
      <c r="C180" s="7" t="s">
        <v>231</v>
      </c>
      <c r="D180" s="7" t="s">
        <v>236</v>
      </c>
      <c r="E180" s="8">
        <f t="shared" si="2"/>
        <v>0</v>
      </c>
      <c r="F180" s="9">
        <v>0.0</v>
      </c>
      <c r="G180" s="10">
        <v>60.0</v>
      </c>
      <c r="H180" s="11"/>
    </row>
    <row r="181" ht="15.75" customHeight="1">
      <c r="A181" s="6">
        <v>40601.0</v>
      </c>
      <c r="B181" s="7" t="s">
        <v>20</v>
      </c>
      <c r="C181" s="7" t="s">
        <v>237</v>
      </c>
      <c r="D181" s="7" t="s">
        <v>237</v>
      </c>
      <c r="E181" s="8">
        <f t="shared" si="2"/>
        <v>84.03361345</v>
      </c>
      <c r="F181" s="9">
        <v>10.0</v>
      </c>
      <c r="G181" s="10">
        <v>119.0</v>
      </c>
      <c r="H181" s="11"/>
    </row>
    <row r="182" ht="15.75" customHeight="1">
      <c r="A182" s="6">
        <v>40602.0</v>
      </c>
      <c r="B182" s="7" t="s">
        <v>20</v>
      </c>
      <c r="C182" s="7" t="s">
        <v>237</v>
      </c>
      <c r="D182" s="7" t="s">
        <v>238</v>
      </c>
      <c r="E182" s="8">
        <f t="shared" si="2"/>
        <v>26.78571429</v>
      </c>
      <c r="F182" s="9">
        <v>3.0</v>
      </c>
      <c r="G182" s="10">
        <v>112.0</v>
      </c>
      <c r="H182" s="11"/>
    </row>
    <row r="183" ht="15.75" customHeight="1">
      <c r="A183" s="6">
        <v>40603.0</v>
      </c>
      <c r="B183" s="7" t="s">
        <v>20</v>
      </c>
      <c r="C183" s="7" t="s">
        <v>237</v>
      </c>
      <c r="D183" s="7" t="s">
        <v>239</v>
      </c>
      <c r="E183" s="8">
        <f t="shared" si="2"/>
        <v>16.39344262</v>
      </c>
      <c r="F183" s="9">
        <v>1.0</v>
      </c>
      <c r="G183" s="10">
        <v>61.0</v>
      </c>
      <c r="H183" s="11"/>
    </row>
    <row r="184" ht="15.75" customHeight="1">
      <c r="A184" s="6">
        <v>40701.0</v>
      </c>
      <c r="B184" s="7" t="s">
        <v>20</v>
      </c>
      <c r="C184" s="7" t="s">
        <v>240</v>
      </c>
      <c r="D184" s="7" t="s">
        <v>241</v>
      </c>
      <c r="E184" s="8">
        <f t="shared" si="2"/>
        <v>18.97533207</v>
      </c>
      <c r="F184" s="9">
        <v>10.0</v>
      </c>
      <c r="G184" s="10">
        <v>527.0</v>
      </c>
      <c r="H184" s="11"/>
    </row>
    <row r="185" ht="15.75" customHeight="1">
      <c r="A185" s="6">
        <v>40702.0</v>
      </c>
      <c r="B185" s="7" t="s">
        <v>20</v>
      </c>
      <c r="C185" s="7" t="s">
        <v>240</v>
      </c>
      <c r="D185" s="7" t="s">
        <v>242</v>
      </c>
      <c r="E185" s="8">
        <f t="shared" si="2"/>
        <v>22.72727273</v>
      </c>
      <c r="F185" s="9">
        <v>2.0</v>
      </c>
      <c r="G185" s="10">
        <v>88.0</v>
      </c>
      <c r="H185" s="11"/>
    </row>
    <row r="186" ht="15.75" customHeight="1">
      <c r="A186" s="6">
        <v>40801.0</v>
      </c>
      <c r="B186" s="7" t="s">
        <v>20</v>
      </c>
      <c r="C186" s="7" t="s">
        <v>243</v>
      </c>
      <c r="D186" s="7" t="s">
        <v>244</v>
      </c>
      <c r="E186" s="8">
        <f t="shared" si="2"/>
        <v>35.71428571</v>
      </c>
      <c r="F186" s="9">
        <v>7.0</v>
      </c>
      <c r="G186" s="10">
        <v>196.0</v>
      </c>
      <c r="H186" s="11"/>
    </row>
    <row r="187" ht="15.75" customHeight="1">
      <c r="A187" s="6">
        <v>40802.0</v>
      </c>
      <c r="B187" s="7" t="s">
        <v>20</v>
      </c>
      <c r="C187" s="7" t="s">
        <v>243</v>
      </c>
      <c r="D187" s="7" t="s">
        <v>245</v>
      </c>
      <c r="E187" s="8">
        <f t="shared" si="2"/>
        <v>0</v>
      </c>
      <c r="F187" s="9">
        <v>0.0</v>
      </c>
      <c r="G187" s="10">
        <v>64.0</v>
      </c>
      <c r="H187" s="11"/>
    </row>
    <row r="188" ht="15.75" customHeight="1">
      <c r="A188" s="6">
        <v>40901.0</v>
      </c>
      <c r="B188" s="7" t="s">
        <v>20</v>
      </c>
      <c r="C188" s="7" t="s">
        <v>246</v>
      </c>
      <c r="D188" s="7" t="s">
        <v>246</v>
      </c>
      <c r="E188" s="8">
        <f t="shared" si="2"/>
        <v>22.59887006</v>
      </c>
      <c r="F188" s="9">
        <v>4.0</v>
      </c>
      <c r="G188" s="10">
        <v>177.0</v>
      </c>
      <c r="H188" s="11"/>
    </row>
    <row r="189" ht="15.75" customHeight="1">
      <c r="A189" s="6">
        <v>40902.0</v>
      </c>
      <c r="B189" s="7" t="s">
        <v>20</v>
      </c>
      <c r="C189" s="7" t="s">
        <v>246</v>
      </c>
      <c r="D189" s="7" t="s">
        <v>247</v>
      </c>
      <c r="E189" s="8">
        <f t="shared" si="2"/>
        <v>0</v>
      </c>
      <c r="F189" s="9">
        <v>0.0</v>
      </c>
      <c r="G189" s="10">
        <v>18.0</v>
      </c>
      <c r="H189" s="11"/>
    </row>
    <row r="190" ht="15.75" customHeight="1">
      <c r="A190" s="6">
        <v>40903.0</v>
      </c>
      <c r="B190" s="7" t="s">
        <v>20</v>
      </c>
      <c r="C190" s="7" t="s">
        <v>246</v>
      </c>
      <c r="D190" s="7" t="s">
        <v>248</v>
      </c>
      <c r="E190" s="8">
        <f t="shared" si="2"/>
        <v>58.82352941</v>
      </c>
      <c r="F190" s="9">
        <v>3.0</v>
      </c>
      <c r="G190" s="10">
        <v>51.0</v>
      </c>
      <c r="H190" s="11"/>
    </row>
    <row r="191" ht="15.75" customHeight="1">
      <c r="A191" s="6">
        <v>41001.0</v>
      </c>
      <c r="B191" s="7" t="s">
        <v>20</v>
      </c>
      <c r="C191" s="7" t="s">
        <v>249</v>
      </c>
      <c r="D191" s="7" t="s">
        <v>250</v>
      </c>
      <c r="E191" s="8">
        <f t="shared" si="2"/>
        <v>27.5862069</v>
      </c>
      <c r="F191" s="9">
        <v>4.0</v>
      </c>
      <c r="G191" s="10">
        <v>145.0</v>
      </c>
      <c r="H191" s="11"/>
    </row>
    <row r="192" ht="15.75" customHeight="1">
      <c r="A192" s="6">
        <v>41101.0</v>
      </c>
      <c r="B192" s="7" t="s">
        <v>20</v>
      </c>
      <c r="C192" s="7" t="s">
        <v>251</v>
      </c>
      <c r="D192" s="7" t="s">
        <v>252</v>
      </c>
      <c r="E192" s="8">
        <f t="shared" si="2"/>
        <v>60.60606061</v>
      </c>
      <c r="F192" s="9">
        <v>6.0</v>
      </c>
      <c r="G192" s="10">
        <v>99.0</v>
      </c>
      <c r="H192" s="11"/>
    </row>
    <row r="193" ht="15.75" customHeight="1">
      <c r="A193" s="6">
        <v>41201.0</v>
      </c>
      <c r="B193" s="7" t="s">
        <v>20</v>
      </c>
      <c r="C193" s="7" t="s">
        <v>253</v>
      </c>
      <c r="D193" s="7" t="s">
        <v>254</v>
      </c>
      <c r="E193" s="8">
        <f t="shared" si="2"/>
        <v>50.63291139</v>
      </c>
      <c r="F193" s="9">
        <v>4.0</v>
      </c>
      <c r="G193" s="10">
        <v>79.0</v>
      </c>
      <c r="H193" s="11"/>
    </row>
    <row r="194" ht="15.75" customHeight="1">
      <c r="A194" s="6">
        <v>41202.0</v>
      </c>
      <c r="B194" s="7" t="s">
        <v>20</v>
      </c>
      <c r="C194" s="7" t="s">
        <v>253</v>
      </c>
      <c r="D194" s="7" t="s">
        <v>255</v>
      </c>
      <c r="E194" s="8">
        <f t="shared" si="2"/>
        <v>0</v>
      </c>
      <c r="F194" s="9">
        <v>0.0</v>
      </c>
      <c r="G194" s="10">
        <v>35.0</v>
      </c>
      <c r="H194" s="11"/>
    </row>
    <row r="195" ht="15.75" customHeight="1">
      <c r="A195" s="6">
        <v>41301.0</v>
      </c>
      <c r="B195" s="7" t="s">
        <v>20</v>
      </c>
      <c r="C195" s="7" t="s">
        <v>256</v>
      </c>
      <c r="D195" s="7" t="s">
        <v>256</v>
      </c>
      <c r="E195" s="8">
        <f t="shared" si="2"/>
        <v>0</v>
      </c>
      <c r="F195" s="9">
        <v>0.0</v>
      </c>
      <c r="G195" s="10">
        <v>108.0</v>
      </c>
      <c r="H195" s="11"/>
    </row>
    <row r="196" ht="15.75" customHeight="1">
      <c r="A196" s="6">
        <v>41401.0</v>
      </c>
      <c r="B196" s="7" t="s">
        <v>20</v>
      </c>
      <c r="C196" s="7" t="s">
        <v>257</v>
      </c>
      <c r="D196" s="7" t="s">
        <v>258</v>
      </c>
      <c r="E196" s="8">
        <f t="shared" si="2"/>
        <v>39.82300885</v>
      </c>
      <c r="F196" s="9">
        <v>9.0</v>
      </c>
      <c r="G196" s="10">
        <v>226.0</v>
      </c>
      <c r="H196" s="11"/>
    </row>
    <row r="197" ht="15.75" customHeight="1">
      <c r="A197" s="6">
        <v>41501.0</v>
      </c>
      <c r="B197" s="7" t="s">
        <v>20</v>
      </c>
      <c r="C197" s="7" t="s">
        <v>259</v>
      </c>
      <c r="D197" s="7" t="s">
        <v>260</v>
      </c>
      <c r="E197" s="8">
        <f t="shared" si="2"/>
        <v>0</v>
      </c>
      <c r="F197" s="9">
        <v>0.0</v>
      </c>
      <c r="G197" s="10">
        <v>10.0</v>
      </c>
      <c r="H197" s="11"/>
    </row>
    <row r="198" ht="15.75" customHeight="1">
      <c r="A198" s="6">
        <v>41502.0</v>
      </c>
      <c r="B198" s="7" t="s">
        <v>20</v>
      </c>
      <c r="C198" s="7" t="s">
        <v>259</v>
      </c>
      <c r="D198" s="7" t="s">
        <v>261</v>
      </c>
      <c r="E198" s="8">
        <f t="shared" si="2"/>
        <v>0</v>
      </c>
      <c r="F198" s="9">
        <v>0.0</v>
      </c>
      <c r="G198" s="10">
        <v>20.0</v>
      </c>
      <c r="H198" s="11"/>
    </row>
    <row r="199" ht="15.75" customHeight="1">
      <c r="A199" s="6">
        <v>41503.0</v>
      </c>
      <c r="B199" s="7" t="s">
        <v>20</v>
      </c>
      <c r="C199" s="7" t="s">
        <v>259</v>
      </c>
      <c r="D199" s="7" t="s">
        <v>225</v>
      </c>
      <c r="E199" s="8">
        <f t="shared" si="2"/>
        <v>0</v>
      </c>
      <c r="F199" s="9"/>
      <c r="G199" s="10">
        <v>15.0</v>
      </c>
      <c r="H199" s="11"/>
    </row>
    <row r="200" ht="15.75" customHeight="1">
      <c r="A200" s="6">
        <v>41601.0</v>
      </c>
      <c r="B200" s="7" t="s">
        <v>20</v>
      </c>
      <c r="C200" s="7" t="s">
        <v>262</v>
      </c>
      <c r="D200" s="7" t="s">
        <v>263</v>
      </c>
      <c r="E200" s="8">
        <f t="shared" si="2"/>
        <v>66.66666667</v>
      </c>
      <c r="F200" s="9">
        <v>5.0</v>
      </c>
      <c r="G200" s="10">
        <v>75.0</v>
      </c>
      <c r="H200" s="11"/>
    </row>
    <row r="201" ht="15.75" customHeight="1">
      <c r="A201" s="6">
        <v>50101.0</v>
      </c>
      <c r="B201" s="7" t="s">
        <v>264</v>
      </c>
      <c r="C201" s="7" t="s">
        <v>265</v>
      </c>
      <c r="D201" s="7" t="s">
        <v>264</v>
      </c>
      <c r="E201" s="8">
        <f t="shared" si="2"/>
        <v>35.0798291</v>
      </c>
      <c r="F201" s="9">
        <v>156.0</v>
      </c>
      <c r="G201" s="10">
        <v>4447.0</v>
      </c>
      <c r="H201" s="11"/>
    </row>
    <row r="202" ht="15.75" customHeight="1">
      <c r="A202" s="6">
        <v>50102.0</v>
      </c>
      <c r="B202" s="7" t="s">
        <v>264</v>
      </c>
      <c r="C202" s="7" t="s">
        <v>265</v>
      </c>
      <c r="D202" s="7" t="s">
        <v>266</v>
      </c>
      <c r="E202" s="8">
        <f t="shared" si="2"/>
        <v>99.68847352</v>
      </c>
      <c r="F202" s="9">
        <v>64.0</v>
      </c>
      <c r="G202" s="10">
        <v>642.0</v>
      </c>
      <c r="H202" s="11"/>
    </row>
    <row r="203" ht="15.75" customHeight="1">
      <c r="A203" s="6">
        <v>50103.0</v>
      </c>
      <c r="B203" s="7" t="s">
        <v>264</v>
      </c>
      <c r="C203" s="7" t="s">
        <v>265</v>
      </c>
      <c r="D203" s="7" t="s">
        <v>267</v>
      </c>
      <c r="E203" s="8">
        <f t="shared" si="2"/>
        <v>6.451612903</v>
      </c>
      <c r="F203" s="9">
        <v>1.0</v>
      </c>
      <c r="G203" s="10">
        <v>155.0</v>
      </c>
      <c r="H203" s="11"/>
    </row>
    <row r="204" ht="15.75" customHeight="1">
      <c r="A204" s="6">
        <v>50104.0</v>
      </c>
      <c r="B204" s="7" t="s">
        <v>264</v>
      </c>
      <c r="C204" s="7" t="s">
        <v>265</v>
      </c>
      <c r="D204" s="7" t="s">
        <v>268</v>
      </c>
      <c r="E204" s="8">
        <f t="shared" si="2"/>
        <v>16.66666667</v>
      </c>
      <c r="F204" s="9">
        <v>1.0</v>
      </c>
      <c r="G204" s="10">
        <v>60.0</v>
      </c>
      <c r="H204" s="11"/>
    </row>
    <row r="205" ht="15.75" customHeight="1">
      <c r="A205" s="6">
        <v>50201.0</v>
      </c>
      <c r="B205" s="7" t="s">
        <v>264</v>
      </c>
      <c r="C205" s="7" t="s">
        <v>269</v>
      </c>
      <c r="D205" s="7" t="s">
        <v>270</v>
      </c>
      <c r="E205" s="8">
        <f t="shared" si="2"/>
        <v>96.84684685</v>
      </c>
      <c r="F205" s="9">
        <v>43.0</v>
      </c>
      <c r="G205" s="10">
        <v>444.0</v>
      </c>
      <c r="H205" s="11"/>
    </row>
    <row r="206" ht="15.75" customHeight="1">
      <c r="A206" s="6">
        <v>50202.0</v>
      </c>
      <c r="B206" s="7" t="s">
        <v>264</v>
      </c>
      <c r="C206" s="7" t="s">
        <v>269</v>
      </c>
      <c r="D206" s="7" t="s">
        <v>271</v>
      </c>
      <c r="E206" s="8">
        <f t="shared" si="2"/>
        <v>71.79487179</v>
      </c>
      <c r="F206" s="9">
        <v>28.0</v>
      </c>
      <c r="G206" s="10">
        <v>390.0</v>
      </c>
      <c r="H206" s="11"/>
    </row>
    <row r="207" ht="15.75" customHeight="1">
      <c r="A207" s="6">
        <v>50203.0</v>
      </c>
      <c r="B207" s="7" t="s">
        <v>264</v>
      </c>
      <c r="C207" s="7" t="s">
        <v>269</v>
      </c>
      <c r="D207" s="7" t="s">
        <v>272</v>
      </c>
      <c r="E207" s="8">
        <f t="shared" si="2"/>
        <v>33.93213573</v>
      </c>
      <c r="F207" s="9">
        <v>34.0</v>
      </c>
      <c r="G207" s="10">
        <v>1002.0</v>
      </c>
      <c r="H207" s="11"/>
    </row>
    <row r="208" ht="15.75" customHeight="1">
      <c r="A208" s="6">
        <v>50204.0</v>
      </c>
      <c r="B208" s="7" t="s">
        <v>264</v>
      </c>
      <c r="C208" s="7" t="s">
        <v>269</v>
      </c>
      <c r="D208" s="7" t="s">
        <v>273</v>
      </c>
      <c r="E208" s="8">
        <f t="shared" si="2"/>
        <v>59.28853755</v>
      </c>
      <c r="F208" s="9">
        <v>15.0</v>
      </c>
      <c r="G208" s="10">
        <v>253.0</v>
      </c>
      <c r="H208" s="11"/>
    </row>
    <row r="209" ht="15.75" customHeight="1">
      <c r="A209" s="6">
        <v>50301.0</v>
      </c>
      <c r="B209" s="7" t="s">
        <v>264</v>
      </c>
      <c r="C209" s="7" t="s">
        <v>274</v>
      </c>
      <c r="D209" s="7" t="s">
        <v>275</v>
      </c>
      <c r="E209" s="8">
        <f t="shared" si="2"/>
        <v>56.16224649</v>
      </c>
      <c r="F209" s="9">
        <v>36.0</v>
      </c>
      <c r="G209" s="10">
        <v>641.0</v>
      </c>
      <c r="H209" s="11"/>
    </row>
    <row r="210" ht="15.75" customHeight="1">
      <c r="A210" s="6">
        <v>50302.0</v>
      </c>
      <c r="B210" s="7" t="s">
        <v>264</v>
      </c>
      <c r="C210" s="7" t="s">
        <v>274</v>
      </c>
      <c r="D210" s="7" t="s">
        <v>276</v>
      </c>
      <c r="E210" s="8">
        <f t="shared" si="2"/>
        <v>52.94117647</v>
      </c>
      <c r="F210" s="9">
        <v>9.0</v>
      </c>
      <c r="G210" s="10">
        <v>170.0</v>
      </c>
      <c r="H210" s="11"/>
    </row>
    <row r="211" ht="15.75" customHeight="1">
      <c r="A211" s="6">
        <v>50303.0</v>
      </c>
      <c r="B211" s="7" t="s">
        <v>264</v>
      </c>
      <c r="C211" s="7" t="s">
        <v>274</v>
      </c>
      <c r="D211" s="7" t="s">
        <v>277</v>
      </c>
      <c r="E211" s="8">
        <f t="shared" si="2"/>
        <v>51.58730159</v>
      </c>
      <c r="F211" s="9">
        <v>13.0</v>
      </c>
      <c r="G211" s="10">
        <v>252.0</v>
      </c>
      <c r="H211" s="11"/>
    </row>
    <row r="212" ht="15.75" customHeight="1">
      <c r="A212" s="6">
        <v>50401.0</v>
      </c>
      <c r="B212" s="7" t="s">
        <v>264</v>
      </c>
      <c r="C212" s="7" t="s">
        <v>271</v>
      </c>
      <c r="D212" s="7" t="s">
        <v>278</v>
      </c>
      <c r="E212" s="8">
        <f t="shared" si="2"/>
        <v>142.8571429</v>
      </c>
      <c r="F212" s="9">
        <v>54.0</v>
      </c>
      <c r="G212" s="10">
        <v>378.0</v>
      </c>
      <c r="H212" s="11"/>
    </row>
    <row r="213" ht="15.75" customHeight="1">
      <c r="A213" s="6">
        <v>50402.0</v>
      </c>
      <c r="B213" s="7" t="s">
        <v>264</v>
      </c>
      <c r="C213" s="7" t="s">
        <v>271</v>
      </c>
      <c r="D213" s="7" t="s">
        <v>279</v>
      </c>
      <c r="E213" s="8">
        <f t="shared" si="2"/>
        <v>33.93665158</v>
      </c>
      <c r="F213" s="9">
        <v>15.0</v>
      </c>
      <c r="G213" s="10">
        <v>442.0</v>
      </c>
      <c r="H213" s="11"/>
    </row>
    <row r="214" ht="15.75" customHeight="1">
      <c r="A214" s="6">
        <v>50403.0</v>
      </c>
      <c r="B214" s="7" t="s">
        <v>264</v>
      </c>
      <c r="C214" s="7" t="s">
        <v>271</v>
      </c>
      <c r="D214" s="7" t="s">
        <v>280</v>
      </c>
      <c r="E214" s="8">
        <f t="shared" si="2"/>
        <v>71.81328546</v>
      </c>
      <c r="F214" s="9">
        <v>40.0</v>
      </c>
      <c r="G214" s="10">
        <v>557.0</v>
      </c>
      <c r="H214" s="11"/>
    </row>
    <row r="215" ht="15.75" customHeight="1">
      <c r="A215" s="6">
        <v>50404.0</v>
      </c>
      <c r="B215" s="7" t="s">
        <v>264</v>
      </c>
      <c r="C215" s="7" t="s">
        <v>271</v>
      </c>
      <c r="D215" s="7" t="s">
        <v>281</v>
      </c>
      <c r="E215" s="8">
        <f t="shared" si="2"/>
        <v>111.6751269</v>
      </c>
      <c r="F215" s="9">
        <v>44.0</v>
      </c>
      <c r="G215" s="10">
        <v>394.0</v>
      </c>
      <c r="H215" s="11"/>
    </row>
    <row r="216" ht="15.75" customHeight="1">
      <c r="A216" s="25">
        <v>50405.0</v>
      </c>
      <c r="B216" s="7" t="s">
        <v>264</v>
      </c>
      <c r="C216" s="7" t="s">
        <v>271</v>
      </c>
      <c r="D216" s="7" t="s">
        <v>282</v>
      </c>
      <c r="E216" s="8">
        <f t="shared" si="2"/>
        <v>94.14225941</v>
      </c>
      <c r="F216" s="9">
        <v>45.0</v>
      </c>
      <c r="G216" s="10">
        <v>478.0</v>
      </c>
      <c r="H216" s="11"/>
    </row>
    <row r="217" ht="15.75" customHeight="1">
      <c r="A217" s="6">
        <v>50501.0</v>
      </c>
      <c r="B217" s="7" t="s">
        <v>264</v>
      </c>
      <c r="C217" s="7" t="s">
        <v>283</v>
      </c>
      <c r="D217" s="7" t="s">
        <v>284</v>
      </c>
      <c r="E217" s="8">
        <f t="shared" si="2"/>
        <v>87.91208791</v>
      </c>
      <c r="F217" s="9">
        <v>64.0</v>
      </c>
      <c r="G217" s="10">
        <v>728.0</v>
      </c>
      <c r="H217" s="11"/>
    </row>
    <row r="218" ht="15.75" customHeight="1">
      <c r="A218" s="6">
        <v>50502.0</v>
      </c>
      <c r="B218" s="7" t="s">
        <v>264</v>
      </c>
      <c r="C218" s="7" t="s">
        <v>283</v>
      </c>
      <c r="D218" s="7" t="s">
        <v>285</v>
      </c>
      <c r="E218" s="8">
        <f t="shared" si="2"/>
        <v>76.92307692</v>
      </c>
      <c r="F218" s="9">
        <v>20.0</v>
      </c>
      <c r="G218" s="10">
        <v>260.0</v>
      </c>
      <c r="H218" s="11"/>
    </row>
    <row r="219" ht="15.75" customHeight="1">
      <c r="A219" s="6">
        <v>50601.0</v>
      </c>
      <c r="B219" s="7" t="s">
        <v>264</v>
      </c>
      <c r="C219" s="7" t="s">
        <v>286</v>
      </c>
      <c r="D219" s="7" t="s">
        <v>287</v>
      </c>
      <c r="E219" s="8">
        <f t="shared" si="2"/>
        <v>9.933774834</v>
      </c>
      <c r="F219" s="9">
        <v>6.0</v>
      </c>
      <c r="G219" s="10">
        <v>604.0</v>
      </c>
      <c r="H219" s="11"/>
    </row>
    <row r="220" ht="15.75" customHeight="1">
      <c r="A220" s="6">
        <v>50602.0</v>
      </c>
      <c r="B220" s="7" t="s">
        <v>264</v>
      </c>
      <c r="C220" s="7" t="s">
        <v>286</v>
      </c>
      <c r="D220" s="7" t="s">
        <v>288</v>
      </c>
      <c r="E220" s="8">
        <f t="shared" si="2"/>
        <v>20.83333333</v>
      </c>
      <c r="F220" s="9">
        <v>4.0</v>
      </c>
      <c r="G220" s="10">
        <v>192.0</v>
      </c>
      <c r="H220" s="11"/>
    </row>
    <row r="221" ht="15.75" customHeight="1">
      <c r="A221" s="6">
        <v>50701.0</v>
      </c>
      <c r="B221" s="7" t="s">
        <v>264</v>
      </c>
      <c r="C221" s="7" t="s">
        <v>289</v>
      </c>
      <c r="D221" s="7" t="s">
        <v>290</v>
      </c>
      <c r="E221" s="8">
        <f t="shared" si="2"/>
        <v>30.23758099</v>
      </c>
      <c r="F221" s="9">
        <v>14.0</v>
      </c>
      <c r="G221" s="10">
        <v>463.0</v>
      </c>
      <c r="H221" s="11"/>
    </row>
    <row r="222" ht="15.75" customHeight="1">
      <c r="A222" s="6">
        <v>50702.0</v>
      </c>
      <c r="B222" s="7" t="s">
        <v>264</v>
      </c>
      <c r="C222" s="7" t="s">
        <v>289</v>
      </c>
      <c r="D222" s="7" t="s">
        <v>291</v>
      </c>
      <c r="E222" s="8">
        <f t="shared" si="2"/>
        <v>37.91469194</v>
      </c>
      <c r="F222" s="9">
        <v>8.0</v>
      </c>
      <c r="G222" s="10">
        <v>211.0</v>
      </c>
      <c r="H222" s="11"/>
    </row>
    <row r="223" ht="15.75" customHeight="1">
      <c r="A223" s="6">
        <v>50801.0</v>
      </c>
      <c r="B223" s="7" t="s">
        <v>264</v>
      </c>
      <c r="C223" s="7" t="s">
        <v>292</v>
      </c>
      <c r="D223" s="7" t="s">
        <v>293</v>
      </c>
      <c r="E223" s="8">
        <f t="shared" si="2"/>
        <v>10.83423619</v>
      </c>
      <c r="F223" s="9">
        <v>10.0</v>
      </c>
      <c r="G223" s="10">
        <v>923.0</v>
      </c>
      <c r="H223" s="11"/>
    </row>
    <row r="224" ht="15.75" customHeight="1">
      <c r="A224" s="6">
        <v>50802.0</v>
      </c>
      <c r="B224" s="7" t="s">
        <v>264</v>
      </c>
      <c r="C224" s="7" t="s">
        <v>292</v>
      </c>
      <c r="D224" s="7" t="s">
        <v>294</v>
      </c>
      <c r="E224" s="8">
        <f t="shared" si="2"/>
        <v>3.816793893</v>
      </c>
      <c r="F224" s="9">
        <v>1.0</v>
      </c>
      <c r="G224" s="10">
        <v>262.0</v>
      </c>
      <c r="H224" s="11"/>
    </row>
    <row r="225" ht="15.75" customHeight="1">
      <c r="A225" s="6">
        <v>50901.0</v>
      </c>
      <c r="B225" s="7" t="s">
        <v>264</v>
      </c>
      <c r="C225" s="7" t="s">
        <v>295</v>
      </c>
      <c r="D225" s="7" t="s">
        <v>296</v>
      </c>
      <c r="E225" s="8">
        <f t="shared" si="2"/>
        <v>3.472222222</v>
      </c>
      <c r="F225" s="9">
        <v>1.0</v>
      </c>
      <c r="G225" s="10">
        <v>288.0</v>
      </c>
      <c r="H225" s="11"/>
    </row>
    <row r="226" ht="15.75" customHeight="1">
      <c r="A226" s="6">
        <v>50902.0</v>
      </c>
      <c r="B226" s="7" t="s">
        <v>264</v>
      </c>
      <c r="C226" s="7" t="s">
        <v>295</v>
      </c>
      <c r="D226" s="7" t="s">
        <v>297</v>
      </c>
      <c r="E226" s="8">
        <f t="shared" si="2"/>
        <v>0</v>
      </c>
      <c r="F226" s="9">
        <v>0.0</v>
      </c>
      <c r="G226" s="10">
        <v>16.0</v>
      </c>
      <c r="H226" s="11"/>
    </row>
    <row r="227" ht="15.75" customHeight="1">
      <c r="A227" s="6">
        <v>51001.0</v>
      </c>
      <c r="B227" s="7" t="s">
        <v>264</v>
      </c>
      <c r="C227" s="7" t="s">
        <v>298</v>
      </c>
      <c r="D227" s="7" t="s">
        <v>299</v>
      </c>
      <c r="E227" s="8">
        <f t="shared" si="2"/>
        <v>10.63829787</v>
      </c>
      <c r="F227" s="9">
        <v>1.0</v>
      </c>
      <c r="G227" s="10">
        <v>94.0</v>
      </c>
      <c r="H227" s="11"/>
    </row>
    <row r="228" ht="15.75" customHeight="1">
      <c r="A228" s="6">
        <v>51002.0</v>
      </c>
      <c r="B228" s="7" t="s">
        <v>264</v>
      </c>
      <c r="C228" s="7" t="s">
        <v>298</v>
      </c>
      <c r="D228" s="7" t="s">
        <v>300</v>
      </c>
      <c r="E228" s="8">
        <f t="shared" si="2"/>
        <v>0</v>
      </c>
      <c r="F228" s="9">
        <v>0.0</v>
      </c>
      <c r="G228" s="10">
        <v>31.0</v>
      </c>
      <c r="H228" s="11"/>
    </row>
    <row r="229" ht="15.75" customHeight="1">
      <c r="A229" s="6">
        <v>51003.0</v>
      </c>
      <c r="B229" s="7" t="s">
        <v>264</v>
      </c>
      <c r="C229" s="7" t="s">
        <v>298</v>
      </c>
      <c r="D229" s="7" t="s">
        <v>301</v>
      </c>
      <c r="E229" s="8">
        <f t="shared" si="2"/>
        <v>0</v>
      </c>
      <c r="F229" s="9">
        <v>0.0</v>
      </c>
      <c r="G229" s="10">
        <v>56.0</v>
      </c>
      <c r="H229" s="11"/>
    </row>
    <row r="230" ht="15.75" customHeight="1">
      <c r="A230" s="6">
        <v>51101.0</v>
      </c>
      <c r="B230" s="7" t="s">
        <v>264</v>
      </c>
      <c r="C230" s="7" t="s">
        <v>302</v>
      </c>
      <c r="D230" s="7" t="s">
        <v>303</v>
      </c>
      <c r="E230" s="8">
        <f t="shared" si="2"/>
        <v>11.21076233</v>
      </c>
      <c r="F230" s="9">
        <v>5.0</v>
      </c>
      <c r="G230" s="10">
        <v>446.0</v>
      </c>
      <c r="H230" s="11"/>
    </row>
    <row r="231" ht="15.75" customHeight="1">
      <c r="A231" s="6">
        <v>51102.0</v>
      </c>
      <c r="B231" s="7" t="s">
        <v>264</v>
      </c>
      <c r="C231" s="7" t="s">
        <v>302</v>
      </c>
      <c r="D231" s="7" t="s">
        <v>304</v>
      </c>
      <c r="E231" s="8">
        <f t="shared" si="2"/>
        <v>13.69863014</v>
      </c>
      <c r="F231" s="9">
        <v>3.0</v>
      </c>
      <c r="G231" s="10">
        <v>219.0</v>
      </c>
      <c r="H231" s="11"/>
    </row>
    <row r="232" ht="15.75" customHeight="1">
      <c r="A232" s="6">
        <v>51103.0</v>
      </c>
      <c r="B232" s="7" t="s">
        <v>264</v>
      </c>
      <c r="C232" s="7" t="s">
        <v>302</v>
      </c>
      <c r="D232" s="7" t="s">
        <v>305</v>
      </c>
      <c r="E232" s="8">
        <f t="shared" si="2"/>
        <v>23.25581395</v>
      </c>
      <c r="F232" s="9">
        <v>10.0</v>
      </c>
      <c r="G232" s="10">
        <v>430.0</v>
      </c>
      <c r="H232" s="11"/>
    </row>
    <row r="233" ht="15.75" customHeight="1">
      <c r="A233" s="6">
        <v>51201.0</v>
      </c>
      <c r="B233" s="7" t="s">
        <v>264</v>
      </c>
      <c r="C233" s="7" t="s">
        <v>306</v>
      </c>
      <c r="D233" s="7" t="s">
        <v>307</v>
      </c>
      <c r="E233" s="8">
        <f t="shared" si="2"/>
        <v>11.57742402</v>
      </c>
      <c r="F233" s="9">
        <v>8.0</v>
      </c>
      <c r="G233" s="10">
        <v>691.0</v>
      </c>
      <c r="H233" s="11"/>
    </row>
    <row r="234" ht="15.75" customHeight="1">
      <c r="A234" s="6">
        <v>51202.0</v>
      </c>
      <c r="B234" s="7" t="s">
        <v>264</v>
      </c>
      <c r="C234" s="7" t="s">
        <v>306</v>
      </c>
      <c r="D234" s="7" t="s">
        <v>308</v>
      </c>
      <c r="E234" s="8">
        <f t="shared" si="2"/>
        <v>11.56069364</v>
      </c>
      <c r="F234" s="9">
        <v>2.0</v>
      </c>
      <c r="G234" s="10">
        <v>173.0</v>
      </c>
      <c r="H234" s="11"/>
    </row>
    <row r="235" ht="15.75" customHeight="1">
      <c r="A235" s="6">
        <v>51203.0</v>
      </c>
      <c r="B235" s="7" t="s">
        <v>264</v>
      </c>
      <c r="C235" s="7" t="s">
        <v>306</v>
      </c>
      <c r="D235" s="7" t="s">
        <v>309</v>
      </c>
      <c r="E235" s="8">
        <f t="shared" si="2"/>
        <v>6.289308176</v>
      </c>
      <c r="F235" s="9">
        <v>2.0</v>
      </c>
      <c r="G235" s="10">
        <v>318.0</v>
      </c>
      <c r="H235" s="11"/>
    </row>
    <row r="236" ht="15.75" customHeight="1">
      <c r="A236" s="25">
        <v>51204.0</v>
      </c>
      <c r="B236" s="7" t="s">
        <v>264</v>
      </c>
      <c r="C236" s="7"/>
      <c r="D236" s="7" t="s">
        <v>310</v>
      </c>
      <c r="E236" s="8">
        <f t="shared" si="2"/>
        <v>23.07692308</v>
      </c>
      <c r="F236" s="9">
        <v>3.0</v>
      </c>
      <c r="G236" s="10">
        <v>130.0</v>
      </c>
      <c r="H236" s="11"/>
    </row>
    <row r="237" ht="15.75" customHeight="1">
      <c r="A237" s="6">
        <v>51301.0</v>
      </c>
      <c r="B237" s="7" t="s">
        <v>264</v>
      </c>
      <c r="C237" s="7" t="s">
        <v>311</v>
      </c>
      <c r="D237" s="7" t="s">
        <v>312</v>
      </c>
      <c r="E237" s="8">
        <f t="shared" si="2"/>
        <v>27.27272727</v>
      </c>
      <c r="F237" s="9">
        <v>3.0</v>
      </c>
      <c r="G237" s="10">
        <v>110.0</v>
      </c>
      <c r="H237" s="11"/>
    </row>
    <row r="238" ht="15.75" customHeight="1">
      <c r="A238" s="6">
        <v>51302.0</v>
      </c>
      <c r="B238" s="7" t="s">
        <v>264</v>
      </c>
      <c r="C238" s="7" t="s">
        <v>311</v>
      </c>
      <c r="D238" s="7" t="s">
        <v>313</v>
      </c>
      <c r="E238" s="8">
        <f t="shared" si="2"/>
        <v>23.25581395</v>
      </c>
      <c r="F238" s="9">
        <v>3.0</v>
      </c>
      <c r="G238" s="10">
        <v>129.0</v>
      </c>
      <c r="H238" s="11"/>
    </row>
    <row r="239" ht="15.75" customHeight="1">
      <c r="A239" s="6">
        <v>51401.0</v>
      </c>
      <c r="B239" s="7" t="s">
        <v>264</v>
      </c>
      <c r="C239" s="7" t="s">
        <v>314</v>
      </c>
      <c r="D239" s="7" t="s">
        <v>315</v>
      </c>
      <c r="E239" s="8">
        <f t="shared" si="2"/>
        <v>12.19512195</v>
      </c>
      <c r="F239" s="9">
        <v>1.0</v>
      </c>
      <c r="G239" s="10">
        <v>82.0</v>
      </c>
      <c r="H239" s="11"/>
    </row>
    <row r="240" ht="15.75" customHeight="1">
      <c r="A240" s="6">
        <v>51402.0</v>
      </c>
      <c r="B240" s="7" t="s">
        <v>264</v>
      </c>
      <c r="C240" s="7" t="s">
        <v>314</v>
      </c>
      <c r="D240" s="7" t="s">
        <v>316</v>
      </c>
      <c r="E240" s="8">
        <f t="shared" si="2"/>
        <v>0</v>
      </c>
      <c r="F240" s="9">
        <v>0.0</v>
      </c>
      <c r="G240" s="10">
        <v>26.0</v>
      </c>
      <c r="H240" s="11"/>
    </row>
    <row r="241" ht="15.75" customHeight="1">
      <c r="A241" s="6">
        <v>51501.0</v>
      </c>
      <c r="B241" s="7" t="s">
        <v>264</v>
      </c>
      <c r="C241" s="7" t="s">
        <v>317</v>
      </c>
      <c r="D241" s="7" t="s">
        <v>318</v>
      </c>
      <c r="E241" s="8">
        <f t="shared" si="2"/>
        <v>3.058103976</v>
      </c>
      <c r="F241" s="9">
        <v>3.0</v>
      </c>
      <c r="G241" s="10">
        <v>981.0</v>
      </c>
      <c r="H241" s="11"/>
    </row>
    <row r="242" ht="15.75" customHeight="1">
      <c r="A242" s="6">
        <v>51601.0</v>
      </c>
      <c r="B242" s="7" t="s">
        <v>264</v>
      </c>
      <c r="C242" s="7" t="s">
        <v>319</v>
      </c>
      <c r="D242" s="7" t="s">
        <v>320</v>
      </c>
      <c r="E242" s="8">
        <f t="shared" si="2"/>
        <v>0</v>
      </c>
      <c r="F242" s="9">
        <v>0.0</v>
      </c>
      <c r="G242" s="10">
        <v>19.0</v>
      </c>
      <c r="H242" s="11"/>
    </row>
    <row r="243" ht="15.75" customHeight="1">
      <c r="A243" s="6">
        <v>60101.0</v>
      </c>
      <c r="B243" s="7" t="s">
        <v>25</v>
      </c>
      <c r="C243" s="7" t="s">
        <v>165</v>
      </c>
      <c r="D243" s="7" t="s">
        <v>25</v>
      </c>
      <c r="E243" s="8">
        <f t="shared" si="2"/>
        <v>11.36063408</v>
      </c>
      <c r="F243" s="9">
        <v>43.0</v>
      </c>
      <c r="G243" s="10">
        <v>3785.0</v>
      </c>
      <c r="H243" s="11"/>
    </row>
    <row r="244" ht="15.75" customHeight="1">
      <c r="A244" s="6">
        <v>60201.0</v>
      </c>
      <c r="B244" s="7" t="s">
        <v>25</v>
      </c>
      <c r="C244" s="7" t="s">
        <v>321</v>
      </c>
      <c r="D244" s="7" t="s">
        <v>322</v>
      </c>
      <c r="E244" s="8">
        <f t="shared" si="2"/>
        <v>18.34862385</v>
      </c>
      <c r="F244" s="9">
        <v>6.0</v>
      </c>
      <c r="G244" s="10">
        <v>327.0</v>
      </c>
      <c r="H244" s="11"/>
    </row>
    <row r="245" ht="15.75" customHeight="1">
      <c r="A245" s="6">
        <v>60202.0</v>
      </c>
      <c r="B245" s="7" t="s">
        <v>25</v>
      </c>
      <c r="C245" s="7" t="s">
        <v>321</v>
      </c>
      <c r="D245" s="7" t="s">
        <v>323</v>
      </c>
      <c r="E245" s="8">
        <f t="shared" si="2"/>
        <v>25.75107296</v>
      </c>
      <c r="F245" s="9">
        <v>18.0</v>
      </c>
      <c r="G245" s="10">
        <v>699.0</v>
      </c>
      <c r="H245" s="11"/>
    </row>
    <row r="246" ht="15.75" customHeight="1">
      <c r="A246" s="6">
        <v>60301.0</v>
      </c>
      <c r="B246" s="7" t="s">
        <v>25</v>
      </c>
      <c r="C246" s="7" t="s">
        <v>35</v>
      </c>
      <c r="D246" s="7" t="s">
        <v>324</v>
      </c>
      <c r="E246" s="8">
        <f t="shared" si="2"/>
        <v>23.00695559</v>
      </c>
      <c r="F246" s="9">
        <v>43.0</v>
      </c>
      <c r="G246" s="10">
        <v>1869.0</v>
      </c>
      <c r="H246" s="11"/>
      <c r="J246" s="24"/>
      <c r="K246" s="24"/>
      <c r="L246" s="24"/>
    </row>
    <row r="247" ht="15.75" customHeight="1">
      <c r="A247" s="6">
        <v>60302.0</v>
      </c>
      <c r="B247" s="7" t="s">
        <v>25</v>
      </c>
      <c r="C247" s="7" t="s">
        <v>35</v>
      </c>
      <c r="D247" s="7" t="s">
        <v>325</v>
      </c>
      <c r="E247" s="8">
        <f t="shared" si="2"/>
        <v>7.067137809</v>
      </c>
      <c r="F247" s="9">
        <v>2.0</v>
      </c>
      <c r="G247" s="10">
        <v>283.0</v>
      </c>
      <c r="H247" s="11"/>
    </row>
    <row r="248" ht="15.75" customHeight="1">
      <c r="A248" s="6">
        <v>60303.0</v>
      </c>
      <c r="B248" s="7" t="s">
        <v>25</v>
      </c>
      <c r="C248" s="7" t="s">
        <v>35</v>
      </c>
      <c r="D248" s="7" t="s">
        <v>326</v>
      </c>
      <c r="E248" s="8">
        <f t="shared" si="2"/>
        <v>27.14932127</v>
      </c>
      <c r="F248" s="9">
        <v>24.0</v>
      </c>
      <c r="G248" s="10">
        <v>884.0</v>
      </c>
      <c r="H248" s="11"/>
    </row>
    <row r="249" ht="15.75" customHeight="1">
      <c r="A249" s="6">
        <v>60401.0</v>
      </c>
      <c r="B249" s="7" t="s">
        <v>25</v>
      </c>
      <c r="C249" s="7" t="s">
        <v>327</v>
      </c>
      <c r="D249" s="7" t="s">
        <v>328</v>
      </c>
      <c r="E249" s="8">
        <f t="shared" si="2"/>
        <v>6.968641115</v>
      </c>
      <c r="F249" s="9">
        <v>2.0</v>
      </c>
      <c r="G249" s="10">
        <v>287.0</v>
      </c>
      <c r="H249" s="11"/>
    </row>
    <row r="250" ht="15.75" customHeight="1">
      <c r="A250" s="6">
        <v>60402.0</v>
      </c>
      <c r="B250" s="7" t="s">
        <v>25</v>
      </c>
      <c r="C250" s="7" t="s">
        <v>327</v>
      </c>
      <c r="D250" s="7" t="s">
        <v>329</v>
      </c>
      <c r="E250" s="8">
        <f t="shared" si="2"/>
        <v>34.18803419</v>
      </c>
      <c r="F250" s="9">
        <v>4.0</v>
      </c>
      <c r="G250" s="10">
        <v>117.0</v>
      </c>
      <c r="H250" s="11"/>
    </row>
    <row r="251" ht="15.75" customHeight="1">
      <c r="A251" s="6">
        <v>60501.0</v>
      </c>
      <c r="B251" s="7" t="s">
        <v>25</v>
      </c>
      <c r="C251" s="7" t="s">
        <v>330</v>
      </c>
      <c r="D251" s="7" t="s">
        <v>331</v>
      </c>
      <c r="E251" s="8">
        <f t="shared" si="2"/>
        <v>19.3236715</v>
      </c>
      <c r="F251" s="9">
        <v>8.0</v>
      </c>
      <c r="G251" s="10">
        <v>414.0</v>
      </c>
      <c r="H251" s="11"/>
    </row>
    <row r="252" ht="15.75" customHeight="1">
      <c r="A252" s="6">
        <v>60502.0</v>
      </c>
      <c r="B252" s="7" t="s">
        <v>25</v>
      </c>
      <c r="C252" s="7" t="s">
        <v>330</v>
      </c>
      <c r="D252" s="7" t="s">
        <v>332</v>
      </c>
      <c r="E252" s="8">
        <f t="shared" si="2"/>
        <v>17.85714286</v>
      </c>
      <c r="F252" s="9">
        <v>4.0</v>
      </c>
      <c r="G252" s="10">
        <v>224.0</v>
      </c>
      <c r="H252" s="11"/>
    </row>
    <row r="253" ht="15.75" customHeight="1">
      <c r="A253" s="6">
        <v>60601.0</v>
      </c>
      <c r="B253" s="7" t="s">
        <v>25</v>
      </c>
      <c r="C253" s="7" t="s">
        <v>333</v>
      </c>
      <c r="D253" s="7" t="s">
        <v>206</v>
      </c>
      <c r="E253" s="8">
        <f t="shared" si="2"/>
        <v>7.058823529</v>
      </c>
      <c r="F253" s="9">
        <v>3.0</v>
      </c>
      <c r="G253" s="10">
        <v>425.0</v>
      </c>
      <c r="H253" s="11"/>
    </row>
    <row r="254" ht="15.75" customHeight="1">
      <c r="A254" s="6">
        <v>70101.0</v>
      </c>
      <c r="B254" s="7" t="s">
        <v>27</v>
      </c>
      <c r="C254" s="7" t="s">
        <v>334</v>
      </c>
      <c r="D254" s="7" t="s">
        <v>335</v>
      </c>
      <c r="E254" s="8">
        <f t="shared" si="2"/>
        <v>14.50689156</v>
      </c>
      <c r="F254" s="9">
        <v>461.0</v>
      </c>
      <c r="G254" s="10">
        <v>31778.0</v>
      </c>
      <c r="H254" s="11"/>
    </row>
    <row r="255" ht="15.75" customHeight="1">
      <c r="A255" s="6">
        <v>70102.0</v>
      </c>
      <c r="B255" s="7" t="s">
        <v>27</v>
      </c>
      <c r="C255" s="7" t="s">
        <v>334</v>
      </c>
      <c r="D255" s="7" t="s">
        <v>336</v>
      </c>
      <c r="E255" s="8">
        <f t="shared" si="2"/>
        <v>27.30819246</v>
      </c>
      <c r="F255" s="9">
        <v>42.0</v>
      </c>
      <c r="G255" s="10">
        <v>1538.0</v>
      </c>
      <c r="H255" s="11"/>
    </row>
    <row r="256" ht="15.75" customHeight="1">
      <c r="A256" s="6">
        <v>70103.0</v>
      </c>
      <c r="B256" s="7" t="s">
        <v>27</v>
      </c>
      <c r="C256" s="7" t="s">
        <v>334</v>
      </c>
      <c r="D256" s="7" t="s">
        <v>337</v>
      </c>
      <c r="E256" s="8">
        <f t="shared" si="2"/>
        <v>6.25</v>
      </c>
      <c r="F256" s="9">
        <v>2.0</v>
      </c>
      <c r="G256" s="10">
        <v>320.0</v>
      </c>
      <c r="H256" s="11"/>
    </row>
    <row r="257" ht="15.75" customHeight="1">
      <c r="A257" s="6">
        <v>70104.0</v>
      </c>
      <c r="B257" s="7" t="s">
        <v>27</v>
      </c>
      <c r="C257" s="7" t="s">
        <v>334</v>
      </c>
      <c r="D257" s="7" t="s">
        <v>338</v>
      </c>
      <c r="E257" s="8">
        <f t="shared" si="2"/>
        <v>8.547008547</v>
      </c>
      <c r="F257" s="9">
        <v>19.0</v>
      </c>
      <c r="G257" s="10">
        <v>2223.0</v>
      </c>
      <c r="H257" s="11"/>
    </row>
    <row r="258" ht="15.75" customHeight="1">
      <c r="A258" s="6">
        <v>70105.0</v>
      </c>
      <c r="B258" s="7" t="s">
        <v>27</v>
      </c>
      <c r="C258" s="7" t="s">
        <v>334</v>
      </c>
      <c r="D258" s="7" t="s">
        <v>339</v>
      </c>
      <c r="E258" s="8">
        <f t="shared" si="2"/>
        <v>13.44086022</v>
      </c>
      <c r="F258" s="9">
        <v>15.0</v>
      </c>
      <c r="G258" s="10">
        <v>1116.0</v>
      </c>
      <c r="H258" s="11"/>
    </row>
    <row r="259" ht="15.75" customHeight="1">
      <c r="A259" s="6">
        <v>70201.0</v>
      </c>
      <c r="B259" s="7" t="s">
        <v>27</v>
      </c>
      <c r="C259" s="7" t="s">
        <v>340</v>
      </c>
      <c r="D259" s="7" t="s">
        <v>340</v>
      </c>
      <c r="E259" s="8">
        <f t="shared" si="2"/>
        <v>9.419743783</v>
      </c>
      <c r="F259" s="9">
        <v>25.0</v>
      </c>
      <c r="G259" s="10">
        <v>2654.0</v>
      </c>
      <c r="H259" s="11"/>
    </row>
    <row r="260" ht="15.75" customHeight="1">
      <c r="A260" s="6">
        <v>70202.0</v>
      </c>
      <c r="B260" s="7" t="s">
        <v>27</v>
      </c>
      <c r="C260" s="7" t="s">
        <v>340</v>
      </c>
      <c r="D260" s="7" t="s">
        <v>341</v>
      </c>
      <c r="E260" s="8">
        <f t="shared" si="2"/>
        <v>16.55629139</v>
      </c>
      <c r="F260" s="9">
        <v>5.0</v>
      </c>
      <c r="G260" s="10">
        <v>302.0</v>
      </c>
      <c r="H260" s="11"/>
    </row>
    <row r="261" ht="15.75" customHeight="1">
      <c r="A261" s="6">
        <v>70301.0</v>
      </c>
      <c r="B261" s="7" t="s">
        <v>27</v>
      </c>
      <c r="C261" s="7" t="s">
        <v>342</v>
      </c>
      <c r="D261" s="7" t="s">
        <v>343</v>
      </c>
      <c r="E261" s="8">
        <f t="shared" si="2"/>
        <v>18.60166774</v>
      </c>
      <c r="F261" s="9">
        <v>29.0</v>
      </c>
      <c r="G261" s="10">
        <v>1559.0</v>
      </c>
      <c r="H261" s="11"/>
    </row>
    <row r="262" ht="15.75" customHeight="1">
      <c r="A262" s="6">
        <v>70302.0</v>
      </c>
      <c r="B262" s="7" t="s">
        <v>27</v>
      </c>
      <c r="C262" s="7" t="s">
        <v>342</v>
      </c>
      <c r="D262" s="7" t="s">
        <v>344</v>
      </c>
      <c r="E262" s="8">
        <f t="shared" si="2"/>
        <v>38.86925795</v>
      </c>
      <c r="F262" s="9">
        <v>11.0</v>
      </c>
      <c r="G262" s="10">
        <v>283.0</v>
      </c>
      <c r="H262" s="11"/>
    </row>
    <row r="263" ht="15.75" customHeight="1">
      <c r="A263" s="6">
        <v>70303.0</v>
      </c>
      <c r="B263" s="7" t="s">
        <v>27</v>
      </c>
      <c r="C263" s="7" t="s">
        <v>342</v>
      </c>
      <c r="D263" s="7" t="s">
        <v>345</v>
      </c>
      <c r="E263" s="8">
        <f t="shared" si="2"/>
        <v>34.72222222</v>
      </c>
      <c r="F263" s="9">
        <v>5.0</v>
      </c>
      <c r="G263" s="10">
        <v>144.0</v>
      </c>
      <c r="H263" s="11"/>
    </row>
    <row r="264" ht="15.75" customHeight="1">
      <c r="A264" s="6">
        <v>70401.0</v>
      </c>
      <c r="B264" s="7" t="s">
        <v>27</v>
      </c>
      <c r="C264" s="7" t="s">
        <v>346</v>
      </c>
      <c r="D264" s="7" t="s">
        <v>347</v>
      </c>
      <c r="E264" s="8">
        <f t="shared" si="2"/>
        <v>12.65822785</v>
      </c>
      <c r="F264" s="9">
        <v>4.0</v>
      </c>
      <c r="G264" s="10">
        <v>316.0</v>
      </c>
      <c r="H264" s="11"/>
    </row>
    <row r="265" ht="15.75" customHeight="1">
      <c r="A265" s="6">
        <v>70402.0</v>
      </c>
      <c r="B265" s="7" t="s">
        <v>27</v>
      </c>
      <c r="C265" s="7" t="s">
        <v>346</v>
      </c>
      <c r="D265" s="7" t="s">
        <v>348</v>
      </c>
      <c r="E265" s="8">
        <f t="shared" si="2"/>
        <v>13.7524558</v>
      </c>
      <c r="F265" s="9">
        <v>7.0</v>
      </c>
      <c r="G265" s="10">
        <v>509.0</v>
      </c>
      <c r="H265" s="11"/>
    </row>
    <row r="266" ht="15.75" customHeight="1">
      <c r="A266" s="6">
        <v>70403.0</v>
      </c>
      <c r="B266" s="7" t="s">
        <v>27</v>
      </c>
      <c r="C266" s="7" t="s">
        <v>346</v>
      </c>
      <c r="D266" s="7" t="s">
        <v>349</v>
      </c>
      <c r="E266" s="8">
        <f t="shared" si="2"/>
        <v>23.04526749</v>
      </c>
      <c r="F266" s="9">
        <v>28.0</v>
      </c>
      <c r="G266" s="10">
        <v>1215.0</v>
      </c>
      <c r="H266" s="11"/>
    </row>
    <row r="267" ht="15.75" customHeight="1">
      <c r="A267" s="6">
        <v>70404.0</v>
      </c>
      <c r="B267" s="7" t="s">
        <v>27</v>
      </c>
      <c r="C267" s="7" t="s">
        <v>346</v>
      </c>
      <c r="D267" s="7" t="s">
        <v>350</v>
      </c>
      <c r="E267" s="8">
        <f t="shared" si="2"/>
        <v>21.45922747</v>
      </c>
      <c r="F267" s="9">
        <v>5.0</v>
      </c>
      <c r="G267" s="10">
        <v>233.0</v>
      </c>
      <c r="H267" s="11"/>
    </row>
    <row r="268" ht="15.75" customHeight="1">
      <c r="A268" s="6">
        <v>70501.0</v>
      </c>
      <c r="B268" s="7" t="s">
        <v>27</v>
      </c>
      <c r="C268" s="7" t="s">
        <v>351</v>
      </c>
      <c r="D268" s="7" t="s">
        <v>352</v>
      </c>
      <c r="E268" s="8">
        <f t="shared" si="2"/>
        <v>11.9840213</v>
      </c>
      <c r="F268" s="9">
        <v>9.0</v>
      </c>
      <c r="G268" s="10">
        <v>751.0</v>
      </c>
      <c r="H268" s="11"/>
    </row>
    <row r="269" ht="15.75" customHeight="1">
      <c r="A269" s="6">
        <v>70502.0</v>
      </c>
      <c r="B269" s="7" t="s">
        <v>27</v>
      </c>
      <c r="C269" s="7" t="s">
        <v>351</v>
      </c>
      <c r="D269" s="7" t="s">
        <v>353</v>
      </c>
      <c r="E269" s="8">
        <f t="shared" si="2"/>
        <v>20.32913843</v>
      </c>
      <c r="F269" s="9">
        <v>21.0</v>
      </c>
      <c r="G269" s="10">
        <v>1033.0</v>
      </c>
      <c r="H269" s="11"/>
    </row>
    <row r="270" ht="15.75" customHeight="1">
      <c r="A270" s="6">
        <v>70503.0</v>
      </c>
      <c r="B270" s="7" t="s">
        <v>27</v>
      </c>
      <c r="C270" s="7" t="s">
        <v>351</v>
      </c>
      <c r="D270" s="7" t="s">
        <v>354</v>
      </c>
      <c r="E270" s="8">
        <f t="shared" si="2"/>
        <v>12.19512195</v>
      </c>
      <c r="F270" s="9">
        <v>4.0</v>
      </c>
      <c r="G270" s="10">
        <v>328.0</v>
      </c>
      <c r="H270" s="11"/>
    </row>
    <row r="271" ht="15.75" customHeight="1">
      <c r="A271" s="6">
        <v>70601.0</v>
      </c>
      <c r="B271" s="7" t="s">
        <v>27</v>
      </c>
      <c r="C271" s="7" t="s">
        <v>355</v>
      </c>
      <c r="D271" s="7" t="s">
        <v>356</v>
      </c>
      <c r="E271" s="8">
        <f t="shared" si="2"/>
        <v>4.576659039</v>
      </c>
      <c r="F271" s="9">
        <v>2.0</v>
      </c>
      <c r="G271" s="10">
        <v>437.0</v>
      </c>
      <c r="H271" s="11"/>
    </row>
    <row r="272" ht="15.75" customHeight="1">
      <c r="A272" s="6">
        <v>70602.0</v>
      </c>
      <c r="B272" s="7" t="s">
        <v>27</v>
      </c>
      <c r="C272" s="7" t="s">
        <v>355</v>
      </c>
      <c r="D272" s="7" t="s">
        <v>357</v>
      </c>
      <c r="E272" s="8">
        <f t="shared" si="2"/>
        <v>14.0562249</v>
      </c>
      <c r="F272" s="9">
        <v>7.0</v>
      </c>
      <c r="G272" s="10">
        <v>498.0</v>
      </c>
      <c r="H272" s="11"/>
    </row>
    <row r="273" ht="15.75" customHeight="1">
      <c r="A273" s="6">
        <v>70603.0</v>
      </c>
      <c r="B273" s="7" t="s">
        <v>27</v>
      </c>
      <c r="C273" s="7" t="s">
        <v>355</v>
      </c>
      <c r="D273" s="7" t="s">
        <v>358</v>
      </c>
      <c r="E273" s="8">
        <f t="shared" si="2"/>
        <v>13.33333333</v>
      </c>
      <c r="F273" s="9">
        <v>2.0</v>
      </c>
      <c r="G273" s="10">
        <v>150.0</v>
      </c>
      <c r="H273" s="11"/>
    </row>
    <row r="274" ht="15.75" customHeight="1">
      <c r="A274" s="6">
        <v>70701.0</v>
      </c>
      <c r="B274" s="7" t="s">
        <v>27</v>
      </c>
      <c r="C274" s="7" t="s">
        <v>359</v>
      </c>
      <c r="D274" s="7" t="s">
        <v>360</v>
      </c>
      <c r="E274" s="8">
        <f t="shared" si="2"/>
        <v>15.50387597</v>
      </c>
      <c r="F274" s="9">
        <v>2.0</v>
      </c>
      <c r="G274" s="10">
        <v>129.0</v>
      </c>
      <c r="H274" s="11"/>
    </row>
    <row r="275" ht="15.75" customHeight="1">
      <c r="A275" s="6">
        <v>70702.0</v>
      </c>
      <c r="B275" s="7" t="s">
        <v>27</v>
      </c>
      <c r="C275" s="7" t="s">
        <v>359</v>
      </c>
      <c r="D275" s="7" t="s">
        <v>361</v>
      </c>
      <c r="E275" s="8">
        <f t="shared" si="2"/>
        <v>29.14798206</v>
      </c>
      <c r="F275" s="9">
        <v>26.0</v>
      </c>
      <c r="G275" s="10">
        <v>892.0</v>
      </c>
      <c r="H275" s="11"/>
    </row>
    <row r="276" ht="15.75" customHeight="1">
      <c r="A276" s="6">
        <v>70703.0</v>
      </c>
      <c r="B276" s="7" t="s">
        <v>27</v>
      </c>
      <c r="C276" s="7" t="s">
        <v>359</v>
      </c>
      <c r="D276" s="7" t="s">
        <v>362</v>
      </c>
      <c r="E276" s="8">
        <f t="shared" si="2"/>
        <v>13.41281669</v>
      </c>
      <c r="F276" s="9">
        <v>9.0</v>
      </c>
      <c r="G276" s="10">
        <v>671.0</v>
      </c>
      <c r="H276" s="11"/>
    </row>
    <row r="277" ht="15.75" customHeight="1">
      <c r="A277" s="6">
        <v>70704.0</v>
      </c>
      <c r="B277" s="7" t="s">
        <v>27</v>
      </c>
      <c r="C277" s="7" t="s">
        <v>359</v>
      </c>
      <c r="D277" s="7" t="s">
        <v>363</v>
      </c>
      <c r="E277" s="8">
        <f t="shared" si="2"/>
        <v>0</v>
      </c>
      <c r="F277" s="9">
        <v>0.0</v>
      </c>
      <c r="G277" s="10">
        <v>112.0</v>
      </c>
      <c r="H277" s="11"/>
    </row>
    <row r="278" ht="15.75" customHeight="1">
      <c r="A278" s="6">
        <v>70705.0</v>
      </c>
      <c r="B278" s="7" t="s">
        <v>27</v>
      </c>
      <c r="C278" s="7" t="s">
        <v>359</v>
      </c>
      <c r="D278" s="7" t="s">
        <v>364</v>
      </c>
      <c r="E278" s="8">
        <f t="shared" si="2"/>
        <v>47.33727811</v>
      </c>
      <c r="F278" s="9">
        <v>16.0</v>
      </c>
      <c r="G278" s="10">
        <v>338.0</v>
      </c>
      <c r="H278" s="11"/>
    </row>
    <row r="279" ht="15.75" customHeight="1">
      <c r="A279" s="6">
        <v>70706.0</v>
      </c>
      <c r="B279" s="7" t="s">
        <v>27</v>
      </c>
      <c r="C279" s="7" t="s">
        <v>359</v>
      </c>
      <c r="D279" s="7" t="s">
        <v>365</v>
      </c>
      <c r="E279" s="8">
        <f t="shared" si="2"/>
        <v>10.47904192</v>
      </c>
      <c r="F279" s="9">
        <v>7.0</v>
      </c>
      <c r="G279" s="10">
        <v>668.0</v>
      </c>
      <c r="H279" s="11"/>
    </row>
    <row r="280" ht="15.75" customHeight="1">
      <c r="A280" s="6">
        <v>70707.0</v>
      </c>
      <c r="B280" s="7" t="s">
        <v>27</v>
      </c>
      <c r="C280" s="7" t="s">
        <v>359</v>
      </c>
      <c r="D280" s="7" t="s">
        <v>366</v>
      </c>
      <c r="E280" s="8">
        <f t="shared" si="2"/>
        <v>0</v>
      </c>
      <c r="F280" s="9">
        <v>0.0</v>
      </c>
      <c r="G280" s="10">
        <v>113.0</v>
      </c>
      <c r="H280" s="11"/>
    </row>
    <row r="281" ht="15.75" customHeight="1">
      <c r="A281" s="6">
        <v>70801.0</v>
      </c>
      <c r="B281" s="7" t="s">
        <v>27</v>
      </c>
      <c r="C281" s="7" t="s">
        <v>367</v>
      </c>
      <c r="D281" s="7" t="s">
        <v>367</v>
      </c>
      <c r="E281" s="8">
        <f t="shared" si="2"/>
        <v>9.259259259</v>
      </c>
      <c r="F281" s="9">
        <v>3.0</v>
      </c>
      <c r="G281" s="10">
        <v>324.0</v>
      </c>
      <c r="H281" s="11"/>
    </row>
    <row r="282" ht="15.75" customHeight="1">
      <c r="A282" s="6">
        <v>70802.0</v>
      </c>
      <c r="B282" s="7" t="s">
        <v>27</v>
      </c>
      <c r="C282" s="7" t="s">
        <v>367</v>
      </c>
      <c r="D282" s="7" t="s">
        <v>368</v>
      </c>
      <c r="E282" s="8">
        <f t="shared" si="2"/>
        <v>0</v>
      </c>
      <c r="F282" s="9">
        <v>0.0</v>
      </c>
      <c r="G282" s="10">
        <v>33.0</v>
      </c>
      <c r="H282" s="11"/>
    </row>
    <row r="283" ht="15.75" customHeight="1">
      <c r="A283" s="6">
        <v>70803.0</v>
      </c>
      <c r="B283" s="7" t="s">
        <v>27</v>
      </c>
      <c r="C283" s="7" t="s">
        <v>367</v>
      </c>
      <c r="D283" s="7" t="s">
        <v>369</v>
      </c>
      <c r="E283" s="8">
        <f t="shared" si="2"/>
        <v>0</v>
      </c>
      <c r="F283" s="9">
        <v>0.0</v>
      </c>
      <c r="G283" s="10">
        <v>70.0</v>
      </c>
      <c r="H283" s="11"/>
    </row>
    <row r="284" ht="15.75" customHeight="1">
      <c r="A284" s="6">
        <v>70804.0</v>
      </c>
      <c r="B284" s="7" t="s">
        <v>27</v>
      </c>
      <c r="C284" s="7" t="s">
        <v>367</v>
      </c>
      <c r="D284" s="7" t="s">
        <v>370</v>
      </c>
      <c r="E284" s="8">
        <f t="shared" si="2"/>
        <v>0</v>
      </c>
      <c r="F284" s="9">
        <v>0.0</v>
      </c>
      <c r="G284" s="10">
        <v>46.0</v>
      </c>
      <c r="H284" s="11"/>
    </row>
    <row r="285" ht="15.75" customHeight="1">
      <c r="A285" s="6">
        <v>70805.0</v>
      </c>
      <c r="B285" s="7" t="s">
        <v>27</v>
      </c>
      <c r="C285" s="7" t="s">
        <v>367</v>
      </c>
      <c r="D285" s="7" t="s">
        <v>371</v>
      </c>
      <c r="E285" s="8">
        <f t="shared" si="2"/>
        <v>0</v>
      </c>
      <c r="F285" s="9">
        <v>0.0</v>
      </c>
      <c r="G285" s="10">
        <v>40.0</v>
      </c>
      <c r="H285" s="11"/>
    </row>
    <row r="286" ht="15.75" customHeight="1">
      <c r="A286" s="6">
        <v>70901.0</v>
      </c>
      <c r="B286" s="7" t="s">
        <v>27</v>
      </c>
      <c r="C286" s="7" t="s">
        <v>372</v>
      </c>
      <c r="D286" s="7" t="s">
        <v>373</v>
      </c>
      <c r="E286" s="8">
        <f t="shared" si="2"/>
        <v>0</v>
      </c>
      <c r="F286" s="9">
        <v>0.0</v>
      </c>
      <c r="G286" s="10">
        <v>215.0</v>
      </c>
      <c r="H286" s="11"/>
    </row>
    <row r="287" ht="15.75" customHeight="1">
      <c r="A287" s="6">
        <v>70902.0</v>
      </c>
      <c r="B287" s="7" t="s">
        <v>27</v>
      </c>
      <c r="C287" s="7" t="s">
        <v>372</v>
      </c>
      <c r="D287" s="7" t="s">
        <v>374</v>
      </c>
      <c r="E287" s="8">
        <f t="shared" si="2"/>
        <v>13.69863014</v>
      </c>
      <c r="F287" s="9">
        <v>3.0</v>
      </c>
      <c r="G287" s="10">
        <v>219.0</v>
      </c>
      <c r="H287" s="11"/>
    </row>
    <row r="288" ht="15.75" customHeight="1">
      <c r="A288" s="6">
        <v>70903.0</v>
      </c>
      <c r="B288" s="7" t="s">
        <v>27</v>
      </c>
      <c r="C288" s="7" t="s">
        <v>372</v>
      </c>
      <c r="D288" s="7" t="s">
        <v>375</v>
      </c>
      <c r="E288" s="8">
        <f t="shared" si="2"/>
        <v>19.60784314</v>
      </c>
      <c r="F288" s="9">
        <v>5.0</v>
      </c>
      <c r="G288" s="10">
        <v>255.0</v>
      </c>
      <c r="H288" s="11"/>
    </row>
    <row r="289" ht="15.75" customHeight="1">
      <c r="A289" s="6">
        <v>70904.0</v>
      </c>
      <c r="B289" s="7" t="s">
        <v>27</v>
      </c>
      <c r="C289" s="7" t="s">
        <v>372</v>
      </c>
      <c r="D289" s="7" t="s">
        <v>376</v>
      </c>
      <c r="E289" s="8">
        <f t="shared" si="2"/>
        <v>21.27659574</v>
      </c>
      <c r="F289" s="9">
        <v>1.0</v>
      </c>
      <c r="G289" s="10">
        <v>47.0</v>
      </c>
      <c r="H289" s="11"/>
    </row>
    <row r="290" ht="15.75" customHeight="1">
      <c r="A290" s="6">
        <v>71001.0</v>
      </c>
      <c r="B290" s="7" t="s">
        <v>27</v>
      </c>
      <c r="C290" s="7" t="s">
        <v>377</v>
      </c>
      <c r="D290" s="7" t="s">
        <v>378</v>
      </c>
      <c r="E290" s="8">
        <f t="shared" si="2"/>
        <v>14.75470306</v>
      </c>
      <c r="F290" s="9">
        <v>40.0</v>
      </c>
      <c r="G290" s="10">
        <v>2711.0</v>
      </c>
      <c r="H290" s="11"/>
    </row>
    <row r="291" ht="15.75" customHeight="1">
      <c r="A291" s="6">
        <v>71002.0</v>
      </c>
      <c r="B291" s="7" t="s">
        <v>27</v>
      </c>
      <c r="C291" s="7" t="s">
        <v>377</v>
      </c>
      <c r="D291" s="7" t="s">
        <v>379</v>
      </c>
      <c r="E291" s="8">
        <f t="shared" si="2"/>
        <v>8.219178082</v>
      </c>
      <c r="F291" s="9">
        <v>3.0</v>
      </c>
      <c r="G291" s="10">
        <v>365.0</v>
      </c>
      <c r="H291" s="11"/>
    </row>
    <row r="292" ht="15.75" customHeight="1">
      <c r="A292" s="6">
        <v>71003.0</v>
      </c>
      <c r="B292" s="7" t="s">
        <v>27</v>
      </c>
      <c r="C292" s="7" t="s">
        <v>377</v>
      </c>
      <c r="D292" s="7" t="s">
        <v>380</v>
      </c>
      <c r="E292" s="8">
        <f t="shared" si="2"/>
        <v>18.83830455</v>
      </c>
      <c r="F292" s="9">
        <v>12.0</v>
      </c>
      <c r="G292" s="10">
        <v>637.0</v>
      </c>
      <c r="H292" s="11"/>
    </row>
    <row r="293" ht="15.75" customHeight="1">
      <c r="A293" s="6">
        <v>71004.0</v>
      </c>
      <c r="B293" s="7" t="s">
        <v>27</v>
      </c>
      <c r="C293" s="7" t="s">
        <v>377</v>
      </c>
      <c r="D293" s="7" t="s">
        <v>381</v>
      </c>
      <c r="E293" s="8">
        <f t="shared" si="2"/>
        <v>29.3255132</v>
      </c>
      <c r="F293" s="9">
        <v>10.0</v>
      </c>
      <c r="G293" s="10">
        <v>341.0</v>
      </c>
      <c r="H293" s="11"/>
    </row>
    <row r="294" ht="15.75" customHeight="1">
      <c r="A294" s="6">
        <v>71005.0</v>
      </c>
      <c r="B294" s="7" t="s">
        <v>27</v>
      </c>
      <c r="C294" s="7" t="s">
        <v>377</v>
      </c>
      <c r="D294" s="7" t="s">
        <v>382</v>
      </c>
      <c r="E294" s="8">
        <f t="shared" si="2"/>
        <v>16.66666667</v>
      </c>
      <c r="F294" s="9">
        <v>7.0</v>
      </c>
      <c r="G294" s="10">
        <v>420.0</v>
      </c>
      <c r="H294" s="11"/>
    </row>
    <row r="295" ht="15.75" customHeight="1">
      <c r="A295" s="6">
        <v>71101.0</v>
      </c>
      <c r="B295" s="7" t="s">
        <v>27</v>
      </c>
      <c r="C295" s="7" t="s">
        <v>383</v>
      </c>
      <c r="D295" s="7" t="s">
        <v>384</v>
      </c>
      <c r="E295" s="8">
        <f t="shared" si="2"/>
        <v>18.72659176</v>
      </c>
      <c r="F295" s="9">
        <v>10.0</v>
      </c>
      <c r="G295" s="10">
        <v>534.0</v>
      </c>
      <c r="H295" s="11"/>
    </row>
    <row r="296" ht="15.75" customHeight="1">
      <c r="A296" s="6">
        <v>71102.0</v>
      </c>
      <c r="B296" s="7" t="s">
        <v>27</v>
      </c>
      <c r="C296" s="7" t="s">
        <v>383</v>
      </c>
      <c r="D296" s="7" t="s">
        <v>385</v>
      </c>
      <c r="E296" s="8">
        <f t="shared" si="2"/>
        <v>42.49291785</v>
      </c>
      <c r="F296" s="9">
        <v>15.0</v>
      </c>
      <c r="G296" s="10">
        <v>353.0</v>
      </c>
      <c r="H296" s="11"/>
    </row>
    <row r="297" ht="15.75" customHeight="1">
      <c r="A297" s="6">
        <v>71103.0</v>
      </c>
      <c r="B297" s="7" t="s">
        <v>27</v>
      </c>
      <c r="C297" s="7" t="s">
        <v>383</v>
      </c>
      <c r="D297" s="7" t="s">
        <v>386</v>
      </c>
      <c r="E297" s="8">
        <f t="shared" si="2"/>
        <v>14.06120761</v>
      </c>
      <c r="F297" s="9">
        <v>17.0</v>
      </c>
      <c r="G297" s="10">
        <v>1209.0</v>
      </c>
      <c r="H297" s="11"/>
    </row>
    <row r="298" ht="15.75" customHeight="1">
      <c r="A298" s="6">
        <v>71104.0</v>
      </c>
      <c r="B298" s="7" t="s">
        <v>27</v>
      </c>
      <c r="C298" s="7" t="s">
        <v>383</v>
      </c>
      <c r="D298" s="7" t="s">
        <v>387</v>
      </c>
      <c r="E298" s="8">
        <f t="shared" si="2"/>
        <v>51.61290323</v>
      </c>
      <c r="F298" s="9">
        <v>8.0</v>
      </c>
      <c r="G298" s="10">
        <v>155.0</v>
      </c>
      <c r="H298" s="11"/>
    </row>
    <row r="299" ht="15.75" customHeight="1">
      <c r="A299" s="6">
        <v>71105.0</v>
      </c>
      <c r="B299" s="7" t="s">
        <v>27</v>
      </c>
      <c r="C299" s="7" t="s">
        <v>383</v>
      </c>
      <c r="D299" s="7" t="s">
        <v>388</v>
      </c>
      <c r="E299" s="8">
        <f t="shared" si="2"/>
        <v>18.51851852</v>
      </c>
      <c r="F299" s="9">
        <v>4.0</v>
      </c>
      <c r="G299" s="10">
        <v>216.0</v>
      </c>
      <c r="H299" s="11"/>
    </row>
    <row r="300" ht="15.75" customHeight="1">
      <c r="A300" s="6">
        <v>71106.0</v>
      </c>
      <c r="B300" s="7" t="s">
        <v>27</v>
      </c>
      <c r="C300" s="7" t="s">
        <v>383</v>
      </c>
      <c r="D300" s="7" t="s">
        <v>389</v>
      </c>
      <c r="E300" s="8">
        <f t="shared" si="2"/>
        <v>20.65404475</v>
      </c>
      <c r="F300" s="9">
        <v>12.0</v>
      </c>
      <c r="G300" s="10">
        <v>581.0</v>
      </c>
      <c r="H300" s="11"/>
    </row>
    <row r="301" ht="15.75" customHeight="1">
      <c r="A301" s="6">
        <v>71201.0</v>
      </c>
      <c r="B301" s="7" t="s">
        <v>27</v>
      </c>
      <c r="C301" s="7" t="s">
        <v>390</v>
      </c>
      <c r="D301" s="7" t="s">
        <v>391</v>
      </c>
      <c r="E301" s="8">
        <f t="shared" si="2"/>
        <v>19.66292135</v>
      </c>
      <c r="F301" s="9">
        <v>7.0</v>
      </c>
      <c r="G301" s="10">
        <v>356.0</v>
      </c>
      <c r="H301" s="11"/>
    </row>
    <row r="302" ht="15.75" customHeight="1">
      <c r="A302" s="6">
        <v>71301.0</v>
      </c>
      <c r="B302" s="7" t="s">
        <v>27</v>
      </c>
      <c r="C302" s="7" t="s">
        <v>392</v>
      </c>
      <c r="D302" s="7" t="s">
        <v>393</v>
      </c>
      <c r="E302" s="8">
        <f t="shared" si="2"/>
        <v>6.696428571</v>
      </c>
      <c r="F302" s="9">
        <v>3.0</v>
      </c>
      <c r="G302" s="10">
        <v>448.0</v>
      </c>
      <c r="H302" s="11"/>
    </row>
    <row r="303" ht="15.75" customHeight="1">
      <c r="A303" s="6">
        <v>71302.0</v>
      </c>
      <c r="B303" s="7" t="s">
        <v>27</v>
      </c>
      <c r="C303" s="7" t="s">
        <v>392</v>
      </c>
      <c r="D303" s="7" t="s">
        <v>394</v>
      </c>
      <c r="E303" s="8">
        <f t="shared" si="2"/>
        <v>5.714285714</v>
      </c>
      <c r="F303" s="9">
        <v>1.0</v>
      </c>
      <c r="G303" s="10">
        <v>175.0</v>
      </c>
      <c r="H303" s="11"/>
    </row>
    <row r="304" ht="15.75" customHeight="1">
      <c r="A304" s="6">
        <v>71401.0</v>
      </c>
      <c r="B304" s="7" t="s">
        <v>27</v>
      </c>
      <c r="C304" s="7" t="s">
        <v>395</v>
      </c>
      <c r="D304" s="7" t="s">
        <v>396</v>
      </c>
      <c r="E304" s="8">
        <f t="shared" si="2"/>
        <v>18.2767624</v>
      </c>
      <c r="F304" s="9">
        <v>7.0</v>
      </c>
      <c r="G304" s="10">
        <v>383.0</v>
      </c>
      <c r="H304" s="11"/>
    </row>
    <row r="305" ht="15.75" customHeight="1">
      <c r="A305" s="6">
        <v>71402.0</v>
      </c>
      <c r="B305" s="7" t="s">
        <v>27</v>
      </c>
      <c r="C305" s="7" t="s">
        <v>395</v>
      </c>
      <c r="D305" s="7" t="s">
        <v>397</v>
      </c>
      <c r="E305" s="8">
        <f t="shared" si="2"/>
        <v>23.58490566</v>
      </c>
      <c r="F305" s="9">
        <v>10.0</v>
      </c>
      <c r="G305" s="10">
        <v>424.0</v>
      </c>
      <c r="H305" s="11"/>
    </row>
    <row r="306" ht="15.75" customHeight="1">
      <c r="A306" s="6">
        <v>71403.0</v>
      </c>
      <c r="B306" s="7" t="s">
        <v>27</v>
      </c>
      <c r="C306" s="7" t="s">
        <v>395</v>
      </c>
      <c r="D306" s="7" t="s">
        <v>398</v>
      </c>
      <c r="E306" s="8">
        <f t="shared" si="2"/>
        <v>7.633587786</v>
      </c>
      <c r="F306" s="9">
        <v>1.0</v>
      </c>
      <c r="G306" s="10">
        <v>131.0</v>
      </c>
      <c r="H306" s="11"/>
    </row>
    <row r="307" ht="15.75" customHeight="1">
      <c r="A307" s="6">
        <v>71501.0</v>
      </c>
      <c r="B307" s="7" t="s">
        <v>27</v>
      </c>
      <c r="C307" s="7" t="s">
        <v>399</v>
      </c>
      <c r="D307" s="7" t="s">
        <v>400</v>
      </c>
      <c r="E307" s="8">
        <f t="shared" si="2"/>
        <v>13.79310345</v>
      </c>
      <c r="F307" s="9">
        <v>10.0</v>
      </c>
      <c r="G307" s="10">
        <v>725.0</v>
      </c>
      <c r="H307" s="11"/>
    </row>
    <row r="308" ht="15.75" customHeight="1">
      <c r="A308" s="6">
        <v>71502.0</v>
      </c>
      <c r="B308" s="7" t="s">
        <v>27</v>
      </c>
      <c r="C308" s="7" t="s">
        <v>399</v>
      </c>
      <c r="D308" s="7" t="s">
        <v>401</v>
      </c>
      <c r="E308" s="8">
        <f t="shared" si="2"/>
        <v>16.57458564</v>
      </c>
      <c r="F308" s="9">
        <v>3.0</v>
      </c>
      <c r="G308" s="10">
        <v>181.0</v>
      </c>
      <c r="H308" s="11"/>
    </row>
    <row r="309" ht="15.75" customHeight="1">
      <c r="A309" s="6">
        <v>71503.0</v>
      </c>
      <c r="B309" s="7" t="s">
        <v>27</v>
      </c>
      <c r="C309" s="7" t="s">
        <v>399</v>
      </c>
      <c r="D309" s="7" t="s">
        <v>332</v>
      </c>
      <c r="E309" s="8">
        <f t="shared" si="2"/>
        <v>24.87562189</v>
      </c>
      <c r="F309" s="9">
        <v>10.0</v>
      </c>
      <c r="G309" s="10">
        <v>402.0</v>
      </c>
      <c r="H309" s="11"/>
    </row>
    <row r="310" ht="15.75" customHeight="1">
      <c r="A310" s="6">
        <v>80101.0</v>
      </c>
      <c r="B310" s="7" t="s">
        <v>29</v>
      </c>
      <c r="C310" s="7" t="s">
        <v>165</v>
      </c>
      <c r="D310" s="7" t="s">
        <v>402</v>
      </c>
      <c r="E310" s="8">
        <f t="shared" si="2"/>
        <v>21.18959108</v>
      </c>
      <c r="F310" s="9">
        <v>57.0</v>
      </c>
      <c r="G310" s="10">
        <v>2690.0</v>
      </c>
      <c r="H310" s="11"/>
    </row>
    <row r="311" ht="15.75" customHeight="1">
      <c r="A311" s="6">
        <v>80102.0</v>
      </c>
      <c r="B311" s="7" t="s">
        <v>29</v>
      </c>
      <c r="C311" s="7" t="s">
        <v>165</v>
      </c>
      <c r="D311" s="7" t="s">
        <v>385</v>
      </c>
      <c r="E311" s="8">
        <f t="shared" si="2"/>
        <v>35.0877193</v>
      </c>
      <c r="F311" s="9">
        <v>6.0</v>
      </c>
      <c r="G311" s="10">
        <v>171.0</v>
      </c>
      <c r="H311" s="11"/>
    </row>
    <row r="312" ht="15.75" customHeight="1">
      <c r="A312" s="6">
        <v>80201.0</v>
      </c>
      <c r="B312" s="7" t="s">
        <v>29</v>
      </c>
      <c r="C312" s="7" t="s">
        <v>403</v>
      </c>
      <c r="D312" s="7" t="s">
        <v>404</v>
      </c>
      <c r="E312" s="8">
        <f t="shared" si="2"/>
        <v>27.22014291</v>
      </c>
      <c r="F312" s="9">
        <v>80.0</v>
      </c>
      <c r="G312" s="10">
        <v>2939.0</v>
      </c>
      <c r="H312" s="11"/>
    </row>
    <row r="313" ht="15.75" customHeight="1">
      <c r="A313" s="6">
        <v>80202.0</v>
      </c>
      <c r="B313" s="7" t="s">
        <v>29</v>
      </c>
      <c r="C313" s="7" t="s">
        <v>403</v>
      </c>
      <c r="D313" s="7" t="s">
        <v>405</v>
      </c>
      <c r="E313" s="8">
        <f t="shared" si="2"/>
        <v>23.27514547</v>
      </c>
      <c r="F313" s="9">
        <v>28.0</v>
      </c>
      <c r="G313" s="10">
        <v>1203.0</v>
      </c>
      <c r="H313" s="11"/>
    </row>
    <row r="314" ht="15.75" customHeight="1">
      <c r="A314" s="6">
        <v>80301.0</v>
      </c>
      <c r="B314" s="7" t="s">
        <v>29</v>
      </c>
      <c r="C314" s="7" t="s">
        <v>406</v>
      </c>
      <c r="D314" s="7" t="s">
        <v>407</v>
      </c>
      <c r="E314" s="8">
        <f t="shared" si="2"/>
        <v>36.92307692</v>
      </c>
      <c r="F314" s="9">
        <v>12.0</v>
      </c>
      <c r="G314" s="10">
        <v>325.0</v>
      </c>
      <c r="H314" s="11"/>
    </row>
    <row r="315" ht="15.75" customHeight="1">
      <c r="A315" s="6">
        <v>80302.0</v>
      </c>
      <c r="B315" s="7" t="s">
        <v>29</v>
      </c>
      <c r="C315" s="7" t="s">
        <v>406</v>
      </c>
      <c r="D315" s="7" t="s">
        <v>408</v>
      </c>
      <c r="E315" s="8">
        <f t="shared" si="2"/>
        <v>58.66666667</v>
      </c>
      <c r="F315" s="9">
        <v>66.0</v>
      </c>
      <c r="G315" s="10">
        <v>1125.0</v>
      </c>
      <c r="H315" s="11"/>
    </row>
    <row r="316" ht="15.75" customHeight="1">
      <c r="A316" s="6">
        <v>80303.0</v>
      </c>
      <c r="B316" s="7" t="s">
        <v>29</v>
      </c>
      <c r="C316" s="7" t="s">
        <v>406</v>
      </c>
      <c r="D316" s="7" t="s">
        <v>409</v>
      </c>
      <c r="E316" s="8">
        <f t="shared" si="2"/>
        <v>18.18181818</v>
      </c>
      <c r="F316" s="9">
        <v>6.0</v>
      </c>
      <c r="G316" s="10">
        <v>330.0</v>
      </c>
      <c r="H316" s="11"/>
    </row>
    <row r="317" ht="15.75" customHeight="1">
      <c r="A317" s="6">
        <v>80304.0</v>
      </c>
      <c r="B317" s="7" t="s">
        <v>29</v>
      </c>
      <c r="C317" s="7" t="s">
        <v>406</v>
      </c>
      <c r="D317" s="7" t="s">
        <v>410</v>
      </c>
      <c r="E317" s="8">
        <f t="shared" si="2"/>
        <v>25.36231884</v>
      </c>
      <c r="F317" s="9">
        <v>14.0</v>
      </c>
      <c r="G317" s="10">
        <v>552.0</v>
      </c>
      <c r="H317" s="11"/>
    </row>
    <row r="318" ht="15.75" customHeight="1">
      <c r="A318" s="6">
        <v>80401.0</v>
      </c>
      <c r="B318" s="7" t="s">
        <v>29</v>
      </c>
      <c r="C318" s="7" t="s">
        <v>411</v>
      </c>
      <c r="D318" s="7" t="s">
        <v>412</v>
      </c>
      <c r="E318" s="8">
        <f t="shared" si="2"/>
        <v>27.64976959</v>
      </c>
      <c r="F318" s="9">
        <v>12.0</v>
      </c>
      <c r="G318" s="10">
        <v>434.0</v>
      </c>
      <c r="H318" s="11"/>
    </row>
    <row r="319" ht="15.75" customHeight="1">
      <c r="A319" s="6">
        <v>80402.0</v>
      </c>
      <c r="B319" s="7" t="s">
        <v>29</v>
      </c>
      <c r="C319" s="7" t="s">
        <v>411</v>
      </c>
      <c r="D319" s="7" t="s">
        <v>413</v>
      </c>
      <c r="E319" s="8">
        <f t="shared" si="2"/>
        <v>5.464480874</v>
      </c>
      <c r="F319" s="9">
        <v>1.0</v>
      </c>
      <c r="G319" s="10">
        <v>183.0</v>
      </c>
      <c r="H319" s="11"/>
    </row>
    <row r="320" ht="15.75" customHeight="1">
      <c r="A320" s="6">
        <v>80501.0</v>
      </c>
      <c r="B320" s="7" t="s">
        <v>29</v>
      </c>
      <c r="C320" s="7" t="s">
        <v>414</v>
      </c>
      <c r="D320" s="7" t="s">
        <v>415</v>
      </c>
      <c r="E320" s="8">
        <f t="shared" si="2"/>
        <v>21.05263158</v>
      </c>
      <c r="F320" s="9">
        <v>12.0</v>
      </c>
      <c r="G320" s="10">
        <v>570.0</v>
      </c>
      <c r="H320" s="11"/>
    </row>
    <row r="321" ht="15.75" customHeight="1">
      <c r="A321" s="6">
        <v>80601.0</v>
      </c>
      <c r="B321" s="7" t="s">
        <v>29</v>
      </c>
      <c r="C321" s="7" t="s">
        <v>416</v>
      </c>
      <c r="D321" s="7" t="s">
        <v>417</v>
      </c>
      <c r="E321" s="8">
        <f t="shared" si="2"/>
        <v>23.4375</v>
      </c>
      <c r="F321" s="9">
        <v>3.0</v>
      </c>
      <c r="G321" s="10">
        <v>128.0</v>
      </c>
      <c r="H321" s="11"/>
    </row>
    <row r="322" ht="15.75" customHeight="1">
      <c r="A322" s="6">
        <v>80602.0</v>
      </c>
      <c r="B322" s="7" t="s">
        <v>29</v>
      </c>
      <c r="C322" s="7" t="s">
        <v>416</v>
      </c>
      <c r="D322" s="7" t="s">
        <v>418</v>
      </c>
      <c r="E322" s="8">
        <f t="shared" si="2"/>
        <v>16.85393258</v>
      </c>
      <c r="F322" s="9">
        <v>6.0</v>
      </c>
      <c r="G322" s="10">
        <v>356.0</v>
      </c>
      <c r="H322" s="11"/>
    </row>
    <row r="323" ht="15.75" customHeight="1">
      <c r="A323" s="6">
        <v>80701.0</v>
      </c>
      <c r="B323" s="7" t="s">
        <v>29</v>
      </c>
      <c r="C323" s="7" t="s">
        <v>419</v>
      </c>
      <c r="D323" s="7" t="s">
        <v>420</v>
      </c>
      <c r="E323" s="8">
        <f t="shared" si="2"/>
        <v>34.88372093</v>
      </c>
      <c r="F323" s="9">
        <v>6.0</v>
      </c>
      <c r="G323" s="10">
        <v>172.0</v>
      </c>
      <c r="H323" s="11"/>
    </row>
    <row r="324" ht="15.75" customHeight="1">
      <c r="A324" s="6">
        <v>80702.0</v>
      </c>
      <c r="B324" s="7" t="s">
        <v>29</v>
      </c>
      <c r="C324" s="7" t="s">
        <v>419</v>
      </c>
      <c r="D324" s="7" t="s">
        <v>386</v>
      </c>
      <c r="E324" s="8">
        <f t="shared" si="2"/>
        <v>24.59016393</v>
      </c>
      <c r="F324" s="9">
        <v>3.0</v>
      </c>
      <c r="G324" s="10">
        <v>122.0</v>
      </c>
      <c r="H324" s="11"/>
    </row>
    <row r="325" ht="15.75" customHeight="1">
      <c r="A325" s="6">
        <v>80703.0</v>
      </c>
      <c r="B325" s="7" t="s">
        <v>29</v>
      </c>
      <c r="C325" s="7" t="s">
        <v>419</v>
      </c>
      <c r="D325" s="7" t="s">
        <v>421</v>
      </c>
      <c r="E325" s="8">
        <f t="shared" si="2"/>
        <v>64.51612903</v>
      </c>
      <c r="F325" s="9">
        <v>2.0</v>
      </c>
      <c r="G325" s="10">
        <v>31.0</v>
      </c>
      <c r="H325" s="11"/>
    </row>
    <row r="326" ht="15.75" customHeight="1">
      <c r="A326" s="6">
        <v>80801.0</v>
      </c>
      <c r="B326" s="7" t="s">
        <v>29</v>
      </c>
      <c r="C326" s="7" t="s">
        <v>422</v>
      </c>
      <c r="D326" s="7" t="s">
        <v>423</v>
      </c>
      <c r="E326" s="8">
        <f t="shared" si="2"/>
        <v>3.344481605</v>
      </c>
      <c r="F326" s="9">
        <v>1.0</v>
      </c>
      <c r="G326" s="10">
        <v>299.0</v>
      </c>
      <c r="H326" s="11"/>
    </row>
    <row r="327" ht="15.75" customHeight="1">
      <c r="A327" s="6">
        <v>80802.0</v>
      </c>
      <c r="B327" s="7" t="s">
        <v>29</v>
      </c>
      <c r="C327" s="7" t="s">
        <v>422</v>
      </c>
      <c r="D327" s="7" t="s">
        <v>424</v>
      </c>
      <c r="E327" s="8">
        <f t="shared" si="2"/>
        <v>12.82051282</v>
      </c>
      <c r="F327" s="9">
        <v>2.0</v>
      </c>
      <c r="G327" s="10">
        <v>156.0</v>
      </c>
      <c r="H327" s="11"/>
    </row>
    <row r="328" ht="15.75" customHeight="1">
      <c r="A328" s="6">
        <v>80803.0</v>
      </c>
      <c r="B328" s="7" t="s">
        <v>29</v>
      </c>
      <c r="C328" s="7" t="s">
        <v>422</v>
      </c>
      <c r="D328" s="7" t="s">
        <v>425</v>
      </c>
      <c r="E328" s="8">
        <f t="shared" si="2"/>
        <v>17.09401709</v>
      </c>
      <c r="F328" s="9">
        <v>2.0</v>
      </c>
      <c r="G328" s="10">
        <v>117.0</v>
      </c>
      <c r="H328" s="11"/>
    </row>
    <row r="329" ht="15.75" customHeight="1">
      <c r="A329" s="25">
        <v>80901.0</v>
      </c>
      <c r="B329" s="7" t="s">
        <v>29</v>
      </c>
      <c r="C329" s="7"/>
      <c r="D329" s="7" t="s">
        <v>426</v>
      </c>
      <c r="E329" s="8">
        <f t="shared" si="2"/>
        <v>24.3902439</v>
      </c>
      <c r="F329" s="9">
        <v>3.0</v>
      </c>
      <c r="G329" s="26">
        <v>123.0</v>
      </c>
      <c r="H329" s="11"/>
    </row>
    <row r="330" ht="15.75" customHeight="1">
      <c r="A330" s="6">
        <v>90101.0</v>
      </c>
      <c r="B330" s="7" t="s">
        <v>31</v>
      </c>
      <c r="C330" s="7" t="s">
        <v>427</v>
      </c>
      <c r="D330" s="7" t="s">
        <v>428</v>
      </c>
      <c r="E330" s="8">
        <f t="shared" si="2"/>
        <v>5.173688101</v>
      </c>
      <c r="F330" s="9">
        <v>7.0</v>
      </c>
      <c r="G330" s="10">
        <v>1353.0</v>
      </c>
      <c r="H330" s="11"/>
    </row>
    <row r="331" ht="15.75" customHeight="1">
      <c r="A331" s="6">
        <v>90102.0</v>
      </c>
      <c r="B331" s="7" t="s">
        <v>31</v>
      </c>
      <c r="C331" s="7" t="s">
        <v>427</v>
      </c>
      <c r="D331" s="7" t="s">
        <v>429</v>
      </c>
      <c r="E331" s="8">
        <f t="shared" si="2"/>
        <v>0</v>
      </c>
      <c r="F331" s="9">
        <v>0.0</v>
      </c>
      <c r="G331" s="10">
        <v>201.0</v>
      </c>
      <c r="H331" s="11"/>
    </row>
    <row r="332" ht="15.75" customHeight="1">
      <c r="A332" s="6">
        <v>90103.0</v>
      </c>
      <c r="B332" s="7" t="s">
        <v>31</v>
      </c>
      <c r="C332" s="7" t="s">
        <v>427</v>
      </c>
      <c r="D332" s="7" t="s">
        <v>430</v>
      </c>
      <c r="E332" s="8">
        <f t="shared" si="2"/>
        <v>0</v>
      </c>
      <c r="F332" s="9">
        <v>0.0</v>
      </c>
      <c r="G332" s="10">
        <v>74.0</v>
      </c>
      <c r="H332" s="11"/>
    </row>
    <row r="333" ht="15.75" customHeight="1">
      <c r="A333" s="6">
        <v>90104.0</v>
      </c>
      <c r="B333" s="7" t="s">
        <v>31</v>
      </c>
      <c r="C333" s="7" t="s">
        <v>427</v>
      </c>
      <c r="D333" s="7" t="s">
        <v>431</v>
      </c>
      <c r="E333" s="8">
        <f t="shared" si="2"/>
        <v>0</v>
      </c>
      <c r="F333" s="9">
        <v>0.0</v>
      </c>
      <c r="G333" s="10">
        <v>115.0</v>
      </c>
      <c r="H333" s="11"/>
    </row>
    <row r="334" ht="15.75" customHeight="1">
      <c r="A334" s="6">
        <v>90201.0</v>
      </c>
      <c r="B334" s="7" t="s">
        <v>31</v>
      </c>
      <c r="C334" s="7" t="s">
        <v>432</v>
      </c>
      <c r="D334" s="7" t="s">
        <v>433</v>
      </c>
      <c r="E334" s="8">
        <f t="shared" si="2"/>
        <v>0</v>
      </c>
      <c r="F334" s="9">
        <v>0.0</v>
      </c>
      <c r="G334" s="10">
        <v>213.0</v>
      </c>
      <c r="H334" s="11"/>
    </row>
    <row r="335" ht="15.75" customHeight="1">
      <c r="A335" s="6">
        <v>90202.0</v>
      </c>
      <c r="B335" s="7" t="s">
        <v>31</v>
      </c>
      <c r="C335" s="7" t="s">
        <v>432</v>
      </c>
      <c r="D335" s="7" t="s">
        <v>382</v>
      </c>
      <c r="E335" s="8">
        <f t="shared" si="2"/>
        <v>0</v>
      </c>
      <c r="F335" s="9">
        <v>0.0</v>
      </c>
      <c r="G335" s="10">
        <v>68.0</v>
      </c>
      <c r="H335" s="11"/>
    </row>
    <row r="336" ht="15.75" customHeight="1">
      <c r="A336" s="6">
        <v>90203.0</v>
      </c>
      <c r="B336" s="7" t="s">
        <v>31</v>
      </c>
      <c r="C336" s="7" t="s">
        <v>432</v>
      </c>
      <c r="D336" s="7" t="s">
        <v>434</v>
      </c>
      <c r="E336" s="8">
        <f t="shared" si="2"/>
        <v>0</v>
      </c>
      <c r="F336" s="9">
        <v>0.0</v>
      </c>
      <c r="G336" s="10">
        <v>214.0</v>
      </c>
      <c r="H336" s="11"/>
    </row>
    <row r="337" ht="15.75" customHeight="1">
      <c r="A337" s="6">
        <v>90301.0</v>
      </c>
      <c r="B337" s="7" t="s">
        <v>31</v>
      </c>
      <c r="C337" s="7" t="s">
        <v>435</v>
      </c>
      <c r="D337" s="7" t="s">
        <v>436</v>
      </c>
      <c r="E337" s="8">
        <f t="shared" si="2"/>
        <v>4.587155963</v>
      </c>
      <c r="F337" s="9">
        <v>1.0</v>
      </c>
      <c r="G337" s="10">
        <v>218.0</v>
      </c>
      <c r="H337" s="11"/>
    </row>
    <row r="338" ht="15.75" customHeight="1">
      <c r="A338" s="6">
        <v>90302.0</v>
      </c>
      <c r="B338" s="7" t="s">
        <v>31</v>
      </c>
      <c r="C338" s="7" t="s">
        <v>435</v>
      </c>
      <c r="D338" s="7" t="s">
        <v>437</v>
      </c>
      <c r="E338" s="8">
        <f t="shared" si="2"/>
        <v>0</v>
      </c>
      <c r="F338" s="9">
        <v>0.0</v>
      </c>
      <c r="G338" s="10">
        <v>286.0</v>
      </c>
      <c r="H338" s="11"/>
    </row>
    <row r="339" ht="15.75" customHeight="1">
      <c r="A339" s="6">
        <v>90303.0</v>
      </c>
      <c r="B339" s="7" t="s">
        <v>31</v>
      </c>
      <c r="C339" s="7" t="s">
        <v>435</v>
      </c>
      <c r="D339" s="7" t="s">
        <v>438</v>
      </c>
      <c r="E339" s="8">
        <f t="shared" si="2"/>
        <v>6.41025641</v>
      </c>
      <c r="F339" s="9">
        <v>2.0</v>
      </c>
      <c r="G339" s="10">
        <v>312.0</v>
      </c>
      <c r="H339" s="11"/>
    </row>
    <row r="340" ht="15.75" customHeight="1">
      <c r="A340" s="6">
        <v>90401.0</v>
      </c>
      <c r="B340" s="7" t="s">
        <v>31</v>
      </c>
      <c r="C340" s="7" t="s">
        <v>439</v>
      </c>
      <c r="D340" s="7" t="s">
        <v>440</v>
      </c>
      <c r="E340" s="8">
        <f t="shared" si="2"/>
        <v>0</v>
      </c>
      <c r="F340" s="9">
        <v>0.0</v>
      </c>
      <c r="G340" s="10">
        <v>72.0</v>
      </c>
      <c r="H340" s="11"/>
    </row>
    <row r="341" ht="15.75" customHeight="1">
      <c r="A341" s="6">
        <v>90402.0</v>
      </c>
      <c r="B341" s="7" t="s">
        <v>31</v>
      </c>
      <c r="C341" s="7" t="s">
        <v>439</v>
      </c>
      <c r="D341" s="7" t="s">
        <v>103</v>
      </c>
      <c r="E341" s="8">
        <f t="shared" si="2"/>
        <v>19.60784314</v>
      </c>
      <c r="F341" s="9">
        <v>1.0</v>
      </c>
      <c r="G341" s="10">
        <v>51.0</v>
      </c>
      <c r="H341" s="11"/>
    </row>
    <row r="342" ht="15.75" customHeight="1">
      <c r="A342" s="6">
        <v>90501.0</v>
      </c>
      <c r="B342" s="7" t="s">
        <v>31</v>
      </c>
      <c r="C342" s="7" t="s">
        <v>441</v>
      </c>
      <c r="D342" s="7" t="s">
        <v>442</v>
      </c>
      <c r="E342" s="8">
        <f t="shared" si="2"/>
        <v>35.0877193</v>
      </c>
      <c r="F342" s="9">
        <v>2.0</v>
      </c>
      <c r="G342" s="10">
        <v>57.0</v>
      </c>
      <c r="H342" s="11"/>
    </row>
    <row r="343" ht="15.75" customHeight="1">
      <c r="A343" s="6">
        <v>90502.0</v>
      </c>
      <c r="B343" s="7" t="s">
        <v>31</v>
      </c>
      <c r="C343" s="7" t="s">
        <v>441</v>
      </c>
      <c r="D343" s="7" t="s">
        <v>443</v>
      </c>
      <c r="E343" s="8">
        <f t="shared" si="2"/>
        <v>21.73913043</v>
      </c>
      <c r="F343" s="9">
        <v>2.0</v>
      </c>
      <c r="G343" s="10">
        <v>92.0</v>
      </c>
      <c r="H343" s="11"/>
    </row>
    <row r="344" ht="15.75" customHeight="1">
      <c r="A344" s="6">
        <v>90503.0</v>
      </c>
      <c r="B344" s="7" t="s">
        <v>31</v>
      </c>
      <c r="C344" s="7" t="s">
        <v>441</v>
      </c>
      <c r="D344" s="7" t="s">
        <v>444</v>
      </c>
      <c r="E344" s="8">
        <f t="shared" si="2"/>
        <v>0</v>
      </c>
      <c r="F344" s="27">
        <v>0.0</v>
      </c>
      <c r="G344" s="28">
        <v>78.0</v>
      </c>
      <c r="H344" s="11"/>
    </row>
    <row r="345" ht="15.75" customHeight="1">
      <c r="A345" s="29"/>
      <c r="D345" s="30"/>
      <c r="E345" s="31"/>
      <c r="F345" s="32"/>
      <c r="G345" s="32"/>
      <c r="H345" s="33"/>
      <c r="J345" s="24"/>
    </row>
    <row r="346" ht="15.75" customHeight="1">
      <c r="A346" s="29"/>
      <c r="D346" s="30" t="s">
        <v>35</v>
      </c>
      <c r="E346" s="34">
        <f>(F346/G346)*1000</f>
        <v>22.72727273</v>
      </c>
      <c r="F346" s="35">
        <f t="shared" ref="F346:G346" si="13">SUM(F246:F248)</f>
        <v>69</v>
      </c>
      <c r="G346" s="35">
        <f t="shared" si="13"/>
        <v>3036</v>
      </c>
      <c r="H346" s="36"/>
    </row>
    <row r="347" ht="15.75" customHeight="1">
      <c r="A347" s="29"/>
      <c r="D347" s="37"/>
      <c r="E347" s="34"/>
      <c r="F347" s="35"/>
      <c r="G347" s="36"/>
      <c r="H347" s="36"/>
    </row>
    <row r="348" ht="15.75" customHeight="1">
      <c r="A348" s="29"/>
      <c r="D348" s="30"/>
      <c r="E348" s="34"/>
      <c r="F348" s="35"/>
      <c r="G348" s="36"/>
      <c r="H348" s="36"/>
    </row>
    <row r="349" ht="15.75" customHeight="1">
      <c r="A349" s="29"/>
      <c r="D349" s="30"/>
      <c r="E349" s="38"/>
      <c r="F349" s="35"/>
      <c r="G349" s="36"/>
      <c r="H349" s="36"/>
    </row>
    <row r="350" ht="15.75" customHeight="1">
      <c r="A350" s="29"/>
      <c r="D350" s="30"/>
      <c r="E350" s="38"/>
      <c r="F350" s="35"/>
      <c r="G350" s="36"/>
      <c r="H350" s="36"/>
    </row>
    <row r="351" ht="15.75" customHeight="1">
      <c r="A351" s="29"/>
      <c r="D351" s="30"/>
      <c r="E351" s="38"/>
      <c r="F351" s="35"/>
      <c r="G351" s="36"/>
      <c r="H351" s="36"/>
    </row>
    <row r="352" ht="15.75" customHeight="1">
      <c r="A352" s="29"/>
      <c r="D352" s="30"/>
      <c r="F352" s="36"/>
      <c r="H352" s="36"/>
    </row>
    <row r="353" ht="15.75" customHeight="1">
      <c r="A353" s="29"/>
      <c r="C353" s="7" t="s">
        <v>445</v>
      </c>
      <c r="D353" s="39">
        <f>AVERAGE(E1:E344)</f>
        <v>26.54999914</v>
      </c>
      <c r="F353" s="38">
        <f>D353+D354</f>
        <v>49.43128013</v>
      </c>
    </row>
    <row r="354" ht="15.75" customHeight="1">
      <c r="A354" s="29"/>
      <c r="C354" s="7" t="s">
        <v>446</v>
      </c>
      <c r="D354" s="39">
        <f>STDEV(E1:E344)</f>
        <v>22.88128099</v>
      </c>
      <c r="E354" s="40"/>
      <c r="F354" s="38">
        <f>D353-D354</f>
        <v>3.668718154</v>
      </c>
      <c r="G354" s="40"/>
    </row>
    <row r="355" ht="15.75" customHeight="1">
      <c r="A355" s="29"/>
      <c r="C355" s="7" t="s">
        <v>447</v>
      </c>
      <c r="D355" s="39"/>
      <c r="E355" s="40"/>
      <c r="F355" s="38"/>
      <c r="G355" s="40"/>
    </row>
    <row r="356" ht="15.75" customHeight="1">
      <c r="A356" s="29"/>
      <c r="C356" s="7" t="s">
        <v>448</v>
      </c>
      <c r="D356" s="39"/>
      <c r="E356" s="40"/>
      <c r="F356" s="38"/>
    </row>
    <row r="357" ht="15.75" customHeight="1">
      <c r="A357" s="29"/>
      <c r="C357" s="7" t="s">
        <v>449</v>
      </c>
      <c r="D357" s="39"/>
      <c r="E357" s="40"/>
      <c r="F357" s="38"/>
    </row>
    <row r="358" ht="15.75" customHeight="1">
      <c r="A358" s="29"/>
      <c r="D358" s="41"/>
      <c r="E358" s="38"/>
      <c r="F358" s="38"/>
    </row>
    <row r="359" ht="15.75" customHeight="1">
      <c r="A359" s="29"/>
      <c r="D359" s="41"/>
      <c r="F359" s="38"/>
    </row>
    <row r="360" ht="15.75" customHeight="1">
      <c r="A360" s="29"/>
      <c r="D360" s="41"/>
      <c r="F360" s="38"/>
    </row>
    <row r="361" ht="15.75" customHeight="1">
      <c r="A361" s="29"/>
      <c r="D361" s="41"/>
      <c r="F361" s="38"/>
    </row>
    <row r="362" ht="15.75" customHeight="1">
      <c r="A362" s="29"/>
      <c r="D362" s="41"/>
      <c r="F362" s="38"/>
    </row>
    <row r="363" ht="15.75" customHeight="1">
      <c r="A363" s="29"/>
      <c r="D363" s="41"/>
      <c r="F363" s="38"/>
    </row>
    <row r="364" ht="15.75" customHeight="1">
      <c r="A364" s="29"/>
      <c r="D364" s="41"/>
      <c r="F364" s="38"/>
    </row>
    <row r="365" ht="15.75" customHeight="1">
      <c r="A365" s="29"/>
      <c r="D365" s="41"/>
      <c r="F365" s="38"/>
    </row>
    <row r="366" ht="15.75" customHeight="1">
      <c r="A366" s="29"/>
      <c r="D366" s="41"/>
      <c r="F366" s="38"/>
    </row>
    <row r="367" ht="15.75" customHeight="1">
      <c r="A367" s="29"/>
      <c r="D367" s="41"/>
      <c r="F367" s="38"/>
    </row>
    <row r="368" ht="15.75" customHeight="1">
      <c r="A368" s="29"/>
      <c r="D368" s="41"/>
      <c r="F368" s="38"/>
    </row>
    <row r="369" ht="15.75" customHeight="1">
      <c r="A369" s="29"/>
      <c r="D369" s="41"/>
      <c r="F369" s="38"/>
    </row>
    <row r="370" ht="15.75" customHeight="1">
      <c r="A370" s="29"/>
      <c r="D370" s="41"/>
      <c r="F370" s="38"/>
    </row>
    <row r="371" ht="15.75" customHeight="1">
      <c r="A371" s="29"/>
      <c r="D371" s="41"/>
      <c r="F371" s="38"/>
    </row>
    <row r="372" ht="15.75" customHeight="1">
      <c r="A372" s="29"/>
      <c r="D372" s="41"/>
      <c r="F372" s="38"/>
    </row>
    <row r="373" ht="15.75" customHeight="1">
      <c r="A373" s="29"/>
      <c r="D373" s="41"/>
      <c r="F373" s="38"/>
    </row>
    <row r="374" ht="15.75" customHeight="1">
      <c r="A374" s="29"/>
      <c r="D374" s="41"/>
      <c r="F374" s="38"/>
    </row>
    <row r="375" ht="15.75" customHeight="1">
      <c r="A375" s="29"/>
      <c r="D375" s="41"/>
      <c r="F375" s="38"/>
    </row>
    <row r="376" ht="15.75" customHeight="1">
      <c r="A376" s="29"/>
      <c r="D376" s="41"/>
      <c r="F376" s="38"/>
    </row>
    <row r="377" ht="15.75" customHeight="1">
      <c r="A377" s="29"/>
      <c r="D377" s="41"/>
      <c r="F377" s="38"/>
    </row>
    <row r="378" ht="15.75" customHeight="1">
      <c r="A378" s="29"/>
      <c r="D378" s="41"/>
      <c r="F378" s="38"/>
    </row>
    <row r="379" ht="15.75" customHeight="1">
      <c r="A379" s="29"/>
      <c r="D379" s="41"/>
      <c r="F379" s="38"/>
    </row>
    <row r="380" ht="15.75" customHeight="1">
      <c r="A380" s="29"/>
      <c r="D380" s="41"/>
      <c r="F380" s="38"/>
    </row>
    <row r="381" ht="15.75" customHeight="1">
      <c r="A381" s="29"/>
      <c r="D381" s="41"/>
      <c r="F381" s="38"/>
    </row>
    <row r="382" ht="15.75" customHeight="1">
      <c r="A382" s="29"/>
      <c r="D382" s="41"/>
      <c r="F382" s="38"/>
    </row>
    <row r="383" ht="15.75" customHeight="1">
      <c r="A383" s="29"/>
      <c r="D383" s="41"/>
      <c r="F383" s="38"/>
    </row>
    <row r="384" ht="15.75" customHeight="1">
      <c r="A384" s="29"/>
      <c r="D384" s="41"/>
      <c r="F384" s="38"/>
    </row>
    <row r="385" ht="15.75" customHeight="1">
      <c r="A385" s="29"/>
      <c r="D385" s="41"/>
      <c r="F385" s="38"/>
    </row>
    <row r="386" ht="15.75" customHeight="1">
      <c r="A386" s="29"/>
      <c r="D386" s="41"/>
      <c r="F386" s="38"/>
    </row>
    <row r="387" ht="15.75" customHeight="1">
      <c r="A387" s="29"/>
      <c r="D387" s="41"/>
      <c r="F387" s="38"/>
    </row>
    <row r="388" ht="15.75" customHeight="1">
      <c r="A388" s="29"/>
      <c r="D388" s="41"/>
      <c r="F388" s="38"/>
    </row>
    <row r="389" ht="15.75" customHeight="1">
      <c r="A389" s="29"/>
      <c r="D389" s="41"/>
      <c r="F389" s="38"/>
    </row>
    <row r="390" ht="15.75" customHeight="1">
      <c r="A390" s="29"/>
      <c r="D390" s="41"/>
      <c r="F390" s="38"/>
    </row>
    <row r="391" ht="15.75" customHeight="1">
      <c r="A391" s="29"/>
      <c r="D391" s="41"/>
      <c r="F391" s="38"/>
    </row>
    <row r="392" ht="15.75" customHeight="1">
      <c r="A392" s="29"/>
      <c r="D392" s="41"/>
      <c r="F392" s="38"/>
    </row>
    <row r="393" ht="15.75" customHeight="1">
      <c r="A393" s="29"/>
      <c r="D393" s="41"/>
      <c r="F393" s="38"/>
    </row>
    <row r="394" ht="15.75" customHeight="1">
      <c r="A394" s="29"/>
      <c r="D394" s="41"/>
      <c r="F394" s="38"/>
    </row>
    <row r="395" ht="15.75" customHeight="1">
      <c r="A395" s="29"/>
      <c r="D395" s="41"/>
      <c r="F395" s="38"/>
    </row>
    <row r="396" ht="15.75" customHeight="1">
      <c r="A396" s="29"/>
      <c r="D396" s="41"/>
      <c r="F396" s="38"/>
    </row>
    <row r="397" ht="15.75" customHeight="1">
      <c r="A397" s="29"/>
      <c r="D397" s="41"/>
      <c r="F397" s="38"/>
    </row>
    <row r="398" ht="15.75" customHeight="1">
      <c r="A398" s="29"/>
      <c r="D398" s="41"/>
      <c r="F398" s="38"/>
    </row>
    <row r="399" ht="15.75" customHeight="1">
      <c r="A399" s="29"/>
      <c r="D399" s="41"/>
      <c r="F399" s="38"/>
    </row>
    <row r="400" ht="15.75" customHeight="1">
      <c r="A400" s="29"/>
      <c r="D400" s="41"/>
      <c r="F400" s="38"/>
    </row>
    <row r="401" ht="15.75" customHeight="1">
      <c r="A401" s="29"/>
      <c r="D401" s="41"/>
      <c r="F401" s="38"/>
    </row>
    <row r="402" ht="15.75" customHeight="1">
      <c r="A402" s="29"/>
      <c r="D402" s="41"/>
      <c r="F402" s="38"/>
    </row>
    <row r="403" ht="15.75" customHeight="1">
      <c r="A403" s="29"/>
      <c r="D403" s="41"/>
      <c r="F403" s="38"/>
    </row>
    <row r="404" ht="15.75" customHeight="1">
      <c r="A404" s="29"/>
      <c r="D404" s="41"/>
      <c r="F404" s="38"/>
    </row>
    <row r="405" ht="15.75" customHeight="1">
      <c r="A405" s="29"/>
      <c r="D405" s="41"/>
      <c r="F405" s="38"/>
    </row>
    <row r="406" ht="15.75" customHeight="1">
      <c r="A406" s="29"/>
      <c r="D406" s="41"/>
      <c r="F406" s="38"/>
    </row>
    <row r="407" ht="15.75" customHeight="1">
      <c r="A407" s="29"/>
      <c r="D407" s="41"/>
      <c r="F407" s="38"/>
    </row>
    <row r="408" ht="15.75" customHeight="1">
      <c r="A408" s="29"/>
      <c r="D408" s="41"/>
      <c r="F408" s="38"/>
    </row>
    <row r="409" ht="15.75" customHeight="1">
      <c r="A409" s="29"/>
      <c r="D409" s="41"/>
      <c r="F409" s="38"/>
    </row>
    <row r="410" ht="15.75" customHeight="1">
      <c r="A410" s="29"/>
      <c r="D410" s="41"/>
      <c r="F410" s="38"/>
    </row>
    <row r="411" ht="15.75" customHeight="1">
      <c r="A411" s="29"/>
      <c r="D411" s="41"/>
      <c r="F411" s="38"/>
    </row>
    <row r="412" ht="15.75" customHeight="1">
      <c r="A412" s="29"/>
      <c r="D412" s="41"/>
      <c r="F412" s="38"/>
    </row>
    <row r="413" ht="15.75" customHeight="1">
      <c r="A413" s="29"/>
      <c r="D413" s="41"/>
      <c r="F413" s="38"/>
    </row>
    <row r="414" ht="15.75" customHeight="1">
      <c r="A414" s="29"/>
      <c r="D414" s="41"/>
      <c r="F414" s="38"/>
    </row>
    <row r="415" ht="15.75" customHeight="1">
      <c r="A415" s="29"/>
      <c r="D415" s="41"/>
      <c r="F415" s="38"/>
    </row>
    <row r="416" ht="15.75" customHeight="1">
      <c r="A416" s="29"/>
      <c r="D416" s="41"/>
      <c r="F416" s="38"/>
    </row>
    <row r="417" ht="15.75" customHeight="1">
      <c r="A417" s="29"/>
      <c r="D417" s="41"/>
      <c r="F417" s="38"/>
    </row>
    <row r="418" ht="15.75" customHeight="1">
      <c r="A418" s="29"/>
      <c r="D418" s="41"/>
      <c r="F418" s="38"/>
    </row>
    <row r="419" ht="15.75" customHeight="1">
      <c r="A419" s="29"/>
      <c r="D419" s="41"/>
      <c r="F419" s="38"/>
    </row>
    <row r="420" ht="15.75" customHeight="1">
      <c r="A420" s="29"/>
      <c r="D420" s="41"/>
      <c r="F420" s="38"/>
    </row>
    <row r="421" ht="15.75" customHeight="1">
      <c r="A421" s="29"/>
      <c r="D421" s="41"/>
      <c r="F421" s="38"/>
    </row>
    <row r="422" ht="15.75" customHeight="1">
      <c r="A422" s="29"/>
      <c r="D422" s="41"/>
      <c r="F422" s="38"/>
    </row>
    <row r="423" ht="15.75" customHeight="1">
      <c r="A423" s="29"/>
      <c r="D423" s="41"/>
      <c r="F423" s="38"/>
    </row>
    <row r="424" ht="15.75" customHeight="1">
      <c r="A424" s="29"/>
      <c r="D424" s="41"/>
      <c r="F424" s="38"/>
    </row>
    <row r="425" ht="15.75" customHeight="1">
      <c r="A425" s="29"/>
      <c r="D425" s="41"/>
      <c r="F425" s="38"/>
    </row>
    <row r="426" ht="15.75" customHeight="1">
      <c r="A426" s="29"/>
      <c r="D426" s="41"/>
      <c r="F426" s="38"/>
    </row>
    <row r="427" ht="15.75" customHeight="1">
      <c r="A427" s="29"/>
      <c r="D427" s="41"/>
      <c r="F427" s="38"/>
    </row>
    <row r="428" ht="15.75" customHeight="1">
      <c r="A428" s="29"/>
      <c r="D428" s="41"/>
      <c r="F428" s="38"/>
    </row>
    <row r="429" ht="15.75" customHeight="1">
      <c r="A429" s="29"/>
      <c r="D429" s="41"/>
      <c r="F429" s="38"/>
    </row>
    <row r="430" ht="15.75" customHeight="1">
      <c r="A430" s="29"/>
      <c r="D430" s="41"/>
      <c r="F430" s="38"/>
    </row>
    <row r="431" ht="15.75" customHeight="1">
      <c r="A431" s="29"/>
      <c r="D431" s="41"/>
      <c r="F431" s="38"/>
    </row>
    <row r="432" ht="15.75" customHeight="1">
      <c r="A432" s="29"/>
      <c r="D432" s="41"/>
      <c r="F432" s="38"/>
    </row>
    <row r="433" ht="15.75" customHeight="1">
      <c r="A433" s="29"/>
      <c r="D433" s="41"/>
      <c r="F433" s="38"/>
    </row>
    <row r="434" ht="15.75" customHeight="1">
      <c r="A434" s="29"/>
      <c r="D434" s="41"/>
      <c r="F434" s="38"/>
    </row>
    <row r="435" ht="15.75" customHeight="1">
      <c r="A435" s="29"/>
      <c r="D435" s="41"/>
      <c r="F435" s="38"/>
    </row>
    <row r="436" ht="15.75" customHeight="1">
      <c r="A436" s="29"/>
      <c r="D436" s="41"/>
      <c r="F436" s="38"/>
    </row>
    <row r="437" ht="15.75" customHeight="1">
      <c r="A437" s="29"/>
      <c r="D437" s="41"/>
      <c r="F437" s="38"/>
    </row>
    <row r="438" ht="15.75" customHeight="1">
      <c r="A438" s="29"/>
      <c r="D438" s="41"/>
      <c r="F438" s="38"/>
    </row>
    <row r="439" ht="15.75" customHeight="1">
      <c r="A439" s="29"/>
      <c r="D439" s="41"/>
      <c r="F439" s="38"/>
    </row>
    <row r="440" ht="15.75" customHeight="1">
      <c r="A440" s="29"/>
      <c r="D440" s="41"/>
      <c r="F440" s="38"/>
    </row>
    <row r="441" ht="15.75" customHeight="1">
      <c r="A441" s="29"/>
      <c r="D441" s="41"/>
      <c r="F441" s="38"/>
    </row>
    <row r="442" ht="15.75" customHeight="1">
      <c r="A442" s="29"/>
      <c r="D442" s="41"/>
      <c r="F442" s="38"/>
    </row>
    <row r="443" ht="15.75" customHeight="1">
      <c r="A443" s="29"/>
      <c r="D443" s="41"/>
      <c r="F443" s="38"/>
    </row>
    <row r="444" ht="15.75" customHeight="1">
      <c r="A444" s="29"/>
      <c r="D444" s="41"/>
      <c r="F444" s="38"/>
    </row>
    <row r="445" ht="15.75" customHeight="1">
      <c r="A445" s="29"/>
      <c r="D445" s="41"/>
      <c r="F445" s="38"/>
    </row>
    <row r="446" ht="15.75" customHeight="1">
      <c r="A446" s="29"/>
      <c r="D446" s="41"/>
      <c r="F446" s="38"/>
    </row>
    <row r="447" ht="15.75" customHeight="1">
      <c r="A447" s="29"/>
      <c r="D447" s="41"/>
      <c r="F447" s="38"/>
    </row>
    <row r="448" ht="15.75" customHeight="1">
      <c r="A448" s="29"/>
      <c r="D448" s="41"/>
      <c r="F448" s="38"/>
    </row>
    <row r="449" ht="15.75" customHeight="1">
      <c r="A449" s="29"/>
      <c r="D449" s="41"/>
      <c r="F449" s="38"/>
    </row>
    <row r="450" ht="15.75" customHeight="1">
      <c r="A450" s="29"/>
      <c r="D450" s="41"/>
      <c r="F450" s="38"/>
    </row>
    <row r="451" ht="15.75" customHeight="1">
      <c r="A451" s="29"/>
      <c r="D451" s="41"/>
      <c r="F451" s="38"/>
    </row>
    <row r="452" ht="15.75" customHeight="1">
      <c r="A452" s="29"/>
      <c r="D452" s="41"/>
      <c r="F452" s="38"/>
    </row>
    <row r="453" ht="15.75" customHeight="1">
      <c r="A453" s="29"/>
      <c r="D453" s="41"/>
      <c r="F453" s="38"/>
    </row>
    <row r="454" ht="15.75" customHeight="1">
      <c r="A454" s="29"/>
      <c r="D454" s="41"/>
      <c r="F454" s="38"/>
    </row>
    <row r="455" ht="15.75" customHeight="1">
      <c r="A455" s="29"/>
      <c r="D455" s="41"/>
      <c r="F455" s="38"/>
    </row>
    <row r="456" ht="15.75" customHeight="1">
      <c r="A456" s="29"/>
      <c r="D456" s="41"/>
      <c r="F456" s="38"/>
    </row>
    <row r="457" ht="15.75" customHeight="1">
      <c r="A457" s="29"/>
      <c r="D457" s="41"/>
      <c r="F457" s="38"/>
    </row>
    <row r="458" ht="15.75" customHeight="1">
      <c r="A458" s="29"/>
      <c r="D458" s="41"/>
      <c r="F458" s="38"/>
    </row>
    <row r="459" ht="15.75" customHeight="1">
      <c r="A459" s="29"/>
      <c r="D459" s="41"/>
      <c r="F459" s="38"/>
    </row>
    <row r="460" ht="15.75" customHeight="1">
      <c r="A460" s="29"/>
      <c r="D460" s="41"/>
      <c r="F460" s="38"/>
    </row>
    <row r="461" ht="15.75" customHeight="1">
      <c r="A461" s="29"/>
      <c r="D461" s="41"/>
      <c r="F461" s="38"/>
    </row>
    <row r="462" ht="15.75" customHeight="1">
      <c r="A462" s="29"/>
      <c r="D462" s="41"/>
      <c r="F462" s="38"/>
    </row>
    <row r="463" ht="15.75" customHeight="1">
      <c r="A463" s="29"/>
      <c r="D463" s="41"/>
      <c r="F463" s="38"/>
    </row>
    <row r="464" ht="15.75" customHeight="1">
      <c r="A464" s="29"/>
      <c r="D464" s="41"/>
      <c r="F464" s="38"/>
    </row>
    <row r="465" ht="15.75" customHeight="1">
      <c r="A465" s="29"/>
      <c r="D465" s="41"/>
      <c r="F465" s="38"/>
    </row>
    <row r="466" ht="15.75" customHeight="1">
      <c r="A466" s="29"/>
      <c r="D466" s="41"/>
      <c r="F466" s="38"/>
    </row>
    <row r="467" ht="15.75" customHeight="1">
      <c r="A467" s="29"/>
      <c r="D467" s="41"/>
      <c r="F467" s="38"/>
    </row>
    <row r="468" ht="15.75" customHeight="1">
      <c r="A468" s="29"/>
      <c r="D468" s="41"/>
      <c r="F468" s="38"/>
    </row>
    <row r="469" ht="15.75" customHeight="1">
      <c r="A469" s="29"/>
      <c r="D469" s="41"/>
      <c r="F469" s="38"/>
    </row>
    <row r="470" ht="15.75" customHeight="1">
      <c r="A470" s="29"/>
      <c r="D470" s="41"/>
      <c r="F470" s="38"/>
    </row>
    <row r="471" ht="15.75" customHeight="1">
      <c r="A471" s="29"/>
      <c r="D471" s="41"/>
      <c r="F471" s="38"/>
    </row>
    <row r="472" ht="15.75" customHeight="1">
      <c r="A472" s="29"/>
      <c r="D472" s="41"/>
      <c r="F472" s="38"/>
    </row>
    <row r="473" ht="15.75" customHeight="1">
      <c r="A473" s="29"/>
      <c r="D473" s="41"/>
      <c r="F473" s="38"/>
    </row>
    <row r="474" ht="15.75" customHeight="1">
      <c r="A474" s="29"/>
      <c r="D474" s="41"/>
      <c r="F474" s="38"/>
    </row>
    <row r="475" ht="15.75" customHeight="1">
      <c r="A475" s="29"/>
      <c r="D475" s="41"/>
      <c r="F475" s="38"/>
    </row>
    <row r="476" ht="15.75" customHeight="1">
      <c r="A476" s="29"/>
      <c r="D476" s="41"/>
      <c r="F476" s="38"/>
    </row>
    <row r="477" ht="15.75" customHeight="1">
      <c r="A477" s="29"/>
      <c r="D477" s="41"/>
      <c r="F477" s="38"/>
    </row>
    <row r="478" ht="15.75" customHeight="1">
      <c r="A478" s="29"/>
      <c r="D478" s="41"/>
      <c r="F478" s="38"/>
    </row>
    <row r="479" ht="15.75" customHeight="1">
      <c r="A479" s="29"/>
      <c r="D479" s="41"/>
      <c r="F479" s="38"/>
    </row>
    <row r="480" ht="15.75" customHeight="1">
      <c r="A480" s="29"/>
      <c r="D480" s="41"/>
      <c r="F480" s="38"/>
    </row>
    <row r="481" ht="15.75" customHeight="1">
      <c r="A481" s="29"/>
      <c r="D481" s="41"/>
      <c r="F481" s="38"/>
    </row>
    <row r="482" ht="15.75" customHeight="1">
      <c r="A482" s="29"/>
      <c r="D482" s="41"/>
      <c r="F482" s="38"/>
    </row>
    <row r="483" ht="15.75" customHeight="1">
      <c r="A483" s="29"/>
      <c r="D483" s="41"/>
      <c r="F483" s="38"/>
    </row>
    <row r="484" ht="15.75" customHeight="1">
      <c r="A484" s="29"/>
      <c r="D484" s="41"/>
      <c r="F484" s="38"/>
    </row>
    <row r="485" ht="15.75" customHeight="1">
      <c r="A485" s="29"/>
      <c r="D485" s="41"/>
      <c r="F485" s="38"/>
    </row>
    <row r="486" ht="15.75" customHeight="1">
      <c r="A486" s="29"/>
      <c r="D486" s="41"/>
      <c r="F486" s="38"/>
    </row>
    <row r="487" ht="15.75" customHeight="1">
      <c r="A487" s="29"/>
      <c r="D487" s="41"/>
      <c r="F487" s="38"/>
    </row>
    <row r="488" ht="15.75" customHeight="1">
      <c r="A488" s="29"/>
      <c r="D488" s="41"/>
      <c r="F488" s="38"/>
    </row>
    <row r="489" ht="15.75" customHeight="1">
      <c r="A489" s="29"/>
      <c r="D489" s="41"/>
      <c r="F489" s="38"/>
    </row>
    <row r="490" ht="15.75" customHeight="1">
      <c r="A490" s="29"/>
      <c r="D490" s="41"/>
      <c r="F490" s="38"/>
    </row>
    <row r="491" ht="15.75" customHeight="1">
      <c r="A491" s="29"/>
      <c r="D491" s="41"/>
      <c r="F491" s="38"/>
    </row>
    <row r="492" ht="15.75" customHeight="1">
      <c r="A492" s="29"/>
      <c r="D492" s="41"/>
      <c r="F492" s="38"/>
    </row>
    <row r="493" ht="15.75" customHeight="1">
      <c r="A493" s="29"/>
      <c r="D493" s="41"/>
      <c r="F493" s="38"/>
    </row>
    <row r="494" ht="15.75" customHeight="1">
      <c r="A494" s="29"/>
      <c r="D494" s="41"/>
      <c r="F494" s="38"/>
    </row>
    <row r="495" ht="15.75" customHeight="1">
      <c r="A495" s="29"/>
      <c r="D495" s="41"/>
      <c r="F495" s="38"/>
    </row>
    <row r="496" ht="15.75" customHeight="1">
      <c r="A496" s="29"/>
      <c r="D496" s="41"/>
      <c r="F496" s="38"/>
    </row>
    <row r="497" ht="15.75" customHeight="1">
      <c r="A497" s="29"/>
      <c r="D497" s="41"/>
      <c r="F497" s="38"/>
    </row>
    <row r="498" ht="15.75" customHeight="1">
      <c r="A498" s="29"/>
      <c r="D498" s="41"/>
      <c r="F498" s="38"/>
    </row>
    <row r="499" ht="15.75" customHeight="1">
      <c r="A499" s="29"/>
      <c r="D499" s="41"/>
      <c r="F499" s="38"/>
    </row>
    <row r="500" ht="15.75" customHeight="1">
      <c r="A500" s="29"/>
      <c r="D500" s="41"/>
      <c r="F500" s="38"/>
    </row>
    <row r="501" ht="15.75" customHeight="1">
      <c r="A501" s="29"/>
      <c r="D501" s="41"/>
      <c r="F501" s="38"/>
    </row>
    <row r="502" ht="15.75" customHeight="1">
      <c r="A502" s="29"/>
      <c r="D502" s="41"/>
      <c r="F502" s="38"/>
    </row>
    <row r="503" ht="15.75" customHeight="1">
      <c r="A503" s="29"/>
      <c r="D503" s="41"/>
      <c r="F503" s="38"/>
    </row>
    <row r="504" ht="15.75" customHeight="1">
      <c r="A504" s="29"/>
      <c r="D504" s="41"/>
      <c r="F504" s="38"/>
    </row>
    <row r="505" ht="15.75" customHeight="1">
      <c r="A505" s="29"/>
      <c r="D505" s="41"/>
      <c r="F505" s="38"/>
    </row>
    <row r="506" ht="15.75" customHeight="1">
      <c r="A506" s="29"/>
      <c r="D506" s="41"/>
      <c r="F506" s="38"/>
    </row>
    <row r="507" ht="15.75" customHeight="1">
      <c r="A507" s="29"/>
      <c r="D507" s="41"/>
      <c r="F507" s="38"/>
    </row>
    <row r="508" ht="15.75" customHeight="1">
      <c r="A508" s="29"/>
      <c r="D508" s="41"/>
      <c r="F508" s="38"/>
    </row>
    <row r="509" ht="15.75" customHeight="1">
      <c r="A509" s="29"/>
      <c r="D509" s="41"/>
      <c r="F509" s="38"/>
    </row>
    <row r="510" ht="15.75" customHeight="1">
      <c r="A510" s="29"/>
      <c r="D510" s="41"/>
      <c r="F510" s="38"/>
    </row>
    <row r="511" ht="15.75" customHeight="1">
      <c r="A511" s="29"/>
      <c r="D511" s="41"/>
      <c r="F511" s="38"/>
    </row>
    <row r="512" ht="15.75" customHeight="1">
      <c r="A512" s="29"/>
      <c r="D512" s="41"/>
      <c r="F512" s="38"/>
    </row>
    <row r="513" ht="15.75" customHeight="1">
      <c r="A513" s="29"/>
      <c r="D513" s="41"/>
      <c r="F513" s="38"/>
    </row>
    <row r="514" ht="15.75" customHeight="1">
      <c r="A514" s="29"/>
      <c r="D514" s="41"/>
      <c r="F514" s="38"/>
    </row>
    <row r="515" ht="15.75" customHeight="1">
      <c r="A515" s="29"/>
      <c r="D515" s="41"/>
      <c r="F515" s="38"/>
    </row>
    <row r="516" ht="15.75" customHeight="1">
      <c r="A516" s="29"/>
      <c r="D516" s="41"/>
      <c r="F516" s="38"/>
    </row>
    <row r="517" ht="15.75" customHeight="1">
      <c r="A517" s="29"/>
      <c r="D517" s="41"/>
      <c r="F517" s="38"/>
    </row>
    <row r="518" ht="15.75" customHeight="1">
      <c r="A518" s="29"/>
      <c r="D518" s="41"/>
      <c r="F518" s="38"/>
    </row>
    <row r="519" ht="15.75" customHeight="1">
      <c r="A519" s="29"/>
      <c r="D519" s="41"/>
      <c r="F519" s="38"/>
    </row>
    <row r="520" ht="15.75" customHeight="1">
      <c r="A520" s="29"/>
      <c r="D520" s="41"/>
      <c r="F520" s="38"/>
    </row>
    <row r="521" ht="15.75" customHeight="1">
      <c r="A521" s="29"/>
      <c r="D521" s="41"/>
      <c r="F521" s="38"/>
    </row>
    <row r="522" ht="15.75" customHeight="1">
      <c r="A522" s="29"/>
      <c r="D522" s="41"/>
      <c r="F522" s="38"/>
    </row>
    <row r="523" ht="15.75" customHeight="1">
      <c r="A523" s="29"/>
      <c r="D523" s="41"/>
      <c r="F523" s="38"/>
    </row>
    <row r="524" ht="15.75" customHeight="1">
      <c r="A524" s="29"/>
      <c r="D524" s="41"/>
      <c r="F524" s="38"/>
    </row>
    <row r="525" ht="15.75" customHeight="1">
      <c r="A525" s="29"/>
      <c r="D525" s="41"/>
      <c r="F525" s="38"/>
    </row>
    <row r="526" ht="15.75" customHeight="1">
      <c r="A526" s="29"/>
      <c r="D526" s="41"/>
      <c r="F526" s="38"/>
    </row>
    <row r="527" ht="15.75" customHeight="1">
      <c r="A527" s="29"/>
      <c r="D527" s="41"/>
      <c r="F527" s="38"/>
    </row>
    <row r="528" ht="15.75" customHeight="1">
      <c r="A528" s="29"/>
      <c r="D528" s="41"/>
      <c r="F528" s="38"/>
    </row>
    <row r="529" ht="15.75" customHeight="1">
      <c r="A529" s="29"/>
      <c r="D529" s="41"/>
      <c r="F529" s="38"/>
    </row>
    <row r="530" ht="15.75" customHeight="1">
      <c r="A530" s="29"/>
      <c r="D530" s="41"/>
      <c r="F530" s="38"/>
    </row>
    <row r="531" ht="15.75" customHeight="1">
      <c r="A531" s="29"/>
      <c r="D531" s="41"/>
      <c r="F531" s="38"/>
    </row>
    <row r="532" ht="15.75" customHeight="1">
      <c r="A532" s="29"/>
      <c r="D532" s="41"/>
      <c r="F532" s="38"/>
    </row>
    <row r="533" ht="15.75" customHeight="1">
      <c r="A533" s="29"/>
      <c r="D533" s="41"/>
      <c r="F533" s="38"/>
    </row>
    <row r="534" ht="15.75" customHeight="1">
      <c r="A534" s="29"/>
      <c r="D534" s="41"/>
      <c r="F534" s="38"/>
    </row>
    <row r="535" ht="15.75" customHeight="1">
      <c r="A535" s="29"/>
      <c r="D535" s="41"/>
      <c r="F535" s="38"/>
    </row>
    <row r="536" ht="15.75" customHeight="1">
      <c r="A536" s="29"/>
      <c r="D536" s="41"/>
      <c r="F536" s="38"/>
    </row>
    <row r="537" ht="15.75" customHeight="1">
      <c r="A537" s="29"/>
      <c r="D537" s="41"/>
      <c r="F537" s="38"/>
    </row>
    <row r="538" ht="15.75" customHeight="1">
      <c r="A538" s="29"/>
      <c r="D538" s="41"/>
      <c r="F538" s="38"/>
    </row>
    <row r="539" ht="15.75" customHeight="1">
      <c r="A539" s="29"/>
      <c r="D539" s="41"/>
      <c r="F539" s="38"/>
    </row>
    <row r="540" ht="15.75" customHeight="1">
      <c r="A540" s="29"/>
      <c r="D540" s="41"/>
      <c r="F540" s="38"/>
    </row>
    <row r="541" ht="15.75" customHeight="1">
      <c r="A541" s="29"/>
      <c r="D541" s="41"/>
      <c r="F541" s="38"/>
    </row>
    <row r="542" ht="15.75" customHeight="1">
      <c r="A542" s="29"/>
      <c r="D542" s="41"/>
      <c r="F542" s="38"/>
    </row>
    <row r="543" ht="15.75" customHeight="1">
      <c r="A543" s="29"/>
      <c r="D543" s="41"/>
      <c r="F543" s="38"/>
    </row>
    <row r="544" ht="15.75" customHeight="1">
      <c r="A544" s="29"/>
      <c r="D544" s="41"/>
      <c r="F544" s="38"/>
    </row>
    <row r="545" ht="15.75" customHeight="1">
      <c r="A545" s="29"/>
      <c r="D545" s="41"/>
      <c r="F545" s="38"/>
    </row>
    <row r="546" ht="15.75" customHeight="1">
      <c r="A546" s="29"/>
      <c r="D546" s="41"/>
      <c r="F546" s="38"/>
    </row>
    <row r="547" ht="15.75" customHeight="1">
      <c r="A547" s="29"/>
      <c r="D547" s="41"/>
      <c r="F547" s="38"/>
    </row>
    <row r="548" ht="15.75" customHeight="1">
      <c r="A548" s="29"/>
      <c r="D548" s="41"/>
      <c r="F548" s="38"/>
    </row>
    <row r="549" ht="15.75" customHeight="1">
      <c r="A549" s="29"/>
      <c r="D549" s="41"/>
      <c r="F549" s="38"/>
    </row>
    <row r="550" ht="15.75" customHeight="1">
      <c r="A550" s="29"/>
      <c r="D550" s="41"/>
      <c r="F550" s="38"/>
    </row>
    <row r="551" ht="15.75" customHeight="1">
      <c r="A551" s="29"/>
      <c r="D551" s="41"/>
      <c r="F551" s="38"/>
    </row>
    <row r="552" ht="15.75" customHeight="1">
      <c r="A552" s="29"/>
      <c r="D552" s="41"/>
      <c r="F552" s="38"/>
    </row>
    <row r="553" ht="15.75" customHeight="1">
      <c r="A553" s="29"/>
      <c r="D553" s="41"/>
      <c r="F553" s="38"/>
    </row>
    <row r="554" ht="15.75" customHeight="1">
      <c r="A554" s="29"/>
      <c r="D554" s="41"/>
      <c r="F554" s="38"/>
    </row>
    <row r="555" ht="15.75" customHeight="1">
      <c r="A555" s="29"/>
      <c r="D555" s="41"/>
      <c r="F555" s="38"/>
    </row>
    <row r="556" ht="15.75" customHeight="1">
      <c r="A556" s="29"/>
      <c r="D556" s="41"/>
      <c r="F556" s="38"/>
    </row>
    <row r="557" ht="15.75" customHeight="1">
      <c r="A557" s="29"/>
      <c r="D557" s="41"/>
      <c r="F557" s="38"/>
    </row>
    <row r="558" ht="15.75" customHeight="1">
      <c r="A558" s="29"/>
    </row>
    <row r="559" ht="15.75" customHeight="1">
      <c r="A559" s="29"/>
    </row>
    <row r="560" ht="15.75" customHeight="1">
      <c r="A560" s="29"/>
    </row>
    <row r="561" ht="15.75" customHeight="1">
      <c r="A561" s="29"/>
    </row>
    <row r="562" ht="15.75" customHeight="1">
      <c r="A562" s="29"/>
    </row>
    <row r="563" ht="15.75" customHeight="1">
      <c r="A563" s="29"/>
    </row>
    <row r="564" ht="15.75" customHeight="1">
      <c r="A564" s="29"/>
    </row>
    <row r="565" ht="15.75" customHeight="1">
      <c r="A565" s="29"/>
    </row>
    <row r="566" ht="15.75" customHeight="1">
      <c r="A566" s="29"/>
    </row>
    <row r="567" ht="15.75" customHeight="1">
      <c r="A567" s="29"/>
    </row>
    <row r="568" ht="15.75" customHeight="1">
      <c r="A568" s="29"/>
    </row>
    <row r="569" ht="15.75" customHeight="1">
      <c r="A569" s="29"/>
    </row>
    <row r="570" ht="15.75" customHeight="1">
      <c r="A570" s="29"/>
    </row>
    <row r="571" ht="15.75" customHeight="1">
      <c r="A571" s="29"/>
    </row>
    <row r="572" ht="15.75" customHeight="1">
      <c r="A572" s="29"/>
    </row>
    <row r="573" ht="15.75" customHeight="1">
      <c r="A573" s="29"/>
    </row>
    <row r="574" ht="15.75" customHeight="1">
      <c r="A574" s="29"/>
    </row>
    <row r="575" ht="15.75" customHeight="1">
      <c r="A575" s="29"/>
    </row>
    <row r="576" ht="15.75" customHeight="1">
      <c r="A576" s="29"/>
    </row>
    <row r="577" ht="15.75" customHeight="1">
      <c r="A577" s="29"/>
    </row>
    <row r="578" ht="15.75" customHeight="1">
      <c r="A578" s="29"/>
    </row>
    <row r="579" ht="15.75" customHeight="1">
      <c r="A579" s="29"/>
    </row>
    <row r="580" ht="15.75" customHeight="1">
      <c r="A580" s="29"/>
    </row>
    <row r="581" ht="15.75" customHeight="1">
      <c r="A581" s="29"/>
    </row>
    <row r="582" ht="15.75" customHeight="1">
      <c r="A582" s="29"/>
    </row>
    <row r="583" ht="15.75" customHeight="1">
      <c r="A583" s="29"/>
    </row>
    <row r="584" ht="15.75" customHeight="1">
      <c r="A584" s="29"/>
    </row>
    <row r="585" ht="15.75" customHeight="1">
      <c r="A585" s="29"/>
    </row>
    <row r="586" ht="15.75" customHeight="1">
      <c r="A586" s="29"/>
    </row>
    <row r="587" ht="15.75" customHeight="1">
      <c r="A587" s="29"/>
    </row>
    <row r="588" ht="15.75" customHeight="1">
      <c r="A588" s="29"/>
    </row>
    <row r="589" ht="15.75" customHeight="1">
      <c r="A589" s="29"/>
    </row>
    <row r="590" ht="15.75" customHeight="1">
      <c r="A590" s="29"/>
    </row>
    <row r="591" ht="15.75" customHeight="1">
      <c r="A591" s="29"/>
    </row>
    <row r="592" ht="15.75" customHeight="1">
      <c r="A592" s="29"/>
    </row>
    <row r="593" ht="15.75" customHeight="1">
      <c r="A593" s="29"/>
    </row>
    <row r="594" ht="15.75" customHeight="1">
      <c r="A594" s="29"/>
    </row>
    <row r="595" ht="15.75" customHeight="1">
      <c r="A595" s="29"/>
    </row>
    <row r="596" ht="15.75" customHeight="1">
      <c r="A596" s="29"/>
    </row>
    <row r="597" ht="15.75" customHeight="1">
      <c r="A597" s="29"/>
    </row>
    <row r="598" ht="15.75" customHeight="1">
      <c r="A598" s="29"/>
    </row>
    <row r="599" ht="15.75" customHeight="1">
      <c r="A599" s="29"/>
    </row>
    <row r="600" ht="15.75" customHeight="1">
      <c r="A600" s="29"/>
    </row>
    <row r="601" ht="15.75" customHeight="1">
      <c r="A601" s="29"/>
    </row>
    <row r="602" ht="15.75" customHeight="1">
      <c r="A602" s="29"/>
    </row>
    <row r="603" ht="15.75" customHeight="1">
      <c r="A603" s="29"/>
    </row>
    <row r="604" ht="15.75" customHeight="1">
      <c r="A604" s="29"/>
    </row>
    <row r="605" ht="15.75" customHeight="1">
      <c r="A605" s="29"/>
    </row>
    <row r="606" ht="15.75" customHeight="1">
      <c r="A606" s="29"/>
    </row>
    <row r="607" ht="15.75" customHeight="1">
      <c r="A607" s="29"/>
    </row>
    <row r="608" ht="15.75" customHeight="1">
      <c r="A608" s="29"/>
    </row>
    <row r="609" ht="15.75" customHeight="1">
      <c r="A609" s="29"/>
    </row>
    <row r="610" ht="15.75" customHeight="1">
      <c r="A610" s="29"/>
    </row>
    <row r="611" ht="15.75" customHeight="1">
      <c r="A611" s="29"/>
    </row>
    <row r="612" ht="15.75" customHeight="1">
      <c r="A612" s="29"/>
    </row>
    <row r="613" ht="15.75" customHeight="1">
      <c r="A613" s="29"/>
    </row>
    <row r="614" ht="15.75" customHeight="1">
      <c r="A614" s="29"/>
    </row>
    <row r="615" ht="15.75" customHeight="1">
      <c r="A615" s="29"/>
    </row>
    <row r="616" ht="15.75" customHeight="1">
      <c r="A616" s="29"/>
    </row>
    <row r="617" ht="15.75" customHeight="1">
      <c r="A617" s="29"/>
    </row>
    <row r="618" ht="15.75" customHeight="1">
      <c r="A618" s="29"/>
    </row>
    <row r="619" ht="15.75" customHeight="1">
      <c r="A619" s="29"/>
    </row>
    <row r="620" ht="15.75" customHeight="1">
      <c r="A620" s="29"/>
    </row>
    <row r="621" ht="15.75" customHeight="1">
      <c r="A621" s="29"/>
    </row>
    <row r="622" ht="15.75" customHeight="1">
      <c r="A622" s="29"/>
    </row>
    <row r="623" ht="15.75" customHeight="1">
      <c r="A623" s="29"/>
    </row>
    <row r="624" ht="15.75" customHeight="1">
      <c r="A624" s="29"/>
    </row>
    <row r="625" ht="15.75" customHeight="1">
      <c r="A625" s="29"/>
    </row>
    <row r="626" ht="15.75" customHeight="1">
      <c r="A626" s="29"/>
    </row>
    <row r="627" ht="15.75" customHeight="1">
      <c r="A627" s="29"/>
    </row>
    <row r="628" ht="15.75" customHeight="1">
      <c r="A628" s="29"/>
    </row>
    <row r="629" ht="15.75" customHeight="1">
      <c r="A629" s="29"/>
    </row>
    <row r="630" ht="15.75" customHeight="1">
      <c r="A630" s="29"/>
    </row>
    <row r="631" ht="15.75" customHeight="1">
      <c r="A631" s="29"/>
    </row>
    <row r="632" ht="15.75" customHeight="1">
      <c r="A632" s="29"/>
    </row>
    <row r="633" ht="15.75" customHeight="1">
      <c r="A633" s="29"/>
    </row>
    <row r="634" ht="15.75" customHeight="1">
      <c r="A634" s="29"/>
    </row>
    <row r="635" ht="15.75" customHeight="1">
      <c r="A635" s="29"/>
    </row>
    <row r="636" ht="15.75" customHeight="1">
      <c r="A636" s="29"/>
    </row>
    <row r="637" ht="15.75" customHeight="1">
      <c r="A637" s="29"/>
    </row>
    <row r="638" ht="15.75" customHeight="1">
      <c r="A638" s="29"/>
    </row>
    <row r="639" ht="15.75" customHeight="1">
      <c r="A639" s="29"/>
    </row>
    <row r="640" ht="15.75" customHeight="1">
      <c r="A640" s="29"/>
    </row>
    <row r="641" ht="15.75" customHeight="1">
      <c r="A641" s="29"/>
    </row>
    <row r="642" ht="15.75" customHeight="1">
      <c r="A642" s="29"/>
    </row>
    <row r="643" ht="15.75" customHeight="1">
      <c r="A643" s="29"/>
    </row>
    <row r="644" ht="15.75" customHeight="1">
      <c r="A644" s="29"/>
    </row>
    <row r="645" ht="15.75" customHeight="1">
      <c r="A645" s="29"/>
    </row>
    <row r="646" ht="15.75" customHeight="1">
      <c r="A646" s="29"/>
    </row>
    <row r="647" ht="15.75" customHeight="1">
      <c r="A647" s="29"/>
    </row>
    <row r="648" ht="15.75" customHeight="1">
      <c r="A648" s="29"/>
    </row>
    <row r="649" ht="15.75" customHeight="1">
      <c r="A649" s="29"/>
    </row>
    <row r="650" ht="15.75" customHeight="1">
      <c r="A650" s="29"/>
    </row>
    <row r="651" ht="15.75" customHeight="1">
      <c r="A651" s="29"/>
    </row>
    <row r="652" ht="15.75" customHeight="1">
      <c r="A652" s="29"/>
    </row>
    <row r="653" ht="15.75" customHeight="1">
      <c r="A653" s="29"/>
    </row>
    <row r="654" ht="15.75" customHeight="1">
      <c r="A654" s="29"/>
    </row>
    <row r="655" ht="15.75" customHeight="1">
      <c r="A655" s="29"/>
    </row>
    <row r="656" ht="15.75" customHeight="1">
      <c r="A656" s="29"/>
    </row>
    <row r="657" ht="15.75" customHeight="1">
      <c r="A657" s="29"/>
    </row>
    <row r="658" ht="15.75" customHeight="1">
      <c r="A658" s="29"/>
    </row>
    <row r="659" ht="15.75" customHeight="1">
      <c r="A659" s="29"/>
    </row>
    <row r="660" ht="15.75" customHeight="1">
      <c r="A660" s="29"/>
    </row>
    <row r="661" ht="15.75" customHeight="1">
      <c r="A661" s="29"/>
    </row>
    <row r="662" ht="15.75" customHeight="1">
      <c r="A662" s="29"/>
    </row>
    <row r="663" ht="15.75" customHeight="1">
      <c r="A663" s="29"/>
    </row>
    <row r="664" ht="15.75" customHeight="1">
      <c r="A664" s="29"/>
    </row>
    <row r="665" ht="15.75" customHeight="1">
      <c r="A665" s="29"/>
    </row>
    <row r="666" ht="15.75" customHeight="1">
      <c r="A666" s="29"/>
    </row>
    <row r="667" ht="15.75" customHeight="1">
      <c r="A667" s="29"/>
    </row>
    <row r="668" ht="15.75" customHeight="1">
      <c r="A668" s="29"/>
    </row>
    <row r="669" ht="15.75" customHeight="1">
      <c r="A669" s="29"/>
    </row>
    <row r="670" ht="15.75" customHeight="1">
      <c r="A670" s="29"/>
    </row>
    <row r="671" ht="15.75" customHeight="1">
      <c r="A671" s="29"/>
    </row>
    <row r="672" ht="15.75" customHeight="1">
      <c r="A672" s="29"/>
    </row>
    <row r="673" ht="15.75" customHeight="1">
      <c r="A673" s="29"/>
    </row>
    <row r="674" ht="15.75" customHeight="1">
      <c r="A674" s="29"/>
    </row>
    <row r="675" ht="15.75" customHeight="1">
      <c r="A675" s="29"/>
    </row>
    <row r="676" ht="15.75" customHeight="1">
      <c r="A676" s="29"/>
    </row>
    <row r="677" ht="15.75" customHeight="1">
      <c r="A677" s="29"/>
    </row>
    <row r="678" ht="15.75" customHeight="1">
      <c r="A678" s="29"/>
    </row>
    <row r="679" ht="15.75" customHeight="1">
      <c r="A679" s="29"/>
    </row>
    <row r="680" ht="15.75" customHeight="1">
      <c r="A680" s="29"/>
    </row>
    <row r="681" ht="15.75" customHeight="1">
      <c r="A681" s="29"/>
    </row>
    <row r="682" ht="15.75" customHeight="1">
      <c r="A682" s="29"/>
    </row>
    <row r="683" ht="15.75" customHeight="1">
      <c r="A683" s="29"/>
    </row>
    <row r="684" ht="15.75" customHeight="1">
      <c r="A684" s="29"/>
    </row>
    <row r="685" ht="15.75" customHeight="1">
      <c r="A685" s="29"/>
    </row>
    <row r="686" ht="15.75" customHeight="1">
      <c r="A686" s="29"/>
    </row>
    <row r="687" ht="15.75" customHeight="1">
      <c r="A687" s="29"/>
    </row>
    <row r="688" ht="15.75" customHeight="1">
      <c r="A688" s="29"/>
    </row>
    <row r="689" ht="15.75" customHeight="1">
      <c r="A689" s="29"/>
    </row>
    <row r="690" ht="15.75" customHeight="1">
      <c r="A690" s="29"/>
    </row>
    <row r="691" ht="15.75" customHeight="1">
      <c r="A691" s="29"/>
    </row>
    <row r="692" ht="15.75" customHeight="1">
      <c r="A692" s="29"/>
    </row>
    <row r="693" ht="15.75" customHeight="1">
      <c r="A693" s="29"/>
    </row>
    <row r="694" ht="15.75" customHeight="1">
      <c r="A694" s="29"/>
    </row>
    <row r="695" ht="15.75" customHeight="1">
      <c r="A695" s="29"/>
    </row>
    <row r="696" ht="15.75" customHeight="1">
      <c r="A696" s="29"/>
    </row>
    <row r="697" ht="15.75" customHeight="1">
      <c r="A697" s="29"/>
    </row>
    <row r="698" ht="15.75" customHeight="1">
      <c r="A698" s="29"/>
    </row>
    <row r="699" ht="15.75" customHeight="1">
      <c r="A699" s="29"/>
    </row>
    <row r="700" ht="15.75" customHeight="1">
      <c r="A700" s="29"/>
    </row>
    <row r="701" ht="15.75" customHeight="1">
      <c r="A701" s="29"/>
    </row>
    <row r="702" ht="15.75" customHeight="1">
      <c r="A702" s="29"/>
    </row>
    <row r="703" ht="15.75" customHeight="1">
      <c r="A703" s="29"/>
    </row>
    <row r="704" ht="15.75" customHeight="1">
      <c r="A704" s="29"/>
    </row>
    <row r="705" ht="15.75" customHeight="1">
      <c r="A705" s="29"/>
    </row>
    <row r="706" ht="15.75" customHeight="1">
      <c r="A706" s="29"/>
    </row>
    <row r="707" ht="15.75" customHeight="1">
      <c r="A707" s="29"/>
    </row>
    <row r="708" ht="15.75" customHeight="1">
      <c r="A708" s="29"/>
    </row>
    <row r="709" ht="15.75" customHeight="1">
      <c r="A709" s="29"/>
    </row>
    <row r="710" ht="15.75" customHeight="1">
      <c r="A710" s="29"/>
    </row>
    <row r="711" ht="15.75" customHeight="1">
      <c r="A711" s="29"/>
    </row>
    <row r="712" ht="15.75" customHeight="1">
      <c r="A712" s="29"/>
    </row>
    <row r="713" ht="15.75" customHeight="1">
      <c r="A713" s="29"/>
    </row>
    <row r="714" ht="15.75" customHeight="1">
      <c r="A714" s="29"/>
    </row>
    <row r="715" ht="15.75" customHeight="1">
      <c r="A715" s="29"/>
    </row>
    <row r="716" ht="15.75" customHeight="1">
      <c r="A716" s="29"/>
    </row>
    <row r="717" ht="15.75" customHeight="1">
      <c r="A717" s="29"/>
    </row>
    <row r="718" ht="15.75" customHeight="1">
      <c r="A718" s="29"/>
    </row>
    <row r="719" ht="15.75" customHeight="1">
      <c r="A719" s="29"/>
    </row>
    <row r="720" ht="15.75" customHeight="1">
      <c r="A720" s="29"/>
    </row>
    <row r="721" ht="15.75" customHeight="1">
      <c r="A721" s="29"/>
    </row>
    <row r="722" ht="15.75" customHeight="1">
      <c r="A722" s="29"/>
    </row>
    <row r="723" ht="15.75" customHeight="1">
      <c r="A723" s="29"/>
    </row>
    <row r="724" ht="15.75" customHeight="1">
      <c r="A724" s="29"/>
    </row>
    <row r="725" ht="15.75" customHeight="1">
      <c r="A725" s="29"/>
    </row>
    <row r="726" ht="15.75" customHeight="1">
      <c r="A726" s="29"/>
    </row>
    <row r="727" ht="15.75" customHeight="1">
      <c r="A727" s="29"/>
    </row>
    <row r="728" ht="15.75" customHeight="1">
      <c r="A728" s="29"/>
    </row>
    <row r="729" ht="15.75" customHeight="1">
      <c r="A729" s="29"/>
    </row>
    <row r="730" ht="15.75" customHeight="1">
      <c r="A730" s="29"/>
    </row>
    <row r="731" ht="15.75" customHeight="1">
      <c r="A731" s="29"/>
    </row>
    <row r="732" ht="15.75" customHeight="1">
      <c r="A732" s="29"/>
    </row>
    <row r="733" ht="15.75" customHeight="1">
      <c r="A733" s="29"/>
    </row>
    <row r="734" ht="15.75" customHeight="1">
      <c r="A734" s="29"/>
    </row>
    <row r="735" ht="15.75" customHeight="1">
      <c r="A735" s="29"/>
    </row>
    <row r="736" ht="15.75" customHeight="1">
      <c r="A736" s="29"/>
    </row>
    <row r="737" ht="15.75" customHeight="1">
      <c r="A737" s="29"/>
    </row>
    <row r="738" ht="15.75" customHeight="1">
      <c r="A738" s="29"/>
    </row>
    <row r="739" ht="15.75" customHeight="1">
      <c r="A739" s="29"/>
    </row>
    <row r="740" ht="15.75" customHeight="1">
      <c r="A740" s="29"/>
    </row>
    <row r="741" ht="15.75" customHeight="1">
      <c r="A741" s="29"/>
    </row>
    <row r="742" ht="15.75" customHeight="1">
      <c r="A742" s="29"/>
    </row>
    <row r="743" ht="15.75" customHeight="1">
      <c r="A743" s="29"/>
    </row>
    <row r="744" ht="15.75" customHeight="1">
      <c r="A744" s="29"/>
    </row>
    <row r="745" ht="15.75" customHeight="1">
      <c r="A745" s="29"/>
    </row>
    <row r="746" ht="15.75" customHeight="1">
      <c r="A746" s="29"/>
    </row>
    <row r="747" ht="15.75" customHeight="1">
      <c r="A747" s="29"/>
    </row>
    <row r="748" ht="15.75" customHeight="1">
      <c r="A748" s="29"/>
    </row>
    <row r="749" ht="15.75" customHeight="1">
      <c r="A749" s="29"/>
    </row>
    <row r="750" ht="15.75" customHeight="1">
      <c r="A750" s="29"/>
    </row>
    <row r="751" ht="15.75" customHeight="1">
      <c r="A751" s="29"/>
    </row>
    <row r="752" ht="15.75" customHeight="1">
      <c r="A752" s="29"/>
    </row>
    <row r="753" ht="15.75" customHeight="1">
      <c r="A753" s="29"/>
    </row>
    <row r="754" ht="15.75" customHeight="1">
      <c r="A754" s="29"/>
    </row>
    <row r="755" ht="15.75" customHeight="1">
      <c r="A755" s="29"/>
    </row>
    <row r="756" ht="15.75" customHeight="1">
      <c r="A756" s="29"/>
    </row>
    <row r="757" ht="15.75" customHeight="1">
      <c r="A757" s="29"/>
    </row>
    <row r="758" ht="15.75" customHeight="1">
      <c r="A758" s="29"/>
    </row>
    <row r="759" ht="15.75" customHeight="1">
      <c r="A759" s="29"/>
    </row>
    <row r="760" ht="15.75" customHeight="1">
      <c r="A760" s="29"/>
    </row>
    <row r="761" ht="15.75" customHeight="1">
      <c r="A761" s="29"/>
    </row>
    <row r="762" ht="15.75" customHeight="1">
      <c r="A762" s="29"/>
    </row>
    <row r="763" ht="15.75" customHeight="1">
      <c r="A763" s="29"/>
    </row>
    <row r="764" ht="15.75" customHeight="1">
      <c r="A764" s="29"/>
    </row>
    <row r="765" ht="15.75" customHeight="1">
      <c r="A765" s="29"/>
    </row>
    <row r="766" ht="15.75" customHeight="1">
      <c r="A766" s="29"/>
    </row>
    <row r="767" ht="15.75" customHeight="1">
      <c r="A767" s="29"/>
    </row>
    <row r="768" ht="15.75" customHeight="1">
      <c r="A768" s="29"/>
    </row>
    <row r="769" ht="15.75" customHeight="1">
      <c r="A769" s="29"/>
    </row>
    <row r="770" ht="15.75" customHeight="1">
      <c r="A770" s="29"/>
    </row>
    <row r="771" ht="15.75" customHeight="1">
      <c r="A771" s="29"/>
    </row>
    <row r="772" ht="15.75" customHeight="1">
      <c r="A772" s="29"/>
    </row>
    <row r="773" ht="15.75" customHeight="1">
      <c r="A773" s="29"/>
    </row>
    <row r="774" ht="15.75" customHeight="1">
      <c r="A774" s="29"/>
    </row>
    <row r="775" ht="15.75" customHeight="1">
      <c r="A775" s="29"/>
    </row>
    <row r="776" ht="15.75" customHeight="1">
      <c r="A776" s="29"/>
    </row>
    <row r="777" ht="15.75" customHeight="1">
      <c r="A777" s="29"/>
    </row>
    <row r="778" ht="15.75" customHeight="1">
      <c r="A778" s="29"/>
    </row>
    <row r="779" ht="15.75" customHeight="1">
      <c r="A779" s="29"/>
    </row>
    <row r="780" ht="15.75" customHeight="1">
      <c r="A780" s="29"/>
    </row>
    <row r="781" ht="15.75" customHeight="1">
      <c r="A781" s="29"/>
    </row>
    <row r="782" ht="15.75" customHeight="1">
      <c r="A782" s="29"/>
    </row>
    <row r="783" ht="15.75" customHeight="1">
      <c r="A783" s="29"/>
    </row>
    <row r="784" ht="15.75" customHeight="1">
      <c r="A784" s="29"/>
    </row>
    <row r="785" ht="15.75" customHeight="1">
      <c r="A785" s="29"/>
    </row>
    <row r="786" ht="15.75" customHeight="1">
      <c r="A786" s="29"/>
    </row>
    <row r="787" ht="15.75" customHeight="1">
      <c r="A787" s="29"/>
    </row>
    <row r="788" ht="15.75" customHeight="1">
      <c r="A788" s="29"/>
    </row>
    <row r="789" ht="15.75" customHeight="1">
      <c r="A789" s="29"/>
    </row>
    <row r="790" ht="15.75" customHeight="1">
      <c r="A790" s="29"/>
    </row>
    <row r="791" ht="15.75" customHeight="1">
      <c r="A791" s="29"/>
    </row>
    <row r="792" ht="15.75" customHeight="1">
      <c r="A792" s="29"/>
    </row>
    <row r="793" ht="15.75" customHeight="1">
      <c r="A793" s="29"/>
    </row>
    <row r="794" ht="15.75" customHeight="1">
      <c r="A794" s="29"/>
    </row>
    <row r="795" ht="15.75" customHeight="1">
      <c r="A795" s="29"/>
    </row>
    <row r="796" ht="15.75" customHeight="1">
      <c r="A796" s="29"/>
    </row>
    <row r="797" ht="15.75" customHeight="1">
      <c r="A797" s="29"/>
    </row>
    <row r="798" ht="15.75" customHeight="1">
      <c r="A798" s="29"/>
    </row>
    <row r="799" ht="15.75" customHeight="1">
      <c r="A799" s="29"/>
    </row>
    <row r="800" ht="15.75" customHeight="1">
      <c r="A800" s="29"/>
    </row>
    <row r="801" ht="15.75" customHeight="1">
      <c r="A801" s="29"/>
    </row>
    <row r="802" ht="15.75" customHeight="1">
      <c r="A802" s="29"/>
    </row>
    <row r="803" ht="15.75" customHeight="1">
      <c r="A803" s="29"/>
    </row>
    <row r="804" ht="15.75" customHeight="1">
      <c r="A804" s="29"/>
    </row>
    <row r="805" ht="15.75" customHeight="1">
      <c r="A805" s="29"/>
    </row>
    <row r="806" ht="15.75" customHeight="1">
      <c r="A806" s="29"/>
    </row>
    <row r="807" ht="15.75" customHeight="1">
      <c r="A807" s="29"/>
    </row>
    <row r="808" ht="15.75" customHeight="1">
      <c r="A808" s="29"/>
    </row>
    <row r="809" ht="15.75" customHeight="1">
      <c r="A809" s="29"/>
    </row>
    <row r="810" ht="15.75" customHeight="1">
      <c r="A810" s="29"/>
    </row>
    <row r="811" ht="15.75" customHeight="1">
      <c r="A811" s="29"/>
    </row>
    <row r="812" ht="15.75" customHeight="1">
      <c r="A812" s="29"/>
    </row>
    <row r="813" ht="15.75" customHeight="1">
      <c r="A813" s="29"/>
    </row>
    <row r="814" ht="15.75" customHeight="1">
      <c r="A814" s="29"/>
    </row>
    <row r="815" ht="15.75" customHeight="1">
      <c r="A815" s="29"/>
    </row>
    <row r="816" ht="15.75" customHeight="1">
      <c r="A816" s="29"/>
    </row>
    <row r="817" ht="15.75" customHeight="1">
      <c r="A817" s="29"/>
    </row>
    <row r="818" ht="15.75" customHeight="1">
      <c r="A818" s="29"/>
    </row>
    <row r="819" ht="15.75" customHeight="1">
      <c r="A819" s="29"/>
    </row>
    <row r="820" ht="15.75" customHeight="1">
      <c r="A820" s="29"/>
    </row>
    <row r="821" ht="15.75" customHeight="1">
      <c r="A821" s="29"/>
    </row>
    <row r="822" ht="15.75" customHeight="1">
      <c r="A822" s="29"/>
    </row>
    <row r="823" ht="15.75" customHeight="1">
      <c r="A823" s="29"/>
    </row>
    <row r="824" ht="15.75" customHeight="1">
      <c r="A824" s="29"/>
    </row>
    <row r="825" ht="15.75" customHeight="1">
      <c r="A825" s="29"/>
    </row>
    <row r="826" ht="15.75" customHeight="1">
      <c r="A826" s="29"/>
    </row>
    <row r="827" ht="15.75" customHeight="1">
      <c r="A827" s="29"/>
    </row>
    <row r="828" ht="15.75" customHeight="1">
      <c r="A828" s="29"/>
    </row>
    <row r="829" ht="15.75" customHeight="1">
      <c r="A829" s="29"/>
    </row>
    <row r="830" ht="15.75" customHeight="1">
      <c r="A830" s="29"/>
    </row>
    <row r="831" ht="15.75" customHeight="1">
      <c r="A831" s="29"/>
    </row>
    <row r="832" ht="15.75" customHeight="1">
      <c r="A832" s="29"/>
    </row>
    <row r="833" ht="15.75" customHeight="1">
      <c r="A833" s="29"/>
    </row>
    <row r="834" ht="15.75" customHeight="1">
      <c r="A834" s="29"/>
    </row>
    <row r="835" ht="15.75" customHeight="1">
      <c r="A835" s="29"/>
    </row>
    <row r="836" ht="15.75" customHeight="1">
      <c r="A836" s="29"/>
    </row>
    <row r="837" ht="15.75" customHeight="1">
      <c r="A837" s="29"/>
    </row>
    <row r="838" ht="15.75" customHeight="1">
      <c r="A838" s="29"/>
    </row>
    <row r="839" ht="15.75" customHeight="1">
      <c r="A839" s="29"/>
    </row>
    <row r="840" ht="15.75" customHeight="1">
      <c r="A840" s="29"/>
    </row>
    <row r="841" ht="15.75" customHeight="1">
      <c r="A841" s="29"/>
    </row>
    <row r="842" ht="15.75" customHeight="1">
      <c r="A842" s="29"/>
    </row>
    <row r="843" ht="15.75" customHeight="1">
      <c r="A843" s="29"/>
    </row>
    <row r="844" ht="15.75" customHeight="1">
      <c r="A844" s="29"/>
    </row>
    <row r="845" ht="15.75" customHeight="1">
      <c r="A845" s="29"/>
    </row>
    <row r="846" ht="15.75" customHeight="1">
      <c r="A846" s="29"/>
    </row>
    <row r="847" ht="15.75" customHeight="1">
      <c r="A847" s="29"/>
    </row>
    <row r="848" ht="15.75" customHeight="1">
      <c r="A848" s="29"/>
    </row>
    <row r="849" ht="15.75" customHeight="1">
      <c r="A849" s="29"/>
    </row>
    <row r="850" ht="15.75" customHeight="1">
      <c r="A850" s="29"/>
    </row>
    <row r="851" ht="15.75" customHeight="1">
      <c r="A851" s="29"/>
    </row>
    <row r="852" ht="15.75" customHeight="1">
      <c r="A852" s="29"/>
    </row>
    <row r="853" ht="15.75" customHeight="1">
      <c r="A853" s="29"/>
    </row>
    <row r="854" ht="15.75" customHeight="1">
      <c r="A854" s="29"/>
    </row>
    <row r="855" ht="15.75" customHeight="1">
      <c r="A855" s="29"/>
    </row>
    <row r="856" ht="15.75" customHeight="1">
      <c r="A856" s="29"/>
    </row>
    <row r="857" ht="15.75" customHeight="1">
      <c r="A857" s="29"/>
    </row>
    <row r="858" ht="15.75" customHeight="1">
      <c r="A858" s="29"/>
    </row>
    <row r="859" ht="15.75" customHeight="1">
      <c r="A859" s="29"/>
    </row>
    <row r="860" ht="15.75" customHeight="1">
      <c r="A860" s="29"/>
    </row>
    <row r="861" ht="15.75" customHeight="1">
      <c r="A861" s="29"/>
    </row>
    <row r="862" ht="15.75" customHeight="1">
      <c r="A862" s="29"/>
    </row>
    <row r="863" ht="15.75" customHeight="1">
      <c r="A863" s="29"/>
    </row>
    <row r="864" ht="15.75" customHeight="1">
      <c r="A864" s="29"/>
    </row>
    <row r="865" ht="15.75" customHeight="1">
      <c r="A865" s="29"/>
    </row>
    <row r="866" ht="15.75" customHeight="1">
      <c r="A866" s="29"/>
    </row>
    <row r="867" ht="15.75" customHeight="1">
      <c r="A867" s="29"/>
    </row>
    <row r="868" ht="15.75" customHeight="1">
      <c r="A868" s="29"/>
    </row>
    <row r="869" ht="15.75" customHeight="1">
      <c r="A869" s="29"/>
    </row>
    <row r="870" ht="15.75" customHeight="1">
      <c r="A870" s="29"/>
    </row>
    <row r="871" ht="15.75" customHeight="1">
      <c r="A871" s="29"/>
    </row>
    <row r="872" ht="15.75" customHeight="1">
      <c r="A872" s="29"/>
    </row>
    <row r="873" ht="15.75" customHeight="1">
      <c r="A873" s="29"/>
    </row>
    <row r="874" ht="15.75" customHeight="1">
      <c r="A874" s="29"/>
    </row>
    <row r="875" ht="15.75" customHeight="1">
      <c r="A875" s="29"/>
    </row>
    <row r="876" ht="15.75" customHeight="1">
      <c r="A876" s="29"/>
    </row>
    <row r="877" ht="15.75" customHeight="1">
      <c r="A877" s="29"/>
    </row>
    <row r="878" ht="15.75" customHeight="1">
      <c r="A878" s="29"/>
    </row>
    <row r="879" ht="15.75" customHeight="1">
      <c r="A879" s="29"/>
    </row>
    <row r="880" ht="15.75" customHeight="1">
      <c r="A880" s="29"/>
    </row>
    <row r="881" ht="15.75" customHeight="1">
      <c r="A881" s="29"/>
    </row>
    <row r="882" ht="15.75" customHeight="1">
      <c r="A882" s="29"/>
    </row>
    <row r="883" ht="15.75" customHeight="1">
      <c r="A883" s="29"/>
    </row>
    <row r="884" ht="15.75" customHeight="1">
      <c r="A884" s="29"/>
    </row>
    <row r="885" ht="15.75" customHeight="1">
      <c r="A885" s="29"/>
    </row>
    <row r="886" ht="15.75" customHeight="1">
      <c r="A886" s="29"/>
    </row>
    <row r="887" ht="15.75" customHeight="1">
      <c r="A887" s="29"/>
    </row>
    <row r="888" ht="15.75" customHeight="1">
      <c r="A888" s="29"/>
    </row>
    <row r="889" ht="15.75" customHeight="1">
      <c r="A889" s="29"/>
    </row>
    <row r="890" ht="15.75" customHeight="1">
      <c r="A890" s="29"/>
    </row>
    <row r="891" ht="15.75" customHeight="1">
      <c r="A891" s="29"/>
    </row>
    <row r="892" ht="15.75" customHeight="1">
      <c r="A892" s="29"/>
    </row>
    <row r="893" ht="15.75" customHeight="1">
      <c r="A893" s="29"/>
    </row>
    <row r="894" ht="15.75" customHeight="1">
      <c r="A894" s="29"/>
    </row>
    <row r="895" ht="15.75" customHeight="1">
      <c r="A895" s="29"/>
    </row>
    <row r="896" ht="15.75" customHeight="1">
      <c r="A896" s="29"/>
    </row>
    <row r="897" ht="15.75" customHeight="1">
      <c r="A897" s="29"/>
    </row>
    <row r="898" ht="15.75" customHeight="1">
      <c r="A898" s="29"/>
    </row>
    <row r="899" ht="15.75" customHeight="1">
      <c r="A899" s="29"/>
    </row>
    <row r="900" ht="15.75" customHeight="1">
      <c r="A900" s="29"/>
    </row>
    <row r="901" ht="15.75" customHeight="1">
      <c r="A901" s="29"/>
    </row>
    <row r="902" ht="15.75" customHeight="1">
      <c r="A902" s="29"/>
    </row>
    <row r="903" ht="15.75" customHeight="1">
      <c r="A903" s="29"/>
    </row>
    <row r="904" ht="15.75" customHeight="1">
      <c r="A904" s="29"/>
    </row>
    <row r="905" ht="15.75" customHeight="1">
      <c r="A905" s="29"/>
    </row>
    <row r="906" ht="15.75" customHeight="1">
      <c r="A906" s="29"/>
    </row>
    <row r="907" ht="15.75" customHeight="1">
      <c r="A907" s="29"/>
    </row>
    <row r="908" ht="15.75" customHeight="1">
      <c r="A908" s="29"/>
    </row>
    <row r="909" ht="15.75" customHeight="1">
      <c r="A909" s="29"/>
    </row>
    <row r="910" ht="15.75" customHeight="1">
      <c r="A910" s="29"/>
    </row>
    <row r="911" ht="15.75" customHeight="1">
      <c r="A911" s="29"/>
    </row>
    <row r="912" ht="15.75" customHeight="1">
      <c r="A912" s="29"/>
    </row>
    <row r="913" ht="15.75" customHeight="1">
      <c r="A913" s="29"/>
    </row>
    <row r="914" ht="15.75" customHeight="1">
      <c r="A914" s="29"/>
    </row>
    <row r="915" ht="15.75" customHeight="1">
      <c r="A915" s="29"/>
    </row>
    <row r="916" ht="15.75" customHeight="1">
      <c r="A916" s="29"/>
    </row>
    <row r="917" ht="15.75" customHeight="1">
      <c r="A917" s="29"/>
    </row>
    <row r="918" ht="15.75" customHeight="1">
      <c r="A918" s="29"/>
    </row>
    <row r="919" ht="15.75" customHeight="1">
      <c r="A919" s="29"/>
    </row>
    <row r="920" ht="15.75" customHeight="1">
      <c r="A920" s="29"/>
    </row>
    <row r="921" ht="15.75" customHeight="1">
      <c r="A921" s="29"/>
    </row>
    <row r="922" ht="15.75" customHeight="1">
      <c r="A922" s="29"/>
    </row>
    <row r="923" ht="15.75" customHeight="1">
      <c r="A923" s="29"/>
    </row>
    <row r="924" ht="15.75" customHeight="1">
      <c r="A924" s="29"/>
    </row>
    <row r="925" ht="15.75" customHeight="1">
      <c r="A925" s="29"/>
    </row>
    <row r="926" ht="15.75" customHeight="1">
      <c r="A926" s="29"/>
    </row>
    <row r="927" ht="15.75" customHeight="1">
      <c r="A927" s="29"/>
    </row>
    <row r="928" ht="15.75" customHeight="1">
      <c r="A928" s="29"/>
    </row>
    <row r="929" ht="15.75" customHeight="1">
      <c r="A929" s="29"/>
    </row>
    <row r="930" ht="15.75" customHeight="1">
      <c r="A930" s="29"/>
    </row>
    <row r="931" ht="15.75" customHeight="1">
      <c r="A931" s="29"/>
    </row>
    <row r="932" ht="15.75" customHeight="1">
      <c r="A932" s="29"/>
    </row>
    <row r="933" ht="15.75" customHeight="1">
      <c r="A933" s="29"/>
    </row>
    <row r="934" ht="15.75" customHeight="1">
      <c r="A934" s="29"/>
    </row>
    <row r="935" ht="15.75" customHeight="1">
      <c r="A935" s="29"/>
    </row>
    <row r="936" ht="15.75" customHeight="1">
      <c r="A936" s="29"/>
    </row>
    <row r="937" ht="15.75" customHeight="1">
      <c r="A937" s="29"/>
    </row>
    <row r="938" ht="15.75" customHeight="1">
      <c r="A938" s="29"/>
    </row>
    <row r="939" ht="15.75" customHeight="1">
      <c r="A939" s="29"/>
    </row>
    <row r="940" ht="15.75" customHeight="1">
      <c r="A940" s="29"/>
    </row>
    <row r="941" ht="15.75" customHeight="1">
      <c r="A941" s="29"/>
    </row>
    <row r="942" ht="15.75" customHeight="1">
      <c r="A942" s="29"/>
    </row>
    <row r="943" ht="15.75" customHeight="1">
      <c r="A943" s="29"/>
    </row>
    <row r="944" ht="15.75" customHeight="1">
      <c r="A944" s="29"/>
    </row>
    <row r="945" ht="15.75" customHeight="1">
      <c r="A945" s="29"/>
    </row>
    <row r="946" ht="15.75" customHeight="1">
      <c r="A946" s="29"/>
    </row>
    <row r="947" ht="15.75" customHeight="1">
      <c r="A947" s="29"/>
    </row>
    <row r="948" ht="15.75" customHeight="1">
      <c r="A948" s="29"/>
    </row>
    <row r="949" ht="15.75" customHeight="1">
      <c r="A949" s="29"/>
    </row>
    <row r="950" ht="15.75" customHeight="1">
      <c r="A950" s="29"/>
    </row>
    <row r="951" ht="15.75" customHeight="1">
      <c r="A951" s="29"/>
    </row>
    <row r="952" ht="15.75" customHeight="1">
      <c r="A952" s="29"/>
    </row>
    <row r="953" ht="15.75" customHeight="1">
      <c r="A953" s="29"/>
    </row>
    <row r="954" ht="15.75" customHeight="1">
      <c r="A954" s="29"/>
    </row>
    <row r="955" ht="15.75" customHeight="1">
      <c r="A955" s="29"/>
    </row>
    <row r="956" ht="15.75" customHeight="1">
      <c r="A956" s="29"/>
    </row>
    <row r="957" ht="15.75" customHeight="1">
      <c r="A957" s="29"/>
    </row>
    <row r="958" ht="15.75" customHeight="1">
      <c r="A958" s="29"/>
    </row>
    <row r="959" ht="15.75" customHeight="1">
      <c r="A959" s="29"/>
    </row>
    <row r="960" ht="15.75" customHeight="1">
      <c r="A960" s="29"/>
    </row>
    <row r="961" ht="15.75" customHeight="1">
      <c r="A961" s="29"/>
    </row>
    <row r="962" ht="15.75" customHeight="1">
      <c r="A962" s="29"/>
    </row>
    <row r="963" ht="15.75" customHeight="1">
      <c r="A963" s="29"/>
    </row>
    <row r="964" ht="15.75" customHeight="1">
      <c r="A964" s="29"/>
    </row>
    <row r="965" ht="15.75" customHeight="1">
      <c r="A965" s="29"/>
    </row>
    <row r="966" ht="15.75" customHeight="1">
      <c r="A966" s="29"/>
    </row>
    <row r="967" ht="15.75" customHeight="1">
      <c r="A967" s="29"/>
    </row>
    <row r="968" ht="15.75" customHeight="1">
      <c r="A968" s="29"/>
    </row>
    <row r="969" ht="15.75" customHeight="1">
      <c r="A969" s="29"/>
    </row>
    <row r="970" ht="15.75" customHeight="1">
      <c r="A970" s="29"/>
    </row>
    <row r="971" ht="15.75" customHeight="1">
      <c r="A971" s="29"/>
    </row>
    <row r="972" ht="15.75" customHeight="1">
      <c r="A972" s="29"/>
    </row>
    <row r="973" ht="15.75" customHeight="1">
      <c r="A973" s="29"/>
    </row>
    <row r="974" ht="15.75" customHeight="1">
      <c r="A974" s="29"/>
    </row>
    <row r="975" ht="15.75" customHeight="1">
      <c r="A975" s="29"/>
    </row>
    <row r="976" ht="15.75" customHeight="1">
      <c r="A976" s="29"/>
    </row>
    <row r="977" ht="15.75" customHeight="1">
      <c r="A977" s="29"/>
    </row>
    <row r="978" ht="15.75" customHeight="1">
      <c r="A978" s="29"/>
    </row>
    <row r="979" ht="15.75" customHeight="1">
      <c r="A979" s="29"/>
    </row>
    <row r="980" ht="15.75" customHeight="1">
      <c r="A980" s="29"/>
    </row>
    <row r="981" ht="15.75" customHeight="1">
      <c r="A981" s="29"/>
    </row>
    <row r="982" ht="15.75" customHeight="1">
      <c r="A982" s="29"/>
    </row>
    <row r="983" ht="15.75" customHeight="1">
      <c r="A983" s="29"/>
    </row>
    <row r="984" ht="15.75" customHeight="1">
      <c r="A984" s="29"/>
    </row>
    <row r="985" ht="15.75" customHeight="1">
      <c r="A985" s="29"/>
    </row>
    <row r="986" ht="15.75" customHeight="1">
      <c r="A986" s="29"/>
    </row>
    <row r="987" ht="15.75" customHeight="1">
      <c r="A987" s="29"/>
    </row>
    <row r="988" ht="15.75" customHeight="1">
      <c r="A988" s="29"/>
    </row>
    <row r="989" ht="15.75" customHeight="1">
      <c r="A989" s="29"/>
    </row>
    <row r="990" ht="15.75" customHeight="1">
      <c r="A990" s="29"/>
    </row>
    <row r="991" ht="15.75" customHeight="1">
      <c r="A991" s="29"/>
    </row>
    <row r="992" ht="15.75" customHeight="1">
      <c r="A992" s="29"/>
    </row>
    <row r="993" ht="15.75" customHeight="1">
      <c r="A993" s="29"/>
    </row>
    <row r="994" ht="15.75" customHeight="1">
      <c r="A994" s="29"/>
    </row>
    <row r="995" ht="15.75" customHeight="1">
      <c r="A995" s="29"/>
    </row>
    <row r="996" ht="15.75" customHeight="1">
      <c r="A996" s="29"/>
    </row>
    <row r="997" ht="15.75" customHeight="1">
      <c r="A997" s="29"/>
    </row>
    <row r="998" ht="15.75" customHeight="1">
      <c r="A998" s="29"/>
    </row>
    <row r="999" ht="15.75" customHeight="1">
      <c r="A999" s="29"/>
    </row>
    <row r="1000" ht="15.75" customHeight="1">
      <c r="A1000" s="29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2" max="2" width="14.13"/>
    <col customWidth="1" min="3" max="3" width="9.38"/>
    <col customWidth="1" min="4" max="4" width="11.75"/>
    <col customWidth="1" min="5" max="5" width="21.13"/>
    <col customWidth="1" min="6" max="6" width="19.5"/>
    <col customWidth="1" min="7" max="9" width="18.38"/>
    <col customWidth="1" min="10" max="10" width="14.75"/>
    <col customWidth="1" min="11" max="11" width="9.38"/>
    <col customWidth="1" min="12" max="12" width="13.13"/>
    <col customWidth="1" min="13" max="13" width="19.75"/>
    <col customWidth="1" min="14" max="14" width="14.13"/>
    <col customWidth="1" min="15" max="15" width="16.88"/>
    <col customWidth="1" min="16" max="30" width="9.38"/>
  </cols>
  <sheetData>
    <row r="1" ht="6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450</v>
      </c>
      <c r="F1" s="42" t="s">
        <v>451</v>
      </c>
      <c r="G1" s="2" t="s">
        <v>452</v>
      </c>
      <c r="H1" s="2" t="s">
        <v>453</v>
      </c>
      <c r="I1" s="2" t="s">
        <v>454</v>
      </c>
      <c r="J1" s="43"/>
      <c r="K1" s="4"/>
      <c r="L1" s="2" t="s">
        <v>7</v>
      </c>
      <c r="M1" s="2" t="s">
        <v>455</v>
      </c>
      <c r="N1" s="2" t="s">
        <v>456</v>
      </c>
      <c r="O1" s="5" t="s">
        <v>457</v>
      </c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6">
        <v>10101.0</v>
      </c>
      <c r="B2" s="7" t="s">
        <v>11</v>
      </c>
      <c r="C2" s="7" t="s">
        <v>12</v>
      </c>
      <c r="D2" s="7" t="s">
        <v>13</v>
      </c>
      <c r="E2" s="8">
        <f t="shared" ref="E2:E344" si="3">(F2/G2)*1000</f>
        <v>7.139095324</v>
      </c>
      <c r="F2" s="26">
        <v>122.0</v>
      </c>
      <c r="G2" s="20">
        <v>17089.0</v>
      </c>
      <c r="H2" s="20">
        <f t="shared" ref="H2:I2" si="1">F2/5</f>
        <v>24.4</v>
      </c>
      <c r="I2" s="20">
        <f t="shared" si="1"/>
        <v>3417.8</v>
      </c>
      <c r="J2" s="44"/>
      <c r="L2" s="7" t="s">
        <v>11</v>
      </c>
      <c r="M2" s="12">
        <f t="shared" ref="M2:N2" si="2">SUM(F2:F30)</f>
        <v>330</v>
      </c>
      <c r="N2" s="12">
        <f t="shared" si="2"/>
        <v>35806</v>
      </c>
      <c r="O2" s="45">
        <f t="shared" ref="O2:O11" si="6">(M2/N2)*1000</f>
        <v>9.216332458</v>
      </c>
      <c r="P2" s="14"/>
    </row>
    <row r="3">
      <c r="A3" s="6">
        <v>10102.0</v>
      </c>
      <c r="B3" s="7" t="s">
        <v>11</v>
      </c>
      <c r="C3" s="7" t="s">
        <v>12</v>
      </c>
      <c r="D3" s="7" t="s">
        <v>14</v>
      </c>
      <c r="E3" s="8">
        <f t="shared" si="3"/>
        <v>17.34104046</v>
      </c>
      <c r="F3" s="26">
        <v>9.0</v>
      </c>
      <c r="G3" s="20">
        <v>519.0</v>
      </c>
      <c r="H3" s="20">
        <f t="shared" ref="H3:I3" si="4">F3/5</f>
        <v>1.8</v>
      </c>
      <c r="I3" s="20">
        <f t="shared" si="4"/>
        <v>103.8</v>
      </c>
      <c r="J3" s="36"/>
      <c r="L3" s="7" t="s">
        <v>15</v>
      </c>
      <c r="M3" s="15">
        <f t="shared" ref="M3:N3" si="5">+SUM(F31:F117)</f>
        <v>2288</v>
      </c>
      <c r="N3" s="15">
        <f t="shared" si="5"/>
        <v>175213</v>
      </c>
      <c r="O3" s="45">
        <f t="shared" si="6"/>
        <v>13.05839179</v>
      </c>
      <c r="P3" s="14"/>
    </row>
    <row r="4">
      <c r="A4" s="6">
        <v>10103.0</v>
      </c>
      <c r="B4" s="7" t="s">
        <v>11</v>
      </c>
      <c r="C4" s="7" t="s">
        <v>12</v>
      </c>
      <c r="D4" s="7" t="s">
        <v>16</v>
      </c>
      <c r="E4" s="8">
        <f t="shared" si="3"/>
        <v>18.4544406</v>
      </c>
      <c r="F4" s="26">
        <v>16.0</v>
      </c>
      <c r="G4" s="20">
        <v>867.0</v>
      </c>
      <c r="H4" s="20">
        <f t="shared" ref="H4:I4" si="7">F4/5</f>
        <v>3.2</v>
      </c>
      <c r="I4" s="20">
        <f t="shared" si="7"/>
        <v>173.4</v>
      </c>
      <c r="J4" s="36"/>
      <c r="L4" s="7" t="s">
        <v>17</v>
      </c>
      <c r="M4" s="15">
        <f t="shared" ref="M4:N4" si="8">+SUM(F118:F165)</f>
        <v>1317</v>
      </c>
      <c r="N4" s="15">
        <f t="shared" si="8"/>
        <v>128674</v>
      </c>
      <c r="O4" s="45">
        <f t="shared" si="6"/>
        <v>10.23516794</v>
      </c>
      <c r="P4" s="14"/>
    </row>
    <row r="5">
      <c r="A5" s="6">
        <v>10201.0</v>
      </c>
      <c r="B5" s="7" t="s">
        <v>11</v>
      </c>
      <c r="C5" s="7" t="s">
        <v>18</v>
      </c>
      <c r="D5" s="7" t="s">
        <v>19</v>
      </c>
      <c r="E5" s="8">
        <f t="shared" si="3"/>
        <v>15.29636711</v>
      </c>
      <c r="F5" s="26">
        <v>8.0</v>
      </c>
      <c r="G5" s="20">
        <v>523.0</v>
      </c>
      <c r="H5" s="20">
        <f t="shared" ref="H5:I5" si="9">F5/5</f>
        <v>1.6</v>
      </c>
      <c r="I5" s="20">
        <f t="shared" si="9"/>
        <v>104.6</v>
      </c>
      <c r="J5" s="36"/>
      <c r="L5" s="7" t="s">
        <v>20</v>
      </c>
      <c r="M5" s="15">
        <f t="shared" ref="M5:N5" si="10">+SUM(F166:F200)</f>
        <v>455</v>
      </c>
      <c r="N5" s="15">
        <f t="shared" si="10"/>
        <v>35024</v>
      </c>
      <c r="O5" s="45">
        <f t="shared" si="6"/>
        <v>12.99109182</v>
      </c>
      <c r="P5" s="14"/>
    </row>
    <row r="6">
      <c r="A6" s="6">
        <v>10202.0</v>
      </c>
      <c r="B6" s="7" t="s">
        <v>11</v>
      </c>
      <c r="C6" s="7" t="s">
        <v>18</v>
      </c>
      <c r="D6" s="7" t="s">
        <v>21</v>
      </c>
      <c r="E6" s="8">
        <f t="shared" si="3"/>
        <v>10.58710298</v>
      </c>
      <c r="F6" s="26">
        <v>11.0</v>
      </c>
      <c r="G6" s="20">
        <v>1039.0</v>
      </c>
      <c r="H6" s="20">
        <f t="shared" ref="H6:I6" si="11">F6/5</f>
        <v>2.2</v>
      </c>
      <c r="I6" s="20">
        <f t="shared" si="11"/>
        <v>207.8</v>
      </c>
      <c r="J6" s="36"/>
      <c r="L6" s="7" t="s">
        <v>22</v>
      </c>
      <c r="M6" s="15">
        <f t="shared" ref="M6:N6" si="12">+SUM(F201:F242)</f>
        <v>979</v>
      </c>
      <c r="N6" s="15">
        <f t="shared" si="12"/>
        <v>57031</v>
      </c>
      <c r="O6" s="45">
        <f t="shared" si="6"/>
        <v>17.16610265</v>
      </c>
      <c r="P6" s="14"/>
    </row>
    <row r="7">
      <c r="A7" s="6">
        <v>10301.0</v>
      </c>
      <c r="B7" s="7" t="s">
        <v>11</v>
      </c>
      <c r="C7" s="7" t="s">
        <v>23</v>
      </c>
      <c r="D7" s="7" t="s">
        <v>24</v>
      </c>
      <c r="E7" s="8">
        <f t="shared" si="3"/>
        <v>3.731343284</v>
      </c>
      <c r="F7" s="26">
        <v>3.0</v>
      </c>
      <c r="G7" s="20">
        <v>804.0</v>
      </c>
      <c r="H7" s="20">
        <f t="shared" ref="H7:I7" si="13">F7/5</f>
        <v>0.6</v>
      </c>
      <c r="I7" s="20">
        <f t="shared" si="13"/>
        <v>160.8</v>
      </c>
      <c r="J7" s="36"/>
      <c r="L7" s="7" t="s">
        <v>25</v>
      </c>
      <c r="M7" s="15">
        <f t="shared" ref="M7:N7" si="14">+SUM(F243:F253)</f>
        <v>201</v>
      </c>
      <c r="N7" s="15">
        <f t="shared" si="14"/>
        <v>31547</v>
      </c>
      <c r="O7" s="45">
        <f t="shared" si="6"/>
        <v>6.371445779</v>
      </c>
      <c r="P7" s="14"/>
    </row>
    <row r="8">
      <c r="A8" s="6">
        <v>10302.0</v>
      </c>
      <c r="B8" s="7" t="s">
        <v>11</v>
      </c>
      <c r="C8" s="7" t="s">
        <v>23</v>
      </c>
      <c r="D8" s="7" t="s">
        <v>26</v>
      </c>
      <c r="E8" s="8">
        <f t="shared" si="3"/>
        <v>10.26957638</v>
      </c>
      <c r="F8" s="26">
        <v>8.0</v>
      </c>
      <c r="G8" s="20">
        <v>779.0</v>
      </c>
      <c r="H8" s="20">
        <f t="shared" ref="H8:I8" si="15">F8/5</f>
        <v>1.6</v>
      </c>
      <c r="I8" s="20">
        <f t="shared" si="15"/>
        <v>155.8</v>
      </c>
      <c r="J8" s="36"/>
      <c r="L8" s="7" t="s">
        <v>27</v>
      </c>
      <c r="M8" s="15">
        <f t="shared" ref="M8:N8" si="16">+SUM(F254:F309)</f>
        <v>1631</v>
      </c>
      <c r="N8" s="15">
        <f t="shared" si="16"/>
        <v>210592</v>
      </c>
      <c r="O8" s="45">
        <f t="shared" si="6"/>
        <v>7.744833612</v>
      </c>
      <c r="P8" s="14"/>
    </row>
    <row r="9">
      <c r="A9" s="6">
        <v>10303.0</v>
      </c>
      <c r="B9" s="7" t="s">
        <v>11</v>
      </c>
      <c r="C9" s="7" t="s">
        <v>23</v>
      </c>
      <c r="D9" s="7" t="s">
        <v>28</v>
      </c>
      <c r="E9" s="8">
        <f t="shared" si="3"/>
        <v>9.140767824</v>
      </c>
      <c r="F9" s="26">
        <v>5.0</v>
      </c>
      <c r="G9" s="20">
        <v>547.0</v>
      </c>
      <c r="H9" s="20">
        <f t="shared" ref="H9:I9" si="17">F9/5</f>
        <v>1</v>
      </c>
      <c r="I9" s="20">
        <f t="shared" si="17"/>
        <v>109.4</v>
      </c>
      <c r="J9" s="36"/>
      <c r="L9" s="7" t="s">
        <v>29</v>
      </c>
      <c r="M9" s="15">
        <f t="shared" ref="M9:N9" si="18">+SUM(F310:F329)</f>
        <v>336</v>
      </c>
      <c r="N9" s="15">
        <f t="shared" si="18"/>
        <v>36199</v>
      </c>
      <c r="O9" s="45">
        <f t="shared" si="6"/>
        <v>9.282024365</v>
      </c>
      <c r="P9" s="14"/>
    </row>
    <row r="10">
      <c r="A10" s="6">
        <v>10304.0</v>
      </c>
      <c r="B10" s="7" t="s">
        <v>11</v>
      </c>
      <c r="C10" s="7" t="s">
        <v>23</v>
      </c>
      <c r="D10" s="7" t="s">
        <v>30</v>
      </c>
      <c r="E10" s="8">
        <f t="shared" si="3"/>
        <v>9.633911368</v>
      </c>
      <c r="F10" s="26">
        <v>5.0</v>
      </c>
      <c r="G10" s="20">
        <v>519.0</v>
      </c>
      <c r="H10" s="20">
        <f t="shared" ref="H10:I10" si="19">F10/5</f>
        <v>1</v>
      </c>
      <c r="I10" s="20">
        <f t="shared" si="19"/>
        <v>103.8</v>
      </c>
      <c r="J10" s="36"/>
      <c r="L10" s="7" t="s">
        <v>31</v>
      </c>
      <c r="M10" s="15">
        <f t="shared" ref="M10:N10" si="20">+SUM(F330:F344)</f>
        <v>71</v>
      </c>
      <c r="N10" s="15">
        <f t="shared" si="20"/>
        <v>9512</v>
      </c>
      <c r="O10" s="45">
        <f t="shared" si="6"/>
        <v>7.464255677</v>
      </c>
      <c r="P10" s="14"/>
    </row>
    <row r="11">
      <c r="A11" s="6">
        <v>10401.0</v>
      </c>
      <c r="B11" s="7" t="s">
        <v>11</v>
      </c>
      <c r="C11" s="7" t="s">
        <v>32</v>
      </c>
      <c r="D11" s="7" t="s">
        <v>33</v>
      </c>
      <c r="E11" s="8">
        <f t="shared" si="3"/>
        <v>5.136986301</v>
      </c>
      <c r="F11" s="26">
        <v>3.0</v>
      </c>
      <c r="G11" s="20">
        <v>584.0</v>
      </c>
      <c r="H11" s="20">
        <f t="shared" ref="H11:I11" si="21">F11/5</f>
        <v>0.6</v>
      </c>
      <c r="I11" s="20">
        <f t="shared" si="21"/>
        <v>116.8</v>
      </c>
      <c r="J11" s="36"/>
      <c r="L11" s="7" t="s">
        <v>34</v>
      </c>
      <c r="M11" s="19">
        <f t="shared" ref="M11:N11" si="22">SUM(M2:M10)</f>
        <v>7608</v>
      </c>
      <c r="N11" s="20">
        <f t="shared" si="22"/>
        <v>719598</v>
      </c>
      <c r="O11" s="45">
        <f t="shared" si="6"/>
        <v>10.57256968</v>
      </c>
      <c r="P11" s="14"/>
    </row>
    <row r="12">
      <c r="A12" s="6">
        <v>10402.0</v>
      </c>
      <c r="B12" s="7" t="s">
        <v>11</v>
      </c>
      <c r="C12" s="7" t="s">
        <v>32</v>
      </c>
      <c r="D12" s="7" t="s">
        <v>32</v>
      </c>
      <c r="E12" s="8">
        <f t="shared" si="3"/>
        <v>5.504587156</v>
      </c>
      <c r="F12" s="26">
        <v>3.0</v>
      </c>
      <c r="G12" s="20">
        <v>545.0</v>
      </c>
      <c r="H12" s="20">
        <f t="shared" ref="H12:I12" si="23">F12/5</f>
        <v>0.6</v>
      </c>
      <c r="I12" s="20">
        <f t="shared" si="23"/>
        <v>109</v>
      </c>
      <c r="J12" s="36"/>
    </row>
    <row r="13">
      <c r="A13" s="6">
        <v>10403.0</v>
      </c>
      <c r="B13" s="7" t="s">
        <v>11</v>
      </c>
      <c r="C13" s="7" t="s">
        <v>32</v>
      </c>
      <c r="D13" s="7" t="s">
        <v>36</v>
      </c>
      <c r="E13" s="8">
        <f t="shared" si="3"/>
        <v>2.336448598</v>
      </c>
      <c r="F13" s="26">
        <v>1.0</v>
      </c>
      <c r="G13" s="20">
        <v>428.0</v>
      </c>
      <c r="H13" s="20">
        <f t="shared" ref="H13:I13" si="24">F13/5</f>
        <v>0.2</v>
      </c>
      <c r="I13" s="20">
        <f t="shared" si="24"/>
        <v>85.6</v>
      </c>
      <c r="J13" s="36"/>
    </row>
    <row r="14">
      <c r="A14" s="6">
        <v>10404.0</v>
      </c>
      <c r="B14" s="7" t="s">
        <v>11</v>
      </c>
      <c r="C14" s="7" t="s">
        <v>32</v>
      </c>
      <c r="D14" s="7" t="s">
        <v>37</v>
      </c>
      <c r="E14" s="8">
        <f t="shared" si="3"/>
        <v>4.901960784</v>
      </c>
      <c r="F14" s="26">
        <v>1.0</v>
      </c>
      <c r="G14" s="20">
        <v>204.0</v>
      </c>
      <c r="H14" s="20">
        <f t="shared" ref="H14:I14" si="25">F14/5</f>
        <v>0.2</v>
      </c>
      <c r="I14" s="20">
        <f t="shared" si="25"/>
        <v>40.8</v>
      </c>
      <c r="J14" s="36"/>
    </row>
    <row r="15">
      <c r="A15" s="6">
        <v>10405.0</v>
      </c>
      <c r="B15" s="7" t="s">
        <v>11</v>
      </c>
      <c r="C15" s="7" t="s">
        <v>32</v>
      </c>
      <c r="D15" s="7" t="s">
        <v>38</v>
      </c>
      <c r="E15" s="8">
        <f t="shared" si="3"/>
        <v>11.83431953</v>
      </c>
      <c r="F15" s="26">
        <v>4.0</v>
      </c>
      <c r="G15" s="20">
        <v>338.0</v>
      </c>
      <c r="H15" s="20">
        <f t="shared" ref="H15:I15" si="26">F15/5</f>
        <v>0.8</v>
      </c>
      <c r="I15" s="20">
        <f t="shared" si="26"/>
        <v>67.6</v>
      </c>
      <c r="J15" s="36"/>
    </row>
    <row r="16">
      <c r="A16" s="6">
        <v>10501.0</v>
      </c>
      <c r="B16" s="7" t="s">
        <v>11</v>
      </c>
      <c r="C16" s="7" t="s">
        <v>39</v>
      </c>
      <c r="D16" s="7" t="s">
        <v>40</v>
      </c>
      <c r="E16" s="8">
        <f t="shared" si="3"/>
        <v>6.41025641</v>
      </c>
      <c r="F16" s="26">
        <v>9.0</v>
      </c>
      <c r="G16" s="20">
        <v>1404.0</v>
      </c>
      <c r="H16" s="20">
        <f t="shared" ref="H16:I16" si="27">F16/5</f>
        <v>1.8</v>
      </c>
      <c r="I16" s="20">
        <f t="shared" si="27"/>
        <v>280.8</v>
      </c>
      <c r="J16" s="36"/>
      <c r="L16" s="5" t="s">
        <v>458</v>
      </c>
      <c r="M16" s="2" t="s">
        <v>7</v>
      </c>
      <c r="N16" s="2" t="s">
        <v>459</v>
      </c>
      <c r="O16" s="2" t="s">
        <v>460</v>
      </c>
      <c r="P16" s="2" t="s">
        <v>461</v>
      </c>
      <c r="Q16" s="2" t="s">
        <v>462</v>
      </c>
      <c r="R16" s="46" t="s">
        <v>463</v>
      </c>
      <c r="S16" s="46" t="s">
        <v>464</v>
      </c>
      <c r="T16" s="46" t="s">
        <v>465</v>
      </c>
      <c r="U16" s="46" t="s">
        <v>466</v>
      </c>
    </row>
    <row r="17">
      <c r="A17" s="6">
        <v>10502.0</v>
      </c>
      <c r="B17" s="7" t="s">
        <v>11</v>
      </c>
      <c r="C17" s="7" t="s">
        <v>39</v>
      </c>
      <c r="D17" s="7" t="s">
        <v>41</v>
      </c>
      <c r="E17" s="8">
        <f t="shared" si="3"/>
        <v>8.528784648</v>
      </c>
      <c r="F17" s="26">
        <v>4.0</v>
      </c>
      <c r="G17" s="20">
        <v>469.0</v>
      </c>
      <c r="H17" s="20">
        <f t="shared" ref="H17:I17" si="28">F17/5</f>
        <v>0.8</v>
      </c>
      <c r="I17" s="20">
        <f t="shared" si="28"/>
        <v>93.8</v>
      </c>
      <c r="J17" s="36"/>
      <c r="L17" s="47">
        <v>1.0</v>
      </c>
      <c r="M17" s="7" t="s">
        <v>11</v>
      </c>
      <c r="N17" s="7">
        <v>22.0</v>
      </c>
      <c r="O17" s="7">
        <v>8.0</v>
      </c>
      <c r="P17" s="8">
        <f>'Indicador_DEP '!C2-N17</f>
        <v>0</v>
      </c>
      <c r="Q17" s="8">
        <f>'Indicador_DEP '!D2-O17</f>
        <v>0</v>
      </c>
      <c r="R17" s="48">
        <v>1536.0</v>
      </c>
      <c r="S17" s="48">
        <v>964.0</v>
      </c>
      <c r="T17" s="49">
        <v>571.0</v>
      </c>
      <c r="U17" s="49">
        <v>370.0</v>
      </c>
    </row>
    <row r="18">
      <c r="A18" s="6">
        <v>10601.0</v>
      </c>
      <c r="B18" s="7" t="s">
        <v>11</v>
      </c>
      <c r="C18" s="7" t="s">
        <v>42</v>
      </c>
      <c r="D18" s="7" t="s">
        <v>43</v>
      </c>
      <c r="E18" s="8">
        <f t="shared" si="3"/>
        <v>18.23281907</v>
      </c>
      <c r="F18" s="26">
        <v>13.0</v>
      </c>
      <c r="G18" s="20">
        <v>713.0</v>
      </c>
      <c r="H18" s="20">
        <f t="shared" ref="H18:I18" si="29">F18/5</f>
        <v>2.6</v>
      </c>
      <c r="I18" s="20">
        <f t="shared" si="29"/>
        <v>142.6</v>
      </c>
      <c r="J18" s="36"/>
      <c r="L18" s="47">
        <v>2.0</v>
      </c>
      <c r="M18" s="7" t="s">
        <v>15</v>
      </c>
      <c r="N18" s="7">
        <v>59.0</v>
      </c>
      <c r="O18" s="7">
        <v>15.0</v>
      </c>
      <c r="P18" s="8">
        <f>'Indicador_DEP '!C3-N18</f>
        <v>0</v>
      </c>
      <c r="Q18" s="8">
        <f>'Indicador_DEP '!D3-O18</f>
        <v>2</v>
      </c>
      <c r="R18" s="48">
        <v>3325.0</v>
      </c>
      <c r="S18" s="48">
        <v>5129.0</v>
      </c>
      <c r="T18" s="49">
        <v>1226.0</v>
      </c>
      <c r="U18" s="49">
        <v>1738.0</v>
      </c>
    </row>
    <row r="19">
      <c r="A19" s="6">
        <v>10602.0</v>
      </c>
      <c r="B19" s="7" t="s">
        <v>11</v>
      </c>
      <c r="C19" s="7" t="s">
        <v>42</v>
      </c>
      <c r="D19" s="7" t="s">
        <v>42</v>
      </c>
      <c r="E19" s="8">
        <f t="shared" si="3"/>
        <v>6.52173913</v>
      </c>
      <c r="F19" s="26">
        <v>3.0</v>
      </c>
      <c r="G19" s="20">
        <v>460.0</v>
      </c>
      <c r="H19" s="20">
        <f t="shared" ref="H19:I19" si="30">F19/5</f>
        <v>0.6</v>
      </c>
      <c r="I19" s="20">
        <f t="shared" si="30"/>
        <v>92</v>
      </c>
      <c r="J19" s="36"/>
      <c r="L19" s="47">
        <v>3.0</v>
      </c>
      <c r="M19" s="7" t="s">
        <v>17</v>
      </c>
      <c r="N19" s="7">
        <v>57.0</v>
      </c>
      <c r="O19" s="7">
        <v>6.0</v>
      </c>
      <c r="P19" s="8">
        <f>'Indicador_DEP '!C4-N19</f>
        <v>0</v>
      </c>
      <c r="Q19" s="8">
        <f>'Indicador_DEP '!D4-O19</f>
        <v>5</v>
      </c>
      <c r="R19" s="48">
        <v>2276.0</v>
      </c>
      <c r="S19" s="48">
        <v>3081.0</v>
      </c>
      <c r="T19" s="49">
        <v>974.0</v>
      </c>
      <c r="U19" s="49">
        <v>1257.0</v>
      </c>
    </row>
    <row r="20">
      <c r="A20" s="6">
        <v>10701.0</v>
      </c>
      <c r="B20" s="7" t="s">
        <v>11</v>
      </c>
      <c r="C20" s="7" t="s">
        <v>44</v>
      </c>
      <c r="D20" s="7" t="s">
        <v>45</v>
      </c>
      <c r="E20" s="8">
        <f t="shared" si="3"/>
        <v>13.41463415</v>
      </c>
      <c r="F20" s="26">
        <v>11.0</v>
      </c>
      <c r="G20" s="20">
        <v>820.0</v>
      </c>
      <c r="H20" s="20">
        <f t="shared" ref="H20:I20" si="31">F20/5</f>
        <v>2.2</v>
      </c>
      <c r="I20" s="20">
        <f t="shared" si="31"/>
        <v>164</v>
      </c>
      <c r="J20" s="36"/>
      <c r="L20" s="47">
        <v>4.0</v>
      </c>
      <c r="M20" s="7" t="s">
        <v>20</v>
      </c>
      <c r="N20" s="7">
        <v>51.0</v>
      </c>
      <c r="O20" s="7">
        <v>29.0</v>
      </c>
      <c r="P20" s="8">
        <f>'Indicador_DEP '!C5-N20</f>
        <v>0</v>
      </c>
      <c r="Q20" s="8">
        <f>'Indicador_DEP '!D5-O20</f>
        <v>2</v>
      </c>
      <c r="R20" s="48">
        <v>1565.0</v>
      </c>
      <c r="S20" s="48">
        <v>937.0</v>
      </c>
      <c r="T20" s="49">
        <v>628.0</v>
      </c>
      <c r="U20" s="49">
        <v>291.0</v>
      </c>
    </row>
    <row r="21" ht="15.75" customHeight="1">
      <c r="A21" s="6">
        <v>10702.0</v>
      </c>
      <c r="B21" s="7" t="s">
        <v>11</v>
      </c>
      <c r="C21" s="7" t="s">
        <v>44</v>
      </c>
      <c r="D21" s="7" t="s">
        <v>46</v>
      </c>
      <c r="E21" s="8">
        <f t="shared" si="3"/>
        <v>15.96037424</v>
      </c>
      <c r="F21" s="26">
        <v>29.0</v>
      </c>
      <c r="G21" s="20">
        <v>1817.0</v>
      </c>
      <c r="H21" s="20">
        <f t="shared" ref="H21:I21" si="32">F21/5</f>
        <v>5.8</v>
      </c>
      <c r="I21" s="20">
        <f t="shared" si="32"/>
        <v>363.4</v>
      </c>
      <c r="J21" s="36"/>
      <c r="L21" s="47">
        <v>5.0</v>
      </c>
      <c r="M21" s="7" t="s">
        <v>264</v>
      </c>
      <c r="N21" s="7">
        <v>91.0</v>
      </c>
      <c r="O21" s="7">
        <v>21.0</v>
      </c>
      <c r="P21" s="8">
        <f>'Indicador_DEP '!C6-N21</f>
        <v>0</v>
      </c>
      <c r="Q21" s="8">
        <f>'Indicador_DEP '!D6-O21</f>
        <v>21</v>
      </c>
      <c r="R21" s="48">
        <v>1779.0</v>
      </c>
      <c r="S21" s="48">
        <v>1634.0</v>
      </c>
      <c r="T21" s="49">
        <v>727.0</v>
      </c>
      <c r="U21" s="49">
        <v>509.0</v>
      </c>
    </row>
    <row r="22" ht="15.75" customHeight="1">
      <c r="A22" s="6">
        <v>10703.0</v>
      </c>
      <c r="B22" s="7" t="s">
        <v>11</v>
      </c>
      <c r="C22" s="7" t="s">
        <v>44</v>
      </c>
      <c r="D22" s="7" t="s">
        <v>47</v>
      </c>
      <c r="E22" s="8">
        <f t="shared" si="3"/>
        <v>15.35508637</v>
      </c>
      <c r="F22" s="26">
        <v>16.0</v>
      </c>
      <c r="G22" s="20">
        <v>1042.0</v>
      </c>
      <c r="H22" s="20">
        <f t="shared" ref="H22:I22" si="33">F22/5</f>
        <v>3.2</v>
      </c>
      <c r="I22" s="20">
        <f t="shared" si="33"/>
        <v>208.4</v>
      </c>
      <c r="J22" s="36"/>
      <c r="L22" s="47">
        <v>6.0</v>
      </c>
      <c r="M22" s="7" t="s">
        <v>25</v>
      </c>
      <c r="N22" s="7">
        <v>33.0</v>
      </c>
      <c r="O22" s="7">
        <v>21.0</v>
      </c>
      <c r="P22" s="8">
        <f>'Indicador_DEP '!C7-N22</f>
        <v>0</v>
      </c>
      <c r="Q22" s="8">
        <f>'Indicador_DEP '!D7-O22</f>
        <v>4</v>
      </c>
      <c r="R22" s="48">
        <v>1717.0</v>
      </c>
      <c r="S22" s="48">
        <v>831.0</v>
      </c>
      <c r="T22" s="49">
        <v>527.0</v>
      </c>
      <c r="U22" s="49">
        <v>355.0</v>
      </c>
    </row>
    <row r="23" ht="15.75" customHeight="1">
      <c r="A23" s="6">
        <v>10704.0</v>
      </c>
      <c r="B23" s="7" t="s">
        <v>11</v>
      </c>
      <c r="C23" s="7" t="s">
        <v>44</v>
      </c>
      <c r="D23" s="7" t="s">
        <v>48</v>
      </c>
      <c r="E23" s="8">
        <f t="shared" si="3"/>
        <v>8.893280632</v>
      </c>
      <c r="F23" s="26">
        <v>9.0</v>
      </c>
      <c r="G23" s="20">
        <v>1012.0</v>
      </c>
      <c r="H23" s="20">
        <f t="shared" ref="H23:I23" si="34">F23/5</f>
        <v>1.8</v>
      </c>
      <c r="I23" s="20">
        <f t="shared" si="34"/>
        <v>202.4</v>
      </c>
      <c r="J23" s="36"/>
      <c r="L23" s="47">
        <v>7.0</v>
      </c>
      <c r="M23" s="7" t="s">
        <v>27</v>
      </c>
      <c r="N23" s="7">
        <v>21.0</v>
      </c>
      <c r="O23" s="7">
        <v>6.0</v>
      </c>
      <c r="P23" s="8">
        <f>'Indicador_DEP '!C8-N23</f>
        <v>0</v>
      </c>
      <c r="Q23" s="8">
        <f>'Indicador_DEP '!D8-O23</f>
        <v>2</v>
      </c>
      <c r="R23" s="48">
        <v>2933.0</v>
      </c>
      <c r="S23" s="48">
        <v>3717.0</v>
      </c>
      <c r="T23" s="49">
        <v>1112.0</v>
      </c>
      <c r="U23" s="49">
        <v>2087.0</v>
      </c>
    </row>
    <row r="24" ht="15.75" customHeight="1">
      <c r="A24" s="6">
        <v>10801.0</v>
      </c>
      <c r="B24" s="7" t="s">
        <v>11</v>
      </c>
      <c r="C24" s="7" t="s">
        <v>49</v>
      </c>
      <c r="D24" s="7" t="s">
        <v>50</v>
      </c>
      <c r="E24" s="8">
        <f t="shared" si="3"/>
        <v>9.823182711</v>
      </c>
      <c r="F24" s="26">
        <v>5.0</v>
      </c>
      <c r="G24" s="20">
        <v>509.0</v>
      </c>
      <c r="H24" s="20">
        <f t="shared" ref="H24:I24" si="35">F24/5</f>
        <v>1</v>
      </c>
      <c r="I24" s="20">
        <f t="shared" si="35"/>
        <v>101.8</v>
      </c>
      <c r="J24" s="36"/>
      <c r="L24" s="47">
        <v>8.0</v>
      </c>
      <c r="M24" s="7" t="s">
        <v>29</v>
      </c>
      <c r="N24" s="7">
        <v>34.0</v>
      </c>
      <c r="O24" s="7">
        <v>13.0</v>
      </c>
      <c r="P24" s="8">
        <f>'Indicador_DEP '!C9-N24</f>
        <v>0</v>
      </c>
      <c r="Q24" s="8">
        <f>'Indicador_DEP '!D9-O24</f>
        <v>11</v>
      </c>
      <c r="R24" s="48">
        <v>545.0</v>
      </c>
      <c r="S24" s="48">
        <v>1431.0</v>
      </c>
      <c r="T24" s="49">
        <v>639.0</v>
      </c>
      <c r="U24" s="49">
        <v>331.0</v>
      </c>
    </row>
    <row r="25" ht="15.75" customHeight="1">
      <c r="A25" s="6">
        <v>10901.0</v>
      </c>
      <c r="B25" s="7" t="s">
        <v>11</v>
      </c>
      <c r="C25" s="7" t="s">
        <v>51</v>
      </c>
      <c r="D25" s="7" t="s">
        <v>52</v>
      </c>
      <c r="E25" s="8">
        <f t="shared" si="3"/>
        <v>3.300330033</v>
      </c>
      <c r="F25" s="26">
        <v>1.0</v>
      </c>
      <c r="G25" s="20">
        <v>303.0</v>
      </c>
      <c r="H25" s="20">
        <f t="shared" ref="H25:I25" si="36">F25/5</f>
        <v>0.2</v>
      </c>
      <c r="I25" s="20">
        <f t="shared" si="36"/>
        <v>60.6</v>
      </c>
      <c r="J25" s="36"/>
      <c r="L25" s="47">
        <v>9.0</v>
      </c>
      <c r="M25" s="7" t="s">
        <v>31</v>
      </c>
      <c r="N25" s="7">
        <f>43</f>
        <v>43</v>
      </c>
      <c r="O25" s="7">
        <v>10.0</v>
      </c>
      <c r="P25" s="8">
        <f>'Indicador_DEP '!C10-N25</f>
        <v>0</v>
      </c>
      <c r="Q25" s="8">
        <f>'Indicador_DEP '!D10-O25</f>
        <v>0</v>
      </c>
      <c r="R25" s="48">
        <v>749.0</v>
      </c>
      <c r="S25" s="48">
        <v>99.0</v>
      </c>
      <c r="T25" s="49">
        <v>657.0</v>
      </c>
      <c r="U25" s="49">
        <v>106.0</v>
      </c>
    </row>
    <row r="26" ht="15.75" customHeight="1">
      <c r="A26" s="6">
        <v>10902.0</v>
      </c>
      <c r="B26" s="7" t="s">
        <v>11</v>
      </c>
      <c r="C26" s="7" t="s">
        <v>51</v>
      </c>
      <c r="D26" s="7" t="s">
        <v>53</v>
      </c>
      <c r="E26" s="8">
        <f t="shared" si="3"/>
        <v>15.01501502</v>
      </c>
      <c r="F26" s="26">
        <v>15.0</v>
      </c>
      <c r="G26" s="20">
        <v>999.0</v>
      </c>
      <c r="H26" s="20">
        <f t="shared" ref="H26:I26" si="37">F26/5</f>
        <v>3</v>
      </c>
      <c r="I26" s="20">
        <f t="shared" si="37"/>
        <v>199.8</v>
      </c>
      <c r="J26" s="36"/>
      <c r="L26" s="47">
        <v>11.0</v>
      </c>
      <c r="M26" s="7" t="s">
        <v>34</v>
      </c>
      <c r="N26" s="7">
        <v>50.0</v>
      </c>
      <c r="O26" s="7">
        <v>12.0</v>
      </c>
      <c r="P26" s="8">
        <f>'Indicador_DEP '!C12-N26</f>
        <v>0</v>
      </c>
      <c r="Q26" s="8">
        <f>'Indicador_DEP '!D12-O26</f>
        <v>4</v>
      </c>
      <c r="R26" s="48">
        <v>16939.0</v>
      </c>
      <c r="S26" s="48">
        <v>16939.0</v>
      </c>
      <c r="T26" s="49">
        <v>7061.0</v>
      </c>
      <c r="U26" s="49">
        <v>7043.0</v>
      </c>
    </row>
    <row r="27" ht="15.75" customHeight="1">
      <c r="A27" s="6">
        <v>10903.0</v>
      </c>
      <c r="B27" s="7" t="s">
        <v>11</v>
      </c>
      <c r="C27" s="7" t="s">
        <v>51</v>
      </c>
      <c r="D27" s="7" t="s">
        <v>54</v>
      </c>
      <c r="E27" s="8">
        <f t="shared" si="3"/>
        <v>4.166666667</v>
      </c>
      <c r="F27" s="26">
        <v>1.0</v>
      </c>
      <c r="G27" s="20">
        <v>240.0</v>
      </c>
      <c r="H27" s="20">
        <f t="shared" ref="H27:I27" si="38">F27/5</f>
        <v>0.2</v>
      </c>
      <c r="I27" s="20">
        <f t="shared" si="38"/>
        <v>48</v>
      </c>
      <c r="J27" s="36"/>
      <c r="L27" s="38" t="s">
        <v>467</v>
      </c>
      <c r="M27" s="7" t="s">
        <v>468</v>
      </c>
      <c r="N27" s="7">
        <v>36.0</v>
      </c>
      <c r="O27" s="7">
        <v>9.0</v>
      </c>
      <c r="P27" s="7"/>
      <c r="Q27" s="7" t="s">
        <v>469</v>
      </c>
      <c r="R27" s="48">
        <v>10905.0</v>
      </c>
      <c r="S27" s="48">
        <v>11183.0</v>
      </c>
      <c r="T27" s="49">
        <v>4821.0</v>
      </c>
      <c r="U27" s="49">
        <v>4905.0</v>
      </c>
    </row>
    <row r="28" ht="15.75" customHeight="1">
      <c r="A28" s="6">
        <v>11001.0</v>
      </c>
      <c r="B28" s="7" t="s">
        <v>11</v>
      </c>
      <c r="C28" s="7" t="s">
        <v>55</v>
      </c>
      <c r="D28" s="7" t="s">
        <v>56</v>
      </c>
      <c r="E28" s="8">
        <f t="shared" si="3"/>
        <v>6.299212598</v>
      </c>
      <c r="F28" s="26">
        <v>4.0</v>
      </c>
      <c r="G28" s="20">
        <v>635.0</v>
      </c>
      <c r="H28" s="20">
        <f t="shared" ref="H28:I28" si="39">F28/5</f>
        <v>0.8</v>
      </c>
      <c r="I28" s="20">
        <f t="shared" si="39"/>
        <v>127</v>
      </c>
      <c r="J28" s="36"/>
      <c r="L28" s="38"/>
      <c r="M28" s="7" t="s">
        <v>470</v>
      </c>
      <c r="N28" s="7">
        <v>67.0</v>
      </c>
      <c r="O28" s="7">
        <v>17.0</v>
      </c>
      <c r="P28" s="7"/>
      <c r="Q28" s="7" t="s">
        <v>471</v>
      </c>
      <c r="R28" s="48">
        <v>6034.0</v>
      </c>
      <c r="S28" s="48">
        <v>5756.0</v>
      </c>
      <c r="T28" s="49">
        <v>2240.0</v>
      </c>
      <c r="U28" s="49">
        <v>2137.0</v>
      </c>
    </row>
    <row r="29" ht="15.75" customHeight="1">
      <c r="A29" s="6">
        <v>11002.0</v>
      </c>
      <c r="B29" s="7" t="s">
        <v>11</v>
      </c>
      <c r="C29" s="7" t="s">
        <v>55</v>
      </c>
      <c r="D29" s="7" t="s">
        <v>57</v>
      </c>
      <c r="E29" s="8">
        <f t="shared" si="3"/>
        <v>17.96407186</v>
      </c>
      <c r="F29" s="26">
        <v>3.0</v>
      </c>
      <c r="G29" s="20">
        <v>167.0</v>
      </c>
      <c r="H29" s="20">
        <f t="shared" ref="H29:I29" si="40">F29/5</f>
        <v>0.6</v>
      </c>
      <c r="I29" s="20">
        <f t="shared" si="40"/>
        <v>33.4</v>
      </c>
      <c r="J29" s="36"/>
    </row>
    <row r="30" ht="15.75" customHeight="1">
      <c r="A30" s="6">
        <v>11003.0</v>
      </c>
      <c r="B30" s="7" t="s">
        <v>11</v>
      </c>
      <c r="C30" s="7" t="s">
        <v>55</v>
      </c>
      <c r="D30" s="7" t="s">
        <v>58</v>
      </c>
      <c r="E30" s="8">
        <f t="shared" si="3"/>
        <v>18.56148492</v>
      </c>
      <c r="F30" s="26">
        <v>8.0</v>
      </c>
      <c r="G30" s="20">
        <v>431.0</v>
      </c>
      <c r="H30" s="20">
        <f t="shared" ref="H30:I30" si="41">F30/5</f>
        <v>1.6</v>
      </c>
      <c r="I30" s="20">
        <f t="shared" si="41"/>
        <v>86.2</v>
      </c>
      <c r="J30" s="36"/>
    </row>
    <row r="31" ht="15.75" customHeight="1">
      <c r="A31" s="6">
        <v>20101.0</v>
      </c>
      <c r="B31" s="7" t="s">
        <v>15</v>
      </c>
      <c r="C31" s="7" t="s">
        <v>59</v>
      </c>
      <c r="D31" s="7" t="s">
        <v>60</v>
      </c>
      <c r="E31" s="8">
        <f t="shared" si="3"/>
        <v>10.19462465</v>
      </c>
      <c r="F31" s="26">
        <v>352.0</v>
      </c>
      <c r="G31" s="20">
        <v>34528.0</v>
      </c>
      <c r="H31" s="20">
        <f t="shared" ref="H31:I31" si="42">F31/5</f>
        <v>70.4</v>
      </c>
      <c r="I31" s="20">
        <f t="shared" si="42"/>
        <v>6905.6</v>
      </c>
      <c r="J31" s="36"/>
    </row>
    <row r="32" ht="15.75" customHeight="1">
      <c r="A32" s="6">
        <v>20102.0</v>
      </c>
      <c r="B32" s="7" t="s">
        <v>15</v>
      </c>
      <c r="C32" s="7" t="s">
        <v>59</v>
      </c>
      <c r="D32" s="7" t="s">
        <v>61</v>
      </c>
      <c r="E32" s="8">
        <f t="shared" si="3"/>
        <v>17.27574751</v>
      </c>
      <c r="F32" s="26">
        <v>26.0</v>
      </c>
      <c r="G32" s="20">
        <v>1505.0</v>
      </c>
      <c r="H32" s="20">
        <f t="shared" ref="H32:I32" si="43">F32/5</f>
        <v>5.2</v>
      </c>
      <c r="I32" s="20">
        <f t="shared" si="43"/>
        <v>301</v>
      </c>
      <c r="J32" s="36"/>
    </row>
    <row r="33" ht="15.75" customHeight="1">
      <c r="A33" s="6">
        <v>20103.0</v>
      </c>
      <c r="B33" s="7" t="s">
        <v>15</v>
      </c>
      <c r="C33" s="7" t="s">
        <v>59</v>
      </c>
      <c r="D33" s="7" t="s">
        <v>62</v>
      </c>
      <c r="E33" s="8">
        <f t="shared" si="3"/>
        <v>12.10025929</v>
      </c>
      <c r="F33" s="26">
        <v>14.0</v>
      </c>
      <c r="G33" s="20">
        <v>1157.0</v>
      </c>
      <c r="H33" s="20">
        <f t="shared" ref="H33:I33" si="44">F33/5</f>
        <v>2.8</v>
      </c>
      <c r="I33" s="20">
        <f t="shared" si="44"/>
        <v>231.4</v>
      </c>
      <c r="J33" s="36"/>
    </row>
    <row r="34" ht="15.75" customHeight="1">
      <c r="A34" s="6">
        <v>20104.0</v>
      </c>
      <c r="B34" s="7" t="s">
        <v>15</v>
      </c>
      <c r="C34" s="7" t="s">
        <v>59</v>
      </c>
      <c r="D34" s="7" t="s">
        <v>63</v>
      </c>
      <c r="E34" s="8">
        <f t="shared" si="3"/>
        <v>13.06290822</v>
      </c>
      <c r="F34" s="26">
        <v>38.0</v>
      </c>
      <c r="G34" s="20">
        <v>2909.0</v>
      </c>
      <c r="H34" s="20">
        <f t="shared" ref="H34:I34" si="45">F34/5</f>
        <v>7.6</v>
      </c>
      <c r="I34" s="20">
        <f t="shared" si="45"/>
        <v>581.8</v>
      </c>
      <c r="J34" s="36"/>
    </row>
    <row r="35" ht="15.75" customHeight="1">
      <c r="A35" s="6">
        <v>20105.0</v>
      </c>
      <c r="B35" s="7" t="s">
        <v>15</v>
      </c>
      <c r="C35" s="7" t="s">
        <v>59</v>
      </c>
      <c r="D35" s="7" t="s">
        <v>64</v>
      </c>
      <c r="E35" s="8">
        <f t="shared" si="3"/>
        <v>13.18607999</v>
      </c>
      <c r="F35" s="26">
        <v>751.0</v>
      </c>
      <c r="G35" s="20">
        <v>56954.0</v>
      </c>
      <c r="H35" s="20">
        <f t="shared" ref="H35:I35" si="46">F35/5</f>
        <v>150.2</v>
      </c>
      <c r="I35" s="20">
        <f t="shared" si="46"/>
        <v>11390.8</v>
      </c>
      <c r="J35" s="36"/>
    </row>
    <row r="36" ht="15.75" customHeight="1">
      <c r="A36" s="6">
        <v>20201.0</v>
      </c>
      <c r="B36" s="7" t="s">
        <v>15</v>
      </c>
      <c r="C36" s="7" t="s">
        <v>65</v>
      </c>
      <c r="D36" s="7" t="s">
        <v>66</v>
      </c>
      <c r="E36" s="8">
        <f t="shared" si="3"/>
        <v>16.40656263</v>
      </c>
      <c r="F36" s="26">
        <v>41.0</v>
      </c>
      <c r="G36" s="20">
        <v>2499.0</v>
      </c>
      <c r="H36" s="20">
        <f t="shared" ref="H36:I36" si="47">F36/5</f>
        <v>8.2</v>
      </c>
      <c r="I36" s="20">
        <f t="shared" si="47"/>
        <v>499.8</v>
      </c>
      <c r="J36" s="36"/>
    </row>
    <row r="37" ht="15.75" customHeight="1">
      <c r="A37" s="6">
        <v>20202.0</v>
      </c>
      <c r="B37" s="7" t="s">
        <v>15</v>
      </c>
      <c r="C37" s="7" t="s">
        <v>65</v>
      </c>
      <c r="D37" s="7" t="s">
        <v>67</v>
      </c>
      <c r="E37" s="8">
        <f t="shared" si="3"/>
        <v>13.39829476</v>
      </c>
      <c r="F37" s="26">
        <v>11.0</v>
      </c>
      <c r="G37" s="20">
        <v>821.0</v>
      </c>
      <c r="H37" s="20">
        <f t="shared" ref="H37:I37" si="48">F37/5</f>
        <v>2.2</v>
      </c>
      <c r="I37" s="20">
        <f t="shared" si="48"/>
        <v>164.2</v>
      </c>
      <c r="J37" s="36"/>
    </row>
    <row r="38" ht="15.75" customHeight="1">
      <c r="A38" s="6">
        <v>20203.0</v>
      </c>
      <c r="B38" s="7" t="s">
        <v>15</v>
      </c>
      <c r="C38" s="7" t="s">
        <v>65</v>
      </c>
      <c r="D38" s="7" t="s">
        <v>68</v>
      </c>
      <c r="E38" s="8">
        <f t="shared" si="3"/>
        <v>18.01801802</v>
      </c>
      <c r="F38" s="26">
        <v>6.0</v>
      </c>
      <c r="G38" s="20">
        <v>333.0</v>
      </c>
      <c r="H38" s="20">
        <f t="shared" ref="H38:I38" si="49">F38/5</f>
        <v>1.2</v>
      </c>
      <c r="I38" s="20">
        <f t="shared" si="49"/>
        <v>66.6</v>
      </c>
      <c r="J38" s="36"/>
    </row>
    <row r="39" ht="15.75" customHeight="1">
      <c r="A39" s="6">
        <v>20204.0</v>
      </c>
      <c r="B39" s="7" t="s">
        <v>15</v>
      </c>
      <c r="C39" s="7" t="s">
        <v>65</v>
      </c>
      <c r="D39" s="7" t="s">
        <v>69</v>
      </c>
      <c r="E39" s="8">
        <f t="shared" si="3"/>
        <v>14.35406699</v>
      </c>
      <c r="F39" s="26">
        <v>6.0</v>
      </c>
      <c r="G39" s="20">
        <v>418.0</v>
      </c>
      <c r="H39" s="20">
        <f t="shared" ref="H39:I39" si="50">F39/5</f>
        <v>1.2</v>
      </c>
      <c r="I39" s="20">
        <f t="shared" si="50"/>
        <v>83.6</v>
      </c>
      <c r="J39" s="36"/>
    </row>
    <row r="40" ht="15.75" customHeight="1">
      <c r="A40" s="6">
        <v>20205.0</v>
      </c>
      <c r="B40" s="7" t="s">
        <v>15</v>
      </c>
      <c r="C40" s="7" t="s">
        <v>65</v>
      </c>
      <c r="D40" s="7" t="s">
        <v>70</v>
      </c>
      <c r="E40" s="8">
        <f t="shared" si="3"/>
        <v>7.246376812</v>
      </c>
      <c r="F40" s="26">
        <v>3.0</v>
      </c>
      <c r="G40" s="20">
        <v>414.0</v>
      </c>
      <c r="H40" s="20">
        <f t="shared" ref="H40:I40" si="51">F40/5</f>
        <v>0.6</v>
      </c>
      <c r="I40" s="20">
        <f t="shared" si="51"/>
        <v>82.8</v>
      </c>
      <c r="J40" s="36"/>
    </row>
    <row r="41" ht="15.75" customHeight="1">
      <c r="A41" s="6">
        <v>20206.0</v>
      </c>
      <c r="B41" s="7" t="s">
        <v>15</v>
      </c>
      <c r="C41" s="7" t="s">
        <v>65</v>
      </c>
      <c r="D41" s="7" t="s">
        <v>71</v>
      </c>
      <c r="E41" s="8">
        <f t="shared" si="3"/>
        <v>37.23404255</v>
      </c>
      <c r="F41" s="26">
        <v>7.0</v>
      </c>
      <c r="G41" s="20">
        <v>188.0</v>
      </c>
      <c r="H41" s="20">
        <f t="shared" ref="H41:I41" si="52">F41/5</f>
        <v>1.4</v>
      </c>
      <c r="I41" s="20">
        <f t="shared" si="52"/>
        <v>37.6</v>
      </c>
      <c r="J41" s="36"/>
    </row>
    <row r="42" ht="15.75" customHeight="1">
      <c r="A42" s="6">
        <v>20301.0</v>
      </c>
      <c r="B42" s="7" t="s">
        <v>15</v>
      </c>
      <c r="C42" s="7" t="s">
        <v>72</v>
      </c>
      <c r="D42" s="7" t="s">
        <v>73</v>
      </c>
      <c r="E42" s="8">
        <f t="shared" si="3"/>
        <v>22.90076336</v>
      </c>
      <c r="F42" s="26">
        <v>15.0</v>
      </c>
      <c r="G42" s="20">
        <v>655.0</v>
      </c>
      <c r="H42" s="20">
        <f t="shared" ref="H42:I42" si="53">F42/5</f>
        <v>3</v>
      </c>
      <c r="I42" s="20">
        <f t="shared" si="53"/>
        <v>131</v>
      </c>
      <c r="J42" s="36"/>
    </row>
    <row r="43" ht="15.75" customHeight="1">
      <c r="A43" s="6">
        <v>20302.0</v>
      </c>
      <c r="B43" s="7" t="s">
        <v>15</v>
      </c>
      <c r="C43" s="7" t="s">
        <v>72</v>
      </c>
      <c r="D43" s="7" t="s">
        <v>74</v>
      </c>
      <c r="E43" s="8">
        <f t="shared" si="3"/>
        <v>14.82479784</v>
      </c>
      <c r="F43" s="26">
        <v>11.0</v>
      </c>
      <c r="G43" s="20">
        <v>742.0</v>
      </c>
      <c r="H43" s="20">
        <f t="shared" ref="H43:I43" si="54">F43/5</f>
        <v>2.2</v>
      </c>
      <c r="I43" s="20">
        <f t="shared" si="54"/>
        <v>148.4</v>
      </c>
      <c r="J43" s="36"/>
    </row>
    <row r="44" ht="15.75" customHeight="1">
      <c r="A44" s="6">
        <v>20303.0</v>
      </c>
      <c r="B44" s="7" t="s">
        <v>15</v>
      </c>
      <c r="C44" s="7" t="s">
        <v>72</v>
      </c>
      <c r="D44" s="7" t="s">
        <v>75</v>
      </c>
      <c r="E44" s="8">
        <f t="shared" si="3"/>
        <v>19.29824561</v>
      </c>
      <c r="F44" s="26">
        <v>11.0</v>
      </c>
      <c r="G44" s="20">
        <v>570.0</v>
      </c>
      <c r="H44" s="20">
        <f t="shared" ref="H44:I44" si="55">F44/5</f>
        <v>2.2</v>
      </c>
      <c r="I44" s="20">
        <f t="shared" si="55"/>
        <v>114</v>
      </c>
      <c r="J44" s="36"/>
    </row>
    <row r="45" ht="15.75" customHeight="1">
      <c r="A45" s="6">
        <v>20304.0</v>
      </c>
      <c r="B45" s="7" t="s">
        <v>15</v>
      </c>
      <c r="C45" s="7" t="s">
        <v>72</v>
      </c>
      <c r="D45" s="7" t="s">
        <v>76</v>
      </c>
      <c r="E45" s="8">
        <f t="shared" si="3"/>
        <v>12.90322581</v>
      </c>
      <c r="F45" s="26">
        <v>4.0</v>
      </c>
      <c r="G45" s="20">
        <v>310.0</v>
      </c>
      <c r="H45" s="20">
        <f t="shared" ref="H45:I45" si="56">F45/5</f>
        <v>0.8</v>
      </c>
      <c r="I45" s="20">
        <f t="shared" si="56"/>
        <v>62</v>
      </c>
      <c r="J45" s="36"/>
    </row>
    <row r="46" ht="15.75" customHeight="1">
      <c r="A46" s="6">
        <v>20305.0</v>
      </c>
      <c r="B46" s="7" t="s">
        <v>15</v>
      </c>
      <c r="C46" s="7" t="s">
        <v>72</v>
      </c>
      <c r="D46" s="7" t="s">
        <v>77</v>
      </c>
      <c r="E46" s="8">
        <f t="shared" si="3"/>
        <v>25.75107296</v>
      </c>
      <c r="F46" s="26">
        <v>6.0</v>
      </c>
      <c r="G46" s="20">
        <v>233.0</v>
      </c>
      <c r="H46" s="20">
        <f t="shared" ref="H46:I46" si="57">F46/5</f>
        <v>1.2</v>
      </c>
      <c r="I46" s="20">
        <f t="shared" si="57"/>
        <v>46.6</v>
      </c>
      <c r="J46" s="36"/>
    </row>
    <row r="47" ht="15.75" customHeight="1">
      <c r="A47" s="6">
        <v>20306.0</v>
      </c>
      <c r="B47" s="7" t="s">
        <v>15</v>
      </c>
      <c r="C47" s="7" t="s">
        <v>72</v>
      </c>
      <c r="D47" s="7" t="s">
        <v>78</v>
      </c>
      <c r="E47" s="8">
        <f t="shared" si="3"/>
        <v>31.81818182</v>
      </c>
      <c r="F47" s="26">
        <v>7.0</v>
      </c>
      <c r="G47" s="20">
        <v>220.0</v>
      </c>
      <c r="H47" s="20">
        <f t="shared" ref="H47:I47" si="58">F47/5</f>
        <v>1.4</v>
      </c>
      <c r="I47" s="20">
        <f t="shared" si="58"/>
        <v>44</v>
      </c>
      <c r="J47" s="36"/>
    </row>
    <row r="48" ht="15.75" customHeight="1">
      <c r="A48" s="6">
        <v>20307.0</v>
      </c>
      <c r="B48" s="7" t="s">
        <v>15</v>
      </c>
      <c r="C48" s="7" t="s">
        <v>72</v>
      </c>
      <c r="D48" s="7" t="s">
        <v>79</v>
      </c>
      <c r="E48" s="8">
        <f t="shared" si="3"/>
        <v>4.464285714</v>
      </c>
      <c r="F48" s="26">
        <v>1.0</v>
      </c>
      <c r="G48" s="20">
        <v>224.0</v>
      </c>
      <c r="H48" s="20">
        <f t="shared" ref="H48:I48" si="59">F48/5</f>
        <v>0.2</v>
      </c>
      <c r="I48" s="20">
        <f t="shared" si="59"/>
        <v>44.8</v>
      </c>
      <c r="J48" s="36"/>
    </row>
    <row r="49" ht="15.75" customHeight="1">
      <c r="A49" s="6">
        <v>20308.0</v>
      </c>
      <c r="B49" s="7" t="s">
        <v>15</v>
      </c>
      <c r="C49" s="7" t="s">
        <v>72</v>
      </c>
      <c r="D49" s="7" t="s">
        <v>80</v>
      </c>
      <c r="E49" s="8">
        <f t="shared" si="3"/>
        <v>8.571428571</v>
      </c>
      <c r="F49" s="26">
        <v>3.0</v>
      </c>
      <c r="G49" s="20">
        <v>350.0</v>
      </c>
      <c r="H49" s="20">
        <f t="shared" ref="H49:I49" si="60">F49/5</f>
        <v>0.6</v>
      </c>
      <c r="I49" s="20">
        <f t="shared" si="60"/>
        <v>70</v>
      </c>
      <c r="J49" s="36"/>
    </row>
    <row r="50" ht="15.75" customHeight="1">
      <c r="A50" s="6">
        <v>20401.0</v>
      </c>
      <c r="B50" s="7" t="s">
        <v>15</v>
      </c>
      <c r="C50" s="7" t="s">
        <v>81</v>
      </c>
      <c r="D50" s="7" t="s">
        <v>82</v>
      </c>
      <c r="E50" s="8">
        <f t="shared" si="3"/>
        <v>12.82051282</v>
      </c>
      <c r="F50" s="26">
        <v>8.0</v>
      </c>
      <c r="G50" s="20">
        <v>624.0</v>
      </c>
      <c r="H50" s="20">
        <f t="shared" ref="H50:I50" si="61">F50/5</f>
        <v>1.6</v>
      </c>
      <c r="I50" s="20">
        <f t="shared" si="61"/>
        <v>124.8</v>
      </c>
      <c r="J50" s="36"/>
    </row>
    <row r="51" ht="15.75" customHeight="1">
      <c r="A51" s="6">
        <v>20402.0</v>
      </c>
      <c r="B51" s="7" t="s">
        <v>15</v>
      </c>
      <c r="C51" s="7" t="s">
        <v>81</v>
      </c>
      <c r="D51" s="7" t="s">
        <v>83</v>
      </c>
      <c r="E51" s="8">
        <f t="shared" si="3"/>
        <v>14.01273885</v>
      </c>
      <c r="F51" s="26">
        <v>11.0</v>
      </c>
      <c r="G51" s="20">
        <v>785.0</v>
      </c>
      <c r="H51" s="20">
        <f t="shared" ref="H51:I51" si="62">F51/5</f>
        <v>2.2</v>
      </c>
      <c r="I51" s="20">
        <f t="shared" si="62"/>
        <v>157</v>
      </c>
      <c r="J51" s="36"/>
    </row>
    <row r="52" ht="15.75" customHeight="1">
      <c r="A52" s="6">
        <v>20403.0</v>
      </c>
      <c r="B52" s="7" t="s">
        <v>15</v>
      </c>
      <c r="C52" s="7" t="s">
        <v>81</v>
      </c>
      <c r="D52" s="7" t="s">
        <v>84</v>
      </c>
      <c r="E52" s="8">
        <f t="shared" si="3"/>
        <v>20.38369305</v>
      </c>
      <c r="F52" s="26">
        <v>17.0</v>
      </c>
      <c r="G52" s="20">
        <v>834.0</v>
      </c>
      <c r="H52" s="20">
        <f t="shared" ref="H52:I52" si="63">F52/5</f>
        <v>3.4</v>
      </c>
      <c r="I52" s="20">
        <f t="shared" si="63"/>
        <v>166.8</v>
      </c>
      <c r="J52" s="36"/>
    </row>
    <row r="53" ht="15.75" customHeight="1">
      <c r="A53" s="6">
        <v>20404.0</v>
      </c>
      <c r="B53" s="7" t="s">
        <v>15</v>
      </c>
      <c r="C53" s="7" t="s">
        <v>81</v>
      </c>
      <c r="D53" s="7" t="s">
        <v>85</v>
      </c>
      <c r="E53" s="8">
        <f t="shared" si="3"/>
        <v>7.246376812</v>
      </c>
      <c r="F53" s="26">
        <v>2.0</v>
      </c>
      <c r="G53" s="20">
        <v>276.0</v>
      </c>
      <c r="H53" s="20">
        <f t="shared" ref="H53:I53" si="64">F53/5</f>
        <v>0.4</v>
      </c>
      <c r="I53" s="20">
        <f t="shared" si="64"/>
        <v>55.2</v>
      </c>
      <c r="J53" s="36"/>
    </row>
    <row r="54" ht="15.75" customHeight="1">
      <c r="A54" s="6">
        <v>20405.0</v>
      </c>
      <c r="B54" s="7" t="s">
        <v>15</v>
      </c>
      <c r="C54" s="7" t="s">
        <v>81</v>
      </c>
      <c r="D54" s="7" t="s">
        <v>86</v>
      </c>
      <c r="E54" s="8">
        <f t="shared" si="3"/>
        <v>15.625</v>
      </c>
      <c r="F54" s="26">
        <v>6.0</v>
      </c>
      <c r="G54" s="20">
        <v>384.0</v>
      </c>
      <c r="H54" s="20">
        <f t="shared" ref="H54:I54" si="65">F54/5</f>
        <v>1.2</v>
      </c>
      <c r="I54" s="20">
        <f t="shared" si="65"/>
        <v>76.8</v>
      </c>
      <c r="J54" s="36"/>
    </row>
    <row r="55" ht="15.75" customHeight="1">
      <c r="A55" s="6">
        <v>20501.0</v>
      </c>
      <c r="B55" s="7" t="s">
        <v>15</v>
      </c>
      <c r="C55" s="7" t="s">
        <v>87</v>
      </c>
      <c r="D55" s="7" t="s">
        <v>88</v>
      </c>
      <c r="E55" s="8">
        <f t="shared" si="3"/>
        <v>8.810572687</v>
      </c>
      <c r="F55" s="26">
        <v>8.0</v>
      </c>
      <c r="G55" s="20">
        <v>908.0</v>
      </c>
      <c r="H55" s="20">
        <f t="shared" ref="H55:I55" si="66">F55/5</f>
        <v>1.6</v>
      </c>
      <c r="I55" s="20">
        <f t="shared" si="66"/>
        <v>181.6</v>
      </c>
      <c r="J55" s="36"/>
    </row>
    <row r="56" ht="15.75" customHeight="1">
      <c r="A56" s="6">
        <v>20502.0</v>
      </c>
      <c r="B56" s="7" t="s">
        <v>15</v>
      </c>
      <c r="C56" s="7" t="s">
        <v>87</v>
      </c>
      <c r="D56" s="7" t="s">
        <v>89</v>
      </c>
      <c r="E56" s="8">
        <f t="shared" si="3"/>
        <v>6.622516556</v>
      </c>
      <c r="F56" s="26">
        <v>3.0</v>
      </c>
      <c r="G56" s="20">
        <v>453.0</v>
      </c>
      <c r="H56" s="20">
        <f t="shared" ref="H56:I56" si="67">F56/5</f>
        <v>0.6</v>
      </c>
      <c r="I56" s="20">
        <f t="shared" si="67"/>
        <v>90.6</v>
      </c>
      <c r="J56" s="36"/>
    </row>
    <row r="57" ht="15.75" customHeight="1">
      <c r="A57" s="6">
        <v>20503.0</v>
      </c>
      <c r="B57" s="7" t="s">
        <v>15</v>
      </c>
      <c r="C57" s="7" t="s">
        <v>87</v>
      </c>
      <c r="D57" s="7" t="s">
        <v>90</v>
      </c>
      <c r="E57" s="8">
        <f t="shared" si="3"/>
        <v>8.988764045</v>
      </c>
      <c r="F57" s="26">
        <v>4.0</v>
      </c>
      <c r="G57" s="20">
        <v>445.0</v>
      </c>
      <c r="H57" s="20">
        <f t="shared" ref="H57:I57" si="68">F57/5</f>
        <v>0.8</v>
      </c>
      <c r="I57" s="20">
        <f t="shared" si="68"/>
        <v>89</v>
      </c>
      <c r="J57" s="36"/>
    </row>
    <row r="58" ht="15.75" customHeight="1">
      <c r="A58" s="6">
        <v>20601.0</v>
      </c>
      <c r="B58" s="7" t="s">
        <v>15</v>
      </c>
      <c r="C58" s="7" t="s">
        <v>91</v>
      </c>
      <c r="D58" s="7" t="s">
        <v>92</v>
      </c>
      <c r="E58" s="8">
        <f t="shared" si="3"/>
        <v>11.70212766</v>
      </c>
      <c r="F58" s="26">
        <v>22.0</v>
      </c>
      <c r="G58" s="20">
        <v>1880.0</v>
      </c>
      <c r="H58" s="20">
        <f t="shared" ref="H58:I58" si="69">F58/5</f>
        <v>4.4</v>
      </c>
      <c r="I58" s="20">
        <f t="shared" si="69"/>
        <v>376</v>
      </c>
      <c r="J58" s="36"/>
    </row>
    <row r="59" ht="15.75" customHeight="1">
      <c r="A59" s="6">
        <v>20602.0</v>
      </c>
      <c r="B59" s="7" t="s">
        <v>15</v>
      </c>
      <c r="C59" s="7" t="s">
        <v>91</v>
      </c>
      <c r="D59" s="7" t="s">
        <v>93</v>
      </c>
      <c r="E59" s="8">
        <f t="shared" si="3"/>
        <v>18.54974705</v>
      </c>
      <c r="F59" s="26">
        <v>22.0</v>
      </c>
      <c r="G59" s="20">
        <v>1186.0</v>
      </c>
      <c r="H59" s="20">
        <f t="shared" ref="H59:I59" si="70">F59/5</f>
        <v>4.4</v>
      </c>
      <c r="I59" s="20">
        <f t="shared" si="70"/>
        <v>237.2</v>
      </c>
      <c r="J59" s="36"/>
    </row>
    <row r="60" ht="15.75" customHeight="1">
      <c r="A60" s="6">
        <v>20603.0</v>
      </c>
      <c r="B60" s="7" t="s">
        <v>15</v>
      </c>
      <c r="C60" s="7" t="s">
        <v>91</v>
      </c>
      <c r="D60" s="7" t="s">
        <v>94</v>
      </c>
      <c r="E60" s="8">
        <f t="shared" si="3"/>
        <v>0</v>
      </c>
      <c r="F60" s="26">
        <v>0.0</v>
      </c>
      <c r="G60" s="20">
        <v>645.0</v>
      </c>
      <c r="H60" s="20">
        <f t="shared" ref="H60:I60" si="71">F60/5</f>
        <v>0</v>
      </c>
      <c r="I60" s="20">
        <f t="shared" si="71"/>
        <v>129</v>
      </c>
      <c r="J60" s="36"/>
    </row>
    <row r="61" ht="15.75" customHeight="1">
      <c r="A61" s="6">
        <v>20604.0</v>
      </c>
      <c r="B61" s="7" t="s">
        <v>15</v>
      </c>
      <c r="C61" s="7" t="s">
        <v>91</v>
      </c>
      <c r="D61" s="7" t="s">
        <v>95</v>
      </c>
      <c r="E61" s="8">
        <f t="shared" si="3"/>
        <v>27.97202797</v>
      </c>
      <c r="F61" s="26">
        <v>8.0</v>
      </c>
      <c r="G61" s="20">
        <v>286.0</v>
      </c>
      <c r="H61" s="20">
        <f t="shared" ref="H61:I61" si="72">F61/5</f>
        <v>1.6</v>
      </c>
      <c r="I61" s="20">
        <f t="shared" si="72"/>
        <v>57.2</v>
      </c>
      <c r="J61" s="36"/>
    </row>
    <row r="62" ht="15.75" customHeight="1">
      <c r="A62" s="6">
        <v>20605.0</v>
      </c>
      <c r="B62" s="7" t="s">
        <v>15</v>
      </c>
      <c r="C62" s="7" t="s">
        <v>91</v>
      </c>
      <c r="D62" s="7" t="s">
        <v>96</v>
      </c>
      <c r="E62" s="8">
        <f t="shared" si="3"/>
        <v>15.15151515</v>
      </c>
      <c r="F62" s="26">
        <v>2.0</v>
      </c>
      <c r="G62" s="20">
        <v>132.0</v>
      </c>
      <c r="H62" s="20">
        <f t="shared" ref="H62:I62" si="73">F62/5</f>
        <v>0.4</v>
      </c>
      <c r="I62" s="20">
        <f t="shared" si="73"/>
        <v>26.4</v>
      </c>
      <c r="J62" s="36"/>
    </row>
    <row r="63" ht="15.75" customHeight="1">
      <c r="A63" s="6">
        <v>20606.0</v>
      </c>
      <c r="B63" s="7" t="s">
        <v>15</v>
      </c>
      <c r="C63" s="7" t="s">
        <v>91</v>
      </c>
      <c r="D63" s="7" t="s">
        <v>97</v>
      </c>
      <c r="E63" s="8">
        <f t="shared" si="3"/>
        <v>20.52238806</v>
      </c>
      <c r="F63" s="26">
        <v>11.0</v>
      </c>
      <c r="G63" s="20">
        <v>536.0</v>
      </c>
      <c r="H63" s="20">
        <f t="shared" ref="H63:I63" si="74">F63/5</f>
        <v>2.2</v>
      </c>
      <c r="I63" s="20">
        <f t="shared" si="74"/>
        <v>107.2</v>
      </c>
      <c r="J63" s="36"/>
    </row>
    <row r="64" ht="15.75" customHeight="1">
      <c r="A64" s="6">
        <v>20607.0</v>
      </c>
      <c r="B64" s="7" t="s">
        <v>15</v>
      </c>
      <c r="C64" s="7" t="s">
        <v>91</v>
      </c>
      <c r="D64" s="7" t="s">
        <v>98</v>
      </c>
      <c r="E64" s="8">
        <f t="shared" si="3"/>
        <v>12.6984127</v>
      </c>
      <c r="F64" s="26">
        <v>24.0</v>
      </c>
      <c r="G64" s="20">
        <v>1890.0</v>
      </c>
      <c r="H64" s="20">
        <f t="shared" ref="H64:I64" si="75">F64/5</f>
        <v>4.8</v>
      </c>
      <c r="I64" s="20">
        <f t="shared" si="75"/>
        <v>378</v>
      </c>
      <c r="J64" s="36"/>
    </row>
    <row r="65" ht="15.75" customHeight="1">
      <c r="A65" s="6">
        <v>20608.0</v>
      </c>
      <c r="B65" s="7" t="s">
        <v>15</v>
      </c>
      <c r="C65" s="7" t="s">
        <v>91</v>
      </c>
      <c r="D65" s="7" t="s">
        <v>99</v>
      </c>
      <c r="E65" s="8">
        <f t="shared" si="3"/>
        <v>16.1637931</v>
      </c>
      <c r="F65" s="26">
        <v>15.0</v>
      </c>
      <c r="G65" s="20">
        <v>928.0</v>
      </c>
      <c r="H65" s="20">
        <f t="shared" ref="H65:I65" si="76">F65/5</f>
        <v>3</v>
      </c>
      <c r="I65" s="20">
        <f t="shared" si="76"/>
        <v>185.6</v>
      </c>
      <c r="J65" s="36"/>
    </row>
    <row r="66" ht="15.75" customHeight="1">
      <c r="A66" s="6">
        <v>20701.0</v>
      </c>
      <c r="B66" s="7" t="s">
        <v>15</v>
      </c>
      <c r="C66" s="7" t="s">
        <v>100</v>
      </c>
      <c r="D66" s="7" t="s">
        <v>101</v>
      </c>
      <c r="E66" s="8">
        <f t="shared" si="3"/>
        <v>17.56756757</v>
      </c>
      <c r="F66" s="26">
        <v>26.0</v>
      </c>
      <c r="G66" s="20">
        <v>1480.0</v>
      </c>
      <c r="H66" s="20">
        <f t="shared" ref="H66:I66" si="77">F66/5</f>
        <v>5.2</v>
      </c>
      <c r="I66" s="20">
        <f t="shared" si="77"/>
        <v>296</v>
      </c>
      <c r="J66" s="36"/>
    </row>
    <row r="67" ht="15.75" customHeight="1">
      <c r="A67" s="6">
        <v>20702.0</v>
      </c>
      <c r="B67" s="7" t="s">
        <v>15</v>
      </c>
      <c r="C67" s="7" t="s">
        <v>100</v>
      </c>
      <c r="D67" s="7" t="s">
        <v>102</v>
      </c>
      <c r="E67" s="8">
        <f t="shared" si="3"/>
        <v>10.1010101</v>
      </c>
      <c r="F67" s="26">
        <v>6.0</v>
      </c>
      <c r="G67" s="20">
        <v>594.0</v>
      </c>
      <c r="H67" s="20">
        <f t="shared" ref="H67:I67" si="78">F67/5</f>
        <v>1.2</v>
      </c>
      <c r="I67" s="20">
        <f t="shared" si="78"/>
        <v>118.8</v>
      </c>
      <c r="J67" s="36"/>
    </row>
    <row r="68" ht="15.75" customHeight="1">
      <c r="A68" s="6">
        <v>20801.0</v>
      </c>
      <c r="B68" s="7" t="s">
        <v>15</v>
      </c>
      <c r="C68" s="7" t="s">
        <v>103</v>
      </c>
      <c r="D68" s="7" t="s">
        <v>104</v>
      </c>
      <c r="E68" s="8">
        <f t="shared" si="3"/>
        <v>13.89653275</v>
      </c>
      <c r="F68" s="26">
        <v>101.0</v>
      </c>
      <c r="G68" s="20">
        <v>7268.0</v>
      </c>
      <c r="H68" s="20">
        <f t="shared" ref="H68:I68" si="79">F68/5</f>
        <v>20.2</v>
      </c>
      <c r="I68" s="20">
        <f t="shared" si="79"/>
        <v>1453.6</v>
      </c>
      <c r="J68" s="36"/>
    </row>
    <row r="69" ht="15.75" customHeight="1">
      <c r="A69" s="6">
        <v>20802.0</v>
      </c>
      <c r="B69" s="7" t="s">
        <v>15</v>
      </c>
      <c r="C69" s="7" t="s">
        <v>103</v>
      </c>
      <c r="D69" s="7" t="s">
        <v>105</v>
      </c>
      <c r="E69" s="8">
        <f t="shared" si="3"/>
        <v>23.41920375</v>
      </c>
      <c r="F69" s="26">
        <v>10.0</v>
      </c>
      <c r="G69" s="20">
        <v>427.0</v>
      </c>
      <c r="H69" s="20">
        <f t="shared" ref="H69:I69" si="80">F69/5</f>
        <v>2</v>
      </c>
      <c r="I69" s="20">
        <f t="shared" si="80"/>
        <v>85.4</v>
      </c>
      <c r="J69" s="36"/>
    </row>
    <row r="70" ht="15.75" customHeight="1">
      <c r="A70" s="6">
        <v>20803.0</v>
      </c>
      <c r="B70" s="7" t="s">
        <v>15</v>
      </c>
      <c r="C70" s="7" t="s">
        <v>103</v>
      </c>
      <c r="D70" s="7" t="s">
        <v>106</v>
      </c>
      <c r="E70" s="8">
        <f t="shared" si="3"/>
        <v>8.917197452</v>
      </c>
      <c r="F70" s="26">
        <v>7.0</v>
      </c>
      <c r="G70" s="20">
        <v>785.0</v>
      </c>
      <c r="H70" s="20">
        <f t="shared" ref="H70:I70" si="81">F70/5</f>
        <v>1.4</v>
      </c>
      <c r="I70" s="20">
        <f t="shared" si="81"/>
        <v>157</v>
      </c>
      <c r="J70" s="36"/>
    </row>
    <row r="71" ht="15.75" customHeight="1">
      <c r="A71" s="6">
        <v>20804.0</v>
      </c>
      <c r="B71" s="7" t="s">
        <v>15</v>
      </c>
      <c r="C71" s="7" t="s">
        <v>103</v>
      </c>
      <c r="D71" s="7" t="s">
        <v>107</v>
      </c>
      <c r="E71" s="8">
        <f t="shared" si="3"/>
        <v>16.46090535</v>
      </c>
      <c r="F71" s="26">
        <v>8.0</v>
      </c>
      <c r="G71" s="20">
        <v>486.0</v>
      </c>
      <c r="H71" s="20">
        <f t="shared" ref="H71:I71" si="82">F71/5</f>
        <v>1.6</v>
      </c>
      <c r="I71" s="20">
        <f t="shared" si="82"/>
        <v>97.2</v>
      </c>
      <c r="J71" s="36"/>
    </row>
    <row r="72" ht="15.75" customHeight="1">
      <c r="A72" s="6">
        <v>20805.0</v>
      </c>
      <c r="B72" s="7" t="s">
        <v>15</v>
      </c>
      <c r="C72" s="7" t="s">
        <v>103</v>
      </c>
      <c r="D72" s="7" t="s">
        <v>108</v>
      </c>
      <c r="E72" s="8">
        <f t="shared" si="3"/>
        <v>13.51351351</v>
      </c>
      <c r="F72" s="26">
        <v>5.0</v>
      </c>
      <c r="G72" s="20">
        <v>370.0</v>
      </c>
      <c r="H72" s="20">
        <f t="shared" ref="H72:I72" si="83">F72/5</f>
        <v>1</v>
      </c>
      <c r="I72" s="20">
        <f t="shared" si="83"/>
        <v>74</v>
      </c>
      <c r="J72" s="36"/>
    </row>
    <row r="73" ht="15.75" customHeight="1">
      <c r="A73" s="6">
        <v>20806.0</v>
      </c>
      <c r="B73" s="7" t="s">
        <v>15</v>
      </c>
      <c r="C73" s="7" t="s">
        <v>103</v>
      </c>
      <c r="D73" s="7" t="s">
        <v>109</v>
      </c>
      <c r="E73" s="8">
        <f t="shared" si="3"/>
        <v>6.082725061</v>
      </c>
      <c r="F73" s="26">
        <v>5.0</v>
      </c>
      <c r="G73" s="20">
        <v>822.0</v>
      </c>
      <c r="H73" s="20">
        <f t="shared" ref="H73:I73" si="84">F73/5</f>
        <v>1</v>
      </c>
      <c r="I73" s="20">
        <f t="shared" si="84"/>
        <v>164.4</v>
      </c>
      <c r="J73" s="36"/>
    </row>
    <row r="74" ht="15.75" customHeight="1">
      <c r="A74" s="6">
        <v>20807.0</v>
      </c>
      <c r="B74" s="7" t="s">
        <v>15</v>
      </c>
      <c r="C74" s="7" t="s">
        <v>103</v>
      </c>
      <c r="D74" s="7" t="s">
        <v>110</v>
      </c>
      <c r="E74" s="8">
        <f t="shared" si="3"/>
        <v>5.037783375</v>
      </c>
      <c r="F74" s="26">
        <v>2.0</v>
      </c>
      <c r="G74" s="20">
        <v>397.0</v>
      </c>
      <c r="H74" s="20">
        <f t="shared" ref="H74:I74" si="85">F74/5</f>
        <v>0.4</v>
      </c>
      <c r="I74" s="20">
        <f t="shared" si="85"/>
        <v>79.4</v>
      </c>
      <c r="J74" s="36"/>
    </row>
    <row r="75" ht="15.75" customHeight="1">
      <c r="A75" s="6">
        <v>20901.0</v>
      </c>
      <c r="B75" s="7" t="s">
        <v>15</v>
      </c>
      <c r="C75" s="7" t="s">
        <v>111</v>
      </c>
      <c r="D75" s="7" t="s">
        <v>112</v>
      </c>
      <c r="E75" s="8">
        <f t="shared" si="3"/>
        <v>5.008347245</v>
      </c>
      <c r="F75" s="26">
        <v>3.0</v>
      </c>
      <c r="G75" s="20">
        <v>599.0</v>
      </c>
      <c r="H75" s="20">
        <f t="shared" ref="H75:I75" si="86">F75/5</f>
        <v>0.6</v>
      </c>
      <c r="I75" s="20">
        <f t="shared" si="86"/>
        <v>119.8</v>
      </c>
      <c r="J75" s="36"/>
    </row>
    <row r="76" ht="15.75" customHeight="1">
      <c r="A76" s="6">
        <v>20902.0</v>
      </c>
      <c r="B76" s="7" t="s">
        <v>15</v>
      </c>
      <c r="C76" s="7" t="s">
        <v>111</v>
      </c>
      <c r="D76" s="7" t="s">
        <v>113</v>
      </c>
      <c r="E76" s="8">
        <f t="shared" si="3"/>
        <v>21.20890774</v>
      </c>
      <c r="F76" s="26">
        <v>20.0</v>
      </c>
      <c r="G76" s="20">
        <v>943.0</v>
      </c>
      <c r="H76" s="20">
        <f t="shared" ref="H76:I76" si="87">F76/5</f>
        <v>4</v>
      </c>
      <c r="I76" s="20">
        <f t="shared" si="87"/>
        <v>188.6</v>
      </c>
      <c r="J76" s="36"/>
    </row>
    <row r="77" ht="15.75" customHeight="1">
      <c r="A77" s="6">
        <v>20903.0</v>
      </c>
      <c r="B77" s="7" t="s">
        <v>15</v>
      </c>
      <c r="C77" s="7" t="s">
        <v>111</v>
      </c>
      <c r="D77" s="7" t="s">
        <v>114</v>
      </c>
      <c r="E77" s="8">
        <f t="shared" si="3"/>
        <v>13.63636364</v>
      </c>
      <c r="F77" s="26">
        <v>9.0</v>
      </c>
      <c r="G77" s="20">
        <v>660.0</v>
      </c>
      <c r="H77" s="20">
        <f t="shared" ref="H77:I77" si="88">F77/5</f>
        <v>1.8</v>
      </c>
      <c r="I77" s="20">
        <f t="shared" si="88"/>
        <v>132</v>
      </c>
      <c r="J77" s="36"/>
    </row>
    <row r="78" ht="15.75" customHeight="1">
      <c r="A78" s="6">
        <v>20904.0</v>
      </c>
      <c r="B78" s="7" t="s">
        <v>15</v>
      </c>
      <c r="C78" s="7" t="s">
        <v>111</v>
      </c>
      <c r="D78" s="7" t="s">
        <v>115</v>
      </c>
      <c r="E78" s="8">
        <f t="shared" si="3"/>
        <v>2.89017341</v>
      </c>
      <c r="F78" s="26">
        <v>1.0</v>
      </c>
      <c r="G78" s="20">
        <v>346.0</v>
      </c>
      <c r="H78" s="20">
        <f t="shared" ref="H78:I78" si="89">F78/5</f>
        <v>0.2</v>
      </c>
      <c r="I78" s="20">
        <f t="shared" si="89"/>
        <v>69.2</v>
      </c>
      <c r="J78" s="36"/>
    </row>
    <row r="79" ht="15.75" customHeight="1">
      <c r="A79" s="6">
        <v>20905.0</v>
      </c>
      <c r="B79" s="7" t="s">
        <v>15</v>
      </c>
      <c r="C79" s="7" t="s">
        <v>111</v>
      </c>
      <c r="D79" s="7" t="s">
        <v>116</v>
      </c>
      <c r="E79" s="8">
        <f t="shared" si="3"/>
        <v>9.89010989</v>
      </c>
      <c r="F79" s="26">
        <v>9.0</v>
      </c>
      <c r="G79" s="20">
        <v>910.0</v>
      </c>
      <c r="H79" s="20">
        <f t="shared" ref="H79:I79" si="90">F79/5</f>
        <v>1.8</v>
      </c>
      <c r="I79" s="20">
        <f t="shared" si="90"/>
        <v>182</v>
      </c>
      <c r="J79" s="36"/>
    </row>
    <row r="80" ht="15.75" customHeight="1">
      <c r="A80" s="6">
        <v>21001.0</v>
      </c>
      <c r="B80" s="7" t="s">
        <v>15</v>
      </c>
      <c r="C80" s="7" t="s">
        <v>117</v>
      </c>
      <c r="D80" s="7" t="s">
        <v>117</v>
      </c>
      <c r="E80" s="8">
        <f t="shared" si="3"/>
        <v>9.251471825</v>
      </c>
      <c r="F80" s="26">
        <v>11.0</v>
      </c>
      <c r="G80" s="20">
        <v>1189.0</v>
      </c>
      <c r="H80" s="20">
        <f t="shared" ref="H80:I80" si="91">F80/5</f>
        <v>2.2</v>
      </c>
      <c r="I80" s="20">
        <f t="shared" si="91"/>
        <v>237.8</v>
      </c>
      <c r="J80" s="36"/>
    </row>
    <row r="81" ht="15.75" customHeight="1">
      <c r="A81" s="6">
        <v>21002.0</v>
      </c>
      <c r="B81" s="7" t="s">
        <v>15</v>
      </c>
      <c r="C81" s="7" t="s">
        <v>117</v>
      </c>
      <c r="D81" s="7" t="s">
        <v>118</v>
      </c>
      <c r="E81" s="8">
        <f t="shared" si="3"/>
        <v>23.73417722</v>
      </c>
      <c r="F81" s="26">
        <v>15.0</v>
      </c>
      <c r="G81" s="20">
        <v>632.0</v>
      </c>
      <c r="H81" s="20">
        <f t="shared" ref="H81:I81" si="92">F81/5</f>
        <v>3</v>
      </c>
      <c r="I81" s="20">
        <f t="shared" si="92"/>
        <v>126.4</v>
      </c>
      <c r="J81" s="36"/>
    </row>
    <row r="82" ht="15.75" customHeight="1">
      <c r="A82" s="6">
        <v>21003.0</v>
      </c>
      <c r="B82" s="7" t="s">
        <v>15</v>
      </c>
      <c r="C82" s="7" t="s">
        <v>117</v>
      </c>
      <c r="D82" s="7" t="s">
        <v>119</v>
      </c>
      <c r="E82" s="8">
        <f t="shared" si="3"/>
        <v>12.29508197</v>
      </c>
      <c r="F82" s="26">
        <v>15.0</v>
      </c>
      <c r="G82" s="20">
        <v>1220.0</v>
      </c>
      <c r="H82" s="20">
        <f t="shared" ref="H82:I82" si="93">F82/5</f>
        <v>3</v>
      </c>
      <c r="I82" s="20">
        <f t="shared" si="93"/>
        <v>244</v>
      </c>
      <c r="J82" s="36"/>
    </row>
    <row r="83" ht="15.75" customHeight="1">
      <c r="A83" s="6">
        <v>21004.0</v>
      </c>
      <c r="B83" s="7" t="s">
        <v>15</v>
      </c>
      <c r="C83" s="7" t="s">
        <v>117</v>
      </c>
      <c r="D83" s="7" t="s">
        <v>120</v>
      </c>
      <c r="E83" s="8">
        <f t="shared" si="3"/>
        <v>17.03470032</v>
      </c>
      <c r="F83" s="26">
        <v>27.0</v>
      </c>
      <c r="G83" s="20">
        <v>1585.0</v>
      </c>
      <c r="H83" s="20">
        <f t="shared" ref="H83:I83" si="94">F83/5</f>
        <v>5.4</v>
      </c>
      <c r="I83" s="20">
        <f t="shared" si="94"/>
        <v>317</v>
      </c>
      <c r="J83" s="36"/>
    </row>
    <row r="84" ht="15.75" customHeight="1">
      <c r="A84" s="6">
        <v>21005.0</v>
      </c>
      <c r="B84" s="7" t="s">
        <v>15</v>
      </c>
      <c r="C84" s="7" t="s">
        <v>117</v>
      </c>
      <c r="D84" s="7" t="s">
        <v>121</v>
      </c>
      <c r="E84" s="8">
        <f t="shared" si="3"/>
        <v>10.59322034</v>
      </c>
      <c r="F84" s="26">
        <v>5.0</v>
      </c>
      <c r="G84" s="20">
        <v>472.0</v>
      </c>
      <c r="H84" s="20">
        <f t="shared" ref="H84:I84" si="95">F84/5</f>
        <v>1</v>
      </c>
      <c r="I84" s="20">
        <f t="shared" si="95"/>
        <v>94.4</v>
      </c>
      <c r="J84" s="36"/>
    </row>
    <row r="85" ht="15.75" customHeight="1">
      <c r="A85" s="6">
        <v>21006.0</v>
      </c>
      <c r="B85" s="7" t="s">
        <v>15</v>
      </c>
      <c r="C85" s="7" t="s">
        <v>117</v>
      </c>
      <c r="D85" s="7" t="s">
        <v>122</v>
      </c>
      <c r="E85" s="8">
        <f t="shared" si="3"/>
        <v>8.163265306</v>
      </c>
      <c r="F85" s="26">
        <v>4.0</v>
      </c>
      <c r="G85" s="20">
        <v>490.0</v>
      </c>
      <c r="H85" s="20">
        <f t="shared" ref="H85:I85" si="96">F85/5</f>
        <v>0.8</v>
      </c>
      <c r="I85" s="20">
        <f t="shared" si="96"/>
        <v>98</v>
      </c>
      <c r="J85" s="36"/>
    </row>
    <row r="86" ht="15.75" customHeight="1">
      <c r="A86" s="6">
        <v>21101.0</v>
      </c>
      <c r="B86" s="7" t="s">
        <v>15</v>
      </c>
      <c r="C86" s="7" t="s">
        <v>123</v>
      </c>
      <c r="D86" s="7" t="s">
        <v>124</v>
      </c>
      <c r="E86" s="8">
        <f t="shared" si="3"/>
        <v>22.31404959</v>
      </c>
      <c r="F86" s="26">
        <v>27.0</v>
      </c>
      <c r="G86" s="20">
        <v>1210.0</v>
      </c>
      <c r="H86" s="20">
        <f t="shared" ref="H86:I86" si="97">F86/5</f>
        <v>5.4</v>
      </c>
      <c r="I86" s="20">
        <f t="shared" si="97"/>
        <v>242</v>
      </c>
      <c r="J86" s="36"/>
    </row>
    <row r="87" ht="15.75" customHeight="1">
      <c r="A87" s="6">
        <v>21102.0</v>
      </c>
      <c r="B87" s="7" t="s">
        <v>15</v>
      </c>
      <c r="C87" s="7" t="s">
        <v>123</v>
      </c>
      <c r="D87" s="7" t="s">
        <v>125</v>
      </c>
      <c r="E87" s="8">
        <f t="shared" si="3"/>
        <v>15.56970984</v>
      </c>
      <c r="F87" s="26">
        <v>22.0</v>
      </c>
      <c r="G87" s="20">
        <v>1413.0</v>
      </c>
      <c r="H87" s="20">
        <f t="shared" ref="H87:I87" si="98">F87/5</f>
        <v>4.4</v>
      </c>
      <c r="I87" s="20">
        <f t="shared" si="98"/>
        <v>282.6</v>
      </c>
      <c r="J87" s="36"/>
    </row>
    <row r="88" ht="15.75" customHeight="1">
      <c r="A88" s="6">
        <v>21103.0</v>
      </c>
      <c r="B88" s="7" t="s">
        <v>15</v>
      </c>
      <c r="C88" s="7" t="s">
        <v>123</v>
      </c>
      <c r="D88" s="7" t="s">
        <v>126</v>
      </c>
      <c r="E88" s="8">
        <f t="shared" si="3"/>
        <v>7.177033493</v>
      </c>
      <c r="F88" s="26">
        <v>3.0</v>
      </c>
      <c r="G88" s="20">
        <v>418.0</v>
      </c>
      <c r="H88" s="20">
        <f t="shared" ref="H88:I88" si="99">F88/5</f>
        <v>0.6</v>
      </c>
      <c r="I88" s="20">
        <f t="shared" si="99"/>
        <v>83.6</v>
      </c>
      <c r="J88" s="36"/>
    </row>
    <row r="89" ht="15.75" customHeight="1">
      <c r="A89" s="6">
        <v>21104.0</v>
      </c>
      <c r="B89" s="7" t="s">
        <v>15</v>
      </c>
      <c r="C89" s="7" t="s">
        <v>123</v>
      </c>
      <c r="D89" s="7" t="s">
        <v>127</v>
      </c>
      <c r="E89" s="8">
        <f t="shared" si="3"/>
        <v>14.74201474</v>
      </c>
      <c r="F89" s="26">
        <v>30.0</v>
      </c>
      <c r="G89" s="20">
        <v>2035.0</v>
      </c>
      <c r="H89" s="20">
        <f t="shared" ref="H89:I89" si="100">F89/5</f>
        <v>6</v>
      </c>
      <c r="I89" s="20">
        <f t="shared" si="100"/>
        <v>407</v>
      </c>
      <c r="J89" s="36"/>
    </row>
    <row r="90" ht="15.75" customHeight="1">
      <c r="A90" s="6">
        <v>21105.0</v>
      </c>
      <c r="B90" s="7" t="s">
        <v>15</v>
      </c>
      <c r="C90" s="7" t="s">
        <v>123</v>
      </c>
      <c r="D90" s="7" t="s">
        <v>128</v>
      </c>
      <c r="E90" s="8">
        <f t="shared" si="3"/>
        <v>16.16628176</v>
      </c>
      <c r="F90" s="26">
        <v>56.0</v>
      </c>
      <c r="G90" s="20">
        <v>3464.0</v>
      </c>
      <c r="H90" s="20">
        <f t="shared" ref="H90:I90" si="101">F90/5</f>
        <v>11.2</v>
      </c>
      <c r="I90" s="20">
        <f t="shared" si="101"/>
        <v>692.8</v>
      </c>
      <c r="J90" s="36"/>
    </row>
    <row r="91" ht="15.75" customHeight="1">
      <c r="A91" s="6">
        <v>21201.0</v>
      </c>
      <c r="B91" s="7" t="s">
        <v>15</v>
      </c>
      <c r="C91" s="7" t="s">
        <v>129</v>
      </c>
      <c r="D91" s="7" t="s">
        <v>130</v>
      </c>
      <c r="E91" s="8">
        <f t="shared" si="3"/>
        <v>13.68584759</v>
      </c>
      <c r="F91" s="26">
        <v>44.0</v>
      </c>
      <c r="G91" s="20">
        <v>3215.0</v>
      </c>
      <c r="H91" s="20">
        <f t="shared" ref="H91:I91" si="102">F91/5</f>
        <v>8.8</v>
      </c>
      <c r="I91" s="20">
        <f t="shared" si="102"/>
        <v>643</v>
      </c>
      <c r="J91" s="36"/>
    </row>
    <row r="92" ht="15.75" customHeight="1">
      <c r="A92" s="6">
        <v>21202.0</v>
      </c>
      <c r="B92" s="7" t="s">
        <v>15</v>
      </c>
      <c r="C92" s="7" t="s">
        <v>129</v>
      </c>
      <c r="D92" s="7" t="s">
        <v>131</v>
      </c>
      <c r="E92" s="8">
        <f t="shared" si="3"/>
        <v>11.91996594</v>
      </c>
      <c r="F92" s="26">
        <v>28.0</v>
      </c>
      <c r="G92" s="20">
        <v>2349.0</v>
      </c>
      <c r="H92" s="20">
        <f t="shared" ref="H92:I92" si="103">F92/5</f>
        <v>5.6</v>
      </c>
      <c r="I92" s="20">
        <f t="shared" si="103"/>
        <v>469.8</v>
      </c>
      <c r="J92" s="36"/>
    </row>
    <row r="93" ht="15.75" customHeight="1">
      <c r="A93" s="6">
        <v>21203.0</v>
      </c>
      <c r="B93" s="7" t="s">
        <v>15</v>
      </c>
      <c r="C93" s="7" t="s">
        <v>129</v>
      </c>
      <c r="D93" s="7" t="s">
        <v>132</v>
      </c>
      <c r="E93" s="8">
        <f t="shared" si="3"/>
        <v>15.67656766</v>
      </c>
      <c r="F93" s="26">
        <v>19.0</v>
      </c>
      <c r="G93" s="20">
        <v>1212.0</v>
      </c>
      <c r="H93" s="20">
        <f t="shared" ref="H93:I93" si="104">F93/5</f>
        <v>3.8</v>
      </c>
      <c r="I93" s="20">
        <f t="shared" si="104"/>
        <v>242.4</v>
      </c>
      <c r="J93" s="36"/>
    </row>
    <row r="94" ht="15.75" customHeight="1">
      <c r="A94" s="6">
        <v>21204.0</v>
      </c>
      <c r="B94" s="7" t="s">
        <v>15</v>
      </c>
      <c r="C94" s="7" t="s">
        <v>129</v>
      </c>
      <c r="D94" s="7" t="s">
        <v>133</v>
      </c>
      <c r="E94" s="8">
        <f t="shared" si="3"/>
        <v>8.064516129</v>
      </c>
      <c r="F94" s="26">
        <v>3.0</v>
      </c>
      <c r="G94" s="20">
        <v>372.0</v>
      </c>
      <c r="H94" s="20">
        <f t="shared" ref="H94:I94" si="105">F94/5</f>
        <v>0.6</v>
      </c>
      <c r="I94" s="20">
        <f t="shared" si="105"/>
        <v>74.4</v>
      </c>
      <c r="J94" s="36"/>
    </row>
    <row r="95" ht="15.75" customHeight="1">
      <c r="A95" s="6">
        <v>21301.0</v>
      </c>
      <c r="B95" s="7" t="s">
        <v>15</v>
      </c>
      <c r="C95" s="7" t="s">
        <v>134</v>
      </c>
      <c r="D95" s="7" t="s">
        <v>135</v>
      </c>
      <c r="E95" s="8">
        <f t="shared" si="3"/>
        <v>15.2259332</v>
      </c>
      <c r="F95" s="26">
        <v>31.0</v>
      </c>
      <c r="G95" s="20">
        <v>2036.0</v>
      </c>
      <c r="H95" s="20">
        <f t="shared" ref="H95:I95" si="106">F95/5</f>
        <v>6.2</v>
      </c>
      <c r="I95" s="20">
        <f t="shared" si="106"/>
        <v>407.2</v>
      </c>
      <c r="J95" s="36"/>
    </row>
    <row r="96" ht="15.75" customHeight="1">
      <c r="A96" s="6">
        <v>21302.0</v>
      </c>
      <c r="B96" s="7" t="s">
        <v>15</v>
      </c>
      <c r="C96" s="7" t="s">
        <v>134</v>
      </c>
      <c r="D96" s="7" t="s">
        <v>136</v>
      </c>
      <c r="E96" s="8">
        <f t="shared" si="3"/>
        <v>11.4416476</v>
      </c>
      <c r="F96" s="26">
        <v>5.0</v>
      </c>
      <c r="G96" s="20">
        <v>437.0</v>
      </c>
      <c r="H96" s="20">
        <f t="shared" ref="H96:I96" si="107">F96/5</f>
        <v>1</v>
      </c>
      <c r="I96" s="20">
        <f t="shared" si="107"/>
        <v>87.4</v>
      </c>
      <c r="J96" s="36"/>
    </row>
    <row r="97" ht="15.75" customHeight="1">
      <c r="A97" s="6">
        <v>21303.0</v>
      </c>
      <c r="B97" s="7" t="s">
        <v>15</v>
      </c>
      <c r="C97" s="7" t="s">
        <v>134</v>
      </c>
      <c r="D97" s="7" t="s">
        <v>137</v>
      </c>
      <c r="E97" s="8">
        <f t="shared" si="3"/>
        <v>30.3030303</v>
      </c>
      <c r="F97" s="26">
        <v>20.0</v>
      </c>
      <c r="G97" s="20">
        <v>660.0</v>
      </c>
      <c r="H97" s="20">
        <f t="shared" ref="H97:I97" si="108">F97/5</f>
        <v>4</v>
      </c>
      <c r="I97" s="20">
        <f t="shared" si="108"/>
        <v>132</v>
      </c>
      <c r="J97" s="36"/>
    </row>
    <row r="98" ht="15.75" customHeight="1">
      <c r="A98" s="6">
        <v>21304.0</v>
      </c>
      <c r="B98" s="7" t="s">
        <v>15</v>
      </c>
      <c r="C98" s="7" t="s">
        <v>134</v>
      </c>
      <c r="D98" s="7" t="s">
        <v>138</v>
      </c>
      <c r="E98" s="8">
        <f t="shared" si="3"/>
        <v>7.658643326</v>
      </c>
      <c r="F98" s="26">
        <v>7.0</v>
      </c>
      <c r="G98" s="20">
        <v>914.0</v>
      </c>
      <c r="H98" s="20">
        <f t="shared" ref="H98:I98" si="109">F98/5</f>
        <v>1.4</v>
      </c>
      <c r="I98" s="20">
        <f t="shared" si="109"/>
        <v>182.8</v>
      </c>
      <c r="J98" s="36"/>
    </row>
    <row r="99" ht="15.75" customHeight="1">
      <c r="A99" s="6">
        <v>21305.0</v>
      </c>
      <c r="B99" s="7" t="s">
        <v>15</v>
      </c>
      <c r="C99" s="7" t="s">
        <v>134</v>
      </c>
      <c r="D99" s="7" t="s">
        <v>139</v>
      </c>
      <c r="E99" s="8">
        <f t="shared" si="3"/>
        <v>17.78304683</v>
      </c>
      <c r="F99" s="26">
        <v>30.0</v>
      </c>
      <c r="G99" s="20">
        <v>1687.0</v>
      </c>
      <c r="H99" s="20">
        <f t="shared" ref="H99:I99" si="110">F99/5</f>
        <v>6</v>
      </c>
      <c r="I99" s="20">
        <f t="shared" si="110"/>
        <v>337.4</v>
      </c>
      <c r="J99" s="36"/>
    </row>
    <row r="100" ht="15.75" customHeight="1">
      <c r="A100" s="6">
        <v>21306.0</v>
      </c>
      <c r="B100" s="7" t="s">
        <v>15</v>
      </c>
      <c r="C100" s="7" t="s">
        <v>134</v>
      </c>
      <c r="D100" s="7" t="s">
        <v>140</v>
      </c>
      <c r="E100" s="8">
        <f t="shared" si="3"/>
        <v>19.07032181</v>
      </c>
      <c r="F100" s="26">
        <v>16.0</v>
      </c>
      <c r="G100" s="20">
        <v>839.0</v>
      </c>
      <c r="H100" s="20">
        <f t="shared" ref="H100:I100" si="111">F100/5</f>
        <v>3.2</v>
      </c>
      <c r="I100" s="20">
        <f t="shared" si="111"/>
        <v>167.8</v>
      </c>
      <c r="J100" s="36"/>
    </row>
    <row r="101" ht="15.75" customHeight="1">
      <c r="A101" s="6">
        <v>21307.0</v>
      </c>
      <c r="B101" s="7" t="s">
        <v>15</v>
      </c>
      <c r="C101" s="7" t="s">
        <v>134</v>
      </c>
      <c r="D101" s="7" t="s">
        <v>141</v>
      </c>
      <c r="E101" s="8">
        <f t="shared" si="3"/>
        <v>17.66784452</v>
      </c>
      <c r="F101" s="26">
        <v>5.0</v>
      </c>
      <c r="G101" s="20">
        <v>283.0</v>
      </c>
      <c r="H101" s="20">
        <f t="shared" ref="H101:I101" si="112">F101/5</f>
        <v>1</v>
      </c>
      <c r="I101" s="20">
        <f t="shared" si="112"/>
        <v>56.6</v>
      </c>
      <c r="J101" s="36"/>
    </row>
    <row r="102" ht="15.75" customHeight="1">
      <c r="A102" s="6">
        <v>21401.0</v>
      </c>
      <c r="B102" s="7" t="s">
        <v>15</v>
      </c>
      <c r="C102" s="7" t="s">
        <v>142</v>
      </c>
      <c r="D102" s="7" t="s">
        <v>143</v>
      </c>
      <c r="E102" s="8">
        <f t="shared" si="3"/>
        <v>12.3228589</v>
      </c>
      <c r="F102" s="26">
        <v>20.0</v>
      </c>
      <c r="G102" s="20">
        <v>1623.0</v>
      </c>
      <c r="H102" s="20">
        <f t="shared" ref="H102:I102" si="113">F102/5</f>
        <v>4</v>
      </c>
      <c r="I102" s="20">
        <f t="shared" si="113"/>
        <v>324.6</v>
      </c>
      <c r="J102" s="36"/>
    </row>
    <row r="103" ht="15.75" customHeight="1">
      <c r="A103" s="6">
        <v>21402.0</v>
      </c>
      <c r="B103" s="7" t="s">
        <v>15</v>
      </c>
      <c r="C103" s="7" t="s">
        <v>142</v>
      </c>
      <c r="D103" s="7" t="s">
        <v>144</v>
      </c>
      <c r="E103" s="8">
        <f t="shared" si="3"/>
        <v>10.40312094</v>
      </c>
      <c r="F103" s="26">
        <v>16.0</v>
      </c>
      <c r="G103" s="20">
        <v>1538.0</v>
      </c>
      <c r="H103" s="20">
        <f t="shared" ref="H103:I103" si="114">F103/5</f>
        <v>3.2</v>
      </c>
      <c r="I103" s="20">
        <f t="shared" si="114"/>
        <v>307.6</v>
      </c>
      <c r="J103" s="36"/>
    </row>
    <row r="104" ht="15.75" customHeight="1">
      <c r="A104" s="6">
        <v>21501.0</v>
      </c>
      <c r="B104" s="7" t="s">
        <v>15</v>
      </c>
      <c r="C104" s="7" t="s">
        <v>145</v>
      </c>
      <c r="D104" s="7" t="s">
        <v>146</v>
      </c>
      <c r="E104" s="8">
        <f t="shared" si="3"/>
        <v>15.59251559</v>
      </c>
      <c r="F104" s="26">
        <v>15.0</v>
      </c>
      <c r="G104" s="20">
        <v>962.0</v>
      </c>
      <c r="H104" s="20">
        <f t="shared" ref="H104:I104" si="115">F104/5</f>
        <v>3</v>
      </c>
      <c r="I104" s="20">
        <f t="shared" si="115"/>
        <v>192.4</v>
      </c>
      <c r="J104" s="36"/>
    </row>
    <row r="105" ht="15.75" customHeight="1">
      <c r="A105" s="6">
        <v>21502.0</v>
      </c>
      <c r="B105" s="7" t="s">
        <v>15</v>
      </c>
      <c r="C105" s="7" t="s">
        <v>145</v>
      </c>
      <c r="D105" s="7" t="s">
        <v>147</v>
      </c>
      <c r="E105" s="8">
        <f t="shared" si="3"/>
        <v>22.5</v>
      </c>
      <c r="F105" s="26">
        <v>18.0</v>
      </c>
      <c r="G105" s="20">
        <v>800.0</v>
      </c>
      <c r="H105" s="20">
        <f t="shared" ref="H105:I105" si="116">F105/5</f>
        <v>3.6</v>
      </c>
      <c r="I105" s="20">
        <f t="shared" si="116"/>
        <v>160</v>
      </c>
      <c r="J105" s="36"/>
    </row>
    <row r="106" ht="15.75" customHeight="1">
      <c r="A106" s="6">
        <v>21601.0</v>
      </c>
      <c r="B106" s="7" t="s">
        <v>15</v>
      </c>
      <c r="C106" s="7" t="s">
        <v>148</v>
      </c>
      <c r="D106" s="7" t="s">
        <v>149</v>
      </c>
      <c r="E106" s="8">
        <f t="shared" si="3"/>
        <v>10.30927835</v>
      </c>
      <c r="F106" s="26">
        <v>10.0</v>
      </c>
      <c r="G106" s="20">
        <v>970.0</v>
      </c>
      <c r="H106" s="20">
        <f t="shared" ref="H106:I106" si="117">F106/5</f>
        <v>2</v>
      </c>
      <c r="I106" s="20">
        <f t="shared" si="117"/>
        <v>194</v>
      </c>
      <c r="J106" s="36"/>
    </row>
    <row r="107" ht="15.75" customHeight="1">
      <c r="A107" s="6">
        <v>21602.0</v>
      </c>
      <c r="B107" s="7" t="s">
        <v>15</v>
      </c>
      <c r="C107" s="7" t="s">
        <v>148</v>
      </c>
      <c r="D107" s="7" t="s">
        <v>150</v>
      </c>
      <c r="E107" s="8">
        <f t="shared" si="3"/>
        <v>10.38961039</v>
      </c>
      <c r="F107" s="26">
        <v>4.0</v>
      </c>
      <c r="G107" s="20">
        <v>385.0</v>
      </c>
      <c r="H107" s="20">
        <f t="shared" ref="H107:I107" si="118">F107/5</f>
        <v>0.8</v>
      </c>
      <c r="I107" s="20">
        <f t="shared" si="118"/>
        <v>77</v>
      </c>
      <c r="J107" s="36"/>
    </row>
    <row r="108" ht="15.75" customHeight="1">
      <c r="A108" s="6">
        <v>21701.0</v>
      </c>
      <c r="B108" s="7" t="s">
        <v>15</v>
      </c>
      <c r="C108" s="7" t="s">
        <v>151</v>
      </c>
      <c r="D108" s="7" t="s">
        <v>152</v>
      </c>
      <c r="E108" s="8">
        <f t="shared" si="3"/>
        <v>8.988764045</v>
      </c>
      <c r="F108" s="26">
        <v>8.0</v>
      </c>
      <c r="G108" s="20">
        <v>890.0</v>
      </c>
      <c r="H108" s="20">
        <f t="shared" ref="H108:I108" si="119">F108/5</f>
        <v>1.6</v>
      </c>
      <c r="I108" s="20">
        <f t="shared" si="119"/>
        <v>178</v>
      </c>
      <c r="J108" s="36"/>
    </row>
    <row r="109" ht="15.75" customHeight="1">
      <c r="A109" s="6">
        <v>21702.0</v>
      </c>
      <c r="B109" s="7" t="s">
        <v>15</v>
      </c>
      <c r="C109" s="7" t="s">
        <v>151</v>
      </c>
      <c r="D109" s="7" t="s">
        <v>153</v>
      </c>
      <c r="E109" s="8">
        <f t="shared" si="3"/>
        <v>25.3164557</v>
      </c>
      <c r="F109" s="26">
        <v>10.0</v>
      </c>
      <c r="G109" s="20">
        <v>395.0</v>
      </c>
      <c r="H109" s="20">
        <f t="shared" ref="H109:I109" si="120">F109/5</f>
        <v>2</v>
      </c>
      <c r="I109" s="20">
        <f t="shared" si="120"/>
        <v>79</v>
      </c>
      <c r="J109" s="36"/>
    </row>
    <row r="110" ht="15.75" customHeight="1">
      <c r="A110" s="6">
        <v>21703.0</v>
      </c>
      <c r="B110" s="7" t="s">
        <v>15</v>
      </c>
      <c r="C110" s="7" t="s">
        <v>151</v>
      </c>
      <c r="D110" s="7" t="s">
        <v>154</v>
      </c>
      <c r="E110" s="8">
        <f t="shared" si="3"/>
        <v>0</v>
      </c>
      <c r="F110" s="26">
        <v>0.0</v>
      </c>
      <c r="G110" s="20">
        <v>188.0</v>
      </c>
      <c r="H110" s="20">
        <f t="shared" ref="H110:I110" si="121">F110/5</f>
        <v>0</v>
      </c>
      <c r="I110" s="20">
        <f t="shared" si="121"/>
        <v>37.6</v>
      </c>
      <c r="J110" s="36"/>
    </row>
    <row r="111" ht="15.75" customHeight="1">
      <c r="A111" s="6">
        <v>21801.0</v>
      </c>
      <c r="B111" s="7" t="s">
        <v>15</v>
      </c>
      <c r="C111" s="7" t="s">
        <v>155</v>
      </c>
      <c r="D111" s="7" t="s">
        <v>156</v>
      </c>
      <c r="E111" s="8">
        <f t="shared" si="3"/>
        <v>15.5210643</v>
      </c>
      <c r="F111" s="26">
        <v>7.0</v>
      </c>
      <c r="G111" s="20">
        <v>451.0</v>
      </c>
      <c r="H111" s="20">
        <f t="shared" ref="H111:I111" si="122">F111/5</f>
        <v>1.4</v>
      </c>
      <c r="I111" s="20">
        <f t="shared" si="122"/>
        <v>90.2</v>
      </c>
      <c r="J111" s="36"/>
    </row>
    <row r="112" ht="15.75" customHeight="1">
      <c r="A112" s="6">
        <v>21802.0</v>
      </c>
      <c r="B112" s="7" t="s">
        <v>15</v>
      </c>
      <c r="C112" s="7" t="s">
        <v>157</v>
      </c>
      <c r="D112" s="7" t="s">
        <v>158</v>
      </c>
      <c r="E112" s="8">
        <f t="shared" si="3"/>
        <v>14.53488372</v>
      </c>
      <c r="F112" s="26">
        <v>5.0</v>
      </c>
      <c r="G112" s="20">
        <v>344.0</v>
      </c>
      <c r="H112" s="20">
        <f t="shared" ref="H112:I112" si="123">F112/5</f>
        <v>1</v>
      </c>
      <c r="I112" s="20">
        <f t="shared" si="123"/>
        <v>68.8</v>
      </c>
      <c r="J112" s="36"/>
    </row>
    <row r="113" ht="15.75" customHeight="1">
      <c r="A113" s="6">
        <v>21803.0</v>
      </c>
      <c r="B113" s="7" t="s">
        <v>15</v>
      </c>
      <c r="C113" s="7" t="s">
        <v>157</v>
      </c>
      <c r="D113" s="7" t="s">
        <v>159</v>
      </c>
      <c r="E113" s="8">
        <f t="shared" si="3"/>
        <v>0</v>
      </c>
      <c r="F113" s="26">
        <v>0.0</v>
      </c>
      <c r="G113" s="20">
        <v>120.0</v>
      </c>
      <c r="H113" s="20">
        <f t="shared" ref="H113:I113" si="124">F113/5</f>
        <v>0</v>
      </c>
      <c r="I113" s="20">
        <f t="shared" si="124"/>
        <v>24</v>
      </c>
      <c r="J113" s="36"/>
    </row>
    <row r="114" ht="15.75" customHeight="1">
      <c r="A114" s="6">
        <v>21901.0</v>
      </c>
      <c r="B114" s="7" t="s">
        <v>15</v>
      </c>
      <c r="C114" s="7" t="s">
        <v>160</v>
      </c>
      <c r="D114" s="7" t="s">
        <v>161</v>
      </c>
      <c r="E114" s="8">
        <f t="shared" si="3"/>
        <v>33.63914373</v>
      </c>
      <c r="F114" s="26">
        <v>11.0</v>
      </c>
      <c r="G114" s="20">
        <v>327.0</v>
      </c>
      <c r="H114" s="20">
        <f t="shared" ref="H114:I114" si="125">F114/5</f>
        <v>2.2</v>
      </c>
      <c r="I114" s="20">
        <f t="shared" si="125"/>
        <v>65.4</v>
      </c>
      <c r="J114" s="36"/>
    </row>
    <row r="115" ht="15.75" customHeight="1">
      <c r="A115" s="6">
        <v>21902.0</v>
      </c>
      <c r="B115" s="7" t="s">
        <v>15</v>
      </c>
      <c r="C115" s="7" t="s">
        <v>160</v>
      </c>
      <c r="D115" s="7" t="s">
        <v>162</v>
      </c>
      <c r="E115" s="8">
        <f t="shared" si="3"/>
        <v>3.067484663</v>
      </c>
      <c r="F115" s="26">
        <v>1.0</v>
      </c>
      <c r="G115" s="20">
        <v>326.0</v>
      </c>
      <c r="H115" s="20">
        <f t="shared" ref="H115:I115" si="126">F115/5</f>
        <v>0.2</v>
      </c>
      <c r="I115" s="20">
        <f t="shared" si="126"/>
        <v>65.2</v>
      </c>
      <c r="J115" s="36"/>
    </row>
    <row r="116" ht="15.75" customHeight="1">
      <c r="A116" s="6">
        <v>22001.0</v>
      </c>
      <c r="B116" s="7" t="s">
        <v>15</v>
      </c>
      <c r="C116" s="7" t="s">
        <v>163</v>
      </c>
      <c r="D116" s="7" t="s">
        <v>163</v>
      </c>
      <c r="E116" s="8">
        <f t="shared" si="3"/>
        <v>10.61289467</v>
      </c>
      <c r="F116" s="26">
        <v>40.0</v>
      </c>
      <c r="G116" s="20">
        <v>3769.0</v>
      </c>
      <c r="H116" s="20">
        <f t="shared" ref="H116:I116" si="127">F116/5</f>
        <v>8</v>
      </c>
      <c r="I116" s="20">
        <f t="shared" si="127"/>
        <v>753.8</v>
      </c>
      <c r="J116" s="36"/>
    </row>
    <row r="117" ht="15.75" customHeight="1">
      <c r="A117" s="6">
        <v>22002.0</v>
      </c>
      <c r="B117" s="7" t="s">
        <v>15</v>
      </c>
      <c r="C117" s="7" t="s">
        <v>163</v>
      </c>
      <c r="D117" s="7" t="s">
        <v>164</v>
      </c>
      <c r="E117" s="8">
        <f t="shared" si="3"/>
        <v>17.54385965</v>
      </c>
      <c r="F117" s="26">
        <v>12.0</v>
      </c>
      <c r="G117" s="20">
        <v>684.0</v>
      </c>
      <c r="H117" s="20">
        <f t="shared" ref="H117:I117" si="128">F117/5</f>
        <v>2.4</v>
      </c>
      <c r="I117" s="20">
        <f t="shared" si="128"/>
        <v>136.8</v>
      </c>
      <c r="J117" s="36"/>
    </row>
    <row r="118" ht="15.75" customHeight="1">
      <c r="A118" s="6">
        <v>30101.0</v>
      </c>
      <c r="B118" s="7" t="s">
        <v>17</v>
      </c>
      <c r="C118" s="7" t="s">
        <v>165</v>
      </c>
      <c r="D118" s="7" t="s">
        <v>17</v>
      </c>
      <c r="E118" s="8">
        <f t="shared" si="3"/>
        <v>7.939036695</v>
      </c>
      <c r="F118" s="26">
        <v>299.0</v>
      </c>
      <c r="G118" s="20">
        <v>37662.0</v>
      </c>
      <c r="H118" s="20">
        <f t="shared" ref="H118:I118" si="129">F118/5</f>
        <v>59.8</v>
      </c>
      <c r="I118" s="20">
        <f t="shared" si="129"/>
        <v>7532.4</v>
      </c>
      <c r="J118" s="36"/>
    </row>
    <row r="119" ht="15.75" customHeight="1">
      <c r="A119" s="6">
        <v>30201.0</v>
      </c>
      <c r="B119" s="7" t="s">
        <v>17</v>
      </c>
      <c r="C119" s="7" t="s">
        <v>166</v>
      </c>
      <c r="D119" s="7" t="s">
        <v>167</v>
      </c>
      <c r="E119" s="8">
        <f t="shared" si="3"/>
        <v>5.043227666</v>
      </c>
      <c r="F119" s="26">
        <v>7.0</v>
      </c>
      <c r="G119" s="20">
        <v>1388.0</v>
      </c>
      <c r="H119" s="20">
        <f t="shared" ref="H119:I119" si="130">F119/5</f>
        <v>1.4</v>
      </c>
      <c r="I119" s="20">
        <f t="shared" si="130"/>
        <v>277.6</v>
      </c>
      <c r="J119" s="36"/>
    </row>
    <row r="120" ht="15.75" customHeight="1">
      <c r="A120" s="6">
        <v>30202.0</v>
      </c>
      <c r="B120" s="7" t="s">
        <v>17</v>
      </c>
      <c r="C120" s="7" t="s">
        <v>166</v>
      </c>
      <c r="D120" s="7" t="s">
        <v>168</v>
      </c>
      <c r="E120" s="8">
        <f t="shared" si="3"/>
        <v>3.144654088</v>
      </c>
      <c r="F120" s="26">
        <v>1.0</v>
      </c>
      <c r="G120" s="20">
        <v>318.0</v>
      </c>
      <c r="H120" s="20">
        <f t="shared" ref="H120:I120" si="131">F120/5</f>
        <v>0.2</v>
      </c>
      <c r="I120" s="20">
        <f t="shared" si="131"/>
        <v>63.6</v>
      </c>
      <c r="J120" s="36"/>
    </row>
    <row r="121" ht="15.75" customHeight="1">
      <c r="A121" s="6">
        <v>30203.0</v>
      </c>
      <c r="B121" s="7" t="s">
        <v>17</v>
      </c>
      <c r="C121" s="7" t="s">
        <v>166</v>
      </c>
      <c r="D121" s="7" t="s">
        <v>169</v>
      </c>
      <c r="E121" s="8">
        <f t="shared" si="3"/>
        <v>2.150537634</v>
      </c>
      <c r="F121" s="26">
        <v>1.0</v>
      </c>
      <c r="G121" s="20">
        <v>465.0</v>
      </c>
      <c r="H121" s="20">
        <f t="shared" ref="H121:I121" si="132">F121/5</f>
        <v>0.2</v>
      </c>
      <c r="I121" s="20">
        <f t="shared" si="132"/>
        <v>93</v>
      </c>
      <c r="J121" s="36"/>
    </row>
    <row r="122" ht="15.75" customHeight="1">
      <c r="A122" s="6">
        <v>30301.0</v>
      </c>
      <c r="B122" s="7" t="s">
        <v>17</v>
      </c>
      <c r="C122" s="7" t="s">
        <v>170</v>
      </c>
      <c r="D122" s="7" t="s">
        <v>171</v>
      </c>
      <c r="E122" s="8">
        <f t="shared" si="3"/>
        <v>17.26427623</v>
      </c>
      <c r="F122" s="26">
        <v>26.0</v>
      </c>
      <c r="G122" s="20">
        <v>1506.0</v>
      </c>
      <c r="H122" s="20">
        <f t="shared" ref="H122:I122" si="133">F122/5</f>
        <v>5.2</v>
      </c>
      <c r="I122" s="20">
        <f t="shared" si="133"/>
        <v>301.2</v>
      </c>
      <c r="J122" s="36"/>
    </row>
    <row r="123" ht="15.75" customHeight="1">
      <c r="A123" s="6">
        <v>30302.0</v>
      </c>
      <c r="B123" s="7" t="s">
        <v>17</v>
      </c>
      <c r="C123" s="7" t="s">
        <v>170</v>
      </c>
      <c r="D123" s="7" t="s">
        <v>172</v>
      </c>
      <c r="E123" s="8">
        <f t="shared" si="3"/>
        <v>13.07189542</v>
      </c>
      <c r="F123" s="26">
        <v>12.0</v>
      </c>
      <c r="G123" s="20">
        <v>918.0</v>
      </c>
      <c r="H123" s="20">
        <f t="shared" ref="H123:I123" si="134">F123/5</f>
        <v>2.4</v>
      </c>
      <c r="I123" s="20">
        <f t="shared" si="134"/>
        <v>183.6</v>
      </c>
      <c r="J123" s="36"/>
    </row>
    <row r="124" ht="15.75" customHeight="1">
      <c r="A124" s="6">
        <v>30303.0</v>
      </c>
      <c r="B124" s="7" t="s">
        <v>17</v>
      </c>
      <c r="C124" s="7" t="s">
        <v>170</v>
      </c>
      <c r="D124" s="7" t="s">
        <v>173</v>
      </c>
      <c r="E124" s="8">
        <f t="shared" si="3"/>
        <v>26.86762779</v>
      </c>
      <c r="F124" s="26">
        <v>41.0</v>
      </c>
      <c r="G124" s="20">
        <v>1526.0</v>
      </c>
      <c r="H124" s="20">
        <f t="shared" ref="H124:I124" si="135">F124/5</f>
        <v>8.2</v>
      </c>
      <c r="I124" s="20">
        <f t="shared" si="135"/>
        <v>305.2</v>
      </c>
      <c r="J124" s="36"/>
    </row>
    <row r="125" ht="15.75" customHeight="1">
      <c r="A125" s="6">
        <v>30401.0</v>
      </c>
      <c r="B125" s="7" t="s">
        <v>17</v>
      </c>
      <c r="C125" s="7" t="s">
        <v>174</v>
      </c>
      <c r="D125" s="7" t="s">
        <v>175</v>
      </c>
      <c r="E125" s="8">
        <f t="shared" si="3"/>
        <v>15.89595376</v>
      </c>
      <c r="F125" s="26">
        <v>11.0</v>
      </c>
      <c r="G125" s="20">
        <v>692.0</v>
      </c>
      <c r="H125" s="20">
        <f t="shared" ref="H125:I125" si="136">F125/5</f>
        <v>2.2</v>
      </c>
      <c r="I125" s="20">
        <f t="shared" si="136"/>
        <v>138.4</v>
      </c>
      <c r="J125" s="36"/>
    </row>
    <row r="126" ht="15.75" customHeight="1">
      <c r="A126" s="6">
        <v>30402.0</v>
      </c>
      <c r="B126" s="7" t="s">
        <v>17</v>
      </c>
      <c r="C126" s="7" t="s">
        <v>174</v>
      </c>
      <c r="D126" s="7" t="s">
        <v>176</v>
      </c>
      <c r="E126" s="8">
        <f t="shared" si="3"/>
        <v>20</v>
      </c>
      <c r="F126" s="26">
        <v>8.0</v>
      </c>
      <c r="G126" s="20">
        <v>400.0</v>
      </c>
      <c r="H126" s="20">
        <f t="shared" ref="H126:I126" si="137">F126/5</f>
        <v>1.6</v>
      </c>
      <c r="I126" s="20">
        <f t="shared" si="137"/>
        <v>80</v>
      </c>
      <c r="J126" s="36"/>
    </row>
    <row r="127" ht="15.75" customHeight="1">
      <c r="A127" s="6">
        <v>30403.0</v>
      </c>
      <c r="B127" s="7" t="s">
        <v>17</v>
      </c>
      <c r="C127" s="7" t="s">
        <v>174</v>
      </c>
      <c r="D127" s="7" t="s">
        <v>177</v>
      </c>
      <c r="E127" s="8">
        <f t="shared" si="3"/>
        <v>9.454232918</v>
      </c>
      <c r="F127" s="26">
        <v>22.0</v>
      </c>
      <c r="G127" s="20">
        <v>2327.0</v>
      </c>
      <c r="H127" s="20">
        <f t="shared" ref="H127:I127" si="138">F127/5</f>
        <v>4.4</v>
      </c>
      <c r="I127" s="20">
        <f t="shared" si="138"/>
        <v>465.4</v>
      </c>
      <c r="J127" s="36"/>
    </row>
    <row r="128" ht="15.75" customHeight="1">
      <c r="A128" s="6">
        <v>30404.0</v>
      </c>
      <c r="B128" s="7" t="s">
        <v>17</v>
      </c>
      <c r="C128" s="7" t="s">
        <v>174</v>
      </c>
      <c r="D128" s="7" t="s">
        <v>178</v>
      </c>
      <c r="E128" s="8">
        <f t="shared" si="3"/>
        <v>24.82269504</v>
      </c>
      <c r="F128" s="26">
        <v>7.0</v>
      </c>
      <c r="G128" s="20">
        <v>282.0</v>
      </c>
      <c r="H128" s="20">
        <f t="shared" ref="H128:I128" si="139">F128/5</f>
        <v>1.4</v>
      </c>
      <c r="I128" s="20">
        <f t="shared" si="139"/>
        <v>56.4</v>
      </c>
      <c r="J128" s="36"/>
    </row>
    <row r="129" ht="15.75" customHeight="1">
      <c r="A129" s="6">
        <v>30501.0</v>
      </c>
      <c r="B129" s="7" t="s">
        <v>17</v>
      </c>
      <c r="C129" s="7" t="s">
        <v>179</v>
      </c>
      <c r="D129" s="7" t="s">
        <v>179</v>
      </c>
      <c r="E129" s="8">
        <f t="shared" si="3"/>
        <v>16.05136437</v>
      </c>
      <c r="F129" s="26">
        <v>10.0</v>
      </c>
      <c r="G129" s="20">
        <v>623.0</v>
      </c>
      <c r="H129" s="20">
        <f t="shared" ref="H129:I129" si="140">F129/5</f>
        <v>2</v>
      </c>
      <c r="I129" s="20">
        <f t="shared" si="140"/>
        <v>124.6</v>
      </c>
      <c r="J129" s="36"/>
    </row>
    <row r="130" ht="15.75" customHeight="1">
      <c r="A130" s="6">
        <v>30502.0</v>
      </c>
      <c r="B130" s="7" t="s">
        <v>17</v>
      </c>
      <c r="C130" s="7" t="s">
        <v>179</v>
      </c>
      <c r="D130" s="7" t="s">
        <v>180</v>
      </c>
      <c r="E130" s="8">
        <f t="shared" si="3"/>
        <v>18.34862385</v>
      </c>
      <c r="F130" s="26">
        <v>8.0</v>
      </c>
      <c r="G130" s="20">
        <v>436.0</v>
      </c>
      <c r="H130" s="20">
        <f t="shared" ref="H130:I130" si="141">F130/5</f>
        <v>1.6</v>
      </c>
      <c r="I130" s="20">
        <f t="shared" si="141"/>
        <v>87.2</v>
      </c>
      <c r="J130" s="36"/>
    </row>
    <row r="131" ht="15.75" customHeight="1">
      <c r="A131" s="6">
        <v>30601.0</v>
      </c>
      <c r="B131" s="7" t="s">
        <v>17</v>
      </c>
      <c r="C131" s="7" t="s">
        <v>181</v>
      </c>
      <c r="D131" s="7" t="s">
        <v>181</v>
      </c>
      <c r="E131" s="8">
        <f t="shared" si="3"/>
        <v>25.81521739</v>
      </c>
      <c r="F131" s="26">
        <v>19.0</v>
      </c>
      <c r="G131" s="20">
        <v>736.0</v>
      </c>
      <c r="H131" s="20">
        <f t="shared" ref="H131:I131" si="142">F131/5</f>
        <v>3.8</v>
      </c>
      <c r="I131" s="20">
        <f t="shared" si="142"/>
        <v>147.2</v>
      </c>
      <c r="J131" s="36"/>
    </row>
    <row r="132" ht="15.75" customHeight="1">
      <c r="A132" s="6">
        <v>30602.0</v>
      </c>
      <c r="B132" s="7" t="s">
        <v>17</v>
      </c>
      <c r="C132" s="7" t="s">
        <v>181</v>
      </c>
      <c r="D132" s="7" t="s">
        <v>182</v>
      </c>
      <c r="E132" s="8">
        <f t="shared" si="3"/>
        <v>20.44609665</v>
      </c>
      <c r="F132" s="26">
        <v>11.0</v>
      </c>
      <c r="G132" s="20">
        <v>538.0</v>
      </c>
      <c r="H132" s="20">
        <f t="shared" ref="H132:I132" si="143">F132/5</f>
        <v>2.2</v>
      </c>
      <c r="I132" s="20">
        <f t="shared" si="143"/>
        <v>107.6</v>
      </c>
      <c r="J132" s="36"/>
    </row>
    <row r="133" ht="15.75" customHeight="1">
      <c r="A133" s="6">
        <v>30701.0</v>
      </c>
      <c r="B133" s="7" t="s">
        <v>17</v>
      </c>
      <c r="C133" s="7" t="s">
        <v>183</v>
      </c>
      <c r="D133" s="7" t="s">
        <v>183</v>
      </c>
      <c r="E133" s="8">
        <f t="shared" si="3"/>
        <v>14.29646351</v>
      </c>
      <c r="F133" s="26">
        <v>19.0</v>
      </c>
      <c r="G133" s="20">
        <v>1329.0</v>
      </c>
      <c r="H133" s="20">
        <f t="shared" ref="H133:I133" si="144">F133/5</f>
        <v>3.8</v>
      </c>
      <c r="I133" s="20">
        <f t="shared" si="144"/>
        <v>265.8</v>
      </c>
      <c r="J133" s="36"/>
    </row>
    <row r="134" ht="15.75" customHeight="1">
      <c r="A134" s="6">
        <v>30702.0</v>
      </c>
      <c r="B134" s="7" t="s">
        <v>17</v>
      </c>
      <c r="C134" s="7" t="s">
        <v>183</v>
      </c>
      <c r="D134" s="7" t="s">
        <v>184</v>
      </c>
      <c r="E134" s="8">
        <f t="shared" si="3"/>
        <v>8.032128514</v>
      </c>
      <c r="F134" s="26">
        <v>4.0</v>
      </c>
      <c r="G134" s="20">
        <v>498.0</v>
      </c>
      <c r="H134" s="20">
        <f t="shared" ref="H134:I134" si="145">F134/5</f>
        <v>0.8</v>
      </c>
      <c r="I134" s="20">
        <f t="shared" si="145"/>
        <v>99.6</v>
      </c>
      <c r="J134" s="36"/>
    </row>
    <row r="135" ht="15.75" customHeight="1">
      <c r="A135" s="6">
        <v>30703.0</v>
      </c>
      <c r="B135" s="7" t="s">
        <v>17</v>
      </c>
      <c r="C135" s="7" t="s">
        <v>183</v>
      </c>
      <c r="D135" s="7" t="s">
        <v>185</v>
      </c>
      <c r="E135" s="8">
        <f t="shared" si="3"/>
        <v>0</v>
      </c>
      <c r="F135" s="26">
        <v>0.0</v>
      </c>
      <c r="G135" s="20">
        <v>288.0</v>
      </c>
      <c r="H135" s="20">
        <f t="shared" ref="H135:I135" si="146">F135/5</f>
        <v>0</v>
      </c>
      <c r="I135" s="20">
        <f t="shared" si="146"/>
        <v>57.6</v>
      </c>
      <c r="J135" s="36"/>
    </row>
    <row r="136" ht="15.75" customHeight="1">
      <c r="A136" s="6">
        <v>30801.0</v>
      </c>
      <c r="B136" s="7" t="s">
        <v>17</v>
      </c>
      <c r="C136" s="7" t="s">
        <v>186</v>
      </c>
      <c r="D136" s="7" t="s">
        <v>187</v>
      </c>
      <c r="E136" s="8">
        <f t="shared" si="3"/>
        <v>4.87012987</v>
      </c>
      <c r="F136" s="26">
        <v>6.0</v>
      </c>
      <c r="G136" s="20">
        <v>1232.0</v>
      </c>
      <c r="H136" s="20">
        <f t="shared" ref="H136:I136" si="147">F136/5</f>
        <v>1.2</v>
      </c>
      <c r="I136" s="20">
        <f t="shared" si="147"/>
        <v>246.4</v>
      </c>
      <c r="J136" s="36"/>
    </row>
    <row r="137" ht="15.75" customHeight="1">
      <c r="A137" s="6">
        <v>30802.0</v>
      </c>
      <c r="B137" s="7" t="s">
        <v>17</v>
      </c>
      <c r="C137" s="7" t="s">
        <v>186</v>
      </c>
      <c r="D137" s="7" t="s">
        <v>188</v>
      </c>
      <c r="E137" s="8">
        <f t="shared" si="3"/>
        <v>18.0878553</v>
      </c>
      <c r="F137" s="26">
        <v>7.0</v>
      </c>
      <c r="G137" s="20">
        <v>387.0</v>
      </c>
      <c r="H137" s="20">
        <f t="shared" ref="H137:I137" si="148">F137/5</f>
        <v>1.4</v>
      </c>
      <c r="I137" s="20">
        <f t="shared" si="148"/>
        <v>77.4</v>
      </c>
      <c r="J137" s="36"/>
    </row>
    <row r="138" ht="15.75" customHeight="1">
      <c r="A138" s="6">
        <v>30803.0</v>
      </c>
      <c r="B138" s="7" t="s">
        <v>17</v>
      </c>
      <c r="C138" s="7" t="s">
        <v>186</v>
      </c>
      <c r="D138" s="7" t="s">
        <v>189</v>
      </c>
      <c r="E138" s="8">
        <f t="shared" si="3"/>
        <v>18.90359168</v>
      </c>
      <c r="F138" s="26">
        <v>10.0</v>
      </c>
      <c r="G138" s="20">
        <v>529.0</v>
      </c>
      <c r="H138" s="20">
        <f t="shared" ref="H138:I138" si="149">F138/5</f>
        <v>2</v>
      </c>
      <c r="I138" s="20">
        <f t="shared" si="149"/>
        <v>105.8</v>
      </c>
      <c r="J138" s="36"/>
    </row>
    <row r="139" ht="15.75" customHeight="1">
      <c r="A139" s="6">
        <v>30901.0</v>
      </c>
      <c r="B139" s="7" t="s">
        <v>17</v>
      </c>
      <c r="C139" s="7" t="s">
        <v>190</v>
      </c>
      <c r="D139" s="7" t="s">
        <v>190</v>
      </c>
      <c r="E139" s="8">
        <f t="shared" si="3"/>
        <v>6.78093803</v>
      </c>
      <c r="F139" s="26">
        <v>72.0</v>
      </c>
      <c r="G139" s="20">
        <v>10618.0</v>
      </c>
      <c r="H139" s="20">
        <f t="shared" ref="H139:I139" si="150">F139/5</f>
        <v>14.4</v>
      </c>
      <c r="I139" s="20">
        <f t="shared" si="150"/>
        <v>2123.6</v>
      </c>
      <c r="J139" s="36"/>
    </row>
    <row r="140" ht="15.75" customHeight="1">
      <c r="A140" s="6">
        <v>30902.0</v>
      </c>
      <c r="B140" s="7" t="s">
        <v>17</v>
      </c>
      <c r="C140" s="7" t="s">
        <v>190</v>
      </c>
      <c r="D140" s="7" t="s">
        <v>191</v>
      </c>
      <c r="E140" s="8">
        <f t="shared" si="3"/>
        <v>10.65801668</v>
      </c>
      <c r="F140" s="26">
        <v>46.0</v>
      </c>
      <c r="G140" s="20">
        <v>4316.0</v>
      </c>
      <c r="H140" s="20">
        <f t="shared" ref="H140:I140" si="151">F140/5</f>
        <v>9.2</v>
      </c>
      <c r="I140" s="20">
        <f t="shared" si="151"/>
        <v>863.2</v>
      </c>
      <c r="J140" s="36"/>
    </row>
    <row r="141" ht="15.75" customHeight="1">
      <c r="A141" s="6">
        <v>30903.0</v>
      </c>
      <c r="B141" s="7" t="s">
        <v>17</v>
      </c>
      <c r="C141" s="7" t="s">
        <v>190</v>
      </c>
      <c r="D141" s="7" t="s">
        <v>192</v>
      </c>
      <c r="E141" s="8">
        <f t="shared" si="3"/>
        <v>7.869742198</v>
      </c>
      <c r="F141" s="26">
        <v>29.0</v>
      </c>
      <c r="G141" s="20">
        <v>3685.0</v>
      </c>
      <c r="H141" s="20">
        <f t="shared" ref="H141:I141" si="152">F141/5</f>
        <v>5.8</v>
      </c>
      <c r="I141" s="20">
        <f t="shared" si="152"/>
        <v>737</v>
      </c>
      <c r="J141" s="36"/>
    </row>
    <row r="142" ht="15.75" customHeight="1">
      <c r="A142" s="6">
        <v>30904.0</v>
      </c>
      <c r="B142" s="7" t="s">
        <v>17</v>
      </c>
      <c r="C142" s="7" t="s">
        <v>190</v>
      </c>
      <c r="D142" s="7" t="s">
        <v>193</v>
      </c>
      <c r="E142" s="8">
        <f t="shared" si="3"/>
        <v>6.751493119</v>
      </c>
      <c r="F142" s="26">
        <v>26.0</v>
      </c>
      <c r="G142" s="20">
        <v>3851.0</v>
      </c>
      <c r="H142" s="20">
        <f t="shared" ref="H142:I142" si="153">F142/5</f>
        <v>5.2</v>
      </c>
      <c r="I142" s="20">
        <f t="shared" si="153"/>
        <v>770.2</v>
      </c>
      <c r="J142" s="36"/>
    </row>
    <row r="143" ht="15.75" customHeight="1">
      <c r="A143" s="6">
        <v>30905.0</v>
      </c>
      <c r="B143" s="7" t="s">
        <v>17</v>
      </c>
      <c r="C143" s="7" t="s">
        <v>190</v>
      </c>
      <c r="D143" s="7" t="s">
        <v>194</v>
      </c>
      <c r="E143" s="8">
        <f t="shared" si="3"/>
        <v>6.693440428</v>
      </c>
      <c r="F143" s="26">
        <v>25.0</v>
      </c>
      <c r="G143" s="20">
        <v>3735.0</v>
      </c>
      <c r="H143" s="20">
        <f t="shared" ref="H143:I143" si="154">F143/5</f>
        <v>5</v>
      </c>
      <c r="I143" s="20">
        <f t="shared" si="154"/>
        <v>747</v>
      </c>
      <c r="J143" s="36"/>
    </row>
    <row r="144" ht="15.75" customHeight="1">
      <c r="A144" s="6">
        <v>31001.0</v>
      </c>
      <c r="B144" s="7" t="s">
        <v>17</v>
      </c>
      <c r="C144" s="7" t="s">
        <v>195</v>
      </c>
      <c r="D144" s="7" t="s">
        <v>196</v>
      </c>
      <c r="E144" s="8">
        <f t="shared" si="3"/>
        <v>7.940008822</v>
      </c>
      <c r="F144" s="26">
        <v>108.0</v>
      </c>
      <c r="G144" s="20">
        <v>13602.0</v>
      </c>
      <c r="H144" s="20">
        <f t="shared" ref="H144:I144" si="155">F144/5</f>
        <v>21.6</v>
      </c>
      <c r="I144" s="20">
        <f t="shared" si="155"/>
        <v>2720.4</v>
      </c>
      <c r="J144" s="36"/>
    </row>
    <row r="145" ht="15.75" customHeight="1">
      <c r="A145" s="6">
        <v>31002.0</v>
      </c>
      <c r="B145" s="7" t="s">
        <v>17</v>
      </c>
      <c r="C145" s="7" t="s">
        <v>195</v>
      </c>
      <c r="D145" s="7" t="s">
        <v>197</v>
      </c>
      <c r="E145" s="8">
        <f t="shared" si="3"/>
        <v>14.78743068</v>
      </c>
      <c r="F145" s="26">
        <v>24.0</v>
      </c>
      <c r="G145" s="20">
        <v>1623.0</v>
      </c>
      <c r="H145" s="20">
        <f t="shared" ref="H145:I145" si="156">F145/5</f>
        <v>4.8</v>
      </c>
      <c r="I145" s="20">
        <f t="shared" si="156"/>
        <v>324.6</v>
      </c>
      <c r="J145" s="36"/>
    </row>
    <row r="146" ht="15.75" customHeight="1">
      <c r="A146" s="6">
        <v>31003.0</v>
      </c>
      <c r="B146" s="7" t="s">
        <v>17</v>
      </c>
      <c r="C146" s="7" t="s">
        <v>195</v>
      </c>
      <c r="D146" s="7" t="s">
        <v>198</v>
      </c>
      <c r="E146" s="8">
        <f t="shared" si="3"/>
        <v>15.52135845</v>
      </c>
      <c r="F146" s="26">
        <v>117.0</v>
      </c>
      <c r="G146" s="20">
        <v>7538.0</v>
      </c>
      <c r="H146" s="20">
        <f t="shared" ref="H146:I146" si="157">F146/5</f>
        <v>23.4</v>
      </c>
      <c r="I146" s="20">
        <f t="shared" si="157"/>
        <v>1507.6</v>
      </c>
      <c r="J146" s="36"/>
    </row>
    <row r="147" ht="15.75" customHeight="1">
      <c r="A147" s="6">
        <v>31101.0</v>
      </c>
      <c r="B147" s="7" t="s">
        <v>17</v>
      </c>
      <c r="C147" s="7" t="s">
        <v>199</v>
      </c>
      <c r="D147" s="7" t="s">
        <v>199</v>
      </c>
      <c r="E147" s="8">
        <f t="shared" si="3"/>
        <v>29.25877763</v>
      </c>
      <c r="F147" s="26">
        <v>45.0</v>
      </c>
      <c r="G147" s="20">
        <v>1538.0</v>
      </c>
      <c r="H147" s="20">
        <f t="shared" ref="H147:I147" si="158">F147/5</f>
        <v>9</v>
      </c>
      <c r="I147" s="20">
        <f t="shared" si="158"/>
        <v>307.6</v>
      </c>
      <c r="J147" s="36"/>
    </row>
    <row r="148" ht="15.75" customHeight="1">
      <c r="A148" s="6">
        <v>31201.0</v>
      </c>
      <c r="B148" s="7" t="s">
        <v>17</v>
      </c>
      <c r="C148" s="7" t="s">
        <v>200</v>
      </c>
      <c r="D148" s="7" t="s">
        <v>201</v>
      </c>
      <c r="E148" s="8">
        <f t="shared" si="3"/>
        <v>11.95219124</v>
      </c>
      <c r="F148" s="26">
        <v>15.0</v>
      </c>
      <c r="G148" s="20">
        <v>1255.0</v>
      </c>
      <c r="H148" s="20">
        <f t="shared" ref="H148:I148" si="159">F148/5</f>
        <v>3</v>
      </c>
      <c r="I148" s="20">
        <f t="shared" si="159"/>
        <v>251</v>
      </c>
      <c r="J148" s="36"/>
    </row>
    <row r="149" ht="15.75" customHeight="1">
      <c r="A149" s="6">
        <v>31202.0</v>
      </c>
      <c r="B149" s="7" t="s">
        <v>17</v>
      </c>
      <c r="C149" s="7" t="s">
        <v>200</v>
      </c>
      <c r="D149" s="7" t="s">
        <v>202</v>
      </c>
      <c r="E149" s="8">
        <f t="shared" si="3"/>
        <v>8.820286659</v>
      </c>
      <c r="F149" s="26">
        <v>8.0</v>
      </c>
      <c r="G149" s="20">
        <v>907.0</v>
      </c>
      <c r="H149" s="20">
        <f t="shared" ref="H149:I149" si="160">F149/5</f>
        <v>1.6</v>
      </c>
      <c r="I149" s="20">
        <f t="shared" si="160"/>
        <v>181.4</v>
      </c>
      <c r="J149" s="36"/>
    </row>
    <row r="150" ht="15.75" customHeight="1">
      <c r="A150" s="6">
        <v>31203.0</v>
      </c>
      <c r="B150" s="7" t="s">
        <v>17</v>
      </c>
      <c r="C150" s="7" t="s">
        <v>200</v>
      </c>
      <c r="D150" s="7" t="s">
        <v>203</v>
      </c>
      <c r="E150" s="8">
        <f t="shared" si="3"/>
        <v>13.00390117</v>
      </c>
      <c r="F150" s="26">
        <v>10.0</v>
      </c>
      <c r="G150" s="20">
        <v>769.0</v>
      </c>
      <c r="H150" s="20">
        <f t="shared" ref="H150:I150" si="161">F150/5</f>
        <v>2</v>
      </c>
      <c r="I150" s="20">
        <f t="shared" si="161"/>
        <v>153.8</v>
      </c>
      <c r="J150" s="36"/>
    </row>
    <row r="151" ht="15.75" customHeight="1">
      <c r="A151" s="6">
        <v>31204.0</v>
      </c>
      <c r="B151" s="7" t="s">
        <v>17</v>
      </c>
      <c r="C151" s="7" t="s">
        <v>200</v>
      </c>
      <c r="D151" s="7" t="s">
        <v>204</v>
      </c>
      <c r="E151" s="8">
        <f t="shared" si="3"/>
        <v>14.33194637</v>
      </c>
      <c r="F151" s="26">
        <v>31.0</v>
      </c>
      <c r="G151" s="20">
        <v>2163.0</v>
      </c>
      <c r="H151" s="20">
        <f t="shared" ref="H151:I151" si="162">F151/5</f>
        <v>6.2</v>
      </c>
      <c r="I151" s="20">
        <f t="shared" si="162"/>
        <v>432.6</v>
      </c>
      <c r="J151" s="36"/>
    </row>
    <row r="152" ht="15.75" customHeight="1">
      <c r="A152" s="6">
        <v>31205.0</v>
      </c>
      <c r="B152" s="7" t="s">
        <v>17</v>
      </c>
      <c r="C152" s="7" t="s">
        <v>200</v>
      </c>
      <c r="D152" s="7" t="s">
        <v>205</v>
      </c>
      <c r="E152" s="8">
        <f t="shared" si="3"/>
        <v>10.83099907</v>
      </c>
      <c r="F152" s="26">
        <v>58.0</v>
      </c>
      <c r="G152" s="20">
        <v>5355.0</v>
      </c>
      <c r="H152" s="20">
        <f t="shared" ref="H152:I152" si="163">F152/5</f>
        <v>11.6</v>
      </c>
      <c r="I152" s="20">
        <f t="shared" si="163"/>
        <v>1071</v>
      </c>
      <c r="J152" s="36"/>
    </row>
    <row r="153" ht="15.75" customHeight="1">
      <c r="A153" s="6">
        <v>31206.0</v>
      </c>
      <c r="B153" s="7" t="s">
        <v>17</v>
      </c>
      <c r="C153" s="7" t="s">
        <v>200</v>
      </c>
      <c r="D153" s="7" t="s">
        <v>206</v>
      </c>
      <c r="E153" s="8">
        <f t="shared" si="3"/>
        <v>9.951586875</v>
      </c>
      <c r="F153" s="26">
        <v>37.0</v>
      </c>
      <c r="G153" s="20">
        <v>3718.0</v>
      </c>
      <c r="H153" s="20">
        <f t="shared" ref="H153:I153" si="164">F153/5</f>
        <v>7.4</v>
      </c>
      <c r="I153" s="20">
        <f t="shared" si="164"/>
        <v>743.6</v>
      </c>
      <c r="J153" s="36"/>
    </row>
    <row r="154" ht="15.75" customHeight="1">
      <c r="A154" s="6">
        <v>31301.0</v>
      </c>
      <c r="B154" s="7" t="s">
        <v>17</v>
      </c>
      <c r="C154" s="7" t="s">
        <v>207</v>
      </c>
      <c r="D154" s="7" t="s">
        <v>207</v>
      </c>
      <c r="E154" s="8">
        <f t="shared" si="3"/>
        <v>9.372746936</v>
      </c>
      <c r="F154" s="26">
        <v>13.0</v>
      </c>
      <c r="G154" s="20">
        <v>1387.0</v>
      </c>
      <c r="H154" s="20">
        <f t="shared" ref="H154:I154" si="165">F154/5</f>
        <v>2.6</v>
      </c>
      <c r="I154" s="20">
        <f t="shared" si="165"/>
        <v>277.4</v>
      </c>
      <c r="J154" s="36"/>
    </row>
    <row r="155" ht="15.75" customHeight="1">
      <c r="A155" s="6">
        <v>31302.0</v>
      </c>
      <c r="B155" s="7" t="s">
        <v>17</v>
      </c>
      <c r="C155" s="7" t="s">
        <v>207</v>
      </c>
      <c r="D155" s="7" t="s">
        <v>208</v>
      </c>
      <c r="E155" s="8">
        <f t="shared" si="3"/>
        <v>23.1884058</v>
      </c>
      <c r="F155" s="26">
        <v>8.0</v>
      </c>
      <c r="G155" s="20">
        <v>345.0</v>
      </c>
      <c r="H155" s="20">
        <f t="shared" ref="H155:I155" si="166">F155/5</f>
        <v>1.6</v>
      </c>
      <c r="I155" s="20">
        <f t="shared" si="166"/>
        <v>69</v>
      </c>
      <c r="J155" s="36"/>
    </row>
    <row r="156" ht="15.75" customHeight="1">
      <c r="A156" s="6">
        <v>31303.0</v>
      </c>
      <c r="B156" s="7" t="s">
        <v>17</v>
      </c>
      <c r="C156" s="7" t="s">
        <v>207</v>
      </c>
      <c r="D156" s="7" t="s">
        <v>209</v>
      </c>
      <c r="E156" s="8">
        <f t="shared" si="3"/>
        <v>0</v>
      </c>
      <c r="F156" s="26">
        <v>0.0</v>
      </c>
      <c r="G156" s="20">
        <v>206.0</v>
      </c>
      <c r="H156" s="20">
        <f t="shared" ref="H156:I156" si="167">F156/5</f>
        <v>0</v>
      </c>
      <c r="I156" s="20">
        <f t="shared" si="167"/>
        <v>41.2</v>
      </c>
      <c r="J156" s="36"/>
    </row>
    <row r="157" ht="15.75" customHeight="1">
      <c r="A157" s="25">
        <v>31304.0</v>
      </c>
      <c r="B157" s="7" t="s">
        <v>17</v>
      </c>
      <c r="C157" s="7" t="s">
        <v>207</v>
      </c>
      <c r="D157" s="7" t="s">
        <v>210</v>
      </c>
      <c r="E157" s="8">
        <f t="shared" si="3"/>
        <v>34.28571429</v>
      </c>
      <c r="F157" s="26">
        <v>18.0</v>
      </c>
      <c r="G157" s="20">
        <v>525.0</v>
      </c>
      <c r="H157" s="20">
        <f t="shared" ref="H157:I157" si="168">F157/5</f>
        <v>3.6</v>
      </c>
      <c r="I157" s="20">
        <f t="shared" si="168"/>
        <v>105</v>
      </c>
      <c r="J157" s="36"/>
    </row>
    <row r="158" ht="15.75" customHeight="1">
      <c r="A158" s="6">
        <v>31401.0</v>
      </c>
      <c r="B158" s="7" t="s">
        <v>17</v>
      </c>
      <c r="C158" s="7" t="s">
        <v>211</v>
      </c>
      <c r="D158" s="7" t="s">
        <v>211</v>
      </c>
      <c r="E158" s="8">
        <f t="shared" si="3"/>
        <v>10.21830005</v>
      </c>
      <c r="F158" s="26">
        <v>22.0</v>
      </c>
      <c r="G158" s="20">
        <v>2153.0</v>
      </c>
      <c r="H158" s="20">
        <f t="shared" ref="H158:I158" si="169">F158/5</f>
        <v>4.4</v>
      </c>
      <c r="I158" s="20">
        <f t="shared" si="169"/>
        <v>430.6</v>
      </c>
      <c r="J158" s="36"/>
    </row>
    <row r="159" ht="15.75" customHeight="1">
      <c r="A159" s="6">
        <v>31402.0</v>
      </c>
      <c r="B159" s="7" t="s">
        <v>17</v>
      </c>
      <c r="C159" s="7" t="s">
        <v>211</v>
      </c>
      <c r="D159" s="7" t="s">
        <v>212</v>
      </c>
      <c r="E159" s="8">
        <f t="shared" si="3"/>
        <v>9.157509158</v>
      </c>
      <c r="F159" s="26">
        <v>5.0</v>
      </c>
      <c r="G159" s="20">
        <v>546.0</v>
      </c>
      <c r="H159" s="20">
        <f t="shared" ref="H159:I159" si="170">F159/5</f>
        <v>1</v>
      </c>
      <c r="I159" s="20">
        <f t="shared" si="170"/>
        <v>109.2</v>
      </c>
      <c r="J159" s="36"/>
    </row>
    <row r="160" ht="15.75" customHeight="1">
      <c r="A160" s="6">
        <v>31403.0</v>
      </c>
      <c r="B160" s="7" t="s">
        <v>17</v>
      </c>
      <c r="C160" s="7" t="s">
        <v>211</v>
      </c>
      <c r="D160" s="7" t="s">
        <v>213</v>
      </c>
      <c r="E160" s="8">
        <f t="shared" si="3"/>
        <v>11.36363636</v>
      </c>
      <c r="F160" s="26">
        <v>9.0</v>
      </c>
      <c r="G160" s="20">
        <v>792.0</v>
      </c>
      <c r="H160" s="20">
        <f t="shared" ref="H160:I160" si="171">F160/5</f>
        <v>1.8</v>
      </c>
      <c r="I160" s="20">
        <f t="shared" si="171"/>
        <v>158.4</v>
      </c>
      <c r="J160" s="36"/>
    </row>
    <row r="161" ht="15.75" customHeight="1">
      <c r="A161" s="6">
        <v>31404.0</v>
      </c>
      <c r="B161" s="7" t="s">
        <v>17</v>
      </c>
      <c r="C161" s="7" t="s">
        <v>211</v>
      </c>
      <c r="D161" s="7" t="s">
        <v>214</v>
      </c>
      <c r="E161" s="8">
        <f t="shared" si="3"/>
        <v>14.49275362</v>
      </c>
      <c r="F161" s="26">
        <v>1.0</v>
      </c>
      <c r="G161" s="20">
        <v>69.0</v>
      </c>
      <c r="H161" s="20">
        <f t="shared" ref="H161:I161" si="172">F161/5</f>
        <v>0.2</v>
      </c>
      <c r="I161" s="20">
        <f t="shared" si="172"/>
        <v>13.8</v>
      </c>
      <c r="J161" s="36"/>
    </row>
    <row r="162" ht="15.75" customHeight="1">
      <c r="A162" s="6">
        <v>31405.0</v>
      </c>
      <c r="B162" s="7" t="s">
        <v>17</v>
      </c>
      <c r="C162" s="7" t="s">
        <v>211</v>
      </c>
      <c r="D162" s="7" t="s">
        <v>215</v>
      </c>
      <c r="E162" s="8">
        <f t="shared" si="3"/>
        <v>0</v>
      </c>
      <c r="F162" s="26">
        <v>0.0</v>
      </c>
      <c r="G162" s="20">
        <v>187.0</v>
      </c>
      <c r="H162" s="20">
        <f t="shared" ref="H162:I162" si="173">F162/5</f>
        <v>0</v>
      </c>
      <c r="I162" s="20">
        <f t="shared" si="173"/>
        <v>37.4</v>
      </c>
      <c r="J162" s="36"/>
    </row>
    <row r="163" ht="15.75" customHeight="1">
      <c r="A163" s="6">
        <v>31501.0</v>
      </c>
      <c r="B163" s="7" t="s">
        <v>17</v>
      </c>
      <c r="C163" s="7" t="s">
        <v>216</v>
      </c>
      <c r="D163" s="7" t="s">
        <v>216</v>
      </c>
      <c r="E163" s="8">
        <f t="shared" si="3"/>
        <v>52.63157895</v>
      </c>
      <c r="F163" s="26">
        <v>24.0</v>
      </c>
      <c r="G163" s="20">
        <v>456.0</v>
      </c>
      <c r="H163" s="20">
        <f t="shared" ref="H163:I163" si="174">F163/5</f>
        <v>4.8</v>
      </c>
      <c r="I163" s="20">
        <f t="shared" si="174"/>
        <v>91.2</v>
      </c>
      <c r="J163" s="36"/>
    </row>
    <row r="164" ht="15.75" customHeight="1">
      <c r="A164" s="6">
        <v>31601.0</v>
      </c>
      <c r="B164" s="7" t="s">
        <v>17</v>
      </c>
      <c r="C164" s="7" t="s">
        <v>217</v>
      </c>
      <c r="D164" s="7" t="s">
        <v>217</v>
      </c>
      <c r="E164" s="8">
        <f t="shared" si="3"/>
        <v>11.16838488</v>
      </c>
      <c r="F164" s="26">
        <v>13.0</v>
      </c>
      <c r="G164" s="20">
        <v>1164.0</v>
      </c>
      <c r="H164" s="20">
        <f t="shared" ref="H164:I164" si="175">F164/5</f>
        <v>2.6</v>
      </c>
      <c r="I164" s="20">
        <f t="shared" si="175"/>
        <v>232.8</v>
      </c>
      <c r="J164" s="36"/>
    </row>
    <row r="165" ht="15.75" customHeight="1">
      <c r="A165" s="6">
        <v>31602.0</v>
      </c>
      <c r="B165" s="7" t="s">
        <v>17</v>
      </c>
      <c r="C165" s="7" t="s">
        <v>217</v>
      </c>
      <c r="D165" s="7" t="s">
        <v>218</v>
      </c>
      <c r="E165" s="8">
        <f t="shared" si="3"/>
        <v>11.47776184</v>
      </c>
      <c r="F165" s="26">
        <v>24.0</v>
      </c>
      <c r="G165" s="20">
        <v>2091.0</v>
      </c>
      <c r="H165" s="20">
        <f t="shared" ref="H165:I165" si="176">F165/5</f>
        <v>4.8</v>
      </c>
      <c r="I165" s="20">
        <f t="shared" si="176"/>
        <v>418.2</v>
      </c>
      <c r="J165" s="36"/>
    </row>
    <row r="166" ht="15.75" customHeight="1">
      <c r="A166" s="6">
        <v>40101.0</v>
      </c>
      <c r="B166" s="7" t="s">
        <v>20</v>
      </c>
      <c r="C166" s="7" t="s">
        <v>165</v>
      </c>
      <c r="D166" s="7" t="s">
        <v>20</v>
      </c>
      <c r="E166" s="8">
        <f t="shared" si="3"/>
        <v>12.66148541</v>
      </c>
      <c r="F166" s="26">
        <v>246.0</v>
      </c>
      <c r="G166" s="20">
        <v>19429.0</v>
      </c>
      <c r="H166" s="20">
        <f t="shared" ref="H166:I166" si="177">F166/5</f>
        <v>49.2</v>
      </c>
      <c r="I166" s="20">
        <f t="shared" si="177"/>
        <v>3885.8</v>
      </c>
      <c r="J166" s="36"/>
    </row>
    <row r="167" ht="15.75" customHeight="1">
      <c r="A167" s="6">
        <v>40102.0</v>
      </c>
      <c r="B167" s="7" t="s">
        <v>20</v>
      </c>
      <c r="C167" s="7" t="s">
        <v>165</v>
      </c>
      <c r="D167" s="7" t="s">
        <v>219</v>
      </c>
      <c r="E167" s="8">
        <f t="shared" si="3"/>
        <v>19.62158374</v>
      </c>
      <c r="F167" s="26">
        <v>28.0</v>
      </c>
      <c r="G167" s="20">
        <v>1427.0</v>
      </c>
      <c r="H167" s="20">
        <f t="shared" ref="H167:I167" si="178">F167/5</f>
        <v>5.6</v>
      </c>
      <c r="I167" s="20">
        <f t="shared" si="178"/>
        <v>285.4</v>
      </c>
      <c r="J167" s="36"/>
    </row>
    <row r="168" ht="15.75" customHeight="1">
      <c r="A168" s="6">
        <v>40103.0</v>
      </c>
      <c r="B168" s="7" t="s">
        <v>20</v>
      </c>
      <c r="C168" s="7" t="s">
        <v>165</v>
      </c>
      <c r="D168" s="7" t="s">
        <v>220</v>
      </c>
      <c r="E168" s="8">
        <f t="shared" si="3"/>
        <v>7.594936709</v>
      </c>
      <c r="F168" s="26">
        <v>3.0</v>
      </c>
      <c r="G168" s="20">
        <v>395.0</v>
      </c>
      <c r="H168" s="20">
        <f t="shared" ref="H168:I168" si="179">F168/5</f>
        <v>0.6</v>
      </c>
      <c r="I168" s="20">
        <f t="shared" si="179"/>
        <v>79</v>
      </c>
      <c r="J168" s="36"/>
    </row>
    <row r="169" ht="15.75" customHeight="1">
      <c r="A169" s="6">
        <v>40104.0</v>
      </c>
      <c r="B169" s="7" t="s">
        <v>20</v>
      </c>
      <c r="C169" s="7" t="s">
        <v>165</v>
      </c>
      <c r="D169" s="7" t="s">
        <v>221</v>
      </c>
      <c r="E169" s="8">
        <f t="shared" si="3"/>
        <v>10.51625239</v>
      </c>
      <c r="F169" s="26">
        <v>11.0</v>
      </c>
      <c r="G169" s="20">
        <v>1046.0</v>
      </c>
      <c r="H169" s="20">
        <f t="shared" ref="H169:I169" si="180">F169/5</f>
        <v>2.2</v>
      </c>
      <c r="I169" s="20">
        <f t="shared" si="180"/>
        <v>209.2</v>
      </c>
      <c r="J169" s="36"/>
    </row>
    <row r="170" ht="15.75" customHeight="1">
      <c r="A170" s="6">
        <v>40201.0</v>
      </c>
      <c r="B170" s="7" t="s">
        <v>20</v>
      </c>
      <c r="C170" s="7" t="s">
        <v>222</v>
      </c>
      <c r="D170" s="7" t="s">
        <v>223</v>
      </c>
      <c r="E170" s="8">
        <f t="shared" si="3"/>
        <v>12.98701299</v>
      </c>
      <c r="F170" s="26">
        <v>31.0</v>
      </c>
      <c r="G170" s="20">
        <v>2387.0</v>
      </c>
      <c r="H170" s="20">
        <f t="shared" ref="H170:I170" si="181">F170/5</f>
        <v>6.2</v>
      </c>
      <c r="I170" s="20">
        <f t="shared" si="181"/>
        <v>477.4</v>
      </c>
      <c r="J170" s="36"/>
    </row>
    <row r="171" ht="15.75" customHeight="1">
      <c r="A171" s="6">
        <v>40202.0</v>
      </c>
      <c r="B171" s="7" t="s">
        <v>20</v>
      </c>
      <c r="C171" s="7" t="s">
        <v>222</v>
      </c>
      <c r="D171" s="7" t="s">
        <v>224</v>
      </c>
      <c r="E171" s="8">
        <f t="shared" si="3"/>
        <v>20.92050209</v>
      </c>
      <c r="F171" s="26">
        <v>5.0</v>
      </c>
      <c r="G171" s="20">
        <v>239.0</v>
      </c>
      <c r="H171" s="20">
        <f t="shared" ref="H171:I171" si="182">F171/5</f>
        <v>1</v>
      </c>
      <c r="I171" s="20">
        <f t="shared" si="182"/>
        <v>47.8</v>
      </c>
      <c r="J171" s="36"/>
    </row>
    <row r="172" ht="15.75" customHeight="1">
      <c r="A172" s="6">
        <v>40301.0</v>
      </c>
      <c r="B172" s="7" t="s">
        <v>20</v>
      </c>
      <c r="C172" s="7" t="s">
        <v>225</v>
      </c>
      <c r="D172" s="7" t="s">
        <v>226</v>
      </c>
      <c r="E172" s="8">
        <f t="shared" si="3"/>
        <v>11.70960187</v>
      </c>
      <c r="F172" s="26">
        <v>10.0</v>
      </c>
      <c r="G172" s="20">
        <v>854.0</v>
      </c>
      <c r="H172" s="20">
        <f t="shared" ref="H172:I172" si="183">F172/5</f>
        <v>2</v>
      </c>
      <c r="I172" s="20">
        <f t="shared" si="183"/>
        <v>170.8</v>
      </c>
      <c r="J172" s="36"/>
    </row>
    <row r="173" ht="15.75" customHeight="1">
      <c r="A173" s="6">
        <v>40302.0</v>
      </c>
      <c r="B173" s="7" t="s">
        <v>20</v>
      </c>
      <c r="C173" s="7" t="s">
        <v>225</v>
      </c>
      <c r="D173" s="7" t="s">
        <v>227</v>
      </c>
      <c r="E173" s="8">
        <f t="shared" si="3"/>
        <v>8.196721311</v>
      </c>
      <c r="F173" s="26">
        <v>1.0</v>
      </c>
      <c r="G173" s="20">
        <v>122.0</v>
      </c>
      <c r="H173" s="20">
        <f t="shared" ref="H173:I173" si="184">F173/5</f>
        <v>0.2</v>
      </c>
      <c r="I173" s="20">
        <f t="shared" si="184"/>
        <v>24.4</v>
      </c>
      <c r="J173" s="36"/>
    </row>
    <row r="174" ht="15.75" customHeight="1">
      <c r="A174" s="6">
        <v>40401.0</v>
      </c>
      <c r="B174" s="7" t="s">
        <v>20</v>
      </c>
      <c r="C174" s="7" t="s">
        <v>228</v>
      </c>
      <c r="D174" s="7" t="s">
        <v>229</v>
      </c>
      <c r="E174" s="8">
        <f t="shared" si="3"/>
        <v>25.64102564</v>
      </c>
      <c r="F174" s="26">
        <v>9.0</v>
      </c>
      <c r="G174" s="20">
        <v>351.0</v>
      </c>
      <c r="H174" s="20">
        <f t="shared" ref="H174:I174" si="185">F174/5</f>
        <v>1.8</v>
      </c>
      <c r="I174" s="20">
        <f t="shared" si="185"/>
        <v>70.2</v>
      </c>
      <c r="J174" s="36"/>
    </row>
    <row r="175" ht="15.75" customHeight="1">
      <c r="A175" s="6">
        <v>40402.0</v>
      </c>
      <c r="B175" s="7" t="s">
        <v>20</v>
      </c>
      <c r="C175" s="7" t="s">
        <v>228</v>
      </c>
      <c r="D175" s="7" t="s">
        <v>230</v>
      </c>
      <c r="E175" s="8">
        <f t="shared" si="3"/>
        <v>6.557377049</v>
      </c>
      <c r="F175" s="26">
        <v>2.0</v>
      </c>
      <c r="G175" s="20">
        <v>305.0</v>
      </c>
      <c r="H175" s="20">
        <f t="shared" ref="H175:I175" si="186">F175/5</f>
        <v>0.4</v>
      </c>
      <c r="I175" s="20">
        <f t="shared" si="186"/>
        <v>61</v>
      </c>
      <c r="J175" s="36"/>
    </row>
    <row r="176" ht="15.75" customHeight="1">
      <c r="A176" s="6">
        <v>40501.0</v>
      </c>
      <c r="B176" s="7" t="s">
        <v>20</v>
      </c>
      <c r="C176" s="7" t="s">
        <v>231</v>
      </c>
      <c r="D176" s="7" t="s">
        <v>232</v>
      </c>
      <c r="E176" s="8">
        <f t="shared" si="3"/>
        <v>4.464285714</v>
      </c>
      <c r="F176" s="26">
        <v>1.0</v>
      </c>
      <c r="G176" s="20">
        <v>224.0</v>
      </c>
      <c r="H176" s="20">
        <f t="shared" ref="H176:I176" si="187">F176/5</f>
        <v>0.2</v>
      </c>
      <c r="I176" s="20">
        <f t="shared" si="187"/>
        <v>44.8</v>
      </c>
      <c r="J176" s="36"/>
    </row>
    <row r="177" ht="15.75" customHeight="1">
      <c r="A177" s="6">
        <v>40502.0</v>
      </c>
      <c r="B177" s="7" t="s">
        <v>20</v>
      </c>
      <c r="C177" s="7" t="s">
        <v>231</v>
      </c>
      <c r="D177" s="7" t="s">
        <v>233</v>
      </c>
      <c r="E177" s="8">
        <f t="shared" si="3"/>
        <v>4.587155963</v>
      </c>
      <c r="F177" s="26">
        <v>1.0</v>
      </c>
      <c r="G177" s="20">
        <v>218.0</v>
      </c>
      <c r="H177" s="20">
        <f t="shared" ref="H177:I177" si="188">F177/5</f>
        <v>0.2</v>
      </c>
      <c r="I177" s="20">
        <f t="shared" si="188"/>
        <v>43.6</v>
      </c>
      <c r="J177" s="36"/>
    </row>
    <row r="178" ht="15.75" customHeight="1">
      <c r="A178" s="6">
        <v>40503.0</v>
      </c>
      <c r="B178" s="7" t="s">
        <v>20</v>
      </c>
      <c r="C178" s="7" t="s">
        <v>231</v>
      </c>
      <c r="D178" s="7" t="s">
        <v>234</v>
      </c>
      <c r="E178" s="8">
        <f t="shared" si="3"/>
        <v>0</v>
      </c>
      <c r="F178" s="26">
        <v>0.0</v>
      </c>
      <c r="G178" s="20">
        <v>81.0</v>
      </c>
      <c r="H178" s="20">
        <f t="shared" ref="H178:I178" si="189">F178/5</f>
        <v>0</v>
      </c>
      <c r="I178" s="20">
        <f t="shared" si="189"/>
        <v>16.2</v>
      </c>
      <c r="J178" s="36"/>
    </row>
    <row r="179" ht="15.75" customHeight="1">
      <c r="A179" s="6">
        <v>40504.0</v>
      </c>
      <c r="B179" s="7" t="s">
        <v>20</v>
      </c>
      <c r="C179" s="7" t="s">
        <v>231</v>
      </c>
      <c r="D179" s="7" t="s">
        <v>235</v>
      </c>
      <c r="E179" s="8">
        <f t="shared" si="3"/>
        <v>0</v>
      </c>
      <c r="F179" s="26">
        <v>0.0</v>
      </c>
      <c r="G179" s="20">
        <v>49.0</v>
      </c>
      <c r="H179" s="20">
        <f t="shared" ref="H179:I179" si="190">F179/5</f>
        <v>0</v>
      </c>
      <c r="I179" s="20">
        <f t="shared" si="190"/>
        <v>9.8</v>
      </c>
      <c r="J179" s="36"/>
    </row>
    <row r="180" ht="15.75" customHeight="1">
      <c r="A180" s="6">
        <v>40505.0</v>
      </c>
      <c r="B180" s="7" t="s">
        <v>20</v>
      </c>
      <c r="C180" s="7" t="s">
        <v>231</v>
      </c>
      <c r="D180" s="7" t="s">
        <v>236</v>
      </c>
      <c r="E180" s="8">
        <f t="shared" si="3"/>
        <v>9.302325581</v>
      </c>
      <c r="F180" s="26">
        <v>2.0</v>
      </c>
      <c r="G180" s="20">
        <v>215.0</v>
      </c>
      <c r="H180" s="20">
        <f t="shared" ref="H180:I180" si="191">F180/5</f>
        <v>0.4</v>
      </c>
      <c r="I180" s="20">
        <f t="shared" si="191"/>
        <v>43</v>
      </c>
      <c r="J180" s="36"/>
    </row>
    <row r="181" ht="15.75" customHeight="1">
      <c r="A181" s="6">
        <v>40601.0</v>
      </c>
      <c r="B181" s="7" t="s">
        <v>20</v>
      </c>
      <c r="C181" s="7" t="s">
        <v>237</v>
      </c>
      <c r="D181" s="7" t="s">
        <v>237</v>
      </c>
      <c r="E181" s="8">
        <f t="shared" si="3"/>
        <v>13.58234295</v>
      </c>
      <c r="F181" s="26">
        <v>8.0</v>
      </c>
      <c r="G181" s="20">
        <v>589.0</v>
      </c>
      <c r="H181" s="20">
        <f t="shared" ref="H181:I181" si="192">F181/5</f>
        <v>1.6</v>
      </c>
      <c r="I181" s="20">
        <f t="shared" si="192"/>
        <v>117.8</v>
      </c>
      <c r="J181" s="36"/>
    </row>
    <row r="182" ht="15.75" customHeight="1">
      <c r="A182" s="6">
        <v>40602.0</v>
      </c>
      <c r="B182" s="7" t="s">
        <v>20</v>
      </c>
      <c r="C182" s="7" t="s">
        <v>237</v>
      </c>
      <c r="D182" s="7" t="s">
        <v>238</v>
      </c>
      <c r="E182" s="8">
        <f t="shared" si="3"/>
        <v>4.761904762</v>
      </c>
      <c r="F182" s="26">
        <v>1.0</v>
      </c>
      <c r="G182" s="20">
        <v>210.0</v>
      </c>
      <c r="H182" s="20">
        <f t="shared" ref="H182:I182" si="193">F182/5</f>
        <v>0.2</v>
      </c>
      <c r="I182" s="20">
        <f t="shared" si="193"/>
        <v>42</v>
      </c>
      <c r="J182" s="36"/>
    </row>
    <row r="183" ht="15.75" customHeight="1">
      <c r="A183" s="6">
        <v>40603.0</v>
      </c>
      <c r="B183" s="7" t="s">
        <v>20</v>
      </c>
      <c r="C183" s="7" t="s">
        <v>237</v>
      </c>
      <c r="D183" s="7" t="s">
        <v>239</v>
      </c>
      <c r="E183" s="8">
        <f t="shared" si="3"/>
        <v>4.444444444</v>
      </c>
      <c r="F183" s="26">
        <v>1.0</v>
      </c>
      <c r="G183" s="20">
        <v>225.0</v>
      </c>
      <c r="H183" s="20">
        <f t="shared" ref="H183:I183" si="194">F183/5</f>
        <v>0.2</v>
      </c>
      <c r="I183" s="20">
        <f t="shared" si="194"/>
        <v>45</v>
      </c>
      <c r="J183" s="36"/>
    </row>
    <row r="184" ht="15.75" customHeight="1">
      <c r="A184" s="6">
        <v>40701.0</v>
      </c>
      <c r="B184" s="7" t="s">
        <v>20</v>
      </c>
      <c r="C184" s="7" t="s">
        <v>240</v>
      </c>
      <c r="D184" s="7" t="s">
        <v>241</v>
      </c>
      <c r="E184" s="8">
        <f t="shared" si="3"/>
        <v>17.72151899</v>
      </c>
      <c r="F184" s="26">
        <v>21.0</v>
      </c>
      <c r="G184" s="20">
        <v>1185.0</v>
      </c>
      <c r="H184" s="20">
        <f t="shared" ref="H184:I184" si="195">F184/5</f>
        <v>4.2</v>
      </c>
      <c r="I184" s="20">
        <f t="shared" si="195"/>
        <v>237</v>
      </c>
      <c r="J184" s="36"/>
    </row>
    <row r="185" ht="15.75" customHeight="1">
      <c r="A185" s="6">
        <v>40702.0</v>
      </c>
      <c r="B185" s="7" t="s">
        <v>20</v>
      </c>
      <c r="C185" s="7" t="s">
        <v>240</v>
      </c>
      <c r="D185" s="7" t="s">
        <v>242</v>
      </c>
      <c r="E185" s="8">
        <f t="shared" si="3"/>
        <v>16.80672269</v>
      </c>
      <c r="F185" s="26">
        <v>6.0</v>
      </c>
      <c r="G185" s="20">
        <v>357.0</v>
      </c>
      <c r="H185" s="20">
        <f t="shared" ref="H185:I185" si="196">F185/5</f>
        <v>1.2</v>
      </c>
      <c r="I185" s="20">
        <f t="shared" si="196"/>
        <v>71.4</v>
      </c>
      <c r="J185" s="36"/>
    </row>
    <row r="186" ht="15.75" customHeight="1">
      <c r="A186" s="6">
        <v>40801.0</v>
      </c>
      <c r="B186" s="7" t="s">
        <v>20</v>
      </c>
      <c r="C186" s="7" t="s">
        <v>243</v>
      </c>
      <c r="D186" s="7" t="s">
        <v>244</v>
      </c>
      <c r="E186" s="8">
        <f t="shared" si="3"/>
        <v>15.16793066</v>
      </c>
      <c r="F186" s="26">
        <v>14.0</v>
      </c>
      <c r="G186" s="20">
        <v>923.0</v>
      </c>
      <c r="H186" s="20">
        <f t="shared" ref="H186:I186" si="197">F186/5</f>
        <v>2.8</v>
      </c>
      <c r="I186" s="20">
        <f t="shared" si="197"/>
        <v>184.6</v>
      </c>
      <c r="J186" s="36"/>
    </row>
    <row r="187" ht="15.75" customHeight="1">
      <c r="A187" s="6">
        <v>40802.0</v>
      </c>
      <c r="B187" s="7" t="s">
        <v>20</v>
      </c>
      <c r="C187" s="7" t="s">
        <v>243</v>
      </c>
      <c r="D187" s="7" t="s">
        <v>245</v>
      </c>
      <c r="E187" s="8">
        <f t="shared" si="3"/>
        <v>5.464480874</v>
      </c>
      <c r="F187" s="26">
        <v>1.0</v>
      </c>
      <c r="G187" s="20">
        <v>183.0</v>
      </c>
      <c r="H187" s="20">
        <f t="shared" ref="H187:I187" si="198">F187/5</f>
        <v>0.2</v>
      </c>
      <c r="I187" s="20">
        <f t="shared" si="198"/>
        <v>36.6</v>
      </c>
      <c r="J187" s="36"/>
    </row>
    <row r="188" ht="15.75" customHeight="1">
      <c r="A188" s="6">
        <v>40901.0</v>
      </c>
      <c r="B188" s="7" t="s">
        <v>20</v>
      </c>
      <c r="C188" s="7" t="s">
        <v>246</v>
      </c>
      <c r="D188" s="7" t="s">
        <v>246</v>
      </c>
      <c r="E188" s="8">
        <f t="shared" si="3"/>
        <v>7.692307692</v>
      </c>
      <c r="F188" s="26">
        <v>8.0</v>
      </c>
      <c r="G188" s="20">
        <v>1040.0</v>
      </c>
      <c r="H188" s="20">
        <f t="shared" ref="H188:I188" si="199">F188/5</f>
        <v>1.6</v>
      </c>
      <c r="I188" s="20">
        <f t="shared" si="199"/>
        <v>208</v>
      </c>
      <c r="J188" s="36"/>
    </row>
    <row r="189" ht="15.75" customHeight="1">
      <c r="A189" s="6">
        <v>40902.0</v>
      </c>
      <c r="B189" s="7" t="s">
        <v>20</v>
      </c>
      <c r="C189" s="7" t="s">
        <v>246</v>
      </c>
      <c r="D189" s="7" t="s">
        <v>247</v>
      </c>
      <c r="E189" s="8">
        <f t="shared" si="3"/>
        <v>8.474576271</v>
      </c>
      <c r="F189" s="26">
        <v>1.0</v>
      </c>
      <c r="G189" s="20">
        <v>118.0</v>
      </c>
      <c r="H189" s="20">
        <f t="shared" ref="H189:I189" si="200">F189/5</f>
        <v>0.2</v>
      </c>
      <c r="I189" s="20">
        <f t="shared" si="200"/>
        <v>23.6</v>
      </c>
      <c r="J189" s="36"/>
    </row>
    <row r="190" ht="15.75" customHeight="1">
      <c r="A190" s="6">
        <v>40903.0</v>
      </c>
      <c r="B190" s="7" t="s">
        <v>20</v>
      </c>
      <c r="C190" s="7" t="s">
        <v>246</v>
      </c>
      <c r="D190" s="7" t="s">
        <v>248</v>
      </c>
      <c r="E190" s="8">
        <f t="shared" si="3"/>
        <v>18.07228916</v>
      </c>
      <c r="F190" s="26">
        <v>3.0</v>
      </c>
      <c r="G190" s="20">
        <v>166.0</v>
      </c>
      <c r="H190" s="20">
        <f t="shared" ref="H190:I190" si="201">F190/5</f>
        <v>0.6</v>
      </c>
      <c r="I190" s="20">
        <f t="shared" si="201"/>
        <v>33.2</v>
      </c>
      <c r="J190" s="36"/>
    </row>
    <row r="191" ht="15.75" customHeight="1">
      <c r="A191" s="6">
        <v>41001.0</v>
      </c>
      <c r="B191" s="7" t="s">
        <v>20</v>
      </c>
      <c r="C191" s="7" t="s">
        <v>249</v>
      </c>
      <c r="D191" s="7" t="s">
        <v>250</v>
      </c>
      <c r="E191" s="8">
        <f t="shared" si="3"/>
        <v>16.85393258</v>
      </c>
      <c r="F191" s="26">
        <v>9.0</v>
      </c>
      <c r="G191" s="20">
        <v>534.0</v>
      </c>
      <c r="H191" s="20">
        <f t="shared" ref="H191:I191" si="202">F191/5</f>
        <v>1.8</v>
      </c>
      <c r="I191" s="20">
        <f t="shared" si="202"/>
        <v>106.8</v>
      </c>
      <c r="J191" s="36"/>
    </row>
    <row r="192" ht="15.75" customHeight="1">
      <c r="A192" s="6">
        <v>41101.0</v>
      </c>
      <c r="B192" s="7" t="s">
        <v>20</v>
      </c>
      <c r="C192" s="7" t="s">
        <v>251</v>
      </c>
      <c r="D192" s="7" t="s">
        <v>252</v>
      </c>
      <c r="E192" s="8">
        <f t="shared" si="3"/>
        <v>25</v>
      </c>
      <c r="F192" s="26">
        <v>8.0</v>
      </c>
      <c r="G192" s="20">
        <v>320.0</v>
      </c>
      <c r="H192" s="20">
        <f t="shared" ref="H192:I192" si="203">F192/5</f>
        <v>1.6</v>
      </c>
      <c r="I192" s="20">
        <f t="shared" si="203"/>
        <v>64</v>
      </c>
      <c r="J192" s="36"/>
    </row>
    <row r="193" ht="15.75" customHeight="1">
      <c r="A193" s="6">
        <v>41201.0</v>
      </c>
      <c r="B193" s="7" t="s">
        <v>20</v>
      </c>
      <c r="C193" s="7" t="s">
        <v>253</v>
      </c>
      <c r="D193" s="7" t="s">
        <v>254</v>
      </c>
      <c r="E193" s="8">
        <f t="shared" si="3"/>
        <v>7.874015748</v>
      </c>
      <c r="F193" s="26">
        <v>2.0</v>
      </c>
      <c r="G193" s="20">
        <v>254.0</v>
      </c>
      <c r="H193" s="20">
        <f t="shared" ref="H193:I193" si="204">F193/5</f>
        <v>0.4</v>
      </c>
      <c r="I193" s="20">
        <f t="shared" si="204"/>
        <v>50.8</v>
      </c>
      <c r="J193" s="36"/>
    </row>
    <row r="194" ht="15.75" customHeight="1">
      <c r="A194" s="6">
        <v>41202.0</v>
      </c>
      <c r="B194" s="7" t="s">
        <v>20</v>
      </c>
      <c r="C194" s="7" t="s">
        <v>253</v>
      </c>
      <c r="D194" s="7" t="s">
        <v>255</v>
      </c>
      <c r="E194" s="8">
        <f t="shared" si="3"/>
        <v>19.23076923</v>
      </c>
      <c r="F194" s="26">
        <v>3.0</v>
      </c>
      <c r="G194" s="20">
        <v>156.0</v>
      </c>
      <c r="H194" s="20">
        <f t="shared" ref="H194:I194" si="205">F194/5</f>
        <v>0.6</v>
      </c>
      <c r="I194" s="20">
        <f t="shared" si="205"/>
        <v>31.2</v>
      </c>
      <c r="J194" s="36"/>
    </row>
    <row r="195" ht="15.75" customHeight="1">
      <c r="A195" s="6">
        <v>41301.0</v>
      </c>
      <c r="B195" s="7" t="s">
        <v>20</v>
      </c>
      <c r="C195" s="7" t="s">
        <v>256</v>
      </c>
      <c r="D195" s="7" t="s">
        <v>256</v>
      </c>
      <c r="E195" s="8">
        <f t="shared" si="3"/>
        <v>17.8041543</v>
      </c>
      <c r="F195" s="26">
        <v>6.0</v>
      </c>
      <c r="G195" s="20">
        <v>337.0</v>
      </c>
      <c r="H195" s="20">
        <f t="shared" ref="H195:I195" si="206">F195/5</f>
        <v>1.2</v>
      </c>
      <c r="I195" s="20">
        <f t="shared" si="206"/>
        <v>67.4</v>
      </c>
      <c r="J195" s="36"/>
    </row>
    <row r="196" ht="15.75" customHeight="1">
      <c r="A196" s="6">
        <v>41401.0</v>
      </c>
      <c r="B196" s="7" t="s">
        <v>20</v>
      </c>
      <c r="C196" s="7" t="s">
        <v>257</v>
      </c>
      <c r="D196" s="7" t="s">
        <v>258</v>
      </c>
      <c r="E196" s="8">
        <f t="shared" si="3"/>
        <v>9.836065574</v>
      </c>
      <c r="F196" s="26">
        <v>6.0</v>
      </c>
      <c r="G196" s="20">
        <v>610.0</v>
      </c>
      <c r="H196" s="20">
        <f t="shared" ref="H196:I196" si="207">F196/5</f>
        <v>1.2</v>
      </c>
      <c r="I196" s="20">
        <f t="shared" si="207"/>
        <v>122</v>
      </c>
      <c r="J196" s="36"/>
    </row>
    <row r="197" ht="15.75" customHeight="1">
      <c r="A197" s="6">
        <v>41501.0</v>
      </c>
      <c r="B197" s="7" t="s">
        <v>20</v>
      </c>
      <c r="C197" s="7" t="s">
        <v>259</v>
      </c>
      <c r="D197" s="7" t="s">
        <v>260</v>
      </c>
      <c r="E197" s="8">
        <f t="shared" si="3"/>
        <v>0</v>
      </c>
      <c r="F197" s="26">
        <v>0.0</v>
      </c>
      <c r="G197" s="20">
        <v>87.0</v>
      </c>
      <c r="H197" s="20">
        <f t="shared" ref="H197:I197" si="208">F197/5</f>
        <v>0</v>
      </c>
      <c r="I197" s="20">
        <f t="shared" si="208"/>
        <v>17.4</v>
      </c>
      <c r="J197" s="36"/>
    </row>
    <row r="198" ht="15.75" customHeight="1">
      <c r="A198" s="6">
        <v>41502.0</v>
      </c>
      <c r="B198" s="7" t="s">
        <v>20</v>
      </c>
      <c r="C198" s="7" t="s">
        <v>259</v>
      </c>
      <c r="D198" s="7" t="s">
        <v>261</v>
      </c>
      <c r="E198" s="8">
        <f t="shared" si="3"/>
        <v>12.82051282</v>
      </c>
      <c r="F198" s="26">
        <v>1.0</v>
      </c>
      <c r="G198" s="20">
        <v>78.0</v>
      </c>
      <c r="H198" s="20">
        <f t="shared" ref="H198:I198" si="209">F198/5</f>
        <v>0.2</v>
      </c>
      <c r="I198" s="20">
        <f t="shared" si="209"/>
        <v>15.6</v>
      </c>
      <c r="J198" s="36"/>
    </row>
    <row r="199" ht="15.75" customHeight="1">
      <c r="A199" s="6">
        <v>41503.0</v>
      </c>
      <c r="B199" s="7" t="s">
        <v>20</v>
      </c>
      <c r="C199" s="7" t="s">
        <v>259</v>
      </c>
      <c r="D199" s="7" t="s">
        <v>225</v>
      </c>
      <c r="E199" s="8">
        <f t="shared" si="3"/>
        <v>0</v>
      </c>
      <c r="F199" s="26">
        <v>0.0</v>
      </c>
      <c r="G199" s="20">
        <v>64.0</v>
      </c>
      <c r="H199" s="20">
        <f t="shared" ref="H199:I199" si="210">F199/5</f>
        <v>0</v>
      </c>
      <c r="I199" s="20">
        <f t="shared" si="210"/>
        <v>12.8</v>
      </c>
      <c r="J199" s="36"/>
    </row>
    <row r="200" ht="15.75" customHeight="1">
      <c r="A200" s="6">
        <v>41601.0</v>
      </c>
      <c r="B200" s="7" t="s">
        <v>20</v>
      </c>
      <c r="C200" s="7" t="s">
        <v>262</v>
      </c>
      <c r="D200" s="7" t="s">
        <v>263</v>
      </c>
      <c r="E200" s="8">
        <f t="shared" si="3"/>
        <v>24.3902439</v>
      </c>
      <c r="F200" s="26">
        <v>6.0</v>
      </c>
      <c r="G200" s="20">
        <v>246.0</v>
      </c>
      <c r="H200" s="20">
        <f t="shared" ref="H200:I200" si="211">F200/5</f>
        <v>1.2</v>
      </c>
      <c r="I200" s="20">
        <f t="shared" si="211"/>
        <v>49.2</v>
      </c>
      <c r="J200" s="36"/>
    </row>
    <row r="201" ht="15.75" customHeight="1">
      <c r="A201" s="6">
        <v>50101.0</v>
      </c>
      <c r="B201" s="7" t="s">
        <v>264</v>
      </c>
      <c r="C201" s="7" t="s">
        <v>265</v>
      </c>
      <c r="D201" s="7" t="s">
        <v>264</v>
      </c>
      <c r="E201" s="8">
        <f t="shared" si="3"/>
        <v>11.8692518</v>
      </c>
      <c r="F201" s="26">
        <v>191.0</v>
      </c>
      <c r="G201" s="20">
        <v>16092.0</v>
      </c>
      <c r="H201" s="20">
        <f t="shared" ref="H201:I201" si="212">F201/5</f>
        <v>38.2</v>
      </c>
      <c r="I201" s="20">
        <f t="shared" si="212"/>
        <v>3218.4</v>
      </c>
      <c r="J201" s="36"/>
    </row>
    <row r="202" ht="15.75" customHeight="1">
      <c r="A202" s="6">
        <v>50102.0</v>
      </c>
      <c r="B202" s="7" t="s">
        <v>264</v>
      </c>
      <c r="C202" s="7" t="s">
        <v>265</v>
      </c>
      <c r="D202" s="7" t="s">
        <v>266</v>
      </c>
      <c r="E202" s="8">
        <f t="shared" si="3"/>
        <v>28.21316614</v>
      </c>
      <c r="F202" s="26">
        <v>54.0</v>
      </c>
      <c r="G202" s="20">
        <v>1914.0</v>
      </c>
      <c r="H202" s="20">
        <f t="shared" ref="H202:I202" si="213">F202/5</f>
        <v>10.8</v>
      </c>
      <c r="I202" s="20">
        <f t="shared" si="213"/>
        <v>382.8</v>
      </c>
      <c r="J202" s="36"/>
    </row>
    <row r="203" ht="15.75" customHeight="1">
      <c r="A203" s="6">
        <v>50103.0</v>
      </c>
      <c r="B203" s="7" t="s">
        <v>264</v>
      </c>
      <c r="C203" s="7" t="s">
        <v>265</v>
      </c>
      <c r="D203" s="7" t="s">
        <v>267</v>
      </c>
      <c r="E203" s="8">
        <f t="shared" si="3"/>
        <v>16.71309192</v>
      </c>
      <c r="F203" s="26">
        <v>12.0</v>
      </c>
      <c r="G203" s="20">
        <v>718.0</v>
      </c>
      <c r="H203" s="20">
        <f t="shared" ref="H203:I203" si="214">F203/5</f>
        <v>2.4</v>
      </c>
      <c r="I203" s="20">
        <f t="shared" si="214"/>
        <v>143.6</v>
      </c>
      <c r="J203" s="36"/>
    </row>
    <row r="204" ht="15.75" customHeight="1">
      <c r="A204" s="6">
        <v>50104.0</v>
      </c>
      <c r="B204" s="7" t="s">
        <v>264</v>
      </c>
      <c r="C204" s="7" t="s">
        <v>265</v>
      </c>
      <c r="D204" s="7" t="s">
        <v>268</v>
      </c>
      <c r="E204" s="8">
        <f t="shared" si="3"/>
        <v>6.802721088</v>
      </c>
      <c r="F204" s="26">
        <v>1.0</v>
      </c>
      <c r="G204" s="20">
        <v>147.0</v>
      </c>
      <c r="H204" s="20">
        <f t="shared" ref="H204:I204" si="215">F204/5</f>
        <v>0.2</v>
      </c>
      <c r="I204" s="20">
        <f t="shared" si="215"/>
        <v>29.4</v>
      </c>
      <c r="J204" s="36"/>
    </row>
    <row r="205" ht="15.75" customHeight="1">
      <c r="A205" s="6">
        <v>50201.0</v>
      </c>
      <c r="B205" s="7" t="s">
        <v>264</v>
      </c>
      <c r="C205" s="7" t="s">
        <v>269</v>
      </c>
      <c r="D205" s="7" t="s">
        <v>270</v>
      </c>
      <c r="E205" s="8">
        <f t="shared" si="3"/>
        <v>25.2559727</v>
      </c>
      <c r="F205" s="26">
        <v>37.0</v>
      </c>
      <c r="G205" s="20">
        <v>1465.0</v>
      </c>
      <c r="H205" s="20">
        <f t="shared" ref="H205:I205" si="216">F205/5</f>
        <v>7.4</v>
      </c>
      <c r="I205" s="20">
        <f t="shared" si="216"/>
        <v>293</v>
      </c>
      <c r="J205" s="36"/>
    </row>
    <row r="206" ht="15.75" customHeight="1">
      <c r="A206" s="6">
        <v>50202.0</v>
      </c>
      <c r="B206" s="7" t="s">
        <v>264</v>
      </c>
      <c r="C206" s="7" t="s">
        <v>269</v>
      </c>
      <c r="D206" s="7" t="s">
        <v>271</v>
      </c>
      <c r="E206" s="8">
        <f t="shared" si="3"/>
        <v>33.63006924</v>
      </c>
      <c r="F206" s="26">
        <v>34.0</v>
      </c>
      <c r="G206" s="20">
        <v>1011.0</v>
      </c>
      <c r="H206" s="20">
        <f t="shared" ref="H206:I206" si="217">F206/5</f>
        <v>6.8</v>
      </c>
      <c r="I206" s="20">
        <f t="shared" si="217"/>
        <v>202.2</v>
      </c>
      <c r="J206" s="36"/>
    </row>
    <row r="207" ht="15.75" customHeight="1">
      <c r="A207" s="6">
        <v>50203.0</v>
      </c>
      <c r="B207" s="7" t="s">
        <v>264</v>
      </c>
      <c r="C207" s="7" t="s">
        <v>269</v>
      </c>
      <c r="D207" s="7" t="s">
        <v>272</v>
      </c>
      <c r="E207" s="8">
        <f t="shared" si="3"/>
        <v>15.3024911</v>
      </c>
      <c r="F207" s="26">
        <v>43.0</v>
      </c>
      <c r="G207" s="20">
        <v>2810.0</v>
      </c>
      <c r="H207" s="20">
        <f t="shared" ref="H207:I207" si="218">F207/5</f>
        <v>8.6</v>
      </c>
      <c r="I207" s="20">
        <f t="shared" si="218"/>
        <v>562</v>
      </c>
      <c r="J207" s="36"/>
    </row>
    <row r="208" ht="15.75" customHeight="1">
      <c r="A208" s="6">
        <v>50204.0</v>
      </c>
      <c r="B208" s="7" t="s">
        <v>264</v>
      </c>
      <c r="C208" s="7" t="s">
        <v>269</v>
      </c>
      <c r="D208" s="7" t="s">
        <v>273</v>
      </c>
      <c r="E208" s="8">
        <f t="shared" si="3"/>
        <v>24.56140351</v>
      </c>
      <c r="F208" s="26">
        <v>14.0</v>
      </c>
      <c r="G208" s="20">
        <v>570.0</v>
      </c>
      <c r="H208" s="20">
        <f t="shared" ref="H208:I208" si="219">F208/5</f>
        <v>2.8</v>
      </c>
      <c r="I208" s="20">
        <f t="shared" si="219"/>
        <v>114</v>
      </c>
      <c r="J208" s="36"/>
    </row>
    <row r="209" ht="15.75" customHeight="1">
      <c r="A209" s="6">
        <v>50301.0</v>
      </c>
      <c r="B209" s="7" t="s">
        <v>264</v>
      </c>
      <c r="C209" s="7" t="s">
        <v>274</v>
      </c>
      <c r="D209" s="7" t="s">
        <v>275</v>
      </c>
      <c r="E209" s="8">
        <f t="shared" si="3"/>
        <v>18.53658537</v>
      </c>
      <c r="F209" s="26">
        <v>38.0</v>
      </c>
      <c r="G209" s="20">
        <v>2050.0</v>
      </c>
      <c r="H209" s="20">
        <f t="shared" ref="H209:I209" si="220">F209/5</f>
        <v>7.6</v>
      </c>
      <c r="I209" s="20">
        <f t="shared" si="220"/>
        <v>410</v>
      </c>
      <c r="J209" s="36"/>
    </row>
    <row r="210" ht="15.75" customHeight="1">
      <c r="A210" s="6">
        <v>50302.0</v>
      </c>
      <c r="B210" s="7" t="s">
        <v>264</v>
      </c>
      <c r="C210" s="7" t="s">
        <v>274</v>
      </c>
      <c r="D210" s="7" t="s">
        <v>276</v>
      </c>
      <c r="E210" s="8">
        <f t="shared" si="3"/>
        <v>14.38848921</v>
      </c>
      <c r="F210" s="26">
        <v>8.0</v>
      </c>
      <c r="G210" s="20">
        <v>556.0</v>
      </c>
      <c r="H210" s="20">
        <f t="shared" ref="H210:I210" si="221">F210/5</f>
        <v>1.6</v>
      </c>
      <c r="I210" s="20">
        <f t="shared" si="221"/>
        <v>111.2</v>
      </c>
      <c r="J210" s="36"/>
    </row>
    <row r="211" ht="15.75" customHeight="1">
      <c r="A211" s="6">
        <v>50303.0</v>
      </c>
      <c r="B211" s="7" t="s">
        <v>264</v>
      </c>
      <c r="C211" s="7" t="s">
        <v>274</v>
      </c>
      <c r="D211" s="7" t="s">
        <v>277</v>
      </c>
      <c r="E211" s="8">
        <f t="shared" si="3"/>
        <v>6.696428571</v>
      </c>
      <c r="F211" s="26">
        <v>6.0</v>
      </c>
      <c r="G211" s="20">
        <v>896.0</v>
      </c>
      <c r="H211" s="20">
        <f t="shared" ref="H211:I211" si="222">F211/5</f>
        <v>1.2</v>
      </c>
      <c r="I211" s="20">
        <f t="shared" si="222"/>
        <v>179.2</v>
      </c>
      <c r="J211" s="36"/>
    </row>
    <row r="212" ht="15.75" customHeight="1">
      <c r="A212" s="6">
        <v>50401.0</v>
      </c>
      <c r="B212" s="7" t="s">
        <v>264</v>
      </c>
      <c r="C212" s="7" t="s">
        <v>271</v>
      </c>
      <c r="D212" s="7" t="s">
        <v>278</v>
      </c>
      <c r="E212" s="8">
        <f t="shared" si="3"/>
        <v>43.10344828</v>
      </c>
      <c r="F212" s="26">
        <v>45.0</v>
      </c>
      <c r="G212" s="20">
        <v>1044.0</v>
      </c>
      <c r="H212" s="20">
        <f t="shared" ref="H212:I212" si="223">F212/5</f>
        <v>9</v>
      </c>
      <c r="I212" s="20">
        <f t="shared" si="223"/>
        <v>208.8</v>
      </c>
      <c r="J212" s="36"/>
    </row>
    <row r="213" ht="15.75" customHeight="1">
      <c r="A213" s="6">
        <v>50402.0</v>
      </c>
      <c r="B213" s="7" t="s">
        <v>264</v>
      </c>
      <c r="C213" s="7" t="s">
        <v>271</v>
      </c>
      <c r="D213" s="7" t="s">
        <v>279</v>
      </c>
      <c r="E213" s="8">
        <f t="shared" si="3"/>
        <v>14.38053097</v>
      </c>
      <c r="F213" s="26">
        <v>13.0</v>
      </c>
      <c r="G213" s="20">
        <v>904.0</v>
      </c>
      <c r="H213" s="20">
        <f t="shared" ref="H213:I213" si="224">F213/5</f>
        <v>2.6</v>
      </c>
      <c r="I213" s="20">
        <f t="shared" si="224"/>
        <v>180.8</v>
      </c>
      <c r="J213" s="36"/>
    </row>
    <row r="214" ht="15.75" customHeight="1">
      <c r="A214" s="6">
        <v>50403.0</v>
      </c>
      <c r="B214" s="7" t="s">
        <v>264</v>
      </c>
      <c r="C214" s="7" t="s">
        <v>271</v>
      </c>
      <c r="D214" s="7" t="s">
        <v>280</v>
      </c>
      <c r="E214" s="8">
        <f t="shared" si="3"/>
        <v>29.90369995</v>
      </c>
      <c r="F214" s="26">
        <v>59.0</v>
      </c>
      <c r="G214" s="20">
        <v>1973.0</v>
      </c>
      <c r="H214" s="20">
        <f t="shared" ref="H214:I214" si="225">F214/5</f>
        <v>11.8</v>
      </c>
      <c r="I214" s="20">
        <f t="shared" si="225"/>
        <v>394.6</v>
      </c>
      <c r="J214" s="36"/>
    </row>
    <row r="215" ht="15.75" customHeight="1">
      <c r="A215" s="6">
        <v>50404.0</v>
      </c>
      <c r="B215" s="7" t="s">
        <v>264</v>
      </c>
      <c r="C215" s="7" t="s">
        <v>271</v>
      </c>
      <c r="D215" s="7" t="s">
        <v>281</v>
      </c>
      <c r="E215" s="8">
        <f t="shared" si="3"/>
        <v>15.11335013</v>
      </c>
      <c r="F215" s="26">
        <v>12.0</v>
      </c>
      <c r="G215" s="20">
        <v>794.0</v>
      </c>
      <c r="H215" s="20">
        <f t="shared" ref="H215:I215" si="226">F215/5</f>
        <v>2.4</v>
      </c>
      <c r="I215" s="20">
        <f t="shared" si="226"/>
        <v>158.8</v>
      </c>
      <c r="J215" s="36"/>
    </row>
    <row r="216" ht="15.75" customHeight="1">
      <c r="A216" s="25">
        <v>50405.0</v>
      </c>
      <c r="B216" s="7" t="s">
        <v>264</v>
      </c>
      <c r="C216" s="7" t="s">
        <v>271</v>
      </c>
      <c r="D216" s="7" t="s">
        <v>282</v>
      </c>
      <c r="E216" s="8">
        <f t="shared" si="3"/>
        <v>34.63855422</v>
      </c>
      <c r="F216" s="26">
        <v>46.0</v>
      </c>
      <c r="G216" s="20">
        <v>1328.0</v>
      </c>
      <c r="H216" s="20">
        <f t="shared" ref="H216:I216" si="227">F216/5</f>
        <v>9.2</v>
      </c>
      <c r="I216" s="20">
        <f t="shared" si="227"/>
        <v>265.6</v>
      </c>
      <c r="J216" s="36"/>
    </row>
    <row r="217" ht="15.75" customHeight="1">
      <c r="A217" s="6">
        <v>50501.0</v>
      </c>
      <c r="B217" s="7" t="s">
        <v>264</v>
      </c>
      <c r="C217" s="7" t="s">
        <v>283</v>
      </c>
      <c r="D217" s="7" t="s">
        <v>284</v>
      </c>
      <c r="E217" s="8">
        <f t="shared" si="3"/>
        <v>28.8153682</v>
      </c>
      <c r="F217" s="26">
        <v>54.0</v>
      </c>
      <c r="G217" s="20">
        <v>1874.0</v>
      </c>
      <c r="H217" s="20">
        <f t="shared" ref="H217:I217" si="228">F217/5</f>
        <v>10.8</v>
      </c>
      <c r="I217" s="20">
        <f t="shared" si="228"/>
        <v>374.8</v>
      </c>
      <c r="J217" s="36"/>
    </row>
    <row r="218" ht="15.75" customHeight="1">
      <c r="A218" s="6">
        <v>50502.0</v>
      </c>
      <c r="B218" s="7" t="s">
        <v>264</v>
      </c>
      <c r="C218" s="7" t="s">
        <v>283</v>
      </c>
      <c r="D218" s="7" t="s">
        <v>285</v>
      </c>
      <c r="E218" s="8">
        <f t="shared" si="3"/>
        <v>15.76872536</v>
      </c>
      <c r="F218" s="26">
        <v>12.0</v>
      </c>
      <c r="G218" s="20">
        <v>761.0</v>
      </c>
      <c r="H218" s="20">
        <f t="shared" ref="H218:I218" si="229">F218/5</f>
        <v>2.4</v>
      </c>
      <c r="I218" s="20">
        <f t="shared" si="229"/>
        <v>152.2</v>
      </c>
      <c r="J218" s="36"/>
    </row>
    <row r="219" ht="15.75" customHeight="1">
      <c r="A219" s="6">
        <v>50601.0</v>
      </c>
      <c r="B219" s="7" t="s">
        <v>264</v>
      </c>
      <c r="C219" s="7" t="s">
        <v>286</v>
      </c>
      <c r="D219" s="7" t="s">
        <v>287</v>
      </c>
      <c r="E219" s="8">
        <f t="shared" si="3"/>
        <v>5.787037037</v>
      </c>
      <c r="F219" s="26">
        <v>10.0</v>
      </c>
      <c r="G219" s="20">
        <v>1728.0</v>
      </c>
      <c r="H219" s="20">
        <f t="shared" ref="H219:I219" si="230">F219/5</f>
        <v>2</v>
      </c>
      <c r="I219" s="20">
        <f t="shared" si="230"/>
        <v>345.6</v>
      </c>
      <c r="J219" s="36"/>
    </row>
    <row r="220" ht="15.75" customHeight="1">
      <c r="A220" s="6">
        <v>50602.0</v>
      </c>
      <c r="B220" s="7" t="s">
        <v>264</v>
      </c>
      <c r="C220" s="7" t="s">
        <v>286</v>
      </c>
      <c r="D220" s="7" t="s">
        <v>288</v>
      </c>
      <c r="E220" s="8">
        <f t="shared" si="3"/>
        <v>10.41666667</v>
      </c>
      <c r="F220" s="26">
        <v>6.0</v>
      </c>
      <c r="G220" s="20">
        <v>576.0</v>
      </c>
      <c r="H220" s="20">
        <f t="shared" ref="H220:I220" si="231">F220/5</f>
        <v>1.2</v>
      </c>
      <c r="I220" s="20">
        <f t="shared" si="231"/>
        <v>115.2</v>
      </c>
      <c r="J220" s="36"/>
    </row>
    <row r="221" ht="15.75" customHeight="1">
      <c r="A221" s="6">
        <v>50701.0</v>
      </c>
      <c r="B221" s="7" t="s">
        <v>264</v>
      </c>
      <c r="C221" s="7" t="s">
        <v>289</v>
      </c>
      <c r="D221" s="7" t="s">
        <v>290</v>
      </c>
      <c r="E221" s="8">
        <f t="shared" si="3"/>
        <v>34.23423423</v>
      </c>
      <c r="F221" s="26">
        <v>38.0</v>
      </c>
      <c r="G221" s="20">
        <v>1110.0</v>
      </c>
      <c r="H221" s="20">
        <f t="shared" ref="H221:I221" si="232">F221/5</f>
        <v>7.6</v>
      </c>
      <c r="I221" s="20">
        <f t="shared" si="232"/>
        <v>222</v>
      </c>
      <c r="J221" s="36"/>
    </row>
    <row r="222" ht="15.75" customHeight="1">
      <c r="A222" s="6">
        <v>50702.0</v>
      </c>
      <c r="B222" s="7" t="s">
        <v>264</v>
      </c>
      <c r="C222" s="7" t="s">
        <v>289</v>
      </c>
      <c r="D222" s="7" t="s">
        <v>291</v>
      </c>
      <c r="E222" s="8">
        <f t="shared" si="3"/>
        <v>35.43307087</v>
      </c>
      <c r="F222" s="26">
        <v>18.0</v>
      </c>
      <c r="G222" s="20">
        <v>508.0</v>
      </c>
      <c r="H222" s="20">
        <f t="shared" ref="H222:I222" si="233">F222/5</f>
        <v>3.6</v>
      </c>
      <c r="I222" s="20">
        <f t="shared" si="233"/>
        <v>101.6</v>
      </c>
      <c r="J222" s="36"/>
    </row>
    <row r="223" ht="15.75" customHeight="1">
      <c r="A223" s="6">
        <v>50801.0</v>
      </c>
      <c r="B223" s="7" t="s">
        <v>264</v>
      </c>
      <c r="C223" s="7" t="s">
        <v>292</v>
      </c>
      <c r="D223" s="7" t="s">
        <v>293</v>
      </c>
      <c r="E223" s="8">
        <f t="shared" si="3"/>
        <v>7.754551585</v>
      </c>
      <c r="F223" s="26">
        <v>23.0</v>
      </c>
      <c r="G223" s="20">
        <v>2966.0</v>
      </c>
      <c r="H223" s="20">
        <f t="shared" ref="H223:I223" si="234">F223/5</f>
        <v>4.6</v>
      </c>
      <c r="I223" s="20">
        <f t="shared" si="234"/>
        <v>593.2</v>
      </c>
      <c r="J223" s="36"/>
    </row>
    <row r="224" ht="15.75" customHeight="1">
      <c r="A224" s="6">
        <v>50802.0</v>
      </c>
      <c r="B224" s="7" t="s">
        <v>264</v>
      </c>
      <c r="C224" s="7" t="s">
        <v>292</v>
      </c>
      <c r="D224" s="7" t="s">
        <v>294</v>
      </c>
      <c r="E224" s="8">
        <f t="shared" si="3"/>
        <v>14.55604076</v>
      </c>
      <c r="F224" s="26">
        <v>10.0</v>
      </c>
      <c r="G224" s="20">
        <v>687.0</v>
      </c>
      <c r="H224" s="20">
        <f t="shared" ref="H224:I224" si="235">F224/5</f>
        <v>2</v>
      </c>
      <c r="I224" s="20">
        <f t="shared" si="235"/>
        <v>137.4</v>
      </c>
      <c r="J224" s="36"/>
    </row>
    <row r="225" ht="15.75" customHeight="1">
      <c r="A225" s="6">
        <v>50901.0</v>
      </c>
      <c r="B225" s="7" t="s">
        <v>264</v>
      </c>
      <c r="C225" s="7" t="s">
        <v>295</v>
      </c>
      <c r="D225" s="7" t="s">
        <v>296</v>
      </c>
      <c r="E225" s="8">
        <f t="shared" si="3"/>
        <v>15.87301587</v>
      </c>
      <c r="F225" s="26">
        <v>13.0</v>
      </c>
      <c r="G225" s="20">
        <v>819.0</v>
      </c>
      <c r="H225" s="20">
        <f t="shared" ref="H225:I225" si="236">F225/5</f>
        <v>2.6</v>
      </c>
      <c r="I225" s="20">
        <f t="shared" si="236"/>
        <v>163.8</v>
      </c>
      <c r="J225" s="36"/>
    </row>
    <row r="226" ht="15.75" customHeight="1">
      <c r="A226" s="6">
        <v>50902.0</v>
      </c>
      <c r="B226" s="7" t="s">
        <v>264</v>
      </c>
      <c r="C226" s="7" t="s">
        <v>295</v>
      </c>
      <c r="D226" s="7" t="s">
        <v>297</v>
      </c>
      <c r="E226" s="8">
        <f t="shared" si="3"/>
        <v>23.25581395</v>
      </c>
      <c r="F226" s="26">
        <v>2.0</v>
      </c>
      <c r="G226" s="20">
        <v>86.0</v>
      </c>
      <c r="H226" s="20">
        <f t="shared" ref="H226:I226" si="237">F226/5</f>
        <v>0.4</v>
      </c>
      <c r="I226" s="20">
        <f t="shared" si="237"/>
        <v>17.2</v>
      </c>
      <c r="J226" s="36"/>
    </row>
    <row r="227" ht="15.75" customHeight="1">
      <c r="A227" s="6">
        <v>51001.0</v>
      </c>
      <c r="B227" s="7" t="s">
        <v>264</v>
      </c>
      <c r="C227" s="7" t="s">
        <v>298</v>
      </c>
      <c r="D227" s="7" t="s">
        <v>299</v>
      </c>
      <c r="E227" s="8">
        <f t="shared" si="3"/>
        <v>24.63054187</v>
      </c>
      <c r="F227" s="26">
        <v>5.0</v>
      </c>
      <c r="G227" s="20">
        <v>203.0</v>
      </c>
      <c r="H227" s="20">
        <f t="shared" ref="H227:I227" si="238">F227/5</f>
        <v>1</v>
      </c>
      <c r="I227" s="20">
        <f t="shared" si="238"/>
        <v>40.6</v>
      </c>
      <c r="J227" s="36"/>
    </row>
    <row r="228" ht="15.75" customHeight="1">
      <c r="A228" s="6">
        <v>51002.0</v>
      </c>
      <c r="B228" s="7" t="s">
        <v>264</v>
      </c>
      <c r="C228" s="7" t="s">
        <v>298</v>
      </c>
      <c r="D228" s="7" t="s">
        <v>300</v>
      </c>
      <c r="E228" s="8">
        <f t="shared" si="3"/>
        <v>16.39344262</v>
      </c>
      <c r="F228" s="26">
        <v>1.0</v>
      </c>
      <c r="G228" s="20">
        <v>61.0</v>
      </c>
      <c r="H228" s="20">
        <f t="shared" ref="H228:I228" si="239">F228/5</f>
        <v>0.2</v>
      </c>
      <c r="I228" s="20">
        <f t="shared" si="239"/>
        <v>12.2</v>
      </c>
      <c r="J228" s="36"/>
    </row>
    <row r="229" ht="15.75" customHeight="1">
      <c r="A229" s="6">
        <v>51003.0</v>
      </c>
      <c r="B229" s="7" t="s">
        <v>264</v>
      </c>
      <c r="C229" s="7" t="s">
        <v>298</v>
      </c>
      <c r="D229" s="7" t="s">
        <v>301</v>
      </c>
      <c r="E229" s="8">
        <f t="shared" si="3"/>
        <v>28.77697842</v>
      </c>
      <c r="F229" s="26">
        <v>4.0</v>
      </c>
      <c r="G229" s="20">
        <v>139.0</v>
      </c>
      <c r="H229" s="20">
        <f t="shared" ref="H229:I229" si="240">F229/5</f>
        <v>0.8</v>
      </c>
      <c r="I229" s="20">
        <f t="shared" si="240"/>
        <v>27.8</v>
      </c>
      <c r="J229" s="36"/>
    </row>
    <row r="230" ht="15.75" customHeight="1">
      <c r="A230" s="6">
        <v>51101.0</v>
      </c>
      <c r="B230" s="7" t="s">
        <v>264</v>
      </c>
      <c r="C230" s="7" t="s">
        <v>302</v>
      </c>
      <c r="D230" s="7" t="s">
        <v>303</v>
      </c>
      <c r="E230" s="8">
        <f t="shared" si="3"/>
        <v>12.71676301</v>
      </c>
      <c r="F230" s="26">
        <v>11.0</v>
      </c>
      <c r="G230" s="20">
        <v>865.0</v>
      </c>
      <c r="H230" s="20">
        <f t="shared" ref="H230:I230" si="241">F230/5</f>
        <v>2.2</v>
      </c>
      <c r="I230" s="20">
        <f t="shared" si="241"/>
        <v>173</v>
      </c>
      <c r="J230" s="36"/>
    </row>
    <row r="231" ht="15.75" customHeight="1">
      <c r="A231" s="6">
        <v>51102.0</v>
      </c>
      <c r="B231" s="7" t="s">
        <v>264</v>
      </c>
      <c r="C231" s="7" t="s">
        <v>302</v>
      </c>
      <c r="D231" s="7" t="s">
        <v>304</v>
      </c>
      <c r="E231" s="8">
        <f t="shared" si="3"/>
        <v>14.65614431</v>
      </c>
      <c r="F231" s="26">
        <v>13.0</v>
      </c>
      <c r="G231" s="20">
        <v>887.0</v>
      </c>
      <c r="H231" s="20">
        <f t="shared" ref="H231:I231" si="242">F231/5</f>
        <v>2.6</v>
      </c>
      <c r="I231" s="20">
        <f t="shared" si="242"/>
        <v>177.4</v>
      </c>
      <c r="J231" s="36"/>
    </row>
    <row r="232" ht="15.75" customHeight="1">
      <c r="A232" s="6">
        <v>51103.0</v>
      </c>
      <c r="B232" s="7" t="s">
        <v>264</v>
      </c>
      <c r="C232" s="7" t="s">
        <v>302</v>
      </c>
      <c r="D232" s="7" t="s">
        <v>305</v>
      </c>
      <c r="E232" s="8">
        <f t="shared" si="3"/>
        <v>13.91650099</v>
      </c>
      <c r="F232" s="26">
        <v>14.0</v>
      </c>
      <c r="G232" s="20">
        <v>1006.0</v>
      </c>
      <c r="H232" s="20">
        <f t="shared" ref="H232:I232" si="243">F232/5</f>
        <v>2.8</v>
      </c>
      <c r="I232" s="20">
        <f t="shared" si="243"/>
        <v>201.2</v>
      </c>
      <c r="J232" s="36"/>
    </row>
    <row r="233" ht="15.75" customHeight="1">
      <c r="A233" s="6">
        <v>51201.0</v>
      </c>
      <c r="B233" s="7" t="s">
        <v>264</v>
      </c>
      <c r="C233" s="7" t="s">
        <v>306</v>
      </c>
      <c r="D233" s="7" t="s">
        <v>307</v>
      </c>
      <c r="E233" s="8">
        <f t="shared" si="3"/>
        <v>16.76891616</v>
      </c>
      <c r="F233" s="26">
        <v>41.0</v>
      </c>
      <c r="G233" s="20">
        <v>2445.0</v>
      </c>
      <c r="H233" s="20">
        <f t="shared" ref="H233:I233" si="244">F233/5</f>
        <v>8.2</v>
      </c>
      <c r="I233" s="20">
        <f t="shared" si="244"/>
        <v>489</v>
      </c>
      <c r="J233" s="36"/>
    </row>
    <row r="234" ht="15.75" customHeight="1">
      <c r="A234" s="6">
        <v>51202.0</v>
      </c>
      <c r="B234" s="7" t="s">
        <v>264</v>
      </c>
      <c r="C234" s="7" t="s">
        <v>306</v>
      </c>
      <c r="D234" s="7" t="s">
        <v>308</v>
      </c>
      <c r="E234" s="8">
        <f t="shared" si="3"/>
        <v>17.35357918</v>
      </c>
      <c r="F234" s="26">
        <v>8.0</v>
      </c>
      <c r="G234" s="20">
        <v>461.0</v>
      </c>
      <c r="H234" s="20">
        <f t="shared" ref="H234:I234" si="245">F234/5</f>
        <v>1.6</v>
      </c>
      <c r="I234" s="20">
        <f t="shared" si="245"/>
        <v>92.2</v>
      </c>
      <c r="J234" s="36"/>
    </row>
    <row r="235" ht="15.75" customHeight="1">
      <c r="A235" s="6">
        <v>51203.0</v>
      </c>
      <c r="B235" s="7" t="s">
        <v>264</v>
      </c>
      <c r="C235" s="7" t="s">
        <v>306</v>
      </c>
      <c r="D235" s="7" t="s">
        <v>309</v>
      </c>
      <c r="E235" s="8">
        <f t="shared" si="3"/>
        <v>10.56910569</v>
      </c>
      <c r="F235" s="26">
        <v>13.0</v>
      </c>
      <c r="G235" s="20">
        <v>1230.0</v>
      </c>
      <c r="H235" s="20">
        <f t="shared" ref="H235:I235" si="246">F235/5</f>
        <v>2.6</v>
      </c>
      <c r="I235" s="20">
        <f t="shared" si="246"/>
        <v>246</v>
      </c>
      <c r="J235" s="36"/>
    </row>
    <row r="236" ht="15.75" customHeight="1">
      <c r="A236" s="25">
        <v>51204.0</v>
      </c>
      <c r="B236" s="7" t="s">
        <v>264</v>
      </c>
      <c r="C236" s="7"/>
      <c r="D236" s="7" t="s">
        <v>310</v>
      </c>
      <c r="E236" s="8">
        <f t="shared" si="3"/>
        <v>27.54820937</v>
      </c>
      <c r="F236" s="26">
        <v>10.0</v>
      </c>
      <c r="G236" s="20">
        <v>363.0</v>
      </c>
      <c r="H236" s="20">
        <f t="shared" ref="H236:I236" si="247">F236/5</f>
        <v>2</v>
      </c>
      <c r="I236" s="20">
        <f t="shared" si="247"/>
        <v>72.6</v>
      </c>
      <c r="J236" s="36"/>
    </row>
    <row r="237" ht="15.75" customHeight="1">
      <c r="A237" s="6">
        <v>51301.0</v>
      </c>
      <c r="B237" s="7" t="s">
        <v>264</v>
      </c>
      <c r="C237" s="7" t="s">
        <v>311</v>
      </c>
      <c r="D237" s="7" t="s">
        <v>312</v>
      </c>
      <c r="E237" s="8">
        <f t="shared" si="3"/>
        <v>21.92982456</v>
      </c>
      <c r="F237" s="26">
        <v>5.0</v>
      </c>
      <c r="G237" s="20">
        <v>228.0</v>
      </c>
      <c r="H237" s="20">
        <f t="shared" ref="H237:I237" si="248">F237/5</f>
        <v>1</v>
      </c>
      <c r="I237" s="20">
        <f t="shared" si="248"/>
        <v>45.6</v>
      </c>
      <c r="J237" s="36"/>
    </row>
    <row r="238" ht="15.75" customHeight="1">
      <c r="A238" s="6">
        <v>51302.0</v>
      </c>
      <c r="B238" s="7" t="s">
        <v>264</v>
      </c>
      <c r="C238" s="7" t="s">
        <v>311</v>
      </c>
      <c r="D238" s="7" t="s">
        <v>313</v>
      </c>
      <c r="E238" s="8">
        <f t="shared" si="3"/>
        <v>30.18867925</v>
      </c>
      <c r="F238" s="26">
        <v>8.0</v>
      </c>
      <c r="G238" s="20">
        <v>265.0</v>
      </c>
      <c r="H238" s="20">
        <f t="shared" ref="H238:I238" si="249">F238/5</f>
        <v>1.6</v>
      </c>
      <c r="I238" s="20">
        <f t="shared" si="249"/>
        <v>53</v>
      </c>
      <c r="J238" s="36"/>
    </row>
    <row r="239" ht="15.75" customHeight="1">
      <c r="A239" s="6">
        <v>51401.0</v>
      </c>
      <c r="B239" s="7" t="s">
        <v>264</v>
      </c>
      <c r="C239" s="7" t="s">
        <v>314</v>
      </c>
      <c r="D239" s="7" t="s">
        <v>315</v>
      </c>
      <c r="E239" s="8">
        <f t="shared" si="3"/>
        <v>28.07017544</v>
      </c>
      <c r="F239" s="26">
        <v>8.0</v>
      </c>
      <c r="G239" s="20">
        <v>285.0</v>
      </c>
      <c r="H239" s="20">
        <f t="shared" ref="H239:I239" si="250">F239/5</f>
        <v>1.6</v>
      </c>
      <c r="I239" s="20">
        <f t="shared" si="250"/>
        <v>57</v>
      </c>
      <c r="J239" s="36"/>
    </row>
    <row r="240" ht="15.75" customHeight="1">
      <c r="A240" s="6">
        <v>51402.0</v>
      </c>
      <c r="B240" s="7" t="s">
        <v>264</v>
      </c>
      <c r="C240" s="7" t="s">
        <v>314</v>
      </c>
      <c r="D240" s="7" t="s">
        <v>316</v>
      </c>
      <c r="E240" s="8">
        <f t="shared" si="3"/>
        <v>0</v>
      </c>
      <c r="F240" s="26">
        <v>0.0</v>
      </c>
      <c r="G240" s="20">
        <v>84.0</v>
      </c>
      <c r="H240" s="20">
        <f t="shared" ref="H240:I240" si="251">F240/5</f>
        <v>0</v>
      </c>
      <c r="I240" s="20">
        <f t="shared" si="251"/>
        <v>16.8</v>
      </c>
      <c r="J240" s="36"/>
    </row>
    <row r="241" ht="15.75" customHeight="1">
      <c r="A241" s="6">
        <v>51501.0</v>
      </c>
      <c r="B241" s="7" t="s">
        <v>264</v>
      </c>
      <c r="C241" s="7" t="s">
        <v>317</v>
      </c>
      <c r="D241" s="7" t="s">
        <v>318</v>
      </c>
      <c r="E241" s="8">
        <f t="shared" si="3"/>
        <v>12.35804943</v>
      </c>
      <c r="F241" s="26">
        <v>37.0</v>
      </c>
      <c r="G241" s="20">
        <v>2994.0</v>
      </c>
      <c r="H241" s="20">
        <f t="shared" ref="H241:I241" si="252">F241/5</f>
        <v>7.4</v>
      </c>
      <c r="I241" s="20">
        <f t="shared" si="252"/>
        <v>598.8</v>
      </c>
      <c r="J241" s="36"/>
    </row>
    <row r="242" ht="15.75" customHeight="1">
      <c r="A242" s="6">
        <v>51601.0</v>
      </c>
      <c r="B242" s="7" t="s">
        <v>264</v>
      </c>
      <c r="C242" s="7" t="s">
        <v>319</v>
      </c>
      <c r="D242" s="7" t="s">
        <v>320</v>
      </c>
      <c r="E242" s="8">
        <f t="shared" si="3"/>
        <v>15.625</v>
      </c>
      <c r="F242" s="26">
        <v>2.0</v>
      </c>
      <c r="G242" s="20">
        <v>128.0</v>
      </c>
      <c r="H242" s="20">
        <f t="shared" ref="H242:I242" si="253">F242/5</f>
        <v>0.4</v>
      </c>
      <c r="I242" s="20">
        <f t="shared" si="253"/>
        <v>25.6</v>
      </c>
      <c r="J242" s="36"/>
    </row>
    <row r="243" ht="15.75" customHeight="1">
      <c r="A243" s="6">
        <v>60101.0</v>
      </c>
      <c r="B243" s="7" t="s">
        <v>25</v>
      </c>
      <c r="C243" s="7" t="s">
        <v>165</v>
      </c>
      <c r="D243" s="7" t="s">
        <v>25</v>
      </c>
      <c r="E243" s="8">
        <f t="shared" si="3"/>
        <v>5.426060374</v>
      </c>
      <c r="F243" s="26">
        <v>71.0</v>
      </c>
      <c r="G243" s="20">
        <v>13085.0</v>
      </c>
      <c r="H243" s="20">
        <f t="shared" ref="H243:I243" si="254">F243/5</f>
        <v>14.2</v>
      </c>
      <c r="I243" s="20">
        <f t="shared" si="254"/>
        <v>2617</v>
      </c>
      <c r="J243" s="36"/>
    </row>
    <row r="244" ht="15.75" customHeight="1">
      <c r="A244" s="6">
        <v>60201.0</v>
      </c>
      <c r="B244" s="7" t="s">
        <v>25</v>
      </c>
      <c r="C244" s="7" t="s">
        <v>321</v>
      </c>
      <c r="D244" s="7" t="s">
        <v>322</v>
      </c>
      <c r="E244" s="8">
        <f t="shared" si="3"/>
        <v>5.976095618</v>
      </c>
      <c r="F244" s="26">
        <v>6.0</v>
      </c>
      <c r="G244" s="20">
        <v>1004.0</v>
      </c>
      <c r="H244" s="20">
        <f t="shared" ref="H244:I244" si="255">F244/5</f>
        <v>1.2</v>
      </c>
      <c r="I244" s="20">
        <f t="shared" si="255"/>
        <v>200.8</v>
      </c>
      <c r="J244" s="36"/>
    </row>
    <row r="245" ht="15.75" customHeight="1">
      <c r="A245" s="6">
        <v>60202.0</v>
      </c>
      <c r="B245" s="7" t="s">
        <v>25</v>
      </c>
      <c r="C245" s="7" t="s">
        <v>321</v>
      </c>
      <c r="D245" s="7" t="s">
        <v>323</v>
      </c>
      <c r="E245" s="8">
        <f t="shared" si="3"/>
        <v>4.432624113</v>
      </c>
      <c r="F245" s="26">
        <v>10.0</v>
      </c>
      <c r="G245" s="20">
        <v>2256.0</v>
      </c>
      <c r="H245" s="20">
        <f t="shared" ref="H245:I245" si="256">F245/5</f>
        <v>2</v>
      </c>
      <c r="I245" s="20">
        <f t="shared" si="256"/>
        <v>451.2</v>
      </c>
      <c r="J245" s="36"/>
    </row>
    <row r="246" ht="15.75" customHeight="1">
      <c r="A246" s="6">
        <v>60301.0</v>
      </c>
      <c r="B246" s="7" t="s">
        <v>25</v>
      </c>
      <c r="C246" s="7" t="s">
        <v>35</v>
      </c>
      <c r="D246" s="7" t="s">
        <v>324</v>
      </c>
      <c r="E246" s="8">
        <f t="shared" si="3"/>
        <v>9.800771208</v>
      </c>
      <c r="F246" s="26">
        <v>61.0</v>
      </c>
      <c r="G246" s="20">
        <v>6224.0</v>
      </c>
      <c r="H246" s="20">
        <f t="shared" ref="H246:I246" si="257">F246/5</f>
        <v>12.2</v>
      </c>
      <c r="I246" s="20">
        <f t="shared" si="257"/>
        <v>1244.8</v>
      </c>
      <c r="J246" s="36"/>
      <c r="L246" s="24"/>
      <c r="M246" s="24"/>
      <c r="N246" s="24"/>
    </row>
    <row r="247" ht="15.75" customHeight="1">
      <c r="A247" s="6">
        <v>60302.0</v>
      </c>
      <c r="B247" s="7" t="s">
        <v>25</v>
      </c>
      <c r="C247" s="7" t="s">
        <v>35</v>
      </c>
      <c r="D247" s="7" t="s">
        <v>325</v>
      </c>
      <c r="E247" s="8">
        <f t="shared" si="3"/>
        <v>6.517690875</v>
      </c>
      <c r="F247" s="26">
        <v>7.0</v>
      </c>
      <c r="G247" s="20">
        <v>1074.0</v>
      </c>
      <c r="H247" s="20">
        <f t="shared" ref="H247:I247" si="258">F247/5</f>
        <v>1.4</v>
      </c>
      <c r="I247" s="20">
        <f t="shared" si="258"/>
        <v>214.8</v>
      </c>
      <c r="J247" s="36"/>
    </row>
    <row r="248" ht="15.75" customHeight="1">
      <c r="A248" s="6">
        <v>60303.0</v>
      </c>
      <c r="B248" s="7" t="s">
        <v>25</v>
      </c>
      <c r="C248" s="7" t="s">
        <v>35</v>
      </c>
      <c r="D248" s="7" t="s">
        <v>326</v>
      </c>
      <c r="E248" s="8">
        <f t="shared" si="3"/>
        <v>5.608709997</v>
      </c>
      <c r="F248" s="26">
        <v>17.0</v>
      </c>
      <c r="G248" s="20">
        <v>3031.0</v>
      </c>
      <c r="H248" s="20">
        <f t="shared" ref="H248:I248" si="259">F248/5</f>
        <v>3.4</v>
      </c>
      <c r="I248" s="20">
        <f t="shared" si="259"/>
        <v>606.2</v>
      </c>
      <c r="J248" s="36"/>
    </row>
    <row r="249" ht="15.75" customHeight="1">
      <c r="A249" s="6">
        <v>60401.0</v>
      </c>
      <c r="B249" s="7" t="s">
        <v>25</v>
      </c>
      <c r="C249" s="7" t="s">
        <v>327</v>
      </c>
      <c r="D249" s="7" t="s">
        <v>328</v>
      </c>
      <c r="E249" s="8">
        <f t="shared" si="3"/>
        <v>5.186721992</v>
      </c>
      <c r="F249" s="26">
        <v>5.0</v>
      </c>
      <c r="G249" s="20">
        <v>964.0</v>
      </c>
      <c r="H249" s="20">
        <f t="shared" ref="H249:I249" si="260">F249/5</f>
        <v>1</v>
      </c>
      <c r="I249" s="20">
        <f t="shared" si="260"/>
        <v>192.8</v>
      </c>
      <c r="J249" s="36"/>
    </row>
    <row r="250" ht="15.75" customHeight="1">
      <c r="A250" s="6">
        <v>60402.0</v>
      </c>
      <c r="B250" s="7" t="s">
        <v>25</v>
      </c>
      <c r="C250" s="7" t="s">
        <v>327</v>
      </c>
      <c r="D250" s="7" t="s">
        <v>329</v>
      </c>
      <c r="E250" s="8">
        <f t="shared" si="3"/>
        <v>6.430868167</v>
      </c>
      <c r="F250" s="26">
        <v>2.0</v>
      </c>
      <c r="G250" s="20">
        <v>311.0</v>
      </c>
      <c r="H250" s="20">
        <f t="shared" ref="H250:I250" si="261">F250/5</f>
        <v>0.4</v>
      </c>
      <c r="I250" s="20">
        <f t="shared" si="261"/>
        <v>62.2</v>
      </c>
      <c r="J250" s="36"/>
    </row>
    <row r="251" ht="15.75" customHeight="1">
      <c r="A251" s="6">
        <v>60501.0</v>
      </c>
      <c r="B251" s="7" t="s">
        <v>25</v>
      </c>
      <c r="C251" s="7" t="s">
        <v>330</v>
      </c>
      <c r="D251" s="7" t="s">
        <v>331</v>
      </c>
      <c r="E251" s="8">
        <f t="shared" si="3"/>
        <v>4.59506031</v>
      </c>
      <c r="F251" s="26">
        <v>8.0</v>
      </c>
      <c r="G251" s="20">
        <v>1741.0</v>
      </c>
      <c r="H251" s="20">
        <f t="shared" ref="H251:I251" si="262">F251/5</f>
        <v>1.6</v>
      </c>
      <c r="I251" s="20">
        <f t="shared" si="262"/>
        <v>348.2</v>
      </c>
      <c r="J251" s="36"/>
    </row>
    <row r="252" ht="15.75" customHeight="1">
      <c r="A252" s="6">
        <v>60502.0</v>
      </c>
      <c r="B252" s="7" t="s">
        <v>25</v>
      </c>
      <c r="C252" s="7" t="s">
        <v>330</v>
      </c>
      <c r="D252" s="7" t="s">
        <v>332</v>
      </c>
      <c r="E252" s="8">
        <f t="shared" si="3"/>
        <v>8.912655971</v>
      </c>
      <c r="F252" s="26">
        <v>5.0</v>
      </c>
      <c r="G252" s="20">
        <v>561.0</v>
      </c>
      <c r="H252" s="20">
        <f t="shared" ref="H252:I252" si="263">F252/5</f>
        <v>1</v>
      </c>
      <c r="I252" s="20">
        <f t="shared" si="263"/>
        <v>112.2</v>
      </c>
      <c r="J252" s="36"/>
    </row>
    <row r="253" ht="15.75" customHeight="1">
      <c r="A253" s="6">
        <v>60601.0</v>
      </c>
      <c r="B253" s="7" t="s">
        <v>25</v>
      </c>
      <c r="C253" s="7" t="s">
        <v>333</v>
      </c>
      <c r="D253" s="7" t="s">
        <v>206</v>
      </c>
      <c r="E253" s="8">
        <f t="shared" si="3"/>
        <v>6.944444444</v>
      </c>
      <c r="F253" s="26">
        <v>9.0</v>
      </c>
      <c r="G253" s="20">
        <v>1296.0</v>
      </c>
      <c r="H253" s="20">
        <f t="shared" ref="H253:I253" si="264">F253/5</f>
        <v>1.8</v>
      </c>
      <c r="I253" s="20">
        <f t="shared" si="264"/>
        <v>259.2</v>
      </c>
      <c r="J253" s="36"/>
    </row>
    <row r="254" ht="15.75" customHeight="1">
      <c r="A254" s="6">
        <v>70101.0</v>
      </c>
      <c r="B254" s="7" t="s">
        <v>27</v>
      </c>
      <c r="C254" s="7" t="s">
        <v>334</v>
      </c>
      <c r="D254" s="7" t="s">
        <v>335</v>
      </c>
      <c r="E254" s="8">
        <f t="shared" si="3"/>
        <v>5.939804664</v>
      </c>
      <c r="F254" s="26">
        <v>596.0</v>
      </c>
      <c r="G254" s="20">
        <v>100340.0</v>
      </c>
      <c r="H254" s="20">
        <f t="shared" ref="H254:I254" si="265">F254/5</f>
        <v>119.2</v>
      </c>
      <c r="I254" s="20">
        <f t="shared" si="265"/>
        <v>20068</v>
      </c>
      <c r="J254" s="36"/>
    </row>
    <row r="255" ht="15.75" customHeight="1">
      <c r="A255" s="6">
        <v>70102.0</v>
      </c>
      <c r="B255" s="7" t="s">
        <v>27</v>
      </c>
      <c r="C255" s="7" t="s">
        <v>334</v>
      </c>
      <c r="D255" s="7" t="s">
        <v>336</v>
      </c>
      <c r="E255" s="8">
        <f t="shared" si="3"/>
        <v>7.100881489</v>
      </c>
      <c r="F255" s="26">
        <v>58.0</v>
      </c>
      <c r="G255" s="20">
        <v>8168.0</v>
      </c>
      <c r="H255" s="20">
        <f t="shared" ref="H255:I255" si="266">F255/5</f>
        <v>11.6</v>
      </c>
      <c r="I255" s="20">
        <f t="shared" si="266"/>
        <v>1633.6</v>
      </c>
      <c r="J255" s="36"/>
    </row>
    <row r="256" ht="15.75" customHeight="1">
      <c r="A256" s="6">
        <v>70103.0</v>
      </c>
      <c r="B256" s="7" t="s">
        <v>27</v>
      </c>
      <c r="C256" s="7" t="s">
        <v>334</v>
      </c>
      <c r="D256" s="7" t="s">
        <v>337</v>
      </c>
      <c r="E256" s="8">
        <f t="shared" si="3"/>
        <v>6.456241033</v>
      </c>
      <c r="F256" s="26">
        <v>9.0</v>
      </c>
      <c r="G256" s="20">
        <v>1394.0</v>
      </c>
      <c r="H256" s="20">
        <f t="shared" ref="H256:I256" si="267">F256/5</f>
        <v>1.8</v>
      </c>
      <c r="I256" s="20">
        <f t="shared" si="267"/>
        <v>278.8</v>
      </c>
      <c r="J256" s="36"/>
    </row>
    <row r="257" ht="15.75" customHeight="1">
      <c r="A257" s="6">
        <v>70104.0</v>
      </c>
      <c r="B257" s="7" t="s">
        <v>27</v>
      </c>
      <c r="C257" s="7" t="s">
        <v>334</v>
      </c>
      <c r="D257" s="7" t="s">
        <v>338</v>
      </c>
      <c r="E257" s="8">
        <f t="shared" si="3"/>
        <v>5.779807961</v>
      </c>
      <c r="F257" s="26">
        <v>62.0</v>
      </c>
      <c r="G257" s="20">
        <v>10727.0</v>
      </c>
      <c r="H257" s="20">
        <f t="shared" ref="H257:I257" si="268">F257/5</f>
        <v>12.4</v>
      </c>
      <c r="I257" s="20">
        <f t="shared" si="268"/>
        <v>2145.4</v>
      </c>
      <c r="J257" s="36"/>
    </row>
    <row r="258" ht="15.75" customHeight="1">
      <c r="A258" s="6">
        <v>70105.0</v>
      </c>
      <c r="B258" s="7" t="s">
        <v>27</v>
      </c>
      <c r="C258" s="7" t="s">
        <v>334</v>
      </c>
      <c r="D258" s="7" t="s">
        <v>339</v>
      </c>
      <c r="E258" s="8">
        <f t="shared" si="3"/>
        <v>7.623554154</v>
      </c>
      <c r="F258" s="26">
        <v>29.0</v>
      </c>
      <c r="G258" s="20">
        <v>3804.0</v>
      </c>
      <c r="H258" s="20">
        <f t="shared" ref="H258:I258" si="269">F258/5</f>
        <v>5.8</v>
      </c>
      <c r="I258" s="20">
        <f t="shared" si="269"/>
        <v>760.8</v>
      </c>
      <c r="J258" s="36"/>
    </row>
    <row r="259" ht="15.75" customHeight="1">
      <c r="A259" s="6">
        <v>70201.0</v>
      </c>
      <c r="B259" s="7" t="s">
        <v>27</v>
      </c>
      <c r="C259" s="7" t="s">
        <v>340</v>
      </c>
      <c r="D259" s="7" t="s">
        <v>340</v>
      </c>
      <c r="E259" s="8">
        <f t="shared" si="3"/>
        <v>7.984210998</v>
      </c>
      <c r="F259" s="26">
        <v>89.0</v>
      </c>
      <c r="G259" s="20">
        <v>11147.0</v>
      </c>
      <c r="H259" s="20">
        <f t="shared" ref="H259:I259" si="270">F259/5</f>
        <v>17.8</v>
      </c>
      <c r="I259" s="20">
        <f t="shared" si="270"/>
        <v>2229.4</v>
      </c>
      <c r="J259" s="36"/>
    </row>
    <row r="260" ht="15.75" customHeight="1">
      <c r="A260" s="6">
        <v>70202.0</v>
      </c>
      <c r="B260" s="7" t="s">
        <v>27</v>
      </c>
      <c r="C260" s="7" t="s">
        <v>340</v>
      </c>
      <c r="D260" s="7" t="s">
        <v>341</v>
      </c>
      <c r="E260" s="8">
        <f t="shared" si="3"/>
        <v>9.497964722</v>
      </c>
      <c r="F260" s="26">
        <v>7.0</v>
      </c>
      <c r="G260" s="20">
        <v>737.0</v>
      </c>
      <c r="H260" s="20">
        <f t="shared" ref="H260:I260" si="271">F260/5</f>
        <v>1.4</v>
      </c>
      <c r="I260" s="20">
        <f t="shared" si="271"/>
        <v>147.4</v>
      </c>
      <c r="J260" s="36"/>
    </row>
    <row r="261" ht="15.75" customHeight="1">
      <c r="A261" s="6">
        <v>70301.0</v>
      </c>
      <c r="B261" s="7" t="s">
        <v>27</v>
      </c>
      <c r="C261" s="7" t="s">
        <v>342</v>
      </c>
      <c r="D261" s="7" t="s">
        <v>343</v>
      </c>
      <c r="E261" s="8">
        <f t="shared" si="3"/>
        <v>11.52945415</v>
      </c>
      <c r="F261" s="26">
        <v>64.0</v>
      </c>
      <c r="G261" s="20">
        <v>5551.0</v>
      </c>
      <c r="H261" s="20">
        <f t="shared" ref="H261:I261" si="272">F261/5</f>
        <v>12.8</v>
      </c>
      <c r="I261" s="20">
        <f t="shared" si="272"/>
        <v>1110.2</v>
      </c>
      <c r="J261" s="36"/>
    </row>
    <row r="262" ht="15.75" customHeight="1">
      <c r="A262" s="6">
        <v>70302.0</v>
      </c>
      <c r="B262" s="7" t="s">
        <v>27</v>
      </c>
      <c r="C262" s="7" t="s">
        <v>342</v>
      </c>
      <c r="D262" s="7" t="s">
        <v>344</v>
      </c>
      <c r="E262" s="8">
        <f t="shared" si="3"/>
        <v>21.19071645</v>
      </c>
      <c r="F262" s="26">
        <v>21.0</v>
      </c>
      <c r="G262" s="20">
        <v>991.0</v>
      </c>
      <c r="H262" s="20">
        <f t="shared" ref="H262:I262" si="273">F262/5</f>
        <v>4.2</v>
      </c>
      <c r="I262" s="20">
        <f t="shared" si="273"/>
        <v>198.2</v>
      </c>
      <c r="J262" s="36"/>
    </row>
    <row r="263" ht="15.75" customHeight="1">
      <c r="A263" s="6">
        <v>70303.0</v>
      </c>
      <c r="B263" s="7" t="s">
        <v>27</v>
      </c>
      <c r="C263" s="7" t="s">
        <v>342</v>
      </c>
      <c r="D263" s="7" t="s">
        <v>345</v>
      </c>
      <c r="E263" s="8">
        <f t="shared" si="3"/>
        <v>13.63636364</v>
      </c>
      <c r="F263" s="26">
        <v>9.0</v>
      </c>
      <c r="G263" s="20">
        <v>660.0</v>
      </c>
      <c r="H263" s="20">
        <f t="shared" ref="H263:I263" si="274">F263/5</f>
        <v>1.8</v>
      </c>
      <c r="I263" s="20">
        <f t="shared" si="274"/>
        <v>132</v>
      </c>
      <c r="J263" s="36"/>
    </row>
    <row r="264" ht="15.75" customHeight="1">
      <c r="A264" s="6">
        <v>70401.0</v>
      </c>
      <c r="B264" s="7" t="s">
        <v>27</v>
      </c>
      <c r="C264" s="7" t="s">
        <v>346</v>
      </c>
      <c r="D264" s="7" t="s">
        <v>347</v>
      </c>
      <c r="E264" s="8">
        <f t="shared" si="3"/>
        <v>2.141327623</v>
      </c>
      <c r="F264" s="26">
        <v>2.0</v>
      </c>
      <c r="G264" s="20">
        <v>934.0</v>
      </c>
      <c r="H264" s="20">
        <f t="shared" ref="H264:I264" si="275">F264/5</f>
        <v>0.4</v>
      </c>
      <c r="I264" s="20">
        <f t="shared" si="275"/>
        <v>186.8</v>
      </c>
      <c r="J264" s="36"/>
    </row>
    <row r="265" ht="15.75" customHeight="1">
      <c r="A265" s="6">
        <v>70402.0</v>
      </c>
      <c r="B265" s="7" t="s">
        <v>27</v>
      </c>
      <c r="C265" s="7" t="s">
        <v>346</v>
      </c>
      <c r="D265" s="7" t="s">
        <v>348</v>
      </c>
      <c r="E265" s="8">
        <f t="shared" si="3"/>
        <v>8.403361345</v>
      </c>
      <c r="F265" s="26">
        <v>11.0</v>
      </c>
      <c r="G265" s="20">
        <v>1309.0</v>
      </c>
      <c r="H265" s="20">
        <f t="shared" ref="H265:I265" si="276">F265/5</f>
        <v>2.2</v>
      </c>
      <c r="I265" s="20">
        <f t="shared" si="276"/>
        <v>261.8</v>
      </c>
      <c r="J265" s="36"/>
    </row>
    <row r="266" ht="15.75" customHeight="1">
      <c r="A266" s="6">
        <v>70403.0</v>
      </c>
      <c r="B266" s="7" t="s">
        <v>27</v>
      </c>
      <c r="C266" s="7" t="s">
        <v>346</v>
      </c>
      <c r="D266" s="7" t="s">
        <v>349</v>
      </c>
      <c r="E266" s="8">
        <f t="shared" si="3"/>
        <v>8.042895442</v>
      </c>
      <c r="F266" s="26">
        <v>33.0</v>
      </c>
      <c r="G266" s="20">
        <v>4103.0</v>
      </c>
      <c r="H266" s="20">
        <f t="shared" ref="H266:I266" si="277">F266/5</f>
        <v>6.6</v>
      </c>
      <c r="I266" s="20">
        <f t="shared" si="277"/>
        <v>820.6</v>
      </c>
      <c r="J266" s="36"/>
    </row>
    <row r="267" ht="15.75" customHeight="1">
      <c r="A267" s="6">
        <v>70404.0</v>
      </c>
      <c r="B267" s="7" t="s">
        <v>27</v>
      </c>
      <c r="C267" s="7" t="s">
        <v>346</v>
      </c>
      <c r="D267" s="7" t="s">
        <v>350</v>
      </c>
      <c r="E267" s="8">
        <f t="shared" si="3"/>
        <v>4.398826979</v>
      </c>
      <c r="F267" s="26">
        <v>3.0</v>
      </c>
      <c r="G267" s="20">
        <v>682.0</v>
      </c>
      <c r="H267" s="20">
        <f t="shared" ref="H267:I267" si="278">F267/5</f>
        <v>0.6</v>
      </c>
      <c r="I267" s="20">
        <f t="shared" si="278"/>
        <v>136.4</v>
      </c>
      <c r="J267" s="36"/>
    </row>
    <row r="268" ht="15.75" customHeight="1">
      <c r="A268" s="6">
        <v>70501.0</v>
      </c>
      <c r="B268" s="7" t="s">
        <v>27</v>
      </c>
      <c r="C268" s="7" t="s">
        <v>351</v>
      </c>
      <c r="D268" s="7" t="s">
        <v>352</v>
      </c>
      <c r="E268" s="8">
        <f t="shared" si="3"/>
        <v>12.77139208</v>
      </c>
      <c r="F268" s="26">
        <v>40.0</v>
      </c>
      <c r="G268" s="20">
        <v>3132.0</v>
      </c>
      <c r="H268" s="20">
        <f t="shared" ref="H268:I268" si="279">F268/5</f>
        <v>8</v>
      </c>
      <c r="I268" s="20">
        <f t="shared" si="279"/>
        <v>626.4</v>
      </c>
      <c r="J268" s="36"/>
    </row>
    <row r="269" ht="15.75" customHeight="1">
      <c r="A269" s="6">
        <v>70502.0</v>
      </c>
      <c r="B269" s="7" t="s">
        <v>27</v>
      </c>
      <c r="C269" s="7" t="s">
        <v>351</v>
      </c>
      <c r="D269" s="7" t="s">
        <v>353</v>
      </c>
      <c r="E269" s="8">
        <f t="shared" si="3"/>
        <v>15.19426959</v>
      </c>
      <c r="F269" s="26">
        <v>70.0</v>
      </c>
      <c r="G269" s="20">
        <v>4607.0</v>
      </c>
      <c r="H269" s="20">
        <f t="shared" ref="H269:I269" si="280">F269/5</f>
        <v>14</v>
      </c>
      <c r="I269" s="20">
        <f t="shared" si="280"/>
        <v>921.4</v>
      </c>
      <c r="J269" s="36"/>
    </row>
    <row r="270" ht="15.75" customHeight="1">
      <c r="A270" s="6">
        <v>70503.0</v>
      </c>
      <c r="B270" s="7" t="s">
        <v>27</v>
      </c>
      <c r="C270" s="7" t="s">
        <v>351</v>
      </c>
      <c r="D270" s="7" t="s">
        <v>354</v>
      </c>
      <c r="E270" s="8">
        <f t="shared" si="3"/>
        <v>6.389776358</v>
      </c>
      <c r="F270" s="26">
        <v>8.0</v>
      </c>
      <c r="G270" s="20">
        <v>1252.0</v>
      </c>
      <c r="H270" s="20">
        <f t="shared" ref="H270:I270" si="281">F270/5</f>
        <v>1.6</v>
      </c>
      <c r="I270" s="20">
        <f t="shared" si="281"/>
        <v>250.4</v>
      </c>
      <c r="J270" s="36"/>
    </row>
    <row r="271" ht="15.75" customHeight="1">
      <c r="A271" s="6">
        <v>70601.0</v>
      </c>
      <c r="B271" s="7" t="s">
        <v>27</v>
      </c>
      <c r="C271" s="7" t="s">
        <v>355</v>
      </c>
      <c r="D271" s="7" t="s">
        <v>356</v>
      </c>
      <c r="E271" s="8">
        <f t="shared" si="3"/>
        <v>4.87804878</v>
      </c>
      <c r="F271" s="26">
        <v>7.0</v>
      </c>
      <c r="G271" s="20">
        <v>1435.0</v>
      </c>
      <c r="H271" s="20">
        <f t="shared" ref="H271:I271" si="282">F271/5</f>
        <v>1.4</v>
      </c>
      <c r="I271" s="20">
        <f t="shared" si="282"/>
        <v>287</v>
      </c>
      <c r="J271" s="36"/>
    </row>
    <row r="272" ht="15.75" customHeight="1">
      <c r="A272" s="6">
        <v>70602.0</v>
      </c>
      <c r="B272" s="7" t="s">
        <v>27</v>
      </c>
      <c r="C272" s="7" t="s">
        <v>355</v>
      </c>
      <c r="D272" s="7" t="s">
        <v>357</v>
      </c>
      <c r="E272" s="8">
        <f t="shared" si="3"/>
        <v>10.54339011</v>
      </c>
      <c r="F272" s="26">
        <v>13.0</v>
      </c>
      <c r="G272" s="20">
        <v>1233.0</v>
      </c>
      <c r="H272" s="20">
        <f t="shared" ref="H272:I272" si="283">F272/5</f>
        <v>2.6</v>
      </c>
      <c r="I272" s="20">
        <f t="shared" si="283"/>
        <v>246.6</v>
      </c>
      <c r="J272" s="36"/>
    </row>
    <row r="273" ht="15.75" customHeight="1">
      <c r="A273" s="6">
        <v>70603.0</v>
      </c>
      <c r="B273" s="7" t="s">
        <v>27</v>
      </c>
      <c r="C273" s="7" t="s">
        <v>355</v>
      </c>
      <c r="D273" s="7" t="s">
        <v>358</v>
      </c>
      <c r="E273" s="8">
        <f t="shared" si="3"/>
        <v>6.993006993</v>
      </c>
      <c r="F273" s="26">
        <v>3.0</v>
      </c>
      <c r="G273" s="20">
        <v>429.0</v>
      </c>
      <c r="H273" s="20">
        <f t="shared" ref="H273:I273" si="284">F273/5</f>
        <v>0.6</v>
      </c>
      <c r="I273" s="20">
        <f t="shared" si="284"/>
        <v>85.8</v>
      </c>
      <c r="J273" s="36"/>
    </row>
    <row r="274" ht="15.75" customHeight="1">
      <c r="A274" s="6">
        <v>70701.0</v>
      </c>
      <c r="B274" s="7" t="s">
        <v>27</v>
      </c>
      <c r="C274" s="7" t="s">
        <v>359</v>
      </c>
      <c r="D274" s="7" t="s">
        <v>360</v>
      </c>
      <c r="E274" s="8">
        <f t="shared" si="3"/>
        <v>11.60092807</v>
      </c>
      <c r="F274" s="26">
        <v>5.0</v>
      </c>
      <c r="G274" s="20">
        <v>431.0</v>
      </c>
      <c r="H274" s="20">
        <f t="shared" ref="H274:I274" si="285">F274/5</f>
        <v>1</v>
      </c>
      <c r="I274" s="20">
        <f t="shared" si="285"/>
        <v>86.2</v>
      </c>
      <c r="J274" s="36"/>
    </row>
    <row r="275" ht="15.75" customHeight="1">
      <c r="A275" s="6">
        <v>70702.0</v>
      </c>
      <c r="B275" s="7" t="s">
        <v>27</v>
      </c>
      <c r="C275" s="7" t="s">
        <v>359</v>
      </c>
      <c r="D275" s="7" t="s">
        <v>361</v>
      </c>
      <c r="E275" s="8">
        <f t="shared" si="3"/>
        <v>22.63083451</v>
      </c>
      <c r="F275" s="26">
        <v>64.0</v>
      </c>
      <c r="G275" s="20">
        <v>2828.0</v>
      </c>
      <c r="H275" s="20">
        <f t="shared" ref="H275:I275" si="286">F275/5</f>
        <v>12.8</v>
      </c>
      <c r="I275" s="20">
        <f t="shared" si="286"/>
        <v>565.6</v>
      </c>
      <c r="J275" s="36"/>
    </row>
    <row r="276" ht="15.75" customHeight="1">
      <c r="A276" s="6">
        <v>70703.0</v>
      </c>
      <c r="B276" s="7" t="s">
        <v>27</v>
      </c>
      <c r="C276" s="7" t="s">
        <v>359</v>
      </c>
      <c r="D276" s="7" t="s">
        <v>362</v>
      </c>
      <c r="E276" s="8">
        <f t="shared" si="3"/>
        <v>8.917713822</v>
      </c>
      <c r="F276" s="26">
        <v>22.0</v>
      </c>
      <c r="G276" s="20">
        <v>2467.0</v>
      </c>
      <c r="H276" s="20">
        <f t="shared" ref="H276:I276" si="287">F276/5</f>
        <v>4.4</v>
      </c>
      <c r="I276" s="20">
        <f t="shared" si="287"/>
        <v>493.4</v>
      </c>
      <c r="J276" s="36"/>
    </row>
    <row r="277" ht="15.75" customHeight="1">
      <c r="A277" s="6">
        <v>70704.0</v>
      </c>
      <c r="B277" s="7" t="s">
        <v>27</v>
      </c>
      <c r="C277" s="7" t="s">
        <v>359</v>
      </c>
      <c r="D277" s="7" t="s">
        <v>363</v>
      </c>
      <c r="E277" s="8">
        <f t="shared" si="3"/>
        <v>7.220216606</v>
      </c>
      <c r="F277" s="26">
        <v>2.0</v>
      </c>
      <c r="G277" s="20">
        <v>277.0</v>
      </c>
      <c r="H277" s="20">
        <f t="shared" ref="H277:I277" si="288">F277/5</f>
        <v>0.4</v>
      </c>
      <c r="I277" s="20">
        <f t="shared" si="288"/>
        <v>55.4</v>
      </c>
      <c r="J277" s="36"/>
    </row>
    <row r="278" ht="15.75" customHeight="1">
      <c r="A278" s="6">
        <v>70705.0</v>
      </c>
      <c r="B278" s="7" t="s">
        <v>27</v>
      </c>
      <c r="C278" s="7" t="s">
        <v>359</v>
      </c>
      <c r="D278" s="7" t="s">
        <v>364</v>
      </c>
      <c r="E278" s="8">
        <f t="shared" si="3"/>
        <v>20.79866889</v>
      </c>
      <c r="F278" s="26">
        <v>25.0</v>
      </c>
      <c r="G278" s="20">
        <v>1202.0</v>
      </c>
      <c r="H278" s="20">
        <f t="shared" ref="H278:I278" si="289">F278/5</f>
        <v>5</v>
      </c>
      <c r="I278" s="20">
        <f t="shared" si="289"/>
        <v>240.4</v>
      </c>
      <c r="J278" s="36"/>
    </row>
    <row r="279" ht="15.75" customHeight="1">
      <c r="A279" s="6">
        <v>70706.0</v>
      </c>
      <c r="B279" s="7" t="s">
        <v>27</v>
      </c>
      <c r="C279" s="7" t="s">
        <v>359</v>
      </c>
      <c r="D279" s="7" t="s">
        <v>365</v>
      </c>
      <c r="E279" s="8">
        <f t="shared" si="3"/>
        <v>7.250129467</v>
      </c>
      <c r="F279" s="26">
        <v>14.0</v>
      </c>
      <c r="G279" s="20">
        <v>1931.0</v>
      </c>
      <c r="H279" s="20">
        <f t="shared" ref="H279:I279" si="290">F279/5</f>
        <v>2.8</v>
      </c>
      <c r="I279" s="20">
        <f t="shared" si="290"/>
        <v>386.2</v>
      </c>
      <c r="J279" s="36"/>
    </row>
    <row r="280" ht="15.75" customHeight="1">
      <c r="A280" s="6">
        <v>70707.0</v>
      </c>
      <c r="B280" s="7" t="s">
        <v>27</v>
      </c>
      <c r="C280" s="7" t="s">
        <v>359</v>
      </c>
      <c r="D280" s="7" t="s">
        <v>366</v>
      </c>
      <c r="E280" s="8">
        <f t="shared" si="3"/>
        <v>5.050505051</v>
      </c>
      <c r="F280" s="26">
        <v>2.0</v>
      </c>
      <c r="G280" s="20">
        <v>396.0</v>
      </c>
      <c r="H280" s="20">
        <f t="shared" ref="H280:I280" si="291">F280/5</f>
        <v>0.4</v>
      </c>
      <c r="I280" s="20">
        <f t="shared" si="291"/>
        <v>79.2</v>
      </c>
      <c r="J280" s="36"/>
    </row>
    <row r="281" ht="15.75" customHeight="1">
      <c r="A281" s="6">
        <v>70801.0</v>
      </c>
      <c r="B281" s="7" t="s">
        <v>27</v>
      </c>
      <c r="C281" s="7" t="s">
        <v>367</v>
      </c>
      <c r="D281" s="7" t="s">
        <v>367</v>
      </c>
      <c r="E281" s="8">
        <f t="shared" si="3"/>
        <v>6.198347107</v>
      </c>
      <c r="F281" s="26">
        <v>6.0</v>
      </c>
      <c r="G281" s="20">
        <v>968.0</v>
      </c>
      <c r="H281" s="20">
        <f t="shared" ref="H281:I281" si="292">F281/5</f>
        <v>1.2</v>
      </c>
      <c r="I281" s="20">
        <f t="shared" si="292"/>
        <v>193.6</v>
      </c>
      <c r="J281" s="36"/>
    </row>
    <row r="282" ht="15.75" customHeight="1">
      <c r="A282" s="6">
        <v>70802.0</v>
      </c>
      <c r="B282" s="7" t="s">
        <v>27</v>
      </c>
      <c r="C282" s="7" t="s">
        <v>367</v>
      </c>
      <c r="D282" s="7" t="s">
        <v>368</v>
      </c>
      <c r="E282" s="8">
        <f t="shared" si="3"/>
        <v>17.85714286</v>
      </c>
      <c r="F282" s="26">
        <v>2.0</v>
      </c>
      <c r="G282" s="20">
        <v>112.0</v>
      </c>
      <c r="H282" s="20">
        <f t="shared" ref="H282:I282" si="293">F282/5</f>
        <v>0.4</v>
      </c>
      <c r="I282" s="20">
        <f t="shared" si="293"/>
        <v>22.4</v>
      </c>
      <c r="J282" s="36"/>
    </row>
    <row r="283" ht="15.75" customHeight="1">
      <c r="A283" s="6">
        <v>70803.0</v>
      </c>
      <c r="B283" s="7" t="s">
        <v>27</v>
      </c>
      <c r="C283" s="7" t="s">
        <v>367</v>
      </c>
      <c r="D283" s="7" t="s">
        <v>369</v>
      </c>
      <c r="E283" s="8">
        <f t="shared" si="3"/>
        <v>0</v>
      </c>
      <c r="F283" s="26">
        <v>0.0</v>
      </c>
      <c r="G283" s="20">
        <v>154.0</v>
      </c>
      <c r="H283" s="20">
        <f t="shared" ref="H283:I283" si="294">F283/5</f>
        <v>0</v>
      </c>
      <c r="I283" s="20">
        <f t="shared" si="294"/>
        <v>30.8</v>
      </c>
      <c r="J283" s="36"/>
    </row>
    <row r="284" ht="15.75" customHeight="1">
      <c r="A284" s="6">
        <v>70804.0</v>
      </c>
      <c r="B284" s="7" t="s">
        <v>27</v>
      </c>
      <c r="C284" s="7" t="s">
        <v>367</v>
      </c>
      <c r="D284" s="7" t="s">
        <v>370</v>
      </c>
      <c r="E284" s="8">
        <f t="shared" si="3"/>
        <v>0</v>
      </c>
      <c r="F284" s="26">
        <v>0.0</v>
      </c>
      <c r="G284" s="20">
        <v>91.0</v>
      </c>
      <c r="H284" s="20">
        <f t="shared" ref="H284:I284" si="295">F284/5</f>
        <v>0</v>
      </c>
      <c r="I284" s="20">
        <f t="shared" si="295"/>
        <v>18.2</v>
      </c>
      <c r="J284" s="36"/>
    </row>
    <row r="285" ht="15.75" customHeight="1">
      <c r="A285" s="6">
        <v>70805.0</v>
      </c>
      <c r="B285" s="7" t="s">
        <v>27</v>
      </c>
      <c r="C285" s="7" t="s">
        <v>367</v>
      </c>
      <c r="D285" s="7" t="s">
        <v>371</v>
      </c>
      <c r="E285" s="8">
        <f t="shared" si="3"/>
        <v>8.620689655</v>
      </c>
      <c r="F285" s="26">
        <v>1.0</v>
      </c>
      <c r="G285" s="20">
        <v>116.0</v>
      </c>
      <c r="H285" s="20">
        <f t="shared" ref="H285:I285" si="296">F285/5</f>
        <v>0.2</v>
      </c>
      <c r="I285" s="20">
        <f t="shared" si="296"/>
        <v>23.2</v>
      </c>
      <c r="J285" s="36"/>
    </row>
    <row r="286" ht="15.75" customHeight="1">
      <c r="A286" s="6">
        <v>70901.0</v>
      </c>
      <c r="B286" s="7" t="s">
        <v>27</v>
      </c>
      <c r="C286" s="7" t="s">
        <v>372</v>
      </c>
      <c r="D286" s="7" t="s">
        <v>373</v>
      </c>
      <c r="E286" s="8">
        <f t="shared" si="3"/>
        <v>9.85915493</v>
      </c>
      <c r="F286" s="26">
        <v>7.0</v>
      </c>
      <c r="G286" s="20">
        <v>710.0</v>
      </c>
      <c r="H286" s="20">
        <f t="shared" ref="H286:I286" si="297">F286/5</f>
        <v>1.4</v>
      </c>
      <c r="I286" s="20">
        <f t="shared" si="297"/>
        <v>142</v>
      </c>
      <c r="J286" s="36"/>
    </row>
    <row r="287" ht="15.75" customHeight="1">
      <c r="A287" s="6">
        <v>70902.0</v>
      </c>
      <c r="B287" s="7" t="s">
        <v>27</v>
      </c>
      <c r="C287" s="7" t="s">
        <v>372</v>
      </c>
      <c r="D287" s="7" t="s">
        <v>374</v>
      </c>
      <c r="E287" s="8">
        <f t="shared" si="3"/>
        <v>6.702412869</v>
      </c>
      <c r="F287" s="26">
        <v>5.0</v>
      </c>
      <c r="G287" s="20">
        <v>746.0</v>
      </c>
      <c r="H287" s="20">
        <f t="shared" ref="H287:I287" si="298">F287/5</f>
        <v>1</v>
      </c>
      <c r="I287" s="20">
        <f t="shared" si="298"/>
        <v>149.2</v>
      </c>
      <c r="J287" s="36"/>
    </row>
    <row r="288" ht="15.75" customHeight="1">
      <c r="A288" s="6">
        <v>70903.0</v>
      </c>
      <c r="B288" s="7" t="s">
        <v>27</v>
      </c>
      <c r="C288" s="7" t="s">
        <v>372</v>
      </c>
      <c r="D288" s="7" t="s">
        <v>375</v>
      </c>
      <c r="E288" s="8">
        <f t="shared" si="3"/>
        <v>6.458557589</v>
      </c>
      <c r="F288" s="26">
        <v>6.0</v>
      </c>
      <c r="G288" s="20">
        <v>929.0</v>
      </c>
      <c r="H288" s="20">
        <f t="shared" ref="H288:I288" si="299">F288/5</f>
        <v>1.2</v>
      </c>
      <c r="I288" s="20">
        <f t="shared" si="299"/>
        <v>185.8</v>
      </c>
      <c r="J288" s="36"/>
    </row>
    <row r="289" ht="15.75" customHeight="1">
      <c r="A289" s="6">
        <v>70904.0</v>
      </c>
      <c r="B289" s="7" t="s">
        <v>27</v>
      </c>
      <c r="C289" s="7" t="s">
        <v>372</v>
      </c>
      <c r="D289" s="7" t="s">
        <v>376</v>
      </c>
      <c r="E289" s="8">
        <f t="shared" si="3"/>
        <v>0</v>
      </c>
      <c r="F289" s="26">
        <v>0.0</v>
      </c>
      <c r="G289" s="20">
        <v>151.0</v>
      </c>
      <c r="H289" s="20">
        <f t="shared" ref="H289:I289" si="300">F289/5</f>
        <v>0</v>
      </c>
      <c r="I289" s="20">
        <f t="shared" si="300"/>
        <v>30.2</v>
      </c>
      <c r="J289" s="36"/>
    </row>
    <row r="290" ht="15.75" customHeight="1">
      <c r="A290" s="6">
        <v>71001.0</v>
      </c>
      <c r="B290" s="7" t="s">
        <v>27</v>
      </c>
      <c r="C290" s="7" t="s">
        <v>377</v>
      </c>
      <c r="D290" s="7" t="s">
        <v>378</v>
      </c>
      <c r="E290" s="8">
        <f t="shared" si="3"/>
        <v>6.038647343</v>
      </c>
      <c r="F290" s="26">
        <v>55.0</v>
      </c>
      <c r="G290" s="20">
        <v>9108.0</v>
      </c>
      <c r="H290" s="20">
        <f t="shared" ref="H290:I290" si="301">F290/5</f>
        <v>11</v>
      </c>
      <c r="I290" s="20">
        <f t="shared" si="301"/>
        <v>1821.6</v>
      </c>
      <c r="J290" s="36"/>
    </row>
    <row r="291" ht="15.75" customHeight="1">
      <c r="A291" s="6">
        <v>71002.0</v>
      </c>
      <c r="B291" s="7" t="s">
        <v>27</v>
      </c>
      <c r="C291" s="7" t="s">
        <v>377</v>
      </c>
      <c r="D291" s="7" t="s">
        <v>379</v>
      </c>
      <c r="E291" s="8">
        <f t="shared" si="3"/>
        <v>10.91192518</v>
      </c>
      <c r="F291" s="26">
        <v>14.0</v>
      </c>
      <c r="G291" s="20">
        <v>1283.0</v>
      </c>
      <c r="H291" s="20">
        <f t="shared" ref="H291:I291" si="302">F291/5</f>
        <v>2.8</v>
      </c>
      <c r="I291" s="20">
        <f t="shared" si="302"/>
        <v>256.6</v>
      </c>
      <c r="J291" s="36"/>
    </row>
    <row r="292" ht="15.75" customHeight="1">
      <c r="A292" s="6">
        <v>71003.0</v>
      </c>
      <c r="B292" s="7" t="s">
        <v>27</v>
      </c>
      <c r="C292" s="7" t="s">
        <v>377</v>
      </c>
      <c r="D292" s="7" t="s">
        <v>380</v>
      </c>
      <c r="E292" s="8">
        <f t="shared" si="3"/>
        <v>10.98901099</v>
      </c>
      <c r="F292" s="26">
        <v>19.0</v>
      </c>
      <c r="G292" s="20">
        <v>1729.0</v>
      </c>
      <c r="H292" s="20">
        <f t="shared" ref="H292:I292" si="303">F292/5</f>
        <v>3.8</v>
      </c>
      <c r="I292" s="20">
        <f t="shared" si="303"/>
        <v>345.8</v>
      </c>
      <c r="J292" s="36"/>
    </row>
    <row r="293" ht="15.75" customHeight="1">
      <c r="A293" s="6">
        <v>71004.0</v>
      </c>
      <c r="B293" s="7" t="s">
        <v>27</v>
      </c>
      <c r="C293" s="7" t="s">
        <v>377</v>
      </c>
      <c r="D293" s="7" t="s">
        <v>381</v>
      </c>
      <c r="E293" s="8">
        <f t="shared" si="3"/>
        <v>11.09989909</v>
      </c>
      <c r="F293" s="26">
        <v>11.0</v>
      </c>
      <c r="G293" s="20">
        <v>991.0</v>
      </c>
      <c r="H293" s="20">
        <f t="shared" ref="H293:I293" si="304">F293/5</f>
        <v>2.2</v>
      </c>
      <c r="I293" s="20">
        <f t="shared" si="304"/>
        <v>198.2</v>
      </c>
      <c r="J293" s="36"/>
    </row>
    <row r="294" ht="15.75" customHeight="1">
      <c r="A294" s="6">
        <v>71005.0</v>
      </c>
      <c r="B294" s="7" t="s">
        <v>27</v>
      </c>
      <c r="C294" s="7" t="s">
        <v>377</v>
      </c>
      <c r="D294" s="7" t="s">
        <v>382</v>
      </c>
      <c r="E294" s="8">
        <f t="shared" si="3"/>
        <v>8.171603677</v>
      </c>
      <c r="F294" s="26">
        <v>8.0</v>
      </c>
      <c r="G294" s="20">
        <v>979.0</v>
      </c>
      <c r="H294" s="20">
        <f t="shared" ref="H294:I294" si="305">F294/5</f>
        <v>1.6</v>
      </c>
      <c r="I294" s="20">
        <f t="shared" si="305"/>
        <v>195.8</v>
      </c>
      <c r="J294" s="36"/>
    </row>
    <row r="295" ht="15.75" customHeight="1">
      <c r="A295" s="6">
        <v>71101.0</v>
      </c>
      <c r="B295" s="7" t="s">
        <v>27</v>
      </c>
      <c r="C295" s="7" t="s">
        <v>383</v>
      </c>
      <c r="D295" s="7" t="s">
        <v>384</v>
      </c>
      <c r="E295" s="8">
        <f t="shared" si="3"/>
        <v>13.61947998</v>
      </c>
      <c r="F295" s="26">
        <v>33.0</v>
      </c>
      <c r="G295" s="20">
        <v>2423.0</v>
      </c>
      <c r="H295" s="20">
        <f t="shared" ref="H295:I295" si="306">F295/5</f>
        <v>6.6</v>
      </c>
      <c r="I295" s="20">
        <f t="shared" si="306"/>
        <v>484.6</v>
      </c>
      <c r="J295" s="36"/>
    </row>
    <row r="296" ht="15.75" customHeight="1">
      <c r="A296" s="6">
        <v>71102.0</v>
      </c>
      <c r="B296" s="7" t="s">
        <v>27</v>
      </c>
      <c r="C296" s="7" t="s">
        <v>383</v>
      </c>
      <c r="D296" s="7" t="s">
        <v>385</v>
      </c>
      <c r="E296" s="8">
        <f t="shared" si="3"/>
        <v>15.08429459</v>
      </c>
      <c r="F296" s="26">
        <v>17.0</v>
      </c>
      <c r="G296" s="20">
        <v>1127.0</v>
      </c>
      <c r="H296" s="20">
        <f t="shared" ref="H296:I296" si="307">F296/5</f>
        <v>3.4</v>
      </c>
      <c r="I296" s="20">
        <f t="shared" si="307"/>
        <v>225.4</v>
      </c>
      <c r="J296" s="36"/>
    </row>
    <row r="297" ht="15.75" customHeight="1">
      <c r="A297" s="6">
        <v>71103.0</v>
      </c>
      <c r="B297" s="7" t="s">
        <v>27</v>
      </c>
      <c r="C297" s="7" t="s">
        <v>383</v>
      </c>
      <c r="D297" s="7" t="s">
        <v>386</v>
      </c>
      <c r="E297" s="8">
        <f t="shared" si="3"/>
        <v>56.83563748</v>
      </c>
      <c r="F297" s="26">
        <v>37.0</v>
      </c>
      <c r="G297" s="20">
        <v>651.0</v>
      </c>
      <c r="H297" s="20">
        <f t="shared" ref="H297:I297" si="308">F297/5</f>
        <v>7.4</v>
      </c>
      <c r="I297" s="20">
        <f t="shared" si="308"/>
        <v>130.2</v>
      </c>
      <c r="J297" s="36"/>
    </row>
    <row r="298" ht="15.75" customHeight="1">
      <c r="A298" s="6">
        <v>71104.0</v>
      </c>
      <c r="B298" s="7" t="s">
        <v>27</v>
      </c>
      <c r="C298" s="7" t="s">
        <v>383</v>
      </c>
      <c r="D298" s="7" t="s">
        <v>387</v>
      </c>
      <c r="E298" s="8">
        <f t="shared" si="3"/>
        <v>2.021952629</v>
      </c>
      <c r="F298" s="26">
        <v>7.0</v>
      </c>
      <c r="G298" s="20">
        <v>3462.0</v>
      </c>
      <c r="H298" s="20">
        <f t="shared" ref="H298:I298" si="309">F298/5</f>
        <v>1.4</v>
      </c>
      <c r="I298" s="20">
        <f t="shared" si="309"/>
        <v>692.4</v>
      </c>
      <c r="J298" s="36"/>
    </row>
    <row r="299" ht="15.75" customHeight="1">
      <c r="A299" s="6">
        <v>71105.0</v>
      </c>
      <c r="B299" s="7" t="s">
        <v>27</v>
      </c>
      <c r="C299" s="7" t="s">
        <v>383</v>
      </c>
      <c r="D299" s="7" t="s">
        <v>388</v>
      </c>
      <c r="E299" s="8">
        <f t="shared" si="3"/>
        <v>9.861932939</v>
      </c>
      <c r="F299" s="26">
        <v>5.0</v>
      </c>
      <c r="G299" s="20">
        <v>507.0</v>
      </c>
      <c r="H299" s="20">
        <f t="shared" ref="H299:I299" si="310">F299/5</f>
        <v>1</v>
      </c>
      <c r="I299" s="20">
        <f t="shared" si="310"/>
        <v>101.4</v>
      </c>
      <c r="J299" s="36"/>
    </row>
    <row r="300" ht="15.75" customHeight="1">
      <c r="A300" s="6">
        <v>71106.0</v>
      </c>
      <c r="B300" s="7" t="s">
        <v>27</v>
      </c>
      <c r="C300" s="7" t="s">
        <v>383</v>
      </c>
      <c r="D300" s="7" t="s">
        <v>389</v>
      </c>
      <c r="E300" s="8">
        <f t="shared" si="3"/>
        <v>11.79361179</v>
      </c>
      <c r="F300" s="26">
        <v>24.0</v>
      </c>
      <c r="G300" s="20">
        <v>2035.0</v>
      </c>
      <c r="H300" s="20">
        <f t="shared" ref="H300:I300" si="311">F300/5</f>
        <v>4.8</v>
      </c>
      <c r="I300" s="20">
        <f t="shared" si="311"/>
        <v>407</v>
      </c>
      <c r="J300" s="36"/>
    </row>
    <row r="301" ht="15.75" customHeight="1">
      <c r="A301" s="6">
        <v>71201.0</v>
      </c>
      <c r="B301" s="7" t="s">
        <v>27</v>
      </c>
      <c r="C301" s="7" t="s">
        <v>390</v>
      </c>
      <c r="D301" s="7" t="s">
        <v>391</v>
      </c>
      <c r="E301" s="8">
        <f t="shared" si="3"/>
        <v>5.546751189</v>
      </c>
      <c r="F301" s="26">
        <v>7.0</v>
      </c>
      <c r="G301" s="20">
        <v>1262.0</v>
      </c>
      <c r="H301" s="20">
        <f t="shared" ref="H301:I301" si="312">F301/5</f>
        <v>1.4</v>
      </c>
      <c r="I301" s="20">
        <f t="shared" si="312"/>
        <v>252.4</v>
      </c>
      <c r="J301" s="36"/>
    </row>
    <row r="302" ht="15.75" customHeight="1">
      <c r="A302" s="6">
        <v>71301.0</v>
      </c>
      <c r="B302" s="7" t="s">
        <v>27</v>
      </c>
      <c r="C302" s="7" t="s">
        <v>392</v>
      </c>
      <c r="D302" s="7" t="s">
        <v>393</v>
      </c>
      <c r="E302" s="8">
        <f t="shared" si="3"/>
        <v>13.84364821</v>
      </c>
      <c r="F302" s="26">
        <v>17.0</v>
      </c>
      <c r="G302" s="20">
        <v>1228.0</v>
      </c>
      <c r="H302" s="20">
        <f t="shared" ref="H302:I302" si="313">F302/5</f>
        <v>3.4</v>
      </c>
      <c r="I302" s="20">
        <f t="shared" si="313"/>
        <v>245.6</v>
      </c>
      <c r="J302" s="36"/>
    </row>
    <row r="303" ht="15.75" customHeight="1">
      <c r="A303" s="6">
        <v>71302.0</v>
      </c>
      <c r="B303" s="7" t="s">
        <v>27</v>
      </c>
      <c r="C303" s="7" t="s">
        <v>392</v>
      </c>
      <c r="D303" s="7" t="s">
        <v>394</v>
      </c>
      <c r="E303" s="8">
        <f t="shared" si="3"/>
        <v>4.662004662</v>
      </c>
      <c r="F303" s="26">
        <v>2.0</v>
      </c>
      <c r="G303" s="20">
        <v>429.0</v>
      </c>
      <c r="H303" s="20">
        <f t="shared" ref="H303:I303" si="314">F303/5</f>
        <v>0.4</v>
      </c>
      <c r="I303" s="20">
        <f t="shared" si="314"/>
        <v>85.8</v>
      </c>
      <c r="J303" s="36"/>
    </row>
    <row r="304" ht="15.75" customHeight="1">
      <c r="A304" s="6">
        <v>71401.0</v>
      </c>
      <c r="B304" s="7" t="s">
        <v>27</v>
      </c>
      <c r="C304" s="7" t="s">
        <v>395</v>
      </c>
      <c r="D304" s="7" t="s">
        <v>396</v>
      </c>
      <c r="E304" s="8">
        <f t="shared" si="3"/>
        <v>10.03649635</v>
      </c>
      <c r="F304" s="26">
        <v>11.0</v>
      </c>
      <c r="G304" s="20">
        <v>1096.0</v>
      </c>
      <c r="H304" s="20">
        <f t="shared" ref="H304:I304" si="315">F304/5</f>
        <v>2.2</v>
      </c>
      <c r="I304" s="20">
        <f t="shared" si="315"/>
        <v>219.2</v>
      </c>
      <c r="J304" s="36"/>
    </row>
    <row r="305" ht="15.75" customHeight="1">
      <c r="A305" s="6">
        <v>71402.0</v>
      </c>
      <c r="B305" s="7" t="s">
        <v>27</v>
      </c>
      <c r="C305" s="7" t="s">
        <v>395</v>
      </c>
      <c r="D305" s="7" t="s">
        <v>397</v>
      </c>
      <c r="E305" s="8">
        <f t="shared" si="3"/>
        <v>7.407407407</v>
      </c>
      <c r="F305" s="26">
        <v>9.0</v>
      </c>
      <c r="G305" s="20">
        <v>1215.0</v>
      </c>
      <c r="H305" s="20">
        <f t="shared" ref="H305:I305" si="316">F305/5</f>
        <v>1.8</v>
      </c>
      <c r="I305" s="20">
        <f t="shared" si="316"/>
        <v>243</v>
      </c>
      <c r="J305" s="36"/>
    </row>
    <row r="306" ht="15.75" customHeight="1">
      <c r="A306" s="6">
        <v>71403.0</v>
      </c>
      <c r="B306" s="7" t="s">
        <v>27</v>
      </c>
      <c r="C306" s="7" t="s">
        <v>395</v>
      </c>
      <c r="D306" s="7" t="s">
        <v>398</v>
      </c>
      <c r="E306" s="8">
        <f t="shared" si="3"/>
        <v>18.63354037</v>
      </c>
      <c r="F306" s="26">
        <v>12.0</v>
      </c>
      <c r="G306" s="20">
        <v>644.0</v>
      </c>
      <c r="H306" s="20">
        <f t="shared" ref="H306:I306" si="317">F306/5</f>
        <v>2.4</v>
      </c>
      <c r="I306" s="20">
        <f t="shared" si="317"/>
        <v>128.8</v>
      </c>
      <c r="J306" s="36"/>
    </row>
    <row r="307" ht="15.75" customHeight="1">
      <c r="A307" s="6">
        <v>71501.0</v>
      </c>
      <c r="B307" s="7" t="s">
        <v>27</v>
      </c>
      <c r="C307" s="7" t="s">
        <v>399</v>
      </c>
      <c r="D307" s="7" t="s">
        <v>400</v>
      </c>
      <c r="E307" s="8">
        <f t="shared" si="3"/>
        <v>10.67073171</v>
      </c>
      <c r="F307" s="26">
        <v>28.0</v>
      </c>
      <c r="G307" s="20">
        <v>2624.0</v>
      </c>
      <c r="H307" s="20">
        <f t="shared" ref="H307:I307" si="318">F307/5</f>
        <v>5.6</v>
      </c>
      <c r="I307" s="20">
        <f t="shared" si="318"/>
        <v>524.8</v>
      </c>
      <c r="J307" s="36"/>
    </row>
    <row r="308" ht="15.75" customHeight="1">
      <c r="A308" s="6">
        <v>71502.0</v>
      </c>
      <c r="B308" s="7" t="s">
        <v>27</v>
      </c>
      <c r="C308" s="7" t="s">
        <v>399</v>
      </c>
      <c r="D308" s="7" t="s">
        <v>401</v>
      </c>
      <c r="E308" s="8">
        <f t="shared" si="3"/>
        <v>20.49180328</v>
      </c>
      <c r="F308" s="26">
        <v>10.0</v>
      </c>
      <c r="G308" s="20">
        <v>488.0</v>
      </c>
      <c r="H308" s="20">
        <f t="shared" ref="H308:I308" si="319">F308/5</f>
        <v>2</v>
      </c>
      <c r="I308" s="20">
        <f t="shared" si="319"/>
        <v>97.6</v>
      </c>
      <c r="J308" s="36"/>
    </row>
    <row r="309" ht="15.75" customHeight="1">
      <c r="A309" s="6">
        <v>71503.0</v>
      </c>
      <c r="B309" s="7" t="s">
        <v>27</v>
      </c>
      <c r="C309" s="7" t="s">
        <v>399</v>
      </c>
      <c r="D309" s="7" t="s">
        <v>332</v>
      </c>
      <c r="E309" s="8">
        <f t="shared" si="3"/>
        <v>8.568980291</v>
      </c>
      <c r="F309" s="26">
        <v>10.0</v>
      </c>
      <c r="G309" s="20">
        <v>1167.0</v>
      </c>
      <c r="H309" s="20">
        <f t="shared" ref="H309:I309" si="320">F309/5</f>
        <v>2</v>
      </c>
      <c r="I309" s="20">
        <f t="shared" si="320"/>
        <v>233.4</v>
      </c>
      <c r="J309" s="36"/>
    </row>
    <row r="310" ht="15.75" customHeight="1">
      <c r="A310" s="6">
        <v>80101.0</v>
      </c>
      <c r="B310" s="7" t="s">
        <v>29</v>
      </c>
      <c r="C310" s="7" t="s">
        <v>165</v>
      </c>
      <c r="D310" s="7" t="s">
        <v>402</v>
      </c>
      <c r="E310" s="8">
        <f t="shared" si="3"/>
        <v>5.759705103</v>
      </c>
      <c r="F310" s="26">
        <v>50.0</v>
      </c>
      <c r="G310" s="20">
        <v>8681.0</v>
      </c>
      <c r="H310" s="20">
        <f t="shared" ref="H310:I310" si="321">F310/5</f>
        <v>10</v>
      </c>
      <c r="I310" s="20">
        <f t="shared" si="321"/>
        <v>1736.2</v>
      </c>
      <c r="J310" s="36"/>
    </row>
    <row r="311" ht="15.75" customHeight="1">
      <c r="A311" s="6">
        <v>80102.0</v>
      </c>
      <c r="B311" s="7" t="s">
        <v>29</v>
      </c>
      <c r="C311" s="7" t="s">
        <v>165</v>
      </c>
      <c r="D311" s="7" t="s">
        <v>385</v>
      </c>
      <c r="E311" s="8">
        <f t="shared" si="3"/>
        <v>12.28070175</v>
      </c>
      <c r="F311" s="26">
        <v>7.0</v>
      </c>
      <c r="G311" s="20">
        <v>570.0</v>
      </c>
      <c r="H311" s="20">
        <f t="shared" ref="H311:I311" si="322">F311/5</f>
        <v>1.4</v>
      </c>
      <c r="I311" s="20">
        <f t="shared" si="322"/>
        <v>114</v>
      </c>
      <c r="J311" s="36"/>
    </row>
    <row r="312" ht="15.75" customHeight="1">
      <c r="A312" s="6">
        <v>80201.0</v>
      </c>
      <c r="B312" s="7" t="s">
        <v>29</v>
      </c>
      <c r="C312" s="7" t="s">
        <v>403</v>
      </c>
      <c r="D312" s="7" t="s">
        <v>404</v>
      </c>
      <c r="E312" s="8">
        <f t="shared" si="3"/>
        <v>8.905852417</v>
      </c>
      <c r="F312" s="26">
        <v>77.0</v>
      </c>
      <c r="G312" s="20">
        <v>8646.0</v>
      </c>
      <c r="H312" s="20">
        <f t="shared" ref="H312:I312" si="323">F312/5</f>
        <v>15.4</v>
      </c>
      <c r="I312" s="20">
        <f t="shared" si="323"/>
        <v>1729.2</v>
      </c>
      <c r="J312" s="36"/>
    </row>
    <row r="313" ht="15.75" customHeight="1">
      <c r="A313" s="6">
        <v>80202.0</v>
      </c>
      <c r="B313" s="7" t="s">
        <v>29</v>
      </c>
      <c r="C313" s="7" t="s">
        <v>403</v>
      </c>
      <c r="D313" s="7" t="s">
        <v>405</v>
      </c>
      <c r="E313" s="8">
        <f t="shared" si="3"/>
        <v>7.40491417</v>
      </c>
      <c r="F313" s="26">
        <v>22.0</v>
      </c>
      <c r="G313" s="20">
        <v>2971.0</v>
      </c>
      <c r="H313" s="20">
        <f t="shared" ref="H313:I313" si="324">F313/5</f>
        <v>4.4</v>
      </c>
      <c r="I313" s="20">
        <f t="shared" si="324"/>
        <v>594.2</v>
      </c>
      <c r="J313" s="36"/>
    </row>
    <row r="314" ht="15.75" customHeight="1">
      <c r="A314" s="6">
        <v>80301.0</v>
      </c>
      <c r="B314" s="7" t="s">
        <v>29</v>
      </c>
      <c r="C314" s="7" t="s">
        <v>406</v>
      </c>
      <c r="D314" s="7" t="s">
        <v>407</v>
      </c>
      <c r="E314" s="8">
        <f t="shared" si="3"/>
        <v>16.37554585</v>
      </c>
      <c r="F314" s="26">
        <v>15.0</v>
      </c>
      <c r="G314" s="20">
        <v>916.0</v>
      </c>
      <c r="H314" s="20">
        <f t="shared" ref="H314:I314" si="325">F314/5</f>
        <v>3</v>
      </c>
      <c r="I314" s="20">
        <f t="shared" si="325"/>
        <v>183.2</v>
      </c>
      <c r="J314" s="36"/>
    </row>
    <row r="315" ht="15.75" customHeight="1">
      <c r="A315" s="6">
        <v>80302.0</v>
      </c>
      <c r="B315" s="7" t="s">
        <v>29</v>
      </c>
      <c r="C315" s="7" t="s">
        <v>406</v>
      </c>
      <c r="D315" s="7" t="s">
        <v>408</v>
      </c>
      <c r="E315" s="8">
        <f t="shared" si="3"/>
        <v>14.12659603</v>
      </c>
      <c r="F315" s="26">
        <v>52.0</v>
      </c>
      <c r="G315" s="20">
        <v>3681.0</v>
      </c>
      <c r="H315" s="20">
        <f t="shared" ref="H315:I315" si="326">F315/5</f>
        <v>10.4</v>
      </c>
      <c r="I315" s="20">
        <f t="shared" si="326"/>
        <v>736.2</v>
      </c>
      <c r="J315" s="36"/>
    </row>
    <row r="316" ht="15.75" customHeight="1">
      <c r="A316" s="6">
        <v>80303.0</v>
      </c>
      <c r="B316" s="7" t="s">
        <v>29</v>
      </c>
      <c r="C316" s="7" t="s">
        <v>406</v>
      </c>
      <c r="D316" s="7" t="s">
        <v>409</v>
      </c>
      <c r="E316" s="8">
        <f t="shared" si="3"/>
        <v>11.24859393</v>
      </c>
      <c r="F316" s="26">
        <v>10.0</v>
      </c>
      <c r="G316" s="20">
        <v>889.0</v>
      </c>
      <c r="H316" s="20">
        <f t="shared" ref="H316:I316" si="327">F316/5</f>
        <v>2</v>
      </c>
      <c r="I316" s="20">
        <f t="shared" si="327"/>
        <v>177.8</v>
      </c>
      <c r="J316" s="36"/>
    </row>
    <row r="317" ht="15.75" customHeight="1">
      <c r="A317" s="6">
        <v>80304.0</v>
      </c>
      <c r="B317" s="7" t="s">
        <v>29</v>
      </c>
      <c r="C317" s="7" t="s">
        <v>406</v>
      </c>
      <c r="D317" s="7" t="s">
        <v>410</v>
      </c>
      <c r="E317" s="8">
        <f t="shared" si="3"/>
        <v>10.77844311</v>
      </c>
      <c r="F317" s="26">
        <v>18.0</v>
      </c>
      <c r="G317" s="20">
        <v>1670.0</v>
      </c>
      <c r="H317" s="20">
        <f t="shared" ref="H317:I317" si="328">F317/5</f>
        <v>3.6</v>
      </c>
      <c r="I317" s="20">
        <f t="shared" si="328"/>
        <v>334</v>
      </c>
      <c r="J317" s="36"/>
    </row>
    <row r="318" ht="15.75" customHeight="1">
      <c r="A318" s="6">
        <v>80401.0</v>
      </c>
      <c r="B318" s="7" t="s">
        <v>29</v>
      </c>
      <c r="C318" s="7" t="s">
        <v>411</v>
      </c>
      <c r="D318" s="7" t="s">
        <v>412</v>
      </c>
      <c r="E318" s="8">
        <f t="shared" si="3"/>
        <v>4.964539007</v>
      </c>
      <c r="F318" s="26">
        <v>7.0</v>
      </c>
      <c r="G318" s="20">
        <v>1410.0</v>
      </c>
      <c r="H318" s="20">
        <f t="shared" ref="H318:I318" si="329">F318/5</f>
        <v>1.4</v>
      </c>
      <c r="I318" s="20">
        <f t="shared" si="329"/>
        <v>282</v>
      </c>
      <c r="J318" s="36"/>
    </row>
    <row r="319" ht="15.75" customHeight="1">
      <c r="A319" s="6">
        <v>80402.0</v>
      </c>
      <c r="B319" s="7" t="s">
        <v>29</v>
      </c>
      <c r="C319" s="7" t="s">
        <v>411</v>
      </c>
      <c r="D319" s="7" t="s">
        <v>413</v>
      </c>
      <c r="E319" s="8">
        <f t="shared" si="3"/>
        <v>3.921568627</v>
      </c>
      <c r="F319" s="26">
        <v>2.0</v>
      </c>
      <c r="G319" s="20">
        <v>510.0</v>
      </c>
      <c r="H319" s="20">
        <f t="shared" ref="H319:I319" si="330">F319/5</f>
        <v>0.4</v>
      </c>
      <c r="I319" s="20">
        <f t="shared" si="330"/>
        <v>102</v>
      </c>
      <c r="J319" s="36"/>
    </row>
    <row r="320" ht="15.75" customHeight="1">
      <c r="A320" s="6">
        <v>80501.0</v>
      </c>
      <c r="B320" s="7" t="s">
        <v>29</v>
      </c>
      <c r="C320" s="7" t="s">
        <v>414</v>
      </c>
      <c r="D320" s="7" t="s">
        <v>415</v>
      </c>
      <c r="E320" s="8">
        <f t="shared" si="3"/>
        <v>11.80438449</v>
      </c>
      <c r="F320" s="26">
        <v>21.0</v>
      </c>
      <c r="G320" s="20">
        <v>1779.0</v>
      </c>
      <c r="H320" s="20">
        <f t="shared" ref="H320:I320" si="331">F320/5</f>
        <v>4.2</v>
      </c>
      <c r="I320" s="20">
        <f t="shared" si="331"/>
        <v>355.8</v>
      </c>
      <c r="J320" s="36"/>
    </row>
    <row r="321" ht="15.75" customHeight="1">
      <c r="A321" s="6">
        <v>80601.0</v>
      </c>
      <c r="B321" s="7" t="s">
        <v>29</v>
      </c>
      <c r="C321" s="7" t="s">
        <v>416</v>
      </c>
      <c r="D321" s="7" t="s">
        <v>417</v>
      </c>
      <c r="E321" s="8">
        <f t="shared" si="3"/>
        <v>14.70588235</v>
      </c>
      <c r="F321" s="26">
        <v>5.0</v>
      </c>
      <c r="G321" s="20">
        <v>340.0</v>
      </c>
      <c r="H321" s="20">
        <f t="shared" ref="H321:I321" si="332">F321/5</f>
        <v>1</v>
      </c>
      <c r="I321" s="20">
        <f t="shared" si="332"/>
        <v>68</v>
      </c>
      <c r="J321" s="36"/>
    </row>
    <row r="322" ht="15.75" customHeight="1">
      <c r="A322" s="6">
        <v>80602.0</v>
      </c>
      <c r="B322" s="7" t="s">
        <v>29</v>
      </c>
      <c r="C322" s="7" t="s">
        <v>416</v>
      </c>
      <c r="D322" s="7" t="s">
        <v>418</v>
      </c>
      <c r="E322" s="8">
        <f t="shared" si="3"/>
        <v>15.27403414</v>
      </c>
      <c r="F322" s="26">
        <v>17.0</v>
      </c>
      <c r="G322" s="20">
        <v>1113.0</v>
      </c>
      <c r="H322" s="20">
        <f t="shared" ref="H322:I322" si="333">F322/5</f>
        <v>3.4</v>
      </c>
      <c r="I322" s="20">
        <f t="shared" si="333"/>
        <v>222.6</v>
      </c>
      <c r="J322" s="36"/>
    </row>
    <row r="323" ht="15.75" customHeight="1">
      <c r="A323" s="6">
        <v>80701.0</v>
      </c>
      <c r="B323" s="7" t="s">
        <v>29</v>
      </c>
      <c r="C323" s="7" t="s">
        <v>419</v>
      </c>
      <c r="D323" s="7" t="s">
        <v>420</v>
      </c>
      <c r="E323" s="8">
        <f t="shared" si="3"/>
        <v>8.908685969</v>
      </c>
      <c r="F323" s="26">
        <v>4.0</v>
      </c>
      <c r="G323" s="20">
        <v>449.0</v>
      </c>
      <c r="H323" s="20">
        <f t="shared" ref="H323:I323" si="334">F323/5</f>
        <v>0.8</v>
      </c>
      <c r="I323" s="20">
        <f t="shared" si="334"/>
        <v>89.8</v>
      </c>
      <c r="J323" s="36"/>
    </row>
    <row r="324" ht="15.75" customHeight="1">
      <c r="A324" s="6">
        <v>80702.0</v>
      </c>
      <c r="B324" s="7" t="s">
        <v>29</v>
      </c>
      <c r="C324" s="7" t="s">
        <v>419</v>
      </c>
      <c r="D324" s="7" t="s">
        <v>386</v>
      </c>
      <c r="E324" s="8">
        <f t="shared" si="3"/>
        <v>7.792207792</v>
      </c>
      <c r="F324" s="26">
        <v>3.0</v>
      </c>
      <c r="G324" s="20">
        <v>385.0</v>
      </c>
      <c r="H324" s="20">
        <f t="shared" ref="H324:I324" si="335">F324/5</f>
        <v>0.6</v>
      </c>
      <c r="I324" s="20">
        <f t="shared" si="335"/>
        <v>77</v>
      </c>
      <c r="J324" s="36"/>
    </row>
    <row r="325" ht="15.75" customHeight="1">
      <c r="A325" s="6">
        <v>80703.0</v>
      </c>
      <c r="B325" s="7" t="s">
        <v>29</v>
      </c>
      <c r="C325" s="7" t="s">
        <v>419</v>
      </c>
      <c r="D325" s="7" t="s">
        <v>421</v>
      </c>
      <c r="E325" s="8">
        <f t="shared" si="3"/>
        <v>0</v>
      </c>
      <c r="F325" s="26">
        <v>0.0</v>
      </c>
      <c r="G325" s="20">
        <v>92.0</v>
      </c>
      <c r="H325" s="20">
        <f t="shared" ref="H325:I325" si="336">F325/5</f>
        <v>0</v>
      </c>
      <c r="I325" s="20">
        <f t="shared" si="336"/>
        <v>18.4</v>
      </c>
      <c r="J325" s="36"/>
    </row>
    <row r="326" ht="15.75" customHeight="1">
      <c r="A326" s="6">
        <v>80801.0</v>
      </c>
      <c r="B326" s="7" t="s">
        <v>29</v>
      </c>
      <c r="C326" s="7" t="s">
        <v>422</v>
      </c>
      <c r="D326" s="7" t="s">
        <v>423</v>
      </c>
      <c r="E326" s="8">
        <f t="shared" si="3"/>
        <v>7.667031763</v>
      </c>
      <c r="F326" s="26">
        <v>7.0</v>
      </c>
      <c r="G326" s="20">
        <v>913.0</v>
      </c>
      <c r="H326" s="20">
        <f t="shared" ref="H326:I326" si="337">F326/5</f>
        <v>1.4</v>
      </c>
      <c r="I326" s="20">
        <f t="shared" si="337"/>
        <v>182.6</v>
      </c>
      <c r="J326" s="36"/>
    </row>
    <row r="327" ht="15.75" customHeight="1">
      <c r="A327" s="6">
        <v>80802.0</v>
      </c>
      <c r="B327" s="7" t="s">
        <v>29</v>
      </c>
      <c r="C327" s="7" t="s">
        <v>422</v>
      </c>
      <c r="D327" s="7" t="s">
        <v>424</v>
      </c>
      <c r="E327" s="8">
        <f t="shared" si="3"/>
        <v>15.25054466</v>
      </c>
      <c r="F327" s="26">
        <v>7.0</v>
      </c>
      <c r="G327" s="20">
        <v>459.0</v>
      </c>
      <c r="H327" s="20">
        <f t="shared" ref="H327:I327" si="338">F327/5</f>
        <v>1.4</v>
      </c>
      <c r="I327" s="20">
        <f t="shared" si="338"/>
        <v>91.8</v>
      </c>
      <c r="J327" s="36"/>
    </row>
    <row r="328" ht="15.75" customHeight="1">
      <c r="A328" s="6">
        <v>80803.0</v>
      </c>
      <c r="B328" s="7" t="s">
        <v>29</v>
      </c>
      <c r="C328" s="7" t="s">
        <v>422</v>
      </c>
      <c r="D328" s="7" t="s">
        <v>425</v>
      </c>
      <c r="E328" s="8">
        <f t="shared" si="3"/>
        <v>3.039513678</v>
      </c>
      <c r="F328" s="26">
        <v>1.0</v>
      </c>
      <c r="G328" s="20">
        <v>329.0</v>
      </c>
      <c r="H328" s="20">
        <f t="shared" ref="H328:I328" si="339">F328/5</f>
        <v>0.2</v>
      </c>
      <c r="I328" s="20">
        <f t="shared" si="339"/>
        <v>65.8</v>
      </c>
      <c r="J328" s="36"/>
    </row>
    <row r="329" ht="15.75" customHeight="1">
      <c r="A329" s="25">
        <v>80901.0</v>
      </c>
      <c r="B329" s="7" t="s">
        <v>29</v>
      </c>
      <c r="C329" s="7"/>
      <c r="D329" s="7" t="s">
        <v>426</v>
      </c>
      <c r="E329" s="8">
        <f t="shared" si="3"/>
        <v>27.77777778</v>
      </c>
      <c r="F329" s="26">
        <v>11.0</v>
      </c>
      <c r="G329" s="9">
        <v>396.0</v>
      </c>
      <c r="H329" s="20">
        <f t="shared" ref="H329:I329" si="340">F329/5</f>
        <v>2.2</v>
      </c>
      <c r="I329" s="20">
        <f t="shared" si="340"/>
        <v>79.2</v>
      </c>
      <c r="J329" s="35"/>
    </row>
    <row r="330" ht="15.75" customHeight="1">
      <c r="A330" s="6">
        <v>90101.0</v>
      </c>
      <c r="B330" s="7" t="s">
        <v>31</v>
      </c>
      <c r="C330" s="7" t="s">
        <v>427</v>
      </c>
      <c r="D330" s="7" t="s">
        <v>428</v>
      </c>
      <c r="E330" s="8">
        <f t="shared" si="3"/>
        <v>8.891358711</v>
      </c>
      <c r="F330" s="26">
        <v>32.0</v>
      </c>
      <c r="G330" s="20">
        <v>3599.0</v>
      </c>
      <c r="H330" s="20">
        <f t="shared" ref="H330:I330" si="341">F330/5</f>
        <v>6.4</v>
      </c>
      <c r="I330" s="20">
        <f t="shared" si="341"/>
        <v>719.8</v>
      </c>
      <c r="J330" s="36"/>
    </row>
    <row r="331" ht="15.75" customHeight="1">
      <c r="A331" s="6">
        <v>90102.0</v>
      </c>
      <c r="B331" s="7" t="s">
        <v>31</v>
      </c>
      <c r="C331" s="7" t="s">
        <v>427</v>
      </c>
      <c r="D331" s="7" t="s">
        <v>429</v>
      </c>
      <c r="E331" s="8">
        <f t="shared" si="3"/>
        <v>1.6</v>
      </c>
      <c r="F331" s="26">
        <v>1.0</v>
      </c>
      <c r="G331" s="20">
        <v>625.0</v>
      </c>
      <c r="H331" s="20">
        <f t="shared" ref="H331:I331" si="342">F331/5</f>
        <v>0.2</v>
      </c>
      <c r="I331" s="20">
        <f t="shared" si="342"/>
        <v>125</v>
      </c>
      <c r="J331" s="36"/>
    </row>
    <row r="332" ht="15.75" customHeight="1">
      <c r="A332" s="6">
        <v>90103.0</v>
      </c>
      <c r="B332" s="7" t="s">
        <v>31</v>
      </c>
      <c r="C332" s="7" t="s">
        <v>427</v>
      </c>
      <c r="D332" s="7" t="s">
        <v>430</v>
      </c>
      <c r="E332" s="8">
        <f t="shared" si="3"/>
        <v>0</v>
      </c>
      <c r="F332" s="26">
        <v>0.0</v>
      </c>
      <c r="G332" s="20">
        <v>152.0</v>
      </c>
      <c r="H332" s="20">
        <f t="shared" ref="H332:I332" si="343">F332/5</f>
        <v>0</v>
      </c>
      <c r="I332" s="20">
        <f t="shared" si="343"/>
        <v>30.4</v>
      </c>
      <c r="J332" s="36"/>
    </row>
    <row r="333" ht="15.75" customHeight="1">
      <c r="A333" s="6">
        <v>90104.0</v>
      </c>
      <c r="B333" s="7" t="s">
        <v>31</v>
      </c>
      <c r="C333" s="7" t="s">
        <v>427</v>
      </c>
      <c r="D333" s="7" t="s">
        <v>431</v>
      </c>
      <c r="E333" s="8">
        <f t="shared" si="3"/>
        <v>3.802281369</v>
      </c>
      <c r="F333" s="26">
        <v>1.0</v>
      </c>
      <c r="G333" s="20">
        <v>263.0</v>
      </c>
      <c r="H333" s="20">
        <f t="shared" ref="H333:I333" si="344">F333/5</f>
        <v>0.2</v>
      </c>
      <c r="I333" s="20">
        <f t="shared" si="344"/>
        <v>52.6</v>
      </c>
      <c r="J333" s="36"/>
    </row>
    <row r="334" ht="15.75" customHeight="1">
      <c r="A334" s="6">
        <v>90201.0</v>
      </c>
      <c r="B334" s="7" t="s">
        <v>31</v>
      </c>
      <c r="C334" s="7" t="s">
        <v>432</v>
      </c>
      <c r="D334" s="7" t="s">
        <v>433</v>
      </c>
      <c r="E334" s="8">
        <f t="shared" si="3"/>
        <v>6.622516556</v>
      </c>
      <c r="F334" s="26">
        <v>4.0</v>
      </c>
      <c r="G334" s="20">
        <v>604.0</v>
      </c>
      <c r="H334" s="20">
        <f t="shared" ref="H334:I334" si="345">F334/5</f>
        <v>0.8</v>
      </c>
      <c r="I334" s="20">
        <f t="shared" si="345"/>
        <v>120.8</v>
      </c>
      <c r="J334" s="36"/>
    </row>
    <row r="335" ht="15.75" customHeight="1">
      <c r="A335" s="6">
        <v>90202.0</v>
      </c>
      <c r="B335" s="7" t="s">
        <v>31</v>
      </c>
      <c r="C335" s="7" t="s">
        <v>432</v>
      </c>
      <c r="D335" s="7" t="s">
        <v>382</v>
      </c>
      <c r="E335" s="8">
        <f t="shared" si="3"/>
        <v>0</v>
      </c>
      <c r="F335" s="26">
        <v>0.0</v>
      </c>
      <c r="G335" s="20">
        <v>262.0</v>
      </c>
      <c r="H335" s="20">
        <f t="shared" ref="H335:I335" si="346">F335/5</f>
        <v>0</v>
      </c>
      <c r="I335" s="20">
        <f t="shared" si="346"/>
        <v>52.4</v>
      </c>
      <c r="J335" s="36"/>
    </row>
    <row r="336" ht="15.75" customHeight="1">
      <c r="A336" s="6">
        <v>90203.0</v>
      </c>
      <c r="B336" s="7" t="s">
        <v>31</v>
      </c>
      <c r="C336" s="7" t="s">
        <v>432</v>
      </c>
      <c r="D336" s="7" t="s">
        <v>434</v>
      </c>
      <c r="E336" s="8">
        <f t="shared" si="3"/>
        <v>4.651162791</v>
      </c>
      <c r="F336" s="26">
        <v>3.0</v>
      </c>
      <c r="G336" s="20">
        <v>645.0</v>
      </c>
      <c r="H336" s="20">
        <f t="shared" ref="H336:I336" si="347">F336/5</f>
        <v>0.6</v>
      </c>
      <c r="I336" s="20">
        <f t="shared" si="347"/>
        <v>129</v>
      </c>
      <c r="J336" s="36"/>
    </row>
    <row r="337" ht="15.75" customHeight="1">
      <c r="A337" s="6">
        <v>90301.0</v>
      </c>
      <c r="B337" s="7" t="s">
        <v>31</v>
      </c>
      <c r="C337" s="7" t="s">
        <v>435</v>
      </c>
      <c r="D337" s="7" t="s">
        <v>436</v>
      </c>
      <c r="E337" s="8">
        <f t="shared" si="3"/>
        <v>8.902077151</v>
      </c>
      <c r="F337" s="26">
        <v>6.0</v>
      </c>
      <c r="G337" s="20">
        <v>674.0</v>
      </c>
      <c r="H337" s="20">
        <f t="shared" ref="H337:I337" si="348">F337/5</f>
        <v>1.2</v>
      </c>
      <c r="I337" s="20">
        <f t="shared" si="348"/>
        <v>134.8</v>
      </c>
      <c r="J337" s="36"/>
    </row>
    <row r="338" ht="15.75" customHeight="1">
      <c r="A338" s="6">
        <v>90302.0</v>
      </c>
      <c r="B338" s="7" t="s">
        <v>31</v>
      </c>
      <c r="C338" s="7" t="s">
        <v>435</v>
      </c>
      <c r="D338" s="7" t="s">
        <v>437</v>
      </c>
      <c r="E338" s="8">
        <f t="shared" si="3"/>
        <v>2.538071066</v>
      </c>
      <c r="F338" s="26">
        <v>2.0</v>
      </c>
      <c r="G338" s="20">
        <v>788.0</v>
      </c>
      <c r="H338" s="20">
        <f t="shared" ref="H338:I338" si="349">F338/5</f>
        <v>0.4</v>
      </c>
      <c r="I338" s="20">
        <f t="shared" si="349"/>
        <v>157.6</v>
      </c>
      <c r="J338" s="36"/>
    </row>
    <row r="339" ht="15.75" customHeight="1">
      <c r="A339" s="6">
        <v>90303.0</v>
      </c>
      <c r="B339" s="7" t="s">
        <v>31</v>
      </c>
      <c r="C339" s="7" t="s">
        <v>435</v>
      </c>
      <c r="D339" s="7" t="s">
        <v>438</v>
      </c>
      <c r="E339" s="8">
        <f t="shared" si="3"/>
        <v>11.70212766</v>
      </c>
      <c r="F339" s="26">
        <v>11.0</v>
      </c>
      <c r="G339" s="20">
        <v>940.0</v>
      </c>
      <c r="H339" s="20">
        <f t="shared" ref="H339:I339" si="350">F339/5</f>
        <v>2.2</v>
      </c>
      <c r="I339" s="20">
        <f t="shared" si="350"/>
        <v>188</v>
      </c>
      <c r="J339" s="36"/>
    </row>
    <row r="340" ht="15.75" customHeight="1">
      <c r="A340" s="6">
        <v>90401.0</v>
      </c>
      <c r="B340" s="7" t="s">
        <v>31</v>
      </c>
      <c r="C340" s="7" t="s">
        <v>439</v>
      </c>
      <c r="D340" s="7" t="s">
        <v>440</v>
      </c>
      <c r="E340" s="8">
        <f t="shared" si="3"/>
        <v>4.347826087</v>
      </c>
      <c r="F340" s="26">
        <v>1.0</v>
      </c>
      <c r="G340" s="20">
        <v>230.0</v>
      </c>
      <c r="H340" s="20">
        <f t="shared" ref="H340:I340" si="351">F340/5</f>
        <v>0.2</v>
      </c>
      <c r="I340" s="20">
        <f t="shared" si="351"/>
        <v>46</v>
      </c>
      <c r="J340" s="36"/>
    </row>
    <row r="341" ht="15.75" customHeight="1">
      <c r="A341" s="6">
        <v>90402.0</v>
      </c>
      <c r="B341" s="7" t="s">
        <v>31</v>
      </c>
      <c r="C341" s="7" t="s">
        <v>439</v>
      </c>
      <c r="D341" s="7" t="s">
        <v>103</v>
      </c>
      <c r="E341" s="8">
        <f t="shared" si="3"/>
        <v>9.478672986</v>
      </c>
      <c r="F341" s="26">
        <v>2.0</v>
      </c>
      <c r="G341" s="20">
        <v>211.0</v>
      </c>
      <c r="H341" s="20">
        <f t="shared" ref="H341:I341" si="352">F341/5</f>
        <v>0.4</v>
      </c>
      <c r="I341" s="20">
        <f t="shared" si="352"/>
        <v>42.2</v>
      </c>
      <c r="J341" s="36"/>
    </row>
    <row r="342" ht="15.75" customHeight="1">
      <c r="A342" s="6">
        <v>90501.0</v>
      </c>
      <c r="B342" s="7" t="s">
        <v>31</v>
      </c>
      <c r="C342" s="7" t="s">
        <v>441</v>
      </c>
      <c r="D342" s="7" t="s">
        <v>442</v>
      </c>
      <c r="E342" s="8">
        <f t="shared" si="3"/>
        <v>7.936507937</v>
      </c>
      <c r="F342" s="26">
        <v>1.0</v>
      </c>
      <c r="G342" s="20">
        <v>126.0</v>
      </c>
      <c r="H342" s="20">
        <f t="shared" ref="H342:I342" si="353">F342/5</f>
        <v>0.2</v>
      </c>
      <c r="I342" s="20">
        <f t="shared" si="353"/>
        <v>25.2</v>
      </c>
      <c r="J342" s="36"/>
    </row>
    <row r="343" ht="15.75" customHeight="1">
      <c r="A343" s="6">
        <v>90502.0</v>
      </c>
      <c r="B343" s="7" t="s">
        <v>31</v>
      </c>
      <c r="C343" s="7" t="s">
        <v>441</v>
      </c>
      <c r="D343" s="7" t="s">
        <v>443</v>
      </c>
      <c r="E343" s="8">
        <f t="shared" si="3"/>
        <v>14.01869159</v>
      </c>
      <c r="F343" s="26">
        <v>3.0</v>
      </c>
      <c r="G343" s="20">
        <v>214.0</v>
      </c>
      <c r="H343" s="20">
        <f t="shared" ref="H343:I343" si="354">F343/5</f>
        <v>0.6</v>
      </c>
      <c r="I343" s="20">
        <f t="shared" si="354"/>
        <v>42.8</v>
      </c>
      <c r="J343" s="36"/>
    </row>
    <row r="344" ht="15.75" customHeight="1">
      <c r="A344" s="6">
        <v>90503.0</v>
      </c>
      <c r="B344" s="7" t="s">
        <v>31</v>
      </c>
      <c r="C344" s="7" t="s">
        <v>441</v>
      </c>
      <c r="D344" s="7" t="s">
        <v>444</v>
      </c>
      <c r="E344" s="8">
        <f t="shared" si="3"/>
        <v>22.34636872</v>
      </c>
      <c r="F344" s="50">
        <v>4.0</v>
      </c>
      <c r="G344" s="51">
        <v>179.0</v>
      </c>
      <c r="H344" s="20">
        <f t="shared" ref="H344:I344" si="355">F344/5</f>
        <v>0.8</v>
      </c>
      <c r="I344" s="20">
        <f t="shared" si="355"/>
        <v>35.8</v>
      </c>
      <c r="J344" s="36"/>
    </row>
    <row r="345" ht="15.75" customHeight="1">
      <c r="A345" s="29"/>
      <c r="D345" s="30"/>
      <c r="E345" s="31"/>
      <c r="F345" s="32">
        <v>7608.0</v>
      </c>
      <c r="G345" s="27">
        <v>719598.0</v>
      </c>
      <c r="H345" s="20">
        <f t="shared" ref="H345:I345" si="356">F345/5</f>
        <v>1521.6</v>
      </c>
      <c r="I345" s="20">
        <f t="shared" si="356"/>
        <v>143919.6</v>
      </c>
      <c r="J345" s="35"/>
      <c r="L345" s="24">
        <f>G345+J345</f>
        <v>719598</v>
      </c>
    </row>
    <row r="346" ht="15.75" customHeight="1">
      <c r="A346" s="29"/>
      <c r="D346" s="30" t="s">
        <v>35</v>
      </c>
      <c r="E346" s="34">
        <f>(F346/G346)*1000</f>
        <v>8.229257431</v>
      </c>
      <c r="F346" s="35">
        <f t="shared" ref="F346:G346" si="357">AVERAGE(F246:F248)</f>
        <v>28.33333333</v>
      </c>
      <c r="G346" s="35">
        <f t="shared" si="357"/>
        <v>3443</v>
      </c>
      <c r="H346" s="35"/>
      <c r="I346" s="35"/>
      <c r="J346" s="36"/>
    </row>
    <row r="347" ht="15.75" customHeight="1">
      <c r="A347" s="29"/>
      <c r="D347" s="37"/>
      <c r="E347" s="34"/>
      <c r="F347" s="35"/>
      <c r="G347" s="36"/>
      <c r="H347" s="36"/>
      <c r="I347" s="36"/>
      <c r="J347" s="36"/>
    </row>
    <row r="348" ht="15.75" customHeight="1">
      <c r="A348" s="29"/>
      <c r="D348" s="30"/>
      <c r="E348" s="34"/>
      <c r="F348" s="35"/>
      <c r="G348" s="36"/>
      <c r="H348" s="36"/>
      <c r="I348" s="36"/>
      <c r="J348" s="36"/>
    </row>
    <row r="349" ht="15.75" customHeight="1">
      <c r="A349" s="29"/>
      <c r="D349" s="30"/>
      <c r="E349" s="38"/>
      <c r="F349" s="35"/>
      <c r="G349" s="36"/>
      <c r="H349" s="36"/>
      <c r="I349" s="36"/>
      <c r="J349" s="36"/>
    </row>
    <row r="350" ht="15.75" customHeight="1">
      <c r="A350" s="29"/>
      <c r="D350" s="30"/>
      <c r="E350" s="38"/>
      <c r="F350" s="35"/>
      <c r="G350" s="36"/>
      <c r="H350" s="36"/>
      <c r="I350" s="36"/>
      <c r="J350" s="36"/>
      <c r="M350" s="52">
        <f t="shared" ref="M350:M351" si="358">E354*100</f>
        <v>0</v>
      </c>
      <c r="O350" s="52">
        <f>M350+M351</f>
        <v>0</v>
      </c>
    </row>
    <row r="351" ht="15.75" customHeight="1">
      <c r="A351" s="29"/>
      <c r="D351" s="30"/>
      <c r="E351" s="38"/>
      <c r="F351" s="35"/>
      <c r="G351" s="36"/>
      <c r="H351" s="36"/>
      <c r="I351" s="36"/>
      <c r="J351" s="36"/>
      <c r="M351" s="52">
        <f t="shared" si="358"/>
        <v>0</v>
      </c>
      <c r="O351" s="52">
        <f>M350-M351</f>
        <v>0</v>
      </c>
    </row>
    <row r="352" ht="15.75" customHeight="1">
      <c r="A352" s="29"/>
      <c r="D352" s="30"/>
      <c r="F352" s="36"/>
      <c r="J352" s="36"/>
    </row>
    <row r="353" ht="15.75" customHeight="1">
      <c r="A353" s="29"/>
      <c r="C353" s="7" t="s">
        <v>445</v>
      </c>
      <c r="D353" s="39">
        <f>AVERAGE(E1:E344)</f>
        <v>12.73128056</v>
      </c>
      <c r="F353" s="38">
        <f>D353+D354</f>
        <v>21.07030778</v>
      </c>
    </row>
    <row r="354" ht="15.75" customHeight="1">
      <c r="A354" s="29"/>
      <c r="C354" s="7" t="s">
        <v>446</v>
      </c>
      <c r="D354" s="39">
        <f>STDEV(E1:E344)</f>
        <v>8.339027218</v>
      </c>
      <c r="E354" s="40"/>
      <c r="F354" s="38">
        <f>D353-D354</f>
        <v>4.392253341</v>
      </c>
      <c r="G354" s="40"/>
      <c r="H354" s="40"/>
      <c r="I354" s="40"/>
    </row>
    <row r="355" ht="15.75" customHeight="1">
      <c r="A355" s="29"/>
      <c r="C355" s="7" t="s">
        <v>447</v>
      </c>
      <c r="D355" s="39"/>
      <c r="E355" s="40"/>
      <c r="F355" s="38"/>
      <c r="G355" s="40"/>
      <c r="H355" s="40"/>
      <c r="I355" s="40"/>
    </row>
    <row r="356" ht="15.75" customHeight="1">
      <c r="A356" s="29"/>
      <c r="C356" s="7" t="s">
        <v>448</v>
      </c>
      <c r="D356" s="39"/>
      <c r="E356" s="40"/>
      <c r="F356" s="38"/>
    </row>
    <row r="357" ht="15.75" customHeight="1">
      <c r="A357" s="29"/>
      <c r="C357" s="7" t="s">
        <v>449</v>
      </c>
      <c r="D357" s="39"/>
      <c r="E357" s="40"/>
      <c r="F357" s="38"/>
    </row>
    <row r="358" ht="15.75" customHeight="1">
      <c r="A358" s="29"/>
      <c r="D358" s="41"/>
      <c r="E358" s="38"/>
      <c r="F358" s="38"/>
    </row>
    <row r="359" ht="15.75" customHeight="1">
      <c r="A359" s="29"/>
      <c r="D359" s="41"/>
      <c r="F359" s="38"/>
    </row>
    <row r="360" ht="15.75" customHeight="1">
      <c r="A360" s="29"/>
      <c r="D360" s="41"/>
      <c r="F360" s="38"/>
    </row>
    <row r="361" ht="15.75" customHeight="1">
      <c r="A361" s="29"/>
      <c r="D361" s="41"/>
      <c r="F361" s="38"/>
    </row>
    <row r="362" ht="15.75" customHeight="1">
      <c r="A362" s="29"/>
      <c r="D362" s="41"/>
      <c r="F362" s="38"/>
    </row>
    <row r="363" ht="15.75" customHeight="1">
      <c r="A363" s="29"/>
      <c r="D363" s="41"/>
      <c r="F363" s="38"/>
    </row>
    <row r="364" ht="15.75" customHeight="1">
      <c r="A364" s="29"/>
      <c r="D364" s="41"/>
      <c r="F364" s="38"/>
    </row>
    <row r="365" ht="15.75" customHeight="1">
      <c r="A365" s="29"/>
      <c r="D365" s="41"/>
      <c r="F365" s="38"/>
    </row>
    <row r="366" ht="15.75" customHeight="1">
      <c r="A366" s="29"/>
      <c r="D366" s="41"/>
      <c r="F366" s="38"/>
    </row>
    <row r="367" ht="15.75" customHeight="1">
      <c r="A367" s="29"/>
      <c r="D367" s="41"/>
      <c r="F367" s="38"/>
    </row>
    <row r="368" ht="15.75" customHeight="1">
      <c r="A368" s="29"/>
      <c r="D368" s="41"/>
      <c r="F368" s="38"/>
    </row>
    <row r="369" ht="15.75" customHeight="1">
      <c r="A369" s="29"/>
      <c r="D369" s="41"/>
      <c r="F369" s="38"/>
    </row>
    <row r="370" ht="15.75" customHeight="1">
      <c r="A370" s="29"/>
      <c r="D370" s="41"/>
      <c r="F370" s="38"/>
    </row>
    <row r="371" ht="15.75" customHeight="1">
      <c r="A371" s="29"/>
      <c r="D371" s="41"/>
      <c r="F371" s="38"/>
    </row>
    <row r="372" ht="15.75" customHeight="1">
      <c r="A372" s="29"/>
      <c r="D372" s="41"/>
      <c r="F372" s="38"/>
    </row>
    <row r="373" ht="15.75" customHeight="1">
      <c r="A373" s="29"/>
      <c r="D373" s="41"/>
      <c r="F373" s="38"/>
    </row>
    <row r="374" ht="15.75" customHeight="1">
      <c r="A374" s="29"/>
      <c r="D374" s="41"/>
      <c r="F374" s="38"/>
    </row>
    <row r="375" ht="15.75" customHeight="1">
      <c r="A375" s="29"/>
      <c r="D375" s="41"/>
      <c r="F375" s="38"/>
    </row>
    <row r="376" ht="15.75" customHeight="1">
      <c r="A376" s="29"/>
      <c r="D376" s="41"/>
      <c r="F376" s="38"/>
    </row>
    <row r="377" ht="15.75" customHeight="1">
      <c r="A377" s="29"/>
      <c r="D377" s="41"/>
      <c r="F377" s="38"/>
    </row>
    <row r="378" ht="15.75" customHeight="1">
      <c r="A378" s="29"/>
      <c r="D378" s="41"/>
      <c r="F378" s="38"/>
    </row>
    <row r="379" ht="15.75" customHeight="1">
      <c r="A379" s="29"/>
      <c r="D379" s="41"/>
      <c r="F379" s="38"/>
    </row>
    <row r="380" ht="15.75" customHeight="1">
      <c r="A380" s="29"/>
      <c r="D380" s="41"/>
      <c r="F380" s="38"/>
    </row>
    <row r="381" ht="15.75" customHeight="1">
      <c r="A381" s="29"/>
      <c r="D381" s="41"/>
      <c r="F381" s="38"/>
    </row>
    <row r="382" ht="15.75" customHeight="1">
      <c r="A382" s="29"/>
      <c r="D382" s="41"/>
      <c r="F382" s="38"/>
    </row>
    <row r="383" ht="15.75" customHeight="1">
      <c r="A383" s="29"/>
      <c r="D383" s="41"/>
      <c r="F383" s="38"/>
    </row>
    <row r="384" ht="15.75" customHeight="1">
      <c r="A384" s="29"/>
      <c r="D384" s="41"/>
      <c r="F384" s="38"/>
    </row>
    <row r="385" ht="15.75" customHeight="1">
      <c r="A385" s="29"/>
      <c r="D385" s="41"/>
      <c r="F385" s="38"/>
    </row>
    <row r="386" ht="15.75" customHeight="1">
      <c r="A386" s="29"/>
      <c r="D386" s="41"/>
      <c r="F386" s="38"/>
    </row>
    <row r="387" ht="15.75" customHeight="1">
      <c r="A387" s="29"/>
      <c r="D387" s="41"/>
      <c r="F387" s="38"/>
    </row>
    <row r="388" ht="15.75" customHeight="1">
      <c r="A388" s="29"/>
      <c r="D388" s="41"/>
      <c r="F388" s="38"/>
    </row>
    <row r="389" ht="15.75" customHeight="1">
      <c r="A389" s="29"/>
      <c r="D389" s="41"/>
      <c r="F389" s="38"/>
    </row>
    <row r="390" ht="15.75" customHeight="1">
      <c r="A390" s="29"/>
      <c r="D390" s="41"/>
      <c r="F390" s="38"/>
    </row>
    <row r="391" ht="15.75" customHeight="1">
      <c r="A391" s="29"/>
      <c r="D391" s="41"/>
      <c r="F391" s="38"/>
    </row>
    <row r="392" ht="15.75" customHeight="1">
      <c r="A392" s="29"/>
      <c r="D392" s="41"/>
      <c r="F392" s="38"/>
    </row>
    <row r="393" ht="15.75" customHeight="1">
      <c r="A393" s="29"/>
      <c r="D393" s="41"/>
      <c r="F393" s="38"/>
    </row>
    <row r="394" ht="15.75" customHeight="1">
      <c r="A394" s="29"/>
      <c r="D394" s="41"/>
      <c r="F394" s="38"/>
    </row>
    <row r="395" ht="15.75" customHeight="1">
      <c r="A395" s="29"/>
      <c r="D395" s="41"/>
      <c r="F395" s="38"/>
    </row>
    <row r="396" ht="15.75" customHeight="1">
      <c r="A396" s="29"/>
      <c r="D396" s="41"/>
      <c r="F396" s="38"/>
    </row>
    <row r="397" ht="15.75" customHeight="1">
      <c r="A397" s="29"/>
      <c r="D397" s="41"/>
      <c r="F397" s="38"/>
    </row>
    <row r="398" ht="15.75" customHeight="1">
      <c r="A398" s="29"/>
      <c r="D398" s="41"/>
      <c r="F398" s="38"/>
    </row>
    <row r="399" ht="15.75" customHeight="1">
      <c r="A399" s="29"/>
      <c r="D399" s="41"/>
      <c r="F399" s="38"/>
    </row>
    <row r="400" ht="15.75" customHeight="1">
      <c r="A400" s="29"/>
      <c r="D400" s="41"/>
      <c r="F400" s="38"/>
    </row>
    <row r="401" ht="15.75" customHeight="1">
      <c r="A401" s="29"/>
      <c r="D401" s="41"/>
      <c r="F401" s="38"/>
    </row>
    <row r="402" ht="15.75" customHeight="1">
      <c r="A402" s="29"/>
      <c r="D402" s="41"/>
      <c r="F402" s="38"/>
    </row>
    <row r="403" ht="15.75" customHeight="1">
      <c r="A403" s="29"/>
      <c r="D403" s="41"/>
      <c r="F403" s="38"/>
    </row>
    <row r="404" ht="15.75" customHeight="1">
      <c r="A404" s="29"/>
      <c r="D404" s="41"/>
      <c r="F404" s="38"/>
    </row>
    <row r="405" ht="15.75" customHeight="1">
      <c r="A405" s="29"/>
      <c r="D405" s="41"/>
      <c r="F405" s="38"/>
    </row>
    <row r="406" ht="15.75" customHeight="1">
      <c r="A406" s="29"/>
      <c r="D406" s="41"/>
      <c r="F406" s="38"/>
    </row>
    <row r="407" ht="15.75" customHeight="1">
      <c r="A407" s="29"/>
      <c r="D407" s="41"/>
      <c r="F407" s="38"/>
    </row>
    <row r="408" ht="15.75" customHeight="1">
      <c r="A408" s="29"/>
      <c r="D408" s="41"/>
      <c r="F408" s="38"/>
    </row>
    <row r="409" ht="15.75" customHeight="1">
      <c r="A409" s="29"/>
      <c r="D409" s="41"/>
      <c r="F409" s="38"/>
    </row>
    <row r="410" ht="15.75" customHeight="1">
      <c r="A410" s="29"/>
      <c r="D410" s="41"/>
      <c r="F410" s="38"/>
    </row>
    <row r="411" ht="15.75" customHeight="1">
      <c r="A411" s="29"/>
      <c r="D411" s="41"/>
      <c r="F411" s="38"/>
    </row>
    <row r="412" ht="15.75" customHeight="1">
      <c r="A412" s="29"/>
      <c r="D412" s="41"/>
      <c r="F412" s="38"/>
    </row>
    <row r="413" ht="15.75" customHeight="1">
      <c r="A413" s="29"/>
      <c r="D413" s="41"/>
      <c r="F413" s="38"/>
    </row>
    <row r="414" ht="15.75" customHeight="1">
      <c r="A414" s="29"/>
      <c r="D414" s="41"/>
      <c r="F414" s="38"/>
    </row>
    <row r="415" ht="15.75" customHeight="1">
      <c r="A415" s="29"/>
      <c r="D415" s="41"/>
      <c r="F415" s="38"/>
    </row>
    <row r="416" ht="15.75" customHeight="1">
      <c r="A416" s="29"/>
      <c r="D416" s="41"/>
      <c r="F416" s="38"/>
    </row>
    <row r="417" ht="15.75" customHeight="1">
      <c r="A417" s="29"/>
      <c r="D417" s="41"/>
      <c r="F417" s="38"/>
    </row>
    <row r="418" ht="15.75" customHeight="1">
      <c r="A418" s="29"/>
      <c r="D418" s="41"/>
      <c r="F418" s="38"/>
    </row>
    <row r="419" ht="15.75" customHeight="1">
      <c r="A419" s="29"/>
      <c r="D419" s="41"/>
      <c r="F419" s="38"/>
    </row>
    <row r="420" ht="15.75" customHeight="1">
      <c r="A420" s="29"/>
      <c r="D420" s="41"/>
      <c r="F420" s="38"/>
    </row>
    <row r="421" ht="15.75" customHeight="1">
      <c r="A421" s="29"/>
      <c r="D421" s="41"/>
      <c r="F421" s="38"/>
    </row>
    <row r="422" ht="15.75" customHeight="1">
      <c r="A422" s="29"/>
      <c r="D422" s="41"/>
      <c r="F422" s="38"/>
    </row>
    <row r="423" ht="15.75" customHeight="1">
      <c r="A423" s="29"/>
      <c r="D423" s="41"/>
      <c r="F423" s="38"/>
    </row>
    <row r="424" ht="15.75" customHeight="1">
      <c r="A424" s="29"/>
      <c r="D424" s="41"/>
      <c r="F424" s="38"/>
    </row>
    <row r="425" ht="15.75" customHeight="1">
      <c r="A425" s="29"/>
      <c r="D425" s="41"/>
      <c r="F425" s="38"/>
    </row>
    <row r="426" ht="15.75" customHeight="1">
      <c r="A426" s="29"/>
      <c r="D426" s="41"/>
      <c r="F426" s="38"/>
    </row>
    <row r="427" ht="15.75" customHeight="1">
      <c r="A427" s="29"/>
      <c r="D427" s="41"/>
      <c r="F427" s="38"/>
    </row>
    <row r="428" ht="15.75" customHeight="1">
      <c r="A428" s="29"/>
      <c r="D428" s="41"/>
      <c r="F428" s="38"/>
    </row>
    <row r="429" ht="15.75" customHeight="1">
      <c r="A429" s="29"/>
      <c r="D429" s="41"/>
      <c r="F429" s="38"/>
    </row>
    <row r="430" ht="15.75" customHeight="1">
      <c r="A430" s="29"/>
      <c r="D430" s="41"/>
      <c r="F430" s="38"/>
    </row>
    <row r="431" ht="15.75" customHeight="1">
      <c r="A431" s="29"/>
      <c r="D431" s="41"/>
      <c r="F431" s="38"/>
    </row>
    <row r="432" ht="15.75" customHeight="1">
      <c r="A432" s="29"/>
      <c r="D432" s="41"/>
      <c r="F432" s="38"/>
    </row>
    <row r="433" ht="15.75" customHeight="1">
      <c r="A433" s="29"/>
      <c r="D433" s="41"/>
      <c r="F433" s="38"/>
    </row>
    <row r="434" ht="15.75" customHeight="1">
      <c r="A434" s="29"/>
      <c r="D434" s="41"/>
      <c r="F434" s="38"/>
    </row>
    <row r="435" ht="15.75" customHeight="1">
      <c r="A435" s="29"/>
      <c r="D435" s="41"/>
      <c r="F435" s="38"/>
    </row>
    <row r="436" ht="15.75" customHeight="1">
      <c r="A436" s="29"/>
      <c r="D436" s="41"/>
      <c r="F436" s="38"/>
    </row>
    <row r="437" ht="15.75" customHeight="1">
      <c r="A437" s="29"/>
      <c r="D437" s="41"/>
      <c r="F437" s="38"/>
    </row>
    <row r="438" ht="15.75" customHeight="1">
      <c r="A438" s="29"/>
      <c r="D438" s="41"/>
      <c r="F438" s="38"/>
    </row>
    <row r="439" ht="15.75" customHeight="1">
      <c r="A439" s="29"/>
      <c r="D439" s="41"/>
      <c r="F439" s="38"/>
    </row>
    <row r="440" ht="15.75" customHeight="1">
      <c r="A440" s="29"/>
      <c r="D440" s="41"/>
      <c r="F440" s="38"/>
    </row>
    <row r="441" ht="15.75" customHeight="1">
      <c r="A441" s="29"/>
      <c r="D441" s="41"/>
      <c r="F441" s="38"/>
    </row>
    <row r="442" ht="15.75" customHeight="1">
      <c r="A442" s="29"/>
      <c r="D442" s="41"/>
      <c r="F442" s="38"/>
    </row>
    <row r="443" ht="15.75" customHeight="1">
      <c r="A443" s="29"/>
      <c r="D443" s="41"/>
      <c r="F443" s="38"/>
    </row>
    <row r="444" ht="15.75" customHeight="1">
      <c r="A444" s="29"/>
      <c r="D444" s="41"/>
      <c r="F444" s="38"/>
    </row>
    <row r="445" ht="15.75" customHeight="1">
      <c r="A445" s="29"/>
      <c r="D445" s="41"/>
      <c r="F445" s="38"/>
    </row>
    <row r="446" ht="15.75" customHeight="1">
      <c r="A446" s="29"/>
      <c r="D446" s="41"/>
      <c r="F446" s="38"/>
    </row>
    <row r="447" ht="15.75" customHeight="1">
      <c r="A447" s="29"/>
      <c r="D447" s="41"/>
      <c r="F447" s="38"/>
    </row>
    <row r="448" ht="15.75" customHeight="1">
      <c r="A448" s="29"/>
      <c r="D448" s="41"/>
      <c r="F448" s="38"/>
    </row>
    <row r="449" ht="15.75" customHeight="1">
      <c r="A449" s="29"/>
      <c r="D449" s="41"/>
      <c r="F449" s="38"/>
    </row>
    <row r="450" ht="15.75" customHeight="1">
      <c r="A450" s="29"/>
      <c r="D450" s="41"/>
      <c r="F450" s="38"/>
    </row>
    <row r="451" ht="15.75" customHeight="1">
      <c r="A451" s="29"/>
      <c r="D451" s="41"/>
      <c r="F451" s="38"/>
    </row>
    <row r="452" ht="15.75" customHeight="1">
      <c r="A452" s="29"/>
      <c r="D452" s="41"/>
      <c r="F452" s="38"/>
    </row>
    <row r="453" ht="15.75" customHeight="1">
      <c r="A453" s="29"/>
      <c r="D453" s="41"/>
      <c r="F453" s="38"/>
    </row>
    <row r="454" ht="15.75" customHeight="1">
      <c r="A454" s="29"/>
      <c r="D454" s="41"/>
      <c r="F454" s="38"/>
    </row>
    <row r="455" ht="15.75" customHeight="1">
      <c r="A455" s="29"/>
      <c r="D455" s="41"/>
      <c r="F455" s="38"/>
    </row>
    <row r="456" ht="15.75" customHeight="1">
      <c r="A456" s="29"/>
      <c r="D456" s="41"/>
      <c r="F456" s="38"/>
    </row>
    <row r="457" ht="15.75" customHeight="1">
      <c r="A457" s="29"/>
      <c r="D457" s="41"/>
      <c r="F457" s="38"/>
    </row>
    <row r="458" ht="15.75" customHeight="1">
      <c r="A458" s="29"/>
      <c r="D458" s="41"/>
      <c r="F458" s="38"/>
    </row>
    <row r="459" ht="15.75" customHeight="1">
      <c r="A459" s="29"/>
      <c r="D459" s="41"/>
      <c r="F459" s="38"/>
    </row>
    <row r="460" ht="15.75" customHeight="1">
      <c r="A460" s="29"/>
      <c r="D460" s="41"/>
      <c r="F460" s="38"/>
    </row>
    <row r="461" ht="15.75" customHeight="1">
      <c r="A461" s="29"/>
      <c r="D461" s="41"/>
      <c r="F461" s="38"/>
    </row>
    <row r="462" ht="15.75" customHeight="1">
      <c r="A462" s="29"/>
      <c r="D462" s="41"/>
      <c r="F462" s="38"/>
    </row>
    <row r="463" ht="15.75" customHeight="1">
      <c r="A463" s="29"/>
      <c r="D463" s="41"/>
      <c r="F463" s="38"/>
    </row>
    <row r="464" ht="15.75" customHeight="1">
      <c r="A464" s="29"/>
      <c r="D464" s="41"/>
      <c r="F464" s="38"/>
    </row>
    <row r="465" ht="15.75" customHeight="1">
      <c r="A465" s="29"/>
      <c r="D465" s="41"/>
      <c r="F465" s="38"/>
    </row>
    <row r="466" ht="15.75" customHeight="1">
      <c r="A466" s="29"/>
      <c r="D466" s="41"/>
      <c r="F466" s="38"/>
    </row>
    <row r="467" ht="15.75" customHeight="1">
      <c r="A467" s="29"/>
      <c r="D467" s="41"/>
      <c r="F467" s="38"/>
    </row>
    <row r="468" ht="15.75" customHeight="1">
      <c r="A468" s="29"/>
      <c r="D468" s="41"/>
      <c r="F468" s="38"/>
    </row>
    <row r="469" ht="15.75" customHeight="1">
      <c r="A469" s="29"/>
      <c r="D469" s="41"/>
      <c r="F469" s="38"/>
    </row>
    <row r="470" ht="15.75" customHeight="1">
      <c r="A470" s="29"/>
      <c r="D470" s="41"/>
      <c r="F470" s="38"/>
    </row>
    <row r="471" ht="15.75" customHeight="1">
      <c r="A471" s="29"/>
      <c r="D471" s="41"/>
      <c r="F471" s="38"/>
    </row>
    <row r="472" ht="15.75" customHeight="1">
      <c r="A472" s="29"/>
      <c r="D472" s="41"/>
      <c r="F472" s="38"/>
    </row>
    <row r="473" ht="15.75" customHeight="1">
      <c r="A473" s="29"/>
      <c r="D473" s="41"/>
      <c r="F473" s="38"/>
    </row>
    <row r="474" ht="15.75" customHeight="1">
      <c r="A474" s="29"/>
      <c r="D474" s="41"/>
      <c r="F474" s="38"/>
    </row>
    <row r="475" ht="15.75" customHeight="1">
      <c r="A475" s="29"/>
      <c r="D475" s="41"/>
      <c r="F475" s="38"/>
    </row>
    <row r="476" ht="15.75" customHeight="1">
      <c r="A476" s="29"/>
      <c r="D476" s="41"/>
      <c r="F476" s="38"/>
    </row>
    <row r="477" ht="15.75" customHeight="1">
      <c r="A477" s="29"/>
      <c r="D477" s="41"/>
      <c r="F477" s="38"/>
    </row>
    <row r="478" ht="15.75" customHeight="1">
      <c r="A478" s="29"/>
      <c r="D478" s="41"/>
      <c r="F478" s="38"/>
    </row>
    <row r="479" ht="15.75" customHeight="1">
      <c r="A479" s="29"/>
      <c r="D479" s="41"/>
      <c r="F479" s="38"/>
    </row>
    <row r="480" ht="15.75" customHeight="1">
      <c r="A480" s="29"/>
      <c r="D480" s="41"/>
      <c r="F480" s="38"/>
    </row>
    <row r="481" ht="15.75" customHeight="1">
      <c r="A481" s="29"/>
      <c r="D481" s="41"/>
      <c r="F481" s="38"/>
    </row>
    <row r="482" ht="15.75" customHeight="1">
      <c r="A482" s="29"/>
      <c r="D482" s="41"/>
      <c r="F482" s="38"/>
    </row>
    <row r="483" ht="15.75" customHeight="1">
      <c r="A483" s="29"/>
      <c r="D483" s="41"/>
      <c r="F483" s="38"/>
    </row>
    <row r="484" ht="15.75" customHeight="1">
      <c r="A484" s="29"/>
      <c r="D484" s="41"/>
      <c r="F484" s="38"/>
    </row>
    <row r="485" ht="15.75" customHeight="1">
      <c r="A485" s="29"/>
      <c r="D485" s="41"/>
      <c r="F485" s="38"/>
    </row>
    <row r="486" ht="15.75" customHeight="1">
      <c r="A486" s="29"/>
      <c r="D486" s="41"/>
      <c r="F486" s="38"/>
    </row>
    <row r="487" ht="15.75" customHeight="1">
      <c r="A487" s="29"/>
      <c r="D487" s="41"/>
      <c r="F487" s="38"/>
    </row>
    <row r="488" ht="15.75" customHeight="1">
      <c r="A488" s="29"/>
      <c r="D488" s="41"/>
      <c r="F488" s="38"/>
    </row>
    <row r="489" ht="15.75" customHeight="1">
      <c r="A489" s="29"/>
      <c r="D489" s="41"/>
      <c r="F489" s="38"/>
    </row>
    <row r="490" ht="15.75" customHeight="1">
      <c r="A490" s="29"/>
      <c r="D490" s="41"/>
      <c r="F490" s="38"/>
    </row>
    <row r="491" ht="15.75" customHeight="1">
      <c r="A491" s="29"/>
      <c r="D491" s="41"/>
      <c r="F491" s="38"/>
    </row>
    <row r="492" ht="15.75" customHeight="1">
      <c r="A492" s="29"/>
      <c r="D492" s="41"/>
      <c r="F492" s="38"/>
    </row>
    <row r="493" ht="15.75" customHeight="1">
      <c r="A493" s="29"/>
      <c r="D493" s="41"/>
      <c r="F493" s="38"/>
    </row>
    <row r="494" ht="15.75" customHeight="1">
      <c r="A494" s="29"/>
      <c r="D494" s="41"/>
      <c r="F494" s="38"/>
    </row>
    <row r="495" ht="15.75" customHeight="1">
      <c r="A495" s="29"/>
      <c r="D495" s="41"/>
      <c r="F495" s="38"/>
    </row>
    <row r="496" ht="15.75" customHeight="1">
      <c r="A496" s="29"/>
      <c r="D496" s="41"/>
      <c r="F496" s="38"/>
    </row>
    <row r="497" ht="15.75" customHeight="1">
      <c r="A497" s="29"/>
      <c r="D497" s="41"/>
      <c r="F497" s="38"/>
    </row>
    <row r="498" ht="15.75" customHeight="1">
      <c r="A498" s="29"/>
      <c r="D498" s="41"/>
      <c r="F498" s="38"/>
    </row>
    <row r="499" ht="15.75" customHeight="1">
      <c r="A499" s="29"/>
      <c r="D499" s="41"/>
      <c r="F499" s="38"/>
    </row>
    <row r="500" ht="15.75" customHeight="1">
      <c r="A500" s="29"/>
      <c r="D500" s="41"/>
      <c r="F500" s="38"/>
    </row>
    <row r="501" ht="15.75" customHeight="1">
      <c r="A501" s="29"/>
      <c r="D501" s="41"/>
      <c r="F501" s="38"/>
    </row>
    <row r="502" ht="15.75" customHeight="1">
      <c r="A502" s="29"/>
      <c r="D502" s="41"/>
      <c r="F502" s="38"/>
    </row>
    <row r="503" ht="15.75" customHeight="1">
      <c r="A503" s="29"/>
      <c r="D503" s="41"/>
      <c r="F503" s="38"/>
    </row>
    <row r="504" ht="15.75" customHeight="1">
      <c r="A504" s="29"/>
      <c r="D504" s="41"/>
      <c r="F504" s="38"/>
    </row>
    <row r="505" ht="15.75" customHeight="1">
      <c r="A505" s="29"/>
      <c r="D505" s="41"/>
      <c r="F505" s="38"/>
    </row>
    <row r="506" ht="15.75" customHeight="1">
      <c r="A506" s="29"/>
      <c r="D506" s="41"/>
      <c r="F506" s="38"/>
    </row>
    <row r="507" ht="15.75" customHeight="1">
      <c r="A507" s="29"/>
      <c r="D507" s="41"/>
      <c r="F507" s="38"/>
    </row>
    <row r="508" ht="15.75" customHeight="1">
      <c r="A508" s="29"/>
      <c r="D508" s="41"/>
      <c r="F508" s="38"/>
    </row>
    <row r="509" ht="15.75" customHeight="1">
      <c r="A509" s="29"/>
      <c r="D509" s="41"/>
      <c r="F509" s="38"/>
    </row>
    <row r="510" ht="15.75" customHeight="1">
      <c r="A510" s="29"/>
      <c r="D510" s="41"/>
      <c r="F510" s="38"/>
    </row>
    <row r="511" ht="15.75" customHeight="1">
      <c r="A511" s="29"/>
      <c r="D511" s="41"/>
      <c r="F511" s="38"/>
    </row>
    <row r="512" ht="15.75" customHeight="1">
      <c r="A512" s="29"/>
      <c r="D512" s="41"/>
      <c r="F512" s="38"/>
    </row>
    <row r="513" ht="15.75" customHeight="1">
      <c r="A513" s="29"/>
      <c r="D513" s="41"/>
      <c r="F513" s="38"/>
    </row>
    <row r="514" ht="15.75" customHeight="1">
      <c r="A514" s="29"/>
      <c r="D514" s="41"/>
      <c r="F514" s="38"/>
    </row>
    <row r="515" ht="15.75" customHeight="1">
      <c r="A515" s="29"/>
      <c r="D515" s="41"/>
      <c r="F515" s="38"/>
    </row>
    <row r="516" ht="15.75" customHeight="1">
      <c r="A516" s="29"/>
      <c r="D516" s="41"/>
      <c r="F516" s="38"/>
    </row>
    <row r="517" ht="15.75" customHeight="1">
      <c r="A517" s="29"/>
      <c r="D517" s="41"/>
      <c r="F517" s="38"/>
    </row>
    <row r="518" ht="15.75" customHeight="1">
      <c r="A518" s="29"/>
      <c r="D518" s="41"/>
      <c r="F518" s="38"/>
    </row>
    <row r="519" ht="15.75" customHeight="1">
      <c r="A519" s="29"/>
      <c r="D519" s="41"/>
      <c r="F519" s="38"/>
    </row>
    <row r="520" ht="15.75" customHeight="1">
      <c r="A520" s="29"/>
      <c r="D520" s="41"/>
      <c r="F520" s="38"/>
    </row>
    <row r="521" ht="15.75" customHeight="1">
      <c r="A521" s="29"/>
      <c r="D521" s="41"/>
      <c r="F521" s="38"/>
    </row>
    <row r="522" ht="15.75" customHeight="1">
      <c r="A522" s="29"/>
      <c r="D522" s="41"/>
      <c r="F522" s="38"/>
    </row>
    <row r="523" ht="15.75" customHeight="1">
      <c r="A523" s="29"/>
      <c r="D523" s="41"/>
      <c r="F523" s="38"/>
    </row>
    <row r="524" ht="15.75" customHeight="1">
      <c r="A524" s="29"/>
      <c r="D524" s="41"/>
      <c r="F524" s="38"/>
    </row>
    <row r="525" ht="15.75" customHeight="1">
      <c r="A525" s="29"/>
      <c r="D525" s="41"/>
      <c r="F525" s="38"/>
    </row>
    <row r="526" ht="15.75" customHeight="1">
      <c r="A526" s="29"/>
      <c r="D526" s="41"/>
      <c r="F526" s="38"/>
    </row>
    <row r="527" ht="15.75" customHeight="1">
      <c r="A527" s="29"/>
      <c r="D527" s="41"/>
      <c r="F527" s="38"/>
    </row>
    <row r="528" ht="15.75" customHeight="1">
      <c r="A528" s="29"/>
      <c r="D528" s="41"/>
      <c r="F528" s="38"/>
    </row>
    <row r="529" ht="15.75" customHeight="1">
      <c r="A529" s="29"/>
      <c r="D529" s="41"/>
      <c r="F529" s="38"/>
    </row>
    <row r="530" ht="15.75" customHeight="1">
      <c r="A530" s="29"/>
      <c r="D530" s="41"/>
      <c r="F530" s="38"/>
    </row>
    <row r="531" ht="15.75" customHeight="1">
      <c r="A531" s="29"/>
      <c r="D531" s="41"/>
      <c r="F531" s="38"/>
    </row>
    <row r="532" ht="15.75" customHeight="1">
      <c r="A532" s="29"/>
      <c r="D532" s="41"/>
      <c r="F532" s="38"/>
    </row>
    <row r="533" ht="15.75" customHeight="1">
      <c r="A533" s="29"/>
      <c r="D533" s="41"/>
      <c r="F533" s="38"/>
    </row>
    <row r="534" ht="15.75" customHeight="1">
      <c r="A534" s="29"/>
      <c r="D534" s="41"/>
      <c r="F534" s="38"/>
    </row>
    <row r="535" ht="15.75" customHeight="1">
      <c r="A535" s="29"/>
      <c r="D535" s="41"/>
      <c r="F535" s="38"/>
    </row>
    <row r="536" ht="15.75" customHeight="1">
      <c r="A536" s="29"/>
      <c r="D536" s="41"/>
      <c r="F536" s="38"/>
    </row>
    <row r="537" ht="15.75" customHeight="1">
      <c r="A537" s="29"/>
      <c r="D537" s="41"/>
      <c r="F537" s="38"/>
    </row>
    <row r="538" ht="15.75" customHeight="1">
      <c r="A538" s="29"/>
      <c r="D538" s="41"/>
      <c r="F538" s="38"/>
    </row>
    <row r="539" ht="15.75" customHeight="1">
      <c r="A539" s="29"/>
      <c r="D539" s="41"/>
      <c r="F539" s="38"/>
    </row>
    <row r="540" ht="15.75" customHeight="1">
      <c r="A540" s="29"/>
      <c r="D540" s="41"/>
      <c r="F540" s="38"/>
    </row>
    <row r="541" ht="15.75" customHeight="1">
      <c r="A541" s="29"/>
      <c r="D541" s="41"/>
      <c r="F541" s="38"/>
    </row>
    <row r="542" ht="15.75" customHeight="1">
      <c r="A542" s="29"/>
      <c r="D542" s="41"/>
      <c r="F542" s="38"/>
    </row>
    <row r="543" ht="15.75" customHeight="1">
      <c r="A543" s="29"/>
      <c r="D543" s="41"/>
      <c r="F543" s="38"/>
    </row>
    <row r="544" ht="15.75" customHeight="1">
      <c r="A544" s="29"/>
      <c r="D544" s="41"/>
      <c r="F544" s="38"/>
    </row>
    <row r="545" ht="15.75" customHeight="1">
      <c r="A545" s="29"/>
      <c r="D545" s="41"/>
      <c r="F545" s="38"/>
    </row>
    <row r="546" ht="15.75" customHeight="1">
      <c r="A546" s="29"/>
      <c r="D546" s="41"/>
      <c r="F546" s="38"/>
    </row>
    <row r="547" ht="15.75" customHeight="1">
      <c r="A547" s="29"/>
      <c r="D547" s="41"/>
      <c r="F547" s="38"/>
    </row>
    <row r="548" ht="15.75" customHeight="1">
      <c r="A548" s="29"/>
      <c r="D548" s="41"/>
      <c r="F548" s="38"/>
    </row>
    <row r="549" ht="15.75" customHeight="1">
      <c r="A549" s="29"/>
      <c r="D549" s="41"/>
      <c r="F549" s="38"/>
    </row>
    <row r="550" ht="15.75" customHeight="1">
      <c r="A550" s="29"/>
      <c r="D550" s="41"/>
      <c r="F550" s="38"/>
    </row>
    <row r="551" ht="15.75" customHeight="1">
      <c r="A551" s="29"/>
      <c r="D551" s="41"/>
      <c r="F551" s="38"/>
    </row>
    <row r="552" ht="15.75" customHeight="1">
      <c r="A552" s="29"/>
      <c r="D552" s="41"/>
      <c r="F552" s="38"/>
    </row>
    <row r="553" ht="15.75" customHeight="1">
      <c r="A553" s="29"/>
      <c r="D553" s="41"/>
      <c r="F553" s="38"/>
    </row>
    <row r="554" ht="15.75" customHeight="1">
      <c r="A554" s="29"/>
      <c r="D554" s="41"/>
      <c r="F554" s="38"/>
    </row>
    <row r="555" ht="15.75" customHeight="1">
      <c r="A555" s="29"/>
      <c r="D555" s="41"/>
      <c r="F555" s="38"/>
    </row>
    <row r="556" ht="15.75" customHeight="1">
      <c r="A556" s="29"/>
      <c r="D556" s="41"/>
      <c r="F556" s="38"/>
    </row>
    <row r="557" ht="15.75" customHeight="1">
      <c r="A557" s="29"/>
      <c r="D557" s="41"/>
      <c r="F557" s="38"/>
    </row>
    <row r="558" ht="15.75" customHeight="1">
      <c r="A558" s="29"/>
    </row>
    <row r="559" ht="15.75" customHeight="1">
      <c r="A559" s="29"/>
    </row>
    <row r="560" ht="15.75" customHeight="1">
      <c r="A560" s="29"/>
    </row>
    <row r="561" ht="15.75" customHeight="1">
      <c r="A561" s="29"/>
    </row>
    <row r="562" ht="15.75" customHeight="1">
      <c r="A562" s="29"/>
    </row>
    <row r="563" ht="15.75" customHeight="1">
      <c r="A563" s="29"/>
    </row>
    <row r="564" ht="15.75" customHeight="1">
      <c r="A564" s="29"/>
    </row>
    <row r="565" ht="15.75" customHeight="1">
      <c r="A565" s="29"/>
    </row>
    <row r="566" ht="15.75" customHeight="1">
      <c r="A566" s="29"/>
    </row>
    <row r="567" ht="15.75" customHeight="1">
      <c r="A567" s="29"/>
    </row>
    <row r="568" ht="15.75" customHeight="1">
      <c r="A568" s="29"/>
    </row>
    <row r="569" ht="15.75" customHeight="1">
      <c r="A569" s="29"/>
    </row>
    <row r="570" ht="15.75" customHeight="1">
      <c r="A570" s="29"/>
    </row>
    <row r="571" ht="15.75" customHeight="1">
      <c r="A571" s="29"/>
    </row>
    <row r="572" ht="15.75" customHeight="1">
      <c r="A572" s="29"/>
    </row>
    <row r="573" ht="15.75" customHeight="1">
      <c r="A573" s="29"/>
    </row>
    <row r="574" ht="15.75" customHeight="1">
      <c r="A574" s="29"/>
    </row>
    <row r="575" ht="15.75" customHeight="1">
      <c r="A575" s="29"/>
    </row>
    <row r="576" ht="15.75" customHeight="1">
      <c r="A576" s="29"/>
    </row>
    <row r="577" ht="15.75" customHeight="1">
      <c r="A577" s="29"/>
    </row>
    <row r="578" ht="15.75" customHeight="1">
      <c r="A578" s="29"/>
    </row>
    <row r="579" ht="15.75" customHeight="1">
      <c r="A579" s="29"/>
    </row>
    <row r="580" ht="15.75" customHeight="1">
      <c r="A580" s="29"/>
    </row>
    <row r="581" ht="15.75" customHeight="1">
      <c r="A581" s="29"/>
    </row>
    <row r="582" ht="15.75" customHeight="1">
      <c r="A582" s="29"/>
    </row>
    <row r="583" ht="15.75" customHeight="1">
      <c r="A583" s="29"/>
    </row>
    <row r="584" ht="15.75" customHeight="1">
      <c r="A584" s="29"/>
    </row>
    <row r="585" ht="15.75" customHeight="1">
      <c r="A585" s="29"/>
    </row>
    <row r="586" ht="15.75" customHeight="1">
      <c r="A586" s="29"/>
    </row>
    <row r="587" ht="15.75" customHeight="1">
      <c r="A587" s="29"/>
    </row>
    <row r="588" ht="15.75" customHeight="1">
      <c r="A588" s="29"/>
    </row>
    <row r="589" ht="15.75" customHeight="1">
      <c r="A589" s="29"/>
    </row>
    <row r="590" ht="15.75" customHeight="1">
      <c r="A590" s="29"/>
    </row>
    <row r="591" ht="15.75" customHeight="1">
      <c r="A591" s="29"/>
    </row>
    <row r="592" ht="15.75" customHeight="1">
      <c r="A592" s="29"/>
    </row>
    <row r="593" ht="15.75" customHeight="1">
      <c r="A593" s="29"/>
    </row>
    <row r="594" ht="15.75" customHeight="1">
      <c r="A594" s="29"/>
    </row>
    <row r="595" ht="15.75" customHeight="1">
      <c r="A595" s="29"/>
    </row>
    <row r="596" ht="15.75" customHeight="1">
      <c r="A596" s="29"/>
    </row>
    <row r="597" ht="15.75" customHeight="1">
      <c r="A597" s="29"/>
    </row>
    <row r="598" ht="15.75" customHeight="1">
      <c r="A598" s="29"/>
    </row>
    <row r="599" ht="15.75" customHeight="1">
      <c r="A599" s="29"/>
    </row>
    <row r="600" ht="15.75" customHeight="1">
      <c r="A600" s="29"/>
    </row>
    <row r="601" ht="15.75" customHeight="1">
      <c r="A601" s="29"/>
    </row>
    <row r="602" ht="15.75" customHeight="1">
      <c r="A602" s="29"/>
    </row>
    <row r="603" ht="15.75" customHeight="1">
      <c r="A603" s="29"/>
    </row>
    <row r="604" ht="15.75" customHeight="1">
      <c r="A604" s="29"/>
    </row>
    <row r="605" ht="15.75" customHeight="1">
      <c r="A605" s="29"/>
    </row>
    <row r="606" ht="15.75" customHeight="1">
      <c r="A606" s="29"/>
    </row>
    <row r="607" ht="15.75" customHeight="1">
      <c r="A607" s="29"/>
    </row>
    <row r="608" ht="15.75" customHeight="1">
      <c r="A608" s="29"/>
    </row>
    <row r="609" ht="15.75" customHeight="1">
      <c r="A609" s="29"/>
    </row>
    <row r="610" ht="15.75" customHeight="1">
      <c r="A610" s="29"/>
    </row>
    <row r="611" ht="15.75" customHeight="1">
      <c r="A611" s="29"/>
    </row>
    <row r="612" ht="15.75" customHeight="1">
      <c r="A612" s="29"/>
    </row>
    <row r="613" ht="15.75" customHeight="1">
      <c r="A613" s="29"/>
    </row>
    <row r="614" ht="15.75" customHeight="1">
      <c r="A614" s="29"/>
    </row>
    <row r="615" ht="15.75" customHeight="1">
      <c r="A615" s="29"/>
    </row>
    <row r="616" ht="15.75" customHeight="1">
      <c r="A616" s="29"/>
    </row>
    <row r="617" ht="15.75" customHeight="1">
      <c r="A617" s="29"/>
    </row>
    <row r="618" ht="15.75" customHeight="1">
      <c r="A618" s="29"/>
    </row>
    <row r="619" ht="15.75" customHeight="1">
      <c r="A619" s="29"/>
    </row>
    <row r="620" ht="15.75" customHeight="1">
      <c r="A620" s="29"/>
    </row>
    <row r="621" ht="15.75" customHeight="1">
      <c r="A621" s="29"/>
    </row>
    <row r="622" ht="15.75" customHeight="1">
      <c r="A622" s="29"/>
    </row>
    <row r="623" ht="15.75" customHeight="1">
      <c r="A623" s="29"/>
    </row>
    <row r="624" ht="15.75" customHeight="1">
      <c r="A624" s="29"/>
    </row>
    <row r="625" ht="15.75" customHeight="1">
      <c r="A625" s="29"/>
    </row>
    <row r="626" ht="15.75" customHeight="1">
      <c r="A626" s="29"/>
    </row>
    <row r="627" ht="15.75" customHeight="1">
      <c r="A627" s="29"/>
    </row>
    <row r="628" ht="15.75" customHeight="1">
      <c r="A628" s="29"/>
    </row>
    <row r="629" ht="15.75" customHeight="1">
      <c r="A629" s="29"/>
    </row>
    <row r="630" ht="15.75" customHeight="1">
      <c r="A630" s="29"/>
    </row>
    <row r="631" ht="15.75" customHeight="1">
      <c r="A631" s="29"/>
    </row>
    <row r="632" ht="15.75" customHeight="1">
      <c r="A632" s="29"/>
    </row>
    <row r="633" ht="15.75" customHeight="1">
      <c r="A633" s="29"/>
    </row>
    <row r="634" ht="15.75" customHeight="1">
      <c r="A634" s="29"/>
    </row>
    <row r="635" ht="15.75" customHeight="1">
      <c r="A635" s="29"/>
    </row>
    <row r="636" ht="15.75" customHeight="1">
      <c r="A636" s="29"/>
    </row>
    <row r="637" ht="15.75" customHeight="1">
      <c r="A637" s="29"/>
    </row>
    <row r="638" ht="15.75" customHeight="1">
      <c r="A638" s="29"/>
    </row>
    <row r="639" ht="15.75" customHeight="1">
      <c r="A639" s="29"/>
    </row>
    <row r="640" ht="15.75" customHeight="1">
      <c r="A640" s="29"/>
    </row>
    <row r="641" ht="15.75" customHeight="1">
      <c r="A641" s="29"/>
    </row>
    <row r="642" ht="15.75" customHeight="1">
      <c r="A642" s="29"/>
    </row>
    <row r="643" ht="15.75" customHeight="1">
      <c r="A643" s="29"/>
    </row>
    <row r="644" ht="15.75" customHeight="1">
      <c r="A644" s="29"/>
    </row>
    <row r="645" ht="15.75" customHeight="1">
      <c r="A645" s="29"/>
    </row>
    <row r="646" ht="15.75" customHeight="1">
      <c r="A646" s="29"/>
    </row>
    <row r="647" ht="15.75" customHeight="1">
      <c r="A647" s="29"/>
    </row>
    <row r="648" ht="15.75" customHeight="1">
      <c r="A648" s="29"/>
    </row>
    <row r="649" ht="15.75" customHeight="1">
      <c r="A649" s="29"/>
    </row>
    <row r="650" ht="15.75" customHeight="1">
      <c r="A650" s="29"/>
    </row>
    <row r="651" ht="15.75" customHeight="1">
      <c r="A651" s="29"/>
    </row>
    <row r="652" ht="15.75" customHeight="1">
      <c r="A652" s="29"/>
    </row>
    <row r="653" ht="15.75" customHeight="1">
      <c r="A653" s="29"/>
    </row>
    <row r="654" ht="15.75" customHeight="1">
      <c r="A654" s="29"/>
    </row>
    <row r="655" ht="15.75" customHeight="1">
      <c r="A655" s="29"/>
    </row>
    <row r="656" ht="15.75" customHeight="1">
      <c r="A656" s="29"/>
    </row>
    <row r="657" ht="15.75" customHeight="1">
      <c r="A657" s="29"/>
    </row>
    <row r="658" ht="15.75" customHeight="1">
      <c r="A658" s="29"/>
    </row>
    <row r="659" ht="15.75" customHeight="1">
      <c r="A659" s="29"/>
    </row>
    <row r="660" ht="15.75" customHeight="1">
      <c r="A660" s="29"/>
    </row>
    <row r="661" ht="15.75" customHeight="1">
      <c r="A661" s="29"/>
    </row>
    <row r="662" ht="15.75" customHeight="1">
      <c r="A662" s="29"/>
    </row>
    <row r="663" ht="15.75" customHeight="1">
      <c r="A663" s="29"/>
    </row>
    <row r="664" ht="15.75" customHeight="1">
      <c r="A664" s="29"/>
    </row>
    <row r="665" ht="15.75" customHeight="1">
      <c r="A665" s="29"/>
    </row>
    <row r="666" ht="15.75" customHeight="1">
      <c r="A666" s="29"/>
    </row>
    <row r="667" ht="15.75" customHeight="1">
      <c r="A667" s="29"/>
    </row>
    <row r="668" ht="15.75" customHeight="1">
      <c r="A668" s="29"/>
    </row>
    <row r="669" ht="15.75" customHeight="1">
      <c r="A669" s="29"/>
    </row>
    <row r="670" ht="15.75" customHeight="1">
      <c r="A670" s="29"/>
    </row>
    <row r="671" ht="15.75" customHeight="1">
      <c r="A671" s="29"/>
    </row>
    <row r="672" ht="15.75" customHeight="1">
      <c r="A672" s="29"/>
    </row>
    <row r="673" ht="15.75" customHeight="1">
      <c r="A673" s="29"/>
    </row>
    <row r="674" ht="15.75" customHeight="1">
      <c r="A674" s="29"/>
    </row>
    <row r="675" ht="15.75" customHeight="1">
      <c r="A675" s="29"/>
    </row>
    <row r="676" ht="15.75" customHeight="1">
      <c r="A676" s="29"/>
    </row>
    <row r="677" ht="15.75" customHeight="1">
      <c r="A677" s="29"/>
    </row>
    <row r="678" ht="15.75" customHeight="1">
      <c r="A678" s="29"/>
    </row>
    <row r="679" ht="15.75" customHeight="1">
      <c r="A679" s="29"/>
    </row>
    <row r="680" ht="15.75" customHeight="1">
      <c r="A680" s="29"/>
    </row>
    <row r="681" ht="15.75" customHeight="1">
      <c r="A681" s="29"/>
    </row>
    <row r="682" ht="15.75" customHeight="1">
      <c r="A682" s="29"/>
    </row>
    <row r="683" ht="15.75" customHeight="1">
      <c r="A683" s="29"/>
    </row>
    <row r="684" ht="15.75" customHeight="1">
      <c r="A684" s="29"/>
    </row>
    <row r="685" ht="15.75" customHeight="1">
      <c r="A685" s="29"/>
    </row>
    <row r="686" ht="15.75" customHeight="1">
      <c r="A686" s="29"/>
    </row>
    <row r="687" ht="15.75" customHeight="1">
      <c r="A687" s="29"/>
    </row>
    <row r="688" ht="15.75" customHeight="1">
      <c r="A688" s="29"/>
    </row>
    <row r="689" ht="15.75" customHeight="1">
      <c r="A689" s="29"/>
    </row>
    <row r="690" ht="15.75" customHeight="1">
      <c r="A690" s="29"/>
    </row>
    <row r="691" ht="15.75" customHeight="1">
      <c r="A691" s="29"/>
    </row>
    <row r="692" ht="15.75" customHeight="1">
      <c r="A692" s="29"/>
    </row>
    <row r="693" ht="15.75" customHeight="1">
      <c r="A693" s="29"/>
    </row>
    <row r="694" ht="15.75" customHeight="1">
      <c r="A694" s="29"/>
    </row>
    <row r="695" ht="15.75" customHeight="1">
      <c r="A695" s="29"/>
    </row>
    <row r="696" ht="15.75" customHeight="1">
      <c r="A696" s="29"/>
    </row>
    <row r="697" ht="15.75" customHeight="1">
      <c r="A697" s="29"/>
    </row>
    <row r="698" ht="15.75" customHeight="1">
      <c r="A698" s="29"/>
    </row>
    <row r="699" ht="15.75" customHeight="1">
      <c r="A699" s="29"/>
    </row>
    <row r="700" ht="15.75" customHeight="1">
      <c r="A700" s="29"/>
    </row>
    <row r="701" ht="15.75" customHeight="1">
      <c r="A701" s="29"/>
    </row>
    <row r="702" ht="15.75" customHeight="1">
      <c r="A702" s="29"/>
    </row>
    <row r="703" ht="15.75" customHeight="1">
      <c r="A703" s="29"/>
    </row>
    <row r="704" ht="15.75" customHeight="1">
      <c r="A704" s="29"/>
    </row>
    <row r="705" ht="15.75" customHeight="1">
      <c r="A705" s="29"/>
    </row>
    <row r="706" ht="15.75" customHeight="1">
      <c r="A706" s="29"/>
    </row>
    <row r="707" ht="15.75" customHeight="1">
      <c r="A707" s="29"/>
    </row>
    <row r="708" ht="15.75" customHeight="1">
      <c r="A708" s="29"/>
    </row>
    <row r="709" ht="15.75" customHeight="1">
      <c r="A709" s="29"/>
    </row>
    <row r="710" ht="15.75" customHeight="1">
      <c r="A710" s="29"/>
    </row>
    <row r="711" ht="15.75" customHeight="1">
      <c r="A711" s="29"/>
    </row>
    <row r="712" ht="15.75" customHeight="1">
      <c r="A712" s="29"/>
    </row>
    <row r="713" ht="15.75" customHeight="1">
      <c r="A713" s="29"/>
    </row>
    <row r="714" ht="15.75" customHeight="1">
      <c r="A714" s="29"/>
    </row>
    <row r="715" ht="15.75" customHeight="1">
      <c r="A715" s="29"/>
    </row>
    <row r="716" ht="15.75" customHeight="1">
      <c r="A716" s="29"/>
    </row>
    <row r="717" ht="15.75" customHeight="1">
      <c r="A717" s="29"/>
    </row>
    <row r="718" ht="15.75" customHeight="1">
      <c r="A718" s="29"/>
    </row>
    <row r="719" ht="15.75" customHeight="1">
      <c r="A719" s="29"/>
    </row>
    <row r="720" ht="15.75" customHeight="1">
      <c r="A720" s="29"/>
    </row>
    <row r="721" ht="15.75" customHeight="1">
      <c r="A721" s="29"/>
    </row>
    <row r="722" ht="15.75" customHeight="1">
      <c r="A722" s="29"/>
    </row>
    <row r="723" ht="15.75" customHeight="1">
      <c r="A723" s="29"/>
    </row>
    <row r="724" ht="15.75" customHeight="1">
      <c r="A724" s="29"/>
    </row>
    <row r="725" ht="15.75" customHeight="1">
      <c r="A725" s="29"/>
    </row>
    <row r="726" ht="15.75" customHeight="1">
      <c r="A726" s="29"/>
    </row>
    <row r="727" ht="15.75" customHeight="1">
      <c r="A727" s="29"/>
    </row>
    <row r="728" ht="15.75" customHeight="1">
      <c r="A728" s="29"/>
    </row>
    <row r="729" ht="15.75" customHeight="1">
      <c r="A729" s="29"/>
    </row>
    <row r="730" ht="15.75" customHeight="1">
      <c r="A730" s="29"/>
    </row>
    <row r="731" ht="15.75" customHeight="1">
      <c r="A731" s="29"/>
    </row>
    <row r="732" ht="15.75" customHeight="1">
      <c r="A732" s="29"/>
    </row>
    <row r="733" ht="15.75" customHeight="1">
      <c r="A733" s="29"/>
    </row>
    <row r="734" ht="15.75" customHeight="1">
      <c r="A734" s="29"/>
    </row>
    <row r="735" ht="15.75" customHeight="1">
      <c r="A735" s="29"/>
    </row>
    <row r="736" ht="15.75" customHeight="1">
      <c r="A736" s="29"/>
    </row>
    <row r="737" ht="15.75" customHeight="1">
      <c r="A737" s="29"/>
    </row>
    <row r="738" ht="15.75" customHeight="1">
      <c r="A738" s="29"/>
    </row>
    <row r="739" ht="15.75" customHeight="1">
      <c r="A739" s="29"/>
    </row>
    <row r="740" ht="15.75" customHeight="1">
      <c r="A740" s="29"/>
    </row>
    <row r="741" ht="15.75" customHeight="1">
      <c r="A741" s="29"/>
    </row>
    <row r="742" ht="15.75" customHeight="1">
      <c r="A742" s="29"/>
    </row>
    <row r="743" ht="15.75" customHeight="1">
      <c r="A743" s="29"/>
    </row>
    <row r="744" ht="15.75" customHeight="1">
      <c r="A744" s="29"/>
    </row>
    <row r="745" ht="15.75" customHeight="1">
      <c r="A745" s="29"/>
    </row>
    <row r="746" ht="15.75" customHeight="1">
      <c r="A746" s="29"/>
    </row>
    <row r="747" ht="15.75" customHeight="1">
      <c r="A747" s="29"/>
    </row>
    <row r="748" ht="15.75" customHeight="1">
      <c r="A748" s="29"/>
    </row>
    <row r="749" ht="15.75" customHeight="1">
      <c r="A749" s="29"/>
    </row>
    <row r="750" ht="15.75" customHeight="1">
      <c r="A750" s="29"/>
    </row>
    <row r="751" ht="15.75" customHeight="1">
      <c r="A751" s="29"/>
    </row>
    <row r="752" ht="15.75" customHeight="1">
      <c r="A752" s="29"/>
    </row>
    <row r="753" ht="15.75" customHeight="1">
      <c r="A753" s="29"/>
    </row>
    <row r="754" ht="15.75" customHeight="1">
      <c r="A754" s="29"/>
    </row>
    <row r="755" ht="15.75" customHeight="1">
      <c r="A755" s="29"/>
    </row>
    <row r="756" ht="15.75" customHeight="1">
      <c r="A756" s="29"/>
    </row>
    <row r="757" ht="15.75" customHeight="1">
      <c r="A757" s="29"/>
    </row>
    <row r="758" ht="15.75" customHeight="1">
      <c r="A758" s="29"/>
    </row>
    <row r="759" ht="15.75" customHeight="1">
      <c r="A759" s="29"/>
    </row>
    <row r="760" ht="15.75" customHeight="1">
      <c r="A760" s="29"/>
    </row>
    <row r="761" ht="15.75" customHeight="1">
      <c r="A761" s="29"/>
    </row>
    <row r="762" ht="15.75" customHeight="1">
      <c r="A762" s="29"/>
    </row>
    <row r="763" ht="15.75" customHeight="1">
      <c r="A763" s="29"/>
    </row>
    <row r="764" ht="15.75" customHeight="1">
      <c r="A764" s="29"/>
    </row>
    <row r="765" ht="15.75" customHeight="1">
      <c r="A765" s="29"/>
    </row>
    <row r="766" ht="15.75" customHeight="1">
      <c r="A766" s="29"/>
    </row>
    <row r="767" ht="15.75" customHeight="1">
      <c r="A767" s="29"/>
    </row>
    <row r="768" ht="15.75" customHeight="1">
      <c r="A768" s="29"/>
    </row>
    <row r="769" ht="15.75" customHeight="1">
      <c r="A769" s="29"/>
    </row>
    <row r="770" ht="15.75" customHeight="1">
      <c r="A770" s="29"/>
    </row>
    <row r="771" ht="15.75" customHeight="1">
      <c r="A771" s="29"/>
    </row>
    <row r="772" ht="15.75" customHeight="1">
      <c r="A772" s="29"/>
    </row>
    <row r="773" ht="15.75" customHeight="1">
      <c r="A773" s="29"/>
    </row>
    <row r="774" ht="15.75" customHeight="1">
      <c r="A774" s="29"/>
    </row>
    <row r="775" ht="15.75" customHeight="1">
      <c r="A775" s="29"/>
    </row>
    <row r="776" ht="15.75" customHeight="1">
      <c r="A776" s="29"/>
    </row>
    <row r="777" ht="15.75" customHeight="1">
      <c r="A777" s="29"/>
    </row>
    <row r="778" ht="15.75" customHeight="1">
      <c r="A778" s="29"/>
    </row>
    <row r="779" ht="15.75" customHeight="1">
      <c r="A779" s="29"/>
    </row>
    <row r="780" ht="15.75" customHeight="1">
      <c r="A780" s="29"/>
    </row>
    <row r="781" ht="15.75" customHeight="1">
      <c r="A781" s="29"/>
    </row>
    <row r="782" ht="15.75" customHeight="1">
      <c r="A782" s="29"/>
    </row>
    <row r="783" ht="15.75" customHeight="1">
      <c r="A783" s="29"/>
    </row>
    <row r="784" ht="15.75" customHeight="1">
      <c r="A784" s="29"/>
    </row>
    <row r="785" ht="15.75" customHeight="1">
      <c r="A785" s="29"/>
    </row>
    <row r="786" ht="15.75" customHeight="1">
      <c r="A786" s="29"/>
    </row>
    <row r="787" ht="15.75" customHeight="1">
      <c r="A787" s="29"/>
    </row>
    <row r="788" ht="15.75" customHeight="1">
      <c r="A788" s="29"/>
    </row>
    <row r="789" ht="15.75" customHeight="1">
      <c r="A789" s="29"/>
    </row>
    <row r="790" ht="15.75" customHeight="1">
      <c r="A790" s="29"/>
    </row>
    <row r="791" ht="15.75" customHeight="1">
      <c r="A791" s="29"/>
    </row>
    <row r="792" ht="15.75" customHeight="1">
      <c r="A792" s="29"/>
    </row>
    <row r="793" ht="15.75" customHeight="1">
      <c r="A793" s="29"/>
    </row>
    <row r="794" ht="15.75" customHeight="1">
      <c r="A794" s="29"/>
    </row>
    <row r="795" ht="15.75" customHeight="1">
      <c r="A795" s="29"/>
    </row>
    <row r="796" ht="15.75" customHeight="1">
      <c r="A796" s="29"/>
    </row>
    <row r="797" ht="15.75" customHeight="1">
      <c r="A797" s="29"/>
    </row>
    <row r="798" ht="15.75" customHeight="1">
      <c r="A798" s="29"/>
    </row>
    <row r="799" ht="15.75" customHeight="1">
      <c r="A799" s="29"/>
    </row>
    <row r="800" ht="15.75" customHeight="1">
      <c r="A800" s="29"/>
    </row>
    <row r="801" ht="15.75" customHeight="1">
      <c r="A801" s="29"/>
    </row>
    <row r="802" ht="15.75" customHeight="1">
      <c r="A802" s="29"/>
    </row>
    <row r="803" ht="15.75" customHeight="1">
      <c r="A803" s="29"/>
    </row>
    <row r="804" ht="15.75" customHeight="1">
      <c r="A804" s="29"/>
    </row>
    <row r="805" ht="15.75" customHeight="1">
      <c r="A805" s="29"/>
    </row>
    <row r="806" ht="15.75" customHeight="1">
      <c r="A806" s="29"/>
    </row>
    <row r="807" ht="15.75" customHeight="1">
      <c r="A807" s="29"/>
    </row>
    <row r="808" ht="15.75" customHeight="1">
      <c r="A808" s="29"/>
    </row>
    <row r="809" ht="15.75" customHeight="1">
      <c r="A809" s="29"/>
    </row>
    <row r="810" ht="15.75" customHeight="1">
      <c r="A810" s="29"/>
    </row>
    <row r="811" ht="15.75" customHeight="1">
      <c r="A811" s="29"/>
    </row>
    <row r="812" ht="15.75" customHeight="1">
      <c r="A812" s="29"/>
    </row>
    <row r="813" ht="15.75" customHeight="1">
      <c r="A813" s="29"/>
    </row>
    <row r="814" ht="15.75" customHeight="1">
      <c r="A814" s="29"/>
    </row>
    <row r="815" ht="15.75" customHeight="1">
      <c r="A815" s="29"/>
    </row>
    <row r="816" ht="15.75" customHeight="1">
      <c r="A816" s="29"/>
    </row>
    <row r="817" ht="15.75" customHeight="1">
      <c r="A817" s="29"/>
    </row>
    <row r="818" ht="15.75" customHeight="1">
      <c r="A818" s="29"/>
    </row>
    <row r="819" ht="15.75" customHeight="1">
      <c r="A819" s="29"/>
    </row>
    <row r="820" ht="15.75" customHeight="1">
      <c r="A820" s="29"/>
    </row>
    <row r="821" ht="15.75" customHeight="1">
      <c r="A821" s="29"/>
    </row>
    <row r="822" ht="15.75" customHeight="1">
      <c r="A822" s="29"/>
    </row>
    <row r="823" ht="15.75" customHeight="1">
      <c r="A823" s="29"/>
    </row>
    <row r="824" ht="15.75" customHeight="1">
      <c r="A824" s="29"/>
    </row>
    <row r="825" ht="15.75" customHeight="1">
      <c r="A825" s="29"/>
    </row>
    <row r="826" ht="15.75" customHeight="1">
      <c r="A826" s="29"/>
    </row>
    <row r="827" ht="15.75" customHeight="1">
      <c r="A827" s="29"/>
    </row>
    <row r="828" ht="15.75" customHeight="1">
      <c r="A828" s="29"/>
    </row>
    <row r="829" ht="15.75" customHeight="1">
      <c r="A829" s="29"/>
    </row>
    <row r="830" ht="15.75" customHeight="1">
      <c r="A830" s="29"/>
    </row>
    <row r="831" ht="15.75" customHeight="1">
      <c r="A831" s="29"/>
    </row>
    <row r="832" ht="15.75" customHeight="1">
      <c r="A832" s="29"/>
    </row>
    <row r="833" ht="15.75" customHeight="1">
      <c r="A833" s="29"/>
    </row>
    <row r="834" ht="15.75" customHeight="1">
      <c r="A834" s="29"/>
    </row>
    <row r="835" ht="15.75" customHeight="1">
      <c r="A835" s="29"/>
    </row>
    <row r="836" ht="15.75" customHeight="1">
      <c r="A836" s="29"/>
    </row>
    <row r="837" ht="15.75" customHeight="1">
      <c r="A837" s="29"/>
    </row>
    <row r="838" ht="15.75" customHeight="1">
      <c r="A838" s="29"/>
    </row>
    <row r="839" ht="15.75" customHeight="1">
      <c r="A839" s="29"/>
    </row>
    <row r="840" ht="15.75" customHeight="1">
      <c r="A840" s="29"/>
    </row>
    <row r="841" ht="15.75" customHeight="1">
      <c r="A841" s="29"/>
    </row>
    <row r="842" ht="15.75" customHeight="1">
      <c r="A842" s="29"/>
    </row>
    <row r="843" ht="15.75" customHeight="1">
      <c r="A843" s="29"/>
    </row>
    <row r="844" ht="15.75" customHeight="1">
      <c r="A844" s="29"/>
    </row>
    <row r="845" ht="15.75" customHeight="1">
      <c r="A845" s="29"/>
    </row>
    <row r="846" ht="15.75" customHeight="1">
      <c r="A846" s="29"/>
    </row>
    <row r="847" ht="15.75" customHeight="1">
      <c r="A847" s="29"/>
    </row>
    <row r="848" ht="15.75" customHeight="1">
      <c r="A848" s="29"/>
    </row>
    <row r="849" ht="15.75" customHeight="1">
      <c r="A849" s="29"/>
    </row>
    <row r="850" ht="15.75" customHeight="1">
      <c r="A850" s="29"/>
    </row>
    <row r="851" ht="15.75" customHeight="1">
      <c r="A851" s="29"/>
    </row>
    <row r="852" ht="15.75" customHeight="1">
      <c r="A852" s="29"/>
    </row>
    <row r="853" ht="15.75" customHeight="1">
      <c r="A853" s="29"/>
    </row>
    <row r="854" ht="15.75" customHeight="1">
      <c r="A854" s="29"/>
    </row>
    <row r="855" ht="15.75" customHeight="1">
      <c r="A855" s="29"/>
    </row>
    <row r="856" ht="15.75" customHeight="1">
      <c r="A856" s="29"/>
    </row>
    <row r="857" ht="15.75" customHeight="1">
      <c r="A857" s="29"/>
    </row>
    <row r="858" ht="15.75" customHeight="1">
      <c r="A858" s="29"/>
    </row>
    <row r="859" ht="15.75" customHeight="1">
      <c r="A859" s="29"/>
    </row>
    <row r="860" ht="15.75" customHeight="1">
      <c r="A860" s="29"/>
    </row>
    <row r="861" ht="15.75" customHeight="1">
      <c r="A861" s="29"/>
    </row>
    <row r="862" ht="15.75" customHeight="1">
      <c r="A862" s="29"/>
    </row>
    <row r="863" ht="15.75" customHeight="1">
      <c r="A863" s="29"/>
    </row>
    <row r="864" ht="15.75" customHeight="1">
      <c r="A864" s="29"/>
    </row>
    <row r="865" ht="15.75" customHeight="1">
      <c r="A865" s="29"/>
    </row>
    <row r="866" ht="15.75" customHeight="1">
      <c r="A866" s="29"/>
    </row>
    <row r="867" ht="15.75" customHeight="1">
      <c r="A867" s="29"/>
    </row>
    <row r="868" ht="15.75" customHeight="1">
      <c r="A868" s="29"/>
    </row>
    <row r="869" ht="15.75" customHeight="1">
      <c r="A869" s="29"/>
    </row>
    <row r="870" ht="15.75" customHeight="1">
      <c r="A870" s="29"/>
    </row>
    <row r="871" ht="15.75" customHeight="1">
      <c r="A871" s="29"/>
    </row>
    <row r="872" ht="15.75" customHeight="1">
      <c r="A872" s="29"/>
    </row>
    <row r="873" ht="15.75" customHeight="1">
      <c r="A873" s="29"/>
    </row>
    <row r="874" ht="15.75" customHeight="1">
      <c r="A874" s="29"/>
    </row>
    <row r="875" ht="15.75" customHeight="1">
      <c r="A875" s="29"/>
    </row>
    <row r="876" ht="15.75" customHeight="1">
      <c r="A876" s="29"/>
    </row>
    <row r="877" ht="15.75" customHeight="1">
      <c r="A877" s="29"/>
    </row>
    <row r="878" ht="15.75" customHeight="1">
      <c r="A878" s="29"/>
    </row>
    <row r="879" ht="15.75" customHeight="1">
      <c r="A879" s="29"/>
    </row>
    <row r="880" ht="15.75" customHeight="1">
      <c r="A880" s="29"/>
    </row>
    <row r="881" ht="15.75" customHeight="1">
      <c r="A881" s="29"/>
    </row>
    <row r="882" ht="15.75" customHeight="1">
      <c r="A882" s="29"/>
    </row>
    <row r="883" ht="15.75" customHeight="1">
      <c r="A883" s="29"/>
    </row>
    <row r="884" ht="15.75" customHeight="1">
      <c r="A884" s="29"/>
    </row>
    <row r="885" ht="15.75" customHeight="1">
      <c r="A885" s="29"/>
    </row>
    <row r="886" ht="15.75" customHeight="1">
      <c r="A886" s="29"/>
    </row>
    <row r="887" ht="15.75" customHeight="1">
      <c r="A887" s="29"/>
    </row>
    <row r="888" ht="15.75" customHeight="1">
      <c r="A888" s="29"/>
    </row>
    <row r="889" ht="15.75" customHeight="1">
      <c r="A889" s="29"/>
    </row>
    <row r="890" ht="15.75" customHeight="1">
      <c r="A890" s="29"/>
    </row>
    <row r="891" ht="15.75" customHeight="1">
      <c r="A891" s="29"/>
    </row>
    <row r="892" ht="15.75" customHeight="1">
      <c r="A892" s="29"/>
    </row>
    <row r="893" ht="15.75" customHeight="1">
      <c r="A893" s="29"/>
    </row>
    <row r="894" ht="15.75" customHeight="1">
      <c r="A894" s="29"/>
    </row>
    <row r="895" ht="15.75" customHeight="1">
      <c r="A895" s="29"/>
    </row>
    <row r="896" ht="15.75" customHeight="1">
      <c r="A896" s="29"/>
    </row>
    <row r="897" ht="15.75" customHeight="1">
      <c r="A897" s="29"/>
    </row>
    <row r="898" ht="15.75" customHeight="1">
      <c r="A898" s="29"/>
    </row>
    <row r="899" ht="15.75" customHeight="1">
      <c r="A899" s="29"/>
    </row>
    <row r="900" ht="15.75" customHeight="1">
      <c r="A900" s="29"/>
    </row>
    <row r="901" ht="15.75" customHeight="1">
      <c r="A901" s="29"/>
    </row>
    <row r="902" ht="15.75" customHeight="1">
      <c r="A902" s="29"/>
    </row>
    <row r="903" ht="15.75" customHeight="1">
      <c r="A903" s="29"/>
    </row>
    <row r="904" ht="15.75" customHeight="1">
      <c r="A904" s="29"/>
    </row>
    <row r="905" ht="15.75" customHeight="1">
      <c r="A905" s="29"/>
    </row>
    <row r="906" ht="15.75" customHeight="1">
      <c r="A906" s="29"/>
    </row>
    <row r="907" ht="15.75" customHeight="1">
      <c r="A907" s="29"/>
    </row>
    <row r="908" ht="15.75" customHeight="1">
      <c r="A908" s="29"/>
    </row>
    <row r="909" ht="15.75" customHeight="1">
      <c r="A909" s="29"/>
    </row>
    <row r="910" ht="15.75" customHeight="1">
      <c r="A910" s="29"/>
    </row>
    <row r="911" ht="15.75" customHeight="1">
      <c r="A911" s="29"/>
    </row>
    <row r="912" ht="15.75" customHeight="1">
      <c r="A912" s="29"/>
    </row>
    <row r="913" ht="15.75" customHeight="1">
      <c r="A913" s="29"/>
    </row>
    <row r="914" ht="15.75" customHeight="1">
      <c r="A914" s="29"/>
    </row>
    <row r="915" ht="15.75" customHeight="1">
      <c r="A915" s="29"/>
    </row>
    <row r="916" ht="15.75" customHeight="1">
      <c r="A916" s="29"/>
    </row>
    <row r="917" ht="15.75" customHeight="1">
      <c r="A917" s="29"/>
    </row>
    <row r="918" ht="15.75" customHeight="1">
      <c r="A918" s="29"/>
    </row>
    <row r="919" ht="15.75" customHeight="1">
      <c r="A919" s="29"/>
    </row>
    <row r="920" ht="15.75" customHeight="1">
      <c r="A920" s="29"/>
    </row>
    <row r="921" ht="15.75" customHeight="1">
      <c r="A921" s="29"/>
    </row>
    <row r="922" ht="15.75" customHeight="1">
      <c r="A922" s="29"/>
    </row>
    <row r="923" ht="15.75" customHeight="1">
      <c r="A923" s="29"/>
    </row>
    <row r="924" ht="15.75" customHeight="1">
      <c r="A924" s="29"/>
    </row>
    <row r="925" ht="15.75" customHeight="1">
      <c r="A925" s="29"/>
    </row>
    <row r="926" ht="15.75" customHeight="1">
      <c r="A926" s="29"/>
    </row>
    <row r="927" ht="15.75" customHeight="1">
      <c r="A927" s="29"/>
    </row>
    <row r="928" ht="15.75" customHeight="1">
      <c r="A928" s="29"/>
    </row>
    <row r="929" ht="15.75" customHeight="1">
      <c r="A929" s="29"/>
    </row>
    <row r="930" ht="15.75" customHeight="1">
      <c r="A930" s="29"/>
    </row>
    <row r="931" ht="15.75" customHeight="1">
      <c r="A931" s="29"/>
    </row>
    <row r="932" ht="15.75" customHeight="1">
      <c r="A932" s="29"/>
    </row>
    <row r="933" ht="15.75" customHeight="1">
      <c r="A933" s="29"/>
    </row>
    <row r="934" ht="15.75" customHeight="1">
      <c r="A934" s="29"/>
    </row>
    <row r="935" ht="15.75" customHeight="1">
      <c r="A935" s="29"/>
    </row>
    <row r="936" ht="15.75" customHeight="1">
      <c r="A936" s="29"/>
    </row>
    <row r="937" ht="15.75" customHeight="1">
      <c r="A937" s="29"/>
    </row>
    <row r="938" ht="15.75" customHeight="1">
      <c r="A938" s="29"/>
    </row>
    <row r="939" ht="15.75" customHeight="1">
      <c r="A939" s="29"/>
    </row>
    <row r="940" ht="15.75" customHeight="1">
      <c r="A940" s="29"/>
    </row>
    <row r="941" ht="15.75" customHeight="1">
      <c r="A941" s="29"/>
    </row>
    <row r="942" ht="15.75" customHeight="1">
      <c r="A942" s="29"/>
    </row>
    <row r="943" ht="15.75" customHeight="1">
      <c r="A943" s="29"/>
    </row>
    <row r="944" ht="15.75" customHeight="1">
      <c r="A944" s="29"/>
    </row>
    <row r="945" ht="15.75" customHeight="1">
      <c r="A945" s="29"/>
    </row>
    <row r="946" ht="15.75" customHeight="1">
      <c r="A946" s="29"/>
    </row>
    <row r="947" ht="15.75" customHeight="1">
      <c r="A947" s="29"/>
    </row>
    <row r="948" ht="15.75" customHeight="1">
      <c r="A948" s="29"/>
    </row>
    <row r="949" ht="15.75" customHeight="1">
      <c r="A949" s="29"/>
    </row>
    <row r="950" ht="15.75" customHeight="1">
      <c r="A950" s="29"/>
    </row>
    <row r="951" ht="15.75" customHeight="1">
      <c r="A951" s="29"/>
    </row>
    <row r="952" ht="15.75" customHeight="1">
      <c r="A952" s="29"/>
    </row>
    <row r="953" ht="15.75" customHeight="1">
      <c r="A953" s="29"/>
    </row>
    <row r="954" ht="15.75" customHeight="1">
      <c r="A954" s="29"/>
    </row>
    <row r="955" ht="15.75" customHeight="1">
      <c r="A955" s="29"/>
    </row>
    <row r="956" ht="15.75" customHeight="1">
      <c r="A956" s="29"/>
    </row>
    <row r="957" ht="15.75" customHeight="1">
      <c r="A957" s="29"/>
    </row>
    <row r="958" ht="15.75" customHeight="1">
      <c r="A958" s="29"/>
    </row>
    <row r="959" ht="15.75" customHeight="1">
      <c r="A959" s="29"/>
    </row>
    <row r="960" ht="15.75" customHeight="1">
      <c r="A960" s="29"/>
    </row>
    <row r="961" ht="15.75" customHeight="1">
      <c r="A961" s="29"/>
    </row>
    <row r="962" ht="15.75" customHeight="1">
      <c r="A962" s="29"/>
    </row>
    <row r="963" ht="15.75" customHeight="1">
      <c r="A963" s="29"/>
    </row>
    <row r="964" ht="15.75" customHeight="1">
      <c r="A964" s="29"/>
    </row>
    <row r="965" ht="15.75" customHeight="1">
      <c r="A965" s="29"/>
    </row>
    <row r="966" ht="15.75" customHeight="1">
      <c r="A966" s="29"/>
    </row>
    <row r="967" ht="15.75" customHeight="1">
      <c r="A967" s="29"/>
    </row>
    <row r="968" ht="15.75" customHeight="1">
      <c r="A968" s="29"/>
    </row>
    <row r="969" ht="15.75" customHeight="1">
      <c r="A969" s="29"/>
    </row>
    <row r="970" ht="15.75" customHeight="1">
      <c r="A970" s="29"/>
    </row>
    <row r="971" ht="15.75" customHeight="1">
      <c r="A971" s="29"/>
    </row>
    <row r="972" ht="15.75" customHeight="1">
      <c r="A972" s="29"/>
    </row>
    <row r="973" ht="15.75" customHeight="1">
      <c r="A973" s="29"/>
    </row>
    <row r="974" ht="15.75" customHeight="1">
      <c r="A974" s="29"/>
    </row>
    <row r="975" ht="15.75" customHeight="1">
      <c r="A975" s="29"/>
    </row>
    <row r="976" ht="15.75" customHeight="1">
      <c r="A976" s="29"/>
    </row>
    <row r="977" ht="15.75" customHeight="1">
      <c r="A977" s="29"/>
    </row>
    <row r="978" ht="15.75" customHeight="1">
      <c r="A978" s="29"/>
    </row>
    <row r="979" ht="15.75" customHeight="1">
      <c r="A979" s="29"/>
    </row>
    <row r="980" ht="15.75" customHeight="1">
      <c r="A980" s="29"/>
    </row>
    <row r="981" ht="15.75" customHeight="1">
      <c r="A981" s="29"/>
    </row>
    <row r="982" ht="15.75" customHeight="1">
      <c r="A982" s="29"/>
    </row>
    <row r="983" ht="15.75" customHeight="1">
      <c r="A983" s="29"/>
    </row>
    <row r="984" ht="15.75" customHeight="1">
      <c r="A984" s="29"/>
    </row>
    <row r="985" ht="15.75" customHeight="1">
      <c r="A985" s="29"/>
    </row>
    <row r="986" ht="15.75" customHeight="1">
      <c r="A986" s="29"/>
    </row>
    <row r="987" ht="15.75" customHeight="1">
      <c r="A987" s="29"/>
    </row>
    <row r="988" ht="15.75" customHeight="1">
      <c r="A988" s="29"/>
    </row>
    <row r="989" ht="15.75" customHeight="1">
      <c r="A989" s="29"/>
    </row>
    <row r="990" ht="15.75" customHeight="1">
      <c r="A990" s="29"/>
    </row>
    <row r="991" ht="15.75" customHeight="1">
      <c r="A991" s="29"/>
    </row>
    <row r="992" ht="15.75" customHeight="1">
      <c r="A992" s="29"/>
    </row>
    <row r="993" ht="15.75" customHeight="1">
      <c r="A993" s="29"/>
    </row>
    <row r="994" ht="15.75" customHeight="1">
      <c r="A994" s="29"/>
    </row>
    <row r="995" ht="15.75" customHeight="1">
      <c r="A995" s="29"/>
    </row>
    <row r="996" ht="15.75" customHeight="1">
      <c r="A996" s="29"/>
    </row>
    <row r="997" ht="15.75" customHeight="1">
      <c r="A997" s="29"/>
    </row>
    <row r="998" ht="15.75" customHeight="1">
      <c r="A998" s="29"/>
    </row>
    <row r="999" ht="15.75" customHeight="1">
      <c r="A999" s="29"/>
    </row>
    <row r="1000" ht="15.75" customHeight="1">
      <c r="A1000" s="29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4" max="4" width="14.13"/>
    <col customWidth="1" min="5" max="6" width="21.0"/>
    <col customWidth="1" min="7" max="7" width="14.25"/>
    <col customWidth="1" min="8" max="13" width="11.0"/>
    <col customWidth="1" min="14" max="15" width="14.75"/>
    <col customWidth="1" min="16" max="34" width="11.0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53" t="s">
        <v>453</v>
      </c>
      <c r="F1" s="54" t="s">
        <v>454</v>
      </c>
      <c r="G1" s="55" t="s">
        <v>472</v>
      </c>
      <c r="H1" s="42" t="s">
        <v>473</v>
      </c>
      <c r="I1" s="55" t="s">
        <v>474</v>
      </c>
      <c r="J1" s="42" t="s">
        <v>475</v>
      </c>
      <c r="K1" s="56" t="s">
        <v>476</v>
      </c>
      <c r="L1" s="52"/>
      <c r="M1" s="2" t="s">
        <v>477</v>
      </c>
      <c r="N1" s="2" t="s">
        <v>7</v>
      </c>
      <c r="O1" s="57" t="s">
        <v>10</v>
      </c>
      <c r="P1" s="57" t="s">
        <v>478</v>
      </c>
      <c r="Q1" s="58" t="s">
        <v>7</v>
      </c>
      <c r="R1" s="59" t="s">
        <v>479</v>
      </c>
      <c r="S1" s="60" t="s">
        <v>480</v>
      </c>
      <c r="T1" s="2" t="s">
        <v>459</v>
      </c>
      <c r="U1" s="52"/>
      <c r="V1" s="52"/>
      <c r="W1" s="52"/>
      <c r="X1" s="52"/>
      <c r="Y1" s="52"/>
      <c r="Z1" s="52"/>
      <c r="AA1" s="52"/>
      <c r="AB1" s="52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</row>
    <row r="2" ht="14.25" customHeight="1">
      <c r="A2" s="6">
        <v>10101.0</v>
      </c>
      <c r="B2" s="7" t="s">
        <v>11</v>
      </c>
      <c r="C2" s="7" t="s">
        <v>12</v>
      </c>
      <c r="D2" s="7" t="s">
        <v>13</v>
      </c>
      <c r="E2" s="61">
        <v>107.0</v>
      </c>
      <c r="F2" s="62">
        <v>5095.0</v>
      </c>
      <c r="G2" s="63">
        <f t="shared" ref="G2:G30" si="1">E2/$R$2</f>
        <v>0.3728222997</v>
      </c>
      <c r="H2" s="64">
        <f t="shared" ref="H2:H30" si="2">$S$17*G2</f>
        <v>7.906815331</v>
      </c>
      <c r="I2" s="63">
        <f t="shared" ref="I2:I30" si="3">F2/$S$2</f>
        <v>0.4405914908</v>
      </c>
      <c r="J2" s="65">
        <f t="shared" ref="J2:J30" si="4">I2*$U$17</f>
        <v>424.7301972</v>
      </c>
      <c r="K2" s="65">
        <f t="shared" ref="K2:K344" si="5">1000*H2/J2</f>
        <v>18.61608942</v>
      </c>
      <c r="L2" s="52"/>
      <c r="M2" s="66">
        <v>1.0</v>
      </c>
      <c r="N2" s="7" t="s">
        <v>11</v>
      </c>
      <c r="O2" s="8">
        <v>24.818401937046005</v>
      </c>
      <c r="P2" s="8">
        <v>8.807642159601926</v>
      </c>
      <c r="Q2" s="38" t="s">
        <v>11</v>
      </c>
      <c r="R2" s="67">
        <v>287.0</v>
      </c>
      <c r="S2" s="68">
        <v>11564.0</v>
      </c>
      <c r="T2" s="7">
        <v>22.0</v>
      </c>
      <c r="U2" s="52"/>
      <c r="V2" s="52"/>
      <c r="W2" s="52"/>
      <c r="X2" s="52"/>
      <c r="Y2" s="52"/>
      <c r="Z2" s="52"/>
      <c r="AA2" s="52"/>
      <c r="AB2" s="52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</row>
    <row r="3" ht="14.25" customHeight="1">
      <c r="A3" s="6">
        <v>10102.0</v>
      </c>
      <c r="B3" s="7" t="s">
        <v>11</v>
      </c>
      <c r="C3" s="7" t="s">
        <v>12</v>
      </c>
      <c r="D3" s="7" t="s">
        <v>14</v>
      </c>
      <c r="E3" s="61">
        <v>4.0</v>
      </c>
      <c r="F3" s="62">
        <v>169.0</v>
      </c>
      <c r="G3" s="63">
        <f t="shared" si="1"/>
        <v>0.01393728223</v>
      </c>
      <c r="H3" s="64">
        <f t="shared" si="2"/>
        <v>0.2955818815</v>
      </c>
      <c r="I3" s="63">
        <f t="shared" si="3"/>
        <v>0.0146143203</v>
      </c>
      <c r="J3" s="65">
        <f t="shared" si="4"/>
        <v>14.08820477</v>
      </c>
      <c r="K3" s="65">
        <f t="shared" si="5"/>
        <v>20.98080531</v>
      </c>
      <c r="L3" s="52"/>
      <c r="M3" s="66">
        <v>2.0</v>
      </c>
      <c r="N3" s="7" t="s">
        <v>15</v>
      </c>
      <c r="O3" s="8">
        <v>31.79137486177663</v>
      </c>
      <c r="P3" s="8">
        <v>12.522001781872705</v>
      </c>
      <c r="Q3" s="38" t="s">
        <v>15</v>
      </c>
      <c r="R3" s="67">
        <v>1725.0</v>
      </c>
      <c r="S3" s="68">
        <v>54260.0</v>
      </c>
      <c r="T3" s="7">
        <v>59.0</v>
      </c>
      <c r="U3" s="52"/>
      <c r="V3" s="52"/>
      <c r="W3" s="52"/>
      <c r="X3" s="52"/>
      <c r="Y3" s="52"/>
      <c r="Z3" s="52"/>
      <c r="AA3" s="52"/>
      <c r="AB3" s="52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 ht="14.25" customHeight="1">
      <c r="A4" s="6">
        <v>10103.0</v>
      </c>
      <c r="B4" s="7" t="s">
        <v>11</v>
      </c>
      <c r="C4" s="7" t="s">
        <v>12</v>
      </c>
      <c r="D4" s="7" t="s">
        <v>16</v>
      </c>
      <c r="E4" s="61">
        <v>13.0</v>
      </c>
      <c r="F4" s="62">
        <v>392.0</v>
      </c>
      <c r="G4" s="63">
        <f t="shared" si="1"/>
        <v>0.04529616725</v>
      </c>
      <c r="H4" s="64">
        <f t="shared" si="2"/>
        <v>0.960641115</v>
      </c>
      <c r="I4" s="63">
        <f t="shared" si="3"/>
        <v>0.03389830508</v>
      </c>
      <c r="J4" s="65">
        <f t="shared" si="4"/>
        <v>32.6779661</v>
      </c>
      <c r="K4" s="65">
        <f t="shared" si="5"/>
        <v>29.39721254</v>
      </c>
      <c r="L4" s="52"/>
      <c r="M4" s="66">
        <v>3.0</v>
      </c>
      <c r="N4" s="7" t="s">
        <v>17</v>
      </c>
      <c r="O4" s="8">
        <v>24.103717422939543</v>
      </c>
      <c r="P4" s="8">
        <v>9.824712302764267</v>
      </c>
      <c r="Q4" s="38" t="s">
        <v>17</v>
      </c>
      <c r="R4" s="67">
        <v>911.0</v>
      </c>
      <c r="S4" s="68">
        <v>37795.0</v>
      </c>
      <c r="T4" s="7">
        <v>57.0</v>
      </c>
      <c r="U4" s="52"/>
      <c r="V4" s="52"/>
      <c r="W4" s="52"/>
      <c r="X4" s="52"/>
      <c r="Y4" s="52"/>
      <c r="Z4" s="52"/>
      <c r="AA4" s="52"/>
      <c r="AB4" s="52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</row>
    <row r="5" ht="14.25" customHeight="1">
      <c r="A5" s="6">
        <v>10201.0</v>
      </c>
      <c r="B5" s="7" t="s">
        <v>11</v>
      </c>
      <c r="C5" s="7" t="s">
        <v>18</v>
      </c>
      <c r="D5" s="7" t="s">
        <v>19</v>
      </c>
      <c r="E5" s="61">
        <v>6.0</v>
      </c>
      <c r="F5" s="62">
        <v>229.0</v>
      </c>
      <c r="G5" s="63">
        <f t="shared" si="1"/>
        <v>0.02090592334</v>
      </c>
      <c r="H5" s="64">
        <f t="shared" si="2"/>
        <v>0.4433728223</v>
      </c>
      <c r="I5" s="63">
        <f t="shared" si="3"/>
        <v>0.01980283639</v>
      </c>
      <c r="J5" s="65">
        <f t="shared" si="4"/>
        <v>19.08993428</v>
      </c>
      <c r="K5" s="65">
        <f t="shared" si="5"/>
        <v>23.22547662</v>
      </c>
      <c r="L5" s="52"/>
      <c r="M5" s="66">
        <v>4.0</v>
      </c>
      <c r="N5" s="7" t="s">
        <v>20</v>
      </c>
      <c r="O5" s="8">
        <v>20.75059571088165</v>
      </c>
      <c r="P5" s="8">
        <v>12.381883349625285</v>
      </c>
      <c r="Q5" s="38" t="s">
        <v>20</v>
      </c>
      <c r="R5" s="67">
        <v>209.0</v>
      </c>
      <c r="S5" s="68">
        <v>10072.0</v>
      </c>
      <c r="T5" s="7">
        <v>51.0</v>
      </c>
      <c r="U5" s="52"/>
      <c r="V5" s="52"/>
      <c r="W5" s="52"/>
      <c r="X5" s="52"/>
      <c r="Y5" s="52"/>
      <c r="Z5" s="52"/>
      <c r="AA5" s="52"/>
      <c r="AB5" s="52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ht="14.25" customHeight="1">
      <c r="A6" s="6">
        <v>10202.0</v>
      </c>
      <c r="B6" s="7" t="s">
        <v>11</v>
      </c>
      <c r="C6" s="7" t="s">
        <v>18</v>
      </c>
      <c r="D6" s="7" t="s">
        <v>21</v>
      </c>
      <c r="E6" s="61">
        <v>6.0</v>
      </c>
      <c r="F6" s="62">
        <v>278.0</v>
      </c>
      <c r="G6" s="63">
        <f t="shared" si="1"/>
        <v>0.02090592334</v>
      </c>
      <c r="H6" s="64">
        <f t="shared" si="2"/>
        <v>0.4433728223</v>
      </c>
      <c r="I6" s="63">
        <f t="shared" si="3"/>
        <v>0.02404012452</v>
      </c>
      <c r="J6" s="65">
        <f t="shared" si="4"/>
        <v>23.17468004</v>
      </c>
      <c r="K6" s="65">
        <f t="shared" si="5"/>
        <v>19.1317775</v>
      </c>
      <c r="L6" s="52"/>
      <c r="M6" s="66">
        <v>5.0</v>
      </c>
      <c r="N6" s="7" t="s">
        <v>264</v>
      </c>
      <c r="O6" s="8">
        <v>41.426803679991394</v>
      </c>
      <c r="P6" s="8">
        <v>16.377842331964338</v>
      </c>
      <c r="Q6" s="38" t="s">
        <v>22</v>
      </c>
      <c r="R6" s="67">
        <v>770.0</v>
      </c>
      <c r="S6" s="68">
        <v>18587.0</v>
      </c>
      <c r="T6" s="7">
        <v>91.0</v>
      </c>
      <c r="U6" s="52"/>
      <c r="V6" s="52"/>
      <c r="W6" s="52"/>
      <c r="X6" s="52"/>
      <c r="Y6" s="52"/>
      <c r="Z6" s="52"/>
      <c r="AA6" s="52"/>
      <c r="AB6" s="52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</row>
    <row r="7" ht="14.25" customHeight="1">
      <c r="A7" s="6">
        <v>10301.0</v>
      </c>
      <c r="B7" s="7" t="s">
        <v>11</v>
      </c>
      <c r="C7" s="7" t="s">
        <v>23</v>
      </c>
      <c r="D7" s="7" t="s">
        <v>24</v>
      </c>
      <c r="E7" s="61">
        <v>8.0</v>
      </c>
      <c r="F7" s="62">
        <v>221.0</v>
      </c>
      <c r="G7" s="63">
        <f t="shared" si="1"/>
        <v>0.02787456446</v>
      </c>
      <c r="H7" s="64">
        <f t="shared" si="2"/>
        <v>0.5911637631</v>
      </c>
      <c r="I7" s="63">
        <f t="shared" si="3"/>
        <v>0.01911103424</v>
      </c>
      <c r="J7" s="65">
        <f t="shared" si="4"/>
        <v>18.42303701</v>
      </c>
      <c r="K7" s="65">
        <f t="shared" si="5"/>
        <v>32.08829048</v>
      </c>
      <c r="L7" s="52"/>
      <c r="M7" s="66">
        <v>6.0</v>
      </c>
      <c r="N7" s="7" t="s">
        <v>25</v>
      </c>
      <c r="O7" s="8">
        <v>16.856345286665235</v>
      </c>
      <c r="P7" s="8">
        <v>6.115097024187934</v>
      </c>
      <c r="Q7" s="38" t="s">
        <v>25</v>
      </c>
      <c r="R7" s="67">
        <v>157.0</v>
      </c>
      <c r="S7" s="68">
        <v>9314.0</v>
      </c>
      <c r="T7" s="7">
        <v>33.0</v>
      </c>
      <c r="U7" s="52"/>
      <c r="V7" s="52"/>
      <c r="W7" s="52"/>
      <c r="X7" s="52"/>
      <c r="Y7" s="52"/>
      <c r="Z7" s="52"/>
      <c r="AA7" s="52"/>
      <c r="AB7" s="52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</row>
    <row r="8" ht="14.25" customHeight="1">
      <c r="A8" s="6">
        <v>10302.0</v>
      </c>
      <c r="B8" s="7" t="s">
        <v>11</v>
      </c>
      <c r="C8" s="7" t="s">
        <v>23</v>
      </c>
      <c r="D8" s="7" t="s">
        <v>26</v>
      </c>
      <c r="E8" s="61">
        <v>16.0</v>
      </c>
      <c r="F8" s="62">
        <v>275.0</v>
      </c>
      <c r="G8" s="63">
        <f t="shared" si="1"/>
        <v>0.05574912892</v>
      </c>
      <c r="H8" s="64">
        <f t="shared" si="2"/>
        <v>1.182327526</v>
      </c>
      <c r="I8" s="63">
        <f t="shared" si="3"/>
        <v>0.02378069872</v>
      </c>
      <c r="J8" s="65">
        <f t="shared" si="4"/>
        <v>22.92459357</v>
      </c>
      <c r="K8" s="65">
        <f t="shared" si="5"/>
        <v>51.57463415</v>
      </c>
      <c r="L8" s="52"/>
      <c r="M8" s="66">
        <v>7.0</v>
      </c>
      <c r="N8" s="7" t="s">
        <v>27</v>
      </c>
      <c r="O8" s="8">
        <v>15.488074984752673</v>
      </c>
      <c r="P8" s="8">
        <v>7.39220082295634</v>
      </c>
      <c r="Q8" s="38" t="s">
        <v>27</v>
      </c>
      <c r="R8" s="67">
        <v>965.0</v>
      </c>
      <c r="S8" s="68">
        <v>62306.0</v>
      </c>
      <c r="T8" s="7">
        <v>21.0</v>
      </c>
      <c r="U8" s="52"/>
      <c r="V8" s="52"/>
      <c r="W8" s="52"/>
      <c r="X8" s="52"/>
      <c r="Y8" s="52"/>
      <c r="Z8" s="52"/>
      <c r="AA8" s="52"/>
      <c r="AB8" s="52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ht="14.25" customHeight="1">
      <c r="A9" s="6">
        <v>10303.0</v>
      </c>
      <c r="B9" s="7" t="s">
        <v>11</v>
      </c>
      <c r="C9" s="7" t="s">
        <v>23</v>
      </c>
      <c r="D9" s="7" t="s">
        <v>28</v>
      </c>
      <c r="E9" s="61">
        <v>7.0</v>
      </c>
      <c r="F9" s="62">
        <v>132.0</v>
      </c>
      <c r="G9" s="63">
        <f t="shared" si="1"/>
        <v>0.0243902439</v>
      </c>
      <c r="H9" s="64">
        <f t="shared" si="2"/>
        <v>0.5172682927</v>
      </c>
      <c r="I9" s="63">
        <f t="shared" si="3"/>
        <v>0.01141473539</v>
      </c>
      <c r="J9" s="65">
        <f t="shared" si="4"/>
        <v>11.00380491</v>
      </c>
      <c r="K9" s="65">
        <f t="shared" si="5"/>
        <v>47.00813008</v>
      </c>
      <c r="L9" s="52"/>
      <c r="M9" s="66">
        <v>8.0</v>
      </c>
      <c r="N9" s="7" t="s">
        <v>29</v>
      </c>
      <c r="O9" s="8">
        <v>26.77532013969732</v>
      </c>
      <c r="P9" s="8">
        <v>8.83609953066415</v>
      </c>
      <c r="Q9" s="38" t="s">
        <v>29</v>
      </c>
      <c r="R9" s="67">
        <v>322.0</v>
      </c>
      <c r="S9" s="68">
        <v>12026.0</v>
      </c>
      <c r="T9" s="7">
        <v>34.0</v>
      </c>
      <c r="U9" s="52"/>
      <c r="V9" s="52"/>
      <c r="W9" s="52"/>
      <c r="X9" s="52"/>
      <c r="Y9" s="52"/>
      <c r="Z9" s="52"/>
      <c r="AA9" s="52"/>
      <c r="AB9" s="52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</row>
    <row r="10" ht="14.25" customHeight="1">
      <c r="A10" s="6">
        <v>10304.0</v>
      </c>
      <c r="B10" s="7" t="s">
        <v>11</v>
      </c>
      <c r="C10" s="7" t="s">
        <v>23</v>
      </c>
      <c r="D10" s="7" t="s">
        <v>30</v>
      </c>
      <c r="E10" s="61">
        <v>2.0</v>
      </c>
      <c r="F10" s="62">
        <v>139.0</v>
      </c>
      <c r="G10" s="63">
        <f t="shared" si="1"/>
        <v>0.006968641115</v>
      </c>
      <c r="H10" s="64">
        <f t="shared" si="2"/>
        <v>0.1477909408</v>
      </c>
      <c r="I10" s="63">
        <f t="shared" si="3"/>
        <v>0.01202006226</v>
      </c>
      <c r="J10" s="65">
        <f t="shared" si="4"/>
        <v>11.58734002</v>
      </c>
      <c r="K10" s="65">
        <f t="shared" si="5"/>
        <v>12.75451834</v>
      </c>
      <c r="L10" s="52"/>
      <c r="M10" s="66">
        <v>9.0</v>
      </c>
      <c r="N10" s="7" t="s">
        <v>31</v>
      </c>
      <c r="O10" s="8">
        <v>4.406580493537016</v>
      </c>
      <c r="P10" s="8">
        <v>7.292707292707293</v>
      </c>
      <c r="Q10" s="38" t="s">
        <v>31</v>
      </c>
      <c r="R10" s="67">
        <v>15.0</v>
      </c>
      <c r="S10" s="68">
        <v>3404.0</v>
      </c>
      <c r="T10" s="7">
        <f>43</f>
        <v>43</v>
      </c>
      <c r="U10" s="52"/>
      <c r="V10" s="52"/>
      <c r="W10" s="52"/>
      <c r="X10" s="52"/>
      <c r="Y10" s="52"/>
      <c r="Z10" s="52"/>
      <c r="AA10" s="52"/>
      <c r="AB10" s="52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</row>
    <row r="11" ht="14.25" customHeight="1">
      <c r="A11" s="6">
        <v>10401.0</v>
      </c>
      <c r="B11" s="7" t="s">
        <v>11</v>
      </c>
      <c r="C11" s="7" t="s">
        <v>32</v>
      </c>
      <c r="D11" s="7" t="s">
        <v>33</v>
      </c>
      <c r="E11" s="61">
        <v>7.0</v>
      </c>
      <c r="F11" s="62">
        <v>186.0</v>
      </c>
      <c r="G11" s="63">
        <f t="shared" si="1"/>
        <v>0.0243902439</v>
      </c>
      <c r="H11" s="64">
        <f t="shared" si="2"/>
        <v>0.5172682927</v>
      </c>
      <c r="I11" s="63">
        <f t="shared" si="3"/>
        <v>0.01608439986</v>
      </c>
      <c r="J11" s="65">
        <f t="shared" si="4"/>
        <v>15.50536147</v>
      </c>
      <c r="K11" s="65">
        <f t="shared" si="5"/>
        <v>33.36060844</v>
      </c>
      <c r="L11" s="52"/>
      <c r="M11" s="66">
        <v>10.0</v>
      </c>
      <c r="N11" s="7" t="s">
        <v>35</v>
      </c>
      <c r="O11" s="8">
        <v>22.727272727272727</v>
      </c>
      <c r="P11" s="8">
        <v>8.229257430535386</v>
      </c>
      <c r="Q11" s="38" t="s">
        <v>35</v>
      </c>
      <c r="R11" s="67">
        <v>69.0</v>
      </c>
      <c r="S11" s="68">
        <v>3036.0</v>
      </c>
      <c r="T11" s="64">
        <f>SUM(H246:H248)/SUM(J246:J248)*1000</f>
        <v>44.49363057</v>
      </c>
      <c r="U11" s="52"/>
      <c r="V11" s="52"/>
      <c r="W11" s="52"/>
      <c r="X11" s="52"/>
      <c r="Y11" s="52"/>
      <c r="Z11" s="52"/>
      <c r="AA11" s="52"/>
      <c r="AB11" s="52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</row>
    <row r="12" ht="14.25" customHeight="1">
      <c r="A12" s="6">
        <v>10402.0</v>
      </c>
      <c r="B12" s="7" t="s">
        <v>11</v>
      </c>
      <c r="C12" s="7" t="s">
        <v>32</v>
      </c>
      <c r="D12" s="7" t="s">
        <v>32</v>
      </c>
      <c r="E12" s="61">
        <v>6.0</v>
      </c>
      <c r="F12" s="62">
        <v>198.0</v>
      </c>
      <c r="G12" s="63">
        <f t="shared" si="1"/>
        <v>0.02090592334</v>
      </c>
      <c r="H12" s="64">
        <f t="shared" si="2"/>
        <v>0.4433728223</v>
      </c>
      <c r="I12" s="63">
        <f t="shared" si="3"/>
        <v>0.01712210308</v>
      </c>
      <c r="J12" s="65">
        <f t="shared" si="4"/>
        <v>16.50570737</v>
      </c>
      <c r="K12" s="65">
        <f t="shared" si="5"/>
        <v>26.86178862</v>
      </c>
      <c r="L12" s="52"/>
      <c r="M12" s="66">
        <v>11.0</v>
      </c>
      <c r="N12" s="7" t="s">
        <v>34</v>
      </c>
      <c r="O12" s="8">
        <v>24.44284359498103</v>
      </c>
      <c r="P12" s="8">
        <v>10.114267964655577</v>
      </c>
      <c r="Q12" s="38" t="s">
        <v>34</v>
      </c>
      <c r="R12" s="67">
        <v>5361.0</v>
      </c>
      <c r="S12" s="68">
        <v>219328.0</v>
      </c>
      <c r="T12" s="16">
        <v>50.0</v>
      </c>
      <c r="U12" s="52"/>
      <c r="V12" s="52"/>
      <c r="W12" s="52"/>
      <c r="X12" s="52"/>
      <c r="Y12" s="52"/>
      <c r="Z12" s="52"/>
      <c r="AA12" s="52"/>
      <c r="AB12" s="52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</row>
    <row r="13" ht="14.25" customHeight="1">
      <c r="A13" s="6">
        <v>10403.0</v>
      </c>
      <c r="B13" s="7" t="s">
        <v>11</v>
      </c>
      <c r="C13" s="7" t="s">
        <v>32</v>
      </c>
      <c r="D13" s="7" t="s">
        <v>36</v>
      </c>
      <c r="E13" s="61">
        <v>2.0</v>
      </c>
      <c r="F13" s="62">
        <v>129.0</v>
      </c>
      <c r="G13" s="63">
        <f t="shared" si="1"/>
        <v>0.006968641115</v>
      </c>
      <c r="H13" s="64">
        <f t="shared" si="2"/>
        <v>0.1477909408</v>
      </c>
      <c r="I13" s="63">
        <f t="shared" si="3"/>
        <v>0.01115530958</v>
      </c>
      <c r="J13" s="65">
        <f t="shared" si="4"/>
        <v>10.75371844</v>
      </c>
      <c r="K13" s="65">
        <f t="shared" si="5"/>
        <v>13.74324069</v>
      </c>
      <c r="L13" s="52"/>
      <c r="M13" s="38"/>
      <c r="N13" s="38"/>
      <c r="O13" s="38"/>
      <c r="P13" s="38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</row>
    <row r="14" ht="14.25" customHeight="1">
      <c r="A14" s="6">
        <v>10404.0</v>
      </c>
      <c r="B14" s="7" t="s">
        <v>11</v>
      </c>
      <c r="C14" s="7" t="s">
        <v>32</v>
      </c>
      <c r="D14" s="7" t="s">
        <v>37</v>
      </c>
      <c r="E14" s="61">
        <v>0.0</v>
      </c>
      <c r="F14" s="62">
        <v>64.0</v>
      </c>
      <c r="G14" s="63">
        <f t="shared" si="1"/>
        <v>0</v>
      </c>
      <c r="H14" s="64">
        <f t="shared" si="2"/>
        <v>0</v>
      </c>
      <c r="I14" s="63">
        <f t="shared" si="3"/>
        <v>0.005534417157</v>
      </c>
      <c r="J14" s="65">
        <f t="shared" si="4"/>
        <v>5.335178139</v>
      </c>
      <c r="K14" s="65">
        <f t="shared" si="5"/>
        <v>0</v>
      </c>
      <c r="L14" s="52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</row>
    <row r="15" ht="14.25" customHeight="1">
      <c r="A15" s="6">
        <v>10405.0</v>
      </c>
      <c r="B15" s="7" t="s">
        <v>11</v>
      </c>
      <c r="C15" s="7" t="s">
        <v>32</v>
      </c>
      <c r="D15" s="7" t="s">
        <v>38</v>
      </c>
      <c r="E15" s="61">
        <v>2.0</v>
      </c>
      <c r="F15" s="62">
        <v>69.0</v>
      </c>
      <c r="G15" s="63">
        <f t="shared" si="1"/>
        <v>0.006968641115</v>
      </c>
      <c r="H15" s="64">
        <f t="shared" si="2"/>
        <v>0.1477909408</v>
      </c>
      <c r="I15" s="63">
        <f t="shared" si="3"/>
        <v>0.005966793497</v>
      </c>
      <c r="J15" s="65">
        <f t="shared" si="4"/>
        <v>5.751988931</v>
      </c>
      <c r="K15" s="65">
        <f t="shared" si="5"/>
        <v>25.69388476</v>
      </c>
      <c r="L15" s="52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</row>
    <row r="16" ht="14.25" customHeight="1">
      <c r="A16" s="6">
        <v>10501.0</v>
      </c>
      <c r="B16" s="7" t="s">
        <v>11</v>
      </c>
      <c r="C16" s="7" t="s">
        <v>39</v>
      </c>
      <c r="D16" s="7" t="s">
        <v>40</v>
      </c>
      <c r="E16" s="61">
        <v>17.0</v>
      </c>
      <c r="F16" s="62">
        <v>475.0</v>
      </c>
      <c r="G16" s="63">
        <f t="shared" si="1"/>
        <v>0.05923344948</v>
      </c>
      <c r="H16" s="64">
        <f t="shared" si="2"/>
        <v>1.256222997</v>
      </c>
      <c r="I16" s="63">
        <f t="shared" si="3"/>
        <v>0.04107575233</v>
      </c>
      <c r="J16" s="65">
        <f t="shared" si="4"/>
        <v>39.59702525</v>
      </c>
      <c r="K16" s="65">
        <f t="shared" si="5"/>
        <v>31.72518614</v>
      </c>
      <c r="L16" s="52"/>
      <c r="M16" s="69" t="s">
        <v>458</v>
      </c>
      <c r="N16" s="2" t="s">
        <v>7</v>
      </c>
      <c r="O16" s="2" t="s">
        <v>459</v>
      </c>
      <c r="P16" s="2" t="s">
        <v>460</v>
      </c>
      <c r="Q16" s="46" t="s">
        <v>461</v>
      </c>
      <c r="R16" s="46" t="s">
        <v>462</v>
      </c>
      <c r="S16" s="70" t="s">
        <v>481</v>
      </c>
      <c r="T16" s="71" t="s">
        <v>463</v>
      </c>
      <c r="U16" s="72" t="s">
        <v>464</v>
      </c>
      <c r="V16" s="71"/>
      <c r="W16" s="71"/>
      <c r="X16" s="52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</row>
    <row r="17" ht="14.25" customHeight="1">
      <c r="A17" s="6">
        <v>10502.0</v>
      </c>
      <c r="B17" s="7" t="s">
        <v>11</v>
      </c>
      <c r="C17" s="7" t="s">
        <v>39</v>
      </c>
      <c r="D17" s="7" t="s">
        <v>41</v>
      </c>
      <c r="E17" s="61">
        <v>2.0</v>
      </c>
      <c r="F17" s="62">
        <v>166.0</v>
      </c>
      <c r="G17" s="63">
        <f t="shared" si="1"/>
        <v>0.006968641115</v>
      </c>
      <c r="H17" s="64">
        <f t="shared" si="2"/>
        <v>0.1477909408</v>
      </c>
      <c r="I17" s="63">
        <f t="shared" si="3"/>
        <v>0.0143548945</v>
      </c>
      <c r="J17" s="65">
        <f t="shared" si="4"/>
        <v>13.8381183</v>
      </c>
      <c r="K17" s="65">
        <f t="shared" si="5"/>
        <v>10.67998825</v>
      </c>
      <c r="L17" s="52"/>
      <c r="M17" s="7">
        <v>1.0</v>
      </c>
      <c r="N17" s="7" t="s">
        <v>11</v>
      </c>
      <c r="O17" s="7">
        <v>22.0</v>
      </c>
      <c r="P17" s="7">
        <v>8.0</v>
      </c>
      <c r="Q17" s="73">
        <f t="shared" ref="Q17:R17" si="6">O2-O17</f>
        <v>2.818401937</v>
      </c>
      <c r="R17" s="73">
        <f t="shared" si="6"/>
        <v>0.8076421596</v>
      </c>
      <c r="S17" s="74">
        <f t="shared" ref="S17:S28" si="8">O17*U17/1000</f>
        <v>21.208</v>
      </c>
      <c r="T17" s="48">
        <v>1536.0</v>
      </c>
      <c r="U17" s="74">
        <v>964.0</v>
      </c>
      <c r="V17" s="75"/>
      <c r="W17" s="75"/>
      <c r="X17" s="52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</row>
    <row r="18" ht="14.25" customHeight="1">
      <c r="A18" s="6">
        <v>10601.0</v>
      </c>
      <c r="B18" s="7" t="s">
        <v>11</v>
      </c>
      <c r="C18" s="7" t="s">
        <v>42</v>
      </c>
      <c r="D18" s="7" t="s">
        <v>43</v>
      </c>
      <c r="E18" s="61">
        <v>13.0</v>
      </c>
      <c r="F18" s="62">
        <v>309.0</v>
      </c>
      <c r="G18" s="63">
        <f t="shared" si="1"/>
        <v>0.04529616725</v>
      </c>
      <c r="H18" s="64">
        <f t="shared" si="2"/>
        <v>0.960641115</v>
      </c>
      <c r="I18" s="63">
        <f t="shared" si="3"/>
        <v>0.02672085783</v>
      </c>
      <c r="J18" s="65">
        <f t="shared" si="4"/>
        <v>25.75890695</v>
      </c>
      <c r="K18" s="65">
        <f t="shared" si="5"/>
        <v>37.29355119</v>
      </c>
      <c r="L18" s="52"/>
      <c r="M18" s="7">
        <v>2.0</v>
      </c>
      <c r="N18" s="7" t="s">
        <v>15</v>
      </c>
      <c r="O18" s="7">
        <v>59.0</v>
      </c>
      <c r="P18" s="7">
        <v>15.0</v>
      </c>
      <c r="Q18" s="73">
        <f t="shared" ref="Q18:R18" si="7">O3-O18</f>
        <v>-27.20862514</v>
      </c>
      <c r="R18" s="73">
        <f t="shared" si="7"/>
        <v>-2.477998218</v>
      </c>
      <c r="S18" s="74">
        <f t="shared" si="8"/>
        <v>302.611</v>
      </c>
      <c r="T18" s="48">
        <v>3325.0</v>
      </c>
      <c r="U18" s="74">
        <v>5129.0</v>
      </c>
      <c r="V18" s="75"/>
      <c r="W18" s="75"/>
      <c r="X18" s="52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</row>
    <row r="19" ht="14.25" customHeight="1">
      <c r="A19" s="6">
        <v>10602.0</v>
      </c>
      <c r="B19" s="7" t="s">
        <v>11</v>
      </c>
      <c r="C19" s="7" t="s">
        <v>42</v>
      </c>
      <c r="D19" s="7" t="s">
        <v>42</v>
      </c>
      <c r="E19" s="61">
        <v>2.0</v>
      </c>
      <c r="F19" s="62">
        <v>152.0</v>
      </c>
      <c r="G19" s="63">
        <f t="shared" si="1"/>
        <v>0.006968641115</v>
      </c>
      <c r="H19" s="64">
        <f t="shared" si="2"/>
        <v>0.1477909408</v>
      </c>
      <c r="I19" s="63">
        <f t="shared" si="3"/>
        <v>0.01314424075</v>
      </c>
      <c r="J19" s="65">
        <f t="shared" si="4"/>
        <v>12.67104808</v>
      </c>
      <c r="K19" s="65">
        <f t="shared" si="5"/>
        <v>11.66367137</v>
      </c>
      <c r="L19" s="52"/>
      <c r="M19" s="7">
        <v>3.0</v>
      </c>
      <c r="N19" s="7" t="s">
        <v>17</v>
      </c>
      <c r="O19" s="7">
        <v>57.0</v>
      </c>
      <c r="P19" s="7">
        <v>6.0</v>
      </c>
      <c r="Q19" s="73">
        <f t="shared" ref="Q19:R19" si="9">O4-O19</f>
        <v>-32.89628258</v>
      </c>
      <c r="R19" s="73">
        <f t="shared" si="9"/>
        <v>3.824712303</v>
      </c>
      <c r="S19" s="74">
        <f t="shared" si="8"/>
        <v>175.617</v>
      </c>
      <c r="T19" s="48">
        <v>2276.0</v>
      </c>
      <c r="U19" s="74">
        <v>3081.0</v>
      </c>
      <c r="V19" s="75"/>
      <c r="W19" s="75"/>
      <c r="X19" s="52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</row>
    <row r="20" ht="14.25" customHeight="1">
      <c r="A20" s="6">
        <v>10701.0</v>
      </c>
      <c r="B20" s="7" t="s">
        <v>11</v>
      </c>
      <c r="C20" s="7" t="s">
        <v>44</v>
      </c>
      <c r="D20" s="7" t="s">
        <v>45</v>
      </c>
      <c r="E20" s="61">
        <v>3.0</v>
      </c>
      <c r="F20" s="62">
        <v>287.0</v>
      </c>
      <c r="G20" s="63">
        <f t="shared" si="1"/>
        <v>0.01045296167</v>
      </c>
      <c r="H20" s="64">
        <f t="shared" si="2"/>
        <v>0.2216864111</v>
      </c>
      <c r="I20" s="63">
        <f t="shared" si="3"/>
        <v>0.02481840194</v>
      </c>
      <c r="J20" s="65">
        <f t="shared" si="4"/>
        <v>23.92493947</v>
      </c>
      <c r="K20" s="65">
        <f t="shared" si="5"/>
        <v>9.265913147</v>
      </c>
      <c r="L20" s="52"/>
      <c r="M20" s="7">
        <v>4.0</v>
      </c>
      <c r="N20" s="7" t="s">
        <v>20</v>
      </c>
      <c r="O20" s="7">
        <v>51.0</v>
      </c>
      <c r="P20" s="7">
        <v>29.0</v>
      </c>
      <c r="Q20" s="73">
        <f t="shared" ref="Q20:R20" si="10">O5-O20</f>
        <v>-30.24940429</v>
      </c>
      <c r="R20" s="73">
        <f t="shared" si="10"/>
        <v>-16.61811665</v>
      </c>
      <c r="S20" s="74">
        <f t="shared" si="8"/>
        <v>47.787</v>
      </c>
      <c r="T20" s="48">
        <v>1565.0</v>
      </c>
      <c r="U20" s="74">
        <v>937.0</v>
      </c>
      <c r="V20" s="75"/>
      <c r="W20" s="75"/>
      <c r="X20" s="52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</row>
    <row r="21" ht="14.25" customHeight="1">
      <c r="A21" s="6">
        <v>10702.0</v>
      </c>
      <c r="B21" s="7" t="s">
        <v>11</v>
      </c>
      <c r="C21" s="7" t="s">
        <v>44</v>
      </c>
      <c r="D21" s="7" t="s">
        <v>46</v>
      </c>
      <c r="E21" s="61">
        <v>22.0</v>
      </c>
      <c r="F21" s="62">
        <v>697.0</v>
      </c>
      <c r="G21" s="63">
        <f t="shared" si="1"/>
        <v>0.07665505226</v>
      </c>
      <c r="H21" s="64">
        <f t="shared" si="2"/>
        <v>1.625700348</v>
      </c>
      <c r="I21" s="63">
        <f t="shared" si="3"/>
        <v>0.06027326185</v>
      </c>
      <c r="J21" s="65">
        <f t="shared" si="4"/>
        <v>58.10342442</v>
      </c>
      <c r="K21" s="65">
        <f t="shared" si="5"/>
        <v>27.97942401</v>
      </c>
      <c r="L21" s="52"/>
      <c r="M21" s="7">
        <v>5.0</v>
      </c>
      <c r="N21" s="7" t="s">
        <v>264</v>
      </c>
      <c r="O21" s="7">
        <v>91.0</v>
      </c>
      <c r="P21" s="7">
        <v>21.0</v>
      </c>
      <c r="Q21" s="73">
        <f t="shared" ref="Q21:R21" si="11">O6-O21</f>
        <v>-49.57319632</v>
      </c>
      <c r="R21" s="73">
        <f t="shared" si="11"/>
        <v>-4.622157668</v>
      </c>
      <c r="S21" s="74">
        <f t="shared" si="8"/>
        <v>148.694</v>
      </c>
      <c r="T21" s="48">
        <v>1779.0</v>
      </c>
      <c r="U21" s="74">
        <v>1634.0</v>
      </c>
      <c r="V21" s="75"/>
      <c r="W21" s="75"/>
      <c r="X21" s="52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</row>
    <row r="22" ht="14.25" customHeight="1">
      <c r="A22" s="6">
        <v>10703.0</v>
      </c>
      <c r="B22" s="7" t="s">
        <v>11</v>
      </c>
      <c r="C22" s="7" t="s">
        <v>44</v>
      </c>
      <c r="D22" s="7" t="s">
        <v>47</v>
      </c>
      <c r="E22" s="61">
        <v>9.0</v>
      </c>
      <c r="F22" s="62">
        <v>340.0</v>
      </c>
      <c r="G22" s="63">
        <f t="shared" si="1"/>
        <v>0.03135888502</v>
      </c>
      <c r="H22" s="64">
        <f t="shared" si="2"/>
        <v>0.6650592334</v>
      </c>
      <c r="I22" s="63">
        <f t="shared" si="3"/>
        <v>0.02940159114</v>
      </c>
      <c r="J22" s="65">
        <f t="shared" si="4"/>
        <v>28.34313386</v>
      </c>
      <c r="K22" s="65">
        <f t="shared" si="5"/>
        <v>23.46456241</v>
      </c>
      <c r="L22" s="52"/>
      <c r="M22" s="7">
        <v>6.0</v>
      </c>
      <c r="N22" s="7" t="s">
        <v>25</v>
      </c>
      <c r="O22" s="7">
        <v>33.0</v>
      </c>
      <c r="P22" s="7">
        <v>21.0</v>
      </c>
      <c r="Q22" s="73">
        <f t="shared" ref="Q22:R22" si="12">O7-O22</f>
        <v>-16.14365471</v>
      </c>
      <c r="R22" s="73">
        <f t="shared" si="12"/>
        <v>-14.88490298</v>
      </c>
      <c r="S22" s="74">
        <f t="shared" si="8"/>
        <v>27.423</v>
      </c>
      <c r="T22" s="48">
        <v>1717.0</v>
      </c>
      <c r="U22" s="74">
        <v>831.0</v>
      </c>
      <c r="V22" s="75"/>
      <c r="W22" s="75"/>
      <c r="X22" s="52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</row>
    <row r="23" ht="14.25" customHeight="1">
      <c r="A23" s="6">
        <v>10704.0</v>
      </c>
      <c r="B23" s="7" t="s">
        <v>11</v>
      </c>
      <c r="C23" s="7" t="s">
        <v>44</v>
      </c>
      <c r="D23" s="7" t="s">
        <v>48</v>
      </c>
      <c r="E23" s="61">
        <v>17.0</v>
      </c>
      <c r="F23" s="62">
        <v>409.0</v>
      </c>
      <c r="G23" s="63">
        <f t="shared" si="1"/>
        <v>0.05923344948</v>
      </c>
      <c r="H23" s="64">
        <f t="shared" si="2"/>
        <v>1.256222997</v>
      </c>
      <c r="I23" s="63">
        <f t="shared" si="3"/>
        <v>0.03536838464</v>
      </c>
      <c r="J23" s="65">
        <f t="shared" si="4"/>
        <v>34.09512279</v>
      </c>
      <c r="K23" s="65">
        <f t="shared" si="5"/>
        <v>36.84465383</v>
      </c>
      <c r="L23" s="52"/>
      <c r="M23" s="7">
        <v>7.0</v>
      </c>
      <c r="N23" s="7" t="s">
        <v>27</v>
      </c>
      <c r="O23" s="7">
        <v>21.0</v>
      </c>
      <c r="P23" s="7">
        <v>6.0</v>
      </c>
      <c r="Q23" s="73">
        <f t="shared" ref="Q23:R23" si="13">O8-O23</f>
        <v>-5.511925015</v>
      </c>
      <c r="R23" s="73">
        <f t="shared" si="13"/>
        <v>1.392200823</v>
      </c>
      <c r="S23" s="74">
        <f t="shared" si="8"/>
        <v>78.057</v>
      </c>
      <c r="T23" s="48">
        <v>2933.0</v>
      </c>
      <c r="U23" s="74">
        <v>3717.0</v>
      </c>
      <c r="V23" s="75"/>
      <c r="W23" s="75"/>
      <c r="X23" s="52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</row>
    <row r="24" ht="14.25" customHeight="1">
      <c r="A24" s="6">
        <v>10801.0</v>
      </c>
      <c r="B24" s="7" t="s">
        <v>11</v>
      </c>
      <c r="C24" s="7" t="s">
        <v>49</v>
      </c>
      <c r="D24" s="7" t="s">
        <v>50</v>
      </c>
      <c r="E24" s="61">
        <v>1.0</v>
      </c>
      <c r="F24" s="62">
        <v>200.0</v>
      </c>
      <c r="G24" s="63">
        <f t="shared" si="1"/>
        <v>0.003484320557</v>
      </c>
      <c r="H24" s="64">
        <f t="shared" si="2"/>
        <v>0.07389547038</v>
      </c>
      <c r="I24" s="63">
        <f t="shared" si="3"/>
        <v>0.01729505361</v>
      </c>
      <c r="J24" s="65">
        <f t="shared" si="4"/>
        <v>16.67243168</v>
      </c>
      <c r="K24" s="65">
        <f t="shared" si="5"/>
        <v>4.432195122</v>
      </c>
      <c r="L24" s="52"/>
      <c r="M24" s="7">
        <v>8.0</v>
      </c>
      <c r="N24" s="7" t="s">
        <v>29</v>
      </c>
      <c r="O24" s="7">
        <v>34.0</v>
      </c>
      <c r="P24" s="7">
        <v>13.0</v>
      </c>
      <c r="Q24" s="73">
        <f t="shared" ref="Q24:R24" si="14">O9-O24</f>
        <v>-7.22467986</v>
      </c>
      <c r="R24" s="73">
        <f t="shared" si="14"/>
        <v>-4.163900469</v>
      </c>
      <c r="S24" s="74">
        <f t="shared" si="8"/>
        <v>48.654</v>
      </c>
      <c r="T24" s="48">
        <v>545.0</v>
      </c>
      <c r="U24" s="74">
        <v>1431.0</v>
      </c>
      <c r="V24" s="75"/>
      <c r="W24" s="75"/>
      <c r="X24" s="52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</row>
    <row r="25" ht="14.25" customHeight="1">
      <c r="A25" s="6">
        <v>10901.0</v>
      </c>
      <c r="B25" s="7" t="s">
        <v>11</v>
      </c>
      <c r="C25" s="7" t="s">
        <v>51</v>
      </c>
      <c r="D25" s="7" t="s">
        <v>52</v>
      </c>
      <c r="E25" s="61">
        <v>1.0</v>
      </c>
      <c r="F25" s="62">
        <v>66.0</v>
      </c>
      <c r="G25" s="63">
        <f t="shared" si="1"/>
        <v>0.003484320557</v>
      </c>
      <c r="H25" s="64">
        <f t="shared" si="2"/>
        <v>0.07389547038</v>
      </c>
      <c r="I25" s="63">
        <f t="shared" si="3"/>
        <v>0.005707367693</v>
      </c>
      <c r="J25" s="65">
        <f t="shared" si="4"/>
        <v>5.501902456</v>
      </c>
      <c r="K25" s="65">
        <f t="shared" si="5"/>
        <v>13.43089431</v>
      </c>
      <c r="L25" s="52"/>
      <c r="M25" s="7">
        <v>9.0</v>
      </c>
      <c r="N25" s="7" t="s">
        <v>31</v>
      </c>
      <c r="O25" s="7">
        <f>43</f>
        <v>43</v>
      </c>
      <c r="P25" s="7">
        <v>10.0</v>
      </c>
      <c r="Q25" s="73">
        <f t="shared" ref="Q25:R25" si="15">O10-O25</f>
        <v>-38.59341951</v>
      </c>
      <c r="R25" s="73">
        <f t="shared" si="15"/>
        <v>-2.707292707</v>
      </c>
      <c r="S25" s="74">
        <f t="shared" si="8"/>
        <v>4.257</v>
      </c>
      <c r="T25" s="48">
        <v>749.0</v>
      </c>
      <c r="U25" s="74">
        <v>99.0</v>
      </c>
      <c r="V25" s="75"/>
      <c r="W25" s="75"/>
      <c r="X25" s="52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</row>
    <row r="26" ht="14.25" customHeight="1">
      <c r="A26" s="6">
        <v>10902.0</v>
      </c>
      <c r="B26" s="7" t="s">
        <v>11</v>
      </c>
      <c r="C26" s="7" t="s">
        <v>51</v>
      </c>
      <c r="D26" s="7" t="s">
        <v>53</v>
      </c>
      <c r="E26" s="61">
        <v>7.0</v>
      </c>
      <c r="F26" s="62">
        <v>410.0</v>
      </c>
      <c r="G26" s="63">
        <f t="shared" si="1"/>
        <v>0.0243902439</v>
      </c>
      <c r="H26" s="64">
        <f t="shared" si="2"/>
        <v>0.5172682927</v>
      </c>
      <c r="I26" s="63">
        <f t="shared" si="3"/>
        <v>0.03545485991</v>
      </c>
      <c r="J26" s="65">
        <f t="shared" si="4"/>
        <v>34.17848495</v>
      </c>
      <c r="K26" s="65">
        <f t="shared" si="5"/>
        <v>15.13432481</v>
      </c>
      <c r="L26" s="52"/>
      <c r="M26" s="7">
        <v>11.0</v>
      </c>
      <c r="N26" s="7" t="s">
        <v>34</v>
      </c>
      <c r="O26" s="7">
        <v>50.0</v>
      </c>
      <c r="P26" s="7">
        <v>12.0</v>
      </c>
      <c r="Q26" s="76">
        <f t="shared" ref="Q26:R26" si="16">O12-O26</f>
        <v>-25.55715641</v>
      </c>
      <c r="R26" s="76">
        <f t="shared" si="16"/>
        <v>-1.885732035</v>
      </c>
      <c r="S26" s="74">
        <f t="shared" si="8"/>
        <v>846.95</v>
      </c>
      <c r="T26" s="48">
        <v>16939.0</v>
      </c>
      <c r="U26" s="74">
        <v>16939.0</v>
      </c>
      <c r="V26" s="75"/>
      <c r="W26" s="75"/>
      <c r="X26" s="52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</row>
    <row r="27" ht="14.25" customHeight="1">
      <c r="A27" s="6">
        <v>10903.0</v>
      </c>
      <c r="B27" s="7" t="s">
        <v>11</v>
      </c>
      <c r="C27" s="7" t="s">
        <v>51</v>
      </c>
      <c r="D27" s="7" t="s">
        <v>54</v>
      </c>
      <c r="E27" s="61">
        <v>1.0</v>
      </c>
      <c r="F27" s="62">
        <v>69.0</v>
      </c>
      <c r="G27" s="63">
        <f t="shared" si="1"/>
        <v>0.003484320557</v>
      </c>
      <c r="H27" s="64">
        <f t="shared" si="2"/>
        <v>0.07389547038</v>
      </c>
      <c r="I27" s="63">
        <f t="shared" si="3"/>
        <v>0.005966793497</v>
      </c>
      <c r="J27" s="65">
        <f t="shared" si="4"/>
        <v>5.751988931</v>
      </c>
      <c r="K27" s="65">
        <f t="shared" si="5"/>
        <v>12.84694238</v>
      </c>
      <c r="L27" s="52"/>
      <c r="M27" s="77" t="s">
        <v>467</v>
      </c>
      <c r="N27" s="7" t="s">
        <v>468</v>
      </c>
      <c r="O27" s="7">
        <v>36.0</v>
      </c>
      <c r="P27" s="7">
        <v>9.0</v>
      </c>
      <c r="Q27" s="7"/>
      <c r="R27" s="7"/>
      <c r="S27" s="74">
        <f t="shared" si="8"/>
        <v>402.588</v>
      </c>
      <c r="T27" s="48">
        <v>10905.0</v>
      </c>
      <c r="U27" s="74">
        <v>11183.0</v>
      </c>
      <c r="V27" s="75"/>
      <c r="W27" s="75"/>
      <c r="X27" s="52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</row>
    <row r="28" ht="14.25" customHeight="1">
      <c r="A28" s="6">
        <v>11001.0</v>
      </c>
      <c r="B28" s="7" t="s">
        <v>11</v>
      </c>
      <c r="C28" s="7" t="s">
        <v>55</v>
      </c>
      <c r="D28" s="7" t="s">
        <v>56</v>
      </c>
      <c r="E28" s="61">
        <v>4.0</v>
      </c>
      <c r="F28" s="62">
        <v>206.0</v>
      </c>
      <c r="G28" s="63">
        <f t="shared" si="1"/>
        <v>0.01393728223</v>
      </c>
      <c r="H28" s="64">
        <f t="shared" si="2"/>
        <v>0.2955818815</v>
      </c>
      <c r="I28" s="63">
        <f t="shared" si="3"/>
        <v>0.01781390522</v>
      </c>
      <c r="J28" s="65">
        <f t="shared" si="4"/>
        <v>17.17260464</v>
      </c>
      <c r="K28" s="65">
        <f t="shared" si="5"/>
        <v>17.21240824</v>
      </c>
      <c r="L28" s="52"/>
      <c r="M28" s="38"/>
      <c r="N28" s="7" t="s">
        <v>470</v>
      </c>
      <c r="O28" s="7">
        <v>67.0</v>
      </c>
      <c r="P28" s="7">
        <v>17.0</v>
      </c>
      <c r="Q28" s="7"/>
      <c r="R28" s="7"/>
      <c r="S28" s="74">
        <f t="shared" si="8"/>
        <v>385.652</v>
      </c>
      <c r="T28" s="48">
        <v>6034.0</v>
      </c>
      <c r="U28" s="74">
        <v>5756.0</v>
      </c>
      <c r="V28" s="75"/>
      <c r="W28" s="75"/>
      <c r="X28" s="52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</row>
    <row r="29" ht="14.25" customHeight="1">
      <c r="A29" s="6">
        <v>11002.0</v>
      </c>
      <c r="B29" s="7" t="s">
        <v>11</v>
      </c>
      <c r="C29" s="7" t="s">
        <v>55</v>
      </c>
      <c r="D29" s="7" t="s">
        <v>57</v>
      </c>
      <c r="E29" s="61">
        <v>1.0</v>
      </c>
      <c r="F29" s="62">
        <v>59.0</v>
      </c>
      <c r="G29" s="63">
        <f t="shared" si="1"/>
        <v>0.003484320557</v>
      </c>
      <c r="H29" s="64">
        <f t="shared" si="2"/>
        <v>0.07389547038</v>
      </c>
      <c r="I29" s="63">
        <f t="shared" si="3"/>
        <v>0.005102040816</v>
      </c>
      <c r="J29" s="65">
        <f t="shared" si="4"/>
        <v>4.918367347</v>
      </c>
      <c r="K29" s="65">
        <f t="shared" si="5"/>
        <v>15.02439024</v>
      </c>
      <c r="L29" s="52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</row>
    <row r="30" ht="14.25" customHeight="1">
      <c r="A30" s="6">
        <v>11003.0</v>
      </c>
      <c r="B30" s="7" t="s">
        <v>11</v>
      </c>
      <c r="C30" s="7" t="s">
        <v>55</v>
      </c>
      <c r="D30" s="7" t="s">
        <v>58</v>
      </c>
      <c r="E30" s="61">
        <v>1.0</v>
      </c>
      <c r="F30" s="62">
        <v>143.0</v>
      </c>
      <c r="G30" s="63">
        <f t="shared" si="1"/>
        <v>0.003484320557</v>
      </c>
      <c r="H30" s="64">
        <f t="shared" si="2"/>
        <v>0.07389547038</v>
      </c>
      <c r="I30" s="63">
        <f t="shared" si="3"/>
        <v>0.01236596333</v>
      </c>
      <c r="J30" s="65">
        <f t="shared" si="4"/>
        <v>11.92078865</v>
      </c>
      <c r="K30" s="65">
        <f t="shared" si="5"/>
        <v>6.198874296</v>
      </c>
      <c r="L30" s="52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ht="14.25" customHeight="1">
      <c r="A31" s="6">
        <v>20101.0</v>
      </c>
      <c r="B31" s="7" t="s">
        <v>15</v>
      </c>
      <c r="C31" s="7" t="s">
        <v>59</v>
      </c>
      <c r="D31" s="7" t="s">
        <v>60</v>
      </c>
      <c r="E31" s="61">
        <v>398.0</v>
      </c>
      <c r="F31" s="62">
        <v>12733.0</v>
      </c>
      <c r="G31" s="63">
        <f t="shared" ref="G31:G117" si="17">E31/$R$3</f>
        <v>0.2307246377</v>
      </c>
      <c r="H31" s="64">
        <f t="shared" ref="H31:H117" si="18">$S$18*G31</f>
        <v>69.81981333</v>
      </c>
      <c r="I31" s="63">
        <f t="shared" ref="I31:I117" si="19">F31/$S$3</f>
        <v>0.2346664209</v>
      </c>
      <c r="J31" s="65">
        <f t="shared" ref="J31:J117" si="20">I31*$U$18</f>
        <v>1203.604073</v>
      </c>
      <c r="K31" s="65">
        <f t="shared" si="5"/>
        <v>58.00895402</v>
      </c>
      <c r="L31" s="52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</row>
    <row r="32" ht="14.25" customHeight="1">
      <c r="A32" s="6">
        <v>20102.0</v>
      </c>
      <c r="B32" s="7" t="s">
        <v>15</v>
      </c>
      <c r="C32" s="7" t="s">
        <v>59</v>
      </c>
      <c r="D32" s="7" t="s">
        <v>61</v>
      </c>
      <c r="E32" s="61">
        <v>23.0</v>
      </c>
      <c r="F32" s="62">
        <v>376.0</v>
      </c>
      <c r="G32" s="63">
        <f t="shared" si="17"/>
        <v>0.01333333333</v>
      </c>
      <c r="H32" s="64">
        <f t="shared" si="18"/>
        <v>4.034813333</v>
      </c>
      <c r="I32" s="63">
        <f t="shared" si="19"/>
        <v>0.006929598231</v>
      </c>
      <c r="J32" s="65">
        <f t="shared" si="20"/>
        <v>35.54190933</v>
      </c>
      <c r="K32" s="65">
        <f t="shared" si="5"/>
        <v>113.522695</v>
      </c>
      <c r="L32" s="52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</row>
    <row r="33" ht="14.25" customHeight="1">
      <c r="A33" s="6">
        <v>20103.0</v>
      </c>
      <c r="B33" s="7" t="s">
        <v>15</v>
      </c>
      <c r="C33" s="7" t="s">
        <v>59</v>
      </c>
      <c r="D33" s="7" t="s">
        <v>62</v>
      </c>
      <c r="E33" s="61">
        <v>11.0</v>
      </c>
      <c r="F33" s="62">
        <v>293.0</v>
      </c>
      <c r="G33" s="63">
        <f t="shared" si="17"/>
        <v>0.006376811594</v>
      </c>
      <c r="H33" s="64">
        <f t="shared" si="18"/>
        <v>1.929693333</v>
      </c>
      <c r="I33" s="63">
        <f t="shared" si="19"/>
        <v>0.005399926281</v>
      </c>
      <c r="J33" s="65">
        <f t="shared" si="20"/>
        <v>27.69622189</v>
      </c>
      <c r="K33" s="65">
        <f t="shared" si="5"/>
        <v>69.67352228</v>
      </c>
      <c r="L33" s="52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ht="14.25" customHeight="1">
      <c r="A34" s="6">
        <v>20104.0</v>
      </c>
      <c r="B34" s="7" t="s">
        <v>15</v>
      </c>
      <c r="C34" s="7" t="s">
        <v>59</v>
      </c>
      <c r="D34" s="7" t="s">
        <v>63</v>
      </c>
      <c r="E34" s="61">
        <v>25.0</v>
      </c>
      <c r="F34" s="62">
        <v>467.0</v>
      </c>
      <c r="G34" s="63">
        <f t="shared" si="17"/>
        <v>0.01449275362</v>
      </c>
      <c r="H34" s="64">
        <f t="shared" si="18"/>
        <v>4.385666667</v>
      </c>
      <c r="I34" s="63">
        <f t="shared" si="19"/>
        <v>0.008606708441</v>
      </c>
      <c r="J34" s="65">
        <f t="shared" si="20"/>
        <v>44.14380759</v>
      </c>
      <c r="K34" s="65">
        <f t="shared" si="5"/>
        <v>99.34953294</v>
      </c>
      <c r="L34" s="52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</row>
    <row r="35" ht="14.25" customHeight="1">
      <c r="A35" s="6">
        <v>20105.0</v>
      </c>
      <c r="B35" s="7" t="s">
        <v>15</v>
      </c>
      <c r="C35" s="7" t="s">
        <v>59</v>
      </c>
      <c r="D35" s="7" t="s">
        <v>64</v>
      </c>
      <c r="E35" s="61">
        <v>575.0</v>
      </c>
      <c r="F35" s="62">
        <v>19194.0</v>
      </c>
      <c r="G35" s="63">
        <f t="shared" si="17"/>
        <v>0.3333333333</v>
      </c>
      <c r="H35" s="64">
        <f t="shared" si="18"/>
        <v>100.8703333</v>
      </c>
      <c r="I35" s="63">
        <f t="shared" si="19"/>
        <v>0.3537412459</v>
      </c>
      <c r="J35" s="65">
        <f t="shared" si="20"/>
        <v>1814.33885</v>
      </c>
      <c r="K35" s="65">
        <f t="shared" si="5"/>
        <v>55.59619325</v>
      </c>
      <c r="L35" s="52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 ht="14.25" customHeight="1">
      <c r="A36" s="6">
        <v>20201.0</v>
      </c>
      <c r="B36" s="7" t="s">
        <v>15</v>
      </c>
      <c r="C36" s="7" t="s">
        <v>65</v>
      </c>
      <c r="D36" s="7" t="s">
        <v>66</v>
      </c>
      <c r="E36" s="61">
        <v>3.0</v>
      </c>
      <c r="F36" s="62">
        <v>792.0</v>
      </c>
      <c r="G36" s="63">
        <f t="shared" si="17"/>
        <v>0.001739130435</v>
      </c>
      <c r="H36" s="64">
        <f t="shared" si="18"/>
        <v>0.52628</v>
      </c>
      <c r="I36" s="63">
        <f t="shared" si="19"/>
        <v>0.01459638776</v>
      </c>
      <c r="J36" s="65">
        <f t="shared" si="20"/>
        <v>74.86487283</v>
      </c>
      <c r="K36" s="65">
        <f t="shared" si="5"/>
        <v>7.029732104</v>
      </c>
      <c r="L36" s="52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ht="14.25" customHeight="1">
      <c r="A37" s="6">
        <v>20202.0</v>
      </c>
      <c r="B37" s="7" t="s">
        <v>15</v>
      </c>
      <c r="C37" s="7" t="s">
        <v>65</v>
      </c>
      <c r="D37" s="7" t="s">
        <v>67</v>
      </c>
      <c r="E37" s="61">
        <v>7.0</v>
      </c>
      <c r="F37" s="62">
        <v>218.0</v>
      </c>
      <c r="G37" s="63">
        <f t="shared" si="17"/>
        <v>0.004057971014</v>
      </c>
      <c r="H37" s="64">
        <f t="shared" si="18"/>
        <v>1.227986667</v>
      </c>
      <c r="I37" s="63">
        <f t="shared" si="19"/>
        <v>0.004017692591</v>
      </c>
      <c r="J37" s="65">
        <f t="shared" si="20"/>
        <v>20.6067453</v>
      </c>
      <c r="K37" s="65">
        <f t="shared" si="5"/>
        <v>59.59149049</v>
      </c>
      <c r="L37" s="52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ht="14.25" customHeight="1">
      <c r="A38" s="6">
        <v>20203.0</v>
      </c>
      <c r="B38" s="7" t="s">
        <v>15</v>
      </c>
      <c r="C38" s="7" t="s">
        <v>65</v>
      </c>
      <c r="D38" s="7" t="s">
        <v>68</v>
      </c>
      <c r="E38" s="61">
        <v>3.0</v>
      </c>
      <c r="F38" s="62">
        <v>99.0</v>
      </c>
      <c r="G38" s="63">
        <f t="shared" si="17"/>
        <v>0.001739130435</v>
      </c>
      <c r="H38" s="64">
        <f t="shared" si="18"/>
        <v>0.52628</v>
      </c>
      <c r="I38" s="63">
        <f t="shared" si="19"/>
        <v>0.00182454847</v>
      </c>
      <c r="J38" s="65">
        <f t="shared" si="20"/>
        <v>9.358109104</v>
      </c>
      <c r="K38" s="65">
        <f t="shared" si="5"/>
        <v>56.23785683</v>
      </c>
      <c r="L38" s="52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ht="14.25" customHeight="1">
      <c r="A39" s="6">
        <v>20204.0</v>
      </c>
      <c r="B39" s="7" t="s">
        <v>15</v>
      </c>
      <c r="C39" s="7" t="s">
        <v>65</v>
      </c>
      <c r="D39" s="7" t="s">
        <v>69</v>
      </c>
      <c r="E39" s="61">
        <v>4.0</v>
      </c>
      <c r="F39" s="62">
        <v>110.0</v>
      </c>
      <c r="G39" s="63">
        <f t="shared" si="17"/>
        <v>0.00231884058</v>
      </c>
      <c r="H39" s="64">
        <f t="shared" si="18"/>
        <v>0.7017066667</v>
      </c>
      <c r="I39" s="63">
        <f t="shared" si="19"/>
        <v>0.002027276078</v>
      </c>
      <c r="J39" s="65">
        <f t="shared" si="20"/>
        <v>10.397899</v>
      </c>
      <c r="K39" s="65">
        <f t="shared" si="5"/>
        <v>67.48542819</v>
      </c>
      <c r="L39" s="52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ht="14.25" customHeight="1">
      <c r="A40" s="6">
        <v>20205.0</v>
      </c>
      <c r="B40" s="7" t="s">
        <v>15</v>
      </c>
      <c r="C40" s="7" t="s">
        <v>65</v>
      </c>
      <c r="D40" s="7" t="s">
        <v>70</v>
      </c>
      <c r="E40" s="61">
        <v>0.0</v>
      </c>
      <c r="F40" s="62">
        <v>58.0</v>
      </c>
      <c r="G40" s="63">
        <f t="shared" si="17"/>
        <v>0</v>
      </c>
      <c r="H40" s="64">
        <f t="shared" si="18"/>
        <v>0</v>
      </c>
      <c r="I40" s="63">
        <f t="shared" si="19"/>
        <v>0.001068927387</v>
      </c>
      <c r="J40" s="65">
        <f t="shared" si="20"/>
        <v>5.482528566</v>
      </c>
      <c r="K40" s="65">
        <f t="shared" si="5"/>
        <v>0</v>
      </c>
      <c r="L40" s="52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ht="14.25" customHeight="1">
      <c r="A41" s="6">
        <v>20206.0</v>
      </c>
      <c r="B41" s="7" t="s">
        <v>15</v>
      </c>
      <c r="C41" s="7" t="s">
        <v>65</v>
      </c>
      <c r="D41" s="7" t="s">
        <v>71</v>
      </c>
      <c r="E41" s="61">
        <v>2.0</v>
      </c>
      <c r="F41" s="62">
        <v>74.0</v>
      </c>
      <c r="G41" s="63">
        <f t="shared" si="17"/>
        <v>0.00115942029</v>
      </c>
      <c r="H41" s="64">
        <f t="shared" si="18"/>
        <v>0.3508533333</v>
      </c>
      <c r="I41" s="63">
        <f t="shared" si="19"/>
        <v>0.001363803907</v>
      </c>
      <c r="J41" s="65">
        <f t="shared" si="20"/>
        <v>6.99495024</v>
      </c>
      <c r="K41" s="65">
        <f t="shared" si="5"/>
        <v>50.15808852</v>
      </c>
      <c r="L41" s="52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ht="14.25" customHeight="1">
      <c r="A42" s="6">
        <v>20301.0</v>
      </c>
      <c r="B42" s="7" t="s">
        <v>15</v>
      </c>
      <c r="C42" s="7" t="s">
        <v>72</v>
      </c>
      <c r="D42" s="7" t="s">
        <v>73</v>
      </c>
      <c r="E42" s="61">
        <v>2.0</v>
      </c>
      <c r="F42" s="62">
        <v>179.0</v>
      </c>
      <c r="G42" s="63">
        <f t="shared" si="17"/>
        <v>0.00115942029</v>
      </c>
      <c r="H42" s="64">
        <f t="shared" si="18"/>
        <v>0.3508533333</v>
      </c>
      <c r="I42" s="63">
        <f t="shared" si="19"/>
        <v>0.003298931073</v>
      </c>
      <c r="J42" s="65">
        <f t="shared" si="20"/>
        <v>16.92021747</v>
      </c>
      <c r="K42" s="65">
        <f t="shared" si="5"/>
        <v>20.73574609</v>
      </c>
      <c r="L42" s="52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ht="14.25" customHeight="1">
      <c r="A43" s="6">
        <v>20302.0</v>
      </c>
      <c r="B43" s="7" t="s">
        <v>15</v>
      </c>
      <c r="C43" s="7" t="s">
        <v>72</v>
      </c>
      <c r="D43" s="7" t="s">
        <v>74</v>
      </c>
      <c r="E43" s="61">
        <v>4.0</v>
      </c>
      <c r="F43" s="62">
        <v>250.0</v>
      </c>
      <c r="G43" s="63">
        <f t="shared" si="17"/>
        <v>0.00231884058</v>
      </c>
      <c r="H43" s="64">
        <f t="shared" si="18"/>
        <v>0.7017066667</v>
      </c>
      <c r="I43" s="63">
        <f t="shared" si="19"/>
        <v>0.004607445632</v>
      </c>
      <c r="J43" s="65">
        <f t="shared" si="20"/>
        <v>23.63158865</v>
      </c>
      <c r="K43" s="65">
        <f t="shared" si="5"/>
        <v>29.69358841</v>
      </c>
      <c r="L43" s="52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ht="14.25" customHeight="1">
      <c r="A44" s="6">
        <v>20303.0</v>
      </c>
      <c r="B44" s="7" t="s">
        <v>15</v>
      </c>
      <c r="C44" s="7" t="s">
        <v>72</v>
      </c>
      <c r="D44" s="7" t="s">
        <v>75</v>
      </c>
      <c r="E44" s="61">
        <v>0.0</v>
      </c>
      <c r="F44" s="62">
        <v>173.0</v>
      </c>
      <c r="G44" s="63">
        <f t="shared" si="17"/>
        <v>0</v>
      </c>
      <c r="H44" s="64">
        <f t="shared" si="18"/>
        <v>0</v>
      </c>
      <c r="I44" s="63">
        <f t="shared" si="19"/>
        <v>0.003188352377</v>
      </c>
      <c r="J44" s="65">
        <f t="shared" si="20"/>
        <v>16.35305934</v>
      </c>
      <c r="K44" s="65">
        <f t="shared" si="5"/>
        <v>0</v>
      </c>
      <c r="L44" s="52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ht="14.25" customHeight="1">
      <c r="A45" s="6">
        <v>20304.0</v>
      </c>
      <c r="B45" s="7" t="s">
        <v>15</v>
      </c>
      <c r="C45" s="7" t="s">
        <v>72</v>
      </c>
      <c r="D45" s="7" t="s">
        <v>76</v>
      </c>
      <c r="E45" s="61">
        <v>0.0</v>
      </c>
      <c r="F45" s="62">
        <v>68.0</v>
      </c>
      <c r="G45" s="63">
        <f t="shared" si="17"/>
        <v>0</v>
      </c>
      <c r="H45" s="64">
        <f t="shared" si="18"/>
        <v>0</v>
      </c>
      <c r="I45" s="63">
        <f t="shared" si="19"/>
        <v>0.001253225212</v>
      </c>
      <c r="J45" s="65">
        <f t="shared" si="20"/>
        <v>6.427792112</v>
      </c>
      <c r="K45" s="65">
        <f t="shared" si="5"/>
        <v>0</v>
      </c>
      <c r="L45" s="52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ht="14.25" customHeight="1">
      <c r="A46" s="6">
        <v>20305.0</v>
      </c>
      <c r="B46" s="7" t="s">
        <v>15</v>
      </c>
      <c r="C46" s="7" t="s">
        <v>72</v>
      </c>
      <c r="D46" s="7" t="s">
        <v>77</v>
      </c>
      <c r="E46" s="61">
        <v>0.0</v>
      </c>
      <c r="F46" s="62">
        <v>62.0</v>
      </c>
      <c r="G46" s="63">
        <f t="shared" si="17"/>
        <v>0</v>
      </c>
      <c r="H46" s="64">
        <f t="shared" si="18"/>
        <v>0</v>
      </c>
      <c r="I46" s="63">
        <f t="shared" si="19"/>
        <v>0.001142646517</v>
      </c>
      <c r="J46" s="65">
        <f t="shared" si="20"/>
        <v>5.860633985</v>
      </c>
      <c r="K46" s="65">
        <f t="shared" si="5"/>
        <v>0</v>
      </c>
      <c r="L46" s="52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ht="14.25" customHeight="1">
      <c r="A47" s="6">
        <v>20306.0</v>
      </c>
      <c r="B47" s="7" t="s">
        <v>15</v>
      </c>
      <c r="C47" s="7" t="s">
        <v>72</v>
      </c>
      <c r="D47" s="7" t="s">
        <v>78</v>
      </c>
      <c r="E47" s="61">
        <v>2.0</v>
      </c>
      <c r="F47" s="62">
        <v>103.0</v>
      </c>
      <c r="G47" s="63">
        <f t="shared" si="17"/>
        <v>0.00115942029</v>
      </c>
      <c r="H47" s="64">
        <f t="shared" si="18"/>
        <v>0.3508533333</v>
      </c>
      <c r="I47" s="63">
        <f t="shared" si="19"/>
        <v>0.0018982676</v>
      </c>
      <c r="J47" s="65">
        <f t="shared" si="20"/>
        <v>9.736214523</v>
      </c>
      <c r="K47" s="65">
        <f t="shared" si="5"/>
        <v>36.03590826</v>
      </c>
      <c r="L47" s="52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ht="14.25" customHeight="1">
      <c r="A48" s="6">
        <v>20307.0</v>
      </c>
      <c r="B48" s="7" t="s">
        <v>15</v>
      </c>
      <c r="C48" s="7" t="s">
        <v>72</v>
      </c>
      <c r="D48" s="7" t="s">
        <v>79</v>
      </c>
      <c r="E48" s="61">
        <v>0.0</v>
      </c>
      <c r="F48" s="62">
        <v>13.0</v>
      </c>
      <c r="G48" s="63">
        <f t="shared" si="17"/>
        <v>0</v>
      </c>
      <c r="H48" s="64">
        <f t="shared" si="18"/>
        <v>0</v>
      </c>
      <c r="I48" s="63">
        <f t="shared" si="19"/>
        <v>0.0002395871729</v>
      </c>
      <c r="J48" s="65">
        <f t="shared" si="20"/>
        <v>1.22884261</v>
      </c>
      <c r="K48" s="65">
        <f t="shared" si="5"/>
        <v>0</v>
      </c>
      <c r="L48" s="52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ht="14.25" customHeight="1">
      <c r="A49" s="6">
        <v>20308.0</v>
      </c>
      <c r="B49" s="7" t="s">
        <v>15</v>
      </c>
      <c r="C49" s="7" t="s">
        <v>72</v>
      </c>
      <c r="D49" s="7" t="s">
        <v>80</v>
      </c>
      <c r="E49" s="61">
        <v>0.0</v>
      </c>
      <c r="F49" s="62">
        <v>101.0</v>
      </c>
      <c r="G49" s="63">
        <f t="shared" si="17"/>
        <v>0</v>
      </c>
      <c r="H49" s="64">
        <f t="shared" si="18"/>
        <v>0</v>
      </c>
      <c r="I49" s="63">
        <f t="shared" si="19"/>
        <v>0.001861408035</v>
      </c>
      <c r="J49" s="65">
        <f t="shared" si="20"/>
        <v>9.547161813</v>
      </c>
      <c r="K49" s="65">
        <f t="shared" si="5"/>
        <v>0</v>
      </c>
      <c r="L49" s="52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ht="14.25" customHeight="1">
      <c r="A50" s="6">
        <v>20401.0</v>
      </c>
      <c r="B50" s="7" t="s">
        <v>15</v>
      </c>
      <c r="C50" s="7" t="s">
        <v>81</v>
      </c>
      <c r="D50" s="7" t="s">
        <v>82</v>
      </c>
      <c r="E50" s="61">
        <v>6.0</v>
      </c>
      <c r="F50" s="62">
        <v>157.0</v>
      </c>
      <c r="G50" s="63">
        <f t="shared" si="17"/>
        <v>0.00347826087</v>
      </c>
      <c r="H50" s="64">
        <f t="shared" si="18"/>
        <v>1.05256</v>
      </c>
      <c r="I50" s="63">
        <f t="shared" si="19"/>
        <v>0.002893475857</v>
      </c>
      <c r="J50" s="65">
        <f t="shared" si="20"/>
        <v>14.84063767</v>
      </c>
      <c r="K50" s="65">
        <f t="shared" si="5"/>
        <v>70.92417613</v>
      </c>
      <c r="L50" s="52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ht="14.25" customHeight="1">
      <c r="A51" s="6">
        <v>20402.0</v>
      </c>
      <c r="B51" s="7" t="s">
        <v>15</v>
      </c>
      <c r="C51" s="7" t="s">
        <v>81</v>
      </c>
      <c r="D51" s="7" t="s">
        <v>83</v>
      </c>
      <c r="E51" s="61">
        <v>14.0</v>
      </c>
      <c r="F51" s="62">
        <v>267.0</v>
      </c>
      <c r="G51" s="63">
        <f t="shared" si="17"/>
        <v>0.008115942029</v>
      </c>
      <c r="H51" s="64">
        <f t="shared" si="18"/>
        <v>2.455973333</v>
      </c>
      <c r="I51" s="63">
        <f t="shared" si="19"/>
        <v>0.004920751935</v>
      </c>
      <c r="J51" s="65">
        <f t="shared" si="20"/>
        <v>25.23853668</v>
      </c>
      <c r="K51" s="65">
        <f t="shared" si="5"/>
        <v>97.3104489</v>
      </c>
      <c r="L51" s="52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ht="14.25" customHeight="1">
      <c r="A52" s="6">
        <v>20403.0</v>
      </c>
      <c r="B52" s="7" t="s">
        <v>15</v>
      </c>
      <c r="C52" s="7" t="s">
        <v>81</v>
      </c>
      <c r="D52" s="7" t="s">
        <v>84</v>
      </c>
      <c r="E52" s="61">
        <v>14.0</v>
      </c>
      <c r="F52" s="62">
        <v>229.0</v>
      </c>
      <c r="G52" s="63">
        <f t="shared" si="17"/>
        <v>0.008115942029</v>
      </c>
      <c r="H52" s="64">
        <f t="shared" si="18"/>
        <v>2.455973333</v>
      </c>
      <c r="I52" s="63">
        <f t="shared" si="19"/>
        <v>0.004220420199</v>
      </c>
      <c r="J52" s="65">
        <f t="shared" si="20"/>
        <v>21.6465352</v>
      </c>
      <c r="K52" s="65">
        <f t="shared" si="5"/>
        <v>113.4580343</v>
      </c>
      <c r="L52" s="52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 ht="14.25" customHeight="1">
      <c r="A53" s="6">
        <v>20404.0</v>
      </c>
      <c r="B53" s="7" t="s">
        <v>15</v>
      </c>
      <c r="C53" s="7" t="s">
        <v>81</v>
      </c>
      <c r="D53" s="7" t="s">
        <v>85</v>
      </c>
      <c r="E53" s="61">
        <v>9.0</v>
      </c>
      <c r="F53" s="62">
        <v>103.0</v>
      </c>
      <c r="G53" s="63">
        <f t="shared" si="17"/>
        <v>0.005217391304</v>
      </c>
      <c r="H53" s="64">
        <f t="shared" si="18"/>
        <v>1.57884</v>
      </c>
      <c r="I53" s="63">
        <f t="shared" si="19"/>
        <v>0.0018982676</v>
      </c>
      <c r="J53" s="65">
        <f t="shared" si="20"/>
        <v>9.736214523</v>
      </c>
      <c r="K53" s="65">
        <f t="shared" si="5"/>
        <v>162.1615872</v>
      </c>
      <c r="L53" s="52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 ht="14.25" customHeight="1">
      <c r="A54" s="6">
        <v>20405.0</v>
      </c>
      <c r="B54" s="7" t="s">
        <v>15</v>
      </c>
      <c r="C54" s="7" t="s">
        <v>81</v>
      </c>
      <c r="D54" s="7" t="s">
        <v>86</v>
      </c>
      <c r="E54" s="61">
        <v>3.0</v>
      </c>
      <c r="F54" s="62">
        <v>90.0</v>
      </c>
      <c r="G54" s="63">
        <f t="shared" si="17"/>
        <v>0.001739130435</v>
      </c>
      <c r="H54" s="64">
        <f t="shared" si="18"/>
        <v>0.52628</v>
      </c>
      <c r="I54" s="63">
        <f t="shared" si="19"/>
        <v>0.001658680428</v>
      </c>
      <c r="J54" s="65">
        <f t="shared" si="20"/>
        <v>8.507371913</v>
      </c>
      <c r="K54" s="65">
        <f t="shared" si="5"/>
        <v>61.86164251</v>
      </c>
      <c r="L54" s="52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</row>
    <row r="55" ht="14.25" customHeight="1">
      <c r="A55" s="6">
        <v>20501.0</v>
      </c>
      <c r="B55" s="7" t="s">
        <v>15</v>
      </c>
      <c r="C55" s="7" t="s">
        <v>87</v>
      </c>
      <c r="D55" s="7" t="s">
        <v>88</v>
      </c>
      <c r="E55" s="61">
        <v>7.0</v>
      </c>
      <c r="F55" s="62">
        <v>233.0</v>
      </c>
      <c r="G55" s="63">
        <f t="shared" si="17"/>
        <v>0.004057971014</v>
      </c>
      <c r="H55" s="64">
        <f t="shared" si="18"/>
        <v>1.227986667</v>
      </c>
      <c r="I55" s="63">
        <f t="shared" si="19"/>
        <v>0.004294139329</v>
      </c>
      <c r="J55" s="65">
        <f t="shared" si="20"/>
        <v>22.02464062</v>
      </c>
      <c r="K55" s="65">
        <f t="shared" si="5"/>
        <v>55.75512844</v>
      </c>
      <c r="L55" s="52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</row>
    <row r="56" ht="14.25" customHeight="1">
      <c r="A56" s="6">
        <v>20502.0</v>
      </c>
      <c r="B56" s="7" t="s">
        <v>15</v>
      </c>
      <c r="C56" s="7" t="s">
        <v>87</v>
      </c>
      <c r="D56" s="7" t="s">
        <v>89</v>
      </c>
      <c r="E56" s="61">
        <v>10.0</v>
      </c>
      <c r="F56" s="62">
        <v>209.0</v>
      </c>
      <c r="G56" s="63">
        <f t="shared" si="17"/>
        <v>0.005797101449</v>
      </c>
      <c r="H56" s="64">
        <f t="shared" si="18"/>
        <v>1.754266667</v>
      </c>
      <c r="I56" s="63">
        <f t="shared" si="19"/>
        <v>0.003851824548</v>
      </c>
      <c r="J56" s="65">
        <f t="shared" si="20"/>
        <v>19.75600811</v>
      </c>
      <c r="K56" s="65">
        <f t="shared" si="5"/>
        <v>88.79661605</v>
      </c>
      <c r="L56" s="52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</row>
    <row r="57" ht="14.25" customHeight="1">
      <c r="A57" s="6">
        <v>20503.0</v>
      </c>
      <c r="B57" s="7" t="s">
        <v>15</v>
      </c>
      <c r="C57" s="7" t="s">
        <v>87</v>
      </c>
      <c r="D57" s="7" t="s">
        <v>90</v>
      </c>
      <c r="E57" s="61">
        <v>4.0</v>
      </c>
      <c r="F57" s="62">
        <v>105.0</v>
      </c>
      <c r="G57" s="63">
        <f t="shared" si="17"/>
        <v>0.00231884058</v>
      </c>
      <c r="H57" s="64">
        <f t="shared" si="18"/>
        <v>0.7017066667</v>
      </c>
      <c r="I57" s="63">
        <f t="shared" si="19"/>
        <v>0.001935127165</v>
      </c>
      <c r="J57" s="65">
        <f t="shared" si="20"/>
        <v>9.925267232</v>
      </c>
      <c r="K57" s="65">
        <f t="shared" si="5"/>
        <v>70.69902001</v>
      </c>
      <c r="L57" s="52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</row>
    <row r="58" ht="14.25" customHeight="1">
      <c r="A58" s="6">
        <v>20601.0</v>
      </c>
      <c r="B58" s="7" t="s">
        <v>15</v>
      </c>
      <c r="C58" s="7" t="s">
        <v>91</v>
      </c>
      <c r="D58" s="7" t="s">
        <v>92</v>
      </c>
      <c r="E58" s="61">
        <v>20.0</v>
      </c>
      <c r="F58" s="62">
        <v>460.0</v>
      </c>
      <c r="G58" s="63">
        <f t="shared" si="17"/>
        <v>0.0115942029</v>
      </c>
      <c r="H58" s="64">
        <f t="shared" si="18"/>
        <v>3.508533333</v>
      </c>
      <c r="I58" s="63">
        <f t="shared" si="19"/>
        <v>0.008477699963</v>
      </c>
      <c r="J58" s="65">
        <f t="shared" si="20"/>
        <v>43.48212311</v>
      </c>
      <c r="K58" s="65">
        <f t="shared" si="5"/>
        <v>80.68909893</v>
      </c>
      <c r="L58" s="52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</row>
    <row r="59" ht="14.25" customHeight="1">
      <c r="A59" s="6">
        <v>20602.0</v>
      </c>
      <c r="B59" s="7" t="s">
        <v>15</v>
      </c>
      <c r="C59" s="7" t="s">
        <v>91</v>
      </c>
      <c r="D59" s="7" t="s">
        <v>93</v>
      </c>
      <c r="E59" s="61">
        <v>25.0</v>
      </c>
      <c r="F59" s="62">
        <v>321.0</v>
      </c>
      <c r="G59" s="63">
        <f t="shared" si="17"/>
        <v>0.01449275362</v>
      </c>
      <c r="H59" s="64">
        <f t="shared" si="18"/>
        <v>4.385666667</v>
      </c>
      <c r="I59" s="63">
        <f t="shared" si="19"/>
        <v>0.005915960192</v>
      </c>
      <c r="J59" s="65">
        <f t="shared" si="20"/>
        <v>30.34295982</v>
      </c>
      <c r="K59" s="65">
        <f t="shared" si="5"/>
        <v>144.5365479</v>
      </c>
      <c r="L59" s="52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</row>
    <row r="60" ht="14.25" customHeight="1">
      <c r="A60" s="6">
        <v>20603.0</v>
      </c>
      <c r="B60" s="7" t="s">
        <v>15</v>
      </c>
      <c r="C60" s="7" t="s">
        <v>91</v>
      </c>
      <c r="D60" s="7" t="s">
        <v>94</v>
      </c>
      <c r="E60" s="61">
        <v>7.0</v>
      </c>
      <c r="F60" s="62">
        <v>182.0</v>
      </c>
      <c r="G60" s="63">
        <f t="shared" si="17"/>
        <v>0.004057971014</v>
      </c>
      <c r="H60" s="64">
        <f t="shared" si="18"/>
        <v>1.227986667</v>
      </c>
      <c r="I60" s="63">
        <f t="shared" si="19"/>
        <v>0.00335422042</v>
      </c>
      <c r="J60" s="65">
        <f t="shared" si="20"/>
        <v>17.20379654</v>
      </c>
      <c r="K60" s="65">
        <f t="shared" si="5"/>
        <v>71.37881828</v>
      </c>
      <c r="L60" s="52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</row>
    <row r="61" ht="14.25" customHeight="1">
      <c r="A61" s="6">
        <v>20604.0</v>
      </c>
      <c r="B61" s="7" t="s">
        <v>15</v>
      </c>
      <c r="C61" s="7" t="s">
        <v>91</v>
      </c>
      <c r="D61" s="7" t="s">
        <v>95</v>
      </c>
      <c r="E61" s="61">
        <v>5.0</v>
      </c>
      <c r="F61" s="62">
        <v>53.0</v>
      </c>
      <c r="G61" s="63">
        <f t="shared" si="17"/>
        <v>0.002898550725</v>
      </c>
      <c r="H61" s="64">
        <f t="shared" si="18"/>
        <v>0.8771333333</v>
      </c>
      <c r="I61" s="63">
        <f t="shared" si="19"/>
        <v>0.000976778474</v>
      </c>
      <c r="J61" s="65">
        <f t="shared" si="20"/>
        <v>5.009896793</v>
      </c>
      <c r="K61" s="65">
        <f t="shared" si="5"/>
        <v>175.0801203</v>
      </c>
      <c r="L61" s="52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</row>
    <row r="62" ht="14.25" customHeight="1">
      <c r="A62" s="6">
        <v>20605.0</v>
      </c>
      <c r="B62" s="7" t="s">
        <v>15</v>
      </c>
      <c r="C62" s="7" t="s">
        <v>91</v>
      </c>
      <c r="D62" s="7" t="s">
        <v>96</v>
      </c>
      <c r="E62" s="61">
        <v>2.0</v>
      </c>
      <c r="F62" s="62">
        <v>51.0</v>
      </c>
      <c r="G62" s="63">
        <f t="shared" si="17"/>
        <v>0.00115942029</v>
      </c>
      <c r="H62" s="64">
        <f t="shared" si="18"/>
        <v>0.3508533333</v>
      </c>
      <c r="I62" s="63">
        <f t="shared" si="19"/>
        <v>0.000939918909</v>
      </c>
      <c r="J62" s="65">
        <f t="shared" si="20"/>
        <v>4.820844084</v>
      </c>
      <c r="K62" s="65">
        <f t="shared" si="5"/>
        <v>72.77840296</v>
      </c>
      <c r="L62" s="52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</row>
    <row r="63" ht="14.25" customHeight="1">
      <c r="A63" s="6">
        <v>20606.0</v>
      </c>
      <c r="B63" s="7" t="s">
        <v>15</v>
      </c>
      <c r="C63" s="7" t="s">
        <v>91</v>
      </c>
      <c r="D63" s="7" t="s">
        <v>97</v>
      </c>
      <c r="E63" s="61">
        <v>13.0</v>
      </c>
      <c r="F63" s="62">
        <v>256.0</v>
      </c>
      <c r="G63" s="63">
        <f t="shared" si="17"/>
        <v>0.007536231884</v>
      </c>
      <c r="H63" s="64">
        <f t="shared" si="18"/>
        <v>2.280546667</v>
      </c>
      <c r="I63" s="63">
        <f t="shared" si="19"/>
        <v>0.004718024327</v>
      </c>
      <c r="J63" s="65">
        <f t="shared" si="20"/>
        <v>24.19874677</v>
      </c>
      <c r="K63" s="65">
        <f t="shared" si="5"/>
        <v>94.24234601</v>
      </c>
      <c r="L63" s="52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</row>
    <row r="64" ht="14.25" customHeight="1">
      <c r="A64" s="6">
        <v>20607.0</v>
      </c>
      <c r="B64" s="7" t="s">
        <v>15</v>
      </c>
      <c r="C64" s="7" t="s">
        <v>91</v>
      </c>
      <c r="D64" s="7" t="s">
        <v>98</v>
      </c>
      <c r="E64" s="61">
        <v>13.0</v>
      </c>
      <c r="F64" s="62">
        <v>374.0</v>
      </c>
      <c r="G64" s="63">
        <f t="shared" si="17"/>
        <v>0.007536231884</v>
      </c>
      <c r="H64" s="64">
        <f t="shared" si="18"/>
        <v>2.280546667</v>
      </c>
      <c r="I64" s="63">
        <f t="shared" si="19"/>
        <v>0.006892738666</v>
      </c>
      <c r="J64" s="65">
        <f t="shared" si="20"/>
        <v>35.35285662</v>
      </c>
      <c r="K64" s="65">
        <f t="shared" si="5"/>
        <v>64.50812989</v>
      </c>
      <c r="L64" s="52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</row>
    <row r="65" ht="14.25" customHeight="1">
      <c r="A65" s="6">
        <v>20608.0</v>
      </c>
      <c r="B65" s="7" t="s">
        <v>15</v>
      </c>
      <c r="C65" s="7" t="s">
        <v>91</v>
      </c>
      <c r="D65" s="7" t="s">
        <v>99</v>
      </c>
      <c r="E65" s="61">
        <v>9.0</v>
      </c>
      <c r="F65" s="62">
        <v>237.0</v>
      </c>
      <c r="G65" s="63">
        <f t="shared" si="17"/>
        <v>0.005217391304</v>
      </c>
      <c r="H65" s="64">
        <f t="shared" si="18"/>
        <v>1.57884</v>
      </c>
      <c r="I65" s="63">
        <f t="shared" si="19"/>
        <v>0.004367858459</v>
      </c>
      <c r="J65" s="65">
        <f t="shared" si="20"/>
        <v>22.40274604</v>
      </c>
      <c r="K65" s="65">
        <f t="shared" si="5"/>
        <v>70.47528894</v>
      </c>
      <c r="L65" s="52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</row>
    <row r="66" ht="14.25" customHeight="1">
      <c r="A66" s="6">
        <v>20701.0</v>
      </c>
      <c r="B66" s="7" t="s">
        <v>15</v>
      </c>
      <c r="C66" s="7" t="s">
        <v>100</v>
      </c>
      <c r="D66" s="7" t="s">
        <v>101</v>
      </c>
      <c r="E66" s="61">
        <v>19.0</v>
      </c>
      <c r="F66" s="62">
        <v>432.0</v>
      </c>
      <c r="G66" s="63">
        <f t="shared" si="17"/>
        <v>0.01101449275</v>
      </c>
      <c r="H66" s="64">
        <f t="shared" si="18"/>
        <v>3.333106667</v>
      </c>
      <c r="I66" s="63">
        <f t="shared" si="19"/>
        <v>0.007961666052</v>
      </c>
      <c r="J66" s="65">
        <f t="shared" si="20"/>
        <v>40.83538518</v>
      </c>
      <c r="K66" s="65">
        <f t="shared" si="5"/>
        <v>81.62300054</v>
      </c>
      <c r="L66" s="52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</row>
    <row r="67" ht="14.25" customHeight="1">
      <c r="A67" s="6">
        <v>20702.0</v>
      </c>
      <c r="B67" s="7" t="s">
        <v>15</v>
      </c>
      <c r="C67" s="7" t="s">
        <v>100</v>
      </c>
      <c r="D67" s="7" t="s">
        <v>102</v>
      </c>
      <c r="E67" s="61">
        <v>7.0</v>
      </c>
      <c r="F67" s="62">
        <v>155.0</v>
      </c>
      <c r="G67" s="63">
        <f t="shared" si="17"/>
        <v>0.004057971014</v>
      </c>
      <c r="H67" s="64">
        <f t="shared" si="18"/>
        <v>1.227986667</v>
      </c>
      <c r="I67" s="63">
        <f t="shared" si="19"/>
        <v>0.002856616292</v>
      </c>
      <c r="J67" s="65">
        <f t="shared" si="20"/>
        <v>14.65158496</v>
      </c>
      <c r="K67" s="65">
        <f t="shared" si="5"/>
        <v>83.81254792</v>
      </c>
      <c r="L67" s="52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</row>
    <row r="68" ht="14.25" customHeight="1">
      <c r="A68" s="6">
        <v>20801.0</v>
      </c>
      <c r="B68" s="7" t="s">
        <v>15</v>
      </c>
      <c r="C68" s="7" t="s">
        <v>103</v>
      </c>
      <c r="D68" s="7" t="s">
        <v>104</v>
      </c>
      <c r="E68" s="61">
        <v>72.0</v>
      </c>
      <c r="F68" s="62">
        <v>1903.0</v>
      </c>
      <c r="G68" s="63">
        <f t="shared" si="17"/>
        <v>0.04173913043</v>
      </c>
      <c r="H68" s="64">
        <f t="shared" si="18"/>
        <v>12.63072</v>
      </c>
      <c r="I68" s="63">
        <f t="shared" si="19"/>
        <v>0.03507187615</v>
      </c>
      <c r="J68" s="65">
        <f t="shared" si="20"/>
        <v>179.8836528</v>
      </c>
      <c r="K68" s="65">
        <f t="shared" si="5"/>
        <v>70.21605246</v>
      </c>
      <c r="L68" s="52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</row>
    <row r="69" ht="14.25" customHeight="1">
      <c r="A69" s="6">
        <v>20802.0</v>
      </c>
      <c r="B69" s="7" t="s">
        <v>15</v>
      </c>
      <c r="C69" s="7" t="s">
        <v>103</v>
      </c>
      <c r="D69" s="7" t="s">
        <v>105</v>
      </c>
      <c r="E69" s="61">
        <v>5.0</v>
      </c>
      <c r="F69" s="62">
        <v>110.0</v>
      </c>
      <c r="G69" s="63">
        <f t="shared" si="17"/>
        <v>0.002898550725</v>
      </c>
      <c r="H69" s="64">
        <f t="shared" si="18"/>
        <v>0.8771333333</v>
      </c>
      <c r="I69" s="63">
        <f t="shared" si="19"/>
        <v>0.002027276078</v>
      </c>
      <c r="J69" s="65">
        <f t="shared" si="20"/>
        <v>10.397899</v>
      </c>
      <c r="K69" s="65">
        <f t="shared" si="5"/>
        <v>84.35678524</v>
      </c>
      <c r="L69" s="52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</row>
    <row r="70" ht="14.25" customHeight="1">
      <c r="A70" s="6">
        <v>20803.0</v>
      </c>
      <c r="B70" s="7" t="s">
        <v>15</v>
      </c>
      <c r="C70" s="7" t="s">
        <v>103</v>
      </c>
      <c r="D70" s="7" t="s">
        <v>106</v>
      </c>
      <c r="E70" s="61">
        <v>11.0</v>
      </c>
      <c r="F70" s="62">
        <v>235.0</v>
      </c>
      <c r="G70" s="63">
        <f t="shared" si="17"/>
        <v>0.006376811594</v>
      </c>
      <c r="H70" s="64">
        <f t="shared" si="18"/>
        <v>1.929693333</v>
      </c>
      <c r="I70" s="63">
        <f t="shared" si="19"/>
        <v>0.004330998894</v>
      </c>
      <c r="J70" s="65">
        <f t="shared" si="20"/>
        <v>22.21369333</v>
      </c>
      <c r="K70" s="65">
        <f t="shared" si="5"/>
        <v>86.86954055</v>
      </c>
      <c r="L70" s="52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</row>
    <row r="71" ht="14.25" customHeight="1">
      <c r="A71" s="6">
        <v>20804.0</v>
      </c>
      <c r="B71" s="7" t="s">
        <v>15</v>
      </c>
      <c r="C71" s="7" t="s">
        <v>103</v>
      </c>
      <c r="D71" s="7" t="s">
        <v>107</v>
      </c>
      <c r="E71" s="61">
        <v>7.0</v>
      </c>
      <c r="F71" s="62">
        <v>149.0</v>
      </c>
      <c r="G71" s="63">
        <f t="shared" si="17"/>
        <v>0.004057971014</v>
      </c>
      <c r="H71" s="64">
        <f t="shared" si="18"/>
        <v>1.227986667</v>
      </c>
      <c r="I71" s="63">
        <f t="shared" si="19"/>
        <v>0.002746037597</v>
      </c>
      <c r="J71" s="65">
        <f t="shared" si="20"/>
        <v>14.08442683</v>
      </c>
      <c r="K71" s="65">
        <f t="shared" si="5"/>
        <v>87.18754985</v>
      </c>
      <c r="L71" s="52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</row>
    <row r="72" ht="14.25" customHeight="1">
      <c r="A72" s="6">
        <v>20805.0</v>
      </c>
      <c r="B72" s="7" t="s">
        <v>15</v>
      </c>
      <c r="C72" s="7" t="s">
        <v>103</v>
      </c>
      <c r="D72" s="7" t="s">
        <v>108</v>
      </c>
      <c r="E72" s="61">
        <v>1.0</v>
      </c>
      <c r="F72" s="62">
        <v>76.0</v>
      </c>
      <c r="G72" s="63">
        <f t="shared" si="17"/>
        <v>0.0005797101449</v>
      </c>
      <c r="H72" s="64">
        <f t="shared" si="18"/>
        <v>0.1754266667</v>
      </c>
      <c r="I72" s="63">
        <f t="shared" si="19"/>
        <v>0.001400663472</v>
      </c>
      <c r="J72" s="65">
        <f t="shared" si="20"/>
        <v>7.184002949</v>
      </c>
      <c r="K72" s="65">
        <f t="shared" si="5"/>
        <v>24.41906941</v>
      </c>
      <c r="L72" s="52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</row>
    <row r="73" ht="14.25" customHeight="1">
      <c r="A73" s="6">
        <v>20806.0</v>
      </c>
      <c r="B73" s="7" t="s">
        <v>15</v>
      </c>
      <c r="C73" s="7" t="s">
        <v>103</v>
      </c>
      <c r="D73" s="7" t="s">
        <v>109</v>
      </c>
      <c r="E73" s="61">
        <v>9.0</v>
      </c>
      <c r="F73" s="62">
        <v>230.0</v>
      </c>
      <c r="G73" s="63">
        <f t="shared" si="17"/>
        <v>0.005217391304</v>
      </c>
      <c r="H73" s="64">
        <f t="shared" si="18"/>
        <v>1.57884</v>
      </c>
      <c r="I73" s="63">
        <f t="shared" si="19"/>
        <v>0.004238849982</v>
      </c>
      <c r="J73" s="65">
        <f t="shared" si="20"/>
        <v>21.74106156</v>
      </c>
      <c r="K73" s="65">
        <f t="shared" si="5"/>
        <v>72.62018904</v>
      </c>
      <c r="L73" s="52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</row>
    <row r="74" ht="14.25" customHeight="1">
      <c r="A74" s="6">
        <v>20807.0</v>
      </c>
      <c r="B74" s="7" t="s">
        <v>15</v>
      </c>
      <c r="C74" s="7" t="s">
        <v>103</v>
      </c>
      <c r="D74" s="7" t="s">
        <v>110</v>
      </c>
      <c r="E74" s="61">
        <v>1.0</v>
      </c>
      <c r="F74" s="62">
        <v>87.0</v>
      </c>
      <c r="G74" s="63">
        <f t="shared" si="17"/>
        <v>0.0005797101449</v>
      </c>
      <c r="H74" s="64">
        <f t="shared" si="18"/>
        <v>0.1754266667</v>
      </c>
      <c r="I74" s="63">
        <f t="shared" si="19"/>
        <v>0.00160339108</v>
      </c>
      <c r="J74" s="65">
        <f t="shared" si="20"/>
        <v>8.223792849</v>
      </c>
      <c r="K74" s="65">
        <f t="shared" si="5"/>
        <v>21.33160087</v>
      </c>
      <c r="L74" s="52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</row>
    <row r="75" ht="14.25" customHeight="1">
      <c r="A75" s="6">
        <v>20901.0</v>
      </c>
      <c r="B75" s="7" t="s">
        <v>15</v>
      </c>
      <c r="C75" s="7" t="s">
        <v>111</v>
      </c>
      <c r="D75" s="7" t="s">
        <v>112</v>
      </c>
      <c r="E75" s="61">
        <v>9.0</v>
      </c>
      <c r="F75" s="62">
        <v>204.0</v>
      </c>
      <c r="G75" s="63">
        <f t="shared" si="17"/>
        <v>0.005217391304</v>
      </c>
      <c r="H75" s="64">
        <f t="shared" si="18"/>
        <v>1.57884</v>
      </c>
      <c r="I75" s="63">
        <f t="shared" si="19"/>
        <v>0.003759675636</v>
      </c>
      <c r="J75" s="65">
        <f t="shared" si="20"/>
        <v>19.28337634</v>
      </c>
      <c r="K75" s="65">
        <f t="shared" si="5"/>
        <v>81.87570332</v>
      </c>
      <c r="L75" s="52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</row>
    <row r="76" ht="14.25" customHeight="1">
      <c r="A76" s="6">
        <v>20902.0</v>
      </c>
      <c r="B76" s="7" t="s">
        <v>15</v>
      </c>
      <c r="C76" s="7" t="s">
        <v>111</v>
      </c>
      <c r="D76" s="7" t="s">
        <v>113</v>
      </c>
      <c r="E76" s="61">
        <v>8.0</v>
      </c>
      <c r="F76" s="62">
        <v>230.0</v>
      </c>
      <c r="G76" s="63">
        <f t="shared" si="17"/>
        <v>0.004637681159</v>
      </c>
      <c r="H76" s="64">
        <f t="shared" si="18"/>
        <v>1.403413333</v>
      </c>
      <c r="I76" s="63">
        <f t="shared" si="19"/>
        <v>0.004238849982</v>
      </c>
      <c r="J76" s="65">
        <f t="shared" si="20"/>
        <v>21.74106156</v>
      </c>
      <c r="K76" s="65">
        <f t="shared" si="5"/>
        <v>64.55127914</v>
      </c>
      <c r="L76" s="52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</row>
    <row r="77" ht="14.25" customHeight="1">
      <c r="A77" s="6">
        <v>20903.0</v>
      </c>
      <c r="B77" s="7" t="s">
        <v>15</v>
      </c>
      <c r="C77" s="7" t="s">
        <v>111</v>
      </c>
      <c r="D77" s="7" t="s">
        <v>114</v>
      </c>
      <c r="E77" s="61">
        <v>7.0</v>
      </c>
      <c r="F77" s="62">
        <v>138.0</v>
      </c>
      <c r="G77" s="63">
        <f t="shared" si="17"/>
        <v>0.004057971014</v>
      </c>
      <c r="H77" s="64">
        <f t="shared" si="18"/>
        <v>1.227986667</v>
      </c>
      <c r="I77" s="63">
        <f t="shared" si="19"/>
        <v>0.002543309989</v>
      </c>
      <c r="J77" s="65">
        <f t="shared" si="20"/>
        <v>13.04463693</v>
      </c>
      <c r="K77" s="65">
        <f t="shared" si="5"/>
        <v>94.13728208</v>
      </c>
      <c r="L77" s="52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</row>
    <row r="78" ht="14.25" customHeight="1">
      <c r="A78" s="6">
        <v>20904.0</v>
      </c>
      <c r="B78" s="7" t="s">
        <v>15</v>
      </c>
      <c r="C78" s="7" t="s">
        <v>111</v>
      </c>
      <c r="D78" s="7" t="s">
        <v>115</v>
      </c>
      <c r="E78" s="61">
        <v>4.0</v>
      </c>
      <c r="F78" s="62">
        <v>88.0</v>
      </c>
      <c r="G78" s="63">
        <f t="shared" si="17"/>
        <v>0.00231884058</v>
      </c>
      <c r="H78" s="64">
        <f t="shared" si="18"/>
        <v>0.7017066667</v>
      </c>
      <c r="I78" s="63">
        <f t="shared" si="19"/>
        <v>0.001621820863</v>
      </c>
      <c r="J78" s="65">
        <f t="shared" si="20"/>
        <v>8.318319204</v>
      </c>
      <c r="K78" s="65">
        <f t="shared" si="5"/>
        <v>84.35678524</v>
      </c>
      <c r="L78" s="52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</row>
    <row r="79" ht="14.25" customHeight="1">
      <c r="A79" s="6">
        <v>20905.0</v>
      </c>
      <c r="B79" s="7" t="s">
        <v>15</v>
      </c>
      <c r="C79" s="7" t="s">
        <v>111</v>
      </c>
      <c r="D79" s="7" t="s">
        <v>116</v>
      </c>
      <c r="E79" s="61">
        <v>17.0</v>
      </c>
      <c r="F79" s="62">
        <v>245.0</v>
      </c>
      <c r="G79" s="63">
        <f t="shared" si="17"/>
        <v>0.009855072464</v>
      </c>
      <c r="H79" s="64">
        <f t="shared" si="18"/>
        <v>2.982253333</v>
      </c>
      <c r="I79" s="63">
        <f t="shared" si="19"/>
        <v>0.004515296719</v>
      </c>
      <c r="J79" s="65">
        <f t="shared" si="20"/>
        <v>23.15895687</v>
      </c>
      <c r="K79" s="65">
        <f t="shared" si="5"/>
        <v>128.773215</v>
      </c>
      <c r="L79" s="52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</row>
    <row r="80" ht="14.25" customHeight="1">
      <c r="A80" s="6">
        <v>21001.0</v>
      </c>
      <c r="B80" s="7" t="s">
        <v>15</v>
      </c>
      <c r="C80" s="7" t="s">
        <v>117</v>
      </c>
      <c r="D80" s="7" t="s">
        <v>117</v>
      </c>
      <c r="E80" s="61">
        <v>14.0</v>
      </c>
      <c r="F80" s="62">
        <v>324.0</v>
      </c>
      <c r="G80" s="63">
        <f t="shared" si="17"/>
        <v>0.008115942029</v>
      </c>
      <c r="H80" s="64">
        <f t="shared" si="18"/>
        <v>2.455973333</v>
      </c>
      <c r="I80" s="63">
        <f t="shared" si="19"/>
        <v>0.005971249539</v>
      </c>
      <c r="J80" s="65">
        <f t="shared" si="20"/>
        <v>30.62653889</v>
      </c>
      <c r="K80" s="65">
        <f t="shared" si="5"/>
        <v>80.19101807</v>
      </c>
      <c r="L80" s="52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</row>
    <row r="81" ht="14.25" customHeight="1">
      <c r="A81" s="6">
        <v>21002.0</v>
      </c>
      <c r="B81" s="7" t="s">
        <v>15</v>
      </c>
      <c r="C81" s="7" t="s">
        <v>117</v>
      </c>
      <c r="D81" s="7" t="s">
        <v>118</v>
      </c>
      <c r="E81" s="61">
        <v>10.0</v>
      </c>
      <c r="F81" s="62">
        <v>182.0</v>
      </c>
      <c r="G81" s="63">
        <f t="shared" si="17"/>
        <v>0.005797101449</v>
      </c>
      <c r="H81" s="64">
        <f t="shared" si="18"/>
        <v>1.754266667</v>
      </c>
      <c r="I81" s="63">
        <f t="shared" si="19"/>
        <v>0.00335422042</v>
      </c>
      <c r="J81" s="65">
        <f t="shared" si="20"/>
        <v>17.20379654</v>
      </c>
      <c r="K81" s="65">
        <f t="shared" si="5"/>
        <v>101.9697404</v>
      </c>
      <c r="L81" s="52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</row>
    <row r="82" ht="14.25" customHeight="1">
      <c r="A82" s="6">
        <v>21003.0</v>
      </c>
      <c r="B82" s="7" t="s">
        <v>15</v>
      </c>
      <c r="C82" s="7" t="s">
        <v>117</v>
      </c>
      <c r="D82" s="7" t="s">
        <v>119</v>
      </c>
      <c r="E82" s="61">
        <v>12.0</v>
      </c>
      <c r="F82" s="62">
        <v>222.0</v>
      </c>
      <c r="G82" s="63">
        <f t="shared" si="17"/>
        <v>0.006956521739</v>
      </c>
      <c r="H82" s="64">
        <f t="shared" si="18"/>
        <v>2.10512</v>
      </c>
      <c r="I82" s="63">
        <f t="shared" si="19"/>
        <v>0.004091411721</v>
      </c>
      <c r="J82" s="65">
        <f t="shared" si="20"/>
        <v>20.98485072</v>
      </c>
      <c r="K82" s="65">
        <f t="shared" si="5"/>
        <v>100.316177</v>
      </c>
      <c r="L82" s="52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</row>
    <row r="83" ht="14.25" customHeight="1">
      <c r="A83" s="6">
        <v>21004.0</v>
      </c>
      <c r="B83" s="7" t="s">
        <v>15</v>
      </c>
      <c r="C83" s="7" t="s">
        <v>117</v>
      </c>
      <c r="D83" s="7" t="s">
        <v>120</v>
      </c>
      <c r="E83" s="61">
        <v>21.0</v>
      </c>
      <c r="F83" s="62">
        <v>462.0</v>
      </c>
      <c r="G83" s="63">
        <f t="shared" si="17"/>
        <v>0.01217391304</v>
      </c>
      <c r="H83" s="64">
        <f t="shared" si="18"/>
        <v>3.68396</v>
      </c>
      <c r="I83" s="63">
        <f t="shared" si="19"/>
        <v>0.008514559528</v>
      </c>
      <c r="J83" s="65">
        <f t="shared" si="20"/>
        <v>43.67117582</v>
      </c>
      <c r="K83" s="65">
        <f t="shared" si="5"/>
        <v>84.35678524</v>
      </c>
      <c r="L83" s="52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</row>
    <row r="84" ht="14.25" customHeight="1">
      <c r="A84" s="6">
        <v>21005.0</v>
      </c>
      <c r="B84" s="7" t="s">
        <v>15</v>
      </c>
      <c r="C84" s="7" t="s">
        <v>117</v>
      </c>
      <c r="D84" s="7" t="s">
        <v>121</v>
      </c>
      <c r="E84" s="61">
        <v>4.0</v>
      </c>
      <c r="F84" s="62">
        <v>149.0</v>
      </c>
      <c r="G84" s="63">
        <f t="shared" si="17"/>
        <v>0.00231884058</v>
      </c>
      <c r="H84" s="64">
        <f t="shared" si="18"/>
        <v>0.7017066667</v>
      </c>
      <c r="I84" s="63">
        <f t="shared" si="19"/>
        <v>0.002746037597</v>
      </c>
      <c r="J84" s="65">
        <f t="shared" si="20"/>
        <v>14.08442683</v>
      </c>
      <c r="K84" s="65">
        <f t="shared" si="5"/>
        <v>49.82145706</v>
      </c>
      <c r="L84" s="52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</row>
    <row r="85" ht="14.25" customHeight="1">
      <c r="A85" s="6">
        <v>21006.0</v>
      </c>
      <c r="B85" s="7" t="s">
        <v>15</v>
      </c>
      <c r="C85" s="7" t="s">
        <v>117</v>
      </c>
      <c r="D85" s="7" t="s">
        <v>122</v>
      </c>
      <c r="E85" s="61">
        <v>1.0</v>
      </c>
      <c r="F85" s="62">
        <v>82.0</v>
      </c>
      <c r="G85" s="63">
        <f t="shared" si="17"/>
        <v>0.0005797101449</v>
      </c>
      <c r="H85" s="64">
        <f t="shared" si="18"/>
        <v>0.1754266667</v>
      </c>
      <c r="I85" s="63">
        <f t="shared" si="19"/>
        <v>0.001511242167</v>
      </c>
      <c r="J85" s="65">
        <f t="shared" si="20"/>
        <v>7.751161076</v>
      </c>
      <c r="K85" s="65">
        <f t="shared" si="5"/>
        <v>22.63230824</v>
      </c>
      <c r="L85" s="52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</row>
    <row r="86" ht="14.25" customHeight="1">
      <c r="A86" s="6">
        <v>21101.0</v>
      </c>
      <c r="B86" s="7" t="s">
        <v>15</v>
      </c>
      <c r="C86" s="7" t="s">
        <v>123</v>
      </c>
      <c r="D86" s="7" t="s">
        <v>124</v>
      </c>
      <c r="E86" s="61">
        <v>12.0</v>
      </c>
      <c r="F86" s="62">
        <v>352.0</v>
      </c>
      <c r="G86" s="63">
        <f t="shared" si="17"/>
        <v>0.006956521739</v>
      </c>
      <c r="H86" s="64">
        <f t="shared" si="18"/>
        <v>2.10512</v>
      </c>
      <c r="I86" s="63">
        <f t="shared" si="19"/>
        <v>0.00648728345</v>
      </c>
      <c r="J86" s="65">
        <f t="shared" si="20"/>
        <v>33.27327682</v>
      </c>
      <c r="K86" s="65">
        <f t="shared" si="5"/>
        <v>63.26758893</v>
      </c>
      <c r="L86" s="52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</row>
    <row r="87" ht="14.25" customHeight="1">
      <c r="A87" s="6">
        <v>21102.0</v>
      </c>
      <c r="B87" s="7" t="s">
        <v>15</v>
      </c>
      <c r="C87" s="7" t="s">
        <v>123</v>
      </c>
      <c r="D87" s="7" t="s">
        <v>125</v>
      </c>
      <c r="E87" s="61">
        <v>10.0</v>
      </c>
      <c r="F87" s="62">
        <v>374.0</v>
      </c>
      <c r="G87" s="63">
        <f t="shared" si="17"/>
        <v>0.005797101449</v>
      </c>
      <c r="H87" s="64">
        <f t="shared" si="18"/>
        <v>1.754266667</v>
      </c>
      <c r="I87" s="63">
        <f t="shared" si="19"/>
        <v>0.006892738666</v>
      </c>
      <c r="J87" s="65">
        <f t="shared" si="20"/>
        <v>35.35285662</v>
      </c>
      <c r="K87" s="65">
        <f t="shared" si="5"/>
        <v>49.62163838</v>
      </c>
      <c r="L87" s="52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</row>
    <row r="88" ht="14.25" customHeight="1">
      <c r="A88" s="6">
        <v>21103.0</v>
      </c>
      <c r="B88" s="7" t="s">
        <v>15</v>
      </c>
      <c r="C88" s="7" t="s">
        <v>123</v>
      </c>
      <c r="D88" s="7" t="s">
        <v>126</v>
      </c>
      <c r="E88" s="61">
        <v>5.0</v>
      </c>
      <c r="F88" s="62">
        <v>146.0</v>
      </c>
      <c r="G88" s="63">
        <f t="shared" si="17"/>
        <v>0.002898550725</v>
      </c>
      <c r="H88" s="64">
        <f t="shared" si="18"/>
        <v>0.8771333333</v>
      </c>
      <c r="I88" s="63">
        <f t="shared" si="19"/>
        <v>0.002690748249</v>
      </c>
      <c r="J88" s="65">
        <f t="shared" si="20"/>
        <v>13.80084777</v>
      </c>
      <c r="K88" s="65">
        <f t="shared" si="5"/>
        <v>63.55648203</v>
      </c>
      <c r="L88" s="52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</row>
    <row r="89" ht="14.25" customHeight="1">
      <c r="A89" s="6">
        <v>21104.0</v>
      </c>
      <c r="B89" s="7" t="s">
        <v>15</v>
      </c>
      <c r="C89" s="7" t="s">
        <v>123</v>
      </c>
      <c r="D89" s="7" t="s">
        <v>127</v>
      </c>
      <c r="E89" s="61">
        <v>17.0</v>
      </c>
      <c r="F89" s="62">
        <v>649.0</v>
      </c>
      <c r="G89" s="63">
        <f t="shared" si="17"/>
        <v>0.009855072464</v>
      </c>
      <c r="H89" s="64">
        <f t="shared" si="18"/>
        <v>2.982253333</v>
      </c>
      <c r="I89" s="63">
        <f t="shared" si="19"/>
        <v>0.01196092886</v>
      </c>
      <c r="J89" s="65">
        <f t="shared" si="20"/>
        <v>61.34760413</v>
      </c>
      <c r="K89" s="65">
        <f t="shared" si="5"/>
        <v>48.61238472</v>
      </c>
      <c r="L89" s="52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</row>
    <row r="90" ht="14.25" customHeight="1">
      <c r="A90" s="6">
        <v>21105.0</v>
      </c>
      <c r="B90" s="7" t="s">
        <v>15</v>
      </c>
      <c r="C90" s="7" t="s">
        <v>123</v>
      </c>
      <c r="D90" s="7" t="s">
        <v>128</v>
      </c>
      <c r="E90" s="61">
        <v>42.0</v>
      </c>
      <c r="F90" s="62">
        <v>1166.0</v>
      </c>
      <c r="G90" s="63">
        <f t="shared" si="17"/>
        <v>0.02434782609</v>
      </c>
      <c r="H90" s="64">
        <f t="shared" si="18"/>
        <v>7.36792</v>
      </c>
      <c r="I90" s="63">
        <f t="shared" si="19"/>
        <v>0.02148912643</v>
      </c>
      <c r="J90" s="65">
        <f t="shared" si="20"/>
        <v>110.2177295</v>
      </c>
      <c r="K90" s="65">
        <f t="shared" si="5"/>
        <v>66.84877321</v>
      </c>
      <c r="L90" s="52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</row>
    <row r="91" ht="14.25" customHeight="1">
      <c r="A91" s="6">
        <v>21201.0</v>
      </c>
      <c r="B91" s="7" t="s">
        <v>15</v>
      </c>
      <c r="C91" s="7" t="s">
        <v>129</v>
      </c>
      <c r="D91" s="7" t="s">
        <v>130</v>
      </c>
      <c r="E91" s="61">
        <v>34.0</v>
      </c>
      <c r="F91" s="62">
        <v>587.0</v>
      </c>
      <c r="G91" s="63">
        <f t="shared" si="17"/>
        <v>0.01971014493</v>
      </c>
      <c r="H91" s="64">
        <f t="shared" si="18"/>
        <v>5.964506667</v>
      </c>
      <c r="I91" s="63">
        <f t="shared" si="19"/>
        <v>0.01081828234</v>
      </c>
      <c r="J91" s="65">
        <f t="shared" si="20"/>
        <v>55.48697014</v>
      </c>
      <c r="K91" s="65">
        <f t="shared" si="5"/>
        <v>107.4938251</v>
      </c>
      <c r="L91" s="52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</row>
    <row r="92" ht="14.25" customHeight="1">
      <c r="A92" s="6">
        <v>21202.0</v>
      </c>
      <c r="B92" s="7" t="s">
        <v>15</v>
      </c>
      <c r="C92" s="7" t="s">
        <v>129</v>
      </c>
      <c r="D92" s="7" t="s">
        <v>131</v>
      </c>
      <c r="E92" s="61">
        <v>18.0</v>
      </c>
      <c r="F92" s="62">
        <v>453.0</v>
      </c>
      <c r="G92" s="63">
        <f t="shared" si="17"/>
        <v>0.01043478261</v>
      </c>
      <c r="H92" s="64">
        <f t="shared" si="18"/>
        <v>3.15768</v>
      </c>
      <c r="I92" s="63">
        <f t="shared" si="19"/>
        <v>0.008348691485</v>
      </c>
      <c r="J92" s="65">
        <f t="shared" si="20"/>
        <v>42.82043863</v>
      </c>
      <c r="K92" s="65">
        <f t="shared" si="5"/>
        <v>73.74235531</v>
      </c>
      <c r="L92" s="52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</row>
    <row r="93" ht="14.25" customHeight="1">
      <c r="A93" s="6">
        <v>21203.0</v>
      </c>
      <c r="B93" s="7" t="s">
        <v>15</v>
      </c>
      <c r="C93" s="7" t="s">
        <v>129</v>
      </c>
      <c r="D93" s="7" t="s">
        <v>132</v>
      </c>
      <c r="E93" s="61">
        <v>6.0</v>
      </c>
      <c r="F93" s="62">
        <v>298.0</v>
      </c>
      <c r="G93" s="63">
        <f t="shared" si="17"/>
        <v>0.00347826087</v>
      </c>
      <c r="H93" s="64">
        <f t="shared" si="18"/>
        <v>1.05256</v>
      </c>
      <c r="I93" s="63">
        <f t="shared" si="19"/>
        <v>0.005492075194</v>
      </c>
      <c r="J93" s="65">
        <f t="shared" si="20"/>
        <v>28.16885367</v>
      </c>
      <c r="K93" s="65">
        <f t="shared" si="5"/>
        <v>37.36609279</v>
      </c>
      <c r="L93" s="52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</row>
    <row r="94" ht="14.25" customHeight="1">
      <c r="A94" s="6">
        <v>21204.0</v>
      </c>
      <c r="B94" s="7" t="s">
        <v>15</v>
      </c>
      <c r="C94" s="7" t="s">
        <v>129</v>
      </c>
      <c r="D94" s="7" t="s">
        <v>133</v>
      </c>
      <c r="E94" s="61">
        <v>7.0</v>
      </c>
      <c r="F94" s="62">
        <v>90.0</v>
      </c>
      <c r="G94" s="63">
        <f t="shared" si="17"/>
        <v>0.004057971014</v>
      </c>
      <c r="H94" s="64">
        <f t="shared" si="18"/>
        <v>1.227986667</v>
      </c>
      <c r="I94" s="63">
        <f t="shared" si="19"/>
        <v>0.001658680428</v>
      </c>
      <c r="J94" s="65">
        <f t="shared" si="20"/>
        <v>8.507371913</v>
      </c>
      <c r="K94" s="65">
        <f t="shared" si="5"/>
        <v>144.3438325</v>
      </c>
      <c r="L94" s="52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</row>
    <row r="95" ht="14.25" customHeight="1">
      <c r="A95" s="6">
        <v>21301.0</v>
      </c>
      <c r="B95" s="7" t="s">
        <v>15</v>
      </c>
      <c r="C95" s="7" t="s">
        <v>134</v>
      </c>
      <c r="D95" s="7" t="s">
        <v>135</v>
      </c>
      <c r="E95" s="61">
        <v>28.0</v>
      </c>
      <c r="F95" s="62">
        <v>595.0</v>
      </c>
      <c r="G95" s="63">
        <f t="shared" si="17"/>
        <v>0.01623188406</v>
      </c>
      <c r="H95" s="64">
        <f t="shared" si="18"/>
        <v>4.911946667</v>
      </c>
      <c r="I95" s="63">
        <f t="shared" si="19"/>
        <v>0.0109657206</v>
      </c>
      <c r="J95" s="65">
        <f t="shared" si="20"/>
        <v>56.24318098</v>
      </c>
      <c r="K95" s="65">
        <f t="shared" si="5"/>
        <v>87.33408355</v>
      </c>
      <c r="L95" s="52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</row>
    <row r="96" ht="14.25" customHeight="1">
      <c r="A96" s="6">
        <v>21302.0</v>
      </c>
      <c r="B96" s="7" t="s">
        <v>15</v>
      </c>
      <c r="C96" s="7" t="s">
        <v>134</v>
      </c>
      <c r="D96" s="7" t="s">
        <v>136</v>
      </c>
      <c r="E96" s="61">
        <v>6.0</v>
      </c>
      <c r="F96" s="62">
        <v>158.0</v>
      </c>
      <c r="G96" s="63">
        <f t="shared" si="17"/>
        <v>0.00347826087</v>
      </c>
      <c r="H96" s="64">
        <f t="shared" si="18"/>
        <v>1.05256</v>
      </c>
      <c r="I96" s="63">
        <f t="shared" si="19"/>
        <v>0.00291190564</v>
      </c>
      <c r="J96" s="65">
        <f t="shared" si="20"/>
        <v>14.93516403</v>
      </c>
      <c r="K96" s="65">
        <f t="shared" si="5"/>
        <v>70.47528894</v>
      </c>
      <c r="L96" s="52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</row>
    <row r="97" ht="14.25" customHeight="1">
      <c r="A97" s="6">
        <v>21303.0</v>
      </c>
      <c r="B97" s="7" t="s">
        <v>15</v>
      </c>
      <c r="C97" s="7" t="s">
        <v>134</v>
      </c>
      <c r="D97" s="7" t="s">
        <v>137</v>
      </c>
      <c r="E97" s="61">
        <v>3.0</v>
      </c>
      <c r="F97" s="62">
        <v>178.0</v>
      </c>
      <c r="G97" s="63">
        <f t="shared" si="17"/>
        <v>0.001739130435</v>
      </c>
      <c r="H97" s="64">
        <f t="shared" si="18"/>
        <v>0.52628</v>
      </c>
      <c r="I97" s="63">
        <f t="shared" si="19"/>
        <v>0.00328050129</v>
      </c>
      <c r="J97" s="65">
        <f t="shared" si="20"/>
        <v>16.82569112</v>
      </c>
      <c r="K97" s="65">
        <f t="shared" si="5"/>
        <v>31.27835857</v>
      </c>
      <c r="L97" s="52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</row>
    <row r="98" ht="14.25" customHeight="1">
      <c r="A98" s="6">
        <v>21304.0</v>
      </c>
      <c r="B98" s="7" t="s">
        <v>15</v>
      </c>
      <c r="C98" s="7" t="s">
        <v>134</v>
      </c>
      <c r="D98" s="7" t="s">
        <v>138</v>
      </c>
      <c r="E98" s="61">
        <v>4.0</v>
      </c>
      <c r="F98" s="62">
        <v>222.0</v>
      </c>
      <c r="G98" s="63">
        <f t="shared" si="17"/>
        <v>0.00231884058</v>
      </c>
      <c r="H98" s="64">
        <f t="shared" si="18"/>
        <v>0.7017066667</v>
      </c>
      <c r="I98" s="63">
        <f t="shared" si="19"/>
        <v>0.004091411721</v>
      </c>
      <c r="J98" s="65">
        <f t="shared" si="20"/>
        <v>20.98485072</v>
      </c>
      <c r="K98" s="65">
        <f t="shared" si="5"/>
        <v>33.43872568</v>
      </c>
      <c r="L98" s="52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</row>
    <row r="99" ht="14.25" customHeight="1">
      <c r="A99" s="6">
        <v>21305.0</v>
      </c>
      <c r="B99" s="7" t="s">
        <v>15</v>
      </c>
      <c r="C99" s="7" t="s">
        <v>134</v>
      </c>
      <c r="D99" s="7" t="s">
        <v>139</v>
      </c>
      <c r="E99" s="61">
        <v>6.0</v>
      </c>
      <c r="F99" s="62">
        <v>470.0</v>
      </c>
      <c r="G99" s="63">
        <f t="shared" si="17"/>
        <v>0.00347826087</v>
      </c>
      <c r="H99" s="64">
        <f t="shared" si="18"/>
        <v>1.05256</v>
      </c>
      <c r="I99" s="63">
        <f t="shared" si="19"/>
        <v>0.008661997788</v>
      </c>
      <c r="J99" s="65">
        <f t="shared" si="20"/>
        <v>44.42738666</v>
      </c>
      <c r="K99" s="65">
        <f t="shared" si="5"/>
        <v>23.69169288</v>
      </c>
      <c r="L99" s="52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</row>
    <row r="100" ht="14.25" customHeight="1">
      <c r="A100" s="6">
        <v>21306.0</v>
      </c>
      <c r="B100" s="7" t="s">
        <v>15</v>
      </c>
      <c r="C100" s="7" t="s">
        <v>134</v>
      </c>
      <c r="D100" s="7" t="s">
        <v>140</v>
      </c>
      <c r="E100" s="61">
        <v>2.0</v>
      </c>
      <c r="F100" s="62">
        <v>236.0</v>
      </c>
      <c r="G100" s="63">
        <f t="shared" si="17"/>
        <v>0.00115942029</v>
      </c>
      <c r="H100" s="64">
        <f t="shared" si="18"/>
        <v>0.3508533333</v>
      </c>
      <c r="I100" s="63">
        <f t="shared" si="19"/>
        <v>0.004349428677</v>
      </c>
      <c r="J100" s="65">
        <f t="shared" si="20"/>
        <v>22.30821968</v>
      </c>
      <c r="K100" s="65">
        <f t="shared" si="5"/>
        <v>15.72753623</v>
      </c>
      <c r="L100" s="52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</row>
    <row r="101" ht="14.25" customHeight="1">
      <c r="A101" s="6">
        <v>21307.0</v>
      </c>
      <c r="B101" s="7" t="s">
        <v>15</v>
      </c>
      <c r="C101" s="7" t="s">
        <v>134</v>
      </c>
      <c r="D101" s="7" t="s">
        <v>141</v>
      </c>
      <c r="E101" s="61">
        <v>0.0</v>
      </c>
      <c r="F101" s="62">
        <v>89.0</v>
      </c>
      <c r="G101" s="63">
        <f t="shared" si="17"/>
        <v>0</v>
      </c>
      <c r="H101" s="64">
        <f t="shared" si="18"/>
        <v>0</v>
      </c>
      <c r="I101" s="63">
        <f t="shared" si="19"/>
        <v>0.001640250645</v>
      </c>
      <c r="J101" s="65">
        <f t="shared" si="20"/>
        <v>8.412845558</v>
      </c>
      <c r="K101" s="65">
        <f t="shared" si="5"/>
        <v>0</v>
      </c>
      <c r="L101" s="52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</row>
    <row r="102" ht="14.25" customHeight="1">
      <c r="A102" s="6">
        <v>21401.0</v>
      </c>
      <c r="B102" s="7" t="s">
        <v>15</v>
      </c>
      <c r="C102" s="7" t="s">
        <v>142</v>
      </c>
      <c r="D102" s="7" t="s">
        <v>143</v>
      </c>
      <c r="E102" s="61">
        <v>5.0</v>
      </c>
      <c r="F102" s="62">
        <v>372.0</v>
      </c>
      <c r="G102" s="63">
        <f t="shared" si="17"/>
        <v>0.002898550725</v>
      </c>
      <c r="H102" s="64">
        <f t="shared" si="18"/>
        <v>0.8771333333</v>
      </c>
      <c r="I102" s="63">
        <f t="shared" si="19"/>
        <v>0.006855879101</v>
      </c>
      <c r="J102" s="65">
        <f t="shared" si="20"/>
        <v>35.16380391</v>
      </c>
      <c r="K102" s="65">
        <f t="shared" si="5"/>
        <v>24.94421069</v>
      </c>
      <c r="L102" s="52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</row>
    <row r="103" ht="14.25" customHeight="1">
      <c r="A103" s="6">
        <v>21402.0</v>
      </c>
      <c r="B103" s="7" t="s">
        <v>15</v>
      </c>
      <c r="C103" s="7" t="s">
        <v>142</v>
      </c>
      <c r="D103" s="7" t="s">
        <v>144</v>
      </c>
      <c r="E103" s="61">
        <v>10.0</v>
      </c>
      <c r="F103" s="62">
        <v>367.0</v>
      </c>
      <c r="G103" s="63">
        <f t="shared" si="17"/>
        <v>0.005797101449</v>
      </c>
      <c r="H103" s="64">
        <f t="shared" si="18"/>
        <v>1.754266667</v>
      </c>
      <c r="I103" s="63">
        <f t="shared" si="19"/>
        <v>0.006763730188</v>
      </c>
      <c r="J103" s="65">
        <f t="shared" si="20"/>
        <v>34.69117213</v>
      </c>
      <c r="K103" s="65">
        <f t="shared" si="5"/>
        <v>50.56810015</v>
      </c>
      <c r="L103" s="52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</row>
    <row r="104" ht="14.25" customHeight="1">
      <c r="A104" s="6">
        <v>21501.0</v>
      </c>
      <c r="B104" s="7" t="s">
        <v>15</v>
      </c>
      <c r="C104" s="7" t="s">
        <v>145</v>
      </c>
      <c r="D104" s="7" t="s">
        <v>146</v>
      </c>
      <c r="E104" s="61">
        <v>2.0</v>
      </c>
      <c r="F104" s="62">
        <v>284.0</v>
      </c>
      <c r="G104" s="63">
        <f t="shared" si="17"/>
        <v>0.00115942029</v>
      </c>
      <c r="H104" s="64">
        <f t="shared" si="18"/>
        <v>0.3508533333</v>
      </c>
      <c r="I104" s="63">
        <f t="shared" si="19"/>
        <v>0.005234058238</v>
      </c>
      <c r="J104" s="65">
        <f t="shared" si="20"/>
        <v>26.8454847</v>
      </c>
      <c r="K104" s="65">
        <f t="shared" si="5"/>
        <v>13.06936109</v>
      </c>
      <c r="L104" s="52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</row>
    <row r="105" ht="14.25" customHeight="1">
      <c r="A105" s="6">
        <v>21502.0</v>
      </c>
      <c r="B105" s="7" t="s">
        <v>15</v>
      </c>
      <c r="C105" s="7" t="s">
        <v>145</v>
      </c>
      <c r="D105" s="7" t="s">
        <v>147</v>
      </c>
      <c r="E105" s="61">
        <v>2.0</v>
      </c>
      <c r="F105" s="62">
        <v>249.0</v>
      </c>
      <c r="G105" s="63">
        <f t="shared" si="17"/>
        <v>0.00115942029</v>
      </c>
      <c r="H105" s="64">
        <f t="shared" si="18"/>
        <v>0.3508533333</v>
      </c>
      <c r="I105" s="63">
        <f t="shared" si="19"/>
        <v>0.00458901585</v>
      </c>
      <c r="J105" s="65">
        <f t="shared" si="20"/>
        <v>23.53706229</v>
      </c>
      <c r="K105" s="65">
        <f t="shared" si="5"/>
        <v>14.90641988</v>
      </c>
      <c r="L105" s="52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</row>
    <row r="106" ht="14.25" customHeight="1">
      <c r="A106" s="6">
        <v>21601.0</v>
      </c>
      <c r="B106" s="7" t="s">
        <v>15</v>
      </c>
      <c r="C106" s="7" t="s">
        <v>148</v>
      </c>
      <c r="D106" s="7" t="s">
        <v>149</v>
      </c>
      <c r="E106" s="61">
        <v>6.0</v>
      </c>
      <c r="F106" s="62">
        <v>293.0</v>
      </c>
      <c r="G106" s="63">
        <f t="shared" si="17"/>
        <v>0.00347826087</v>
      </c>
      <c r="H106" s="64">
        <f t="shared" si="18"/>
        <v>1.05256</v>
      </c>
      <c r="I106" s="63">
        <f t="shared" si="19"/>
        <v>0.005399926281</v>
      </c>
      <c r="J106" s="65">
        <f t="shared" si="20"/>
        <v>27.69622189</v>
      </c>
      <c r="K106" s="65">
        <f t="shared" si="5"/>
        <v>38.00373943</v>
      </c>
      <c r="L106" s="52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</row>
    <row r="107" ht="14.25" customHeight="1">
      <c r="A107" s="6">
        <v>21602.0</v>
      </c>
      <c r="B107" s="7" t="s">
        <v>15</v>
      </c>
      <c r="C107" s="7" t="s">
        <v>148</v>
      </c>
      <c r="D107" s="7" t="s">
        <v>150</v>
      </c>
      <c r="E107" s="61">
        <v>1.0</v>
      </c>
      <c r="F107" s="62">
        <v>70.0</v>
      </c>
      <c r="G107" s="63">
        <f t="shared" si="17"/>
        <v>0.0005797101449</v>
      </c>
      <c r="H107" s="64">
        <f t="shared" si="18"/>
        <v>0.1754266667</v>
      </c>
      <c r="I107" s="63">
        <f t="shared" si="19"/>
        <v>0.001290084777</v>
      </c>
      <c r="J107" s="65">
        <f t="shared" si="20"/>
        <v>6.616844821</v>
      </c>
      <c r="K107" s="65">
        <f t="shared" si="5"/>
        <v>26.51213251</v>
      </c>
      <c r="L107" s="52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</row>
    <row r="108" ht="14.25" customHeight="1">
      <c r="A108" s="6">
        <v>21701.0</v>
      </c>
      <c r="B108" s="7" t="s">
        <v>15</v>
      </c>
      <c r="C108" s="7" t="s">
        <v>151</v>
      </c>
      <c r="D108" s="7" t="s">
        <v>152</v>
      </c>
      <c r="E108" s="61">
        <v>5.0</v>
      </c>
      <c r="F108" s="62">
        <v>262.0</v>
      </c>
      <c r="G108" s="63">
        <f t="shared" si="17"/>
        <v>0.002898550725</v>
      </c>
      <c r="H108" s="64">
        <f t="shared" si="18"/>
        <v>0.8771333333</v>
      </c>
      <c r="I108" s="63">
        <f t="shared" si="19"/>
        <v>0.004828603022</v>
      </c>
      <c r="J108" s="65">
        <f t="shared" si="20"/>
        <v>24.7659049</v>
      </c>
      <c r="K108" s="65">
        <f t="shared" si="5"/>
        <v>35.4169709</v>
      </c>
      <c r="L108" s="52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</row>
    <row r="109" ht="14.25" customHeight="1">
      <c r="A109" s="6">
        <v>21702.0</v>
      </c>
      <c r="B109" s="7" t="s">
        <v>15</v>
      </c>
      <c r="C109" s="7" t="s">
        <v>151</v>
      </c>
      <c r="D109" s="7" t="s">
        <v>153</v>
      </c>
      <c r="E109" s="61">
        <v>0.0</v>
      </c>
      <c r="F109" s="62">
        <v>68.0</v>
      </c>
      <c r="G109" s="63">
        <f t="shared" si="17"/>
        <v>0</v>
      </c>
      <c r="H109" s="64">
        <f t="shared" si="18"/>
        <v>0</v>
      </c>
      <c r="I109" s="63">
        <f t="shared" si="19"/>
        <v>0.001253225212</v>
      </c>
      <c r="J109" s="65">
        <f t="shared" si="20"/>
        <v>6.427792112</v>
      </c>
      <c r="K109" s="65">
        <f t="shared" si="5"/>
        <v>0</v>
      </c>
      <c r="L109" s="52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</row>
    <row r="110" ht="14.25" customHeight="1">
      <c r="A110" s="6">
        <v>21703.0</v>
      </c>
      <c r="B110" s="7" t="s">
        <v>15</v>
      </c>
      <c r="C110" s="7" t="s">
        <v>151</v>
      </c>
      <c r="D110" s="7" t="s">
        <v>154</v>
      </c>
      <c r="E110" s="61">
        <v>0.0</v>
      </c>
      <c r="F110" s="62">
        <v>59.0</v>
      </c>
      <c r="G110" s="63">
        <f t="shared" si="17"/>
        <v>0</v>
      </c>
      <c r="H110" s="64">
        <f t="shared" si="18"/>
        <v>0</v>
      </c>
      <c r="I110" s="63">
        <f t="shared" si="19"/>
        <v>0.001087357169</v>
      </c>
      <c r="J110" s="65">
        <f t="shared" si="20"/>
        <v>5.577054921</v>
      </c>
      <c r="K110" s="65">
        <f t="shared" si="5"/>
        <v>0</v>
      </c>
      <c r="L110" s="52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</row>
    <row r="111" ht="14.25" customHeight="1">
      <c r="A111" s="6">
        <v>21801.0</v>
      </c>
      <c r="B111" s="7" t="s">
        <v>15</v>
      </c>
      <c r="C111" s="7" t="s">
        <v>155</v>
      </c>
      <c r="D111" s="7" t="s">
        <v>156</v>
      </c>
      <c r="E111" s="61">
        <v>1.0</v>
      </c>
      <c r="F111" s="62">
        <v>156.0</v>
      </c>
      <c r="G111" s="63">
        <f t="shared" si="17"/>
        <v>0.0005797101449</v>
      </c>
      <c r="H111" s="64">
        <f t="shared" si="18"/>
        <v>0.1754266667</v>
      </c>
      <c r="I111" s="63">
        <f t="shared" si="19"/>
        <v>0.002875046074</v>
      </c>
      <c r="J111" s="65">
        <f t="shared" si="20"/>
        <v>14.74611132</v>
      </c>
      <c r="K111" s="65">
        <f t="shared" si="5"/>
        <v>11.89646971</v>
      </c>
      <c r="L111" s="52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</row>
    <row r="112" ht="14.25" customHeight="1">
      <c r="A112" s="6">
        <v>21802.0</v>
      </c>
      <c r="B112" s="7" t="s">
        <v>15</v>
      </c>
      <c r="C112" s="7" t="s">
        <v>157</v>
      </c>
      <c r="D112" s="7" t="s">
        <v>158</v>
      </c>
      <c r="E112" s="61">
        <v>1.0</v>
      </c>
      <c r="F112" s="62">
        <v>118.0</v>
      </c>
      <c r="G112" s="63">
        <f t="shared" si="17"/>
        <v>0.0005797101449</v>
      </c>
      <c r="H112" s="64">
        <f t="shared" si="18"/>
        <v>0.1754266667</v>
      </c>
      <c r="I112" s="63">
        <f t="shared" si="19"/>
        <v>0.002174714338</v>
      </c>
      <c r="J112" s="65">
        <f t="shared" si="20"/>
        <v>11.15410984</v>
      </c>
      <c r="K112" s="65">
        <f t="shared" si="5"/>
        <v>15.72753623</v>
      </c>
      <c r="L112" s="52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</row>
    <row r="113" ht="14.25" customHeight="1">
      <c r="A113" s="6">
        <v>21803.0</v>
      </c>
      <c r="B113" s="7" t="s">
        <v>15</v>
      </c>
      <c r="C113" s="7" t="s">
        <v>157</v>
      </c>
      <c r="D113" s="7" t="s">
        <v>159</v>
      </c>
      <c r="E113" s="61">
        <v>0.0</v>
      </c>
      <c r="F113" s="62">
        <v>27.0</v>
      </c>
      <c r="G113" s="63">
        <f t="shared" si="17"/>
        <v>0</v>
      </c>
      <c r="H113" s="64">
        <f t="shared" si="18"/>
        <v>0</v>
      </c>
      <c r="I113" s="63">
        <f t="shared" si="19"/>
        <v>0.0004976041283</v>
      </c>
      <c r="J113" s="65">
        <f t="shared" si="20"/>
        <v>2.552211574</v>
      </c>
      <c r="K113" s="65">
        <f t="shared" si="5"/>
        <v>0</v>
      </c>
      <c r="L113" s="52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</row>
    <row r="114" ht="14.25" customHeight="1">
      <c r="A114" s="6">
        <v>21901.0</v>
      </c>
      <c r="B114" s="7" t="s">
        <v>15</v>
      </c>
      <c r="C114" s="7" t="s">
        <v>160</v>
      </c>
      <c r="D114" s="7" t="s">
        <v>161</v>
      </c>
      <c r="E114" s="61">
        <v>0.0</v>
      </c>
      <c r="F114" s="62">
        <v>62.0</v>
      </c>
      <c r="G114" s="63">
        <f t="shared" si="17"/>
        <v>0</v>
      </c>
      <c r="H114" s="64">
        <f t="shared" si="18"/>
        <v>0</v>
      </c>
      <c r="I114" s="63">
        <f t="shared" si="19"/>
        <v>0.001142646517</v>
      </c>
      <c r="J114" s="65">
        <f t="shared" si="20"/>
        <v>5.860633985</v>
      </c>
      <c r="K114" s="65">
        <f t="shared" si="5"/>
        <v>0</v>
      </c>
      <c r="L114" s="52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</row>
    <row r="115" ht="14.25" customHeight="1">
      <c r="A115" s="6">
        <v>21902.0</v>
      </c>
      <c r="B115" s="7" t="s">
        <v>15</v>
      </c>
      <c r="C115" s="7" t="s">
        <v>160</v>
      </c>
      <c r="D115" s="7" t="s">
        <v>162</v>
      </c>
      <c r="E115" s="61">
        <v>0.0</v>
      </c>
      <c r="F115" s="62">
        <v>56.0</v>
      </c>
      <c r="G115" s="63">
        <f t="shared" si="17"/>
        <v>0</v>
      </c>
      <c r="H115" s="64">
        <f t="shared" si="18"/>
        <v>0</v>
      </c>
      <c r="I115" s="63">
        <f t="shared" si="19"/>
        <v>0.001032067822</v>
      </c>
      <c r="J115" s="65">
        <f t="shared" si="20"/>
        <v>5.293475857</v>
      </c>
      <c r="K115" s="65">
        <f t="shared" si="5"/>
        <v>0</v>
      </c>
      <c r="L115" s="52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</row>
    <row r="116" ht="14.25" customHeight="1">
      <c r="A116" s="6">
        <v>22001.0</v>
      </c>
      <c r="B116" s="7" t="s">
        <v>15</v>
      </c>
      <c r="C116" s="7" t="s">
        <v>163</v>
      </c>
      <c r="D116" s="7" t="s">
        <v>163</v>
      </c>
      <c r="E116" s="61">
        <v>20.0</v>
      </c>
      <c r="F116" s="62">
        <v>1065.0</v>
      </c>
      <c r="G116" s="63">
        <f t="shared" si="17"/>
        <v>0.0115942029</v>
      </c>
      <c r="H116" s="64">
        <f t="shared" si="18"/>
        <v>3.508533333</v>
      </c>
      <c r="I116" s="63">
        <f t="shared" si="19"/>
        <v>0.01962771839</v>
      </c>
      <c r="J116" s="65">
        <f t="shared" si="20"/>
        <v>100.6705676</v>
      </c>
      <c r="K116" s="65">
        <f t="shared" si="5"/>
        <v>34.85162958</v>
      </c>
      <c r="L116" s="52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</row>
    <row r="117" ht="14.25" customHeight="1">
      <c r="A117" s="6">
        <v>22002.0</v>
      </c>
      <c r="B117" s="7" t="s">
        <v>15</v>
      </c>
      <c r="C117" s="7" t="s">
        <v>163</v>
      </c>
      <c r="D117" s="7" t="s">
        <v>164</v>
      </c>
      <c r="E117" s="61">
        <v>13.0</v>
      </c>
      <c r="F117" s="62">
        <v>296.0</v>
      </c>
      <c r="G117" s="63">
        <f t="shared" si="17"/>
        <v>0.007536231884</v>
      </c>
      <c r="H117" s="64">
        <f t="shared" si="18"/>
        <v>2.280546667</v>
      </c>
      <c r="I117" s="63">
        <f t="shared" si="19"/>
        <v>0.005455215628</v>
      </c>
      <c r="J117" s="65">
        <f t="shared" si="20"/>
        <v>27.97980096</v>
      </c>
      <c r="K117" s="65">
        <f t="shared" si="5"/>
        <v>81.50689385</v>
      </c>
      <c r="L117" s="52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</row>
    <row r="118" ht="14.25" customHeight="1">
      <c r="A118" s="6">
        <v>30101.0</v>
      </c>
      <c r="B118" s="7" t="s">
        <v>17</v>
      </c>
      <c r="C118" s="7" t="s">
        <v>165</v>
      </c>
      <c r="D118" s="7" t="s">
        <v>17</v>
      </c>
      <c r="E118" s="61">
        <v>288.0</v>
      </c>
      <c r="F118" s="62">
        <v>12726.0</v>
      </c>
      <c r="G118" s="63">
        <f t="shared" ref="G118:G165" si="21">E118/$R$4</f>
        <v>0.3161361142</v>
      </c>
      <c r="H118" s="64">
        <f t="shared" ref="H118:H165" si="22">$S$19*G118</f>
        <v>55.51887596</v>
      </c>
      <c r="I118" s="63">
        <f t="shared" ref="I118:I165" si="23">F118/$S$4</f>
        <v>0.3367112052</v>
      </c>
      <c r="J118" s="65">
        <f t="shared" ref="J118:J165" si="24">I118*$U$19</f>
        <v>1037.407223</v>
      </c>
      <c r="K118" s="65">
        <f t="shared" si="5"/>
        <v>53.51695527</v>
      </c>
      <c r="L118" s="52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</row>
    <row r="119" ht="14.25" customHeight="1">
      <c r="A119" s="6">
        <v>30201.0</v>
      </c>
      <c r="B119" s="7" t="s">
        <v>17</v>
      </c>
      <c r="C119" s="7" t="s">
        <v>166</v>
      </c>
      <c r="D119" s="7" t="s">
        <v>167</v>
      </c>
      <c r="E119" s="61">
        <v>14.0</v>
      </c>
      <c r="F119" s="62">
        <v>486.0</v>
      </c>
      <c r="G119" s="63">
        <f t="shared" si="21"/>
        <v>0.01536772777</v>
      </c>
      <c r="H119" s="64">
        <f t="shared" si="22"/>
        <v>2.698834248</v>
      </c>
      <c r="I119" s="63">
        <f t="shared" si="23"/>
        <v>0.01285884376</v>
      </c>
      <c r="J119" s="65">
        <f t="shared" si="24"/>
        <v>39.61809763</v>
      </c>
      <c r="K119" s="65">
        <f t="shared" si="5"/>
        <v>68.12124785</v>
      </c>
      <c r="L119" s="52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</row>
    <row r="120" ht="14.25" customHeight="1">
      <c r="A120" s="6">
        <v>30202.0</v>
      </c>
      <c r="B120" s="7" t="s">
        <v>17</v>
      </c>
      <c r="C120" s="7" t="s">
        <v>166</v>
      </c>
      <c r="D120" s="7" t="s">
        <v>168</v>
      </c>
      <c r="E120" s="61">
        <v>0.0</v>
      </c>
      <c r="F120" s="62">
        <v>111.0</v>
      </c>
      <c r="G120" s="63">
        <f t="shared" si="21"/>
        <v>0</v>
      </c>
      <c r="H120" s="64">
        <f t="shared" si="22"/>
        <v>0</v>
      </c>
      <c r="I120" s="63">
        <f t="shared" si="23"/>
        <v>0.002936896415</v>
      </c>
      <c r="J120" s="65">
        <f t="shared" si="24"/>
        <v>9.048577854</v>
      </c>
      <c r="K120" s="65">
        <f t="shared" si="5"/>
        <v>0</v>
      </c>
      <c r="L120" s="52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</row>
    <row r="121" ht="14.25" customHeight="1">
      <c r="A121" s="6">
        <v>30203.0</v>
      </c>
      <c r="B121" s="7" t="s">
        <v>17</v>
      </c>
      <c r="C121" s="7" t="s">
        <v>166</v>
      </c>
      <c r="D121" s="7" t="s">
        <v>169</v>
      </c>
      <c r="E121" s="61">
        <v>3.0</v>
      </c>
      <c r="F121" s="62">
        <v>133.0</v>
      </c>
      <c r="G121" s="63">
        <f t="shared" si="21"/>
        <v>0.003293084523</v>
      </c>
      <c r="H121" s="64">
        <f t="shared" si="22"/>
        <v>0.5783216246</v>
      </c>
      <c r="I121" s="63">
        <f t="shared" si="23"/>
        <v>0.003518983993</v>
      </c>
      <c r="J121" s="65">
        <f t="shared" si="24"/>
        <v>10.84198968</v>
      </c>
      <c r="K121" s="65">
        <f t="shared" si="5"/>
        <v>53.34091265</v>
      </c>
      <c r="L121" s="52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</row>
    <row r="122" ht="14.25" customHeight="1">
      <c r="A122" s="6">
        <v>30301.0</v>
      </c>
      <c r="B122" s="7" t="s">
        <v>17</v>
      </c>
      <c r="C122" s="7" t="s">
        <v>170</v>
      </c>
      <c r="D122" s="7" t="s">
        <v>171</v>
      </c>
      <c r="E122" s="61">
        <v>41.0</v>
      </c>
      <c r="F122" s="62">
        <v>585.0</v>
      </c>
      <c r="G122" s="63">
        <f t="shared" si="21"/>
        <v>0.04500548847</v>
      </c>
      <c r="H122" s="64">
        <f t="shared" si="22"/>
        <v>7.903728869</v>
      </c>
      <c r="I122" s="63">
        <f t="shared" si="23"/>
        <v>0.01547823786</v>
      </c>
      <c r="J122" s="65">
        <f t="shared" si="24"/>
        <v>47.68845085</v>
      </c>
      <c r="K122" s="65">
        <f t="shared" si="5"/>
        <v>165.7367503</v>
      </c>
      <c r="L122" s="52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</row>
    <row r="123" ht="14.25" customHeight="1">
      <c r="A123" s="6">
        <v>30302.0</v>
      </c>
      <c r="B123" s="7" t="s">
        <v>17</v>
      </c>
      <c r="C123" s="7" t="s">
        <v>170</v>
      </c>
      <c r="D123" s="7" t="s">
        <v>172</v>
      </c>
      <c r="E123" s="61">
        <v>18.0</v>
      </c>
      <c r="F123" s="62">
        <v>309.0</v>
      </c>
      <c r="G123" s="63">
        <f t="shared" si="21"/>
        <v>0.01975850714</v>
      </c>
      <c r="H123" s="64">
        <f t="shared" si="22"/>
        <v>3.469929748</v>
      </c>
      <c r="I123" s="63">
        <f t="shared" si="23"/>
        <v>0.008175684614</v>
      </c>
      <c r="J123" s="65">
        <f t="shared" si="24"/>
        <v>25.1892843</v>
      </c>
      <c r="K123" s="65">
        <f t="shared" si="5"/>
        <v>137.7542016</v>
      </c>
      <c r="L123" s="52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</row>
    <row r="124" ht="14.25" customHeight="1">
      <c r="A124" s="6">
        <v>30303.0</v>
      </c>
      <c r="B124" s="7" t="s">
        <v>17</v>
      </c>
      <c r="C124" s="7" t="s">
        <v>170</v>
      </c>
      <c r="D124" s="7" t="s">
        <v>173</v>
      </c>
      <c r="E124" s="61">
        <v>29.0</v>
      </c>
      <c r="F124" s="62">
        <v>513.0</v>
      </c>
      <c r="G124" s="63">
        <f t="shared" si="21"/>
        <v>0.03183315038</v>
      </c>
      <c r="H124" s="64">
        <f t="shared" si="22"/>
        <v>5.590442371</v>
      </c>
      <c r="I124" s="63">
        <f t="shared" si="23"/>
        <v>0.01357322397</v>
      </c>
      <c r="J124" s="65">
        <f t="shared" si="24"/>
        <v>41.81910306</v>
      </c>
      <c r="K124" s="65">
        <f t="shared" si="5"/>
        <v>133.6815465</v>
      </c>
      <c r="L124" s="52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</row>
    <row r="125" ht="14.25" customHeight="1">
      <c r="A125" s="6">
        <v>30401.0</v>
      </c>
      <c r="B125" s="7" t="s">
        <v>17</v>
      </c>
      <c r="C125" s="7" t="s">
        <v>174</v>
      </c>
      <c r="D125" s="7" t="s">
        <v>175</v>
      </c>
      <c r="E125" s="61">
        <v>8.0</v>
      </c>
      <c r="F125" s="62">
        <v>162.0</v>
      </c>
      <c r="G125" s="63">
        <f t="shared" si="21"/>
        <v>0.008781558727</v>
      </c>
      <c r="H125" s="64">
        <f t="shared" si="22"/>
        <v>1.542190999</v>
      </c>
      <c r="I125" s="63">
        <f t="shared" si="23"/>
        <v>0.004286281254</v>
      </c>
      <c r="J125" s="65">
        <f t="shared" si="24"/>
        <v>13.20603254</v>
      </c>
      <c r="K125" s="65">
        <f t="shared" si="5"/>
        <v>116.779282</v>
      </c>
      <c r="L125" s="52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</row>
    <row r="126" ht="14.25" customHeight="1">
      <c r="A126" s="6">
        <v>30402.0</v>
      </c>
      <c r="B126" s="7" t="s">
        <v>17</v>
      </c>
      <c r="C126" s="7" t="s">
        <v>174</v>
      </c>
      <c r="D126" s="7" t="s">
        <v>176</v>
      </c>
      <c r="E126" s="61">
        <v>3.0</v>
      </c>
      <c r="F126" s="62">
        <v>137.0</v>
      </c>
      <c r="G126" s="63">
        <f t="shared" si="21"/>
        <v>0.003293084523</v>
      </c>
      <c r="H126" s="64">
        <f t="shared" si="22"/>
        <v>0.5783216246</v>
      </c>
      <c r="I126" s="63">
        <f t="shared" si="23"/>
        <v>0.003624818098</v>
      </c>
      <c r="J126" s="65">
        <f t="shared" si="24"/>
        <v>11.16806456</v>
      </c>
      <c r="K126" s="65">
        <f t="shared" si="5"/>
        <v>51.78351375</v>
      </c>
      <c r="L126" s="52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</row>
    <row r="127" ht="14.25" customHeight="1">
      <c r="A127" s="6">
        <v>30403.0</v>
      </c>
      <c r="B127" s="7" t="s">
        <v>17</v>
      </c>
      <c r="C127" s="7" t="s">
        <v>174</v>
      </c>
      <c r="D127" s="7" t="s">
        <v>177</v>
      </c>
      <c r="E127" s="61">
        <v>26.0</v>
      </c>
      <c r="F127" s="62">
        <v>361.0</v>
      </c>
      <c r="G127" s="63">
        <f t="shared" si="21"/>
        <v>0.02854006586</v>
      </c>
      <c r="H127" s="64">
        <f t="shared" si="22"/>
        <v>5.012120746</v>
      </c>
      <c r="I127" s="63">
        <f t="shared" si="23"/>
        <v>0.00955152798</v>
      </c>
      <c r="J127" s="65">
        <f t="shared" si="24"/>
        <v>29.42825771</v>
      </c>
      <c r="K127" s="65">
        <f t="shared" si="5"/>
        <v>170.3165983</v>
      </c>
      <c r="L127" s="52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</row>
    <row r="128" ht="14.25" customHeight="1">
      <c r="A128" s="6">
        <v>30404.0</v>
      </c>
      <c r="B128" s="7" t="s">
        <v>17</v>
      </c>
      <c r="C128" s="7" t="s">
        <v>174</v>
      </c>
      <c r="D128" s="7" t="s">
        <v>178</v>
      </c>
      <c r="E128" s="61">
        <v>0.0</v>
      </c>
      <c r="F128" s="62">
        <v>93.0</v>
      </c>
      <c r="G128" s="63">
        <f t="shared" si="21"/>
        <v>0</v>
      </c>
      <c r="H128" s="64">
        <f t="shared" si="22"/>
        <v>0</v>
      </c>
      <c r="I128" s="63">
        <f t="shared" si="23"/>
        <v>0.002460642942</v>
      </c>
      <c r="J128" s="65">
        <f t="shared" si="24"/>
        <v>7.581240905</v>
      </c>
      <c r="K128" s="65">
        <f t="shared" si="5"/>
        <v>0</v>
      </c>
      <c r="L128" s="52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</row>
    <row r="129" ht="14.25" customHeight="1">
      <c r="A129" s="6">
        <v>30501.0</v>
      </c>
      <c r="B129" s="7" t="s">
        <v>17</v>
      </c>
      <c r="C129" s="7" t="s">
        <v>179</v>
      </c>
      <c r="D129" s="7" t="s">
        <v>179</v>
      </c>
      <c r="E129" s="61">
        <v>12.0</v>
      </c>
      <c r="F129" s="62">
        <v>139.0</v>
      </c>
      <c r="G129" s="63">
        <f t="shared" si="21"/>
        <v>0.01317233809</v>
      </c>
      <c r="H129" s="64">
        <f t="shared" si="22"/>
        <v>2.313286498</v>
      </c>
      <c r="I129" s="63">
        <f t="shared" si="23"/>
        <v>0.00367773515</v>
      </c>
      <c r="J129" s="65">
        <f t="shared" si="24"/>
        <v>11.331102</v>
      </c>
      <c r="K129" s="65">
        <f t="shared" si="5"/>
        <v>204.1537089</v>
      </c>
      <c r="L129" s="52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</row>
    <row r="130" ht="14.25" customHeight="1">
      <c r="A130" s="6">
        <v>30502.0</v>
      </c>
      <c r="B130" s="7" t="s">
        <v>17</v>
      </c>
      <c r="C130" s="7" t="s">
        <v>179</v>
      </c>
      <c r="D130" s="7" t="s">
        <v>180</v>
      </c>
      <c r="E130" s="61">
        <v>4.0</v>
      </c>
      <c r="F130" s="62">
        <v>182.0</v>
      </c>
      <c r="G130" s="63">
        <f t="shared" si="21"/>
        <v>0.004390779363</v>
      </c>
      <c r="H130" s="64">
        <f t="shared" si="22"/>
        <v>0.7710954995</v>
      </c>
      <c r="I130" s="63">
        <f t="shared" si="23"/>
        <v>0.004815451779</v>
      </c>
      <c r="J130" s="65">
        <f t="shared" si="24"/>
        <v>14.83640693</v>
      </c>
      <c r="K130" s="65">
        <f t="shared" si="5"/>
        <v>51.97319695</v>
      </c>
      <c r="L130" s="52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</row>
    <row r="131" ht="14.25" customHeight="1">
      <c r="A131" s="6">
        <v>30601.0</v>
      </c>
      <c r="B131" s="7" t="s">
        <v>17</v>
      </c>
      <c r="C131" s="7" t="s">
        <v>181</v>
      </c>
      <c r="D131" s="7" t="s">
        <v>181</v>
      </c>
      <c r="E131" s="61">
        <v>18.0</v>
      </c>
      <c r="F131" s="62">
        <v>364.0</v>
      </c>
      <c r="G131" s="63">
        <f t="shared" si="21"/>
        <v>0.01975850714</v>
      </c>
      <c r="H131" s="64">
        <f t="shared" si="22"/>
        <v>3.469929748</v>
      </c>
      <c r="I131" s="63">
        <f t="shared" si="23"/>
        <v>0.009630903559</v>
      </c>
      <c r="J131" s="65">
        <f t="shared" si="24"/>
        <v>29.67281386</v>
      </c>
      <c r="K131" s="65">
        <f t="shared" si="5"/>
        <v>116.9396931</v>
      </c>
      <c r="L131" s="52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</row>
    <row r="132" ht="14.25" customHeight="1">
      <c r="A132" s="6">
        <v>30602.0</v>
      </c>
      <c r="B132" s="7" t="s">
        <v>17</v>
      </c>
      <c r="C132" s="7" t="s">
        <v>181</v>
      </c>
      <c r="D132" s="7" t="s">
        <v>182</v>
      </c>
      <c r="E132" s="61">
        <v>10.0</v>
      </c>
      <c r="F132" s="62">
        <v>197.0</v>
      </c>
      <c r="G132" s="63">
        <f t="shared" si="21"/>
        <v>0.01097694841</v>
      </c>
      <c r="H132" s="64">
        <f t="shared" si="22"/>
        <v>1.927738749</v>
      </c>
      <c r="I132" s="63">
        <f t="shared" si="23"/>
        <v>0.005212329673</v>
      </c>
      <c r="J132" s="65">
        <f t="shared" si="24"/>
        <v>16.05918772</v>
      </c>
      <c r="K132" s="65">
        <f t="shared" si="5"/>
        <v>120.0396173</v>
      </c>
      <c r="L132" s="52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</row>
    <row r="133" ht="14.25" customHeight="1">
      <c r="A133" s="6">
        <v>30701.0</v>
      </c>
      <c r="B133" s="7" t="s">
        <v>17</v>
      </c>
      <c r="C133" s="7" t="s">
        <v>183</v>
      </c>
      <c r="D133" s="7" t="s">
        <v>183</v>
      </c>
      <c r="E133" s="61">
        <v>6.0</v>
      </c>
      <c r="F133" s="62">
        <v>439.0</v>
      </c>
      <c r="G133" s="63">
        <f t="shared" si="21"/>
        <v>0.006586169045</v>
      </c>
      <c r="H133" s="64">
        <f t="shared" si="22"/>
        <v>1.156643249</v>
      </c>
      <c r="I133" s="63">
        <f t="shared" si="23"/>
        <v>0.01161529303</v>
      </c>
      <c r="J133" s="65">
        <f t="shared" si="24"/>
        <v>35.78671782</v>
      </c>
      <c r="K133" s="65">
        <f t="shared" si="5"/>
        <v>32.32046188</v>
      </c>
      <c r="L133" s="52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</row>
    <row r="134" ht="14.25" customHeight="1">
      <c r="A134" s="6">
        <v>30702.0</v>
      </c>
      <c r="B134" s="7" t="s">
        <v>17</v>
      </c>
      <c r="C134" s="7" t="s">
        <v>183</v>
      </c>
      <c r="D134" s="7" t="s">
        <v>184</v>
      </c>
      <c r="E134" s="61">
        <v>3.0</v>
      </c>
      <c r="F134" s="62">
        <v>126.0</v>
      </c>
      <c r="G134" s="63">
        <f t="shared" si="21"/>
        <v>0.003293084523</v>
      </c>
      <c r="H134" s="64">
        <f t="shared" si="22"/>
        <v>0.5783216246</v>
      </c>
      <c r="I134" s="63">
        <f t="shared" si="23"/>
        <v>0.003333774309</v>
      </c>
      <c r="J134" s="65">
        <f t="shared" si="24"/>
        <v>10.27135865</v>
      </c>
      <c r="K134" s="65">
        <f t="shared" si="5"/>
        <v>56.30429669</v>
      </c>
      <c r="L134" s="52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</row>
    <row r="135" ht="14.25" customHeight="1">
      <c r="A135" s="6">
        <v>30703.0</v>
      </c>
      <c r="B135" s="7" t="s">
        <v>17</v>
      </c>
      <c r="C135" s="7" t="s">
        <v>183</v>
      </c>
      <c r="D135" s="7" t="s">
        <v>185</v>
      </c>
      <c r="E135" s="61">
        <v>8.0</v>
      </c>
      <c r="F135" s="62">
        <v>101.0</v>
      </c>
      <c r="G135" s="63">
        <f t="shared" si="21"/>
        <v>0.008781558727</v>
      </c>
      <c r="H135" s="64">
        <f t="shared" si="22"/>
        <v>1.542190999</v>
      </c>
      <c r="I135" s="63">
        <f t="shared" si="23"/>
        <v>0.002672311152</v>
      </c>
      <c r="J135" s="65">
        <f t="shared" si="24"/>
        <v>8.23339066</v>
      </c>
      <c r="K135" s="65">
        <f t="shared" si="5"/>
        <v>187.3093434</v>
      </c>
      <c r="L135" s="52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</row>
    <row r="136" ht="14.25" customHeight="1">
      <c r="A136" s="6">
        <v>30801.0</v>
      </c>
      <c r="B136" s="7" t="s">
        <v>17</v>
      </c>
      <c r="C136" s="7" t="s">
        <v>186</v>
      </c>
      <c r="D136" s="7" t="s">
        <v>187</v>
      </c>
      <c r="E136" s="61">
        <v>8.0</v>
      </c>
      <c r="F136" s="62">
        <v>400.0</v>
      </c>
      <c r="G136" s="63">
        <f t="shared" si="21"/>
        <v>0.008781558727</v>
      </c>
      <c r="H136" s="64">
        <f t="shared" si="22"/>
        <v>1.542190999</v>
      </c>
      <c r="I136" s="63">
        <f t="shared" si="23"/>
        <v>0.0105834105</v>
      </c>
      <c r="J136" s="65">
        <f t="shared" si="24"/>
        <v>32.60748776</v>
      </c>
      <c r="K136" s="65">
        <f t="shared" si="5"/>
        <v>47.29560922</v>
      </c>
      <c r="L136" s="52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</row>
    <row r="137" ht="14.25" customHeight="1">
      <c r="A137" s="6">
        <v>30802.0</v>
      </c>
      <c r="B137" s="7" t="s">
        <v>17</v>
      </c>
      <c r="C137" s="7" t="s">
        <v>186</v>
      </c>
      <c r="D137" s="7" t="s">
        <v>188</v>
      </c>
      <c r="E137" s="61">
        <v>3.0</v>
      </c>
      <c r="F137" s="62">
        <v>109.0</v>
      </c>
      <c r="G137" s="63">
        <f t="shared" si="21"/>
        <v>0.003293084523</v>
      </c>
      <c r="H137" s="64">
        <f t="shared" si="22"/>
        <v>0.5783216246</v>
      </c>
      <c r="I137" s="63">
        <f t="shared" si="23"/>
        <v>0.002883979362</v>
      </c>
      <c r="J137" s="65">
        <f t="shared" si="24"/>
        <v>8.885540415</v>
      </c>
      <c r="K137" s="65">
        <f t="shared" si="5"/>
        <v>65.08570076</v>
      </c>
      <c r="L137" s="52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</row>
    <row r="138" ht="14.25" customHeight="1">
      <c r="A138" s="6">
        <v>30803.0</v>
      </c>
      <c r="B138" s="7" t="s">
        <v>17</v>
      </c>
      <c r="C138" s="7" t="s">
        <v>186</v>
      </c>
      <c r="D138" s="7" t="s">
        <v>189</v>
      </c>
      <c r="E138" s="61">
        <v>4.0</v>
      </c>
      <c r="F138" s="62">
        <v>97.0</v>
      </c>
      <c r="G138" s="63">
        <f t="shared" si="21"/>
        <v>0.004390779363</v>
      </c>
      <c r="H138" s="64">
        <f t="shared" si="22"/>
        <v>0.7710954995</v>
      </c>
      <c r="I138" s="63">
        <f t="shared" si="23"/>
        <v>0.002566477047</v>
      </c>
      <c r="J138" s="65">
        <f t="shared" si="24"/>
        <v>7.907315783</v>
      </c>
      <c r="K138" s="65">
        <f t="shared" si="5"/>
        <v>97.51672004</v>
      </c>
      <c r="L138" s="52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</row>
    <row r="139" ht="14.25" customHeight="1">
      <c r="A139" s="6">
        <v>30901.0</v>
      </c>
      <c r="B139" s="7" t="s">
        <v>17</v>
      </c>
      <c r="C139" s="7" t="s">
        <v>190</v>
      </c>
      <c r="D139" s="7" t="s">
        <v>190</v>
      </c>
      <c r="E139" s="61">
        <v>26.0</v>
      </c>
      <c r="F139" s="62">
        <v>2893.0</v>
      </c>
      <c r="G139" s="63">
        <f t="shared" si="21"/>
        <v>0.02854006586</v>
      </c>
      <c r="H139" s="64">
        <f t="shared" si="22"/>
        <v>5.012120746</v>
      </c>
      <c r="I139" s="63">
        <f t="shared" si="23"/>
        <v>0.07654451647</v>
      </c>
      <c r="J139" s="65">
        <f t="shared" si="24"/>
        <v>235.8336552</v>
      </c>
      <c r="K139" s="65">
        <f t="shared" si="5"/>
        <v>21.25277981</v>
      </c>
      <c r="L139" s="52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</row>
    <row r="140" ht="14.25" customHeight="1">
      <c r="A140" s="6">
        <v>30902.0</v>
      </c>
      <c r="B140" s="7" t="s">
        <v>17</v>
      </c>
      <c r="C140" s="7" t="s">
        <v>190</v>
      </c>
      <c r="D140" s="7" t="s">
        <v>191</v>
      </c>
      <c r="E140" s="61">
        <v>17.0</v>
      </c>
      <c r="F140" s="62">
        <v>951.0</v>
      </c>
      <c r="G140" s="63">
        <f t="shared" si="21"/>
        <v>0.01866081229</v>
      </c>
      <c r="H140" s="64">
        <f t="shared" si="22"/>
        <v>3.277155873</v>
      </c>
      <c r="I140" s="63">
        <f t="shared" si="23"/>
        <v>0.02516205847</v>
      </c>
      <c r="J140" s="65">
        <f t="shared" si="24"/>
        <v>77.52430216</v>
      </c>
      <c r="K140" s="65">
        <f t="shared" si="5"/>
        <v>42.27262654</v>
      </c>
      <c r="L140" s="52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</row>
    <row r="141" ht="14.25" customHeight="1">
      <c r="A141" s="6">
        <v>30903.0</v>
      </c>
      <c r="B141" s="7" t="s">
        <v>17</v>
      </c>
      <c r="C141" s="7" t="s">
        <v>190</v>
      </c>
      <c r="D141" s="7" t="s">
        <v>192</v>
      </c>
      <c r="E141" s="61">
        <v>10.0</v>
      </c>
      <c r="F141" s="62">
        <v>1114.0</v>
      </c>
      <c r="G141" s="63">
        <f t="shared" si="21"/>
        <v>0.01097694841</v>
      </c>
      <c r="H141" s="64">
        <f t="shared" si="22"/>
        <v>1.927738749</v>
      </c>
      <c r="I141" s="63">
        <f t="shared" si="23"/>
        <v>0.02947479825</v>
      </c>
      <c r="J141" s="65">
        <f t="shared" si="24"/>
        <v>90.81185342</v>
      </c>
      <c r="K141" s="65">
        <f t="shared" si="5"/>
        <v>21.22783179</v>
      </c>
      <c r="L141" s="52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</row>
    <row r="142" ht="14.25" customHeight="1">
      <c r="A142" s="6">
        <v>30904.0</v>
      </c>
      <c r="B142" s="7" t="s">
        <v>17</v>
      </c>
      <c r="C142" s="7" t="s">
        <v>190</v>
      </c>
      <c r="D142" s="7" t="s">
        <v>193</v>
      </c>
      <c r="E142" s="61">
        <v>16.0</v>
      </c>
      <c r="F142" s="62">
        <v>1181.0</v>
      </c>
      <c r="G142" s="63">
        <f t="shared" si="21"/>
        <v>0.01756311745</v>
      </c>
      <c r="H142" s="64">
        <f t="shared" si="22"/>
        <v>3.084381998</v>
      </c>
      <c r="I142" s="63">
        <f t="shared" si="23"/>
        <v>0.03124751951</v>
      </c>
      <c r="J142" s="65">
        <f t="shared" si="24"/>
        <v>96.27360762</v>
      </c>
      <c r="K142" s="65">
        <f t="shared" si="5"/>
        <v>32.03766924</v>
      </c>
      <c r="L142" s="52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</row>
    <row r="143" ht="14.25" customHeight="1">
      <c r="A143" s="6">
        <v>30905.0</v>
      </c>
      <c r="B143" s="7" t="s">
        <v>17</v>
      </c>
      <c r="C143" s="7" t="s">
        <v>190</v>
      </c>
      <c r="D143" s="7" t="s">
        <v>194</v>
      </c>
      <c r="E143" s="61">
        <v>9.0</v>
      </c>
      <c r="F143" s="62">
        <v>1005.0</v>
      </c>
      <c r="G143" s="63">
        <f t="shared" si="21"/>
        <v>0.009879253568</v>
      </c>
      <c r="H143" s="64">
        <f t="shared" si="22"/>
        <v>1.734964874</v>
      </c>
      <c r="I143" s="63">
        <f t="shared" si="23"/>
        <v>0.02659081889</v>
      </c>
      <c r="J143" s="65">
        <f t="shared" si="24"/>
        <v>81.926313</v>
      </c>
      <c r="K143" s="65">
        <f t="shared" si="5"/>
        <v>21.17713846</v>
      </c>
      <c r="L143" s="52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</row>
    <row r="144" ht="14.25" customHeight="1">
      <c r="A144" s="6">
        <v>31001.0</v>
      </c>
      <c r="B144" s="7" t="s">
        <v>17</v>
      </c>
      <c r="C144" s="7" t="s">
        <v>195</v>
      </c>
      <c r="D144" s="7" t="s">
        <v>196</v>
      </c>
      <c r="E144" s="61">
        <v>82.0</v>
      </c>
      <c r="F144" s="62">
        <v>3503.0</v>
      </c>
      <c r="G144" s="63">
        <f t="shared" si="21"/>
        <v>0.09001097695</v>
      </c>
      <c r="H144" s="64">
        <f t="shared" si="22"/>
        <v>15.80745774</v>
      </c>
      <c r="I144" s="63">
        <f t="shared" si="23"/>
        <v>0.09268421749</v>
      </c>
      <c r="J144" s="65">
        <f t="shared" si="24"/>
        <v>285.5600741</v>
      </c>
      <c r="K144" s="65">
        <f t="shared" si="5"/>
        <v>55.35597996</v>
      </c>
      <c r="L144" s="52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</row>
    <row r="145" ht="14.25" customHeight="1">
      <c r="A145" s="6">
        <v>31002.0</v>
      </c>
      <c r="B145" s="7" t="s">
        <v>17</v>
      </c>
      <c r="C145" s="7" t="s">
        <v>195</v>
      </c>
      <c r="D145" s="7" t="s">
        <v>197</v>
      </c>
      <c r="E145" s="61">
        <v>16.0</v>
      </c>
      <c r="F145" s="62">
        <v>478.0</v>
      </c>
      <c r="G145" s="63">
        <f t="shared" si="21"/>
        <v>0.01756311745</v>
      </c>
      <c r="H145" s="64">
        <f t="shared" si="22"/>
        <v>3.084381998</v>
      </c>
      <c r="I145" s="63">
        <f t="shared" si="23"/>
        <v>0.01264717555</v>
      </c>
      <c r="J145" s="65">
        <f t="shared" si="24"/>
        <v>38.96594788</v>
      </c>
      <c r="K145" s="65">
        <f t="shared" si="5"/>
        <v>79.15583133</v>
      </c>
      <c r="L145" s="52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</row>
    <row r="146" ht="14.25" customHeight="1">
      <c r="A146" s="6">
        <v>31003.0</v>
      </c>
      <c r="B146" s="7" t="s">
        <v>17</v>
      </c>
      <c r="C146" s="7" t="s">
        <v>195</v>
      </c>
      <c r="D146" s="7" t="s">
        <v>198</v>
      </c>
      <c r="E146" s="61">
        <v>62.0</v>
      </c>
      <c r="F146" s="62">
        <v>1843.0</v>
      </c>
      <c r="G146" s="63">
        <f t="shared" si="21"/>
        <v>0.06805708013</v>
      </c>
      <c r="H146" s="64">
        <f t="shared" si="22"/>
        <v>11.95198024</v>
      </c>
      <c r="I146" s="63">
        <f t="shared" si="23"/>
        <v>0.0487630639</v>
      </c>
      <c r="J146" s="65">
        <f t="shared" si="24"/>
        <v>150.2389999</v>
      </c>
      <c r="K146" s="65">
        <f t="shared" si="5"/>
        <v>79.55311372</v>
      </c>
      <c r="L146" s="52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</row>
    <row r="147" ht="14.25" customHeight="1">
      <c r="A147" s="6">
        <v>31101.0</v>
      </c>
      <c r="B147" s="7" t="s">
        <v>17</v>
      </c>
      <c r="C147" s="7" t="s">
        <v>199</v>
      </c>
      <c r="D147" s="7" t="s">
        <v>199</v>
      </c>
      <c r="E147" s="61">
        <v>27.0</v>
      </c>
      <c r="F147" s="62">
        <v>546.0</v>
      </c>
      <c r="G147" s="63">
        <f t="shared" si="21"/>
        <v>0.0296377607</v>
      </c>
      <c r="H147" s="64">
        <f t="shared" si="22"/>
        <v>5.204894621</v>
      </c>
      <c r="I147" s="63">
        <f t="shared" si="23"/>
        <v>0.01444635534</v>
      </c>
      <c r="J147" s="65">
        <f t="shared" si="24"/>
        <v>44.5092208</v>
      </c>
      <c r="K147" s="65">
        <f t="shared" si="5"/>
        <v>116.9396931</v>
      </c>
      <c r="L147" s="52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</row>
    <row r="148" ht="14.25" customHeight="1">
      <c r="A148" s="6">
        <v>31201.0</v>
      </c>
      <c r="B148" s="7" t="s">
        <v>17</v>
      </c>
      <c r="C148" s="7" t="s">
        <v>200</v>
      </c>
      <c r="D148" s="7" t="s">
        <v>201</v>
      </c>
      <c r="E148" s="61">
        <v>14.0</v>
      </c>
      <c r="F148" s="62">
        <v>336.0</v>
      </c>
      <c r="G148" s="63">
        <f t="shared" si="21"/>
        <v>0.01536772777</v>
      </c>
      <c r="H148" s="64">
        <f t="shared" si="22"/>
        <v>2.698834248</v>
      </c>
      <c r="I148" s="63">
        <f t="shared" si="23"/>
        <v>0.008890064823</v>
      </c>
      <c r="J148" s="65">
        <f t="shared" si="24"/>
        <v>27.39028972</v>
      </c>
      <c r="K148" s="65">
        <f t="shared" si="5"/>
        <v>98.53251921</v>
      </c>
      <c r="L148" s="52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</row>
    <row r="149" ht="14.25" customHeight="1">
      <c r="A149" s="6">
        <v>31202.0</v>
      </c>
      <c r="B149" s="7" t="s">
        <v>17</v>
      </c>
      <c r="C149" s="7" t="s">
        <v>200</v>
      </c>
      <c r="D149" s="7" t="s">
        <v>202</v>
      </c>
      <c r="E149" s="61">
        <v>9.0</v>
      </c>
      <c r="F149" s="62">
        <v>270.0</v>
      </c>
      <c r="G149" s="63">
        <f t="shared" si="21"/>
        <v>0.009879253568</v>
      </c>
      <c r="H149" s="64">
        <f t="shared" si="22"/>
        <v>1.734964874</v>
      </c>
      <c r="I149" s="63">
        <f t="shared" si="23"/>
        <v>0.00714380209</v>
      </c>
      <c r="J149" s="65">
        <f t="shared" si="24"/>
        <v>22.01005424</v>
      </c>
      <c r="K149" s="65">
        <f t="shared" si="5"/>
        <v>78.82601537</v>
      </c>
      <c r="L149" s="52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</row>
    <row r="150" ht="14.25" customHeight="1">
      <c r="A150" s="6">
        <v>31203.0</v>
      </c>
      <c r="B150" s="7" t="s">
        <v>17</v>
      </c>
      <c r="C150" s="7" t="s">
        <v>200</v>
      </c>
      <c r="D150" s="7" t="s">
        <v>203</v>
      </c>
      <c r="E150" s="61">
        <v>5.0</v>
      </c>
      <c r="F150" s="62">
        <v>219.0</v>
      </c>
      <c r="G150" s="63">
        <f t="shared" si="21"/>
        <v>0.005488474204</v>
      </c>
      <c r="H150" s="64">
        <f t="shared" si="22"/>
        <v>0.9638693743</v>
      </c>
      <c r="I150" s="63">
        <f t="shared" si="23"/>
        <v>0.005794417251</v>
      </c>
      <c r="J150" s="65">
        <f t="shared" si="24"/>
        <v>17.85259955</v>
      </c>
      <c r="K150" s="65">
        <f t="shared" si="5"/>
        <v>53.99042148</v>
      </c>
      <c r="L150" s="52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</row>
    <row r="151" ht="14.25" customHeight="1">
      <c r="A151" s="6">
        <v>31204.0</v>
      </c>
      <c r="B151" s="7" t="s">
        <v>17</v>
      </c>
      <c r="C151" s="7" t="s">
        <v>200</v>
      </c>
      <c r="D151" s="7" t="s">
        <v>204</v>
      </c>
      <c r="E151" s="61">
        <v>19.0</v>
      </c>
      <c r="F151" s="62">
        <v>583.0</v>
      </c>
      <c r="G151" s="63">
        <f t="shared" si="21"/>
        <v>0.02085620198</v>
      </c>
      <c r="H151" s="64">
        <f t="shared" si="22"/>
        <v>3.662703622</v>
      </c>
      <c r="I151" s="63">
        <f t="shared" si="23"/>
        <v>0.01542532081</v>
      </c>
      <c r="J151" s="65">
        <f t="shared" si="24"/>
        <v>47.52541341</v>
      </c>
      <c r="K151" s="65">
        <f t="shared" si="5"/>
        <v>77.06831691</v>
      </c>
      <c r="L151" s="52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</row>
    <row r="152" ht="14.25" customHeight="1">
      <c r="A152" s="6">
        <v>31205.0</v>
      </c>
      <c r="B152" s="7" t="s">
        <v>17</v>
      </c>
      <c r="C152" s="7" t="s">
        <v>200</v>
      </c>
      <c r="D152" s="7" t="s">
        <v>205</v>
      </c>
      <c r="E152" s="61">
        <v>25.0</v>
      </c>
      <c r="F152" s="62">
        <v>1232.0</v>
      </c>
      <c r="G152" s="63">
        <f t="shared" si="21"/>
        <v>0.02744237102</v>
      </c>
      <c r="H152" s="64">
        <f t="shared" si="22"/>
        <v>4.819346872</v>
      </c>
      <c r="I152" s="63">
        <f t="shared" si="23"/>
        <v>0.03259690435</v>
      </c>
      <c r="J152" s="65">
        <f t="shared" si="24"/>
        <v>100.4310623</v>
      </c>
      <c r="K152" s="65">
        <f t="shared" si="5"/>
        <v>47.9866165</v>
      </c>
      <c r="L152" s="52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</row>
    <row r="153" ht="14.25" customHeight="1">
      <c r="A153" s="6">
        <v>31206.0</v>
      </c>
      <c r="B153" s="7" t="s">
        <v>17</v>
      </c>
      <c r="C153" s="7" t="s">
        <v>200</v>
      </c>
      <c r="D153" s="7" t="s">
        <v>206</v>
      </c>
      <c r="E153" s="61">
        <v>12.0</v>
      </c>
      <c r="F153" s="62">
        <v>826.0</v>
      </c>
      <c r="G153" s="63">
        <f t="shared" si="21"/>
        <v>0.01317233809</v>
      </c>
      <c r="H153" s="64">
        <f t="shared" si="22"/>
        <v>2.313286498</v>
      </c>
      <c r="I153" s="63">
        <f t="shared" si="23"/>
        <v>0.02185474269</v>
      </c>
      <c r="J153" s="65">
        <f t="shared" si="24"/>
        <v>67.33446223</v>
      </c>
      <c r="K153" s="65">
        <f t="shared" si="5"/>
        <v>34.35516408</v>
      </c>
      <c r="L153" s="52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</row>
    <row r="154" ht="14.25" customHeight="1">
      <c r="A154" s="6">
        <v>31301.0</v>
      </c>
      <c r="B154" s="7" t="s">
        <v>17</v>
      </c>
      <c r="C154" s="7" t="s">
        <v>207</v>
      </c>
      <c r="D154" s="7" t="s">
        <v>207</v>
      </c>
      <c r="E154" s="61">
        <v>8.0</v>
      </c>
      <c r="F154" s="62">
        <v>483.0</v>
      </c>
      <c r="G154" s="63">
        <f t="shared" si="21"/>
        <v>0.008781558727</v>
      </c>
      <c r="H154" s="64">
        <f t="shared" si="22"/>
        <v>1.542190999</v>
      </c>
      <c r="I154" s="63">
        <f t="shared" si="23"/>
        <v>0.01277946818</v>
      </c>
      <c r="J154" s="65">
        <f t="shared" si="24"/>
        <v>39.37354147</v>
      </c>
      <c r="K154" s="65">
        <f t="shared" si="5"/>
        <v>39.16820639</v>
      </c>
      <c r="L154" s="52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</row>
    <row r="155" ht="14.25" customHeight="1">
      <c r="A155" s="6">
        <v>31302.0</v>
      </c>
      <c r="B155" s="7" t="s">
        <v>17</v>
      </c>
      <c r="C155" s="7" t="s">
        <v>207</v>
      </c>
      <c r="D155" s="7" t="s">
        <v>208</v>
      </c>
      <c r="E155" s="61">
        <v>2.0</v>
      </c>
      <c r="F155" s="62">
        <v>108.0</v>
      </c>
      <c r="G155" s="63">
        <f t="shared" si="21"/>
        <v>0.002195389682</v>
      </c>
      <c r="H155" s="64">
        <f t="shared" si="22"/>
        <v>0.3855477497</v>
      </c>
      <c r="I155" s="63">
        <f t="shared" si="23"/>
        <v>0.002857520836</v>
      </c>
      <c r="J155" s="65">
        <f t="shared" si="24"/>
        <v>8.804021696</v>
      </c>
      <c r="K155" s="65">
        <f t="shared" si="5"/>
        <v>43.79223076</v>
      </c>
      <c r="L155" s="52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</row>
    <row r="156" ht="14.25" customHeight="1">
      <c r="A156" s="6">
        <v>31303.0</v>
      </c>
      <c r="B156" s="7" t="s">
        <v>17</v>
      </c>
      <c r="C156" s="7" t="s">
        <v>207</v>
      </c>
      <c r="D156" s="7" t="s">
        <v>209</v>
      </c>
      <c r="E156" s="61">
        <v>1.0</v>
      </c>
      <c r="F156" s="62">
        <v>82.0</v>
      </c>
      <c r="G156" s="63">
        <f t="shared" si="21"/>
        <v>0.001097694841</v>
      </c>
      <c r="H156" s="64">
        <f t="shared" si="22"/>
        <v>0.1927738749</v>
      </c>
      <c r="I156" s="63">
        <f t="shared" si="23"/>
        <v>0.002169599153</v>
      </c>
      <c r="J156" s="65">
        <f t="shared" si="24"/>
        <v>6.684534991</v>
      </c>
      <c r="K156" s="65">
        <f t="shared" si="5"/>
        <v>28.83878611</v>
      </c>
      <c r="L156" s="52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</row>
    <row r="157" ht="14.25" customHeight="1">
      <c r="A157" s="25">
        <v>31304.0</v>
      </c>
      <c r="B157" s="7" t="s">
        <v>17</v>
      </c>
      <c r="C157" s="7" t="s">
        <v>207</v>
      </c>
      <c r="D157" s="7" t="s">
        <v>210</v>
      </c>
      <c r="E157" s="61">
        <v>4.0</v>
      </c>
      <c r="F157" s="62">
        <v>209.0</v>
      </c>
      <c r="G157" s="63">
        <f t="shared" si="21"/>
        <v>0.004390779363</v>
      </c>
      <c r="H157" s="64">
        <f t="shared" si="22"/>
        <v>0.7710954995</v>
      </c>
      <c r="I157" s="63">
        <f t="shared" si="23"/>
        <v>0.005529831988</v>
      </c>
      <c r="J157" s="65">
        <f t="shared" si="24"/>
        <v>17.03741236</v>
      </c>
      <c r="K157" s="65">
        <f t="shared" si="5"/>
        <v>45.25895619</v>
      </c>
      <c r="L157" s="52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</row>
    <row r="158" ht="14.25" customHeight="1">
      <c r="A158" s="6">
        <v>31401.0</v>
      </c>
      <c r="B158" s="7" t="s">
        <v>17</v>
      </c>
      <c r="C158" s="7" t="s">
        <v>211</v>
      </c>
      <c r="D158" s="7" t="s">
        <v>211</v>
      </c>
      <c r="E158" s="61">
        <v>7.0</v>
      </c>
      <c r="F158" s="62">
        <v>536.0</v>
      </c>
      <c r="G158" s="63">
        <f t="shared" si="21"/>
        <v>0.007683863886</v>
      </c>
      <c r="H158" s="64">
        <f t="shared" si="22"/>
        <v>1.349417124</v>
      </c>
      <c r="I158" s="63">
        <f t="shared" si="23"/>
        <v>0.01418177008</v>
      </c>
      <c r="J158" s="65">
        <f t="shared" si="24"/>
        <v>43.6940336</v>
      </c>
      <c r="K158" s="65">
        <f t="shared" si="5"/>
        <v>30.88332692</v>
      </c>
      <c r="L158" s="52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</row>
    <row r="159" ht="14.25" customHeight="1">
      <c r="A159" s="6">
        <v>31402.0</v>
      </c>
      <c r="B159" s="7" t="s">
        <v>17</v>
      </c>
      <c r="C159" s="7" t="s">
        <v>211</v>
      </c>
      <c r="D159" s="7" t="s">
        <v>212</v>
      </c>
      <c r="E159" s="61">
        <v>0.0</v>
      </c>
      <c r="F159" s="62">
        <v>174.0</v>
      </c>
      <c r="G159" s="63">
        <f t="shared" si="21"/>
        <v>0</v>
      </c>
      <c r="H159" s="64">
        <f t="shared" si="22"/>
        <v>0</v>
      </c>
      <c r="I159" s="63">
        <f t="shared" si="23"/>
        <v>0.004603783569</v>
      </c>
      <c r="J159" s="65">
        <f t="shared" si="24"/>
        <v>14.18425718</v>
      </c>
      <c r="K159" s="65">
        <f t="shared" si="5"/>
        <v>0</v>
      </c>
      <c r="L159" s="52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</row>
    <row r="160" ht="14.25" customHeight="1">
      <c r="A160" s="6">
        <v>31403.0</v>
      </c>
      <c r="B160" s="7" t="s">
        <v>17</v>
      </c>
      <c r="C160" s="7" t="s">
        <v>211</v>
      </c>
      <c r="D160" s="7" t="s">
        <v>213</v>
      </c>
      <c r="E160" s="61">
        <v>6.0</v>
      </c>
      <c r="F160" s="62">
        <v>217.0</v>
      </c>
      <c r="G160" s="63">
        <f t="shared" si="21"/>
        <v>0.006586169045</v>
      </c>
      <c r="H160" s="64">
        <f t="shared" si="22"/>
        <v>1.156643249</v>
      </c>
      <c r="I160" s="63">
        <f t="shared" si="23"/>
        <v>0.005741500198</v>
      </c>
      <c r="J160" s="65">
        <f t="shared" si="24"/>
        <v>17.68956211</v>
      </c>
      <c r="K160" s="65">
        <f t="shared" si="5"/>
        <v>65.38563487</v>
      </c>
      <c r="L160" s="52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</row>
    <row r="161" ht="14.25" customHeight="1">
      <c r="A161" s="6">
        <v>31404.0</v>
      </c>
      <c r="B161" s="7" t="s">
        <v>17</v>
      </c>
      <c r="C161" s="7" t="s">
        <v>211</v>
      </c>
      <c r="D161" s="7" t="s">
        <v>214</v>
      </c>
      <c r="E161" s="61">
        <v>1.0</v>
      </c>
      <c r="F161" s="62">
        <v>23.0</v>
      </c>
      <c r="G161" s="63">
        <f t="shared" si="21"/>
        <v>0.001097694841</v>
      </c>
      <c r="H161" s="64">
        <f t="shared" si="22"/>
        <v>0.1927738749</v>
      </c>
      <c r="I161" s="63">
        <f t="shared" si="23"/>
        <v>0.000608546104</v>
      </c>
      <c r="J161" s="65">
        <f t="shared" si="24"/>
        <v>1.874930546</v>
      </c>
      <c r="K161" s="65">
        <f t="shared" si="5"/>
        <v>102.8165418</v>
      </c>
      <c r="L161" s="52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</row>
    <row r="162" ht="14.25" customHeight="1">
      <c r="A162" s="6">
        <v>31405.0</v>
      </c>
      <c r="B162" s="7" t="s">
        <v>17</v>
      </c>
      <c r="C162" s="7" t="s">
        <v>211</v>
      </c>
      <c r="D162" s="7" t="s">
        <v>215</v>
      </c>
      <c r="E162" s="61">
        <v>0.0</v>
      </c>
      <c r="F162" s="62">
        <v>49.0</v>
      </c>
      <c r="G162" s="63">
        <f t="shared" si="21"/>
        <v>0</v>
      </c>
      <c r="H162" s="64">
        <f t="shared" si="22"/>
        <v>0</v>
      </c>
      <c r="I162" s="63">
        <f t="shared" si="23"/>
        <v>0.001296467787</v>
      </c>
      <c r="J162" s="65">
        <f t="shared" si="24"/>
        <v>3.994417251</v>
      </c>
      <c r="K162" s="65">
        <f t="shared" si="5"/>
        <v>0</v>
      </c>
      <c r="L162" s="52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</row>
    <row r="163" ht="14.25" customHeight="1">
      <c r="A163" s="6">
        <v>31501.0</v>
      </c>
      <c r="B163" s="7" t="s">
        <v>17</v>
      </c>
      <c r="C163" s="7" t="s">
        <v>216</v>
      </c>
      <c r="D163" s="7" t="s">
        <v>216</v>
      </c>
      <c r="E163" s="61">
        <v>8.0</v>
      </c>
      <c r="F163" s="62">
        <v>135.0</v>
      </c>
      <c r="G163" s="63">
        <f t="shared" si="21"/>
        <v>0.008781558727</v>
      </c>
      <c r="H163" s="64">
        <f t="shared" si="22"/>
        <v>1.542190999</v>
      </c>
      <c r="I163" s="63">
        <f t="shared" si="23"/>
        <v>0.003571901045</v>
      </c>
      <c r="J163" s="65">
        <f t="shared" si="24"/>
        <v>11.00502712</v>
      </c>
      <c r="K163" s="65">
        <f t="shared" si="5"/>
        <v>140.1351384</v>
      </c>
      <c r="L163" s="52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</row>
    <row r="164" ht="14.25" customHeight="1">
      <c r="A164" s="6">
        <v>31601.0</v>
      </c>
      <c r="B164" s="7" t="s">
        <v>17</v>
      </c>
      <c r="C164" s="7" t="s">
        <v>217</v>
      </c>
      <c r="D164" s="7" t="s">
        <v>217</v>
      </c>
      <c r="E164" s="61">
        <v>14.0</v>
      </c>
      <c r="F164" s="62">
        <v>469.0</v>
      </c>
      <c r="G164" s="63">
        <f t="shared" si="21"/>
        <v>0.01536772777</v>
      </c>
      <c r="H164" s="64">
        <f t="shared" si="22"/>
        <v>2.698834248</v>
      </c>
      <c r="I164" s="63">
        <f t="shared" si="23"/>
        <v>0.01240904882</v>
      </c>
      <c r="J164" s="65">
        <f t="shared" si="24"/>
        <v>38.2322794</v>
      </c>
      <c r="K164" s="65">
        <f t="shared" si="5"/>
        <v>70.59046152</v>
      </c>
      <c r="L164" s="52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</row>
    <row r="165" ht="14.25" customHeight="1">
      <c r="A165" s="6">
        <v>31602.0</v>
      </c>
      <c r="B165" s="7" t="s">
        <v>17</v>
      </c>
      <c r="C165" s="7" t="s">
        <v>217</v>
      </c>
      <c r="D165" s="7" t="s">
        <v>218</v>
      </c>
      <c r="E165" s="61">
        <v>5.0</v>
      </c>
      <c r="F165" s="62">
        <v>560.0</v>
      </c>
      <c r="G165" s="63">
        <f t="shared" si="21"/>
        <v>0.005488474204</v>
      </c>
      <c r="H165" s="64">
        <f t="shared" si="22"/>
        <v>0.9638693743</v>
      </c>
      <c r="I165" s="63">
        <f t="shared" si="23"/>
        <v>0.01481677471</v>
      </c>
      <c r="J165" s="65">
        <f t="shared" si="24"/>
        <v>45.65048287</v>
      </c>
      <c r="K165" s="65">
        <f t="shared" si="5"/>
        <v>21.11411126</v>
      </c>
      <c r="L165" s="52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</row>
    <row r="166" ht="14.25" customHeight="1">
      <c r="A166" s="6">
        <v>40101.0</v>
      </c>
      <c r="B166" s="7" t="s">
        <v>20</v>
      </c>
      <c r="C166" s="7" t="s">
        <v>165</v>
      </c>
      <c r="D166" s="7" t="s">
        <v>20</v>
      </c>
      <c r="E166" s="61">
        <v>29.0</v>
      </c>
      <c r="F166" s="62">
        <v>5654.0</v>
      </c>
      <c r="G166" s="63">
        <f t="shared" ref="G166:G200" si="25">E166/$R$5</f>
        <v>0.1387559809</v>
      </c>
      <c r="H166" s="64">
        <f t="shared" ref="H166:H200" si="26">$S$20*G166</f>
        <v>6.630732057</v>
      </c>
      <c r="I166" s="63">
        <f t="shared" ref="I166:I200" si="27">F166/$S$5</f>
        <v>0.5613582208</v>
      </c>
      <c r="J166" s="65">
        <f t="shared" ref="J166:J200" si="28">I166*$U$20</f>
        <v>525.9926529</v>
      </c>
      <c r="K166" s="65">
        <f t="shared" si="5"/>
        <v>12.60613056</v>
      </c>
      <c r="L166" s="52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</row>
    <row r="167" ht="14.25" customHeight="1">
      <c r="A167" s="6">
        <v>40102.0</v>
      </c>
      <c r="B167" s="7" t="s">
        <v>20</v>
      </c>
      <c r="C167" s="7" t="s">
        <v>165</v>
      </c>
      <c r="D167" s="7" t="s">
        <v>219</v>
      </c>
      <c r="E167" s="61">
        <v>25.0</v>
      </c>
      <c r="F167" s="62">
        <v>458.0</v>
      </c>
      <c r="G167" s="63">
        <f t="shared" si="25"/>
        <v>0.1196172249</v>
      </c>
      <c r="H167" s="64">
        <f t="shared" si="26"/>
        <v>5.716148325</v>
      </c>
      <c r="I167" s="63">
        <f t="shared" si="27"/>
        <v>0.0454725973</v>
      </c>
      <c r="J167" s="65">
        <f t="shared" si="28"/>
        <v>42.60782367</v>
      </c>
      <c r="K167" s="65">
        <f t="shared" si="5"/>
        <v>134.157247</v>
      </c>
      <c r="L167" s="52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</row>
    <row r="168" ht="14.25" customHeight="1">
      <c r="A168" s="6">
        <v>40103.0</v>
      </c>
      <c r="B168" s="7" t="s">
        <v>20</v>
      </c>
      <c r="C168" s="7" t="s">
        <v>165</v>
      </c>
      <c r="D168" s="7" t="s">
        <v>220</v>
      </c>
      <c r="E168" s="61">
        <v>4.0</v>
      </c>
      <c r="F168" s="62">
        <v>147.0</v>
      </c>
      <c r="G168" s="63">
        <f t="shared" si="25"/>
        <v>0.01913875598</v>
      </c>
      <c r="H168" s="64">
        <f t="shared" si="26"/>
        <v>0.9145837321</v>
      </c>
      <c r="I168" s="63">
        <f t="shared" si="27"/>
        <v>0.0145949166</v>
      </c>
      <c r="J168" s="65">
        <f t="shared" si="28"/>
        <v>13.67543685</v>
      </c>
      <c r="K168" s="65">
        <f t="shared" si="5"/>
        <v>66.87784396</v>
      </c>
      <c r="L168" s="52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</row>
    <row r="169" ht="14.25" customHeight="1">
      <c r="A169" s="6">
        <v>40104.0</v>
      </c>
      <c r="B169" s="7" t="s">
        <v>20</v>
      </c>
      <c r="C169" s="7" t="s">
        <v>165</v>
      </c>
      <c r="D169" s="7" t="s">
        <v>221</v>
      </c>
      <c r="E169" s="61">
        <v>16.0</v>
      </c>
      <c r="F169" s="62">
        <v>265.0</v>
      </c>
      <c r="G169" s="63">
        <f t="shared" si="25"/>
        <v>0.07655502392</v>
      </c>
      <c r="H169" s="64">
        <f t="shared" si="26"/>
        <v>3.658334928</v>
      </c>
      <c r="I169" s="63">
        <f t="shared" si="27"/>
        <v>0.02631056394</v>
      </c>
      <c r="J169" s="65">
        <f t="shared" si="28"/>
        <v>24.65299841</v>
      </c>
      <c r="K169" s="65">
        <f t="shared" si="5"/>
        <v>148.3931028</v>
      </c>
      <c r="L169" s="52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</row>
    <row r="170" ht="14.25" customHeight="1">
      <c r="A170" s="6">
        <v>40201.0</v>
      </c>
      <c r="B170" s="7" t="s">
        <v>20</v>
      </c>
      <c r="C170" s="7" t="s">
        <v>222</v>
      </c>
      <c r="D170" s="7" t="s">
        <v>223</v>
      </c>
      <c r="E170" s="61">
        <v>43.0</v>
      </c>
      <c r="F170" s="62">
        <v>684.0</v>
      </c>
      <c r="G170" s="63">
        <f t="shared" si="25"/>
        <v>0.2057416268</v>
      </c>
      <c r="H170" s="64">
        <f t="shared" si="26"/>
        <v>9.83177512</v>
      </c>
      <c r="I170" s="63">
        <f t="shared" si="27"/>
        <v>0.06791104051</v>
      </c>
      <c r="J170" s="65">
        <f t="shared" si="28"/>
        <v>63.63264496</v>
      </c>
      <c r="K170" s="65">
        <f t="shared" si="5"/>
        <v>154.5083522</v>
      </c>
      <c r="L170" s="52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</row>
    <row r="171" ht="14.25" customHeight="1">
      <c r="A171" s="6">
        <v>40202.0</v>
      </c>
      <c r="B171" s="7" t="s">
        <v>20</v>
      </c>
      <c r="C171" s="7" t="s">
        <v>222</v>
      </c>
      <c r="D171" s="7" t="s">
        <v>224</v>
      </c>
      <c r="E171" s="61">
        <v>5.0</v>
      </c>
      <c r="F171" s="62">
        <v>81.0</v>
      </c>
      <c r="G171" s="63">
        <f t="shared" si="25"/>
        <v>0.02392344498</v>
      </c>
      <c r="H171" s="64">
        <f t="shared" si="26"/>
        <v>1.143229665</v>
      </c>
      <c r="I171" s="63">
        <f t="shared" si="27"/>
        <v>0.008042096902</v>
      </c>
      <c r="J171" s="65">
        <f t="shared" si="28"/>
        <v>7.535444797</v>
      </c>
      <c r="K171" s="65">
        <f t="shared" si="5"/>
        <v>151.7136275</v>
      </c>
      <c r="L171" s="52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</row>
    <row r="172" ht="14.25" customHeight="1">
      <c r="A172" s="6">
        <v>40301.0</v>
      </c>
      <c r="B172" s="7" t="s">
        <v>20</v>
      </c>
      <c r="C172" s="7" t="s">
        <v>225</v>
      </c>
      <c r="D172" s="7" t="s">
        <v>226</v>
      </c>
      <c r="E172" s="61">
        <v>2.0</v>
      </c>
      <c r="F172" s="62">
        <v>163.0</v>
      </c>
      <c r="G172" s="63">
        <f t="shared" si="25"/>
        <v>0.00956937799</v>
      </c>
      <c r="H172" s="64">
        <f t="shared" si="26"/>
        <v>0.457291866</v>
      </c>
      <c r="I172" s="63">
        <f t="shared" si="27"/>
        <v>0.01618347895</v>
      </c>
      <c r="J172" s="65">
        <f t="shared" si="28"/>
        <v>15.16391978</v>
      </c>
      <c r="K172" s="65">
        <f t="shared" si="5"/>
        <v>30.15657381</v>
      </c>
      <c r="L172" s="52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</row>
    <row r="173" ht="14.25" customHeight="1">
      <c r="A173" s="6">
        <v>40302.0</v>
      </c>
      <c r="B173" s="7" t="s">
        <v>20</v>
      </c>
      <c r="C173" s="7" t="s">
        <v>225</v>
      </c>
      <c r="D173" s="7" t="s">
        <v>227</v>
      </c>
      <c r="E173" s="61">
        <v>1.0</v>
      </c>
      <c r="F173" s="62">
        <v>30.0</v>
      </c>
      <c r="G173" s="63">
        <f t="shared" si="25"/>
        <v>0.004784688995</v>
      </c>
      <c r="H173" s="64">
        <f t="shared" si="26"/>
        <v>0.228645933</v>
      </c>
      <c r="I173" s="63">
        <f t="shared" si="27"/>
        <v>0.002978554408</v>
      </c>
      <c r="J173" s="65">
        <f t="shared" si="28"/>
        <v>2.790905481</v>
      </c>
      <c r="K173" s="65">
        <f t="shared" si="5"/>
        <v>81.92535885</v>
      </c>
      <c r="L173" s="52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</row>
    <row r="174" ht="14.25" customHeight="1">
      <c r="A174" s="6">
        <v>40401.0</v>
      </c>
      <c r="B174" s="7" t="s">
        <v>20</v>
      </c>
      <c r="C174" s="7" t="s">
        <v>228</v>
      </c>
      <c r="D174" s="7" t="s">
        <v>229</v>
      </c>
      <c r="E174" s="61">
        <v>5.0</v>
      </c>
      <c r="F174" s="62">
        <v>78.0</v>
      </c>
      <c r="G174" s="63">
        <f t="shared" si="25"/>
        <v>0.02392344498</v>
      </c>
      <c r="H174" s="64">
        <f t="shared" si="26"/>
        <v>1.143229665</v>
      </c>
      <c r="I174" s="63">
        <f t="shared" si="27"/>
        <v>0.007744241461</v>
      </c>
      <c r="J174" s="65">
        <f t="shared" si="28"/>
        <v>7.256354249</v>
      </c>
      <c r="K174" s="65">
        <f t="shared" si="5"/>
        <v>157.548767</v>
      </c>
      <c r="L174" s="52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</row>
    <row r="175" ht="14.25" customHeight="1">
      <c r="A175" s="6">
        <v>40402.0</v>
      </c>
      <c r="B175" s="7" t="s">
        <v>20</v>
      </c>
      <c r="C175" s="7" t="s">
        <v>228</v>
      </c>
      <c r="D175" s="7" t="s">
        <v>230</v>
      </c>
      <c r="E175" s="61">
        <v>7.0</v>
      </c>
      <c r="F175" s="62">
        <v>96.0</v>
      </c>
      <c r="G175" s="63">
        <f t="shared" si="25"/>
        <v>0.03349282297</v>
      </c>
      <c r="H175" s="64">
        <f t="shared" si="26"/>
        <v>1.600521531</v>
      </c>
      <c r="I175" s="63">
        <f t="shared" si="27"/>
        <v>0.009531374106</v>
      </c>
      <c r="J175" s="65">
        <f t="shared" si="28"/>
        <v>8.930897538</v>
      </c>
      <c r="K175" s="65">
        <f t="shared" si="5"/>
        <v>179.2117225</v>
      </c>
      <c r="L175" s="52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</row>
    <row r="176" ht="14.25" customHeight="1">
      <c r="A176" s="6">
        <v>40501.0</v>
      </c>
      <c r="B176" s="7" t="s">
        <v>20</v>
      </c>
      <c r="C176" s="7" t="s">
        <v>231</v>
      </c>
      <c r="D176" s="7" t="s">
        <v>232</v>
      </c>
      <c r="E176" s="61">
        <v>0.0</v>
      </c>
      <c r="F176" s="62">
        <v>11.0</v>
      </c>
      <c r="G176" s="63">
        <f t="shared" si="25"/>
        <v>0</v>
      </c>
      <c r="H176" s="64">
        <f t="shared" si="26"/>
        <v>0</v>
      </c>
      <c r="I176" s="63">
        <f t="shared" si="27"/>
        <v>0.001092136616</v>
      </c>
      <c r="J176" s="65">
        <f t="shared" si="28"/>
        <v>1.02333201</v>
      </c>
      <c r="K176" s="65">
        <f t="shared" si="5"/>
        <v>0</v>
      </c>
      <c r="L176" s="52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</row>
    <row r="177" ht="14.25" customHeight="1">
      <c r="A177" s="6">
        <v>40502.0</v>
      </c>
      <c r="B177" s="7" t="s">
        <v>20</v>
      </c>
      <c r="C177" s="7" t="s">
        <v>231</v>
      </c>
      <c r="D177" s="7" t="s">
        <v>233</v>
      </c>
      <c r="E177" s="61">
        <v>2.0</v>
      </c>
      <c r="F177" s="62">
        <v>78.0</v>
      </c>
      <c r="G177" s="63">
        <f t="shared" si="25"/>
        <v>0.00956937799</v>
      </c>
      <c r="H177" s="64">
        <f t="shared" si="26"/>
        <v>0.457291866</v>
      </c>
      <c r="I177" s="63">
        <f t="shared" si="27"/>
        <v>0.007744241461</v>
      </c>
      <c r="J177" s="65">
        <f t="shared" si="28"/>
        <v>7.256354249</v>
      </c>
      <c r="K177" s="65">
        <f t="shared" si="5"/>
        <v>63.01950681</v>
      </c>
      <c r="L177" s="52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</row>
    <row r="178" ht="14.25" customHeight="1">
      <c r="A178" s="6">
        <v>40503.0</v>
      </c>
      <c r="B178" s="7" t="s">
        <v>20</v>
      </c>
      <c r="C178" s="7" t="s">
        <v>231</v>
      </c>
      <c r="D178" s="7" t="s">
        <v>234</v>
      </c>
      <c r="E178" s="61">
        <v>2.0</v>
      </c>
      <c r="F178" s="62">
        <v>34.0</v>
      </c>
      <c r="G178" s="63">
        <f t="shared" si="25"/>
        <v>0.00956937799</v>
      </c>
      <c r="H178" s="64">
        <f t="shared" si="26"/>
        <v>0.457291866</v>
      </c>
      <c r="I178" s="63">
        <f t="shared" si="27"/>
        <v>0.003375694996</v>
      </c>
      <c r="J178" s="65">
        <f t="shared" si="28"/>
        <v>3.163026211</v>
      </c>
      <c r="K178" s="65">
        <f t="shared" si="5"/>
        <v>144.5741627</v>
      </c>
      <c r="L178" s="52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</row>
    <row r="179" ht="14.25" customHeight="1">
      <c r="A179" s="6">
        <v>40504.0</v>
      </c>
      <c r="B179" s="7" t="s">
        <v>20</v>
      </c>
      <c r="C179" s="7" t="s">
        <v>231</v>
      </c>
      <c r="D179" s="7" t="s">
        <v>235</v>
      </c>
      <c r="E179" s="61"/>
      <c r="F179" s="62">
        <v>8.0</v>
      </c>
      <c r="G179" s="63">
        <f t="shared" si="25"/>
        <v>0</v>
      </c>
      <c r="H179" s="64">
        <f t="shared" si="26"/>
        <v>0</v>
      </c>
      <c r="I179" s="63">
        <f t="shared" si="27"/>
        <v>0.0007942811755</v>
      </c>
      <c r="J179" s="65">
        <f t="shared" si="28"/>
        <v>0.7442414615</v>
      </c>
      <c r="K179" s="65">
        <f t="shared" si="5"/>
        <v>0</v>
      </c>
      <c r="L179" s="52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</row>
    <row r="180" ht="14.25" customHeight="1">
      <c r="A180" s="6">
        <v>40505.0</v>
      </c>
      <c r="B180" s="7" t="s">
        <v>20</v>
      </c>
      <c r="C180" s="7" t="s">
        <v>231</v>
      </c>
      <c r="D180" s="7" t="s">
        <v>236</v>
      </c>
      <c r="E180" s="61">
        <v>0.0</v>
      </c>
      <c r="F180" s="62">
        <v>60.0</v>
      </c>
      <c r="G180" s="63">
        <f t="shared" si="25"/>
        <v>0</v>
      </c>
      <c r="H180" s="64">
        <f t="shared" si="26"/>
        <v>0</v>
      </c>
      <c r="I180" s="63">
        <f t="shared" si="27"/>
        <v>0.005957108817</v>
      </c>
      <c r="J180" s="65">
        <f t="shared" si="28"/>
        <v>5.581810961</v>
      </c>
      <c r="K180" s="65">
        <f t="shared" si="5"/>
        <v>0</v>
      </c>
      <c r="L180" s="52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</row>
    <row r="181" ht="14.25" customHeight="1">
      <c r="A181" s="6">
        <v>40601.0</v>
      </c>
      <c r="B181" s="7" t="s">
        <v>20</v>
      </c>
      <c r="C181" s="7" t="s">
        <v>237</v>
      </c>
      <c r="D181" s="7" t="s">
        <v>237</v>
      </c>
      <c r="E181" s="61">
        <v>10.0</v>
      </c>
      <c r="F181" s="62">
        <v>119.0</v>
      </c>
      <c r="G181" s="63">
        <f t="shared" si="25"/>
        <v>0.04784688995</v>
      </c>
      <c r="H181" s="64">
        <f t="shared" si="26"/>
        <v>2.28645933</v>
      </c>
      <c r="I181" s="63">
        <f t="shared" si="27"/>
        <v>0.01181493249</v>
      </c>
      <c r="J181" s="65">
        <f t="shared" si="28"/>
        <v>11.07059174</v>
      </c>
      <c r="K181" s="65">
        <f t="shared" si="5"/>
        <v>206.5345181</v>
      </c>
      <c r="L181" s="52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</row>
    <row r="182" ht="14.25" customHeight="1">
      <c r="A182" s="6">
        <v>40602.0</v>
      </c>
      <c r="B182" s="7" t="s">
        <v>20</v>
      </c>
      <c r="C182" s="7" t="s">
        <v>237</v>
      </c>
      <c r="D182" s="7" t="s">
        <v>238</v>
      </c>
      <c r="E182" s="61">
        <v>3.0</v>
      </c>
      <c r="F182" s="62">
        <v>112.0</v>
      </c>
      <c r="G182" s="63">
        <f t="shared" si="25"/>
        <v>0.01435406699</v>
      </c>
      <c r="H182" s="64">
        <f t="shared" si="26"/>
        <v>0.685937799</v>
      </c>
      <c r="I182" s="63">
        <f t="shared" si="27"/>
        <v>0.01111993646</v>
      </c>
      <c r="J182" s="65">
        <f t="shared" si="28"/>
        <v>10.41938046</v>
      </c>
      <c r="K182" s="65">
        <f t="shared" si="5"/>
        <v>65.83287765</v>
      </c>
      <c r="L182" s="52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</row>
    <row r="183" ht="14.25" customHeight="1">
      <c r="A183" s="6">
        <v>40603.0</v>
      </c>
      <c r="B183" s="7" t="s">
        <v>20</v>
      </c>
      <c r="C183" s="7" t="s">
        <v>237</v>
      </c>
      <c r="D183" s="7" t="s">
        <v>239</v>
      </c>
      <c r="E183" s="61">
        <v>1.0</v>
      </c>
      <c r="F183" s="62">
        <v>61.0</v>
      </c>
      <c r="G183" s="63">
        <f t="shared" si="25"/>
        <v>0.004784688995</v>
      </c>
      <c r="H183" s="64">
        <f t="shared" si="26"/>
        <v>0.228645933</v>
      </c>
      <c r="I183" s="63">
        <f t="shared" si="27"/>
        <v>0.006056393963</v>
      </c>
      <c r="J183" s="65">
        <f t="shared" si="28"/>
        <v>5.674841144</v>
      </c>
      <c r="K183" s="65">
        <f t="shared" si="5"/>
        <v>40.29116009</v>
      </c>
      <c r="L183" s="52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</row>
    <row r="184" ht="14.25" customHeight="1">
      <c r="A184" s="6">
        <v>40701.0</v>
      </c>
      <c r="B184" s="7" t="s">
        <v>20</v>
      </c>
      <c r="C184" s="7" t="s">
        <v>240</v>
      </c>
      <c r="D184" s="7" t="s">
        <v>241</v>
      </c>
      <c r="E184" s="61">
        <v>10.0</v>
      </c>
      <c r="F184" s="62">
        <v>527.0</v>
      </c>
      <c r="G184" s="63">
        <f t="shared" si="25"/>
        <v>0.04784688995</v>
      </c>
      <c r="H184" s="64">
        <f t="shared" si="26"/>
        <v>2.28645933</v>
      </c>
      <c r="I184" s="63">
        <f t="shared" si="27"/>
        <v>0.05232327244</v>
      </c>
      <c r="J184" s="65">
        <f t="shared" si="28"/>
        <v>49.02690627</v>
      </c>
      <c r="K184" s="65">
        <f t="shared" si="5"/>
        <v>46.63682667</v>
      </c>
      <c r="L184" s="52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</row>
    <row r="185" ht="14.25" customHeight="1">
      <c r="A185" s="6">
        <v>40702.0</v>
      </c>
      <c r="B185" s="7" t="s">
        <v>20</v>
      </c>
      <c r="C185" s="7" t="s">
        <v>240</v>
      </c>
      <c r="D185" s="7" t="s">
        <v>242</v>
      </c>
      <c r="E185" s="61">
        <v>2.0</v>
      </c>
      <c r="F185" s="62">
        <v>88.0</v>
      </c>
      <c r="G185" s="63">
        <f t="shared" si="25"/>
        <v>0.00956937799</v>
      </c>
      <c r="H185" s="64">
        <f t="shared" si="26"/>
        <v>0.457291866</v>
      </c>
      <c r="I185" s="63">
        <f t="shared" si="27"/>
        <v>0.008737092931</v>
      </c>
      <c r="J185" s="65">
        <f t="shared" si="28"/>
        <v>8.186656076</v>
      </c>
      <c r="K185" s="65">
        <f t="shared" si="5"/>
        <v>55.85819922</v>
      </c>
      <c r="L185" s="52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</row>
    <row r="186" ht="14.25" customHeight="1">
      <c r="A186" s="6">
        <v>40801.0</v>
      </c>
      <c r="B186" s="7" t="s">
        <v>20</v>
      </c>
      <c r="C186" s="7" t="s">
        <v>243</v>
      </c>
      <c r="D186" s="7" t="s">
        <v>244</v>
      </c>
      <c r="E186" s="61">
        <v>7.0</v>
      </c>
      <c r="F186" s="62">
        <v>196.0</v>
      </c>
      <c r="G186" s="63">
        <f t="shared" si="25"/>
        <v>0.03349282297</v>
      </c>
      <c r="H186" s="64">
        <f t="shared" si="26"/>
        <v>1.600521531</v>
      </c>
      <c r="I186" s="63">
        <f t="shared" si="27"/>
        <v>0.0194598888</v>
      </c>
      <c r="J186" s="65">
        <f t="shared" si="28"/>
        <v>18.23391581</v>
      </c>
      <c r="K186" s="65">
        <f t="shared" si="5"/>
        <v>87.7771702</v>
      </c>
      <c r="L186" s="52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</row>
    <row r="187" ht="14.25" customHeight="1">
      <c r="A187" s="6">
        <v>40802.0</v>
      </c>
      <c r="B187" s="7" t="s">
        <v>20</v>
      </c>
      <c r="C187" s="7" t="s">
        <v>243</v>
      </c>
      <c r="D187" s="7" t="s">
        <v>245</v>
      </c>
      <c r="E187" s="61">
        <v>0.0</v>
      </c>
      <c r="F187" s="62">
        <v>64.0</v>
      </c>
      <c r="G187" s="63">
        <f t="shared" si="25"/>
        <v>0</v>
      </c>
      <c r="H187" s="64">
        <f t="shared" si="26"/>
        <v>0</v>
      </c>
      <c r="I187" s="63">
        <f t="shared" si="27"/>
        <v>0.006354249404</v>
      </c>
      <c r="J187" s="65">
        <f t="shared" si="28"/>
        <v>5.953931692</v>
      </c>
      <c r="K187" s="65">
        <f t="shared" si="5"/>
        <v>0</v>
      </c>
      <c r="L187" s="52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</row>
    <row r="188" ht="14.25" customHeight="1">
      <c r="A188" s="6">
        <v>40901.0</v>
      </c>
      <c r="B188" s="7" t="s">
        <v>20</v>
      </c>
      <c r="C188" s="7" t="s">
        <v>246</v>
      </c>
      <c r="D188" s="7" t="s">
        <v>246</v>
      </c>
      <c r="E188" s="61">
        <v>4.0</v>
      </c>
      <c r="F188" s="62">
        <v>177.0</v>
      </c>
      <c r="G188" s="63">
        <f t="shared" si="25"/>
        <v>0.01913875598</v>
      </c>
      <c r="H188" s="64">
        <f t="shared" si="26"/>
        <v>0.9145837321</v>
      </c>
      <c r="I188" s="63">
        <f t="shared" si="27"/>
        <v>0.01757347101</v>
      </c>
      <c r="J188" s="65">
        <f t="shared" si="28"/>
        <v>16.46634234</v>
      </c>
      <c r="K188" s="65">
        <f t="shared" si="5"/>
        <v>55.54261617</v>
      </c>
      <c r="L188" s="52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</row>
    <row r="189" ht="14.25" customHeight="1">
      <c r="A189" s="6">
        <v>40902.0</v>
      </c>
      <c r="B189" s="7" t="s">
        <v>20</v>
      </c>
      <c r="C189" s="7" t="s">
        <v>246</v>
      </c>
      <c r="D189" s="7" t="s">
        <v>247</v>
      </c>
      <c r="E189" s="61">
        <v>0.0</v>
      </c>
      <c r="F189" s="62">
        <v>18.0</v>
      </c>
      <c r="G189" s="63">
        <f t="shared" si="25"/>
        <v>0</v>
      </c>
      <c r="H189" s="64">
        <f t="shared" si="26"/>
        <v>0</v>
      </c>
      <c r="I189" s="63">
        <f t="shared" si="27"/>
        <v>0.001787132645</v>
      </c>
      <c r="J189" s="65">
        <f t="shared" si="28"/>
        <v>1.674543288</v>
      </c>
      <c r="K189" s="65">
        <f t="shared" si="5"/>
        <v>0</v>
      </c>
      <c r="L189" s="52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</row>
    <row r="190" ht="14.25" customHeight="1">
      <c r="A190" s="6">
        <v>40903.0</v>
      </c>
      <c r="B190" s="7" t="s">
        <v>20</v>
      </c>
      <c r="C190" s="7" t="s">
        <v>246</v>
      </c>
      <c r="D190" s="7" t="s">
        <v>248</v>
      </c>
      <c r="E190" s="61">
        <v>3.0</v>
      </c>
      <c r="F190" s="62">
        <v>51.0</v>
      </c>
      <c r="G190" s="63">
        <f t="shared" si="25"/>
        <v>0.01435406699</v>
      </c>
      <c r="H190" s="64">
        <f t="shared" si="26"/>
        <v>0.685937799</v>
      </c>
      <c r="I190" s="63">
        <f t="shared" si="27"/>
        <v>0.005063542494</v>
      </c>
      <c r="J190" s="65">
        <f t="shared" si="28"/>
        <v>4.744539317</v>
      </c>
      <c r="K190" s="65">
        <f t="shared" si="5"/>
        <v>144.5741627</v>
      </c>
      <c r="L190" s="52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</row>
    <row r="191" ht="14.25" customHeight="1">
      <c r="A191" s="6">
        <v>41001.0</v>
      </c>
      <c r="B191" s="7" t="s">
        <v>20</v>
      </c>
      <c r="C191" s="7" t="s">
        <v>249</v>
      </c>
      <c r="D191" s="7" t="s">
        <v>250</v>
      </c>
      <c r="E191" s="61">
        <v>4.0</v>
      </c>
      <c r="F191" s="62">
        <v>145.0</v>
      </c>
      <c r="G191" s="63">
        <f t="shared" si="25"/>
        <v>0.01913875598</v>
      </c>
      <c r="H191" s="64">
        <f t="shared" si="26"/>
        <v>0.9145837321</v>
      </c>
      <c r="I191" s="63">
        <f t="shared" si="27"/>
        <v>0.01439634631</v>
      </c>
      <c r="J191" s="65">
        <f t="shared" si="28"/>
        <v>13.48937649</v>
      </c>
      <c r="K191" s="65">
        <f t="shared" si="5"/>
        <v>67.80029698</v>
      </c>
      <c r="L191" s="52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</row>
    <row r="192" ht="14.25" customHeight="1">
      <c r="A192" s="6">
        <v>41101.0</v>
      </c>
      <c r="B192" s="7" t="s">
        <v>20</v>
      </c>
      <c r="C192" s="7" t="s">
        <v>251</v>
      </c>
      <c r="D192" s="7" t="s">
        <v>252</v>
      </c>
      <c r="E192" s="61">
        <v>6.0</v>
      </c>
      <c r="F192" s="62">
        <v>99.0</v>
      </c>
      <c r="G192" s="63">
        <f t="shared" si="25"/>
        <v>0.02870813397</v>
      </c>
      <c r="H192" s="64">
        <f t="shared" si="26"/>
        <v>1.371875598</v>
      </c>
      <c r="I192" s="63">
        <f t="shared" si="27"/>
        <v>0.009829229547</v>
      </c>
      <c r="J192" s="65">
        <f t="shared" si="28"/>
        <v>9.209988086</v>
      </c>
      <c r="K192" s="65">
        <f t="shared" si="5"/>
        <v>148.9551979</v>
      </c>
      <c r="L192" s="52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</row>
    <row r="193" ht="14.25" customHeight="1">
      <c r="A193" s="6">
        <v>41201.0</v>
      </c>
      <c r="B193" s="7" t="s">
        <v>20</v>
      </c>
      <c r="C193" s="7" t="s">
        <v>253</v>
      </c>
      <c r="D193" s="7" t="s">
        <v>254</v>
      </c>
      <c r="E193" s="61">
        <v>4.0</v>
      </c>
      <c r="F193" s="62">
        <v>79.0</v>
      </c>
      <c r="G193" s="63">
        <f t="shared" si="25"/>
        <v>0.01913875598</v>
      </c>
      <c r="H193" s="64">
        <f t="shared" si="26"/>
        <v>0.9145837321</v>
      </c>
      <c r="I193" s="63">
        <f t="shared" si="27"/>
        <v>0.007843526608</v>
      </c>
      <c r="J193" s="65">
        <f t="shared" si="28"/>
        <v>7.349384432</v>
      </c>
      <c r="K193" s="65">
        <f t="shared" si="5"/>
        <v>124.4435831</v>
      </c>
      <c r="L193" s="52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</row>
    <row r="194" ht="14.25" customHeight="1">
      <c r="A194" s="6">
        <v>41202.0</v>
      </c>
      <c r="B194" s="7" t="s">
        <v>20</v>
      </c>
      <c r="C194" s="7" t="s">
        <v>253</v>
      </c>
      <c r="D194" s="7" t="s">
        <v>255</v>
      </c>
      <c r="E194" s="61">
        <v>0.0</v>
      </c>
      <c r="F194" s="62">
        <v>35.0</v>
      </c>
      <c r="G194" s="63">
        <f t="shared" si="25"/>
        <v>0</v>
      </c>
      <c r="H194" s="64">
        <f t="shared" si="26"/>
        <v>0</v>
      </c>
      <c r="I194" s="63">
        <f t="shared" si="27"/>
        <v>0.003474980143</v>
      </c>
      <c r="J194" s="65">
        <f t="shared" si="28"/>
        <v>3.256056394</v>
      </c>
      <c r="K194" s="65">
        <f t="shared" si="5"/>
        <v>0</v>
      </c>
      <c r="L194" s="52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</row>
    <row r="195" ht="14.25" customHeight="1">
      <c r="A195" s="6">
        <v>41301.0</v>
      </c>
      <c r="B195" s="7" t="s">
        <v>20</v>
      </c>
      <c r="C195" s="7" t="s">
        <v>256</v>
      </c>
      <c r="D195" s="7" t="s">
        <v>256</v>
      </c>
      <c r="E195" s="61">
        <v>0.0</v>
      </c>
      <c r="F195" s="62">
        <v>108.0</v>
      </c>
      <c r="G195" s="63">
        <f t="shared" si="25"/>
        <v>0</v>
      </c>
      <c r="H195" s="64">
        <f t="shared" si="26"/>
        <v>0</v>
      </c>
      <c r="I195" s="63">
        <f t="shared" si="27"/>
        <v>0.01072279587</v>
      </c>
      <c r="J195" s="65">
        <f t="shared" si="28"/>
        <v>10.04725973</v>
      </c>
      <c r="K195" s="65">
        <f t="shared" si="5"/>
        <v>0</v>
      </c>
      <c r="L195" s="52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</row>
    <row r="196" ht="14.25" customHeight="1">
      <c r="A196" s="6">
        <v>41401.0</v>
      </c>
      <c r="B196" s="7" t="s">
        <v>20</v>
      </c>
      <c r="C196" s="7" t="s">
        <v>257</v>
      </c>
      <c r="D196" s="7" t="s">
        <v>258</v>
      </c>
      <c r="E196" s="61">
        <v>9.0</v>
      </c>
      <c r="F196" s="62">
        <v>226.0</v>
      </c>
      <c r="G196" s="63">
        <f t="shared" si="25"/>
        <v>0.04306220096</v>
      </c>
      <c r="H196" s="64">
        <f t="shared" si="26"/>
        <v>2.057813397</v>
      </c>
      <c r="I196" s="63">
        <f t="shared" si="27"/>
        <v>0.02243844321</v>
      </c>
      <c r="J196" s="65">
        <f t="shared" si="28"/>
        <v>21.02482129</v>
      </c>
      <c r="K196" s="65">
        <f t="shared" si="5"/>
        <v>97.87542872</v>
      </c>
      <c r="L196" s="52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</row>
    <row r="197" ht="14.25" customHeight="1">
      <c r="A197" s="6">
        <v>41501.0</v>
      </c>
      <c r="B197" s="7" t="s">
        <v>20</v>
      </c>
      <c r="C197" s="7" t="s">
        <v>259</v>
      </c>
      <c r="D197" s="7" t="s">
        <v>260</v>
      </c>
      <c r="E197" s="61">
        <v>0.0</v>
      </c>
      <c r="F197" s="62">
        <v>10.0</v>
      </c>
      <c r="G197" s="63">
        <f t="shared" si="25"/>
        <v>0</v>
      </c>
      <c r="H197" s="64">
        <f t="shared" si="26"/>
        <v>0</v>
      </c>
      <c r="I197" s="63">
        <f t="shared" si="27"/>
        <v>0.0009928514694</v>
      </c>
      <c r="J197" s="65">
        <f t="shared" si="28"/>
        <v>0.9303018268</v>
      </c>
      <c r="K197" s="65">
        <f t="shared" si="5"/>
        <v>0</v>
      </c>
      <c r="L197" s="52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</row>
    <row r="198" ht="14.25" customHeight="1">
      <c r="A198" s="6">
        <v>41502.0</v>
      </c>
      <c r="B198" s="7" t="s">
        <v>20</v>
      </c>
      <c r="C198" s="7" t="s">
        <v>259</v>
      </c>
      <c r="D198" s="7" t="s">
        <v>261</v>
      </c>
      <c r="E198" s="61">
        <v>0.0</v>
      </c>
      <c r="F198" s="62">
        <v>20.0</v>
      </c>
      <c r="G198" s="63">
        <f t="shared" si="25"/>
        <v>0</v>
      </c>
      <c r="H198" s="64">
        <f t="shared" si="26"/>
        <v>0</v>
      </c>
      <c r="I198" s="63">
        <f t="shared" si="27"/>
        <v>0.001985702939</v>
      </c>
      <c r="J198" s="65">
        <f t="shared" si="28"/>
        <v>1.860603654</v>
      </c>
      <c r="K198" s="65">
        <f t="shared" si="5"/>
        <v>0</v>
      </c>
      <c r="L198" s="52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</row>
    <row r="199" ht="14.25" customHeight="1">
      <c r="A199" s="6">
        <v>41503.0</v>
      </c>
      <c r="B199" s="7" t="s">
        <v>20</v>
      </c>
      <c r="C199" s="7" t="s">
        <v>259</v>
      </c>
      <c r="D199" s="7" t="s">
        <v>225</v>
      </c>
      <c r="E199" s="61"/>
      <c r="F199" s="62">
        <v>15.0</v>
      </c>
      <c r="G199" s="63">
        <f t="shared" si="25"/>
        <v>0</v>
      </c>
      <c r="H199" s="64">
        <f t="shared" si="26"/>
        <v>0</v>
      </c>
      <c r="I199" s="63">
        <f t="shared" si="27"/>
        <v>0.001489277204</v>
      </c>
      <c r="J199" s="65">
        <f t="shared" si="28"/>
        <v>1.39545274</v>
      </c>
      <c r="K199" s="65">
        <f t="shared" si="5"/>
        <v>0</v>
      </c>
      <c r="L199" s="52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</row>
    <row r="200" ht="14.25" customHeight="1">
      <c r="A200" s="6">
        <v>41601.0</v>
      </c>
      <c r="B200" s="7" t="s">
        <v>20</v>
      </c>
      <c r="C200" s="7" t="s">
        <v>262</v>
      </c>
      <c r="D200" s="7" t="s">
        <v>263</v>
      </c>
      <c r="E200" s="61">
        <v>5.0</v>
      </c>
      <c r="F200" s="62">
        <v>75.0</v>
      </c>
      <c r="G200" s="63">
        <f t="shared" si="25"/>
        <v>0.02392344498</v>
      </c>
      <c r="H200" s="64">
        <f t="shared" si="26"/>
        <v>1.143229665</v>
      </c>
      <c r="I200" s="63">
        <f t="shared" si="27"/>
        <v>0.007446386021</v>
      </c>
      <c r="J200" s="65">
        <f t="shared" si="28"/>
        <v>6.977263701</v>
      </c>
      <c r="K200" s="65">
        <f t="shared" si="5"/>
        <v>163.8507177</v>
      </c>
      <c r="L200" s="52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</row>
    <row r="201" ht="14.25" customHeight="1">
      <c r="A201" s="6">
        <v>50101.0</v>
      </c>
      <c r="B201" s="7" t="s">
        <v>264</v>
      </c>
      <c r="C201" s="7" t="s">
        <v>265</v>
      </c>
      <c r="D201" s="7" t="s">
        <v>264</v>
      </c>
      <c r="E201" s="61">
        <v>156.0</v>
      </c>
      <c r="F201" s="62">
        <v>4447.0</v>
      </c>
      <c r="G201" s="63">
        <f t="shared" ref="G201:G242" si="29">E201/$R$6</f>
        <v>0.2025974026</v>
      </c>
      <c r="H201" s="64">
        <f t="shared" ref="H201:H242" si="30">$S$21*G201</f>
        <v>30.12501818</v>
      </c>
      <c r="I201" s="63">
        <f t="shared" ref="I201:I242" si="31">F201/$S$6</f>
        <v>0.2392532415</v>
      </c>
      <c r="J201" s="65">
        <f t="shared" ref="J201:J242" si="32">I201*$U$21</f>
        <v>390.9397966</v>
      </c>
      <c r="K201" s="65">
        <f t="shared" si="5"/>
        <v>77.05794713</v>
      </c>
      <c r="L201" s="52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</row>
    <row r="202" ht="14.25" customHeight="1">
      <c r="A202" s="6">
        <v>50102.0</v>
      </c>
      <c r="B202" s="7" t="s">
        <v>264</v>
      </c>
      <c r="C202" s="7" t="s">
        <v>265</v>
      </c>
      <c r="D202" s="7" t="s">
        <v>266</v>
      </c>
      <c r="E202" s="61">
        <v>64.0</v>
      </c>
      <c r="F202" s="62">
        <v>642.0</v>
      </c>
      <c r="G202" s="63">
        <f t="shared" si="29"/>
        <v>0.08311688312</v>
      </c>
      <c r="H202" s="64">
        <f t="shared" si="30"/>
        <v>12.35898182</v>
      </c>
      <c r="I202" s="63">
        <f t="shared" si="31"/>
        <v>0.03454027008</v>
      </c>
      <c r="J202" s="65">
        <f t="shared" si="32"/>
        <v>56.43880131</v>
      </c>
      <c r="K202" s="65">
        <f t="shared" si="5"/>
        <v>218.9802322</v>
      </c>
      <c r="L202" s="52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</row>
    <row r="203" ht="14.25" customHeight="1">
      <c r="A203" s="6">
        <v>50103.0</v>
      </c>
      <c r="B203" s="7" t="s">
        <v>264</v>
      </c>
      <c r="C203" s="7" t="s">
        <v>265</v>
      </c>
      <c r="D203" s="7" t="s">
        <v>267</v>
      </c>
      <c r="E203" s="61">
        <v>1.0</v>
      </c>
      <c r="F203" s="62">
        <v>155.0</v>
      </c>
      <c r="G203" s="63">
        <f t="shared" si="29"/>
        <v>0.001298701299</v>
      </c>
      <c r="H203" s="64">
        <f t="shared" si="30"/>
        <v>0.1931090909</v>
      </c>
      <c r="I203" s="63">
        <f t="shared" si="31"/>
        <v>0.00833916178</v>
      </c>
      <c r="J203" s="65">
        <f t="shared" si="32"/>
        <v>13.62619035</v>
      </c>
      <c r="K203" s="65">
        <f t="shared" si="5"/>
        <v>14.17190616</v>
      </c>
      <c r="L203" s="52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</row>
    <row r="204" ht="14.25" customHeight="1">
      <c r="A204" s="6">
        <v>50104.0</v>
      </c>
      <c r="B204" s="7" t="s">
        <v>264</v>
      </c>
      <c r="C204" s="7" t="s">
        <v>265</v>
      </c>
      <c r="D204" s="7" t="s">
        <v>268</v>
      </c>
      <c r="E204" s="61">
        <v>1.0</v>
      </c>
      <c r="F204" s="62">
        <v>60.0</v>
      </c>
      <c r="G204" s="63">
        <f t="shared" si="29"/>
        <v>0.001298701299</v>
      </c>
      <c r="H204" s="64">
        <f t="shared" si="30"/>
        <v>0.1931090909</v>
      </c>
      <c r="I204" s="63">
        <f t="shared" si="31"/>
        <v>0.003228062624</v>
      </c>
      <c r="J204" s="65">
        <f t="shared" si="32"/>
        <v>5.274654328</v>
      </c>
      <c r="K204" s="65">
        <f t="shared" si="5"/>
        <v>36.61075758</v>
      </c>
      <c r="L204" s="52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</row>
    <row r="205" ht="14.25" customHeight="1">
      <c r="A205" s="6">
        <v>50201.0</v>
      </c>
      <c r="B205" s="7" t="s">
        <v>264</v>
      </c>
      <c r="C205" s="7" t="s">
        <v>269</v>
      </c>
      <c r="D205" s="7" t="s">
        <v>270</v>
      </c>
      <c r="E205" s="61">
        <v>43.0</v>
      </c>
      <c r="F205" s="62">
        <v>444.0</v>
      </c>
      <c r="G205" s="63">
        <f t="shared" si="29"/>
        <v>0.05584415584</v>
      </c>
      <c r="H205" s="64">
        <f t="shared" si="30"/>
        <v>8.303690909</v>
      </c>
      <c r="I205" s="63">
        <f t="shared" si="31"/>
        <v>0.02388766342</v>
      </c>
      <c r="J205" s="65">
        <f t="shared" si="32"/>
        <v>39.03244203</v>
      </c>
      <c r="K205" s="65">
        <f t="shared" si="5"/>
        <v>212.7381859</v>
      </c>
      <c r="L205" s="52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</row>
    <row r="206" ht="14.25" customHeight="1">
      <c r="A206" s="6">
        <v>50202.0</v>
      </c>
      <c r="B206" s="7" t="s">
        <v>264</v>
      </c>
      <c r="C206" s="7" t="s">
        <v>269</v>
      </c>
      <c r="D206" s="7" t="s">
        <v>271</v>
      </c>
      <c r="E206" s="61">
        <v>28.0</v>
      </c>
      <c r="F206" s="62">
        <v>390.0</v>
      </c>
      <c r="G206" s="63">
        <f t="shared" si="29"/>
        <v>0.03636363636</v>
      </c>
      <c r="H206" s="64">
        <f t="shared" si="30"/>
        <v>5.407054545</v>
      </c>
      <c r="I206" s="63">
        <f t="shared" si="31"/>
        <v>0.02098240706</v>
      </c>
      <c r="J206" s="65">
        <f t="shared" si="32"/>
        <v>34.28525313</v>
      </c>
      <c r="K206" s="65">
        <f t="shared" si="5"/>
        <v>157.7078788</v>
      </c>
      <c r="L206" s="52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</row>
    <row r="207" ht="14.25" customHeight="1">
      <c r="A207" s="6">
        <v>50203.0</v>
      </c>
      <c r="B207" s="7" t="s">
        <v>264</v>
      </c>
      <c r="C207" s="7" t="s">
        <v>269</v>
      </c>
      <c r="D207" s="7" t="s">
        <v>272</v>
      </c>
      <c r="E207" s="61">
        <v>34.0</v>
      </c>
      <c r="F207" s="62">
        <v>1002.0</v>
      </c>
      <c r="G207" s="63">
        <f t="shared" si="29"/>
        <v>0.04415584416</v>
      </c>
      <c r="H207" s="64">
        <f t="shared" si="30"/>
        <v>6.565709091</v>
      </c>
      <c r="I207" s="63">
        <f t="shared" si="31"/>
        <v>0.05390864583</v>
      </c>
      <c r="J207" s="65">
        <f t="shared" si="32"/>
        <v>88.08672728</v>
      </c>
      <c r="K207" s="65">
        <f t="shared" si="5"/>
        <v>74.53687171</v>
      </c>
      <c r="L207" s="52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</row>
    <row r="208" ht="14.25" customHeight="1">
      <c r="A208" s="6">
        <v>50204.0</v>
      </c>
      <c r="B208" s="7" t="s">
        <v>264</v>
      </c>
      <c r="C208" s="7" t="s">
        <v>269</v>
      </c>
      <c r="D208" s="7" t="s">
        <v>273</v>
      </c>
      <c r="E208" s="61">
        <v>15.0</v>
      </c>
      <c r="F208" s="62">
        <v>253.0</v>
      </c>
      <c r="G208" s="63">
        <f t="shared" si="29"/>
        <v>0.01948051948</v>
      </c>
      <c r="H208" s="64">
        <f t="shared" si="30"/>
        <v>2.896636364</v>
      </c>
      <c r="I208" s="63">
        <f t="shared" si="31"/>
        <v>0.01361166407</v>
      </c>
      <c r="J208" s="65">
        <f t="shared" si="32"/>
        <v>22.24145908</v>
      </c>
      <c r="K208" s="65">
        <f t="shared" si="5"/>
        <v>130.2358965</v>
      </c>
      <c r="L208" s="52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</row>
    <row r="209" ht="14.25" customHeight="1">
      <c r="A209" s="6">
        <v>50301.0</v>
      </c>
      <c r="B209" s="7" t="s">
        <v>264</v>
      </c>
      <c r="C209" s="7" t="s">
        <v>274</v>
      </c>
      <c r="D209" s="7" t="s">
        <v>275</v>
      </c>
      <c r="E209" s="61">
        <v>36.0</v>
      </c>
      <c r="F209" s="62">
        <v>641.0</v>
      </c>
      <c r="G209" s="63">
        <f t="shared" si="29"/>
        <v>0.04675324675</v>
      </c>
      <c r="H209" s="64">
        <f t="shared" si="30"/>
        <v>6.951927273</v>
      </c>
      <c r="I209" s="63">
        <f t="shared" si="31"/>
        <v>0.03448646904</v>
      </c>
      <c r="J209" s="65">
        <f t="shared" si="32"/>
        <v>56.35089041</v>
      </c>
      <c r="K209" s="65">
        <f t="shared" si="5"/>
        <v>123.3685435</v>
      </c>
      <c r="L209" s="52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</row>
    <row r="210" ht="14.25" customHeight="1">
      <c r="A210" s="6">
        <v>50302.0</v>
      </c>
      <c r="B210" s="7" t="s">
        <v>264</v>
      </c>
      <c r="C210" s="7" t="s">
        <v>274</v>
      </c>
      <c r="D210" s="7" t="s">
        <v>276</v>
      </c>
      <c r="E210" s="61">
        <v>9.0</v>
      </c>
      <c r="F210" s="62">
        <v>170.0</v>
      </c>
      <c r="G210" s="63">
        <f t="shared" si="29"/>
        <v>0.01168831169</v>
      </c>
      <c r="H210" s="64">
        <f t="shared" si="30"/>
        <v>1.737981818</v>
      </c>
      <c r="I210" s="63">
        <f t="shared" si="31"/>
        <v>0.009146177436</v>
      </c>
      <c r="J210" s="65">
        <f t="shared" si="32"/>
        <v>14.94485393</v>
      </c>
      <c r="K210" s="65">
        <f t="shared" si="5"/>
        <v>116.2929947</v>
      </c>
      <c r="L210" s="52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</row>
    <row r="211" ht="14.25" customHeight="1">
      <c r="A211" s="6">
        <v>50303.0</v>
      </c>
      <c r="B211" s="7" t="s">
        <v>264</v>
      </c>
      <c r="C211" s="7" t="s">
        <v>274</v>
      </c>
      <c r="D211" s="7" t="s">
        <v>277</v>
      </c>
      <c r="E211" s="61">
        <v>13.0</v>
      </c>
      <c r="F211" s="62">
        <v>252.0</v>
      </c>
      <c r="G211" s="63">
        <f t="shared" si="29"/>
        <v>0.01688311688</v>
      </c>
      <c r="H211" s="64">
        <f t="shared" si="30"/>
        <v>2.510418182</v>
      </c>
      <c r="I211" s="63">
        <f t="shared" si="31"/>
        <v>0.01355786302</v>
      </c>
      <c r="J211" s="65">
        <f t="shared" si="32"/>
        <v>22.15354818</v>
      </c>
      <c r="K211" s="65">
        <f t="shared" si="5"/>
        <v>113.3190115</v>
      </c>
      <c r="L211" s="52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</row>
    <row r="212" ht="14.25" customHeight="1">
      <c r="A212" s="6">
        <v>50401.0</v>
      </c>
      <c r="B212" s="7" t="s">
        <v>264</v>
      </c>
      <c r="C212" s="7" t="s">
        <v>271</v>
      </c>
      <c r="D212" s="7" t="s">
        <v>278</v>
      </c>
      <c r="E212" s="61">
        <v>54.0</v>
      </c>
      <c r="F212" s="62">
        <v>378.0</v>
      </c>
      <c r="G212" s="63">
        <f t="shared" si="29"/>
        <v>0.07012987013</v>
      </c>
      <c r="H212" s="64">
        <f t="shared" si="30"/>
        <v>10.42789091</v>
      </c>
      <c r="I212" s="63">
        <f t="shared" si="31"/>
        <v>0.02033679453</v>
      </c>
      <c r="J212" s="65">
        <f t="shared" si="32"/>
        <v>33.23032227</v>
      </c>
      <c r="K212" s="65">
        <f t="shared" si="5"/>
        <v>313.8064935</v>
      </c>
      <c r="L212" s="52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</row>
    <row r="213" ht="14.25" customHeight="1">
      <c r="A213" s="6">
        <v>50402.0</v>
      </c>
      <c r="B213" s="7" t="s">
        <v>264</v>
      </c>
      <c r="C213" s="7" t="s">
        <v>271</v>
      </c>
      <c r="D213" s="7" t="s">
        <v>279</v>
      </c>
      <c r="E213" s="61">
        <v>15.0</v>
      </c>
      <c r="F213" s="62">
        <v>442.0</v>
      </c>
      <c r="G213" s="63">
        <f t="shared" si="29"/>
        <v>0.01948051948</v>
      </c>
      <c r="H213" s="64">
        <f t="shared" si="30"/>
        <v>2.896636364</v>
      </c>
      <c r="I213" s="63">
        <f t="shared" si="31"/>
        <v>0.02378006133</v>
      </c>
      <c r="J213" s="65">
        <f t="shared" si="32"/>
        <v>38.85662022</v>
      </c>
      <c r="K213" s="65">
        <f t="shared" si="5"/>
        <v>74.54679144</v>
      </c>
      <c r="L213" s="52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</row>
    <row r="214" ht="14.25" customHeight="1">
      <c r="A214" s="6">
        <v>50403.0</v>
      </c>
      <c r="B214" s="7" t="s">
        <v>264</v>
      </c>
      <c r="C214" s="7" t="s">
        <v>271</v>
      </c>
      <c r="D214" s="7" t="s">
        <v>280</v>
      </c>
      <c r="E214" s="61">
        <v>40.0</v>
      </c>
      <c r="F214" s="62">
        <v>557.0</v>
      </c>
      <c r="G214" s="63">
        <f t="shared" si="29"/>
        <v>0.05194805195</v>
      </c>
      <c r="H214" s="64">
        <f t="shared" si="30"/>
        <v>7.724363636</v>
      </c>
      <c r="I214" s="63">
        <f t="shared" si="31"/>
        <v>0.02996718136</v>
      </c>
      <c r="J214" s="65">
        <f t="shared" si="32"/>
        <v>48.96637435</v>
      </c>
      <c r="K214" s="65">
        <f t="shared" si="5"/>
        <v>157.7483271</v>
      </c>
      <c r="L214" s="52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</row>
    <row r="215" ht="14.25" customHeight="1">
      <c r="A215" s="6">
        <v>50404.0</v>
      </c>
      <c r="B215" s="7" t="s">
        <v>264</v>
      </c>
      <c r="C215" s="7" t="s">
        <v>271</v>
      </c>
      <c r="D215" s="7" t="s">
        <v>281</v>
      </c>
      <c r="E215" s="61">
        <v>44.0</v>
      </c>
      <c r="F215" s="62">
        <v>394.0</v>
      </c>
      <c r="G215" s="63">
        <f t="shared" si="29"/>
        <v>0.05714285714</v>
      </c>
      <c r="H215" s="64">
        <f t="shared" si="30"/>
        <v>8.4968</v>
      </c>
      <c r="I215" s="63">
        <f t="shared" si="31"/>
        <v>0.02119761123</v>
      </c>
      <c r="J215" s="65">
        <f t="shared" si="32"/>
        <v>34.63689676</v>
      </c>
      <c r="K215" s="65">
        <f t="shared" si="5"/>
        <v>245.3106599</v>
      </c>
      <c r="L215" s="52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</row>
    <row r="216" ht="14.25" customHeight="1">
      <c r="A216" s="25">
        <v>50405.0</v>
      </c>
      <c r="B216" s="7" t="s">
        <v>264</v>
      </c>
      <c r="C216" s="7" t="s">
        <v>271</v>
      </c>
      <c r="D216" s="7" t="s">
        <v>282</v>
      </c>
      <c r="E216" s="61">
        <v>45.0</v>
      </c>
      <c r="F216" s="62">
        <v>478.0</v>
      </c>
      <c r="G216" s="63">
        <f t="shared" si="29"/>
        <v>0.05844155844</v>
      </c>
      <c r="H216" s="64">
        <f t="shared" si="30"/>
        <v>8.689909091</v>
      </c>
      <c r="I216" s="63">
        <f t="shared" si="31"/>
        <v>0.02571689891</v>
      </c>
      <c r="J216" s="65">
        <f t="shared" si="32"/>
        <v>42.02141282</v>
      </c>
      <c r="K216" s="65">
        <f t="shared" si="5"/>
        <v>206.7971662</v>
      </c>
      <c r="L216" s="52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</row>
    <row r="217" ht="14.25" customHeight="1">
      <c r="A217" s="6">
        <v>50501.0</v>
      </c>
      <c r="B217" s="7" t="s">
        <v>264</v>
      </c>
      <c r="C217" s="7" t="s">
        <v>283</v>
      </c>
      <c r="D217" s="7" t="s">
        <v>284</v>
      </c>
      <c r="E217" s="61">
        <v>64.0</v>
      </c>
      <c r="F217" s="62">
        <v>728.0</v>
      </c>
      <c r="G217" s="63">
        <f t="shared" si="29"/>
        <v>0.08311688312</v>
      </c>
      <c r="H217" s="64">
        <f t="shared" si="30"/>
        <v>12.35898182</v>
      </c>
      <c r="I217" s="63">
        <f t="shared" si="31"/>
        <v>0.03916715984</v>
      </c>
      <c r="J217" s="65">
        <f t="shared" si="32"/>
        <v>63.99913918</v>
      </c>
      <c r="K217" s="65">
        <f t="shared" si="5"/>
        <v>193.1116883</v>
      </c>
      <c r="L217" s="52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</row>
    <row r="218" ht="14.25" customHeight="1">
      <c r="A218" s="6">
        <v>50502.0</v>
      </c>
      <c r="B218" s="7" t="s">
        <v>264</v>
      </c>
      <c r="C218" s="7" t="s">
        <v>283</v>
      </c>
      <c r="D218" s="7" t="s">
        <v>285</v>
      </c>
      <c r="E218" s="61">
        <v>20.0</v>
      </c>
      <c r="F218" s="62">
        <v>260.0</v>
      </c>
      <c r="G218" s="63">
        <f t="shared" si="29"/>
        <v>0.02597402597</v>
      </c>
      <c r="H218" s="64">
        <f t="shared" si="30"/>
        <v>3.862181818</v>
      </c>
      <c r="I218" s="63">
        <f t="shared" si="31"/>
        <v>0.01398827137</v>
      </c>
      <c r="J218" s="65">
        <f t="shared" si="32"/>
        <v>22.85683542</v>
      </c>
      <c r="K218" s="65">
        <f t="shared" si="5"/>
        <v>168.9727273</v>
      </c>
      <c r="L218" s="52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</row>
    <row r="219" ht="14.25" customHeight="1">
      <c r="A219" s="6">
        <v>50601.0</v>
      </c>
      <c r="B219" s="7" t="s">
        <v>264</v>
      </c>
      <c r="C219" s="7" t="s">
        <v>286</v>
      </c>
      <c r="D219" s="7" t="s">
        <v>287</v>
      </c>
      <c r="E219" s="61">
        <v>6.0</v>
      </c>
      <c r="F219" s="62">
        <v>604.0</v>
      </c>
      <c r="G219" s="63">
        <f t="shared" si="29"/>
        <v>0.007792207792</v>
      </c>
      <c r="H219" s="64">
        <f t="shared" si="30"/>
        <v>1.158654545</v>
      </c>
      <c r="I219" s="63">
        <f t="shared" si="31"/>
        <v>0.03249583042</v>
      </c>
      <c r="J219" s="65">
        <f t="shared" si="32"/>
        <v>53.0981869</v>
      </c>
      <c r="K219" s="65">
        <f t="shared" si="5"/>
        <v>21.82098134</v>
      </c>
      <c r="L219" s="52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</row>
    <row r="220" ht="14.25" customHeight="1">
      <c r="A220" s="6">
        <v>50602.0</v>
      </c>
      <c r="B220" s="7" t="s">
        <v>264</v>
      </c>
      <c r="C220" s="7" t="s">
        <v>286</v>
      </c>
      <c r="D220" s="7" t="s">
        <v>288</v>
      </c>
      <c r="E220" s="61">
        <v>4.0</v>
      </c>
      <c r="F220" s="62">
        <v>192.0</v>
      </c>
      <c r="G220" s="63">
        <f t="shared" si="29"/>
        <v>0.005194805195</v>
      </c>
      <c r="H220" s="64">
        <f t="shared" si="30"/>
        <v>0.7724363636</v>
      </c>
      <c r="I220" s="63">
        <f t="shared" si="31"/>
        <v>0.0103298004</v>
      </c>
      <c r="J220" s="65">
        <f t="shared" si="32"/>
        <v>16.87889385</v>
      </c>
      <c r="K220" s="65">
        <f t="shared" si="5"/>
        <v>45.76344697</v>
      </c>
      <c r="L220" s="52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</row>
    <row r="221" ht="14.25" customHeight="1">
      <c r="A221" s="6">
        <v>50701.0</v>
      </c>
      <c r="B221" s="7" t="s">
        <v>264</v>
      </c>
      <c r="C221" s="7" t="s">
        <v>289</v>
      </c>
      <c r="D221" s="7" t="s">
        <v>290</v>
      </c>
      <c r="E221" s="61">
        <v>14.0</v>
      </c>
      <c r="F221" s="62">
        <v>463.0</v>
      </c>
      <c r="G221" s="63">
        <f t="shared" si="29"/>
        <v>0.01818181818</v>
      </c>
      <c r="H221" s="64">
        <f t="shared" si="30"/>
        <v>2.703527273</v>
      </c>
      <c r="I221" s="63">
        <f t="shared" si="31"/>
        <v>0.02490988325</v>
      </c>
      <c r="J221" s="65">
        <f t="shared" si="32"/>
        <v>40.70274923</v>
      </c>
      <c r="K221" s="65">
        <f t="shared" si="5"/>
        <v>66.42124485</v>
      </c>
      <c r="L221" s="52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</row>
    <row r="222" ht="14.25" customHeight="1">
      <c r="A222" s="6">
        <v>50702.0</v>
      </c>
      <c r="B222" s="7" t="s">
        <v>264</v>
      </c>
      <c r="C222" s="7" t="s">
        <v>289</v>
      </c>
      <c r="D222" s="7" t="s">
        <v>291</v>
      </c>
      <c r="E222" s="61">
        <v>8.0</v>
      </c>
      <c r="F222" s="62">
        <v>211.0</v>
      </c>
      <c r="G222" s="63">
        <f t="shared" si="29"/>
        <v>0.01038961039</v>
      </c>
      <c r="H222" s="64">
        <f t="shared" si="30"/>
        <v>1.544872727</v>
      </c>
      <c r="I222" s="63">
        <f t="shared" si="31"/>
        <v>0.01135202023</v>
      </c>
      <c r="J222" s="65">
        <f t="shared" si="32"/>
        <v>18.54920105</v>
      </c>
      <c r="K222" s="65">
        <f t="shared" si="5"/>
        <v>83.28513572</v>
      </c>
      <c r="L222" s="52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</row>
    <row r="223" ht="14.25" customHeight="1">
      <c r="A223" s="6">
        <v>50801.0</v>
      </c>
      <c r="B223" s="7" t="s">
        <v>264</v>
      </c>
      <c r="C223" s="7" t="s">
        <v>292</v>
      </c>
      <c r="D223" s="7" t="s">
        <v>293</v>
      </c>
      <c r="E223" s="61">
        <v>10.0</v>
      </c>
      <c r="F223" s="62">
        <v>923.0</v>
      </c>
      <c r="G223" s="63">
        <f t="shared" si="29"/>
        <v>0.01298701299</v>
      </c>
      <c r="H223" s="64">
        <f t="shared" si="30"/>
        <v>1.931090909</v>
      </c>
      <c r="I223" s="63">
        <f t="shared" si="31"/>
        <v>0.04965836337</v>
      </c>
      <c r="J223" s="65">
        <f t="shared" si="32"/>
        <v>81.14176575</v>
      </c>
      <c r="K223" s="65">
        <f t="shared" si="5"/>
        <v>23.79897567</v>
      </c>
      <c r="L223" s="52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</row>
    <row r="224" ht="14.25" customHeight="1">
      <c r="A224" s="6">
        <v>50802.0</v>
      </c>
      <c r="B224" s="7" t="s">
        <v>264</v>
      </c>
      <c r="C224" s="7" t="s">
        <v>292</v>
      </c>
      <c r="D224" s="7" t="s">
        <v>294</v>
      </c>
      <c r="E224" s="61">
        <v>1.0</v>
      </c>
      <c r="F224" s="62">
        <v>262.0</v>
      </c>
      <c r="G224" s="63">
        <f t="shared" si="29"/>
        <v>0.001298701299</v>
      </c>
      <c r="H224" s="64">
        <f t="shared" si="30"/>
        <v>0.1931090909</v>
      </c>
      <c r="I224" s="63">
        <f t="shared" si="31"/>
        <v>0.01409587346</v>
      </c>
      <c r="J224" s="65">
        <f t="shared" si="32"/>
        <v>23.03265723</v>
      </c>
      <c r="K224" s="65">
        <f t="shared" si="5"/>
        <v>8.384142956</v>
      </c>
      <c r="L224" s="52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</row>
    <row r="225" ht="14.25" customHeight="1">
      <c r="A225" s="6">
        <v>50901.0</v>
      </c>
      <c r="B225" s="7" t="s">
        <v>264</v>
      </c>
      <c r="C225" s="7" t="s">
        <v>295</v>
      </c>
      <c r="D225" s="7" t="s">
        <v>296</v>
      </c>
      <c r="E225" s="61">
        <v>1.0</v>
      </c>
      <c r="F225" s="62">
        <v>288.0</v>
      </c>
      <c r="G225" s="63">
        <f t="shared" si="29"/>
        <v>0.001298701299</v>
      </c>
      <c r="H225" s="64">
        <f t="shared" si="30"/>
        <v>0.1931090909</v>
      </c>
      <c r="I225" s="63">
        <f t="shared" si="31"/>
        <v>0.0154947006</v>
      </c>
      <c r="J225" s="65">
        <f t="shared" si="32"/>
        <v>25.31834078</v>
      </c>
      <c r="K225" s="65">
        <f t="shared" si="5"/>
        <v>7.627241162</v>
      </c>
      <c r="L225" s="52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</row>
    <row r="226" ht="14.25" customHeight="1">
      <c r="A226" s="6">
        <v>50902.0</v>
      </c>
      <c r="B226" s="7" t="s">
        <v>264</v>
      </c>
      <c r="C226" s="7" t="s">
        <v>295</v>
      </c>
      <c r="D226" s="7" t="s">
        <v>297</v>
      </c>
      <c r="E226" s="61">
        <v>0.0</v>
      </c>
      <c r="F226" s="62">
        <v>16.0</v>
      </c>
      <c r="G226" s="63">
        <f t="shared" si="29"/>
        <v>0</v>
      </c>
      <c r="H226" s="64">
        <f t="shared" si="30"/>
        <v>0</v>
      </c>
      <c r="I226" s="63">
        <f t="shared" si="31"/>
        <v>0.0008608166998</v>
      </c>
      <c r="J226" s="65">
        <f t="shared" si="32"/>
        <v>1.406574488</v>
      </c>
      <c r="K226" s="65">
        <f t="shared" si="5"/>
        <v>0</v>
      </c>
      <c r="L226" s="52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</row>
    <row r="227" ht="14.25" customHeight="1">
      <c r="A227" s="6">
        <v>51001.0</v>
      </c>
      <c r="B227" s="7" t="s">
        <v>264</v>
      </c>
      <c r="C227" s="7" t="s">
        <v>298</v>
      </c>
      <c r="D227" s="7" t="s">
        <v>299</v>
      </c>
      <c r="E227" s="61">
        <v>1.0</v>
      </c>
      <c r="F227" s="62">
        <v>94.0</v>
      </c>
      <c r="G227" s="63">
        <f t="shared" si="29"/>
        <v>0.001298701299</v>
      </c>
      <c r="H227" s="64">
        <f t="shared" si="30"/>
        <v>0.1931090909</v>
      </c>
      <c r="I227" s="63">
        <f t="shared" si="31"/>
        <v>0.005057298112</v>
      </c>
      <c r="J227" s="65">
        <f t="shared" si="32"/>
        <v>8.263625114</v>
      </c>
      <c r="K227" s="65">
        <f t="shared" si="5"/>
        <v>23.36856867</v>
      </c>
      <c r="L227" s="52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</row>
    <row r="228" ht="14.25" customHeight="1">
      <c r="A228" s="6">
        <v>51002.0</v>
      </c>
      <c r="B228" s="7" t="s">
        <v>264</v>
      </c>
      <c r="C228" s="7" t="s">
        <v>298</v>
      </c>
      <c r="D228" s="7" t="s">
        <v>300</v>
      </c>
      <c r="E228" s="61">
        <v>0.0</v>
      </c>
      <c r="F228" s="62">
        <v>31.0</v>
      </c>
      <c r="G228" s="63">
        <f t="shared" si="29"/>
        <v>0</v>
      </c>
      <c r="H228" s="64">
        <f t="shared" si="30"/>
        <v>0</v>
      </c>
      <c r="I228" s="63">
        <f t="shared" si="31"/>
        <v>0.001667832356</v>
      </c>
      <c r="J228" s="65">
        <f t="shared" si="32"/>
        <v>2.72523807</v>
      </c>
      <c r="K228" s="65">
        <f t="shared" si="5"/>
        <v>0</v>
      </c>
      <c r="L228" s="52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</row>
    <row r="229" ht="14.25" customHeight="1">
      <c r="A229" s="6">
        <v>51003.0</v>
      </c>
      <c r="B229" s="7" t="s">
        <v>264</v>
      </c>
      <c r="C229" s="7" t="s">
        <v>298</v>
      </c>
      <c r="D229" s="7" t="s">
        <v>301</v>
      </c>
      <c r="E229" s="61">
        <v>0.0</v>
      </c>
      <c r="F229" s="62">
        <v>56.0</v>
      </c>
      <c r="G229" s="63">
        <f t="shared" si="29"/>
        <v>0</v>
      </c>
      <c r="H229" s="64">
        <f t="shared" si="30"/>
        <v>0</v>
      </c>
      <c r="I229" s="63">
        <f t="shared" si="31"/>
        <v>0.003012858449</v>
      </c>
      <c r="J229" s="65">
        <f t="shared" si="32"/>
        <v>4.923010706</v>
      </c>
      <c r="K229" s="65">
        <f t="shared" si="5"/>
        <v>0</v>
      </c>
      <c r="L229" s="52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</row>
    <row r="230" ht="14.25" customHeight="1">
      <c r="A230" s="6">
        <v>51101.0</v>
      </c>
      <c r="B230" s="7" t="s">
        <v>264</v>
      </c>
      <c r="C230" s="7" t="s">
        <v>302</v>
      </c>
      <c r="D230" s="7" t="s">
        <v>303</v>
      </c>
      <c r="E230" s="61">
        <v>5.0</v>
      </c>
      <c r="F230" s="62">
        <v>446.0</v>
      </c>
      <c r="G230" s="63">
        <f t="shared" si="29"/>
        <v>0.006493506494</v>
      </c>
      <c r="H230" s="64">
        <f t="shared" si="30"/>
        <v>0.9655454545</v>
      </c>
      <c r="I230" s="63">
        <f t="shared" si="31"/>
        <v>0.02399526551</v>
      </c>
      <c r="J230" s="65">
        <f t="shared" si="32"/>
        <v>39.20826384</v>
      </c>
      <c r="K230" s="65">
        <f t="shared" si="5"/>
        <v>24.62607012</v>
      </c>
      <c r="L230" s="52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</row>
    <row r="231" ht="14.25" customHeight="1">
      <c r="A231" s="6">
        <v>51102.0</v>
      </c>
      <c r="B231" s="7" t="s">
        <v>264</v>
      </c>
      <c r="C231" s="7" t="s">
        <v>302</v>
      </c>
      <c r="D231" s="7" t="s">
        <v>304</v>
      </c>
      <c r="E231" s="61">
        <v>3.0</v>
      </c>
      <c r="F231" s="62">
        <v>219.0</v>
      </c>
      <c r="G231" s="63">
        <f t="shared" si="29"/>
        <v>0.003896103896</v>
      </c>
      <c r="H231" s="64">
        <f t="shared" si="30"/>
        <v>0.5793272727</v>
      </c>
      <c r="I231" s="63">
        <f t="shared" si="31"/>
        <v>0.01178242858</v>
      </c>
      <c r="J231" s="65">
        <f t="shared" si="32"/>
        <v>19.2524883</v>
      </c>
      <c r="K231" s="65">
        <f t="shared" si="5"/>
        <v>30.09103362</v>
      </c>
      <c r="L231" s="52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</row>
    <row r="232" ht="14.25" customHeight="1">
      <c r="A232" s="6">
        <v>51103.0</v>
      </c>
      <c r="B232" s="7" t="s">
        <v>264</v>
      </c>
      <c r="C232" s="7" t="s">
        <v>302</v>
      </c>
      <c r="D232" s="7" t="s">
        <v>305</v>
      </c>
      <c r="E232" s="61">
        <v>10.0</v>
      </c>
      <c r="F232" s="62">
        <v>430.0</v>
      </c>
      <c r="G232" s="63">
        <f t="shared" si="29"/>
        <v>0.01298701299</v>
      </c>
      <c r="H232" s="64">
        <f t="shared" si="30"/>
        <v>1.931090909</v>
      </c>
      <c r="I232" s="63">
        <f t="shared" si="31"/>
        <v>0.02313444881</v>
      </c>
      <c r="J232" s="65">
        <f t="shared" si="32"/>
        <v>37.80168935</v>
      </c>
      <c r="K232" s="65">
        <f t="shared" si="5"/>
        <v>51.08477801</v>
      </c>
      <c r="L232" s="52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</row>
    <row r="233" ht="14.25" customHeight="1">
      <c r="A233" s="6">
        <v>51201.0</v>
      </c>
      <c r="B233" s="7" t="s">
        <v>264</v>
      </c>
      <c r="C233" s="7" t="s">
        <v>306</v>
      </c>
      <c r="D233" s="7" t="s">
        <v>307</v>
      </c>
      <c r="E233" s="61">
        <v>8.0</v>
      </c>
      <c r="F233" s="62">
        <v>691.0</v>
      </c>
      <c r="G233" s="63">
        <f t="shared" si="29"/>
        <v>0.01038961039</v>
      </c>
      <c r="H233" s="64">
        <f t="shared" si="30"/>
        <v>1.544872727</v>
      </c>
      <c r="I233" s="63">
        <f t="shared" si="31"/>
        <v>0.03717652122</v>
      </c>
      <c r="J233" s="65">
        <f t="shared" si="32"/>
        <v>60.74643568</v>
      </c>
      <c r="K233" s="65">
        <f t="shared" si="5"/>
        <v>25.43149586</v>
      </c>
      <c r="L233" s="52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</row>
    <row r="234" ht="14.25" customHeight="1">
      <c r="A234" s="6">
        <v>51202.0</v>
      </c>
      <c r="B234" s="7" t="s">
        <v>264</v>
      </c>
      <c r="C234" s="7" t="s">
        <v>306</v>
      </c>
      <c r="D234" s="7" t="s">
        <v>308</v>
      </c>
      <c r="E234" s="61">
        <v>2.0</v>
      </c>
      <c r="F234" s="62">
        <v>173.0</v>
      </c>
      <c r="G234" s="63">
        <f t="shared" si="29"/>
        <v>0.002597402597</v>
      </c>
      <c r="H234" s="64">
        <f t="shared" si="30"/>
        <v>0.3862181818</v>
      </c>
      <c r="I234" s="63">
        <f t="shared" si="31"/>
        <v>0.009307580567</v>
      </c>
      <c r="J234" s="65">
        <f t="shared" si="32"/>
        <v>15.20858665</v>
      </c>
      <c r="K234" s="65">
        <f t="shared" si="5"/>
        <v>25.39474514</v>
      </c>
      <c r="L234" s="52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</row>
    <row r="235" ht="14.25" customHeight="1">
      <c r="A235" s="6">
        <v>51203.0</v>
      </c>
      <c r="B235" s="7" t="s">
        <v>264</v>
      </c>
      <c r="C235" s="7" t="s">
        <v>306</v>
      </c>
      <c r="D235" s="7" t="s">
        <v>309</v>
      </c>
      <c r="E235" s="61">
        <v>2.0</v>
      </c>
      <c r="F235" s="62">
        <v>318.0</v>
      </c>
      <c r="G235" s="63">
        <f t="shared" si="29"/>
        <v>0.002597402597</v>
      </c>
      <c r="H235" s="64">
        <f t="shared" si="30"/>
        <v>0.3862181818</v>
      </c>
      <c r="I235" s="63">
        <f t="shared" si="31"/>
        <v>0.01710873191</v>
      </c>
      <c r="J235" s="65">
        <f t="shared" si="32"/>
        <v>27.95566794</v>
      </c>
      <c r="K235" s="65">
        <f t="shared" si="5"/>
        <v>13.81538022</v>
      </c>
      <c r="L235" s="52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</row>
    <row r="236" ht="14.25" customHeight="1">
      <c r="A236" s="25">
        <v>51204.0</v>
      </c>
      <c r="B236" s="7" t="s">
        <v>264</v>
      </c>
      <c r="C236" s="7"/>
      <c r="D236" s="7" t="s">
        <v>310</v>
      </c>
      <c r="E236" s="61">
        <v>3.0</v>
      </c>
      <c r="F236" s="62">
        <v>130.0</v>
      </c>
      <c r="G236" s="63">
        <f t="shared" si="29"/>
        <v>0.003896103896</v>
      </c>
      <c r="H236" s="64">
        <f t="shared" si="30"/>
        <v>0.5793272727</v>
      </c>
      <c r="I236" s="63">
        <f t="shared" si="31"/>
        <v>0.006994135686</v>
      </c>
      <c r="J236" s="65">
        <f t="shared" si="32"/>
        <v>11.42841771</v>
      </c>
      <c r="K236" s="65">
        <f t="shared" si="5"/>
        <v>50.69181818</v>
      </c>
      <c r="L236" s="52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</row>
    <row r="237" ht="14.25" customHeight="1">
      <c r="A237" s="6">
        <v>51301.0</v>
      </c>
      <c r="B237" s="7" t="s">
        <v>264</v>
      </c>
      <c r="C237" s="7" t="s">
        <v>311</v>
      </c>
      <c r="D237" s="7" t="s">
        <v>312</v>
      </c>
      <c r="E237" s="61">
        <v>3.0</v>
      </c>
      <c r="F237" s="62">
        <v>110.0</v>
      </c>
      <c r="G237" s="63">
        <f t="shared" si="29"/>
        <v>0.003896103896</v>
      </c>
      <c r="H237" s="64">
        <f t="shared" si="30"/>
        <v>0.5793272727</v>
      </c>
      <c r="I237" s="63">
        <f t="shared" si="31"/>
        <v>0.005918114811</v>
      </c>
      <c r="J237" s="65">
        <f t="shared" si="32"/>
        <v>9.670199602</v>
      </c>
      <c r="K237" s="65">
        <f t="shared" si="5"/>
        <v>59.9085124</v>
      </c>
      <c r="L237" s="52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</row>
    <row r="238" ht="14.25" customHeight="1">
      <c r="A238" s="6">
        <v>51302.0</v>
      </c>
      <c r="B238" s="7" t="s">
        <v>264</v>
      </c>
      <c r="C238" s="7" t="s">
        <v>311</v>
      </c>
      <c r="D238" s="7" t="s">
        <v>313</v>
      </c>
      <c r="E238" s="61">
        <v>3.0</v>
      </c>
      <c r="F238" s="62">
        <v>129.0</v>
      </c>
      <c r="G238" s="63">
        <f t="shared" si="29"/>
        <v>0.003896103896</v>
      </c>
      <c r="H238" s="64">
        <f t="shared" si="30"/>
        <v>0.5793272727</v>
      </c>
      <c r="I238" s="63">
        <f t="shared" si="31"/>
        <v>0.006940334642</v>
      </c>
      <c r="J238" s="65">
        <f t="shared" si="32"/>
        <v>11.34050681</v>
      </c>
      <c r="K238" s="65">
        <f t="shared" si="5"/>
        <v>51.08477801</v>
      </c>
      <c r="L238" s="52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</row>
    <row r="239" ht="14.25" customHeight="1">
      <c r="A239" s="6">
        <v>51401.0</v>
      </c>
      <c r="B239" s="7" t="s">
        <v>264</v>
      </c>
      <c r="C239" s="7" t="s">
        <v>314</v>
      </c>
      <c r="D239" s="7" t="s">
        <v>315</v>
      </c>
      <c r="E239" s="61">
        <v>1.0</v>
      </c>
      <c r="F239" s="62">
        <v>82.0</v>
      </c>
      <c r="G239" s="63">
        <f t="shared" si="29"/>
        <v>0.001298701299</v>
      </c>
      <c r="H239" s="64">
        <f t="shared" si="30"/>
        <v>0.1931090909</v>
      </c>
      <c r="I239" s="63">
        <f t="shared" si="31"/>
        <v>0.004411685587</v>
      </c>
      <c r="J239" s="65">
        <f t="shared" si="32"/>
        <v>7.208694249</v>
      </c>
      <c r="K239" s="65">
        <f t="shared" si="5"/>
        <v>26.7883592</v>
      </c>
      <c r="L239" s="52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</row>
    <row r="240" ht="14.25" customHeight="1">
      <c r="A240" s="6">
        <v>51402.0</v>
      </c>
      <c r="B240" s="7" t="s">
        <v>264</v>
      </c>
      <c r="C240" s="7" t="s">
        <v>314</v>
      </c>
      <c r="D240" s="7" t="s">
        <v>316</v>
      </c>
      <c r="E240" s="61">
        <v>0.0</v>
      </c>
      <c r="F240" s="62">
        <v>26.0</v>
      </c>
      <c r="G240" s="63">
        <f t="shared" si="29"/>
        <v>0</v>
      </c>
      <c r="H240" s="64">
        <f t="shared" si="30"/>
        <v>0</v>
      </c>
      <c r="I240" s="63">
        <f t="shared" si="31"/>
        <v>0.001398827137</v>
      </c>
      <c r="J240" s="65">
        <f t="shared" si="32"/>
        <v>2.285683542</v>
      </c>
      <c r="K240" s="65">
        <f t="shared" si="5"/>
        <v>0</v>
      </c>
      <c r="L240" s="52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</row>
    <row r="241" ht="14.25" customHeight="1">
      <c r="A241" s="6">
        <v>51501.0</v>
      </c>
      <c r="B241" s="7" t="s">
        <v>264</v>
      </c>
      <c r="C241" s="7" t="s">
        <v>317</v>
      </c>
      <c r="D241" s="7" t="s">
        <v>318</v>
      </c>
      <c r="E241" s="61">
        <v>3.0</v>
      </c>
      <c r="F241" s="62">
        <v>981.0</v>
      </c>
      <c r="G241" s="63">
        <f t="shared" si="29"/>
        <v>0.003896103896</v>
      </c>
      <c r="H241" s="64">
        <f t="shared" si="30"/>
        <v>0.5793272727</v>
      </c>
      <c r="I241" s="63">
        <f t="shared" si="31"/>
        <v>0.05277882391</v>
      </c>
      <c r="J241" s="65">
        <f t="shared" si="32"/>
        <v>86.24059827</v>
      </c>
      <c r="K241" s="65">
        <f t="shared" si="5"/>
        <v>6.717570197</v>
      </c>
      <c r="L241" s="52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</row>
    <row r="242" ht="14.25" customHeight="1">
      <c r="A242" s="6">
        <v>51601.0</v>
      </c>
      <c r="B242" s="7" t="s">
        <v>264</v>
      </c>
      <c r="C242" s="7" t="s">
        <v>319</v>
      </c>
      <c r="D242" s="7" t="s">
        <v>320</v>
      </c>
      <c r="E242" s="61">
        <v>0.0</v>
      </c>
      <c r="F242" s="62">
        <v>19.0</v>
      </c>
      <c r="G242" s="63">
        <f t="shared" si="29"/>
        <v>0</v>
      </c>
      <c r="H242" s="64">
        <f t="shared" si="30"/>
        <v>0</v>
      </c>
      <c r="I242" s="63">
        <f t="shared" si="31"/>
        <v>0.001022219831</v>
      </c>
      <c r="J242" s="65">
        <f t="shared" si="32"/>
        <v>1.670307204</v>
      </c>
      <c r="K242" s="65">
        <f t="shared" si="5"/>
        <v>0</v>
      </c>
      <c r="L242" s="52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</row>
    <row r="243" ht="14.25" customHeight="1">
      <c r="A243" s="6">
        <v>60101.0</v>
      </c>
      <c r="B243" s="7" t="s">
        <v>25</v>
      </c>
      <c r="C243" s="7" t="s">
        <v>165</v>
      </c>
      <c r="D243" s="7" t="s">
        <v>25</v>
      </c>
      <c r="E243" s="61">
        <v>43.0</v>
      </c>
      <c r="F243" s="62">
        <v>3785.0</v>
      </c>
      <c r="G243" s="63">
        <f t="shared" ref="G243:G253" si="33">E243/$R$7</f>
        <v>0.2738853503</v>
      </c>
      <c r="H243" s="64">
        <f t="shared" ref="H243:H253" si="34">$S$22*G243</f>
        <v>7.510757962</v>
      </c>
      <c r="I243" s="63">
        <f t="shared" ref="I243:I253" si="35">F243/$S$7</f>
        <v>0.4063774962</v>
      </c>
      <c r="J243" s="65">
        <f t="shared" ref="J243:J253" si="36">I243*$U$22</f>
        <v>337.6996994</v>
      </c>
      <c r="K243" s="65">
        <f t="shared" si="5"/>
        <v>22.24093766</v>
      </c>
      <c r="L243" s="52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</row>
    <row r="244" ht="14.25" customHeight="1">
      <c r="A244" s="6">
        <v>60201.0</v>
      </c>
      <c r="B244" s="7" t="s">
        <v>25</v>
      </c>
      <c r="C244" s="7" t="s">
        <v>321</v>
      </c>
      <c r="D244" s="7" t="s">
        <v>322</v>
      </c>
      <c r="E244" s="61">
        <v>6.0</v>
      </c>
      <c r="F244" s="62">
        <v>327.0</v>
      </c>
      <c r="G244" s="63">
        <f t="shared" si="33"/>
        <v>0.03821656051</v>
      </c>
      <c r="H244" s="64">
        <f t="shared" si="34"/>
        <v>1.048012739</v>
      </c>
      <c r="I244" s="63">
        <f t="shared" si="35"/>
        <v>0.03510843891</v>
      </c>
      <c r="J244" s="65">
        <f t="shared" si="36"/>
        <v>29.17511273</v>
      </c>
      <c r="K244" s="65">
        <f t="shared" si="5"/>
        <v>35.92146322</v>
      </c>
      <c r="L244" s="52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</row>
    <row r="245" ht="14.25" customHeight="1">
      <c r="A245" s="6">
        <v>60202.0</v>
      </c>
      <c r="B245" s="7" t="s">
        <v>25</v>
      </c>
      <c r="C245" s="7" t="s">
        <v>321</v>
      </c>
      <c r="D245" s="7" t="s">
        <v>323</v>
      </c>
      <c r="E245" s="61">
        <v>18.0</v>
      </c>
      <c r="F245" s="62">
        <v>699.0</v>
      </c>
      <c r="G245" s="63">
        <f t="shared" si="33"/>
        <v>0.1146496815</v>
      </c>
      <c r="H245" s="64">
        <f t="shared" si="34"/>
        <v>3.144038217</v>
      </c>
      <c r="I245" s="63">
        <f t="shared" si="35"/>
        <v>0.07504831437</v>
      </c>
      <c r="J245" s="65">
        <f t="shared" si="36"/>
        <v>62.36514924</v>
      </c>
      <c r="K245" s="65">
        <f t="shared" si="5"/>
        <v>50.413384</v>
      </c>
      <c r="L245" s="52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</row>
    <row r="246" ht="14.25" customHeight="1">
      <c r="A246" s="6">
        <v>60301.0</v>
      </c>
      <c r="B246" s="7" t="s">
        <v>25</v>
      </c>
      <c r="C246" s="7" t="s">
        <v>35</v>
      </c>
      <c r="D246" s="7" t="s">
        <v>324</v>
      </c>
      <c r="E246" s="61">
        <v>43.0</v>
      </c>
      <c r="F246" s="62">
        <v>1869.0</v>
      </c>
      <c r="G246" s="63">
        <f t="shared" si="33"/>
        <v>0.2738853503</v>
      </c>
      <c r="H246" s="64">
        <f t="shared" si="34"/>
        <v>7.510757962</v>
      </c>
      <c r="I246" s="63">
        <f t="shared" si="35"/>
        <v>0.2006656646</v>
      </c>
      <c r="J246" s="65">
        <f t="shared" si="36"/>
        <v>166.7531673</v>
      </c>
      <c r="K246" s="65">
        <f t="shared" si="5"/>
        <v>45.04117124</v>
      </c>
      <c r="L246" s="52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</row>
    <row r="247" ht="14.25" customHeight="1">
      <c r="A247" s="6">
        <v>60302.0</v>
      </c>
      <c r="B247" s="7" t="s">
        <v>25</v>
      </c>
      <c r="C247" s="7" t="s">
        <v>35</v>
      </c>
      <c r="D247" s="7" t="s">
        <v>325</v>
      </c>
      <c r="E247" s="61">
        <v>2.0</v>
      </c>
      <c r="F247" s="62">
        <v>283.0</v>
      </c>
      <c r="G247" s="63">
        <f t="shared" si="33"/>
        <v>0.0127388535</v>
      </c>
      <c r="H247" s="64">
        <f t="shared" si="34"/>
        <v>0.3493375796</v>
      </c>
      <c r="I247" s="63">
        <f t="shared" si="35"/>
        <v>0.03038436762</v>
      </c>
      <c r="J247" s="65">
        <f t="shared" si="36"/>
        <v>25.24940949</v>
      </c>
      <c r="K247" s="65">
        <f t="shared" si="5"/>
        <v>13.83547523</v>
      </c>
      <c r="L247" s="52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</row>
    <row r="248" ht="14.25" customHeight="1">
      <c r="A248" s="6">
        <v>60303.0</v>
      </c>
      <c r="B248" s="7" t="s">
        <v>25</v>
      </c>
      <c r="C248" s="7" t="s">
        <v>35</v>
      </c>
      <c r="D248" s="7" t="s">
        <v>326</v>
      </c>
      <c r="E248" s="61">
        <v>24.0</v>
      </c>
      <c r="F248" s="62">
        <v>884.0</v>
      </c>
      <c r="G248" s="63">
        <f t="shared" si="33"/>
        <v>0.152866242</v>
      </c>
      <c r="H248" s="64">
        <f t="shared" si="34"/>
        <v>4.192050955</v>
      </c>
      <c r="I248" s="63">
        <f t="shared" si="35"/>
        <v>0.09491088684</v>
      </c>
      <c r="J248" s="65">
        <f t="shared" si="36"/>
        <v>78.87094696</v>
      </c>
      <c r="K248" s="65">
        <f t="shared" si="5"/>
        <v>53.15076231</v>
      </c>
      <c r="L248" s="52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</row>
    <row r="249" ht="14.25" customHeight="1">
      <c r="A249" s="6">
        <v>60401.0</v>
      </c>
      <c r="B249" s="7" t="s">
        <v>25</v>
      </c>
      <c r="C249" s="7" t="s">
        <v>327</v>
      </c>
      <c r="D249" s="7" t="s">
        <v>328</v>
      </c>
      <c r="E249" s="61">
        <v>2.0</v>
      </c>
      <c r="F249" s="62">
        <v>287.0</v>
      </c>
      <c r="G249" s="63">
        <f t="shared" si="33"/>
        <v>0.0127388535</v>
      </c>
      <c r="H249" s="64">
        <f t="shared" si="34"/>
        <v>0.3493375796</v>
      </c>
      <c r="I249" s="63">
        <f t="shared" si="35"/>
        <v>0.03081382865</v>
      </c>
      <c r="J249" s="65">
        <f t="shared" si="36"/>
        <v>25.6062916</v>
      </c>
      <c r="K249" s="65">
        <f t="shared" si="5"/>
        <v>13.64264631</v>
      </c>
      <c r="L249" s="52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</row>
    <row r="250" ht="14.25" customHeight="1">
      <c r="A250" s="6">
        <v>60402.0</v>
      </c>
      <c r="B250" s="7" t="s">
        <v>25</v>
      </c>
      <c r="C250" s="7" t="s">
        <v>327</v>
      </c>
      <c r="D250" s="7" t="s">
        <v>329</v>
      </c>
      <c r="E250" s="61">
        <v>4.0</v>
      </c>
      <c r="F250" s="62">
        <v>117.0</v>
      </c>
      <c r="G250" s="63">
        <f t="shared" si="33"/>
        <v>0.02547770701</v>
      </c>
      <c r="H250" s="64">
        <f t="shared" si="34"/>
        <v>0.6986751592</v>
      </c>
      <c r="I250" s="63">
        <f t="shared" si="35"/>
        <v>0.01256173502</v>
      </c>
      <c r="J250" s="65">
        <f t="shared" si="36"/>
        <v>10.4388018</v>
      </c>
      <c r="K250" s="65">
        <f t="shared" si="5"/>
        <v>66.93058958</v>
      </c>
      <c r="L250" s="52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</row>
    <row r="251" ht="14.25" customHeight="1">
      <c r="A251" s="6">
        <v>60501.0</v>
      </c>
      <c r="B251" s="7" t="s">
        <v>25</v>
      </c>
      <c r="C251" s="7" t="s">
        <v>330</v>
      </c>
      <c r="D251" s="7" t="s">
        <v>331</v>
      </c>
      <c r="E251" s="61">
        <v>8.0</v>
      </c>
      <c r="F251" s="62">
        <v>414.0</v>
      </c>
      <c r="G251" s="63">
        <f t="shared" si="33"/>
        <v>0.05095541401</v>
      </c>
      <c r="H251" s="64">
        <f t="shared" si="34"/>
        <v>1.397350318</v>
      </c>
      <c r="I251" s="63">
        <f t="shared" si="35"/>
        <v>0.04444921623</v>
      </c>
      <c r="J251" s="65">
        <f t="shared" si="36"/>
        <v>36.93729869</v>
      </c>
      <c r="K251" s="65">
        <f t="shared" si="5"/>
        <v>37.83033324</v>
      </c>
      <c r="L251" s="52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</row>
    <row r="252" ht="14.25" customHeight="1">
      <c r="A252" s="6">
        <v>60502.0</v>
      </c>
      <c r="B252" s="7" t="s">
        <v>25</v>
      </c>
      <c r="C252" s="7" t="s">
        <v>330</v>
      </c>
      <c r="D252" s="7" t="s">
        <v>332</v>
      </c>
      <c r="E252" s="61">
        <v>4.0</v>
      </c>
      <c r="F252" s="62">
        <v>224.0</v>
      </c>
      <c r="G252" s="63">
        <f t="shared" si="33"/>
        <v>0.02547770701</v>
      </c>
      <c r="H252" s="64">
        <f t="shared" si="34"/>
        <v>0.6986751592</v>
      </c>
      <c r="I252" s="63">
        <f t="shared" si="35"/>
        <v>0.02404981748</v>
      </c>
      <c r="J252" s="65">
        <f t="shared" si="36"/>
        <v>19.98539833</v>
      </c>
      <c r="K252" s="65">
        <f t="shared" si="5"/>
        <v>34.95928116</v>
      </c>
      <c r="L252" s="52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</row>
    <row r="253" ht="14.25" customHeight="1">
      <c r="A253" s="6">
        <v>60601.0</v>
      </c>
      <c r="B253" s="7" t="s">
        <v>25</v>
      </c>
      <c r="C253" s="7" t="s">
        <v>333</v>
      </c>
      <c r="D253" s="7" t="s">
        <v>206</v>
      </c>
      <c r="E253" s="61">
        <v>3.0</v>
      </c>
      <c r="F253" s="62">
        <v>425.0</v>
      </c>
      <c r="G253" s="63">
        <f t="shared" si="33"/>
        <v>0.01910828025</v>
      </c>
      <c r="H253" s="64">
        <f t="shared" si="34"/>
        <v>0.5240063694</v>
      </c>
      <c r="I253" s="63">
        <f t="shared" si="35"/>
        <v>0.04563023406</v>
      </c>
      <c r="J253" s="65">
        <f t="shared" si="36"/>
        <v>37.9187245</v>
      </c>
      <c r="K253" s="65">
        <f t="shared" si="5"/>
        <v>13.8191982</v>
      </c>
      <c r="L253" s="52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</row>
    <row r="254" ht="14.25" customHeight="1">
      <c r="A254" s="6">
        <v>70101.0</v>
      </c>
      <c r="B254" s="7" t="s">
        <v>27</v>
      </c>
      <c r="C254" s="7" t="s">
        <v>334</v>
      </c>
      <c r="D254" s="7" t="s">
        <v>335</v>
      </c>
      <c r="E254" s="61">
        <v>461.0</v>
      </c>
      <c r="F254" s="62">
        <v>31778.0</v>
      </c>
      <c r="G254" s="63">
        <f t="shared" ref="G254:G309" si="37">E254/$R$8</f>
        <v>0.4777202073</v>
      </c>
      <c r="H254" s="64">
        <f t="shared" ref="H254:H309" si="38">$S$23*G254</f>
        <v>37.28940622</v>
      </c>
      <c r="I254" s="63">
        <f t="shared" ref="I254:I309" si="39">F254/$S$8</f>
        <v>0.5100311366</v>
      </c>
      <c r="J254" s="65">
        <f t="shared" ref="J254:J309" si="40">I254*$U$23</f>
        <v>1895.785735</v>
      </c>
      <c r="K254" s="65">
        <f t="shared" si="5"/>
        <v>19.66963119</v>
      </c>
      <c r="L254" s="52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</row>
    <row r="255" ht="14.25" customHeight="1">
      <c r="A255" s="6">
        <v>70102.0</v>
      </c>
      <c r="B255" s="7" t="s">
        <v>27</v>
      </c>
      <c r="C255" s="7" t="s">
        <v>334</v>
      </c>
      <c r="D255" s="7" t="s">
        <v>336</v>
      </c>
      <c r="E255" s="61">
        <v>42.0</v>
      </c>
      <c r="F255" s="62">
        <v>1538.0</v>
      </c>
      <c r="G255" s="63">
        <f t="shared" si="37"/>
        <v>0.04352331606</v>
      </c>
      <c r="H255" s="64">
        <f t="shared" si="38"/>
        <v>3.397299482</v>
      </c>
      <c r="I255" s="63">
        <f t="shared" si="39"/>
        <v>0.02468462106</v>
      </c>
      <c r="J255" s="65">
        <f t="shared" si="40"/>
        <v>91.75273649</v>
      </c>
      <c r="K255" s="65">
        <f t="shared" si="5"/>
        <v>37.02668293</v>
      </c>
      <c r="L255" s="52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</row>
    <row r="256" ht="14.25" customHeight="1">
      <c r="A256" s="6">
        <v>70103.0</v>
      </c>
      <c r="B256" s="7" t="s">
        <v>27</v>
      </c>
      <c r="C256" s="7" t="s">
        <v>334</v>
      </c>
      <c r="D256" s="7" t="s">
        <v>337</v>
      </c>
      <c r="E256" s="61">
        <v>2.0</v>
      </c>
      <c r="F256" s="62">
        <v>320.0</v>
      </c>
      <c r="G256" s="63">
        <f t="shared" si="37"/>
        <v>0.00207253886</v>
      </c>
      <c r="H256" s="64">
        <f t="shared" si="38"/>
        <v>0.1617761658</v>
      </c>
      <c r="I256" s="63">
        <f t="shared" si="39"/>
        <v>0.005135941964</v>
      </c>
      <c r="J256" s="65">
        <f t="shared" si="40"/>
        <v>19.09029628</v>
      </c>
      <c r="K256" s="65">
        <f t="shared" si="5"/>
        <v>8.474261658</v>
      </c>
      <c r="L256" s="52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</row>
    <row r="257" ht="14.25" customHeight="1">
      <c r="A257" s="6">
        <v>70104.0</v>
      </c>
      <c r="B257" s="7" t="s">
        <v>27</v>
      </c>
      <c r="C257" s="7" t="s">
        <v>334</v>
      </c>
      <c r="D257" s="7" t="s">
        <v>338</v>
      </c>
      <c r="E257" s="61">
        <v>19.0</v>
      </c>
      <c r="F257" s="62">
        <v>2223.0</v>
      </c>
      <c r="G257" s="63">
        <f t="shared" si="37"/>
        <v>0.01968911917</v>
      </c>
      <c r="H257" s="64">
        <f t="shared" si="38"/>
        <v>1.536873575</v>
      </c>
      <c r="I257" s="63">
        <f t="shared" si="39"/>
        <v>0.03567874683</v>
      </c>
      <c r="J257" s="65">
        <f t="shared" si="40"/>
        <v>132.617902</v>
      </c>
      <c r="K257" s="65">
        <f t="shared" si="5"/>
        <v>11.58873389</v>
      </c>
      <c r="L257" s="52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</row>
    <row r="258" ht="14.25" customHeight="1">
      <c r="A258" s="6">
        <v>70105.0</v>
      </c>
      <c r="B258" s="7" t="s">
        <v>27</v>
      </c>
      <c r="C258" s="7" t="s">
        <v>334</v>
      </c>
      <c r="D258" s="7" t="s">
        <v>339</v>
      </c>
      <c r="E258" s="61">
        <v>15.0</v>
      </c>
      <c r="F258" s="62">
        <v>1116.0</v>
      </c>
      <c r="G258" s="63">
        <f t="shared" si="37"/>
        <v>0.01554404145</v>
      </c>
      <c r="H258" s="64">
        <f t="shared" si="38"/>
        <v>1.213321244</v>
      </c>
      <c r="I258" s="63">
        <f t="shared" si="39"/>
        <v>0.0179115976</v>
      </c>
      <c r="J258" s="65">
        <f t="shared" si="40"/>
        <v>66.57740828</v>
      </c>
      <c r="K258" s="65">
        <f t="shared" si="5"/>
        <v>18.22421862</v>
      </c>
      <c r="L258" s="52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</row>
    <row r="259" ht="14.25" customHeight="1">
      <c r="A259" s="6">
        <v>70201.0</v>
      </c>
      <c r="B259" s="7" t="s">
        <v>27</v>
      </c>
      <c r="C259" s="7" t="s">
        <v>340</v>
      </c>
      <c r="D259" s="7" t="s">
        <v>340</v>
      </c>
      <c r="E259" s="61">
        <v>25.0</v>
      </c>
      <c r="F259" s="62">
        <v>2654.0</v>
      </c>
      <c r="G259" s="63">
        <f t="shared" si="37"/>
        <v>0.02590673575</v>
      </c>
      <c r="H259" s="64">
        <f t="shared" si="38"/>
        <v>2.022202073</v>
      </c>
      <c r="I259" s="63">
        <f t="shared" si="39"/>
        <v>0.04259621866</v>
      </c>
      <c r="J259" s="65">
        <f t="shared" si="40"/>
        <v>158.3301448</v>
      </c>
      <c r="K259" s="65">
        <f t="shared" si="5"/>
        <v>12.77205977</v>
      </c>
      <c r="L259" s="52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</row>
    <row r="260" ht="14.25" customHeight="1">
      <c r="A260" s="6">
        <v>70202.0</v>
      </c>
      <c r="B260" s="7" t="s">
        <v>27</v>
      </c>
      <c r="C260" s="7" t="s">
        <v>340</v>
      </c>
      <c r="D260" s="7" t="s">
        <v>341</v>
      </c>
      <c r="E260" s="61">
        <v>5.0</v>
      </c>
      <c r="F260" s="62">
        <v>302.0</v>
      </c>
      <c r="G260" s="63">
        <f t="shared" si="37"/>
        <v>0.00518134715</v>
      </c>
      <c r="H260" s="64">
        <f t="shared" si="38"/>
        <v>0.4044404145</v>
      </c>
      <c r="I260" s="63">
        <f t="shared" si="39"/>
        <v>0.004847045228</v>
      </c>
      <c r="J260" s="65">
        <f t="shared" si="40"/>
        <v>18.01646711</v>
      </c>
      <c r="K260" s="65">
        <f t="shared" si="5"/>
        <v>22.44837525</v>
      </c>
      <c r="L260" s="52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</row>
    <row r="261" ht="14.25" customHeight="1">
      <c r="A261" s="6">
        <v>70301.0</v>
      </c>
      <c r="B261" s="7" t="s">
        <v>27</v>
      </c>
      <c r="C261" s="7" t="s">
        <v>342</v>
      </c>
      <c r="D261" s="7" t="s">
        <v>343</v>
      </c>
      <c r="E261" s="61">
        <v>29.0</v>
      </c>
      <c r="F261" s="62">
        <v>1559.0</v>
      </c>
      <c r="G261" s="63">
        <f t="shared" si="37"/>
        <v>0.03005181347</v>
      </c>
      <c r="H261" s="64">
        <f t="shared" si="38"/>
        <v>2.345754404</v>
      </c>
      <c r="I261" s="63">
        <f t="shared" si="39"/>
        <v>0.02502166726</v>
      </c>
      <c r="J261" s="65">
        <f t="shared" si="40"/>
        <v>93.00553719</v>
      </c>
      <c r="K261" s="65">
        <f t="shared" si="5"/>
        <v>25.22166395</v>
      </c>
      <c r="L261" s="52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</row>
    <row r="262" ht="14.25" customHeight="1">
      <c r="A262" s="6">
        <v>70302.0</v>
      </c>
      <c r="B262" s="7" t="s">
        <v>27</v>
      </c>
      <c r="C262" s="7" t="s">
        <v>342</v>
      </c>
      <c r="D262" s="7" t="s">
        <v>344</v>
      </c>
      <c r="E262" s="61">
        <v>11.0</v>
      </c>
      <c r="F262" s="62">
        <v>283.0</v>
      </c>
      <c r="G262" s="63">
        <f t="shared" si="37"/>
        <v>0.01139896373</v>
      </c>
      <c r="H262" s="64">
        <f t="shared" si="38"/>
        <v>0.8897689119</v>
      </c>
      <c r="I262" s="63">
        <f t="shared" si="39"/>
        <v>0.004542098674</v>
      </c>
      <c r="J262" s="65">
        <f t="shared" si="40"/>
        <v>16.88298077</v>
      </c>
      <c r="K262" s="65">
        <f t="shared" si="5"/>
        <v>52.70212197</v>
      </c>
      <c r="L262" s="52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</row>
    <row r="263" ht="14.25" customHeight="1">
      <c r="A263" s="6">
        <v>70303.0</v>
      </c>
      <c r="B263" s="7" t="s">
        <v>27</v>
      </c>
      <c r="C263" s="7" t="s">
        <v>342</v>
      </c>
      <c r="D263" s="7" t="s">
        <v>345</v>
      </c>
      <c r="E263" s="61">
        <v>5.0</v>
      </c>
      <c r="F263" s="62">
        <v>144.0</v>
      </c>
      <c r="G263" s="63">
        <f t="shared" si="37"/>
        <v>0.00518134715</v>
      </c>
      <c r="H263" s="64">
        <f t="shared" si="38"/>
        <v>0.4044404145</v>
      </c>
      <c r="I263" s="63">
        <f t="shared" si="39"/>
        <v>0.002311173884</v>
      </c>
      <c r="J263" s="65">
        <f t="shared" si="40"/>
        <v>8.590633326</v>
      </c>
      <c r="K263" s="65">
        <f t="shared" si="5"/>
        <v>47.07923143</v>
      </c>
      <c r="L263" s="52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</row>
    <row r="264" ht="14.25" customHeight="1">
      <c r="A264" s="6">
        <v>70401.0</v>
      </c>
      <c r="B264" s="7" t="s">
        <v>27</v>
      </c>
      <c r="C264" s="7" t="s">
        <v>346</v>
      </c>
      <c r="D264" s="7" t="s">
        <v>347</v>
      </c>
      <c r="E264" s="61">
        <v>4.0</v>
      </c>
      <c r="F264" s="62">
        <v>316.0</v>
      </c>
      <c r="G264" s="63">
        <f t="shared" si="37"/>
        <v>0.00414507772</v>
      </c>
      <c r="H264" s="64">
        <f t="shared" si="38"/>
        <v>0.3235523316</v>
      </c>
      <c r="I264" s="63">
        <f t="shared" si="39"/>
        <v>0.005071742689</v>
      </c>
      <c r="J264" s="65">
        <f t="shared" si="40"/>
        <v>18.85166758</v>
      </c>
      <c r="K264" s="65">
        <f t="shared" si="5"/>
        <v>17.16306159</v>
      </c>
      <c r="L264" s="52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</row>
    <row r="265" ht="14.25" customHeight="1">
      <c r="A265" s="6">
        <v>70402.0</v>
      </c>
      <c r="B265" s="7" t="s">
        <v>27</v>
      </c>
      <c r="C265" s="7" t="s">
        <v>346</v>
      </c>
      <c r="D265" s="7" t="s">
        <v>348</v>
      </c>
      <c r="E265" s="61">
        <v>7.0</v>
      </c>
      <c r="F265" s="62">
        <v>509.0</v>
      </c>
      <c r="G265" s="63">
        <f t="shared" si="37"/>
        <v>0.00725388601</v>
      </c>
      <c r="H265" s="64">
        <f t="shared" si="38"/>
        <v>0.5662165803</v>
      </c>
      <c r="I265" s="63">
        <f t="shared" si="39"/>
        <v>0.008169357686</v>
      </c>
      <c r="J265" s="65">
        <f t="shared" si="40"/>
        <v>30.36550252</v>
      </c>
      <c r="K265" s="65">
        <f t="shared" si="5"/>
        <v>18.64670542</v>
      </c>
      <c r="L265" s="52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</row>
    <row r="266" ht="14.25" customHeight="1">
      <c r="A266" s="6">
        <v>70403.0</v>
      </c>
      <c r="B266" s="7" t="s">
        <v>27</v>
      </c>
      <c r="C266" s="7" t="s">
        <v>346</v>
      </c>
      <c r="D266" s="7" t="s">
        <v>349</v>
      </c>
      <c r="E266" s="61">
        <v>28.0</v>
      </c>
      <c r="F266" s="62">
        <v>1215.0</v>
      </c>
      <c r="G266" s="63">
        <f t="shared" si="37"/>
        <v>0.02901554404</v>
      </c>
      <c r="H266" s="64">
        <f t="shared" si="38"/>
        <v>2.264866321</v>
      </c>
      <c r="I266" s="63">
        <f t="shared" si="39"/>
        <v>0.01950052964</v>
      </c>
      <c r="J266" s="65">
        <f t="shared" si="40"/>
        <v>72.48346869</v>
      </c>
      <c r="K266" s="65">
        <f t="shared" si="5"/>
        <v>31.24666027</v>
      </c>
      <c r="L266" s="52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</row>
    <row r="267" ht="14.25" customHeight="1">
      <c r="A267" s="6">
        <v>70404.0</v>
      </c>
      <c r="B267" s="7" t="s">
        <v>27</v>
      </c>
      <c r="C267" s="7" t="s">
        <v>346</v>
      </c>
      <c r="D267" s="7" t="s">
        <v>350</v>
      </c>
      <c r="E267" s="61">
        <v>5.0</v>
      </c>
      <c r="F267" s="62">
        <v>233.0</v>
      </c>
      <c r="G267" s="63">
        <f t="shared" si="37"/>
        <v>0.00518134715</v>
      </c>
      <c r="H267" s="64">
        <f t="shared" si="38"/>
        <v>0.4044404145</v>
      </c>
      <c r="I267" s="63">
        <f t="shared" si="39"/>
        <v>0.003739607742</v>
      </c>
      <c r="J267" s="65">
        <f t="shared" si="40"/>
        <v>13.90012198</v>
      </c>
      <c r="K267" s="65">
        <f t="shared" si="5"/>
        <v>29.09617737</v>
      </c>
      <c r="L267" s="52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</row>
    <row r="268" ht="14.25" customHeight="1">
      <c r="A268" s="6">
        <v>70501.0</v>
      </c>
      <c r="B268" s="7" t="s">
        <v>27</v>
      </c>
      <c r="C268" s="7" t="s">
        <v>351</v>
      </c>
      <c r="D268" s="7" t="s">
        <v>352</v>
      </c>
      <c r="E268" s="61">
        <v>9.0</v>
      </c>
      <c r="F268" s="62">
        <v>751.0</v>
      </c>
      <c r="G268" s="63">
        <f t="shared" si="37"/>
        <v>0.00932642487</v>
      </c>
      <c r="H268" s="64">
        <f t="shared" si="38"/>
        <v>0.7279927461</v>
      </c>
      <c r="I268" s="63">
        <f t="shared" si="39"/>
        <v>0.0120534138</v>
      </c>
      <c r="J268" s="65">
        <f t="shared" si="40"/>
        <v>44.80253908</v>
      </c>
      <c r="K268" s="65">
        <f t="shared" si="5"/>
        <v>16.24891716</v>
      </c>
      <c r="L268" s="52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</row>
    <row r="269" ht="14.25" customHeight="1">
      <c r="A269" s="6">
        <v>70502.0</v>
      </c>
      <c r="B269" s="7" t="s">
        <v>27</v>
      </c>
      <c r="C269" s="7" t="s">
        <v>351</v>
      </c>
      <c r="D269" s="7" t="s">
        <v>353</v>
      </c>
      <c r="E269" s="61">
        <v>21.0</v>
      </c>
      <c r="F269" s="62">
        <v>1033.0</v>
      </c>
      <c r="G269" s="63">
        <f t="shared" si="37"/>
        <v>0.02176165803</v>
      </c>
      <c r="H269" s="64">
        <f t="shared" si="38"/>
        <v>1.698649741</v>
      </c>
      <c r="I269" s="63">
        <f t="shared" si="39"/>
        <v>0.01657946265</v>
      </c>
      <c r="J269" s="65">
        <f t="shared" si="40"/>
        <v>61.62586268</v>
      </c>
      <c r="K269" s="65">
        <f t="shared" si="5"/>
        <v>27.56391014</v>
      </c>
      <c r="L269" s="52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</row>
    <row r="270" ht="14.25" customHeight="1">
      <c r="A270" s="6">
        <v>70503.0</v>
      </c>
      <c r="B270" s="7" t="s">
        <v>27</v>
      </c>
      <c r="C270" s="7" t="s">
        <v>351</v>
      </c>
      <c r="D270" s="7" t="s">
        <v>354</v>
      </c>
      <c r="E270" s="61">
        <v>4.0</v>
      </c>
      <c r="F270" s="62">
        <v>328.0</v>
      </c>
      <c r="G270" s="63">
        <f t="shared" si="37"/>
        <v>0.00414507772</v>
      </c>
      <c r="H270" s="64">
        <f t="shared" si="38"/>
        <v>0.3235523316</v>
      </c>
      <c r="I270" s="63">
        <f t="shared" si="39"/>
        <v>0.005264340513</v>
      </c>
      <c r="J270" s="65">
        <f t="shared" si="40"/>
        <v>19.56755369</v>
      </c>
      <c r="K270" s="65">
        <f t="shared" si="5"/>
        <v>16.5351447</v>
      </c>
      <c r="L270" s="52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</row>
    <row r="271" ht="14.25" customHeight="1">
      <c r="A271" s="6">
        <v>70601.0</v>
      </c>
      <c r="B271" s="7" t="s">
        <v>27</v>
      </c>
      <c r="C271" s="7" t="s">
        <v>355</v>
      </c>
      <c r="D271" s="7" t="s">
        <v>356</v>
      </c>
      <c r="E271" s="61">
        <v>2.0</v>
      </c>
      <c r="F271" s="62">
        <v>437.0</v>
      </c>
      <c r="G271" s="63">
        <f t="shared" si="37"/>
        <v>0.00207253886</v>
      </c>
      <c r="H271" s="64">
        <f t="shared" si="38"/>
        <v>0.1617761658</v>
      </c>
      <c r="I271" s="63">
        <f t="shared" si="39"/>
        <v>0.007013770744</v>
      </c>
      <c r="J271" s="65">
        <f t="shared" si="40"/>
        <v>26.07018586</v>
      </c>
      <c r="K271" s="65">
        <f t="shared" si="5"/>
        <v>6.205408994</v>
      </c>
      <c r="L271" s="52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</row>
    <row r="272" ht="14.25" customHeight="1">
      <c r="A272" s="6">
        <v>70602.0</v>
      </c>
      <c r="B272" s="7" t="s">
        <v>27</v>
      </c>
      <c r="C272" s="7" t="s">
        <v>355</v>
      </c>
      <c r="D272" s="7" t="s">
        <v>357</v>
      </c>
      <c r="E272" s="61">
        <v>7.0</v>
      </c>
      <c r="F272" s="62">
        <v>498.0</v>
      </c>
      <c r="G272" s="63">
        <f t="shared" si="37"/>
        <v>0.00725388601</v>
      </c>
      <c r="H272" s="64">
        <f t="shared" si="38"/>
        <v>0.5662165803</v>
      </c>
      <c r="I272" s="63">
        <f t="shared" si="39"/>
        <v>0.007992809681</v>
      </c>
      <c r="J272" s="65">
        <f t="shared" si="40"/>
        <v>29.70927359</v>
      </c>
      <c r="K272" s="65">
        <f t="shared" si="5"/>
        <v>19.05858044</v>
      </c>
      <c r="L272" s="52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</row>
    <row r="273" ht="14.25" customHeight="1">
      <c r="A273" s="6">
        <v>70603.0</v>
      </c>
      <c r="B273" s="7" t="s">
        <v>27</v>
      </c>
      <c r="C273" s="7" t="s">
        <v>355</v>
      </c>
      <c r="D273" s="7" t="s">
        <v>358</v>
      </c>
      <c r="E273" s="61">
        <v>2.0</v>
      </c>
      <c r="F273" s="62">
        <v>150.0</v>
      </c>
      <c r="G273" s="63">
        <f t="shared" si="37"/>
        <v>0.00207253886</v>
      </c>
      <c r="H273" s="64">
        <f t="shared" si="38"/>
        <v>0.1617761658</v>
      </c>
      <c r="I273" s="63">
        <f t="shared" si="39"/>
        <v>0.002407472796</v>
      </c>
      <c r="J273" s="65">
        <f t="shared" si="40"/>
        <v>8.948576381</v>
      </c>
      <c r="K273" s="65">
        <f t="shared" si="5"/>
        <v>18.07842487</v>
      </c>
      <c r="L273" s="52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</row>
    <row r="274" ht="14.25" customHeight="1">
      <c r="A274" s="6">
        <v>70701.0</v>
      </c>
      <c r="B274" s="7" t="s">
        <v>27</v>
      </c>
      <c r="C274" s="7" t="s">
        <v>359</v>
      </c>
      <c r="D274" s="7" t="s">
        <v>360</v>
      </c>
      <c r="E274" s="61">
        <v>2.0</v>
      </c>
      <c r="F274" s="62">
        <v>129.0</v>
      </c>
      <c r="G274" s="63">
        <f t="shared" si="37"/>
        <v>0.00207253886</v>
      </c>
      <c r="H274" s="64">
        <f t="shared" si="38"/>
        <v>0.1617761658</v>
      </c>
      <c r="I274" s="63">
        <f t="shared" si="39"/>
        <v>0.002070426604</v>
      </c>
      <c r="J274" s="65">
        <f t="shared" si="40"/>
        <v>7.695775688</v>
      </c>
      <c r="K274" s="65">
        <f t="shared" si="5"/>
        <v>21.02142427</v>
      </c>
      <c r="L274" s="52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</row>
    <row r="275" ht="14.25" customHeight="1">
      <c r="A275" s="6">
        <v>70702.0</v>
      </c>
      <c r="B275" s="7" t="s">
        <v>27</v>
      </c>
      <c r="C275" s="7" t="s">
        <v>359</v>
      </c>
      <c r="D275" s="7" t="s">
        <v>361</v>
      </c>
      <c r="E275" s="61">
        <v>26.0</v>
      </c>
      <c r="F275" s="62">
        <v>892.0</v>
      </c>
      <c r="G275" s="63">
        <f t="shared" si="37"/>
        <v>0.02694300518</v>
      </c>
      <c r="H275" s="64">
        <f t="shared" si="38"/>
        <v>2.103090155</v>
      </c>
      <c r="I275" s="63">
        <f t="shared" si="39"/>
        <v>0.01431643822</v>
      </c>
      <c r="J275" s="65">
        <f t="shared" si="40"/>
        <v>53.21420088</v>
      </c>
      <c r="K275" s="65">
        <f t="shared" si="5"/>
        <v>39.52122029</v>
      </c>
      <c r="L275" s="52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</row>
    <row r="276" ht="14.25" customHeight="1">
      <c r="A276" s="6">
        <v>70703.0</v>
      </c>
      <c r="B276" s="7" t="s">
        <v>27</v>
      </c>
      <c r="C276" s="7" t="s">
        <v>359</v>
      </c>
      <c r="D276" s="7" t="s">
        <v>362</v>
      </c>
      <c r="E276" s="61">
        <v>9.0</v>
      </c>
      <c r="F276" s="62">
        <v>671.0</v>
      </c>
      <c r="G276" s="63">
        <f t="shared" si="37"/>
        <v>0.00932642487</v>
      </c>
      <c r="H276" s="64">
        <f t="shared" si="38"/>
        <v>0.7279927461</v>
      </c>
      <c r="I276" s="63">
        <f t="shared" si="39"/>
        <v>0.01076942831</v>
      </c>
      <c r="J276" s="65">
        <f t="shared" si="40"/>
        <v>40.02996501</v>
      </c>
      <c r="K276" s="65">
        <f t="shared" si="5"/>
        <v>18.18619491</v>
      </c>
      <c r="L276" s="52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</row>
    <row r="277" ht="14.25" customHeight="1">
      <c r="A277" s="6">
        <v>70704.0</v>
      </c>
      <c r="B277" s="7" t="s">
        <v>27</v>
      </c>
      <c r="C277" s="7" t="s">
        <v>359</v>
      </c>
      <c r="D277" s="7" t="s">
        <v>363</v>
      </c>
      <c r="E277" s="61">
        <v>0.0</v>
      </c>
      <c r="F277" s="62">
        <v>112.0</v>
      </c>
      <c r="G277" s="63">
        <f t="shared" si="37"/>
        <v>0</v>
      </c>
      <c r="H277" s="64">
        <f t="shared" si="38"/>
        <v>0</v>
      </c>
      <c r="I277" s="63">
        <f t="shared" si="39"/>
        <v>0.001797579687</v>
      </c>
      <c r="J277" s="65">
        <f t="shared" si="40"/>
        <v>6.681603698</v>
      </c>
      <c r="K277" s="65">
        <f t="shared" si="5"/>
        <v>0</v>
      </c>
      <c r="L277" s="52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</row>
    <row r="278" ht="14.25" customHeight="1">
      <c r="A278" s="6">
        <v>70705.0</v>
      </c>
      <c r="B278" s="7" t="s">
        <v>27</v>
      </c>
      <c r="C278" s="7" t="s">
        <v>359</v>
      </c>
      <c r="D278" s="7" t="s">
        <v>364</v>
      </c>
      <c r="E278" s="61">
        <v>16.0</v>
      </c>
      <c r="F278" s="62">
        <v>338.0</v>
      </c>
      <c r="G278" s="63">
        <f t="shared" si="37"/>
        <v>0.01658031088</v>
      </c>
      <c r="H278" s="64">
        <f t="shared" si="38"/>
        <v>1.294209326</v>
      </c>
      <c r="I278" s="63">
        <f t="shared" si="39"/>
        <v>0.005424838699</v>
      </c>
      <c r="J278" s="65">
        <f t="shared" si="40"/>
        <v>20.16412545</v>
      </c>
      <c r="K278" s="65">
        <f t="shared" si="5"/>
        <v>64.18375694</v>
      </c>
      <c r="L278" s="52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</row>
    <row r="279" ht="14.25" customHeight="1">
      <c r="A279" s="6">
        <v>70706.0</v>
      </c>
      <c r="B279" s="7" t="s">
        <v>27</v>
      </c>
      <c r="C279" s="7" t="s">
        <v>359</v>
      </c>
      <c r="D279" s="7" t="s">
        <v>365</v>
      </c>
      <c r="E279" s="61">
        <v>7.0</v>
      </c>
      <c r="F279" s="62">
        <v>668.0</v>
      </c>
      <c r="G279" s="63">
        <f t="shared" si="37"/>
        <v>0.00725388601</v>
      </c>
      <c r="H279" s="64">
        <f t="shared" si="38"/>
        <v>0.5662165803</v>
      </c>
      <c r="I279" s="63">
        <f t="shared" si="39"/>
        <v>0.01072127885</v>
      </c>
      <c r="J279" s="65">
        <f t="shared" si="40"/>
        <v>39.85099348</v>
      </c>
      <c r="K279" s="65">
        <f t="shared" si="5"/>
        <v>14.2083429</v>
      </c>
      <c r="L279" s="52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</row>
    <row r="280" ht="14.25" customHeight="1">
      <c r="A280" s="6">
        <v>70707.0</v>
      </c>
      <c r="B280" s="7" t="s">
        <v>27</v>
      </c>
      <c r="C280" s="7" t="s">
        <v>359</v>
      </c>
      <c r="D280" s="7" t="s">
        <v>366</v>
      </c>
      <c r="E280" s="61">
        <v>0.0</v>
      </c>
      <c r="F280" s="62">
        <v>113.0</v>
      </c>
      <c r="G280" s="63">
        <f t="shared" si="37"/>
        <v>0</v>
      </c>
      <c r="H280" s="64">
        <f t="shared" si="38"/>
        <v>0</v>
      </c>
      <c r="I280" s="63">
        <f t="shared" si="39"/>
        <v>0.001813629506</v>
      </c>
      <c r="J280" s="65">
        <f t="shared" si="40"/>
        <v>6.741260874</v>
      </c>
      <c r="K280" s="65">
        <f t="shared" si="5"/>
        <v>0</v>
      </c>
      <c r="L280" s="52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</row>
    <row r="281" ht="14.25" customHeight="1">
      <c r="A281" s="6">
        <v>70801.0</v>
      </c>
      <c r="B281" s="7" t="s">
        <v>27</v>
      </c>
      <c r="C281" s="7" t="s">
        <v>367</v>
      </c>
      <c r="D281" s="7" t="s">
        <v>367</v>
      </c>
      <c r="E281" s="61">
        <v>3.0</v>
      </c>
      <c r="F281" s="62">
        <v>324.0</v>
      </c>
      <c r="G281" s="63">
        <f t="shared" si="37"/>
        <v>0.00310880829</v>
      </c>
      <c r="H281" s="64">
        <f t="shared" si="38"/>
        <v>0.2426642487</v>
      </c>
      <c r="I281" s="63">
        <f t="shared" si="39"/>
        <v>0.005200141238</v>
      </c>
      <c r="J281" s="65">
        <f t="shared" si="40"/>
        <v>19.32892498</v>
      </c>
      <c r="K281" s="65">
        <f t="shared" si="5"/>
        <v>12.55446172</v>
      </c>
      <c r="L281" s="52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</row>
    <row r="282" ht="14.25" customHeight="1">
      <c r="A282" s="6">
        <v>70802.0</v>
      </c>
      <c r="B282" s="7" t="s">
        <v>27</v>
      </c>
      <c r="C282" s="7" t="s">
        <v>367</v>
      </c>
      <c r="D282" s="7" t="s">
        <v>368</v>
      </c>
      <c r="E282" s="61">
        <v>0.0</v>
      </c>
      <c r="F282" s="62">
        <v>33.0</v>
      </c>
      <c r="G282" s="63">
        <f t="shared" si="37"/>
        <v>0</v>
      </c>
      <c r="H282" s="64">
        <f t="shared" si="38"/>
        <v>0</v>
      </c>
      <c r="I282" s="63">
        <f t="shared" si="39"/>
        <v>0.000529644015</v>
      </c>
      <c r="J282" s="65">
        <f t="shared" si="40"/>
        <v>1.968686804</v>
      </c>
      <c r="K282" s="65">
        <f t="shared" si="5"/>
        <v>0</v>
      </c>
      <c r="L282" s="52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</row>
    <row r="283" ht="14.25" customHeight="1">
      <c r="A283" s="6">
        <v>70803.0</v>
      </c>
      <c r="B283" s="7" t="s">
        <v>27</v>
      </c>
      <c r="C283" s="7" t="s">
        <v>367</v>
      </c>
      <c r="D283" s="7" t="s">
        <v>369</v>
      </c>
      <c r="E283" s="61">
        <v>0.0</v>
      </c>
      <c r="F283" s="62">
        <v>70.0</v>
      </c>
      <c r="G283" s="63">
        <f t="shared" si="37"/>
        <v>0</v>
      </c>
      <c r="H283" s="64">
        <f t="shared" si="38"/>
        <v>0</v>
      </c>
      <c r="I283" s="63">
        <f t="shared" si="39"/>
        <v>0.001123487305</v>
      </c>
      <c r="J283" s="65">
        <f t="shared" si="40"/>
        <v>4.176002311</v>
      </c>
      <c r="K283" s="65">
        <f t="shared" si="5"/>
        <v>0</v>
      </c>
      <c r="L283" s="52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</row>
    <row r="284" ht="14.25" customHeight="1">
      <c r="A284" s="6">
        <v>70804.0</v>
      </c>
      <c r="B284" s="7" t="s">
        <v>27</v>
      </c>
      <c r="C284" s="7" t="s">
        <v>367</v>
      </c>
      <c r="D284" s="7" t="s">
        <v>370</v>
      </c>
      <c r="E284" s="61">
        <v>0.0</v>
      </c>
      <c r="F284" s="62">
        <v>46.0</v>
      </c>
      <c r="G284" s="63">
        <f t="shared" si="37"/>
        <v>0</v>
      </c>
      <c r="H284" s="64">
        <f t="shared" si="38"/>
        <v>0</v>
      </c>
      <c r="I284" s="63">
        <f t="shared" si="39"/>
        <v>0.0007382916573</v>
      </c>
      <c r="J284" s="65">
        <f t="shared" si="40"/>
        <v>2.74423009</v>
      </c>
      <c r="K284" s="65">
        <f t="shared" si="5"/>
        <v>0</v>
      </c>
      <c r="L284" s="52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</row>
    <row r="285" ht="14.25" customHeight="1">
      <c r="A285" s="6">
        <v>70805.0</v>
      </c>
      <c r="B285" s="7" t="s">
        <v>27</v>
      </c>
      <c r="C285" s="7" t="s">
        <v>367</v>
      </c>
      <c r="D285" s="7" t="s">
        <v>371</v>
      </c>
      <c r="E285" s="61">
        <v>0.0</v>
      </c>
      <c r="F285" s="62">
        <v>40.0</v>
      </c>
      <c r="G285" s="63">
        <f t="shared" si="37"/>
        <v>0</v>
      </c>
      <c r="H285" s="64">
        <f t="shared" si="38"/>
        <v>0</v>
      </c>
      <c r="I285" s="63">
        <f t="shared" si="39"/>
        <v>0.0006419927455</v>
      </c>
      <c r="J285" s="65">
        <f t="shared" si="40"/>
        <v>2.386287035</v>
      </c>
      <c r="K285" s="65">
        <f t="shared" si="5"/>
        <v>0</v>
      </c>
      <c r="L285" s="52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</row>
    <row r="286" ht="14.25" customHeight="1">
      <c r="A286" s="6">
        <v>70901.0</v>
      </c>
      <c r="B286" s="7" t="s">
        <v>27</v>
      </c>
      <c r="C286" s="7" t="s">
        <v>372</v>
      </c>
      <c r="D286" s="7" t="s">
        <v>373</v>
      </c>
      <c r="E286" s="61">
        <v>0.0</v>
      </c>
      <c r="F286" s="62">
        <v>215.0</v>
      </c>
      <c r="G286" s="63">
        <f t="shared" si="37"/>
        <v>0</v>
      </c>
      <c r="H286" s="64">
        <f t="shared" si="38"/>
        <v>0</v>
      </c>
      <c r="I286" s="63">
        <f t="shared" si="39"/>
        <v>0.003450711007</v>
      </c>
      <c r="J286" s="65">
        <f t="shared" si="40"/>
        <v>12.82629281</v>
      </c>
      <c r="K286" s="65">
        <f t="shared" si="5"/>
        <v>0</v>
      </c>
      <c r="L286" s="52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</row>
    <row r="287" ht="14.25" customHeight="1">
      <c r="A287" s="6">
        <v>70902.0</v>
      </c>
      <c r="B287" s="7" t="s">
        <v>27</v>
      </c>
      <c r="C287" s="7" t="s">
        <v>372</v>
      </c>
      <c r="D287" s="7" t="s">
        <v>374</v>
      </c>
      <c r="E287" s="61">
        <v>3.0</v>
      </c>
      <c r="F287" s="62">
        <v>219.0</v>
      </c>
      <c r="G287" s="63">
        <f t="shared" si="37"/>
        <v>0.00310880829</v>
      </c>
      <c r="H287" s="64">
        <f t="shared" si="38"/>
        <v>0.2426642487</v>
      </c>
      <c r="I287" s="63">
        <f t="shared" si="39"/>
        <v>0.003514910282</v>
      </c>
      <c r="J287" s="65">
        <f t="shared" si="40"/>
        <v>13.06492152</v>
      </c>
      <c r="K287" s="65">
        <f t="shared" si="5"/>
        <v>18.57372418</v>
      </c>
      <c r="L287" s="52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</row>
    <row r="288" ht="14.25" customHeight="1">
      <c r="A288" s="6">
        <v>70903.0</v>
      </c>
      <c r="B288" s="7" t="s">
        <v>27</v>
      </c>
      <c r="C288" s="7" t="s">
        <v>372</v>
      </c>
      <c r="D288" s="7" t="s">
        <v>375</v>
      </c>
      <c r="E288" s="61">
        <v>5.0</v>
      </c>
      <c r="F288" s="62">
        <v>255.0</v>
      </c>
      <c r="G288" s="63">
        <f t="shared" si="37"/>
        <v>0.00518134715</v>
      </c>
      <c r="H288" s="64">
        <f t="shared" si="38"/>
        <v>0.4044404145</v>
      </c>
      <c r="I288" s="63">
        <f t="shared" si="39"/>
        <v>0.004092703752</v>
      </c>
      <c r="J288" s="65">
        <f t="shared" si="40"/>
        <v>15.21257985</v>
      </c>
      <c r="K288" s="65">
        <f t="shared" si="5"/>
        <v>26.58591893</v>
      </c>
      <c r="L288" s="52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</row>
    <row r="289" ht="14.25" customHeight="1">
      <c r="A289" s="6">
        <v>70904.0</v>
      </c>
      <c r="B289" s="7" t="s">
        <v>27</v>
      </c>
      <c r="C289" s="7" t="s">
        <v>372</v>
      </c>
      <c r="D289" s="7" t="s">
        <v>376</v>
      </c>
      <c r="E289" s="61">
        <v>1.0</v>
      </c>
      <c r="F289" s="62">
        <v>47.0</v>
      </c>
      <c r="G289" s="63">
        <f t="shared" si="37"/>
        <v>0.00103626943</v>
      </c>
      <c r="H289" s="64">
        <f t="shared" si="38"/>
        <v>0.0808880829</v>
      </c>
      <c r="I289" s="63">
        <f t="shared" si="39"/>
        <v>0.0007543414759</v>
      </c>
      <c r="J289" s="65">
        <f t="shared" si="40"/>
        <v>2.803887266</v>
      </c>
      <c r="K289" s="65">
        <f t="shared" si="5"/>
        <v>28.84855033</v>
      </c>
      <c r="L289" s="52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</row>
    <row r="290" ht="14.25" customHeight="1">
      <c r="A290" s="6">
        <v>71001.0</v>
      </c>
      <c r="B290" s="7" t="s">
        <v>27</v>
      </c>
      <c r="C290" s="7" t="s">
        <v>377</v>
      </c>
      <c r="D290" s="7" t="s">
        <v>378</v>
      </c>
      <c r="E290" s="61">
        <v>40.0</v>
      </c>
      <c r="F290" s="62">
        <v>2711.0</v>
      </c>
      <c r="G290" s="63">
        <f t="shared" si="37"/>
        <v>0.0414507772</v>
      </c>
      <c r="H290" s="64">
        <f t="shared" si="38"/>
        <v>3.235523316</v>
      </c>
      <c r="I290" s="63">
        <f t="shared" si="39"/>
        <v>0.04351105833</v>
      </c>
      <c r="J290" s="65">
        <f t="shared" si="40"/>
        <v>161.7306038</v>
      </c>
      <c r="K290" s="65">
        <f t="shared" si="5"/>
        <v>20.00563431</v>
      </c>
      <c r="L290" s="52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</row>
    <row r="291" ht="14.25" customHeight="1">
      <c r="A291" s="6">
        <v>71002.0</v>
      </c>
      <c r="B291" s="7" t="s">
        <v>27</v>
      </c>
      <c r="C291" s="7" t="s">
        <v>377</v>
      </c>
      <c r="D291" s="7" t="s">
        <v>379</v>
      </c>
      <c r="E291" s="61">
        <v>3.0</v>
      </c>
      <c r="F291" s="62">
        <v>365.0</v>
      </c>
      <c r="G291" s="63">
        <f t="shared" si="37"/>
        <v>0.00310880829</v>
      </c>
      <c r="H291" s="64">
        <f t="shared" si="38"/>
        <v>0.2426642487</v>
      </c>
      <c r="I291" s="63">
        <f t="shared" si="39"/>
        <v>0.005858183803</v>
      </c>
      <c r="J291" s="65">
        <f t="shared" si="40"/>
        <v>21.77486919</v>
      </c>
      <c r="K291" s="65">
        <f t="shared" si="5"/>
        <v>11.14423451</v>
      </c>
      <c r="L291" s="52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</row>
    <row r="292" ht="14.25" customHeight="1">
      <c r="A292" s="6">
        <v>71003.0</v>
      </c>
      <c r="B292" s="7" t="s">
        <v>27</v>
      </c>
      <c r="C292" s="7" t="s">
        <v>377</v>
      </c>
      <c r="D292" s="7" t="s">
        <v>380</v>
      </c>
      <c r="E292" s="61">
        <v>12.0</v>
      </c>
      <c r="F292" s="62">
        <v>637.0</v>
      </c>
      <c r="G292" s="63">
        <f t="shared" si="37"/>
        <v>0.01243523316</v>
      </c>
      <c r="H292" s="64">
        <f t="shared" si="38"/>
        <v>0.9706569948</v>
      </c>
      <c r="I292" s="63">
        <f t="shared" si="39"/>
        <v>0.01022373447</v>
      </c>
      <c r="J292" s="65">
        <f t="shared" si="40"/>
        <v>38.00162103</v>
      </c>
      <c r="K292" s="65">
        <f t="shared" si="5"/>
        <v>25.54251552</v>
      </c>
      <c r="L292" s="52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</row>
    <row r="293" ht="14.25" customHeight="1">
      <c r="A293" s="6">
        <v>71004.0</v>
      </c>
      <c r="B293" s="7" t="s">
        <v>27</v>
      </c>
      <c r="C293" s="7" t="s">
        <v>377</v>
      </c>
      <c r="D293" s="7" t="s">
        <v>381</v>
      </c>
      <c r="E293" s="61">
        <v>10.0</v>
      </c>
      <c r="F293" s="62">
        <v>341.0</v>
      </c>
      <c r="G293" s="63">
        <f t="shared" si="37"/>
        <v>0.0103626943</v>
      </c>
      <c r="H293" s="64">
        <f t="shared" si="38"/>
        <v>0.808880829</v>
      </c>
      <c r="I293" s="63">
        <f t="shared" si="39"/>
        <v>0.005472988155</v>
      </c>
      <c r="J293" s="65">
        <f t="shared" si="40"/>
        <v>20.34309697</v>
      </c>
      <c r="K293" s="65">
        <f t="shared" si="5"/>
        <v>39.76193153</v>
      </c>
      <c r="L293" s="52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</row>
    <row r="294" ht="14.25" customHeight="1">
      <c r="A294" s="6">
        <v>71005.0</v>
      </c>
      <c r="B294" s="7" t="s">
        <v>27</v>
      </c>
      <c r="C294" s="7" t="s">
        <v>377</v>
      </c>
      <c r="D294" s="7" t="s">
        <v>382</v>
      </c>
      <c r="E294" s="61">
        <v>7.0</v>
      </c>
      <c r="F294" s="62">
        <v>420.0</v>
      </c>
      <c r="G294" s="63">
        <f t="shared" si="37"/>
        <v>0.00725388601</v>
      </c>
      <c r="H294" s="64">
        <f t="shared" si="38"/>
        <v>0.5662165803</v>
      </c>
      <c r="I294" s="63">
        <f t="shared" si="39"/>
        <v>0.006740923828</v>
      </c>
      <c r="J294" s="65">
        <f t="shared" si="40"/>
        <v>25.05601387</v>
      </c>
      <c r="K294" s="65">
        <f t="shared" si="5"/>
        <v>22.59803109</v>
      </c>
      <c r="L294" s="52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</row>
    <row r="295" ht="14.25" customHeight="1">
      <c r="A295" s="6">
        <v>71101.0</v>
      </c>
      <c r="B295" s="7" t="s">
        <v>27</v>
      </c>
      <c r="C295" s="7" t="s">
        <v>383</v>
      </c>
      <c r="D295" s="7" t="s">
        <v>384</v>
      </c>
      <c r="E295" s="61">
        <v>10.0</v>
      </c>
      <c r="F295" s="62">
        <v>534.0</v>
      </c>
      <c r="G295" s="63">
        <f t="shared" si="37"/>
        <v>0.0103626943</v>
      </c>
      <c r="H295" s="64">
        <f t="shared" si="38"/>
        <v>0.808880829</v>
      </c>
      <c r="I295" s="63">
        <f t="shared" si="39"/>
        <v>0.008570603152</v>
      </c>
      <c r="J295" s="65">
        <f t="shared" si="40"/>
        <v>31.85693192</v>
      </c>
      <c r="K295" s="65">
        <f t="shared" si="5"/>
        <v>25.39104617</v>
      </c>
      <c r="L295" s="52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</row>
    <row r="296" ht="14.25" customHeight="1">
      <c r="A296" s="6">
        <v>71102.0</v>
      </c>
      <c r="B296" s="7" t="s">
        <v>27</v>
      </c>
      <c r="C296" s="7" t="s">
        <v>383</v>
      </c>
      <c r="D296" s="7" t="s">
        <v>385</v>
      </c>
      <c r="E296" s="61">
        <v>15.0</v>
      </c>
      <c r="F296" s="62">
        <v>353.0</v>
      </c>
      <c r="G296" s="63">
        <f t="shared" si="37"/>
        <v>0.01554404145</v>
      </c>
      <c r="H296" s="64">
        <f t="shared" si="38"/>
        <v>1.213321244</v>
      </c>
      <c r="I296" s="63">
        <f t="shared" si="39"/>
        <v>0.005665585979</v>
      </c>
      <c r="J296" s="65">
        <f t="shared" si="40"/>
        <v>21.05898308</v>
      </c>
      <c r="K296" s="65">
        <f t="shared" si="5"/>
        <v>57.61537671</v>
      </c>
      <c r="L296" s="52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</row>
    <row r="297" ht="14.25" customHeight="1">
      <c r="A297" s="6">
        <v>71103.0</v>
      </c>
      <c r="B297" s="7" t="s">
        <v>27</v>
      </c>
      <c r="C297" s="7" t="s">
        <v>383</v>
      </c>
      <c r="D297" s="7" t="s">
        <v>386</v>
      </c>
      <c r="E297" s="61">
        <v>17.0</v>
      </c>
      <c r="F297" s="62">
        <v>1209.0</v>
      </c>
      <c r="G297" s="63">
        <f t="shared" si="37"/>
        <v>0.01761658031</v>
      </c>
      <c r="H297" s="64">
        <f t="shared" si="38"/>
        <v>1.375097409</v>
      </c>
      <c r="I297" s="63">
        <f t="shared" si="39"/>
        <v>0.01940423073</v>
      </c>
      <c r="J297" s="65">
        <f t="shared" si="40"/>
        <v>72.12552563</v>
      </c>
      <c r="K297" s="65">
        <f t="shared" si="5"/>
        <v>19.0653364</v>
      </c>
      <c r="L297" s="52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</row>
    <row r="298" ht="14.25" customHeight="1">
      <c r="A298" s="6">
        <v>71104.0</v>
      </c>
      <c r="B298" s="7" t="s">
        <v>27</v>
      </c>
      <c r="C298" s="7" t="s">
        <v>383</v>
      </c>
      <c r="D298" s="7" t="s">
        <v>387</v>
      </c>
      <c r="E298" s="61">
        <v>8.0</v>
      </c>
      <c r="F298" s="62">
        <v>155.0</v>
      </c>
      <c r="G298" s="63">
        <f t="shared" si="37"/>
        <v>0.00829015544</v>
      </c>
      <c r="H298" s="64">
        <f t="shared" si="38"/>
        <v>0.6471046632</v>
      </c>
      <c r="I298" s="63">
        <f t="shared" si="39"/>
        <v>0.002487721889</v>
      </c>
      <c r="J298" s="65">
        <f t="shared" si="40"/>
        <v>9.24686226</v>
      </c>
      <c r="K298" s="65">
        <f t="shared" si="5"/>
        <v>69.9809995</v>
      </c>
      <c r="L298" s="52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</row>
    <row r="299" ht="14.25" customHeight="1">
      <c r="A299" s="6">
        <v>71105.0</v>
      </c>
      <c r="B299" s="7" t="s">
        <v>27</v>
      </c>
      <c r="C299" s="7" t="s">
        <v>383</v>
      </c>
      <c r="D299" s="7" t="s">
        <v>388</v>
      </c>
      <c r="E299" s="61">
        <v>4.0</v>
      </c>
      <c r="F299" s="62">
        <v>216.0</v>
      </c>
      <c r="G299" s="63">
        <f t="shared" si="37"/>
        <v>0.00414507772</v>
      </c>
      <c r="H299" s="64">
        <f t="shared" si="38"/>
        <v>0.3235523316</v>
      </c>
      <c r="I299" s="63">
        <f t="shared" si="39"/>
        <v>0.003466760826</v>
      </c>
      <c r="J299" s="65">
        <f t="shared" si="40"/>
        <v>12.88594999</v>
      </c>
      <c r="K299" s="65">
        <f t="shared" si="5"/>
        <v>25.10892343</v>
      </c>
      <c r="L299" s="52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</row>
    <row r="300" ht="14.25" customHeight="1">
      <c r="A300" s="6">
        <v>71106.0</v>
      </c>
      <c r="B300" s="7" t="s">
        <v>27</v>
      </c>
      <c r="C300" s="7" t="s">
        <v>383</v>
      </c>
      <c r="D300" s="7" t="s">
        <v>389</v>
      </c>
      <c r="E300" s="61">
        <v>12.0</v>
      </c>
      <c r="F300" s="62">
        <v>581.0</v>
      </c>
      <c r="G300" s="63">
        <f t="shared" si="37"/>
        <v>0.01243523316</v>
      </c>
      <c r="H300" s="64">
        <f t="shared" si="38"/>
        <v>0.9706569948</v>
      </c>
      <c r="I300" s="63">
        <f t="shared" si="39"/>
        <v>0.009324944628</v>
      </c>
      <c r="J300" s="65">
        <f t="shared" si="40"/>
        <v>34.66081918</v>
      </c>
      <c r="K300" s="65">
        <f t="shared" si="5"/>
        <v>28.00444472</v>
      </c>
      <c r="L300" s="52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</row>
    <row r="301" ht="14.25" customHeight="1">
      <c r="A301" s="6">
        <v>71201.0</v>
      </c>
      <c r="B301" s="7" t="s">
        <v>27</v>
      </c>
      <c r="C301" s="7" t="s">
        <v>390</v>
      </c>
      <c r="D301" s="7" t="s">
        <v>391</v>
      </c>
      <c r="E301" s="61">
        <v>7.0</v>
      </c>
      <c r="F301" s="62">
        <v>356.0</v>
      </c>
      <c r="G301" s="63">
        <f t="shared" si="37"/>
        <v>0.00725388601</v>
      </c>
      <c r="H301" s="64">
        <f t="shared" si="38"/>
        <v>0.5662165803</v>
      </c>
      <c r="I301" s="63">
        <f t="shared" si="39"/>
        <v>0.005713735435</v>
      </c>
      <c r="J301" s="65">
        <f t="shared" si="40"/>
        <v>21.23795461</v>
      </c>
      <c r="K301" s="65">
        <f t="shared" si="5"/>
        <v>26.66059847</v>
      </c>
      <c r="L301" s="52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</row>
    <row r="302" ht="14.25" customHeight="1">
      <c r="A302" s="6">
        <v>71301.0</v>
      </c>
      <c r="B302" s="7" t="s">
        <v>27</v>
      </c>
      <c r="C302" s="7" t="s">
        <v>392</v>
      </c>
      <c r="D302" s="7" t="s">
        <v>393</v>
      </c>
      <c r="E302" s="61">
        <v>3.0</v>
      </c>
      <c r="F302" s="62">
        <v>448.0</v>
      </c>
      <c r="G302" s="63">
        <f t="shared" si="37"/>
        <v>0.00310880829</v>
      </c>
      <c r="H302" s="64">
        <f t="shared" si="38"/>
        <v>0.2426642487</v>
      </c>
      <c r="I302" s="63">
        <f t="shared" si="39"/>
        <v>0.007190318749</v>
      </c>
      <c r="J302" s="65">
        <f t="shared" si="40"/>
        <v>26.72641479</v>
      </c>
      <c r="K302" s="65">
        <f t="shared" si="5"/>
        <v>9.079566062</v>
      </c>
      <c r="L302" s="52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</row>
    <row r="303" ht="14.25" customHeight="1">
      <c r="A303" s="6">
        <v>71302.0</v>
      </c>
      <c r="B303" s="7" t="s">
        <v>27</v>
      </c>
      <c r="C303" s="7" t="s">
        <v>392</v>
      </c>
      <c r="D303" s="7" t="s">
        <v>394</v>
      </c>
      <c r="E303" s="61">
        <v>1.0</v>
      </c>
      <c r="F303" s="62">
        <v>175.0</v>
      </c>
      <c r="G303" s="63">
        <f t="shared" si="37"/>
        <v>0.00103626943</v>
      </c>
      <c r="H303" s="64">
        <f t="shared" si="38"/>
        <v>0.0808880829</v>
      </c>
      <c r="I303" s="63">
        <f t="shared" si="39"/>
        <v>0.002808718261</v>
      </c>
      <c r="J303" s="65">
        <f t="shared" si="40"/>
        <v>10.44000578</v>
      </c>
      <c r="K303" s="65">
        <f t="shared" si="5"/>
        <v>7.747896373</v>
      </c>
      <c r="L303" s="52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</row>
    <row r="304" ht="14.25" customHeight="1">
      <c r="A304" s="6">
        <v>71401.0</v>
      </c>
      <c r="B304" s="7" t="s">
        <v>27</v>
      </c>
      <c r="C304" s="7" t="s">
        <v>395</v>
      </c>
      <c r="D304" s="7" t="s">
        <v>396</v>
      </c>
      <c r="E304" s="61">
        <v>7.0</v>
      </c>
      <c r="F304" s="62">
        <v>383.0</v>
      </c>
      <c r="G304" s="63">
        <f t="shared" si="37"/>
        <v>0.00725388601</v>
      </c>
      <c r="H304" s="64">
        <f t="shared" si="38"/>
        <v>0.5662165803</v>
      </c>
      <c r="I304" s="63">
        <f t="shared" si="39"/>
        <v>0.006147080538</v>
      </c>
      <c r="J304" s="65">
        <f t="shared" si="40"/>
        <v>22.84869836</v>
      </c>
      <c r="K304" s="65">
        <f t="shared" si="5"/>
        <v>24.7811307</v>
      </c>
      <c r="L304" s="52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</row>
    <row r="305" ht="14.25" customHeight="1">
      <c r="A305" s="6">
        <v>71402.0</v>
      </c>
      <c r="B305" s="7" t="s">
        <v>27</v>
      </c>
      <c r="C305" s="7" t="s">
        <v>395</v>
      </c>
      <c r="D305" s="7" t="s">
        <v>397</v>
      </c>
      <c r="E305" s="61">
        <v>10.0</v>
      </c>
      <c r="F305" s="62">
        <v>424.0</v>
      </c>
      <c r="G305" s="63">
        <f t="shared" si="37"/>
        <v>0.0103626943</v>
      </c>
      <c r="H305" s="64">
        <f t="shared" si="38"/>
        <v>0.808880829</v>
      </c>
      <c r="I305" s="63">
        <f t="shared" si="39"/>
        <v>0.006805123102</v>
      </c>
      <c r="J305" s="65">
        <f t="shared" si="40"/>
        <v>25.29464257</v>
      </c>
      <c r="K305" s="65">
        <f t="shared" si="5"/>
        <v>31.97834588</v>
      </c>
      <c r="L305" s="52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</row>
    <row r="306" ht="14.25" customHeight="1">
      <c r="A306" s="6">
        <v>71403.0</v>
      </c>
      <c r="B306" s="7" t="s">
        <v>27</v>
      </c>
      <c r="C306" s="7" t="s">
        <v>395</v>
      </c>
      <c r="D306" s="7" t="s">
        <v>398</v>
      </c>
      <c r="E306" s="61">
        <v>1.0</v>
      </c>
      <c r="F306" s="62">
        <v>131.0</v>
      </c>
      <c r="G306" s="63">
        <f t="shared" si="37"/>
        <v>0.00103626943</v>
      </c>
      <c r="H306" s="64">
        <f t="shared" si="38"/>
        <v>0.0808880829</v>
      </c>
      <c r="I306" s="63">
        <f t="shared" si="39"/>
        <v>0.002102526241</v>
      </c>
      <c r="J306" s="65">
        <f t="shared" si="40"/>
        <v>7.815090039</v>
      </c>
      <c r="K306" s="65">
        <f t="shared" si="5"/>
        <v>10.35024325</v>
      </c>
      <c r="L306" s="52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</row>
    <row r="307" ht="14.25" customHeight="1">
      <c r="A307" s="6">
        <v>71501.0</v>
      </c>
      <c r="B307" s="7" t="s">
        <v>27</v>
      </c>
      <c r="C307" s="7" t="s">
        <v>399</v>
      </c>
      <c r="D307" s="7" t="s">
        <v>400</v>
      </c>
      <c r="E307" s="61">
        <v>10.0</v>
      </c>
      <c r="F307" s="62">
        <v>725.0</v>
      </c>
      <c r="G307" s="63">
        <f t="shared" si="37"/>
        <v>0.0103626943</v>
      </c>
      <c r="H307" s="64">
        <f t="shared" si="38"/>
        <v>0.808880829</v>
      </c>
      <c r="I307" s="63">
        <f t="shared" si="39"/>
        <v>0.01163611851</v>
      </c>
      <c r="J307" s="65">
        <f t="shared" si="40"/>
        <v>43.25145251</v>
      </c>
      <c r="K307" s="65">
        <f t="shared" si="5"/>
        <v>18.70181883</v>
      </c>
      <c r="L307" s="52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</row>
    <row r="308" ht="14.25" customHeight="1">
      <c r="A308" s="6">
        <v>71502.0</v>
      </c>
      <c r="B308" s="7" t="s">
        <v>27</v>
      </c>
      <c r="C308" s="7" t="s">
        <v>399</v>
      </c>
      <c r="D308" s="7" t="s">
        <v>401</v>
      </c>
      <c r="E308" s="61">
        <v>3.0</v>
      </c>
      <c r="F308" s="62">
        <v>181.0</v>
      </c>
      <c r="G308" s="63">
        <f t="shared" si="37"/>
        <v>0.00310880829</v>
      </c>
      <c r="H308" s="64">
        <f t="shared" si="38"/>
        <v>0.2426642487</v>
      </c>
      <c r="I308" s="63">
        <f t="shared" si="39"/>
        <v>0.002905017173</v>
      </c>
      <c r="J308" s="65">
        <f t="shared" si="40"/>
        <v>10.79794883</v>
      </c>
      <c r="K308" s="65">
        <f t="shared" si="5"/>
        <v>22.47318009</v>
      </c>
      <c r="L308" s="52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</row>
    <row r="309" ht="14.25" customHeight="1">
      <c r="A309" s="6">
        <v>71503.0</v>
      </c>
      <c r="B309" s="7" t="s">
        <v>27</v>
      </c>
      <c r="C309" s="7" t="s">
        <v>399</v>
      </c>
      <c r="D309" s="7" t="s">
        <v>332</v>
      </c>
      <c r="E309" s="61">
        <v>10.0</v>
      </c>
      <c r="F309" s="62">
        <v>402.0</v>
      </c>
      <c r="G309" s="63">
        <f t="shared" si="37"/>
        <v>0.0103626943</v>
      </c>
      <c r="H309" s="64">
        <f t="shared" si="38"/>
        <v>0.808880829</v>
      </c>
      <c r="I309" s="63">
        <f t="shared" si="39"/>
        <v>0.006452027092</v>
      </c>
      <c r="J309" s="65">
        <f t="shared" si="40"/>
        <v>23.9821847</v>
      </c>
      <c r="K309" s="65">
        <f t="shared" si="5"/>
        <v>33.72840461</v>
      </c>
      <c r="L309" s="52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</row>
    <row r="310" ht="14.25" customHeight="1">
      <c r="A310" s="6">
        <v>80101.0</v>
      </c>
      <c r="B310" s="7" t="s">
        <v>29</v>
      </c>
      <c r="C310" s="7" t="s">
        <v>165</v>
      </c>
      <c r="D310" s="7" t="s">
        <v>402</v>
      </c>
      <c r="E310" s="61">
        <v>57.0</v>
      </c>
      <c r="F310" s="62">
        <v>2690.0</v>
      </c>
      <c r="G310" s="63">
        <f t="shared" ref="G310:G329" si="41">E310/$R$9</f>
        <v>0.1770186335</v>
      </c>
      <c r="H310" s="64">
        <f t="shared" ref="H310:H329" si="42">$S$24*G310</f>
        <v>8.612664596</v>
      </c>
      <c r="I310" s="63">
        <f t="shared" ref="I310:I329" si="43">F310/$S$9</f>
        <v>0.2236820223</v>
      </c>
      <c r="J310" s="65">
        <f t="shared" ref="J310:J329" si="44">I310*$U$24</f>
        <v>320.0889739</v>
      </c>
      <c r="K310" s="65">
        <f t="shared" si="5"/>
        <v>26.90709552</v>
      </c>
      <c r="L310" s="52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</row>
    <row r="311" ht="14.25" customHeight="1">
      <c r="A311" s="6">
        <v>80102.0</v>
      </c>
      <c r="B311" s="7" t="s">
        <v>29</v>
      </c>
      <c r="C311" s="7" t="s">
        <v>165</v>
      </c>
      <c r="D311" s="7" t="s">
        <v>385</v>
      </c>
      <c r="E311" s="61">
        <v>6.0</v>
      </c>
      <c r="F311" s="62">
        <v>171.0</v>
      </c>
      <c r="G311" s="63">
        <f t="shared" si="41"/>
        <v>0.01863354037</v>
      </c>
      <c r="H311" s="64">
        <f t="shared" si="42"/>
        <v>0.9065962733</v>
      </c>
      <c r="I311" s="63">
        <f t="shared" si="43"/>
        <v>0.01421919175</v>
      </c>
      <c r="J311" s="65">
        <f t="shared" si="44"/>
        <v>20.3476634</v>
      </c>
      <c r="K311" s="65">
        <f t="shared" si="5"/>
        <v>44.5553013</v>
      </c>
      <c r="L311" s="52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</row>
    <row r="312" ht="14.25" customHeight="1">
      <c r="A312" s="6">
        <v>80201.0</v>
      </c>
      <c r="B312" s="7" t="s">
        <v>29</v>
      </c>
      <c r="C312" s="7" t="s">
        <v>403</v>
      </c>
      <c r="D312" s="7" t="s">
        <v>404</v>
      </c>
      <c r="E312" s="61">
        <v>80.0</v>
      </c>
      <c r="F312" s="62">
        <v>2939.0</v>
      </c>
      <c r="G312" s="63">
        <f t="shared" si="41"/>
        <v>0.248447205</v>
      </c>
      <c r="H312" s="64">
        <f t="shared" si="42"/>
        <v>12.08795031</v>
      </c>
      <c r="I312" s="63">
        <f t="shared" si="43"/>
        <v>0.2443871612</v>
      </c>
      <c r="J312" s="65">
        <f t="shared" si="44"/>
        <v>349.7180276</v>
      </c>
      <c r="K312" s="65">
        <f t="shared" si="5"/>
        <v>34.56484755</v>
      </c>
      <c r="L312" s="52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</row>
    <row r="313" ht="14.25" customHeight="1">
      <c r="A313" s="6">
        <v>80202.0</v>
      </c>
      <c r="B313" s="7" t="s">
        <v>29</v>
      </c>
      <c r="C313" s="7" t="s">
        <v>403</v>
      </c>
      <c r="D313" s="7" t="s">
        <v>405</v>
      </c>
      <c r="E313" s="61">
        <v>28.0</v>
      </c>
      <c r="F313" s="62">
        <v>1203.0</v>
      </c>
      <c r="G313" s="63">
        <f t="shared" si="41"/>
        <v>0.08695652174</v>
      </c>
      <c r="H313" s="64">
        <f t="shared" si="42"/>
        <v>4.230782609</v>
      </c>
      <c r="I313" s="63">
        <f t="shared" si="43"/>
        <v>0.1000332613</v>
      </c>
      <c r="J313" s="65">
        <f t="shared" si="44"/>
        <v>143.1475969</v>
      </c>
      <c r="K313" s="65">
        <f t="shared" si="5"/>
        <v>29.5553869</v>
      </c>
      <c r="L313" s="52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</row>
    <row r="314" ht="14.25" customHeight="1">
      <c r="A314" s="6">
        <v>80301.0</v>
      </c>
      <c r="B314" s="7" t="s">
        <v>29</v>
      </c>
      <c r="C314" s="7" t="s">
        <v>406</v>
      </c>
      <c r="D314" s="7" t="s">
        <v>407</v>
      </c>
      <c r="E314" s="61">
        <v>12.0</v>
      </c>
      <c r="F314" s="62">
        <v>325.0</v>
      </c>
      <c r="G314" s="63">
        <f t="shared" si="41"/>
        <v>0.03726708075</v>
      </c>
      <c r="H314" s="64">
        <f t="shared" si="42"/>
        <v>1.813192547</v>
      </c>
      <c r="I314" s="63">
        <f t="shared" si="43"/>
        <v>0.02702477964</v>
      </c>
      <c r="J314" s="65">
        <f t="shared" si="44"/>
        <v>38.67245967</v>
      </c>
      <c r="K314" s="65">
        <f t="shared" si="5"/>
        <v>46.88588629</v>
      </c>
      <c r="L314" s="52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</row>
    <row r="315" ht="14.25" customHeight="1">
      <c r="A315" s="6">
        <v>80302.0</v>
      </c>
      <c r="B315" s="7" t="s">
        <v>29</v>
      </c>
      <c r="C315" s="7" t="s">
        <v>406</v>
      </c>
      <c r="D315" s="7" t="s">
        <v>408</v>
      </c>
      <c r="E315" s="61">
        <v>66.0</v>
      </c>
      <c r="F315" s="62">
        <v>1125.0</v>
      </c>
      <c r="G315" s="63">
        <f t="shared" si="41"/>
        <v>0.2049689441</v>
      </c>
      <c r="H315" s="64">
        <f t="shared" si="42"/>
        <v>9.972559006</v>
      </c>
      <c r="I315" s="63">
        <f t="shared" si="43"/>
        <v>0.09354731415</v>
      </c>
      <c r="J315" s="65">
        <f t="shared" si="44"/>
        <v>133.8662066</v>
      </c>
      <c r="K315" s="65">
        <f t="shared" si="5"/>
        <v>74.49646377</v>
      </c>
      <c r="L315" s="52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</row>
    <row r="316" ht="14.25" customHeight="1">
      <c r="A316" s="6">
        <v>80303.0</v>
      </c>
      <c r="B316" s="7" t="s">
        <v>29</v>
      </c>
      <c r="C316" s="7" t="s">
        <v>406</v>
      </c>
      <c r="D316" s="7" t="s">
        <v>409</v>
      </c>
      <c r="E316" s="61">
        <v>6.0</v>
      </c>
      <c r="F316" s="62">
        <v>330.0</v>
      </c>
      <c r="G316" s="63">
        <f t="shared" si="41"/>
        <v>0.01863354037</v>
      </c>
      <c r="H316" s="64">
        <f t="shared" si="42"/>
        <v>0.9065962733</v>
      </c>
      <c r="I316" s="63">
        <f t="shared" si="43"/>
        <v>0.02744054548</v>
      </c>
      <c r="J316" s="65">
        <f t="shared" si="44"/>
        <v>39.26742059</v>
      </c>
      <c r="K316" s="65">
        <f t="shared" si="5"/>
        <v>23.08774704</v>
      </c>
      <c r="L316" s="52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</row>
    <row r="317" ht="14.25" customHeight="1">
      <c r="A317" s="6">
        <v>80304.0</v>
      </c>
      <c r="B317" s="7" t="s">
        <v>29</v>
      </c>
      <c r="C317" s="7" t="s">
        <v>406</v>
      </c>
      <c r="D317" s="7" t="s">
        <v>410</v>
      </c>
      <c r="E317" s="61">
        <v>14.0</v>
      </c>
      <c r="F317" s="62">
        <v>552.0</v>
      </c>
      <c r="G317" s="63">
        <f t="shared" si="41"/>
        <v>0.04347826087</v>
      </c>
      <c r="H317" s="64">
        <f t="shared" si="42"/>
        <v>2.115391304</v>
      </c>
      <c r="I317" s="63">
        <f t="shared" si="43"/>
        <v>0.04590054881</v>
      </c>
      <c r="J317" s="65">
        <f t="shared" si="44"/>
        <v>65.68368535</v>
      </c>
      <c r="K317" s="65">
        <f t="shared" si="5"/>
        <v>32.20573409</v>
      </c>
      <c r="L317" s="52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</row>
    <row r="318" ht="14.25" customHeight="1">
      <c r="A318" s="6">
        <v>80401.0</v>
      </c>
      <c r="B318" s="7" t="s">
        <v>29</v>
      </c>
      <c r="C318" s="7" t="s">
        <v>411</v>
      </c>
      <c r="D318" s="7" t="s">
        <v>412</v>
      </c>
      <c r="E318" s="61">
        <v>12.0</v>
      </c>
      <c r="F318" s="62">
        <v>434.0</v>
      </c>
      <c r="G318" s="63">
        <f t="shared" si="41"/>
        <v>0.03726708075</v>
      </c>
      <c r="H318" s="64">
        <f t="shared" si="42"/>
        <v>1.813192547</v>
      </c>
      <c r="I318" s="63">
        <f t="shared" si="43"/>
        <v>0.03608847497</v>
      </c>
      <c r="J318" s="65">
        <f t="shared" si="44"/>
        <v>51.64260768</v>
      </c>
      <c r="K318" s="65">
        <f t="shared" si="5"/>
        <v>35.11039872</v>
      </c>
      <c r="L318" s="52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</row>
    <row r="319" ht="14.25" customHeight="1">
      <c r="A319" s="6">
        <v>80402.0</v>
      </c>
      <c r="B319" s="7" t="s">
        <v>29</v>
      </c>
      <c r="C319" s="7" t="s">
        <v>411</v>
      </c>
      <c r="D319" s="7" t="s">
        <v>413</v>
      </c>
      <c r="E319" s="61">
        <v>1.0</v>
      </c>
      <c r="F319" s="62">
        <v>183.0</v>
      </c>
      <c r="G319" s="63">
        <f t="shared" si="41"/>
        <v>0.003105590062</v>
      </c>
      <c r="H319" s="64">
        <f t="shared" si="42"/>
        <v>0.1510993789</v>
      </c>
      <c r="I319" s="63">
        <f t="shared" si="43"/>
        <v>0.01521702977</v>
      </c>
      <c r="J319" s="65">
        <f t="shared" si="44"/>
        <v>21.7755696</v>
      </c>
      <c r="K319" s="65">
        <f t="shared" si="5"/>
        <v>6.938940366</v>
      </c>
      <c r="L319" s="52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</row>
    <row r="320" ht="14.25" customHeight="1">
      <c r="A320" s="6">
        <v>80501.0</v>
      </c>
      <c r="B320" s="7" t="s">
        <v>29</v>
      </c>
      <c r="C320" s="7" t="s">
        <v>414</v>
      </c>
      <c r="D320" s="7" t="s">
        <v>415</v>
      </c>
      <c r="E320" s="61">
        <v>12.0</v>
      </c>
      <c r="F320" s="62">
        <v>570.0</v>
      </c>
      <c r="G320" s="63">
        <f t="shared" si="41"/>
        <v>0.03726708075</v>
      </c>
      <c r="H320" s="64">
        <f t="shared" si="42"/>
        <v>1.813192547</v>
      </c>
      <c r="I320" s="63">
        <f t="shared" si="43"/>
        <v>0.04739730584</v>
      </c>
      <c r="J320" s="65">
        <f t="shared" si="44"/>
        <v>67.82554465</v>
      </c>
      <c r="K320" s="65">
        <f t="shared" si="5"/>
        <v>26.73318078</v>
      </c>
      <c r="L320" s="52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</row>
    <row r="321" ht="14.25" customHeight="1">
      <c r="A321" s="6">
        <v>80601.0</v>
      </c>
      <c r="B321" s="7" t="s">
        <v>29</v>
      </c>
      <c r="C321" s="7" t="s">
        <v>416</v>
      </c>
      <c r="D321" s="7" t="s">
        <v>417</v>
      </c>
      <c r="E321" s="61">
        <v>3.0</v>
      </c>
      <c r="F321" s="62">
        <v>128.0</v>
      </c>
      <c r="G321" s="63">
        <f t="shared" si="41"/>
        <v>0.009316770186</v>
      </c>
      <c r="H321" s="64">
        <f t="shared" si="42"/>
        <v>0.4532981366</v>
      </c>
      <c r="I321" s="63">
        <f t="shared" si="43"/>
        <v>0.01064360552</v>
      </c>
      <c r="J321" s="65">
        <f t="shared" si="44"/>
        <v>15.2309995</v>
      </c>
      <c r="K321" s="65">
        <f t="shared" si="5"/>
        <v>29.76154891</v>
      </c>
      <c r="L321" s="52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</row>
    <row r="322" ht="14.25" customHeight="1">
      <c r="A322" s="6">
        <v>80602.0</v>
      </c>
      <c r="B322" s="7" t="s">
        <v>29</v>
      </c>
      <c r="C322" s="7" t="s">
        <v>416</v>
      </c>
      <c r="D322" s="7" t="s">
        <v>418</v>
      </c>
      <c r="E322" s="61">
        <v>6.0</v>
      </c>
      <c r="F322" s="62">
        <v>356.0</v>
      </c>
      <c r="G322" s="63">
        <f t="shared" si="41"/>
        <v>0.01863354037</v>
      </c>
      <c r="H322" s="64">
        <f t="shared" si="42"/>
        <v>0.9065962733</v>
      </c>
      <c r="I322" s="63">
        <f t="shared" si="43"/>
        <v>0.02960252786</v>
      </c>
      <c r="J322" s="65">
        <f t="shared" si="44"/>
        <v>42.36121736</v>
      </c>
      <c r="K322" s="65">
        <f t="shared" si="5"/>
        <v>21.40156326</v>
      </c>
      <c r="L322" s="52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</row>
    <row r="323" ht="14.25" customHeight="1">
      <c r="A323" s="6">
        <v>80701.0</v>
      </c>
      <c r="B323" s="7" t="s">
        <v>29</v>
      </c>
      <c r="C323" s="7" t="s">
        <v>419</v>
      </c>
      <c r="D323" s="7" t="s">
        <v>420</v>
      </c>
      <c r="E323" s="61">
        <v>6.0</v>
      </c>
      <c r="F323" s="62">
        <v>172.0</v>
      </c>
      <c r="G323" s="63">
        <f t="shared" si="41"/>
        <v>0.01863354037</v>
      </c>
      <c r="H323" s="64">
        <f t="shared" si="42"/>
        <v>0.9065962733</v>
      </c>
      <c r="I323" s="63">
        <f t="shared" si="43"/>
        <v>0.01430234492</v>
      </c>
      <c r="J323" s="65">
        <f t="shared" si="44"/>
        <v>20.46665558</v>
      </c>
      <c r="K323" s="65">
        <f t="shared" si="5"/>
        <v>44.29625885</v>
      </c>
      <c r="L323" s="52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</row>
    <row r="324" ht="14.25" customHeight="1">
      <c r="A324" s="6">
        <v>80702.0</v>
      </c>
      <c r="B324" s="7" t="s">
        <v>29</v>
      </c>
      <c r="C324" s="7" t="s">
        <v>419</v>
      </c>
      <c r="D324" s="7" t="s">
        <v>386</v>
      </c>
      <c r="E324" s="61">
        <v>3.0</v>
      </c>
      <c r="F324" s="62">
        <v>122.0</v>
      </c>
      <c r="G324" s="63">
        <f t="shared" si="41"/>
        <v>0.009316770186</v>
      </c>
      <c r="H324" s="64">
        <f t="shared" si="42"/>
        <v>0.4532981366</v>
      </c>
      <c r="I324" s="63">
        <f t="shared" si="43"/>
        <v>0.01014468651</v>
      </c>
      <c r="J324" s="65">
        <f t="shared" si="44"/>
        <v>14.5170464</v>
      </c>
      <c r="K324" s="65">
        <f t="shared" si="5"/>
        <v>31.22523165</v>
      </c>
      <c r="L324" s="52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</row>
    <row r="325" ht="14.25" customHeight="1">
      <c r="A325" s="6">
        <v>80703.0</v>
      </c>
      <c r="B325" s="7" t="s">
        <v>29</v>
      </c>
      <c r="C325" s="7" t="s">
        <v>419</v>
      </c>
      <c r="D325" s="7" t="s">
        <v>421</v>
      </c>
      <c r="E325" s="61">
        <v>2.0</v>
      </c>
      <c r="F325" s="62">
        <v>31.0</v>
      </c>
      <c r="G325" s="63">
        <f t="shared" si="41"/>
        <v>0.006211180124</v>
      </c>
      <c r="H325" s="64">
        <f t="shared" si="42"/>
        <v>0.3021987578</v>
      </c>
      <c r="I325" s="63">
        <f t="shared" si="43"/>
        <v>0.002577748212</v>
      </c>
      <c r="J325" s="65">
        <f t="shared" si="44"/>
        <v>3.688757692</v>
      </c>
      <c r="K325" s="65">
        <f t="shared" si="5"/>
        <v>81.92426367</v>
      </c>
      <c r="L325" s="52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</row>
    <row r="326" ht="14.25" customHeight="1">
      <c r="A326" s="6">
        <v>80801.0</v>
      </c>
      <c r="B326" s="7" t="s">
        <v>29</v>
      </c>
      <c r="C326" s="7" t="s">
        <v>422</v>
      </c>
      <c r="D326" s="7" t="s">
        <v>423</v>
      </c>
      <c r="E326" s="61">
        <v>1.0</v>
      </c>
      <c r="F326" s="62">
        <v>299.0</v>
      </c>
      <c r="G326" s="63">
        <f t="shared" si="41"/>
        <v>0.003105590062</v>
      </c>
      <c r="H326" s="64">
        <f t="shared" si="42"/>
        <v>0.1510993789</v>
      </c>
      <c r="I326" s="63">
        <f t="shared" si="43"/>
        <v>0.02486279727</v>
      </c>
      <c r="J326" s="65">
        <f t="shared" si="44"/>
        <v>35.5786629</v>
      </c>
      <c r="K326" s="65">
        <f t="shared" si="5"/>
        <v>4.24690999</v>
      </c>
      <c r="L326" s="52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</row>
    <row r="327" ht="14.25" customHeight="1">
      <c r="A327" s="6">
        <v>80802.0</v>
      </c>
      <c r="B327" s="7" t="s">
        <v>29</v>
      </c>
      <c r="C327" s="7" t="s">
        <v>422</v>
      </c>
      <c r="D327" s="7" t="s">
        <v>424</v>
      </c>
      <c r="E327" s="61">
        <v>2.0</v>
      </c>
      <c r="F327" s="62">
        <v>156.0</v>
      </c>
      <c r="G327" s="63">
        <f t="shared" si="41"/>
        <v>0.006211180124</v>
      </c>
      <c r="H327" s="64">
        <f t="shared" si="42"/>
        <v>0.3021987578</v>
      </c>
      <c r="I327" s="63">
        <f t="shared" si="43"/>
        <v>0.01297189423</v>
      </c>
      <c r="J327" s="65">
        <f t="shared" si="44"/>
        <v>18.56278064</v>
      </c>
      <c r="K327" s="65">
        <f t="shared" si="5"/>
        <v>16.27982163</v>
      </c>
      <c r="L327" s="52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</row>
    <row r="328" ht="14.25" customHeight="1">
      <c r="A328" s="6">
        <v>80803.0</v>
      </c>
      <c r="B328" s="7" t="s">
        <v>29</v>
      </c>
      <c r="C328" s="7" t="s">
        <v>422</v>
      </c>
      <c r="D328" s="7" t="s">
        <v>425</v>
      </c>
      <c r="E328" s="61">
        <v>2.0</v>
      </c>
      <c r="F328" s="62">
        <v>117.0</v>
      </c>
      <c r="G328" s="63">
        <f t="shared" si="41"/>
        <v>0.006211180124</v>
      </c>
      <c r="H328" s="64">
        <f t="shared" si="42"/>
        <v>0.3021987578</v>
      </c>
      <c r="I328" s="63">
        <f t="shared" si="43"/>
        <v>0.009728920672</v>
      </c>
      <c r="J328" s="65">
        <f t="shared" si="44"/>
        <v>13.92208548</v>
      </c>
      <c r="K328" s="65">
        <f t="shared" si="5"/>
        <v>21.70642884</v>
      </c>
      <c r="L328" s="52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</row>
    <row r="329" ht="14.25" customHeight="1">
      <c r="A329" s="25">
        <v>80901.0</v>
      </c>
      <c r="B329" s="7" t="s">
        <v>29</v>
      </c>
      <c r="C329" s="7"/>
      <c r="D329" s="7" t="s">
        <v>426</v>
      </c>
      <c r="E329" s="61">
        <v>3.0</v>
      </c>
      <c r="F329" s="78">
        <v>123.0</v>
      </c>
      <c r="G329" s="63">
        <f t="shared" si="41"/>
        <v>0.009316770186</v>
      </c>
      <c r="H329" s="64">
        <f t="shared" si="42"/>
        <v>0.4532981366</v>
      </c>
      <c r="I329" s="63">
        <f t="shared" si="43"/>
        <v>0.01022783968</v>
      </c>
      <c r="J329" s="65">
        <f t="shared" si="44"/>
        <v>14.63603858</v>
      </c>
      <c r="K329" s="65">
        <f t="shared" si="5"/>
        <v>30.97136797</v>
      </c>
      <c r="L329" s="52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</row>
    <row r="330" ht="14.25" customHeight="1">
      <c r="A330" s="6">
        <v>90101.0</v>
      </c>
      <c r="B330" s="7" t="s">
        <v>31</v>
      </c>
      <c r="C330" s="7" t="s">
        <v>427</v>
      </c>
      <c r="D330" s="7" t="s">
        <v>428</v>
      </c>
      <c r="E330" s="61">
        <v>7.0</v>
      </c>
      <c r="F330" s="62">
        <v>1353.0</v>
      </c>
      <c r="G330" s="63">
        <f t="shared" ref="G330:G344" si="45">E330/$R$10</f>
        <v>0.4666666667</v>
      </c>
      <c r="H330" s="64">
        <f t="shared" ref="H330:H344" si="46">$S$25*G330</f>
        <v>1.9866</v>
      </c>
      <c r="I330" s="63">
        <f t="shared" ref="I330:I344" si="47">F330/$S$10</f>
        <v>0.3974735605</v>
      </c>
      <c r="J330" s="65">
        <f t="shared" ref="J330:J344" si="48">I330*$U$25</f>
        <v>39.34988249</v>
      </c>
      <c r="K330" s="65">
        <f t="shared" si="5"/>
        <v>50.48553831</v>
      </c>
      <c r="L330" s="52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</row>
    <row r="331" ht="14.25" customHeight="1">
      <c r="A331" s="6">
        <v>90102.0</v>
      </c>
      <c r="B331" s="7" t="s">
        <v>31</v>
      </c>
      <c r="C331" s="7" t="s">
        <v>427</v>
      </c>
      <c r="D331" s="7" t="s">
        <v>429</v>
      </c>
      <c r="E331" s="61">
        <v>0.0</v>
      </c>
      <c r="F331" s="62">
        <v>201.0</v>
      </c>
      <c r="G331" s="63">
        <f t="shared" si="45"/>
        <v>0</v>
      </c>
      <c r="H331" s="64">
        <f t="shared" si="46"/>
        <v>0</v>
      </c>
      <c r="I331" s="63">
        <f t="shared" si="47"/>
        <v>0.05904817861</v>
      </c>
      <c r="J331" s="65">
        <f t="shared" si="48"/>
        <v>5.845769683</v>
      </c>
      <c r="K331" s="65">
        <f t="shared" si="5"/>
        <v>0</v>
      </c>
      <c r="L331" s="52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</row>
    <row r="332" ht="14.25" customHeight="1">
      <c r="A332" s="6">
        <v>90103.0</v>
      </c>
      <c r="B332" s="7" t="s">
        <v>31</v>
      </c>
      <c r="C332" s="7" t="s">
        <v>427</v>
      </c>
      <c r="D332" s="7" t="s">
        <v>430</v>
      </c>
      <c r="E332" s="61">
        <v>0.0</v>
      </c>
      <c r="F332" s="62">
        <v>74.0</v>
      </c>
      <c r="G332" s="63">
        <f t="shared" si="45"/>
        <v>0</v>
      </c>
      <c r="H332" s="64">
        <f t="shared" si="46"/>
        <v>0</v>
      </c>
      <c r="I332" s="63">
        <f t="shared" si="47"/>
        <v>0.02173913043</v>
      </c>
      <c r="J332" s="65">
        <f t="shared" si="48"/>
        <v>2.152173913</v>
      </c>
      <c r="K332" s="65">
        <f t="shared" si="5"/>
        <v>0</v>
      </c>
      <c r="L332" s="52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</row>
    <row r="333" ht="14.25" customHeight="1">
      <c r="A333" s="6">
        <v>90104.0</v>
      </c>
      <c r="B333" s="7" t="s">
        <v>31</v>
      </c>
      <c r="C333" s="7" t="s">
        <v>427</v>
      </c>
      <c r="D333" s="7" t="s">
        <v>431</v>
      </c>
      <c r="E333" s="61">
        <v>0.0</v>
      </c>
      <c r="F333" s="62">
        <v>115.0</v>
      </c>
      <c r="G333" s="63">
        <f t="shared" si="45"/>
        <v>0</v>
      </c>
      <c r="H333" s="64">
        <f t="shared" si="46"/>
        <v>0</v>
      </c>
      <c r="I333" s="63">
        <f t="shared" si="47"/>
        <v>0.03378378378</v>
      </c>
      <c r="J333" s="65">
        <f t="shared" si="48"/>
        <v>3.344594595</v>
      </c>
      <c r="K333" s="65">
        <f t="shared" si="5"/>
        <v>0</v>
      </c>
      <c r="L333" s="52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</row>
    <row r="334" ht="14.25" customHeight="1">
      <c r="A334" s="6">
        <v>90201.0</v>
      </c>
      <c r="B334" s="7" t="s">
        <v>31</v>
      </c>
      <c r="C334" s="7" t="s">
        <v>432</v>
      </c>
      <c r="D334" s="7" t="s">
        <v>433</v>
      </c>
      <c r="E334" s="61">
        <v>0.0</v>
      </c>
      <c r="F334" s="62">
        <v>213.0</v>
      </c>
      <c r="G334" s="63">
        <f t="shared" si="45"/>
        <v>0</v>
      </c>
      <c r="H334" s="64">
        <f t="shared" si="46"/>
        <v>0</v>
      </c>
      <c r="I334" s="63">
        <f t="shared" si="47"/>
        <v>0.06257344301</v>
      </c>
      <c r="J334" s="65">
        <f t="shared" si="48"/>
        <v>6.194770858</v>
      </c>
      <c r="K334" s="65">
        <f t="shared" si="5"/>
        <v>0</v>
      </c>
      <c r="L334" s="52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</row>
    <row r="335" ht="14.25" customHeight="1">
      <c r="A335" s="6">
        <v>90202.0</v>
      </c>
      <c r="B335" s="7" t="s">
        <v>31</v>
      </c>
      <c r="C335" s="7" t="s">
        <v>432</v>
      </c>
      <c r="D335" s="7" t="s">
        <v>382</v>
      </c>
      <c r="E335" s="61">
        <v>0.0</v>
      </c>
      <c r="F335" s="62">
        <v>68.0</v>
      </c>
      <c r="G335" s="63">
        <f t="shared" si="45"/>
        <v>0</v>
      </c>
      <c r="H335" s="64">
        <f t="shared" si="46"/>
        <v>0</v>
      </c>
      <c r="I335" s="63">
        <f t="shared" si="47"/>
        <v>0.01997649824</v>
      </c>
      <c r="J335" s="65">
        <f t="shared" si="48"/>
        <v>1.977673325</v>
      </c>
      <c r="K335" s="65">
        <f t="shared" si="5"/>
        <v>0</v>
      </c>
      <c r="L335" s="52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</row>
    <row r="336" ht="14.25" customHeight="1">
      <c r="A336" s="6">
        <v>90203.0</v>
      </c>
      <c r="B336" s="7" t="s">
        <v>31</v>
      </c>
      <c r="C336" s="7" t="s">
        <v>432</v>
      </c>
      <c r="D336" s="7" t="s">
        <v>434</v>
      </c>
      <c r="E336" s="61">
        <v>0.0</v>
      </c>
      <c r="F336" s="62">
        <v>214.0</v>
      </c>
      <c r="G336" s="63">
        <f t="shared" si="45"/>
        <v>0</v>
      </c>
      <c r="H336" s="64">
        <f t="shared" si="46"/>
        <v>0</v>
      </c>
      <c r="I336" s="63">
        <f t="shared" si="47"/>
        <v>0.06286721504</v>
      </c>
      <c r="J336" s="65">
        <f t="shared" si="48"/>
        <v>6.223854289</v>
      </c>
      <c r="K336" s="65">
        <f t="shared" si="5"/>
        <v>0</v>
      </c>
      <c r="L336" s="52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</row>
    <row r="337" ht="14.25" customHeight="1">
      <c r="A337" s="6">
        <v>90301.0</v>
      </c>
      <c r="B337" s="7" t="s">
        <v>31</v>
      </c>
      <c r="C337" s="7" t="s">
        <v>435</v>
      </c>
      <c r="D337" s="7" t="s">
        <v>436</v>
      </c>
      <c r="E337" s="61">
        <v>1.0</v>
      </c>
      <c r="F337" s="62">
        <v>218.0</v>
      </c>
      <c r="G337" s="63">
        <f t="shared" si="45"/>
        <v>0.06666666667</v>
      </c>
      <c r="H337" s="64">
        <f t="shared" si="46"/>
        <v>0.2838</v>
      </c>
      <c r="I337" s="63">
        <f t="shared" si="47"/>
        <v>0.06404230317</v>
      </c>
      <c r="J337" s="65">
        <f t="shared" si="48"/>
        <v>6.340188014</v>
      </c>
      <c r="K337" s="65">
        <f t="shared" si="5"/>
        <v>44.76207951</v>
      </c>
      <c r="L337" s="52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</row>
    <row r="338" ht="14.25" customHeight="1">
      <c r="A338" s="6">
        <v>90302.0</v>
      </c>
      <c r="B338" s="7" t="s">
        <v>31</v>
      </c>
      <c r="C338" s="7" t="s">
        <v>435</v>
      </c>
      <c r="D338" s="7" t="s">
        <v>437</v>
      </c>
      <c r="E338" s="61">
        <v>0.0</v>
      </c>
      <c r="F338" s="62">
        <v>286.0</v>
      </c>
      <c r="G338" s="63">
        <f t="shared" si="45"/>
        <v>0</v>
      </c>
      <c r="H338" s="64">
        <f t="shared" si="46"/>
        <v>0</v>
      </c>
      <c r="I338" s="63">
        <f t="shared" si="47"/>
        <v>0.08401880141</v>
      </c>
      <c r="J338" s="65">
        <f t="shared" si="48"/>
        <v>8.31786134</v>
      </c>
      <c r="K338" s="65">
        <f t="shared" si="5"/>
        <v>0</v>
      </c>
      <c r="L338" s="52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</row>
    <row r="339" ht="14.25" customHeight="1">
      <c r="A339" s="6">
        <v>90303.0</v>
      </c>
      <c r="B339" s="7" t="s">
        <v>31</v>
      </c>
      <c r="C339" s="7" t="s">
        <v>435</v>
      </c>
      <c r="D339" s="7" t="s">
        <v>438</v>
      </c>
      <c r="E339" s="61">
        <v>2.0</v>
      </c>
      <c r="F339" s="62">
        <v>312.0</v>
      </c>
      <c r="G339" s="63">
        <f t="shared" si="45"/>
        <v>0.1333333333</v>
      </c>
      <c r="H339" s="64">
        <f t="shared" si="46"/>
        <v>0.5676</v>
      </c>
      <c r="I339" s="63">
        <f t="shared" si="47"/>
        <v>0.09165687427</v>
      </c>
      <c r="J339" s="65">
        <f t="shared" si="48"/>
        <v>9.074030552</v>
      </c>
      <c r="K339" s="65">
        <f t="shared" si="5"/>
        <v>62.55213675</v>
      </c>
      <c r="L339" s="52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</row>
    <row r="340" ht="14.25" customHeight="1">
      <c r="A340" s="6">
        <v>90401.0</v>
      </c>
      <c r="B340" s="7" t="s">
        <v>31</v>
      </c>
      <c r="C340" s="7" t="s">
        <v>439</v>
      </c>
      <c r="D340" s="7" t="s">
        <v>440</v>
      </c>
      <c r="E340" s="61">
        <v>0.0</v>
      </c>
      <c r="F340" s="62">
        <v>72.0</v>
      </c>
      <c r="G340" s="63">
        <f t="shared" si="45"/>
        <v>0</v>
      </c>
      <c r="H340" s="64">
        <f t="shared" si="46"/>
        <v>0</v>
      </c>
      <c r="I340" s="63">
        <f t="shared" si="47"/>
        <v>0.02115158637</v>
      </c>
      <c r="J340" s="65">
        <f t="shared" si="48"/>
        <v>2.094007051</v>
      </c>
      <c r="K340" s="65">
        <f t="shared" si="5"/>
        <v>0</v>
      </c>
      <c r="L340" s="52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</row>
    <row r="341" ht="14.25" customHeight="1">
      <c r="A341" s="6">
        <v>90402.0</v>
      </c>
      <c r="B341" s="7" t="s">
        <v>31</v>
      </c>
      <c r="C341" s="7" t="s">
        <v>439</v>
      </c>
      <c r="D341" s="7" t="s">
        <v>103</v>
      </c>
      <c r="E341" s="61">
        <v>1.0</v>
      </c>
      <c r="F341" s="62">
        <v>51.0</v>
      </c>
      <c r="G341" s="63">
        <f t="shared" si="45"/>
        <v>0.06666666667</v>
      </c>
      <c r="H341" s="64">
        <f t="shared" si="46"/>
        <v>0.2838</v>
      </c>
      <c r="I341" s="63">
        <f t="shared" si="47"/>
        <v>0.01498237368</v>
      </c>
      <c r="J341" s="65">
        <f t="shared" si="48"/>
        <v>1.483254994</v>
      </c>
      <c r="K341" s="65">
        <f t="shared" si="5"/>
        <v>191.3359477</v>
      </c>
      <c r="L341" s="52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</row>
    <row r="342" ht="14.25" customHeight="1">
      <c r="A342" s="6">
        <v>90501.0</v>
      </c>
      <c r="B342" s="7" t="s">
        <v>31</v>
      </c>
      <c r="C342" s="7" t="s">
        <v>441</v>
      </c>
      <c r="D342" s="7" t="s">
        <v>442</v>
      </c>
      <c r="E342" s="61">
        <v>2.0</v>
      </c>
      <c r="F342" s="62">
        <v>57.0</v>
      </c>
      <c r="G342" s="63">
        <f t="shared" si="45"/>
        <v>0.1333333333</v>
      </c>
      <c r="H342" s="64">
        <f t="shared" si="46"/>
        <v>0.5676</v>
      </c>
      <c r="I342" s="63">
        <f t="shared" si="47"/>
        <v>0.01674500588</v>
      </c>
      <c r="J342" s="65">
        <f t="shared" si="48"/>
        <v>1.657755582</v>
      </c>
      <c r="K342" s="65">
        <f t="shared" si="5"/>
        <v>342.3906433</v>
      </c>
      <c r="L342" s="52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</row>
    <row r="343" ht="14.25" customHeight="1">
      <c r="A343" s="6">
        <v>90502.0</v>
      </c>
      <c r="B343" s="7" t="s">
        <v>31</v>
      </c>
      <c r="C343" s="7" t="s">
        <v>441</v>
      </c>
      <c r="D343" s="7" t="s">
        <v>443</v>
      </c>
      <c r="E343" s="61">
        <v>2.0</v>
      </c>
      <c r="F343" s="62">
        <v>92.0</v>
      </c>
      <c r="G343" s="63">
        <f t="shared" si="45"/>
        <v>0.1333333333</v>
      </c>
      <c r="H343" s="64">
        <f t="shared" si="46"/>
        <v>0.5676</v>
      </c>
      <c r="I343" s="63">
        <f t="shared" si="47"/>
        <v>0.02702702703</v>
      </c>
      <c r="J343" s="65">
        <f t="shared" si="48"/>
        <v>2.675675676</v>
      </c>
      <c r="K343" s="65">
        <f t="shared" si="5"/>
        <v>212.1333333</v>
      </c>
      <c r="L343" s="52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</row>
    <row r="344" ht="14.25" customHeight="1">
      <c r="A344" s="6">
        <v>90503.0</v>
      </c>
      <c r="B344" s="7" t="s">
        <v>31</v>
      </c>
      <c r="C344" s="7" t="s">
        <v>441</v>
      </c>
      <c r="D344" s="7" t="s">
        <v>444</v>
      </c>
      <c r="E344" s="79">
        <v>0.0</v>
      </c>
      <c r="F344" s="80">
        <v>78.0</v>
      </c>
      <c r="G344" s="63">
        <f t="shared" si="45"/>
        <v>0</v>
      </c>
      <c r="H344" s="64">
        <f t="shared" si="46"/>
        <v>0</v>
      </c>
      <c r="I344" s="63">
        <f t="shared" si="47"/>
        <v>0.02291421857</v>
      </c>
      <c r="J344" s="65">
        <f t="shared" si="48"/>
        <v>2.268507638</v>
      </c>
      <c r="K344" s="65">
        <f t="shared" si="5"/>
        <v>0</v>
      </c>
      <c r="L344" s="52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</row>
    <row r="345" ht="14.25" customHeight="1">
      <c r="A345" s="52"/>
      <c r="B345" s="52"/>
      <c r="C345" s="52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52"/>
      <c r="AJ345" s="52"/>
      <c r="AK345" s="52"/>
      <c r="AL345" s="52"/>
      <c r="AM345" s="52"/>
      <c r="AN345" s="52"/>
    </row>
    <row r="346" ht="14.25" customHeight="1">
      <c r="A346" s="52"/>
      <c r="B346" s="52"/>
      <c r="C346" s="52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52"/>
      <c r="AJ346" s="52"/>
      <c r="AK346" s="52"/>
      <c r="AL346" s="52"/>
      <c r="AM346" s="52"/>
      <c r="AN346" s="52"/>
    </row>
    <row r="347" ht="14.25" customHeight="1">
      <c r="A347" s="52"/>
      <c r="B347" s="52"/>
      <c r="C347" s="52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52"/>
      <c r="AJ347" s="52"/>
      <c r="AK347" s="52"/>
      <c r="AL347" s="52"/>
      <c r="AM347" s="52"/>
      <c r="AN347" s="52"/>
    </row>
    <row r="348" ht="14.25" customHeight="1">
      <c r="A348" s="52"/>
      <c r="B348" s="52"/>
      <c r="C348" s="52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52"/>
      <c r="AJ348" s="52"/>
      <c r="AK348" s="52"/>
      <c r="AL348" s="52"/>
      <c r="AM348" s="52"/>
      <c r="AN348" s="52"/>
    </row>
    <row r="349" ht="14.25" customHeight="1">
      <c r="A349" s="52"/>
      <c r="B349" s="52"/>
      <c r="C349" s="52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52"/>
      <c r="AJ349" s="52"/>
      <c r="AK349" s="52"/>
      <c r="AL349" s="52"/>
      <c r="AM349" s="52"/>
      <c r="AN349" s="52"/>
    </row>
    <row r="350" ht="14.25" customHeight="1">
      <c r="A350" s="52"/>
      <c r="B350" s="52"/>
      <c r="C350" s="52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52"/>
      <c r="AJ350" s="52"/>
      <c r="AK350" s="52"/>
      <c r="AL350" s="52"/>
      <c r="AM350" s="52"/>
      <c r="AN350" s="52"/>
    </row>
    <row r="351" ht="14.25" customHeight="1">
      <c r="A351" s="52"/>
      <c r="B351" s="52"/>
      <c r="C351" s="52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52"/>
      <c r="AJ351" s="52"/>
      <c r="AK351" s="52"/>
      <c r="AL351" s="52"/>
      <c r="AM351" s="52"/>
      <c r="AN351" s="52"/>
    </row>
    <row r="352" ht="14.25" customHeight="1">
      <c r="A352" s="52"/>
      <c r="B352" s="52"/>
      <c r="C352" s="52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52"/>
      <c r="AJ352" s="52"/>
      <c r="AK352" s="52"/>
      <c r="AL352" s="52"/>
      <c r="AM352" s="52"/>
      <c r="AN352" s="52"/>
    </row>
    <row r="353" ht="14.25" customHeight="1">
      <c r="A353" s="52"/>
      <c r="B353" s="52"/>
      <c r="C353" s="52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52"/>
      <c r="AJ353" s="52"/>
      <c r="AK353" s="52"/>
      <c r="AL353" s="52"/>
      <c r="AM353" s="52"/>
      <c r="AN353" s="52"/>
    </row>
    <row r="354" ht="14.25" customHeight="1">
      <c r="A354" s="52"/>
      <c r="B354" s="52"/>
      <c r="C354" s="52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52"/>
      <c r="AJ354" s="52"/>
      <c r="AK354" s="52"/>
      <c r="AL354" s="52"/>
      <c r="AM354" s="52"/>
      <c r="AN354" s="52"/>
    </row>
    <row r="355" ht="14.25" customHeight="1">
      <c r="A355" s="52"/>
      <c r="B355" s="52"/>
      <c r="C355" s="52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52"/>
      <c r="AJ355" s="52"/>
      <c r="AK355" s="52"/>
      <c r="AL355" s="52"/>
      <c r="AM355" s="52"/>
      <c r="AN355" s="52"/>
    </row>
    <row r="356" ht="14.25" customHeight="1">
      <c r="A356" s="52"/>
      <c r="B356" s="52"/>
      <c r="C356" s="52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52"/>
      <c r="AJ356" s="52"/>
      <c r="AK356" s="52"/>
      <c r="AL356" s="52"/>
      <c r="AM356" s="52"/>
      <c r="AN356" s="52"/>
    </row>
    <row r="357" ht="14.25" customHeight="1">
      <c r="A357" s="52"/>
      <c r="B357" s="52"/>
      <c r="C357" s="52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52"/>
      <c r="AJ357" s="52"/>
      <c r="AK357" s="52"/>
      <c r="AL357" s="52"/>
      <c r="AM357" s="52"/>
      <c r="AN357" s="52"/>
    </row>
    <row r="358" ht="14.25" customHeight="1">
      <c r="A358" s="52"/>
      <c r="B358" s="52"/>
      <c r="C358" s="52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52"/>
      <c r="AJ358" s="52"/>
      <c r="AK358" s="52"/>
      <c r="AL358" s="52"/>
      <c r="AM358" s="52"/>
      <c r="AN358" s="52"/>
    </row>
    <row r="359" ht="14.25" customHeight="1">
      <c r="A359" s="52"/>
      <c r="B359" s="52"/>
      <c r="C359" s="52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52"/>
      <c r="AJ359" s="52"/>
      <c r="AK359" s="52"/>
      <c r="AL359" s="52"/>
      <c r="AM359" s="52"/>
      <c r="AN359" s="52"/>
    </row>
    <row r="360" ht="14.25" customHeight="1">
      <c r="A360" s="52"/>
      <c r="B360" s="52"/>
      <c r="C360" s="52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52"/>
      <c r="AJ360" s="52"/>
      <c r="AK360" s="52"/>
      <c r="AL360" s="52"/>
      <c r="AM360" s="52"/>
      <c r="AN360" s="52"/>
    </row>
    <row r="361" ht="14.25" customHeight="1">
      <c r="A361" s="52"/>
      <c r="B361" s="52"/>
      <c r="C361" s="52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52"/>
      <c r="AJ361" s="52"/>
      <c r="AK361" s="52"/>
      <c r="AL361" s="52"/>
      <c r="AM361" s="52"/>
      <c r="AN361" s="52"/>
    </row>
    <row r="362" ht="14.25" customHeight="1">
      <c r="A362" s="52"/>
      <c r="B362" s="52"/>
      <c r="C362" s="52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52"/>
      <c r="AJ362" s="52"/>
      <c r="AK362" s="52"/>
      <c r="AL362" s="52"/>
      <c r="AM362" s="52"/>
      <c r="AN362" s="52"/>
    </row>
    <row r="363" ht="14.25" customHeight="1">
      <c r="A363" s="52"/>
      <c r="B363" s="52"/>
      <c r="C363" s="52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52"/>
      <c r="AJ363" s="52"/>
      <c r="AK363" s="52"/>
      <c r="AL363" s="52"/>
      <c r="AM363" s="52"/>
      <c r="AN363" s="52"/>
    </row>
    <row r="364" ht="14.25" customHeight="1">
      <c r="A364" s="52"/>
      <c r="B364" s="52"/>
      <c r="C364" s="52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52"/>
      <c r="AJ364" s="52"/>
      <c r="AK364" s="52"/>
      <c r="AL364" s="52"/>
      <c r="AM364" s="52"/>
      <c r="AN364" s="52"/>
    </row>
    <row r="365" ht="14.25" customHeight="1">
      <c r="A365" s="52"/>
      <c r="B365" s="52"/>
      <c r="C365" s="52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52"/>
      <c r="AJ365" s="52"/>
      <c r="AK365" s="52"/>
      <c r="AL365" s="52"/>
      <c r="AM365" s="52"/>
      <c r="AN365" s="52"/>
    </row>
    <row r="366" ht="14.25" customHeight="1">
      <c r="A366" s="52"/>
      <c r="B366" s="52"/>
      <c r="C366" s="52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52"/>
      <c r="AJ366" s="52"/>
      <c r="AK366" s="52"/>
      <c r="AL366" s="52"/>
      <c r="AM366" s="52"/>
      <c r="AN366" s="52"/>
    </row>
    <row r="367" ht="14.25" customHeight="1">
      <c r="A367" s="52"/>
      <c r="B367" s="52"/>
      <c r="C367" s="52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52"/>
      <c r="AJ367" s="52"/>
      <c r="AK367" s="52"/>
      <c r="AL367" s="52"/>
      <c r="AM367" s="52"/>
      <c r="AN367" s="52"/>
    </row>
    <row r="368" ht="14.25" customHeight="1">
      <c r="A368" s="52"/>
      <c r="B368" s="52"/>
      <c r="C368" s="52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52"/>
      <c r="AJ368" s="52"/>
      <c r="AK368" s="52"/>
      <c r="AL368" s="52"/>
      <c r="AM368" s="52"/>
      <c r="AN368" s="52"/>
    </row>
    <row r="369" ht="14.25" customHeight="1">
      <c r="A369" s="52"/>
      <c r="B369" s="52"/>
      <c r="C369" s="52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52"/>
      <c r="AJ369" s="52"/>
      <c r="AK369" s="52"/>
      <c r="AL369" s="52"/>
      <c r="AM369" s="52"/>
      <c r="AN369" s="52"/>
    </row>
    <row r="370" ht="14.25" customHeight="1">
      <c r="A370" s="52"/>
      <c r="B370" s="52"/>
      <c r="C370" s="52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52"/>
      <c r="AJ370" s="52"/>
      <c r="AK370" s="52"/>
      <c r="AL370" s="52"/>
      <c r="AM370" s="52"/>
      <c r="AN370" s="52"/>
    </row>
    <row r="371" ht="14.25" customHeight="1">
      <c r="A371" s="52"/>
      <c r="B371" s="52"/>
      <c r="C371" s="52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52"/>
      <c r="AJ371" s="52"/>
      <c r="AK371" s="52"/>
      <c r="AL371" s="52"/>
      <c r="AM371" s="52"/>
      <c r="AN371" s="52"/>
    </row>
    <row r="372" ht="14.25" customHeight="1">
      <c r="A372" s="52"/>
      <c r="B372" s="52"/>
      <c r="C372" s="52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52"/>
      <c r="AJ372" s="52"/>
      <c r="AK372" s="52"/>
      <c r="AL372" s="52"/>
      <c r="AM372" s="52"/>
      <c r="AN372" s="52"/>
    </row>
    <row r="373" ht="14.25" customHeight="1">
      <c r="A373" s="52"/>
      <c r="B373" s="52"/>
      <c r="C373" s="52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52"/>
      <c r="AJ373" s="52"/>
      <c r="AK373" s="52"/>
      <c r="AL373" s="52"/>
      <c r="AM373" s="52"/>
      <c r="AN373" s="52"/>
    </row>
    <row r="374" ht="14.25" customHeight="1">
      <c r="A374" s="52"/>
      <c r="B374" s="52"/>
      <c r="C374" s="52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52"/>
      <c r="AJ374" s="52"/>
      <c r="AK374" s="52"/>
      <c r="AL374" s="52"/>
      <c r="AM374" s="52"/>
      <c r="AN374" s="52"/>
    </row>
    <row r="375" ht="14.25" customHeight="1">
      <c r="A375" s="52"/>
      <c r="B375" s="52"/>
      <c r="C375" s="52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52"/>
      <c r="AJ375" s="52"/>
      <c r="AK375" s="52"/>
      <c r="AL375" s="52"/>
      <c r="AM375" s="52"/>
      <c r="AN375" s="52"/>
    </row>
    <row r="376" ht="14.25" customHeight="1">
      <c r="A376" s="52"/>
      <c r="B376" s="52"/>
      <c r="C376" s="52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52"/>
      <c r="AJ376" s="52"/>
      <c r="AK376" s="52"/>
      <c r="AL376" s="52"/>
      <c r="AM376" s="52"/>
      <c r="AN376" s="52"/>
    </row>
    <row r="377" ht="14.25" customHeight="1">
      <c r="A377" s="52"/>
      <c r="B377" s="52"/>
      <c r="C377" s="52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52"/>
      <c r="AJ377" s="52"/>
      <c r="AK377" s="52"/>
      <c r="AL377" s="52"/>
      <c r="AM377" s="52"/>
      <c r="AN377" s="52"/>
    </row>
    <row r="378" ht="14.25" customHeight="1">
      <c r="A378" s="52"/>
      <c r="B378" s="52"/>
      <c r="C378" s="52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52"/>
      <c r="AJ378" s="52"/>
      <c r="AK378" s="52"/>
      <c r="AL378" s="52"/>
      <c r="AM378" s="52"/>
      <c r="AN378" s="52"/>
    </row>
    <row r="379" ht="14.25" customHeight="1">
      <c r="A379" s="52"/>
      <c r="B379" s="52"/>
      <c r="C379" s="52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52"/>
      <c r="AJ379" s="52"/>
      <c r="AK379" s="52"/>
      <c r="AL379" s="52"/>
      <c r="AM379" s="52"/>
      <c r="AN379" s="52"/>
    </row>
    <row r="380" ht="14.25" customHeight="1">
      <c r="A380" s="52"/>
      <c r="B380" s="52"/>
      <c r="C380" s="52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52"/>
      <c r="AJ380" s="52"/>
      <c r="AK380" s="52"/>
      <c r="AL380" s="52"/>
      <c r="AM380" s="52"/>
      <c r="AN380" s="52"/>
    </row>
    <row r="381" ht="14.25" customHeight="1">
      <c r="A381" s="52"/>
      <c r="B381" s="52"/>
      <c r="C381" s="52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52"/>
      <c r="AJ381" s="52"/>
      <c r="AK381" s="52"/>
      <c r="AL381" s="52"/>
      <c r="AM381" s="52"/>
      <c r="AN381" s="52"/>
    </row>
    <row r="382" ht="14.25" customHeight="1">
      <c r="A382" s="52"/>
      <c r="B382" s="52"/>
      <c r="C382" s="52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52"/>
      <c r="AJ382" s="52"/>
      <c r="AK382" s="52"/>
      <c r="AL382" s="52"/>
      <c r="AM382" s="52"/>
      <c r="AN382" s="52"/>
    </row>
    <row r="383" ht="14.25" customHeight="1">
      <c r="A383" s="52"/>
      <c r="B383" s="52"/>
      <c r="C383" s="52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52"/>
      <c r="AJ383" s="52"/>
      <c r="AK383" s="52"/>
      <c r="AL383" s="52"/>
      <c r="AM383" s="52"/>
      <c r="AN383" s="52"/>
    </row>
    <row r="384" ht="14.25" customHeight="1">
      <c r="A384" s="52"/>
      <c r="B384" s="52"/>
      <c r="C384" s="52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52"/>
      <c r="AJ384" s="52"/>
      <c r="AK384" s="52"/>
      <c r="AL384" s="52"/>
      <c r="AM384" s="52"/>
      <c r="AN384" s="52"/>
    </row>
    <row r="385" ht="14.25" customHeight="1">
      <c r="A385" s="52"/>
      <c r="B385" s="52"/>
      <c r="C385" s="52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52"/>
      <c r="AJ385" s="52"/>
      <c r="AK385" s="52"/>
      <c r="AL385" s="52"/>
      <c r="AM385" s="52"/>
      <c r="AN385" s="52"/>
    </row>
    <row r="386" ht="14.25" customHeight="1">
      <c r="A386" s="52"/>
      <c r="B386" s="52"/>
      <c r="C386" s="52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52"/>
      <c r="AJ386" s="52"/>
      <c r="AK386" s="52"/>
      <c r="AL386" s="52"/>
      <c r="AM386" s="52"/>
      <c r="AN386" s="52"/>
    </row>
    <row r="387" ht="14.25" customHeight="1">
      <c r="A387" s="52"/>
      <c r="B387" s="52"/>
      <c r="C387" s="52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52"/>
      <c r="AJ387" s="52"/>
      <c r="AK387" s="52"/>
      <c r="AL387" s="52"/>
      <c r="AM387" s="52"/>
      <c r="AN387" s="52"/>
    </row>
    <row r="388" ht="14.25" customHeight="1">
      <c r="A388" s="52"/>
      <c r="B388" s="52"/>
      <c r="C388" s="52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52"/>
      <c r="AJ388" s="52"/>
      <c r="AK388" s="52"/>
      <c r="AL388" s="52"/>
      <c r="AM388" s="52"/>
      <c r="AN388" s="52"/>
    </row>
    <row r="389" ht="14.25" customHeight="1">
      <c r="A389" s="52"/>
      <c r="B389" s="52"/>
      <c r="C389" s="52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52"/>
      <c r="AJ389" s="52"/>
      <c r="AK389" s="52"/>
      <c r="AL389" s="52"/>
      <c r="AM389" s="52"/>
      <c r="AN389" s="52"/>
    </row>
    <row r="390" ht="14.25" customHeight="1">
      <c r="A390" s="52"/>
      <c r="B390" s="52"/>
      <c r="C390" s="52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52"/>
      <c r="AJ390" s="52"/>
      <c r="AK390" s="52"/>
      <c r="AL390" s="52"/>
      <c r="AM390" s="52"/>
      <c r="AN390" s="52"/>
    </row>
    <row r="391" ht="14.25" customHeight="1">
      <c r="A391" s="52"/>
      <c r="B391" s="52"/>
      <c r="C391" s="52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52"/>
      <c r="AJ391" s="52"/>
      <c r="AK391" s="52"/>
      <c r="AL391" s="52"/>
      <c r="AM391" s="52"/>
      <c r="AN391" s="52"/>
    </row>
    <row r="392" ht="14.25" customHeight="1">
      <c r="A392" s="52"/>
      <c r="B392" s="52"/>
      <c r="C392" s="52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52"/>
      <c r="AJ392" s="52"/>
      <c r="AK392" s="52"/>
      <c r="AL392" s="52"/>
      <c r="AM392" s="52"/>
      <c r="AN392" s="52"/>
    </row>
    <row r="393" ht="14.25" customHeight="1">
      <c r="A393" s="52"/>
      <c r="B393" s="52"/>
      <c r="C393" s="52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52"/>
      <c r="AJ393" s="52"/>
      <c r="AK393" s="52"/>
      <c r="AL393" s="52"/>
      <c r="AM393" s="52"/>
      <c r="AN393" s="52"/>
    </row>
    <row r="394" ht="14.25" customHeight="1">
      <c r="A394" s="52"/>
      <c r="B394" s="52"/>
      <c r="C394" s="52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52"/>
      <c r="AJ394" s="52"/>
      <c r="AK394" s="52"/>
      <c r="AL394" s="52"/>
      <c r="AM394" s="52"/>
      <c r="AN394" s="52"/>
    </row>
    <row r="395" ht="14.25" customHeight="1">
      <c r="A395" s="52"/>
      <c r="B395" s="52"/>
      <c r="C395" s="52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52"/>
      <c r="AJ395" s="52"/>
      <c r="AK395" s="52"/>
      <c r="AL395" s="52"/>
      <c r="AM395" s="52"/>
      <c r="AN395" s="52"/>
    </row>
    <row r="396" ht="14.25" customHeight="1">
      <c r="A396" s="52"/>
      <c r="B396" s="52"/>
      <c r="C396" s="52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52"/>
      <c r="AJ396" s="52"/>
      <c r="AK396" s="52"/>
      <c r="AL396" s="52"/>
      <c r="AM396" s="52"/>
      <c r="AN396" s="52"/>
    </row>
    <row r="397" ht="14.25" customHeight="1">
      <c r="A397" s="52"/>
      <c r="B397" s="52"/>
      <c r="C397" s="52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52"/>
      <c r="AJ397" s="52"/>
      <c r="AK397" s="52"/>
      <c r="AL397" s="52"/>
      <c r="AM397" s="52"/>
      <c r="AN397" s="52"/>
    </row>
    <row r="398" ht="14.25" customHeight="1">
      <c r="A398" s="52"/>
      <c r="B398" s="52"/>
      <c r="C398" s="52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52"/>
      <c r="AJ398" s="52"/>
      <c r="AK398" s="52"/>
      <c r="AL398" s="52"/>
      <c r="AM398" s="52"/>
      <c r="AN398" s="52"/>
    </row>
    <row r="399" ht="14.25" customHeight="1">
      <c r="A399" s="52"/>
      <c r="B399" s="52"/>
      <c r="C399" s="52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52"/>
      <c r="AJ399" s="52"/>
      <c r="AK399" s="52"/>
      <c r="AL399" s="52"/>
      <c r="AM399" s="52"/>
      <c r="AN399" s="52"/>
    </row>
    <row r="400" ht="14.25" customHeight="1">
      <c r="A400" s="52"/>
      <c r="B400" s="52"/>
      <c r="C400" s="52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52"/>
      <c r="AJ400" s="52"/>
      <c r="AK400" s="52"/>
      <c r="AL400" s="52"/>
      <c r="AM400" s="52"/>
      <c r="AN400" s="52"/>
    </row>
    <row r="401" ht="14.25" customHeight="1">
      <c r="A401" s="52"/>
      <c r="B401" s="52"/>
      <c r="C401" s="52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52"/>
      <c r="AJ401" s="52"/>
      <c r="AK401" s="52"/>
      <c r="AL401" s="52"/>
      <c r="AM401" s="52"/>
      <c r="AN401" s="52"/>
    </row>
    <row r="402" ht="14.25" customHeight="1">
      <c r="A402" s="52"/>
      <c r="B402" s="52"/>
      <c r="C402" s="52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52"/>
      <c r="AJ402" s="52"/>
      <c r="AK402" s="52"/>
      <c r="AL402" s="52"/>
      <c r="AM402" s="52"/>
      <c r="AN402" s="52"/>
    </row>
    <row r="403" ht="14.25" customHeight="1">
      <c r="A403" s="52"/>
      <c r="B403" s="52"/>
      <c r="C403" s="52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52"/>
      <c r="AJ403" s="52"/>
      <c r="AK403" s="52"/>
      <c r="AL403" s="52"/>
      <c r="AM403" s="52"/>
      <c r="AN403" s="52"/>
    </row>
    <row r="404" ht="14.25" customHeight="1">
      <c r="A404" s="52"/>
      <c r="B404" s="52"/>
      <c r="C404" s="52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52"/>
      <c r="AJ404" s="52"/>
      <c r="AK404" s="52"/>
      <c r="AL404" s="52"/>
      <c r="AM404" s="52"/>
      <c r="AN404" s="52"/>
    </row>
    <row r="405" ht="14.25" customHeight="1">
      <c r="A405" s="52"/>
      <c r="B405" s="52"/>
      <c r="C405" s="52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52"/>
      <c r="AJ405" s="52"/>
      <c r="AK405" s="52"/>
      <c r="AL405" s="52"/>
      <c r="AM405" s="52"/>
      <c r="AN405" s="52"/>
    </row>
    <row r="406" ht="14.25" customHeight="1">
      <c r="A406" s="52"/>
      <c r="B406" s="52"/>
      <c r="C406" s="52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52"/>
      <c r="AJ406" s="52"/>
      <c r="AK406" s="52"/>
      <c r="AL406" s="52"/>
      <c r="AM406" s="52"/>
      <c r="AN406" s="52"/>
    </row>
    <row r="407" ht="14.25" customHeight="1">
      <c r="A407" s="52"/>
      <c r="B407" s="52"/>
      <c r="C407" s="52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52"/>
      <c r="AJ407" s="52"/>
      <c r="AK407" s="52"/>
      <c r="AL407" s="52"/>
      <c r="AM407" s="52"/>
      <c r="AN407" s="52"/>
    </row>
    <row r="408" ht="14.25" customHeight="1">
      <c r="A408" s="52"/>
      <c r="B408" s="52"/>
      <c r="C408" s="52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52"/>
      <c r="AJ408" s="52"/>
      <c r="AK408" s="52"/>
      <c r="AL408" s="52"/>
      <c r="AM408" s="52"/>
      <c r="AN408" s="52"/>
    </row>
    <row r="409" ht="14.25" customHeight="1">
      <c r="A409" s="52"/>
      <c r="B409" s="52"/>
      <c r="C409" s="52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52"/>
      <c r="AJ409" s="52"/>
      <c r="AK409" s="52"/>
      <c r="AL409" s="52"/>
      <c r="AM409" s="52"/>
      <c r="AN409" s="52"/>
    </row>
    <row r="410" ht="14.25" customHeight="1">
      <c r="A410" s="52"/>
      <c r="B410" s="52"/>
      <c r="C410" s="52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52"/>
      <c r="AJ410" s="52"/>
      <c r="AK410" s="52"/>
      <c r="AL410" s="52"/>
      <c r="AM410" s="52"/>
      <c r="AN410" s="52"/>
    </row>
    <row r="411" ht="14.25" customHeight="1">
      <c r="A411" s="52"/>
      <c r="B411" s="52"/>
      <c r="C411" s="52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52"/>
      <c r="AJ411" s="52"/>
      <c r="AK411" s="52"/>
      <c r="AL411" s="52"/>
      <c r="AM411" s="52"/>
      <c r="AN411" s="52"/>
    </row>
    <row r="412" ht="14.25" customHeight="1">
      <c r="A412" s="52"/>
      <c r="B412" s="52"/>
      <c r="C412" s="52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52"/>
      <c r="AJ412" s="52"/>
      <c r="AK412" s="52"/>
      <c r="AL412" s="52"/>
      <c r="AM412" s="52"/>
      <c r="AN412" s="52"/>
    </row>
    <row r="413" ht="14.25" customHeight="1">
      <c r="A413" s="52"/>
      <c r="B413" s="52"/>
      <c r="C413" s="52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52"/>
      <c r="AJ413" s="52"/>
      <c r="AK413" s="52"/>
      <c r="AL413" s="52"/>
      <c r="AM413" s="52"/>
      <c r="AN413" s="52"/>
    </row>
    <row r="414" ht="14.25" customHeight="1">
      <c r="A414" s="52"/>
      <c r="B414" s="52"/>
      <c r="C414" s="52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52"/>
      <c r="AJ414" s="52"/>
      <c r="AK414" s="52"/>
      <c r="AL414" s="52"/>
      <c r="AM414" s="52"/>
      <c r="AN414" s="52"/>
    </row>
    <row r="415" ht="14.25" customHeight="1">
      <c r="A415" s="52"/>
      <c r="B415" s="52"/>
      <c r="C415" s="52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52"/>
      <c r="AJ415" s="52"/>
      <c r="AK415" s="52"/>
      <c r="AL415" s="52"/>
      <c r="AM415" s="52"/>
      <c r="AN415" s="52"/>
    </row>
    <row r="416" ht="14.25" customHeight="1">
      <c r="A416" s="52"/>
      <c r="B416" s="52"/>
      <c r="C416" s="52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52"/>
      <c r="AJ416" s="52"/>
      <c r="AK416" s="52"/>
      <c r="AL416" s="52"/>
      <c r="AM416" s="52"/>
      <c r="AN416" s="52"/>
    </row>
    <row r="417" ht="14.25" customHeight="1">
      <c r="A417" s="52"/>
      <c r="B417" s="52"/>
      <c r="C417" s="52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52"/>
      <c r="AJ417" s="52"/>
      <c r="AK417" s="52"/>
      <c r="AL417" s="52"/>
      <c r="AM417" s="52"/>
      <c r="AN417" s="52"/>
    </row>
    <row r="418" ht="14.25" customHeight="1">
      <c r="A418" s="52"/>
      <c r="B418" s="52"/>
      <c r="C418" s="52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52"/>
      <c r="AJ418" s="52"/>
      <c r="AK418" s="52"/>
      <c r="AL418" s="52"/>
      <c r="AM418" s="52"/>
      <c r="AN418" s="52"/>
    </row>
    <row r="419" ht="14.25" customHeight="1">
      <c r="A419" s="52"/>
      <c r="B419" s="52"/>
      <c r="C419" s="52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52"/>
      <c r="AJ419" s="52"/>
      <c r="AK419" s="52"/>
      <c r="AL419" s="52"/>
      <c r="AM419" s="52"/>
      <c r="AN419" s="52"/>
    </row>
    <row r="420" ht="14.25" customHeight="1">
      <c r="A420" s="52"/>
      <c r="B420" s="52"/>
      <c r="C420" s="52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52"/>
      <c r="AJ420" s="52"/>
      <c r="AK420" s="52"/>
      <c r="AL420" s="52"/>
      <c r="AM420" s="52"/>
      <c r="AN420" s="52"/>
    </row>
    <row r="421" ht="14.25" customHeight="1">
      <c r="A421" s="52"/>
      <c r="B421" s="52"/>
      <c r="C421" s="52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52"/>
      <c r="AJ421" s="52"/>
      <c r="AK421" s="52"/>
      <c r="AL421" s="52"/>
      <c r="AM421" s="52"/>
      <c r="AN421" s="52"/>
    </row>
    <row r="422" ht="14.25" customHeight="1">
      <c r="A422" s="52"/>
      <c r="B422" s="52"/>
      <c r="C422" s="52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52"/>
      <c r="AJ422" s="52"/>
      <c r="AK422" s="52"/>
      <c r="AL422" s="52"/>
      <c r="AM422" s="52"/>
      <c r="AN422" s="52"/>
    </row>
    <row r="423" ht="14.25" customHeight="1">
      <c r="A423" s="52"/>
      <c r="B423" s="52"/>
      <c r="C423" s="52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52"/>
      <c r="AJ423" s="52"/>
      <c r="AK423" s="52"/>
      <c r="AL423" s="52"/>
      <c r="AM423" s="52"/>
      <c r="AN423" s="52"/>
    </row>
    <row r="424" ht="14.25" customHeight="1">
      <c r="A424" s="52"/>
      <c r="B424" s="52"/>
      <c r="C424" s="52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52"/>
      <c r="AJ424" s="52"/>
      <c r="AK424" s="52"/>
      <c r="AL424" s="52"/>
      <c r="AM424" s="52"/>
      <c r="AN424" s="52"/>
    </row>
    <row r="425" ht="14.25" customHeight="1">
      <c r="A425" s="52"/>
      <c r="B425" s="52"/>
      <c r="C425" s="52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52"/>
      <c r="AJ425" s="52"/>
      <c r="AK425" s="52"/>
      <c r="AL425" s="52"/>
      <c r="AM425" s="52"/>
      <c r="AN425" s="52"/>
    </row>
    <row r="426" ht="14.25" customHeight="1">
      <c r="A426" s="52"/>
      <c r="B426" s="52"/>
      <c r="C426" s="52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52"/>
      <c r="AJ426" s="52"/>
      <c r="AK426" s="52"/>
      <c r="AL426" s="52"/>
      <c r="AM426" s="52"/>
      <c r="AN426" s="52"/>
    </row>
    <row r="427" ht="14.25" customHeight="1">
      <c r="A427" s="52"/>
      <c r="B427" s="52"/>
      <c r="C427" s="52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52"/>
      <c r="AJ427" s="52"/>
      <c r="AK427" s="52"/>
      <c r="AL427" s="52"/>
      <c r="AM427" s="52"/>
      <c r="AN427" s="52"/>
    </row>
    <row r="428" ht="14.25" customHeight="1">
      <c r="A428" s="52"/>
      <c r="B428" s="52"/>
      <c r="C428" s="52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52"/>
      <c r="AJ428" s="52"/>
      <c r="AK428" s="52"/>
      <c r="AL428" s="52"/>
      <c r="AM428" s="52"/>
      <c r="AN428" s="52"/>
    </row>
    <row r="429" ht="14.25" customHeight="1">
      <c r="A429" s="52"/>
      <c r="B429" s="52"/>
      <c r="C429" s="52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52"/>
      <c r="AJ429" s="52"/>
      <c r="AK429" s="52"/>
      <c r="AL429" s="52"/>
      <c r="AM429" s="52"/>
      <c r="AN429" s="52"/>
    </row>
    <row r="430" ht="14.25" customHeight="1">
      <c r="A430" s="52"/>
      <c r="B430" s="52"/>
      <c r="C430" s="52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52"/>
      <c r="AJ430" s="52"/>
      <c r="AK430" s="52"/>
      <c r="AL430" s="52"/>
      <c r="AM430" s="52"/>
      <c r="AN430" s="52"/>
    </row>
    <row r="431" ht="14.25" customHeight="1">
      <c r="A431" s="52"/>
      <c r="B431" s="52"/>
      <c r="C431" s="52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52"/>
      <c r="AJ431" s="52"/>
      <c r="AK431" s="52"/>
      <c r="AL431" s="52"/>
      <c r="AM431" s="52"/>
      <c r="AN431" s="52"/>
    </row>
    <row r="432" ht="14.25" customHeight="1">
      <c r="A432" s="52"/>
      <c r="B432" s="52"/>
      <c r="C432" s="52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52"/>
      <c r="AJ432" s="52"/>
      <c r="AK432" s="52"/>
      <c r="AL432" s="52"/>
      <c r="AM432" s="52"/>
      <c r="AN432" s="52"/>
    </row>
    <row r="433" ht="14.25" customHeight="1">
      <c r="A433" s="52"/>
      <c r="B433" s="52"/>
      <c r="C433" s="52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52"/>
      <c r="AJ433" s="52"/>
      <c r="AK433" s="52"/>
      <c r="AL433" s="52"/>
      <c r="AM433" s="52"/>
      <c r="AN433" s="52"/>
    </row>
    <row r="434" ht="14.25" customHeight="1">
      <c r="A434" s="52"/>
      <c r="B434" s="52"/>
      <c r="C434" s="52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52"/>
      <c r="AJ434" s="52"/>
      <c r="AK434" s="52"/>
      <c r="AL434" s="52"/>
      <c r="AM434" s="52"/>
      <c r="AN434" s="52"/>
    </row>
    <row r="435" ht="14.25" customHeight="1">
      <c r="A435" s="52"/>
      <c r="B435" s="52"/>
      <c r="C435" s="52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52"/>
      <c r="AJ435" s="52"/>
      <c r="AK435" s="52"/>
      <c r="AL435" s="52"/>
      <c r="AM435" s="52"/>
      <c r="AN435" s="52"/>
    </row>
    <row r="436" ht="14.25" customHeight="1">
      <c r="A436" s="52"/>
      <c r="B436" s="52"/>
      <c r="C436" s="52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52"/>
      <c r="AJ436" s="52"/>
      <c r="AK436" s="52"/>
      <c r="AL436" s="52"/>
      <c r="AM436" s="52"/>
      <c r="AN436" s="52"/>
    </row>
    <row r="437" ht="14.25" customHeight="1">
      <c r="A437" s="52"/>
      <c r="B437" s="52"/>
      <c r="C437" s="52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52"/>
      <c r="AJ437" s="52"/>
      <c r="AK437" s="52"/>
      <c r="AL437" s="52"/>
      <c r="AM437" s="52"/>
      <c r="AN437" s="52"/>
    </row>
    <row r="438" ht="14.25" customHeight="1">
      <c r="A438" s="52"/>
      <c r="B438" s="52"/>
      <c r="C438" s="52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52"/>
      <c r="AJ438" s="52"/>
      <c r="AK438" s="52"/>
      <c r="AL438" s="52"/>
      <c r="AM438" s="52"/>
      <c r="AN438" s="52"/>
    </row>
    <row r="439" ht="14.25" customHeight="1">
      <c r="A439" s="52"/>
      <c r="B439" s="52"/>
      <c r="C439" s="52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52"/>
      <c r="AJ439" s="52"/>
      <c r="AK439" s="52"/>
      <c r="AL439" s="52"/>
      <c r="AM439" s="52"/>
      <c r="AN439" s="52"/>
    </row>
    <row r="440" ht="14.25" customHeight="1">
      <c r="A440" s="52"/>
      <c r="B440" s="52"/>
      <c r="C440" s="52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52"/>
      <c r="AJ440" s="52"/>
      <c r="AK440" s="52"/>
      <c r="AL440" s="52"/>
      <c r="AM440" s="52"/>
      <c r="AN440" s="52"/>
    </row>
    <row r="441" ht="14.25" customHeight="1">
      <c r="A441" s="52"/>
      <c r="B441" s="52"/>
      <c r="C441" s="52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52"/>
      <c r="AJ441" s="52"/>
      <c r="AK441" s="52"/>
      <c r="AL441" s="52"/>
      <c r="AM441" s="52"/>
      <c r="AN441" s="52"/>
    </row>
    <row r="442" ht="14.25" customHeight="1">
      <c r="A442" s="52"/>
      <c r="B442" s="52"/>
      <c r="C442" s="52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52"/>
      <c r="AJ442" s="52"/>
      <c r="AK442" s="52"/>
      <c r="AL442" s="52"/>
      <c r="AM442" s="52"/>
      <c r="AN442" s="52"/>
    </row>
    <row r="443" ht="14.25" customHeight="1">
      <c r="A443" s="52"/>
      <c r="B443" s="52"/>
      <c r="C443" s="52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52"/>
      <c r="AJ443" s="52"/>
      <c r="AK443" s="52"/>
      <c r="AL443" s="52"/>
      <c r="AM443" s="52"/>
      <c r="AN443" s="52"/>
    </row>
    <row r="444" ht="14.25" customHeight="1">
      <c r="A444" s="52"/>
      <c r="B444" s="52"/>
      <c r="C444" s="52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52"/>
      <c r="AJ444" s="52"/>
      <c r="AK444" s="52"/>
      <c r="AL444" s="52"/>
      <c r="AM444" s="52"/>
      <c r="AN444" s="52"/>
    </row>
    <row r="445" ht="14.25" customHeight="1">
      <c r="A445" s="52"/>
      <c r="B445" s="52"/>
      <c r="C445" s="52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52"/>
      <c r="AJ445" s="52"/>
      <c r="AK445" s="52"/>
      <c r="AL445" s="52"/>
      <c r="AM445" s="52"/>
      <c r="AN445" s="52"/>
    </row>
    <row r="446" ht="14.25" customHeight="1">
      <c r="A446" s="52"/>
      <c r="B446" s="52"/>
      <c r="C446" s="52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52"/>
      <c r="AJ446" s="52"/>
      <c r="AK446" s="52"/>
      <c r="AL446" s="52"/>
      <c r="AM446" s="52"/>
      <c r="AN446" s="52"/>
    </row>
    <row r="447" ht="14.25" customHeight="1">
      <c r="A447" s="52"/>
      <c r="B447" s="52"/>
      <c r="C447" s="52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52"/>
      <c r="AJ447" s="52"/>
      <c r="AK447" s="52"/>
      <c r="AL447" s="52"/>
      <c r="AM447" s="52"/>
      <c r="AN447" s="52"/>
    </row>
    <row r="448" ht="14.25" customHeight="1">
      <c r="A448" s="52"/>
      <c r="B448" s="52"/>
      <c r="C448" s="52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52"/>
      <c r="AJ448" s="52"/>
      <c r="AK448" s="52"/>
      <c r="AL448" s="52"/>
      <c r="AM448" s="52"/>
      <c r="AN448" s="52"/>
    </row>
    <row r="449" ht="14.25" customHeight="1">
      <c r="A449" s="52"/>
      <c r="B449" s="52"/>
      <c r="C449" s="52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52"/>
      <c r="AJ449" s="52"/>
      <c r="AK449" s="52"/>
      <c r="AL449" s="52"/>
      <c r="AM449" s="52"/>
      <c r="AN449" s="52"/>
    </row>
    <row r="450" ht="14.25" customHeight="1">
      <c r="A450" s="52"/>
      <c r="B450" s="52"/>
      <c r="C450" s="52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52"/>
      <c r="AJ450" s="52"/>
      <c r="AK450" s="52"/>
      <c r="AL450" s="52"/>
      <c r="AM450" s="52"/>
      <c r="AN450" s="52"/>
    </row>
    <row r="451" ht="14.25" customHeight="1">
      <c r="A451" s="52"/>
      <c r="B451" s="52"/>
      <c r="C451" s="52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52"/>
      <c r="AJ451" s="52"/>
      <c r="AK451" s="52"/>
      <c r="AL451" s="52"/>
      <c r="AM451" s="52"/>
      <c r="AN451" s="52"/>
    </row>
    <row r="452" ht="14.25" customHeight="1">
      <c r="A452" s="52"/>
      <c r="B452" s="52"/>
      <c r="C452" s="52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52"/>
      <c r="AJ452" s="52"/>
      <c r="AK452" s="52"/>
      <c r="AL452" s="52"/>
      <c r="AM452" s="52"/>
      <c r="AN452" s="52"/>
    </row>
    <row r="453" ht="14.25" customHeight="1">
      <c r="A453" s="52"/>
      <c r="B453" s="52"/>
      <c r="C453" s="52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52"/>
      <c r="AJ453" s="52"/>
      <c r="AK453" s="52"/>
      <c r="AL453" s="52"/>
      <c r="AM453" s="52"/>
      <c r="AN453" s="52"/>
    </row>
    <row r="454" ht="14.25" customHeight="1">
      <c r="A454" s="52"/>
      <c r="B454" s="52"/>
      <c r="C454" s="52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52"/>
      <c r="AJ454" s="52"/>
      <c r="AK454" s="52"/>
      <c r="AL454" s="52"/>
      <c r="AM454" s="52"/>
      <c r="AN454" s="52"/>
    </row>
    <row r="455" ht="14.25" customHeight="1">
      <c r="A455" s="52"/>
      <c r="B455" s="52"/>
      <c r="C455" s="52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52"/>
      <c r="AJ455" s="52"/>
      <c r="AK455" s="52"/>
      <c r="AL455" s="52"/>
      <c r="AM455" s="52"/>
      <c r="AN455" s="52"/>
    </row>
    <row r="456" ht="14.25" customHeight="1">
      <c r="A456" s="52"/>
      <c r="B456" s="52"/>
      <c r="C456" s="52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52"/>
      <c r="AJ456" s="52"/>
      <c r="AK456" s="52"/>
      <c r="AL456" s="52"/>
      <c r="AM456" s="52"/>
      <c r="AN456" s="52"/>
    </row>
    <row r="457" ht="14.25" customHeight="1">
      <c r="A457" s="52"/>
      <c r="B457" s="52"/>
      <c r="C457" s="52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52"/>
      <c r="AJ457" s="52"/>
      <c r="AK457" s="52"/>
      <c r="AL457" s="52"/>
      <c r="AM457" s="52"/>
      <c r="AN457" s="52"/>
    </row>
    <row r="458" ht="14.25" customHeight="1">
      <c r="A458" s="52"/>
      <c r="B458" s="52"/>
      <c r="C458" s="52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52"/>
      <c r="AJ458" s="52"/>
      <c r="AK458" s="52"/>
      <c r="AL458" s="52"/>
      <c r="AM458" s="52"/>
      <c r="AN458" s="52"/>
    </row>
    <row r="459" ht="14.25" customHeight="1">
      <c r="A459" s="52"/>
      <c r="B459" s="52"/>
      <c r="C459" s="52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52"/>
      <c r="AJ459" s="52"/>
      <c r="AK459" s="52"/>
      <c r="AL459" s="52"/>
      <c r="AM459" s="52"/>
      <c r="AN459" s="52"/>
    </row>
    <row r="460" ht="14.25" customHeight="1">
      <c r="A460" s="52"/>
      <c r="B460" s="52"/>
      <c r="C460" s="52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52"/>
      <c r="AJ460" s="52"/>
      <c r="AK460" s="52"/>
      <c r="AL460" s="52"/>
      <c r="AM460" s="52"/>
      <c r="AN460" s="52"/>
    </row>
    <row r="461" ht="14.25" customHeight="1">
      <c r="A461" s="52"/>
      <c r="B461" s="52"/>
      <c r="C461" s="52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52"/>
      <c r="AJ461" s="52"/>
      <c r="AK461" s="52"/>
      <c r="AL461" s="52"/>
      <c r="AM461" s="52"/>
      <c r="AN461" s="52"/>
    </row>
    <row r="462" ht="14.25" customHeight="1">
      <c r="A462" s="52"/>
      <c r="B462" s="52"/>
      <c r="C462" s="52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52"/>
      <c r="AJ462" s="52"/>
      <c r="AK462" s="52"/>
      <c r="AL462" s="52"/>
      <c r="AM462" s="52"/>
      <c r="AN462" s="52"/>
    </row>
    <row r="463" ht="14.25" customHeight="1">
      <c r="A463" s="52"/>
      <c r="B463" s="52"/>
      <c r="C463" s="52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52"/>
      <c r="AJ463" s="52"/>
      <c r="AK463" s="52"/>
      <c r="AL463" s="52"/>
      <c r="AM463" s="52"/>
      <c r="AN463" s="52"/>
    </row>
    <row r="464" ht="14.25" customHeight="1">
      <c r="A464" s="52"/>
      <c r="B464" s="52"/>
      <c r="C464" s="52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52"/>
      <c r="AJ464" s="52"/>
      <c r="AK464" s="52"/>
      <c r="AL464" s="52"/>
      <c r="AM464" s="52"/>
      <c r="AN464" s="52"/>
    </row>
    <row r="465" ht="14.25" customHeight="1">
      <c r="A465" s="52"/>
      <c r="B465" s="52"/>
      <c r="C465" s="52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52"/>
      <c r="AJ465" s="52"/>
      <c r="AK465" s="52"/>
      <c r="AL465" s="52"/>
      <c r="AM465" s="52"/>
      <c r="AN465" s="52"/>
    </row>
    <row r="466" ht="14.25" customHeight="1">
      <c r="A466" s="52"/>
      <c r="B466" s="52"/>
      <c r="C466" s="52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52"/>
      <c r="AJ466" s="52"/>
      <c r="AK466" s="52"/>
      <c r="AL466" s="52"/>
      <c r="AM466" s="52"/>
      <c r="AN466" s="52"/>
    </row>
    <row r="467" ht="14.25" customHeight="1">
      <c r="A467" s="52"/>
      <c r="B467" s="52"/>
      <c r="C467" s="52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52"/>
      <c r="AJ467" s="52"/>
      <c r="AK467" s="52"/>
      <c r="AL467" s="52"/>
      <c r="AM467" s="52"/>
      <c r="AN467" s="52"/>
    </row>
    <row r="468" ht="14.25" customHeight="1">
      <c r="A468" s="52"/>
      <c r="B468" s="52"/>
      <c r="C468" s="52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52"/>
      <c r="AJ468" s="52"/>
      <c r="AK468" s="52"/>
      <c r="AL468" s="52"/>
      <c r="AM468" s="52"/>
      <c r="AN468" s="52"/>
    </row>
    <row r="469" ht="14.25" customHeight="1">
      <c r="A469" s="52"/>
      <c r="B469" s="52"/>
      <c r="C469" s="52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52"/>
      <c r="AJ469" s="52"/>
      <c r="AK469" s="52"/>
      <c r="AL469" s="52"/>
      <c r="AM469" s="52"/>
      <c r="AN469" s="52"/>
    </row>
    <row r="470" ht="14.25" customHeight="1">
      <c r="A470" s="52"/>
      <c r="B470" s="52"/>
      <c r="C470" s="52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52"/>
      <c r="AJ470" s="52"/>
      <c r="AK470" s="52"/>
      <c r="AL470" s="52"/>
      <c r="AM470" s="52"/>
      <c r="AN470" s="52"/>
    </row>
    <row r="471" ht="14.25" customHeight="1">
      <c r="A471" s="52"/>
      <c r="B471" s="52"/>
      <c r="C471" s="52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52"/>
      <c r="AJ471" s="52"/>
      <c r="AK471" s="52"/>
      <c r="AL471" s="52"/>
      <c r="AM471" s="52"/>
      <c r="AN471" s="52"/>
    </row>
    <row r="472" ht="14.25" customHeight="1">
      <c r="A472" s="52"/>
      <c r="B472" s="52"/>
      <c r="C472" s="52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52"/>
      <c r="AJ472" s="52"/>
      <c r="AK472" s="52"/>
      <c r="AL472" s="52"/>
      <c r="AM472" s="52"/>
      <c r="AN472" s="52"/>
    </row>
    <row r="473" ht="14.25" customHeight="1">
      <c r="A473" s="52"/>
      <c r="B473" s="52"/>
      <c r="C473" s="52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52"/>
      <c r="AJ473" s="52"/>
      <c r="AK473" s="52"/>
      <c r="AL473" s="52"/>
      <c r="AM473" s="52"/>
      <c r="AN473" s="52"/>
    </row>
    <row r="474" ht="14.25" customHeight="1">
      <c r="A474" s="52"/>
      <c r="B474" s="52"/>
      <c r="C474" s="52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52"/>
      <c r="AJ474" s="52"/>
      <c r="AK474" s="52"/>
      <c r="AL474" s="52"/>
      <c r="AM474" s="52"/>
      <c r="AN474" s="52"/>
    </row>
    <row r="475" ht="14.25" customHeight="1">
      <c r="A475" s="52"/>
      <c r="B475" s="52"/>
      <c r="C475" s="52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52"/>
      <c r="AJ475" s="52"/>
      <c r="AK475" s="52"/>
      <c r="AL475" s="52"/>
      <c r="AM475" s="52"/>
      <c r="AN475" s="52"/>
    </row>
    <row r="476" ht="14.25" customHeight="1">
      <c r="A476" s="52"/>
      <c r="B476" s="52"/>
      <c r="C476" s="52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52"/>
      <c r="AJ476" s="52"/>
      <c r="AK476" s="52"/>
      <c r="AL476" s="52"/>
      <c r="AM476" s="52"/>
      <c r="AN476" s="52"/>
    </row>
    <row r="477" ht="14.25" customHeight="1">
      <c r="A477" s="52"/>
      <c r="B477" s="52"/>
      <c r="C477" s="52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52"/>
      <c r="AJ477" s="52"/>
      <c r="AK477" s="52"/>
      <c r="AL477" s="52"/>
      <c r="AM477" s="52"/>
      <c r="AN477" s="52"/>
    </row>
    <row r="478" ht="14.25" customHeight="1">
      <c r="A478" s="52"/>
      <c r="B478" s="52"/>
      <c r="C478" s="52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52"/>
      <c r="AJ478" s="52"/>
      <c r="AK478" s="52"/>
      <c r="AL478" s="52"/>
      <c r="AM478" s="52"/>
      <c r="AN478" s="52"/>
    </row>
    <row r="479" ht="14.25" customHeight="1">
      <c r="A479" s="52"/>
      <c r="B479" s="52"/>
      <c r="C479" s="52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52"/>
      <c r="AJ479" s="52"/>
      <c r="AK479" s="52"/>
      <c r="AL479" s="52"/>
      <c r="AM479" s="52"/>
      <c r="AN479" s="52"/>
    </row>
    <row r="480" ht="14.25" customHeight="1">
      <c r="A480" s="52"/>
      <c r="B480" s="52"/>
      <c r="C480" s="52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52"/>
      <c r="AJ480" s="52"/>
      <c r="AK480" s="52"/>
      <c r="AL480" s="52"/>
      <c r="AM480" s="52"/>
      <c r="AN480" s="52"/>
    </row>
    <row r="481" ht="14.25" customHeight="1">
      <c r="A481" s="52"/>
      <c r="B481" s="52"/>
      <c r="C481" s="52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52"/>
      <c r="AJ481" s="52"/>
      <c r="AK481" s="52"/>
      <c r="AL481" s="52"/>
      <c r="AM481" s="52"/>
      <c r="AN481" s="52"/>
    </row>
    <row r="482" ht="14.25" customHeight="1">
      <c r="A482" s="52"/>
      <c r="B482" s="52"/>
      <c r="C482" s="52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52"/>
      <c r="AJ482" s="52"/>
      <c r="AK482" s="52"/>
      <c r="AL482" s="52"/>
      <c r="AM482" s="52"/>
      <c r="AN482" s="52"/>
    </row>
    <row r="483" ht="14.25" customHeight="1">
      <c r="A483" s="52"/>
      <c r="B483" s="52"/>
      <c r="C483" s="52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52"/>
      <c r="AJ483" s="52"/>
      <c r="AK483" s="52"/>
      <c r="AL483" s="52"/>
      <c r="AM483" s="52"/>
      <c r="AN483" s="52"/>
    </row>
    <row r="484" ht="14.25" customHeight="1">
      <c r="A484" s="52"/>
      <c r="B484" s="52"/>
      <c r="C484" s="52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52"/>
      <c r="AJ484" s="52"/>
      <c r="AK484" s="52"/>
      <c r="AL484" s="52"/>
      <c r="AM484" s="52"/>
      <c r="AN484" s="52"/>
    </row>
    <row r="485" ht="14.25" customHeight="1">
      <c r="A485" s="52"/>
      <c r="B485" s="52"/>
      <c r="C485" s="52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52"/>
      <c r="AJ485" s="52"/>
      <c r="AK485" s="52"/>
      <c r="AL485" s="52"/>
      <c r="AM485" s="52"/>
      <c r="AN485" s="52"/>
    </row>
    <row r="486" ht="14.25" customHeight="1">
      <c r="A486" s="52"/>
      <c r="B486" s="52"/>
      <c r="C486" s="52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52"/>
      <c r="AJ486" s="52"/>
      <c r="AK486" s="52"/>
      <c r="AL486" s="52"/>
      <c r="AM486" s="52"/>
      <c r="AN486" s="52"/>
    </row>
    <row r="487" ht="14.25" customHeight="1">
      <c r="A487" s="52"/>
      <c r="B487" s="52"/>
      <c r="C487" s="52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52"/>
      <c r="AJ487" s="52"/>
      <c r="AK487" s="52"/>
      <c r="AL487" s="52"/>
      <c r="AM487" s="52"/>
      <c r="AN487" s="52"/>
    </row>
    <row r="488" ht="14.25" customHeight="1">
      <c r="A488" s="52"/>
      <c r="B488" s="52"/>
      <c r="C488" s="52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52"/>
      <c r="AJ488" s="52"/>
      <c r="AK488" s="52"/>
      <c r="AL488" s="52"/>
      <c r="AM488" s="52"/>
      <c r="AN488" s="52"/>
    </row>
    <row r="489" ht="14.25" customHeight="1">
      <c r="A489" s="52"/>
      <c r="B489" s="52"/>
      <c r="C489" s="52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52"/>
      <c r="AJ489" s="52"/>
      <c r="AK489" s="52"/>
      <c r="AL489" s="52"/>
      <c r="AM489" s="52"/>
      <c r="AN489" s="52"/>
    </row>
    <row r="490" ht="14.25" customHeight="1">
      <c r="A490" s="52"/>
      <c r="B490" s="52"/>
      <c r="C490" s="52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52"/>
      <c r="AJ490" s="52"/>
      <c r="AK490" s="52"/>
      <c r="AL490" s="52"/>
      <c r="AM490" s="52"/>
      <c r="AN490" s="52"/>
    </row>
    <row r="491" ht="14.25" customHeight="1">
      <c r="A491" s="52"/>
      <c r="B491" s="52"/>
      <c r="C491" s="52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52"/>
      <c r="AJ491" s="52"/>
      <c r="AK491" s="52"/>
      <c r="AL491" s="52"/>
      <c r="AM491" s="52"/>
      <c r="AN491" s="52"/>
    </row>
    <row r="492" ht="14.25" customHeight="1">
      <c r="A492" s="52"/>
      <c r="B492" s="52"/>
      <c r="C492" s="52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52"/>
      <c r="AJ492" s="52"/>
      <c r="AK492" s="52"/>
      <c r="AL492" s="52"/>
      <c r="AM492" s="52"/>
      <c r="AN492" s="52"/>
    </row>
    <row r="493" ht="14.25" customHeight="1">
      <c r="A493" s="52"/>
      <c r="B493" s="52"/>
      <c r="C493" s="52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52"/>
      <c r="AJ493" s="52"/>
      <c r="AK493" s="52"/>
      <c r="AL493" s="52"/>
      <c r="AM493" s="52"/>
      <c r="AN493" s="52"/>
    </row>
    <row r="494" ht="14.25" customHeight="1">
      <c r="A494" s="52"/>
      <c r="B494" s="52"/>
      <c r="C494" s="52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52"/>
      <c r="AJ494" s="52"/>
      <c r="AK494" s="52"/>
      <c r="AL494" s="52"/>
      <c r="AM494" s="52"/>
      <c r="AN494" s="52"/>
    </row>
    <row r="495" ht="14.25" customHeight="1">
      <c r="A495" s="52"/>
      <c r="B495" s="52"/>
      <c r="C495" s="52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52"/>
      <c r="AJ495" s="52"/>
      <c r="AK495" s="52"/>
      <c r="AL495" s="52"/>
      <c r="AM495" s="52"/>
      <c r="AN495" s="52"/>
    </row>
    <row r="496" ht="14.25" customHeight="1">
      <c r="A496" s="52"/>
      <c r="B496" s="52"/>
      <c r="C496" s="52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52"/>
      <c r="AJ496" s="52"/>
      <c r="AK496" s="52"/>
      <c r="AL496" s="52"/>
      <c r="AM496" s="52"/>
      <c r="AN496" s="52"/>
    </row>
    <row r="497" ht="14.25" customHeight="1">
      <c r="A497" s="52"/>
      <c r="B497" s="52"/>
      <c r="C497" s="52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52"/>
      <c r="AJ497" s="52"/>
      <c r="AK497" s="52"/>
      <c r="AL497" s="52"/>
      <c r="AM497" s="52"/>
      <c r="AN497" s="52"/>
    </row>
    <row r="498" ht="14.25" customHeight="1">
      <c r="A498" s="52"/>
      <c r="B498" s="52"/>
      <c r="C498" s="52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52"/>
      <c r="AJ498" s="52"/>
      <c r="AK498" s="52"/>
      <c r="AL498" s="52"/>
      <c r="AM498" s="52"/>
      <c r="AN498" s="52"/>
    </row>
    <row r="499" ht="14.25" customHeight="1">
      <c r="A499" s="52"/>
      <c r="B499" s="52"/>
      <c r="C499" s="52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52"/>
      <c r="AJ499" s="52"/>
      <c r="AK499" s="52"/>
      <c r="AL499" s="52"/>
      <c r="AM499" s="52"/>
      <c r="AN499" s="52"/>
    </row>
    <row r="500" ht="14.25" customHeight="1">
      <c r="A500" s="52"/>
      <c r="B500" s="52"/>
      <c r="C500" s="52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52"/>
      <c r="AJ500" s="52"/>
      <c r="AK500" s="52"/>
      <c r="AL500" s="52"/>
      <c r="AM500" s="52"/>
      <c r="AN500" s="52"/>
    </row>
    <row r="501" ht="14.25" customHeight="1">
      <c r="A501" s="52"/>
      <c r="B501" s="52"/>
      <c r="C501" s="52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52"/>
      <c r="AJ501" s="52"/>
      <c r="AK501" s="52"/>
      <c r="AL501" s="52"/>
      <c r="AM501" s="52"/>
      <c r="AN501" s="52"/>
    </row>
    <row r="502" ht="14.25" customHeight="1">
      <c r="A502" s="52"/>
      <c r="B502" s="52"/>
      <c r="C502" s="52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52"/>
      <c r="AJ502" s="52"/>
      <c r="AK502" s="52"/>
      <c r="AL502" s="52"/>
      <c r="AM502" s="52"/>
      <c r="AN502" s="52"/>
    </row>
    <row r="503" ht="14.25" customHeight="1">
      <c r="A503" s="52"/>
      <c r="B503" s="52"/>
      <c r="C503" s="52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52"/>
      <c r="AJ503" s="52"/>
      <c r="AK503" s="52"/>
      <c r="AL503" s="52"/>
      <c r="AM503" s="52"/>
      <c r="AN503" s="52"/>
    </row>
    <row r="504" ht="14.25" customHeight="1">
      <c r="A504" s="52"/>
      <c r="B504" s="52"/>
      <c r="C504" s="52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52"/>
      <c r="AJ504" s="52"/>
      <c r="AK504" s="52"/>
      <c r="AL504" s="52"/>
      <c r="AM504" s="52"/>
      <c r="AN504" s="52"/>
    </row>
    <row r="505" ht="14.25" customHeight="1">
      <c r="A505" s="52"/>
      <c r="B505" s="52"/>
      <c r="C505" s="52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52"/>
      <c r="AJ505" s="52"/>
      <c r="AK505" s="52"/>
      <c r="AL505" s="52"/>
      <c r="AM505" s="52"/>
      <c r="AN505" s="52"/>
    </row>
    <row r="506" ht="14.25" customHeight="1">
      <c r="A506" s="52"/>
      <c r="B506" s="52"/>
      <c r="C506" s="52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52"/>
      <c r="AJ506" s="52"/>
      <c r="AK506" s="52"/>
      <c r="AL506" s="52"/>
      <c r="AM506" s="52"/>
      <c r="AN506" s="52"/>
    </row>
    <row r="507" ht="14.25" customHeight="1">
      <c r="A507" s="52"/>
      <c r="B507" s="52"/>
      <c r="C507" s="52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52"/>
      <c r="AJ507" s="52"/>
      <c r="AK507" s="52"/>
      <c r="AL507" s="52"/>
      <c r="AM507" s="52"/>
      <c r="AN507" s="52"/>
    </row>
    <row r="508" ht="14.25" customHeight="1">
      <c r="A508" s="52"/>
      <c r="B508" s="52"/>
      <c r="C508" s="52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52"/>
      <c r="AJ508" s="52"/>
      <c r="AK508" s="52"/>
      <c r="AL508" s="52"/>
      <c r="AM508" s="52"/>
      <c r="AN508" s="52"/>
    </row>
    <row r="509" ht="14.25" customHeight="1">
      <c r="A509" s="52"/>
      <c r="B509" s="52"/>
      <c r="C509" s="52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52"/>
      <c r="AJ509" s="52"/>
      <c r="AK509" s="52"/>
      <c r="AL509" s="52"/>
      <c r="AM509" s="52"/>
      <c r="AN509" s="52"/>
    </row>
    <row r="510" ht="14.25" customHeight="1">
      <c r="A510" s="52"/>
      <c r="B510" s="52"/>
      <c r="C510" s="52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52"/>
      <c r="AJ510" s="52"/>
      <c r="AK510" s="52"/>
      <c r="AL510" s="52"/>
      <c r="AM510" s="52"/>
      <c r="AN510" s="52"/>
    </row>
    <row r="511" ht="14.25" customHeight="1">
      <c r="A511" s="52"/>
      <c r="B511" s="52"/>
      <c r="C511" s="52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52"/>
      <c r="AJ511" s="52"/>
      <c r="AK511" s="52"/>
      <c r="AL511" s="52"/>
      <c r="AM511" s="52"/>
      <c r="AN511" s="52"/>
    </row>
    <row r="512" ht="14.25" customHeight="1">
      <c r="A512" s="52"/>
      <c r="B512" s="52"/>
      <c r="C512" s="52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52"/>
      <c r="AJ512" s="52"/>
      <c r="AK512" s="52"/>
      <c r="AL512" s="52"/>
      <c r="AM512" s="52"/>
      <c r="AN512" s="52"/>
    </row>
    <row r="513" ht="14.25" customHeight="1">
      <c r="A513" s="52"/>
      <c r="B513" s="52"/>
      <c r="C513" s="52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52"/>
      <c r="AJ513" s="52"/>
      <c r="AK513" s="52"/>
      <c r="AL513" s="52"/>
      <c r="AM513" s="52"/>
      <c r="AN513" s="52"/>
    </row>
    <row r="514" ht="14.25" customHeight="1">
      <c r="A514" s="52"/>
      <c r="B514" s="52"/>
      <c r="C514" s="52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52"/>
      <c r="AJ514" s="52"/>
      <c r="AK514" s="52"/>
      <c r="AL514" s="52"/>
      <c r="AM514" s="52"/>
      <c r="AN514" s="52"/>
    </row>
    <row r="515" ht="14.25" customHeight="1">
      <c r="A515" s="52"/>
      <c r="B515" s="52"/>
      <c r="C515" s="52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52"/>
      <c r="AJ515" s="52"/>
      <c r="AK515" s="52"/>
      <c r="AL515" s="52"/>
      <c r="AM515" s="52"/>
      <c r="AN515" s="52"/>
    </row>
    <row r="516" ht="14.25" customHeight="1">
      <c r="A516" s="52"/>
      <c r="B516" s="52"/>
      <c r="C516" s="52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52"/>
      <c r="AJ516" s="52"/>
      <c r="AK516" s="52"/>
      <c r="AL516" s="52"/>
      <c r="AM516" s="52"/>
      <c r="AN516" s="52"/>
    </row>
    <row r="517" ht="14.25" customHeight="1">
      <c r="A517" s="52"/>
      <c r="B517" s="52"/>
      <c r="C517" s="52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52"/>
      <c r="AJ517" s="52"/>
      <c r="AK517" s="52"/>
      <c r="AL517" s="52"/>
      <c r="AM517" s="52"/>
      <c r="AN517" s="52"/>
    </row>
    <row r="518" ht="14.25" customHeight="1">
      <c r="A518" s="52"/>
      <c r="B518" s="52"/>
      <c r="C518" s="52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52"/>
      <c r="AJ518" s="52"/>
      <c r="AK518" s="52"/>
      <c r="AL518" s="52"/>
      <c r="AM518" s="52"/>
      <c r="AN518" s="52"/>
    </row>
    <row r="519" ht="14.25" customHeight="1">
      <c r="A519" s="52"/>
      <c r="B519" s="52"/>
      <c r="C519" s="52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52"/>
      <c r="AJ519" s="52"/>
      <c r="AK519" s="52"/>
      <c r="AL519" s="52"/>
      <c r="AM519" s="52"/>
      <c r="AN519" s="52"/>
    </row>
    <row r="520" ht="14.25" customHeight="1">
      <c r="A520" s="52"/>
      <c r="B520" s="52"/>
      <c r="C520" s="52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52"/>
      <c r="AJ520" s="52"/>
      <c r="AK520" s="52"/>
      <c r="AL520" s="52"/>
      <c r="AM520" s="52"/>
      <c r="AN520" s="52"/>
    </row>
    <row r="521" ht="14.25" customHeight="1">
      <c r="A521" s="52"/>
      <c r="B521" s="52"/>
      <c r="C521" s="52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52"/>
      <c r="AJ521" s="52"/>
      <c r="AK521" s="52"/>
      <c r="AL521" s="52"/>
      <c r="AM521" s="52"/>
      <c r="AN521" s="52"/>
    </row>
    <row r="522" ht="14.25" customHeight="1">
      <c r="A522" s="52"/>
      <c r="B522" s="52"/>
      <c r="C522" s="52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52"/>
      <c r="AJ522" s="52"/>
      <c r="AK522" s="52"/>
      <c r="AL522" s="52"/>
      <c r="AM522" s="52"/>
      <c r="AN522" s="52"/>
    </row>
    <row r="523" ht="14.25" customHeight="1">
      <c r="A523" s="52"/>
      <c r="B523" s="52"/>
      <c r="C523" s="52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52"/>
      <c r="AJ523" s="52"/>
      <c r="AK523" s="52"/>
      <c r="AL523" s="52"/>
      <c r="AM523" s="52"/>
      <c r="AN523" s="52"/>
    </row>
    <row r="524" ht="14.25" customHeight="1">
      <c r="A524" s="52"/>
      <c r="B524" s="52"/>
      <c r="C524" s="52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52"/>
      <c r="AJ524" s="52"/>
      <c r="AK524" s="52"/>
      <c r="AL524" s="52"/>
      <c r="AM524" s="52"/>
      <c r="AN524" s="52"/>
    </row>
    <row r="525" ht="14.25" customHeight="1">
      <c r="A525" s="52"/>
      <c r="B525" s="52"/>
      <c r="C525" s="52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52"/>
      <c r="AJ525" s="52"/>
      <c r="AK525" s="52"/>
      <c r="AL525" s="52"/>
      <c r="AM525" s="52"/>
      <c r="AN525" s="52"/>
    </row>
    <row r="526" ht="14.25" customHeight="1">
      <c r="A526" s="52"/>
      <c r="B526" s="52"/>
      <c r="C526" s="52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52"/>
      <c r="AJ526" s="52"/>
      <c r="AK526" s="52"/>
      <c r="AL526" s="52"/>
      <c r="AM526" s="52"/>
      <c r="AN526" s="52"/>
    </row>
    <row r="527" ht="14.25" customHeight="1">
      <c r="A527" s="52"/>
      <c r="B527" s="52"/>
      <c r="C527" s="52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52"/>
      <c r="AJ527" s="52"/>
      <c r="AK527" s="52"/>
      <c r="AL527" s="52"/>
      <c r="AM527" s="52"/>
      <c r="AN527" s="52"/>
    </row>
    <row r="528" ht="14.25" customHeight="1">
      <c r="A528" s="52"/>
      <c r="B528" s="52"/>
      <c r="C528" s="52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52"/>
      <c r="AJ528" s="52"/>
      <c r="AK528" s="52"/>
      <c r="AL528" s="52"/>
      <c r="AM528" s="52"/>
      <c r="AN528" s="52"/>
    </row>
    <row r="529" ht="14.25" customHeight="1">
      <c r="A529" s="52"/>
      <c r="B529" s="52"/>
      <c r="C529" s="52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52"/>
      <c r="AJ529" s="52"/>
      <c r="AK529" s="52"/>
      <c r="AL529" s="52"/>
      <c r="AM529" s="52"/>
      <c r="AN529" s="52"/>
    </row>
    <row r="530" ht="14.25" customHeight="1">
      <c r="A530" s="52"/>
      <c r="B530" s="52"/>
      <c r="C530" s="52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52"/>
      <c r="AJ530" s="52"/>
      <c r="AK530" s="52"/>
      <c r="AL530" s="52"/>
      <c r="AM530" s="52"/>
      <c r="AN530" s="52"/>
    </row>
    <row r="531" ht="14.25" customHeight="1">
      <c r="A531" s="52"/>
      <c r="B531" s="52"/>
      <c r="C531" s="52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52"/>
      <c r="AJ531" s="52"/>
      <c r="AK531" s="52"/>
      <c r="AL531" s="52"/>
      <c r="AM531" s="52"/>
      <c r="AN531" s="52"/>
    </row>
    <row r="532" ht="14.25" customHeight="1">
      <c r="A532" s="52"/>
      <c r="B532" s="52"/>
      <c r="C532" s="52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52"/>
      <c r="AJ532" s="52"/>
      <c r="AK532" s="52"/>
      <c r="AL532" s="52"/>
      <c r="AM532" s="52"/>
      <c r="AN532" s="52"/>
    </row>
    <row r="533" ht="14.25" customHeight="1">
      <c r="A533" s="52"/>
      <c r="B533" s="52"/>
      <c r="C533" s="52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52"/>
      <c r="AJ533" s="52"/>
      <c r="AK533" s="52"/>
      <c r="AL533" s="52"/>
      <c r="AM533" s="52"/>
      <c r="AN533" s="52"/>
    </row>
    <row r="534" ht="14.25" customHeight="1">
      <c r="A534" s="52"/>
      <c r="B534" s="52"/>
      <c r="C534" s="52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52"/>
      <c r="AJ534" s="52"/>
      <c r="AK534" s="52"/>
      <c r="AL534" s="52"/>
      <c r="AM534" s="52"/>
      <c r="AN534" s="52"/>
    </row>
    <row r="535" ht="14.25" customHeight="1">
      <c r="A535" s="52"/>
      <c r="B535" s="52"/>
      <c r="C535" s="52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52"/>
      <c r="AJ535" s="52"/>
      <c r="AK535" s="52"/>
      <c r="AL535" s="52"/>
      <c r="AM535" s="52"/>
      <c r="AN535" s="52"/>
    </row>
    <row r="536" ht="14.25" customHeight="1">
      <c r="A536" s="52"/>
      <c r="B536" s="52"/>
      <c r="C536" s="52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52"/>
      <c r="AJ536" s="52"/>
      <c r="AK536" s="52"/>
      <c r="AL536" s="52"/>
      <c r="AM536" s="52"/>
      <c r="AN536" s="52"/>
    </row>
    <row r="537" ht="14.25" customHeight="1">
      <c r="A537" s="52"/>
      <c r="B537" s="52"/>
      <c r="C537" s="52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52"/>
      <c r="AJ537" s="52"/>
      <c r="AK537" s="52"/>
      <c r="AL537" s="52"/>
      <c r="AM537" s="52"/>
      <c r="AN537" s="52"/>
    </row>
    <row r="538" ht="14.25" customHeight="1">
      <c r="A538" s="52"/>
      <c r="B538" s="52"/>
      <c r="C538" s="52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52"/>
      <c r="AJ538" s="52"/>
      <c r="AK538" s="52"/>
      <c r="AL538" s="52"/>
      <c r="AM538" s="52"/>
      <c r="AN538" s="52"/>
    </row>
    <row r="539" ht="14.25" customHeight="1">
      <c r="A539" s="52"/>
      <c r="B539" s="52"/>
      <c r="C539" s="52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52"/>
      <c r="AJ539" s="52"/>
      <c r="AK539" s="52"/>
      <c r="AL539" s="52"/>
      <c r="AM539" s="52"/>
      <c r="AN539" s="52"/>
    </row>
    <row r="540" ht="14.25" customHeight="1">
      <c r="A540" s="52"/>
      <c r="B540" s="52"/>
      <c r="C540" s="52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52"/>
      <c r="AJ540" s="52"/>
      <c r="AK540" s="52"/>
      <c r="AL540" s="52"/>
      <c r="AM540" s="52"/>
      <c r="AN540" s="52"/>
    </row>
    <row r="541" ht="14.25" customHeight="1">
      <c r="A541" s="52"/>
      <c r="B541" s="52"/>
      <c r="C541" s="52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52"/>
      <c r="AJ541" s="52"/>
      <c r="AK541" s="52"/>
      <c r="AL541" s="52"/>
      <c r="AM541" s="52"/>
      <c r="AN541" s="52"/>
    </row>
    <row r="542" ht="14.25" customHeight="1">
      <c r="A542" s="52"/>
      <c r="B542" s="52"/>
      <c r="C542" s="52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52"/>
      <c r="AJ542" s="52"/>
      <c r="AK542" s="52"/>
      <c r="AL542" s="52"/>
      <c r="AM542" s="52"/>
      <c r="AN542" s="52"/>
    </row>
    <row r="543" ht="14.25" customHeight="1">
      <c r="A543" s="52"/>
      <c r="B543" s="52"/>
      <c r="C543" s="52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52"/>
      <c r="AJ543" s="52"/>
      <c r="AK543" s="52"/>
      <c r="AL543" s="52"/>
      <c r="AM543" s="52"/>
      <c r="AN543" s="52"/>
    </row>
    <row r="544" ht="14.25" customHeight="1">
      <c r="A544" s="52"/>
      <c r="B544" s="52"/>
      <c r="C544" s="52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52"/>
      <c r="AJ544" s="52"/>
      <c r="AK544" s="52"/>
      <c r="AL544" s="52"/>
      <c r="AM544" s="52"/>
      <c r="AN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4" max="4" width="14.13"/>
    <col customWidth="1" min="5" max="6" width="21.0"/>
    <col customWidth="1" min="7" max="7" width="14.25"/>
    <col customWidth="1" min="8" max="13" width="11.0"/>
    <col customWidth="1" min="14" max="15" width="14.75"/>
    <col customWidth="1" min="16" max="34" width="11.0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53" t="s">
        <v>451</v>
      </c>
      <c r="F1" s="54" t="s">
        <v>452</v>
      </c>
      <c r="G1" s="55" t="s">
        <v>472</v>
      </c>
      <c r="H1" s="42" t="s">
        <v>473</v>
      </c>
      <c r="I1" s="55" t="s">
        <v>474</v>
      </c>
      <c r="J1" s="42" t="s">
        <v>475</v>
      </c>
      <c r="K1" s="56" t="s">
        <v>476</v>
      </c>
      <c r="L1" s="52"/>
      <c r="M1" s="2" t="s">
        <v>477</v>
      </c>
      <c r="N1" s="2" t="s">
        <v>7</v>
      </c>
      <c r="O1" s="57" t="s">
        <v>10</v>
      </c>
      <c r="P1" s="57" t="s">
        <v>478</v>
      </c>
      <c r="Q1" s="58" t="s">
        <v>7</v>
      </c>
      <c r="R1" s="59" t="s">
        <v>479</v>
      </c>
      <c r="S1" s="59" t="s">
        <v>456</v>
      </c>
      <c r="T1" s="2" t="s">
        <v>460</v>
      </c>
      <c r="U1" s="52"/>
      <c r="V1" s="52"/>
      <c r="W1" s="52"/>
      <c r="X1" s="52"/>
      <c r="Y1" s="52"/>
      <c r="Z1" s="52"/>
      <c r="AA1" s="52"/>
      <c r="AB1" s="52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</row>
    <row r="2" ht="14.25" customHeight="1">
      <c r="A2" s="6">
        <v>10101.0</v>
      </c>
      <c r="B2" s="7" t="s">
        <v>11</v>
      </c>
      <c r="C2" s="7" t="s">
        <v>12</v>
      </c>
      <c r="D2" s="7" t="s">
        <v>13</v>
      </c>
      <c r="E2" s="61">
        <v>122.0</v>
      </c>
      <c r="F2" s="62">
        <v>17089.0</v>
      </c>
      <c r="G2" s="63">
        <f t="shared" ref="G2:G30" si="1">E2/$R$2</f>
        <v>0.3696969697</v>
      </c>
      <c r="H2" s="64">
        <f t="shared" ref="H2:H30" si="2">$S$17*G2</f>
        <v>1.09430303</v>
      </c>
      <c r="I2" s="63">
        <f t="shared" ref="I2:I30" si="3">F2/$S$2</f>
        <v>0.4772663799</v>
      </c>
      <c r="J2" s="65">
        <f t="shared" ref="J2:J30" si="4">I2*$U$17</f>
        <v>176.5885606</v>
      </c>
      <c r="K2" s="65">
        <f t="shared" ref="K2:K344" si="5">1000*H2/J2</f>
        <v>6.196907811</v>
      </c>
      <c r="L2" s="52"/>
      <c r="M2" s="66">
        <v>1.0</v>
      </c>
      <c r="N2" s="7" t="s">
        <v>11</v>
      </c>
      <c r="O2" s="8">
        <v>24.818401937046005</v>
      </c>
      <c r="P2" s="8">
        <v>8.807642159601926</v>
      </c>
      <c r="Q2" s="38" t="s">
        <v>11</v>
      </c>
      <c r="R2" s="67">
        <v>330.0</v>
      </c>
      <c r="S2" s="67">
        <v>35806.0</v>
      </c>
      <c r="T2" s="7">
        <v>8.0</v>
      </c>
      <c r="U2" s="52"/>
      <c r="V2" s="52"/>
      <c r="W2" s="52"/>
      <c r="X2" s="52"/>
      <c r="Y2" s="52"/>
      <c r="Z2" s="52"/>
      <c r="AA2" s="52"/>
      <c r="AB2" s="52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</row>
    <row r="3" ht="14.25" customHeight="1">
      <c r="A3" s="6">
        <v>10102.0</v>
      </c>
      <c r="B3" s="7" t="s">
        <v>11</v>
      </c>
      <c r="C3" s="7" t="s">
        <v>12</v>
      </c>
      <c r="D3" s="7" t="s">
        <v>14</v>
      </c>
      <c r="E3" s="61">
        <v>9.0</v>
      </c>
      <c r="F3" s="62">
        <v>519.0</v>
      </c>
      <c r="G3" s="63">
        <f t="shared" si="1"/>
        <v>0.02727272727</v>
      </c>
      <c r="H3" s="64">
        <f t="shared" si="2"/>
        <v>0.08072727273</v>
      </c>
      <c r="I3" s="63">
        <f t="shared" si="3"/>
        <v>0.01449477741</v>
      </c>
      <c r="J3" s="65">
        <f t="shared" si="4"/>
        <v>5.363067642</v>
      </c>
      <c r="K3" s="65">
        <f t="shared" si="5"/>
        <v>15.05244351</v>
      </c>
      <c r="L3" s="52"/>
      <c r="M3" s="66">
        <v>2.0</v>
      </c>
      <c r="N3" s="7" t="s">
        <v>15</v>
      </c>
      <c r="O3" s="8">
        <v>31.79137486177663</v>
      </c>
      <c r="P3" s="8">
        <v>12.522001781872705</v>
      </c>
      <c r="Q3" s="38" t="s">
        <v>15</v>
      </c>
      <c r="R3" s="67">
        <v>2288.0</v>
      </c>
      <c r="S3" s="67">
        <v>175213.0</v>
      </c>
      <c r="T3" s="7">
        <v>17.0</v>
      </c>
      <c r="U3" s="52"/>
      <c r="V3" s="52"/>
      <c r="W3" s="52"/>
      <c r="X3" s="52"/>
      <c r="Y3" s="52"/>
      <c r="Z3" s="52"/>
      <c r="AA3" s="52"/>
      <c r="AB3" s="52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 ht="14.25" customHeight="1">
      <c r="A4" s="6">
        <v>10103.0</v>
      </c>
      <c r="B4" s="7" t="s">
        <v>11</v>
      </c>
      <c r="C4" s="7" t="s">
        <v>12</v>
      </c>
      <c r="D4" s="7" t="s">
        <v>16</v>
      </c>
      <c r="E4" s="61">
        <v>16.0</v>
      </c>
      <c r="F4" s="62">
        <v>867.0</v>
      </c>
      <c r="G4" s="63">
        <f t="shared" si="1"/>
        <v>0.04848484848</v>
      </c>
      <c r="H4" s="64">
        <f t="shared" si="2"/>
        <v>0.1435151515</v>
      </c>
      <c r="I4" s="63">
        <f t="shared" si="3"/>
        <v>0.02421381891</v>
      </c>
      <c r="J4" s="65">
        <f t="shared" si="4"/>
        <v>8.959112998</v>
      </c>
      <c r="K4" s="65">
        <f t="shared" si="5"/>
        <v>16.01890182</v>
      </c>
      <c r="L4" s="52"/>
      <c r="M4" s="66">
        <v>3.0</v>
      </c>
      <c r="N4" s="7" t="s">
        <v>17</v>
      </c>
      <c r="O4" s="8">
        <v>24.103717422939543</v>
      </c>
      <c r="P4" s="8">
        <v>9.824712302764267</v>
      </c>
      <c r="Q4" s="38" t="s">
        <v>17</v>
      </c>
      <c r="R4" s="67">
        <v>1317.0</v>
      </c>
      <c r="S4" s="67">
        <v>128674.0</v>
      </c>
      <c r="T4" s="7">
        <v>11.0</v>
      </c>
      <c r="U4" s="52"/>
      <c r="V4" s="52"/>
      <c r="W4" s="52"/>
      <c r="X4" s="52"/>
      <c r="Y4" s="52"/>
      <c r="Z4" s="52"/>
      <c r="AA4" s="52"/>
      <c r="AB4" s="52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</row>
    <row r="5" ht="14.25" customHeight="1">
      <c r="A5" s="6">
        <v>10201.0</v>
      </c>
      <c r="B5" s="7" t="s">
        <v>11</v>
      </c>
      <c r="C5" s="7" t="s">
        <v>18</v>
      </c>
      <c r="D5" s="7" t="s">
        <v>19</v>
      </c>
      <c r="E5" s="61">
        <v>8.0</v>
      </c>
      <c r="F5" s="62">
        <v>523.0</v>
      </c>
      <c r="G5" s="63">
        <f t="shared" si="1"/>
        <v>0.02424242424</v>
      </c>
      <c r="H5" s="64">
        <f t="shared" si="2"/>
        <v>0.07175757576</v>
      </c>
      <c r="I5" s="63">
        <f t="shared" si="3"/>
        <v>0.01460649053</v>
      </c>
      <c r="J5" s="65">
        <f t="shared" si="4"/>
        <v>5.404401497</v>
      </c>
      <c r="K5" s="65">
        <f t="shared" si="5"/>
        <v>13.27761747</v>
      </c>
      <c r="L5" s="52"/>
      <c r="M5" s="66">
        <v>4.0</v>
      </c>
      <c r="N5" s="7" t="s">
        <v>20</v>
      </c>
      <c r="O5" s="8">
        <v>20.75059571088165</v>
      </c>
      <c r="P5" s="8">
        <v>12.381883349625285</v>
      </c>
      <c r="Q5" s="38" t="s">
        <v>20</v>
      </c>
      <c r="R5" s="67">
        <v>455.0</v>
      </c>
      <c r="S5" s="67">
        <v>35024.0</v>
      </c>
      <c r="T5" s="7">
        <v>31.0</v>
      </c>
      <c r="U5" s="52"/>
      <c r="V5" s="52"/>
      <c r="W5" s="52"/>
      <c r="X5" s="52"/>
      <c r="Y5" s="52"/>
      <c r="Z5" s="52"/>
      <c r="AA5" s="52"/>
      <c r="AB5" s="52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ht="14.25" customHeight="1">
      <c r="A6" s="6">
        <v>10202.0</v>
      </c>
      <c r="B6" s="7" t="s">
        <v>11</v>
      </c>
      <c r="C6" s="7" t="s">
        <v>18</v>
      </c>
      <c r="D6" s="7" t="s">
        <v>21</v>
      </c>
      <c r="E6" s="61">
        <v>11.0</v>
      </c>
      <c r="F6" s="62">
        <v>1039.0</v>
      </c>
      <c r="G6" s="63">
        <f t="shared" si="1"/>
        <v>0.03333333333</v>
      </c>
      <c r="H6" s="64">
        <f t="shared" si="2"/>
        <v>0.09866666667</v>
      </c>
      <c r="I6" s="63">
        <f t="shared" si="3"/>
        <v>0.0290174831</v>
      </c>
      <c r="J6" s="65">
        <f t="shared" si="4"/>
        <v>10.73646875</v>
      </c>
      <c r="K6" s="65">
        <f t="shared" si="5"/>
        <v>9.189862047</v>
      </c>
      <c r="L6" s="52"/>
      <c r="M6" s="66">
        <v>5.0</v>
      </c>
      <c r="N6" s="7" t="s">
        <v>264</v>
      </c>
      <c r="O6" s="8">
        <v>41.426803679991394</v>
      </c>
      <c r="P6" s="8">
        <v>16.377842331964338</v>
      </c>
      <c r="Q6" s="38" t="s">
        <v>22</v>
      </c>
      <c r="R6" s="67">
        <v>979.0</v>
      </c>
      <c r="S6" s="67">
        <v>57031.0</v>
      </c>
      <c r="T6" s="7">
        <v>42.0</v>
      </c>
      <c r="U6" s="52"/>
      <c r="V6" s="52"/>
      <c r="W6" s="52"/>
      <c r="X6" s="52"/>
      <c r="Y6" s="52"/>
      <c r="Z6" s="52"/>
      <c r="AA6" s="52"/>
      <c r="AB6" s="52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</row>
    <row r="7" ht="14.25" customHeight="1">
      <c r="A7" s="6">
        <v>10301.0</v>
      </c>
      <c r="B7" s="7" t="s">
        <v>11</v>
      </c>
      <c r="C7" s="7" t="s">
        <v>23</v>
      </c>
      <c r="D7" s="7" t="s">
        <v>24</v>
      </c>
      <c r="E7" s="61">
        <v>3.0</v>
      </c>
      <c r="F7" s="62">
        <v>804.0</v>
      </c>
      <c r="G7" s="63">
        <f t="shared" si="1"/>
        <v>0.009090909091</v>
      </c>
      <c r="H7" s="64">
        <f t="shared" si="2"/>
        <v>0.02690909091</v>
      </c>
      <c r="I7" s="63">
        <f t="shared" si="3"/>
        <v>0.02245433726</v>
      </c>
      <c r="J7" s="65">
        <f t="shared" si="4"/>
        <v>8.308104787</v>
      </c>
      <c r="K7" s="65">
        <f t="shared" si="5"/>
        <v>3.238896427</v>
      </c>
      <c r="L7" s="52"/>
      <c r="M7" s="66">
        <v>6.0</v>
      </c>
      <c r="N7" s="7" t="s">
        <v>25</v>
      </c>
      <c r="O7" s="8">
        <v>16.856345286665235</v>
      </c>
      <c r="P7" s="8">
        <v>6.115097024187934</v>
      </c>
      <c r="Q7" s="38" t="s">
        <v>25</v>
      </c>
      <c r="R7" s="67">
        <v>201.0</v>
      </c>
      <c r="S7" s="67">
        <v>31547.0</v>
      </c>
      <c r="T7" s="7">
        <v>25.0</v>
      </c>
      <c r="U7" s="52"/>
      <c r="V7" s="52"/>
      <c r="W7" s="52"/>
      <c r="X7" s="52"/>
      <c r="Y7" s="52"/>
      <c r="Z7" s="52"/>
      <c r="AA7" s="52"/>
      <c r="AB7" s="52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</row>
    <row r="8" ht="14.25" customHeight="1">
      <c r="A8" s="6">
        <v>10302.0</v>
      </c>
      <c r="B8" s="7" t="s">
        <v>11</v>
      </c>
      <c r="C8" s="7" t="s">
        <v>23</v>
      </c>
      <c r="D8" s="7" t="s">
        <v>26</v>
      </c>
      <c r="E8" s="61">
        <v>8.0</v>
      </c>
      <c r="F8" s="62">
        <v>779.0</v>
      </c>
      <c r="G8" s="63">
        <f t="shared" si="1"/>
        <v>0.02424242424</v>
      </c>
      <c r="H8" s="64">
        <f t="shared" si="2"/>
        <v>0.07175757576</v>
      </c>
      <c r="I8" s="63">
        <f t="shared" si="3"/>
        <v>0.02175613026</v>
      </c>
      <c r="J8" s="65">
        <f t="shared" si="4"/>
        <v>8.049768195</v>
      </c>
      <c r="K8" s="65">
        <f t="shared" si="5"/>
        <v>8.914241257</v>
      </c>
      <c r="L8" s="52"/>
      <c r="M8" s="66">
        <v>7.0</v>
      </c>
      <c r="N8" s="7" t="s">
        <v>27</v>
      </c>
      <c r="O8" s="8">
        <v>15.488074984752673</v>
      </c>
      <c r="P8" s="8">
        <v>7.39220082295634</v>
      </c>
      <c r="Q8" s="38" t="s">
        <v>27</v>
      </c>
      <c r="R8" s="67">
        <v>1631.0</v>
      </c>
      <c r="S8" s="67">
        <v>210592.0</v>
      </c>
      <c r="T8" s="7">
        <v>8.0</v>
      </c>
      <c r="U8" s="52"/>
      <c r="V8" s="52"/>
      <c r="W8" s="52"/>
      <c r="X8" s="52"/>
      <c r="Y8" s="52"/>
      <c r="Z8" s="52"/>
      <c r="AA8" s="52"/>
      <c r="AB8" s="52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ht="14.25" customHeight="1">
      <c r="A9" s="6">
        <v>10303.0</v>
      </c>
      <c r="B9" s="7" t="s">
        <v>11</v>
      </c>
      <c r="C9" s="7" t="s">
        <v>23</v>
      </c>
      <c r="D9" s="7" t="s">
        <v>28</v>
      </c>
      <c r="E9" s="61">
        <v>5.0</v>
      </c>
      <c r="F9" s="62">
        <v>547.0</v>
      </c>
      <c r="G9" s="63">
        <f t="shared" si="1"/>
        <v>0.01515151515</v>
      </c>
      <c r="H9" s="64">
        <f t="shared" si="2"/>
        <v>0.04484848485</v>
      </c>
      <c r="I9" s="63">
        <f t="shared" si="3"/>
        <v>0.01527676926</v>
      </c>
      <c r="J9" s="65">
        <f t="shared" si="4"/>
        <v>5.652404625</v>
      </c>
      <c r="K9" s="65">
        <f t="shared" si="5"/>
        <v>7.934408066</v>
      </c>
      <c r="L9" s="52"/>
      <c r="M9" s="66">
        <v>8.0</v>
      </c>
      <c r="N9" s="7" t="s">
        <v>29</v>
      </c>
      <c r="O9" s="8">
        <v>26.77532013969732</v>
      </c>
      <c r="P9" s="8">
        <v>8.83609953066415</v>
      </c>
      <c r="Q9" s="38" t="s">
        <v>29</v>
      </c>
      <c r="R9" s="67">
        <v>336.0</v>
      </c>
      <c r="S9" s="67">
        <v>36199.0</v>
      </c>
      <c r="T9" s="7">
        <v>24.0</v>
      </c>
      <c r="U9" s="52"/>
      <c r="V9" s="52"/>
      <c r="W9" s="52"/>
      <c r="X9" s="52"/>
      <c r="Y9" s="52"/>
      <c r="Z9" s="52"/>
      <c r="AA9" s="52"/>
      <c r="AB9" s="52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</row>
    <row r="10" ht="14.25" customHeight="1">
      <c r="A10" s="6">
        <v>10304.0</v>
      </c>
      <c r="B10" s="7" t="s">
        <v>11</v>
      </c>
      <c r="C10" s="7" t="s">
        <v>23</v>
      </c>
      <c r="D10" s="7" t="s">
        <v>30</v>
      </c>
      <c r="E10" s="61">
        <v>5.0</v>
      </c>
      <c r="F10" s="62">
        <v>519.0</v>
      </c>
      <c r="G10" s="63">
        <f t="shared" si="1"/>
        <v>0.01515151515</v>
      </c>
      <c r="H10" s="64">
        <f t="shared" si="2"/>
        <v>0.04484848485</v>
      </c>
      <c r="I10" s="63">
        <f t="shared" si="3"/>
        <v>0.01449477741</v>
      </c>
      <c r="J10" s="65">
        <f t="shared" si="4"/>
        <v>5.363067642</v>
      </c>
      <c r="K10" s="65">
        <f t="shared" si="5"/>
        <v>8.362468617</v>
      </c>
      <c r="L10" s="52"/>
      <c r="M10" s="66">
        <v>9.0</v>
      </c>
      <c r="N10" s="7" t="s">
        <v>31</v>
      </c>
      <c r="O10" s="8">
        <v>4.406580493537016</v>
      </c>
      <c r="P10" s="8">
        <v>7.292707292707293</v>
      </c>
      <c r="Q10" s="38" t="s">
        <v>31</v>
      </c>
      <c r="R10" s="67">
        <v>71.0</v>
      </c>
      <c r="S10" s="67">
        <v>9512.0</v>
      </c>
      <c r="T10" s="7">
        <v>10.0</v>
      </c>
      <c r="U10" s="52"/>
      <c r="V10" s="52"/>
      <c r="W10" s="52"/>
      <c r="X10" s="52"/>
      <c r="Y10" s="52"/>
      <c r="Z10" s="52"/>
      <c r="AA10" s="52"/>
      <c r="AB10" s="52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</row>
    <row r="11" ht="14.25" customHeight="1">
      <c r="A11" s="6">
        <v>10401.0</v>
      </c>
      <c r="B11" s="7" t="s">
        <v>11</v>
      </c>
      <c r="C11" s="7" t="s">
        <v>32</v>
      </c>
      <c r="D11" s="7" t="s">
        <v>33</v>
      </c>
      <c r="E11" s="61">
        <v>3.0</v>
      </c>
      <c r="F11" s="62">
        <v>584.0</v>
      </c>
      <c r="G11" s="63">
        <f t="shared" si="1"/>
        <v>0.009090909091</v>
      </c>
      <c r="H11" s="64">
        <f t="shared" si="2"/>
        <v>0.02690909091</v>
      </c>
      <c r="I11" s="63">
        <f t="shared" si="3"/>
        <v>0.01631011562</v>
      </c>
      <c r="J11" s="65">
        <f t="shared" si="4"/>
        <v>6.034742781</v>
      </c>
      <c r="K11" s="65">
        <f t="shared" si="5"/>
        <v>4.459028643</v>
      </c>
      <c r="L11" s="52"/>
      <c r="M11" s="66">
        <v>10.0</v>
      </c>
      <c r="N11" s="7" t="s">
        <v>35</v>
      </c>
      <c r="O11" s="8">
        <v>22.727272727272727</v>
      </c>
      <c r="P11" s="8">
        <v>8.229257430535386</v>
      </c>
      <c r="Q11" s="38" t="s">
        <v>35</v>
      </c>
      <c r="R11" s="64">
        <f t="shared" ref="R11:S11" si="6">SUM(E246:E248)</f>
        <v>85</v>
      </c>
      <c r="S11" s="64">
        <f t="shared" si="6"/>
        <v>10329</v>
      </c>
      <c r="T11" s="64">
        <f>SUM(H246:H248)/SUM(J246:J248)*1000</f>
        <v>27.12326402</v>
      </c>
      <c r="U11" s="52"/>
      <c r="V11" s="52"/>
      <c r="W11" s="52"/>
      <c r="X11" s="52"/>
      <c r="Y11" s="52"/>
      <c r="Z11" s="52"/>
      <c r="AA11" s="52"/>
      <c r="AB11" s="52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</row>
    <row r="12" ht="14.25" customHeight="1">
      <c r="A12" s="6">
        <v>10402.0</v>
      </c>
      <c r="B12" s="7" t="s">
        <v>11</v>
      </c>
      <c r="C12" s="7" t="s">
        <v>32</v>
      </c>
      <c r="D12" s="7" t="s">
        <v>32</v>
      </c>
      <c r="E12" s="61">
        <v>3.0</v>
      </c>
      <c r="F12" s="62">
        <v>545.0</v>
      </c>
      <c r="G12" s="63">
        <f t="shared" si="1"/>
        <v>0.009090909091</v>
      </c>
      <c r="H12" s="64">
        <f t="shared" si="2"/>
        <v>0.02690909091</v>
      </c>
      <c r="I12" s="63">
        <f t="shared" si="3"/>
        <v>0.0152209127</v>
      </c>
      <c r="J12" s="65">
        <f t="shared" si="4"/>
        <v>5.631737698</v>
      </c>
      <c r="K12" s="65">
        <f t="shared" si="5"/>
        <v>4.778115096</v>
      </c>
      <c r="L12" s="52"/>
      <c r="M12" s="66">
        <v>11.0</v>
      </c>
      <c r="N12" s="7" t="s">
        <v>34</v>
      </c>
      <c r="O12" s="8">
        <v>24.44284359498103</v>
      </c>
      <c r="P12" s="8">
        <v>10.114267964655577</v>
      </c>
      <c r="Q12" s="38" t="s">
        <v>34</v>
      </c>
      <c r="R12" s="67">
        <v>7608.0</v>
      </c>
      <c r="S12" s="67">
        <v>719598.0</v>
      </c>
      <c r="T12" s="16">
        <v>16.0</v>
      </c>
      <c r="U12" s="52"/>
      <c r="V12" s="52"/>
      <c r="W12" s="52"/>
      <c r="X12" s="52"/>
      <c r="Y12" s="52"/>
      <c r="Z12" s="52"/>
      <c r="AA12" s="52"/>
      <c r="AB12" s="52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</row>
    <row r="13" ht="14.25" customHeight="1">
      <c r="A13" s="6">
        <v>10403.0</v>
      </c>
      <c r="B13" s="7" t="s">
        <v>11</v>
      </c>
      <c r="C13" s="7" t="s">
        <v>32</v>
      </c>
      <c r="D13" s="7" t="s">
        <v>36</v>
      </c>
      <c r="E13" s="61">
        <v>1.0</v>
      </c>
      <c r="F13" s="62">
        <v>428.0</v>
      </c>
      <c r="G13" s="63">
        <f t="shared" si="1"/>
        <v>0.00303030303</v>
      </c>
      <c r="H13" s="64">
        <f t="shared" si="2"/>
        <v>0.00896969697</v>
      </c>
      <c r="I13" s="63">
        <f t="shared" si="3"/>
        <v>0.01195330392</v>
      </c>
      <c r="J13" s="65">
        <f t="shared" si="4"/>
        <v>4.422722449</v>
      </c>
      <c r="K13" s="65">
        <f t="shared" si="5"/>
        <v>2.028094024</v>
      </c>
      <c r="L13" s="52"/>
      <c r="M13" s="38"/>
      <c r="N13" s="38"/>
      <c r="O13" s="38"/>
      <c r="P13" s="38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</row>
    <row r="14" ht="14.25" customHeight="1">
      <c r="A14" s="6">
        <v>10404.0</v>
      </c>
      <c r="B14" s="7" t="s">
        <v>11</v>
      </c>
      <c r="C14" s="7" t="s">
        <v>32</v>
      </c>
      <c r="D14" s="7" t="s">
        <v>37</v>
      </c>
      <c r="E14" s="61">
        <v>1.0</v>
      </c>
      <c r="F14" s="62">
        <v>204.0</v>
      </c>
      <c r="G14" s="63">
        <f t="shared" si="1"/>
        <v>0.00303030303</v>
      </c>
      <c r="H14" s="64">
        <f t="shared" si="2"/>
        <v>0.00896969697</v>
      </c>
      <c r="I14" s="63">
        <f t="shared" si="3"/>
        <v>0.005697369156</v>
      </c>
      <c r="J14" s="65">
        <f t="shared" si="4"/>
        <v>2.108026588</v>
      </c>
      <c r="K14" s="65">
        <f t="shared" si="5"/>
        <v>4.255020796</v>
      </c>
      <c r="L14" s="52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</row>
    <row r="15" ht="14.25" customHeight="1">
      <c r="A15" s="6">
        <v>10405.0</v>
      </c>
      <c r="B15" s="7" t="s">
        <v>11</v>
      </c>
      <c r="C15" s="7" t="s">
        <v>32</v>
      </c>
      <c r="D15" s="7" t="s">
        <v>38</v>
      </c>
      <c r="E15" s="61">
        <v>4.0</v>
      </c>
      <c r="F15" s="62">
        <v>338.0</v>
      </c>
      <c r="G15" s="63">
        <f t="shared" si="1"/>
        <v>0.01212121212</v>
      </c>
      <c r="H15" s="64">
        <f t="shared" si="2"/>
        <v>0.03587878788</v>
      </c>
      <c r="I15" s="63">
        <f t="shared" si="3"/>
        <v>0.0094397587</v>
      </c>
      <c r="J15" s="65">
        <f t="shared" si="4"/>
        <v>3.492710719</v>
      </c>
      <c r="K15" s="65">
        <f t="shared" si="5"/>
        <v>10.27247624</v>
      </c>
      <c r="L15" s="52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</row>
    <row r="16" ht="14.25" customHeight="1">
      <c r="A16" s="6">
        <v>10501.0</v>
      </c>
      <c r="B16" s="7" t="s">
        <v>11</v>
      </c>
      <c r="C16" s="7" t="s">
        <v>39</v>
      </c>
      <c r="D16" s="7" t="s">
        <v>40</v>
      </c>
      <c r="E16" s="61">
        <v>9.0</v>
      </c>
      <c r="F16" s="62">
        <v>1404.0</v>
      </c>
      <c r="G16" s="63">
        <f t="shared" si="1"/>
        <v>0.02727272727</v>
      </c>
      <c r="H16" s="64">
        <f t="shared" si="2"/>
        <v>0.08072727273</v>
      </c>
      <c r="I16" s="63">
        <f t="shared" si="3"/>
        <v>0.03921130537</v>
      </c>
      <c r="J16" s="65">
        <f t="shared" si="4"/>
        <v>14.50818299</v>
      </c>
      <c r="K16" s="65">
        <f t="shared" si="5"/>
        <v>5.564257964</v>
      </c>
      <c r="L16" s="52"/>
      <c r="M16" s="69" t="s">
        <v>458</v>
      </c>
      <c r="N16" s="2" t="s">
        <v>7</v>
      </c>
      <c r="O16" s="2" t="s">
        <v>459</v>
      </c>
      <c r="P16" s="2" t="s">
        <v>460</v>
      </c>
      <c r="Q16" s="46" t="s">
        <v>461</v>
      </c>
      <c r="R16" s="46" t="s">
        <v>462</v>
      </c>
      <c r="S16" s="70" t="s">
        <v>481</v>
      </c>
      <c r="T16" s="71" t="s">
        <v>465</v>
      </c>
      <c r="U16" s="72" t="s">
        <v>466</v>
      </c>
      <c r="V16" s="71"/>
      <c r="W16" s="71"/>
      <c r="X16" s="52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</row>
    <row r="17" ht="14.25" customHeight="1">
      <c r="A17" s="6">
        <v>10502.0</v>
      </c>
      <c r="B17" s="7" t="s">
        <v>11</v>
      </c>
      <c r="C17" s="7" t="s">
        <v>39</v>
      </c>
      <c r="D17" s="7" t="s">
        <v>41</v>
      </c>
      <c r="E17" s="61">
        <v>4.0</v>
      </c>
      <c r="F17" s="62">
        <v>469.0</v>
      </c>
      <c r="G17" s="63">
        <f t="shared" si="1"/>
        <v>0.01212121212</v>
      </c>
      <c r="H17" s="64">
        <f t="shared" si="2"/>
        <v>0.03587878788</v>
      </c>
      <c r="I17" s="63">
        <f t="shared" si="3"/>
        <v>0.0130983634</v>
      </c>
      <c r="J17" s="65">
        <f t="shared" si="4"/>
        <v>4.846394459</v>
      </c>
      <c r="K17" s="65">
        <f t="shared" si="5"/>
        <v>7.403191833</v>
      </c>
      <c r="L17" s="52"/>
      <c r="M17" s="7">
        <v>1.0</v>
      </c>
      <c r="N17" s="7" t="s">
        <v>11</v>
      </c>
      <c r="O17" s="7">
        <v>22.0</v>
      </c>
      <c r="P17" s="7">
        <v>8.0</v>
      </c>
      <c r="Q17" s="73">
        <f t="shared" ref="Q17:R17" si="7">O2-O17</f>
        <v>2.818401937</v>
      </c>
      <c r="R17" s="73">
        <f t="shared" si="7"/>
        <v>0.8076421596</v>
      </c>
      <c r="S17" s="74">
        <f t="shared" ref="S17:S28" si="9">P17*U17/1000</f>
        <v>2.96</v>
      </c>
      <c r="T17" s="48">
        <v>571.0</v>
      </c>
      <c r="U17" s="74">
        <v>370.0</v>
      </c>
      <c r="V17" s="75"/>
      <c r="W17" s="75"/>
      <c r="X17" s="52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</row>
    <row r="18" ht="14.25" customHeight="1">
      <c r="A18" s="6">
        <v>10601.0</v>
      </c>
      <c r="B18" s="7" t="s">
        <v>11</v>
      </c>
      <c r="C18" s="7" t="s">
        <v>42</v>
      </c>
      <c r="D18" s="7" t="s">
        <v>43</v>
      </c>
      <c r="E18" s="61">
        <v>13.0</v>
      </c>
      <c r="F18" s="62">
        <v>713.0</v>
      </c>
      <c r="G18" s="63">
        <f t="shared" si="1"/>
        <v>0.03939393939</v>
      </c>
      <c r="H18" s="64">
        <f t="shared" si="2"/>
        <v>0.1166060606</v>
      </c>
      <c r="I18" s="63">
        <f t="shared" si="3"/>
        <v>0.01991286377</v>
      </c>
      <c r="J18" s="65">
        <f t="shared" si="4"/>
        <v>7.367759593</v>
      </c>
      <c r="K18" s="65">
        <f t="shared" si="5"/>
        <v>15.82652896</v>
      </c>
      <c r="L18" s="52"/>
      <c r="M18" s="7">
        <v>2.0</v>
      </c>
      <c r="N18" s="7" t="s">
        <v>15</v>
      </c>
      <c r="O18" s="7">
        <v>59.0</v>
      </c>
      <c r="P18" s="7">
        <v>15.0</v>
      </c>
      <c r="Q18" s="73">
        <f t="shared" ref="Q18:R18" si="8">O3-O18</f>
        <v>-27.20862514</v>
      </c>
      <c r="R18" s="73">
        <f t="shared" si="8"/>
        <v>-2.477998218</v>
      </c>
      <c r="S18" s="74">
        <f t="shared" si="9"/>
        <v>26.07</v>
      </c>
      <c r="T18" s="48">
        <v>1226.0</v>
      </c>
      <c r="U18" s="74">
        <v>1738.0</v>
      </c>
      <c r="V18" s="75"/>
      <c r="W18" s="75"/>
      <c r="X18" s="52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</row>
    <row r="19" ht="14.25" customHeight="1">
      <c r="A19" s="6">
        <v>10602.0</v>
      </c>
      <c r="B19" s="7" t="s">
        <v>11</v>
      </c>
      <c r="C19" s="7" t="s">
        <v>42</v>
      </c>
      <c r="D19" s="7" t="s">
        <v>42</v>
      </c>
      <c r="E19" s="61">
        <v>3.0</v>
      </c>
      <c r="F19" s="62">
        <v>460.0</v>
      </c>
      <c r="G19" s="63">
        <f t="shared" si="1"/>
        <v>0.009090909091</v>
      </c>
      <c r="H19" s="64">
        <f t="shared" si="2"/>
        <v>0.02690909091</v>
      </c>
      <c r="I19" s="63">
        <f t="shared" si="3"/>
        <v>0.01284700888</v>
      </c>
      <c r="J19" s="65">
        <f t="shared" si="4"/>
        <v>4.753393286</v>
      </c>
      <c r="K19" s="65">
        <f t="shared" si="5"/>
        <v>5.661027668</v>
      </c>
      <c r="L19" s="52"/>
      <c r="M19" s="7">
        <v>3.0</v>
      </c>
      <c r="N19" s="7" t="s">
        <v>17</v>
      </c>
      <c r="O19" s="7">
        <v>57.0</v>
      </c>
      <c r="P19" s="7">
        <v>6.0</v>
      </c>
      <c r="Q19" s="73">
        <f t="shared" ref="Q19:R19" si="10">O4-O19</f>
        <v>-32.89628258</v>
      </c>
      <c r="R19" s="73">
        <f t="shared" si="10"/>
        <v>3.824712303</v>
      </c>
      <c r="S19" s="74">
        <f t="shared" si="9"/>
        <v>7.542</v>
      </c>
      <c r="T19" s="48">
        <v>974.0</v>
      </c>
      <c r="U19" s="74">
        <v>1257.0</v>
      </c>
      <c r="V19" s="75"/>
      <c r="W19" s="75"/>
      <c r="X19" s="52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</row>
    <row r="20" ht="14.25" customHeight="1">
      <c r="A20" s="6">
        <v>10701.0</v>
      </c>
      <c r="B20" s="7" t="s">
        <v>11</v>
      </c>
      <c r="C20" s="7" t="s">
        <v>44</v>
      </c>
      <c r="D20" s="7" t="s">
        <v>45</v>
      </c>
      <c r="E20" s="61">
        <v>11.0</v>
      </c>
      <c r="F20" s="62">
        <v>820.0</v>
      </c>
      <c r="G20" s="63">
        <f t="shared" si="1"/>
        <v>0.03333333333</v>
      </c>
      <c r="H20" s="64">
        <f t="shared" si="2"/>
        <v>0.09866666667</v>
      </c>
      <c r="I20" s="63">
        <f t="shared" si="3"/>
        <v>0.02290118974</v>
      </c>
      <c r="J20" s="65">
        <f t="shared" si="4"/>
        <v>8.473440206</v>
      </c>
      <c r="K20" s="65">
        <f t="shared" si="5"/>
        <v>11.64422764</v>
      </c>
      <c r="L20" s="52"/>
      <c r="M20" s="7">
        <v>4.0</v>
      </c>
      <c r="N20" s="7" t="s">
        <v>20</v>
      </c>
      <c r="O20" s="7">
        <v>51.0</v>
      </c>
      <c r="P20" s="7">
        <v>29.0</v>
      </c>
      <c r="Q20" s="73">
        <f t="shared" ref="Q20:R20" si="11">O5-O20</f>
        <v>-30.24940429</v>
      </c>
      <c r="R20" s="73">
        <f t="shared" si="11"/>
        <v>-16.61811665</v>
      </c>
      <c r="S20" s="74">
        <f t="shared" si="9"/>
        <v>8.439</v>
      </c>
      <c r="T20" s="48">
        <v>628.0</v>
      </c>
      <c r="U20" s="74">
        <v>291.0</v>
      </c>
      <c r="V20" s="75"/>
      <c r="W20" s="75"/>
      <c r="X20" s="52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</row>
    <row r="21" ht="14.25" customHeight="1">
      <c r="A21" s="6">
        <v>10702.0</v>
      </c>
      <c r="B21" s="7" t="s">
        <v>11</v>
      </c>
      <c r="C21" s="7" t="s">
        <v>44</v>
      </c>
      <c r="D21" s="7" t="s">
        <v>46</v>
      </c>
      <c r="E21" s="61">
        <v>29.0</v>
      </c>
      <c r="F21" s="62">
        <v>1817.0</v>
      </c>
      <c r="G21" s="63">
        <f t="shared" si="1"/>
        <v>0.08787878788</v>
      </c>
      <c r="H21" s="64">
        <f t="shared" si="2"/>
        <v>0.2601212121</v>
      </c>
      <c r="I21" s="63">
        <f t="shared" si="3"/>
        <v>0.05074568508</v>
      </c>
      <c r="J21" s="65">
        <f t="shared" si="4"/>
        <v>18.77590348</v>
      </c>
      <c r="K21" s="65">
        <f t="shared" si="5"/>
        <v>13.85399176</v>
      </c>
      <c r="L21" s="52"/>
      <c r="M21" s="7">
        <v>5.0</v>
      </c>
      <c r="N21" s="7" t="s">
        <v>264</v>
      </c>
      <c r="O21" s="7">
        <v>91.0</v>
      </c>
      <c r="P21" s="7">
        <v>21.0</v>
      </c>
      <c r="Q21" s="73">
        <f t="shared" ref="Q21:R21" si="12">O6-O21</f>
        <v>-49.57319632</v>
      </c>
      <c r="R21" s="73">
        <f t="shared" si="12"/>
        <v>-4.622157668</v>
      </c>
      <c r="S21" s="74">
        <f t="shared" si="9"/>
        <v>10.689</v>
      </c>
      <c r="T21" s="48">
        <v>727.0</v>
      </c>
      <c r="U21" s="74">
        <v>509.0</v>
      </c>
      <c r="V21" s="75"/>
      <c r="W21" s="75"/>
      <c r="X21" s="52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</row>
    <row r="22" ht="14.25" customHeight="1">
      <c r="A22" s="6">
        <v>10703.0</v>
      </c>
      <c r="B22" s="7" t="s">
        <v>11</v>
      </c>
      <c r="C22" s="7" t="s">
        <v>44</v>
      </c>
      <c r="D22" s="7" t="s">
        <v>47</v>
      </c>
      <c r="E22" s="61">
        <v>16.0</v>
      </c>
      <c r="F22" s="62">
        <v>1042.0</v>
      </c>
      <c r="G22" s="63">
        <f t="shared" si="1"/>
        <v>0.04848484848</v>
      </c>
      <c r="H22" s="64">
        <f t="shared" si="2"/>
        <v>0.1435151515</v>
      </c>
      <c r="I22" s="63">
        <f t="shared" si="3"/>
        <v>0.02910126794</v>
      </c>
      <c r="J22" s="65">
        <f t="shared" si="4"/>
        <v>10.76746914</v>
      </c>
      <c r="K22" s="65">
        <f t="shared" si="5"/>
        <v>13.32858722</v>
      </c>
      <c r="L22" s="52"/>
      <c r="M22" s="7">
        <v>6.0</v>
      </c>
      <c r="N22" s="7" t="s">
        <v>25</v>
      </c>
      <c r="O22" s="7">
        <v>33.0</v>
      </c>
      <c r="P22" s="7">
        <v>21.0</v>
      </c>
      <c r="Q22" s="73">
        <f t="shared" ref="Q22:R22" si="13">O7-O22</f>
        <v>-16.14365471</v>
      </c>
      <c r="R22" s="73">
        <f t="shared" si="13"/>
        <v>-14.88490298</v>
      </c>
      <c r="S22" s="74">
        <f t="shared" si="9"/>
        <v>7.455</v>
      </c>
      <c r="T22" s="48">
        <v>527.0</v>
      </c>
      <c r="U22" s="74">
        <v>355.0</v>
      </c>
      <c r="V22" s="75"/>
      <c r="W22" s="75"/>
      <c r="X22" s="52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</row>
    <row r="23" ht="14.25" customHeight="1">
      <c r="A23" s="6">
        <v>10704.0</v>
      </c>
      <c r="B23" s="7" t="s">
        <v>11</v>
      </c>
      <c r="C23" s="7" t="s">
        <v>44</v>
      </c>
      <c r="D23" s="7" t="s">
        <v>48</v>
      </c>
      <c r="E23" s="61">
        <v>9.0</v>
      </c>
      <c r="F23" s="62">
        <v>1012.0</v>
      </c>
      <c r="G23" s="63">
        <f t="shared" si="1"/>
        <v>0.02727272727</v>
      </c>
      <c r="H23" s="64">
        <f t="shared" si="2"/>
        <v>0.08072727273</v>
      </c>
      <c r="I23" s="63">
        <f t="shared" si="3"/>
        <v>0.02826341954</v>
      </c>
      <c r="J23" s="65">
        <f t="shared" si="4"/>
        <v>10.45746523</v>
      </c>
      <c r="K23" s="65">
        <f t="shared" si="5"/>
        <v>7.719583184</v>
      </c>
      <c r="L23" s="52"/>
      <c r="M23" s="7">
        <v>7.0</v>
      </c>
      <c r="N23" s="7" t="s">
        <v>27</v>
      </c>
      <c r="O23" s="7">
        <v>21.0</v>
      </c>
      <c r="P23" s="7">
        <v>6.0</v>
      </c>
      <c r="Q23" s="73">
        <f t="shared" ref="Q23:R23" si="14">O8-O23</f>
        <v>-5.511925015</v>
      </c>
      <c r="R23" s="73">
        <f t="shared" si="14"/>
        <v>1.392200823</v>
      </c>
      <c r="S23" s="74">
        <f t="shared" si="9"/>
        <v>12.522</v>
      </c>
      <c r="T23" s="48">
        <v>1112.0</v>
      </c>
      <c r="U23" s="74">
        <v>2087.0</v>
      </c>
      <c r="V23" s="75"/>
      <c r="W23" s="75"/>
      <c r="X23" s="52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</row>
    <row r="24" ht="14.25" customHeight="1">
      <c r="A24" s="6">
        <v>10801.0</v>
      </c>
      <c r="B24" s="7" t="s">
        <v>11</v>
      </c>
      <c r="C24" s="7" t="s">
        <v>49</v>
      </c>
      <c r="D24" s="7" t="s">
        <v>50</v>
      </c>
      <c r="E24" s="61">
        <v>5.0</v>
      </c>
      <c r="F24" s="62">
        <v>509.0</v>
      </c>
      <c r="G24" s="63">
        <f t="shared" si="1"/>
        <v>0.01515151515</v>
      </c>
      <c r="H24" s="64">
        <f t="shared" si="2"/>
        <v>0.04484848485</v>
      </c>
      <c r="I24" s="63">
        <f t="shared" si="3"/>
        <v>0.01421549461</v>
      </c>
      <c r="J24" s="65">
        <f t="shared" si="4"/>
        <v>5.259733006</v>
      </c>
      <c r="K24" s="65">
        <f t="shared" si="5"/>
        <v>8.526760731</v>
      </c>
      <c r="L24" s="52"/>
      <c r="M24" s="7">
        <v>8.0</v>
      </c>
      <c r="N24" s="7" t="s">
        <v>29</v>
      </c>
      <c r="O24" s="7">
        <v>34.0</v>
      </c>
      <c r="P24" s="7">
        <v>13.0</v>
      </c>
      <c r="Q24" s="73">
        <f t="shared" ref="Q24:R24" si="15">O9-O24</f>
        <v>-7.22467986</v>
      </c>
      <c r="R24" s="73">
        <f t="shared" si="15"/>
        <v>-4.163900469</v>
      </c>
      <c r="S24" s="74">
        <f t="shared" si="9"/>
        <v>4.303</v>
      </c>
      <c r="T24" s="48">
        <v>639.0</v>
      </c>
      <c r="U24" s="74">
        <v>331.0</v>
      </c>
      <c r="V24" s="75"/>
      <c r="W24" s="75"/>
      <c r="X24" s="52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</row>
    <row r="25" ht="14.25" customHeight="1">
      <c r="A25" s="6">
        <v>10901.0</v>
      </c>
      <c r="B25" s="7" t="s">
        <v>11</v>
      </c>
      <c r="C25" s="7" t="s">
        <v>51</v>
      </c>
      <c r="D25" s="7" t="s">
        <v>52</v>
      </c>
      <c r="E25" s="61">
        <v>1.0</v>
      </c>
      <c r="F25" s="62">
        <v>303.0</v>
      </c>
      <c r="G25" s="63">
        <f t="shared" si="1"/>
        <v>0.00303030303</v>
      </c>
      <c r="H25" s="64">
        <f t="shared" si="2"/>
        <v>0.00896969697</v>
      </c>
      <c r="I25" s="63">
        <f t="shared" si="3"/>
        <v>0.008462268893</v>
      </c>
      <c r="J25" s="65">
        <f t="shared" si="4"/>
        <v>3.131039491</v>
      </c>
      <c r="K25" s="65">
        <f t="shared" si="5"/>
        <v>2.864766477</v>
      </c>
      <c r="L25" s="52"/>
      <c r="M25" s="7">
        <v>9.0</v>
      </c>
      <c r="N25" s="7" t="s">
        <v>31</v>
      </c>
      <c r="O25" s="7">
        <f>43</f>
        <v>43</v>
      </c>
      <c r="P25" s="7">
        <v>10.0</v>
      </c>
      <c r="Q25" s="73">
        <f t="shared" ref="Q25:R25" si="16">O10-O25</f>
        <v>-38.59341951</v>
      </c>
      <c r="R25" s="73">
        <f t="shared" si="16"/>
        <v>-2.707292707</v>
      </c>
      <c r="S25" s="74">
        <f t="shared" si="9"/>
        <v>1.06</v>
      </c>
      <c r="T25" s="48">
        <v>657.0</v>
      </c>
      <c r="U25" s="74">
        <v>106.0</v>
      </c>
      <c r="V25" s="75"/>
      <c r="W25" s="75"/>
      <c r="X25" s="52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</row>
    <row r="26" ht="14.25" customHeight="1">
      <c r="A26" s="6">
        <v>10902.0</v>
      </c>
      <c r="B26" s="7" t="s">
        <v>11</v>
      </c>
      <c r="C26" s="7" t="s">
        <v>51</v>
      </c>
      <c r="D26" s="7" t="s">
        <v>53</v>
      </c>
      <c r="E26" s="61">
        <v>15.0</v>
      </c>
      <c r="F26" s="62">
        <v>999.0</v>
      </c>
      <c r="G26" s="63">
        <f t="shared" si="1"/>
        <v>0.04545454545</v>
      </c>
      <c r="H26" s="64">
        <f t="shared" si="2"/>
        <v>0.1345454545</v>
      </c>
      <c r="I26" s="63">
        <f t="shared" si="3"/>
        <v>0.0279003519</v>
      </c>
      <c r="J26" s="65">
        <f t="shared" si="4"/>
        <v>10.3231302</v>
      </c>
      <c r="K26" s="65">
        <f t="shared" si="5"/>
        <v>13.03339703</v>
      </c>
      <c r="L26" s="52"/>
      <c r="M26" s="7">
        <v>11.0</v>
      </c>
      <c r="N26" s="7" t="s">
        <v>34</v>
      </c>
      <c r="O26" s="7">
        <v>50.0</v>
      </c>
      <c r="P26" s="7">
        <v>12.0</v>
      </c>
      <c r="Q26" s="76">
        <f t="shared" ref="Q26:R26" si="17">O12-O26</f>
        <v>-25.55715641</v>
      </c>
      <c r="R26" s="76">
        <f t="shared" si="17"/>
        <v>-1.885732035</v>
      </c>
      <c r="S26" s="74">
        <f t="shared" si="9"/>
        <v>84.516</v>
      </c>
      <c r="T26" s="48">
        <v>7061.0</v>
      </c>
      <c r="U26" s="74">
        <v>7043.0</v>
      </c>
      <c r="V26" s="75"/>
      <c r="W26" s="75"/>
      <c r="X26" s="52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</row>
    <row r="27" ht="14.25" customHeight="1">
      <c r="A27" s="6">
        <v>10903.0</v>
      </c>
      <c r="B27" s="7" t="s">
        <v>11</v>
      </c>
      <c r="C27" s="7" t="s">
        <v>51</v>
      </c>
      <c r="D27" s="7" t="s">
        <v>54</v>
      </c>
      <c r="E27" s="61">
        <v>1.0</v>
      </c>
      <c r="F27" s="62">
        <v>240.0</v>
      </c>
      <c r="G27" s="63">
        <f t="shared" si="1"/>
        <v>0.00303030303</v>
      </c>
      <c r="H27" s="64">
        <f t="shared" si="2"/>
        <v>0.00896969697</v>
      </c>
      <c r="I27" s="63">
        <f t="shared" si="3"/>
        <v>0.006702787242</v>
      </c>
      <c r="J27" s="65">
        <f t="shared" si="4"/>
        <v>2.48003128</v>
      </c>
      <c r="K27" s="65">
        <f t="shared" si="5"/>
        <v>3.616767677</v>
      </c>
      <c r="L27" s="52"/>
      <c r="M27" s="77" t="s">
        <v>467</v>
      </c>
      <c r="N27" s="7" t="s">
        <v>468</v>
      </c>
      <c r="O27" s="7">
        <v>36.0</v>
      </c>
      <c r="P27" s="7">
        <v>9.0</v>
      </c>
      <c r="Q27" s="7"/>
      <c r="R27" s="7"/>
      <c r="S27" s="74">
        <f t="shared" si="9"/>
        <v>44.145</v>
      </c>
      <c r="T27" s="48">
        <v>4821.0</v>
      </c>
      <c r="U27" s="74">
        <v>4905.0</v>
      </c>
      <c r="V27" s="75"/>
      <c r="W27" s="75"/>
      <c r="X27" s="52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</row>
    <row r="28" ht="14.25" customHeight="1">
      <c r="A28" s="6">
        <v>11001.0</v>
      </c>
      <c r="B28" s="7" t="s">
        <v>11</v>
      </c>
      <c r="C28" s="7" t="s">
        <v>55</v>
      </c>
      <c r="D28" s="7" t="s">
        <v>56</v>
      </c>
      <c r="E28" s="61">
        <v>4.0</v>
      </c>
      <c r="F28" s="62">
        <v>635.0</v>
      </c>
      <c r="G28" s="63">
        <f t="shared" si="1"/>
        <v>0.01212121212</v>
      </c>
      <c r="H28" s="64">
        <f t="shared" si="2"/>
        <v>0.03587878788</v>
      </c>
      <c r="I28" s="63">
        <f t="shared" si="3"/>
        <v>0.01773445791</v>
      </c>
      <c r="J28" s="65">
        <f t="shared" si="4"/>
        <v>6.561749427</v>
      </c>
      <c r="K28" s="65">
        <f t="shared" si="5"/>
        <v>5.467869244</v>
      </c>
      <c r="L28" s="52"/>
      <c r="M28" s="38"/>
      <c r="N28" s="7" t="s">
        <v>470</v>
      </c>
      <c r="O28" s="7">
        <v>67.0</v>
      </c>
      <c r="P28" s="7">
        <v>17.0</v>
      </c>
      <c r="Q28" s="7"/>
      <c r="R28" s="7"/>
      <c r="S28" s="74">
        <f t="shared" si="9"/>
        <v>36.329</v>
      </c>
      <c r="T28" s="48">
        <v>2240.0</v>
      </c>
      <c r="U28" s="74">
        <v>2137.0</v>
      </c>
      <c r="V28" s="75"/>
      <c r="W28" s="75"/>
      <c r="X28" s="52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</row>
    <row r="29" ht="14.25" customHeight="1">
      <c r="A29" s="6">
        <v>11002.0</v>
      </c>
      <c r="B29" s="7" t="s">
        <v>11</v>
      </c>
      <c r="C29" s="7" t="s">
        <v>55</v>
      </c>
      <c r="D29" s="7" t="s">
        <v>57</v>
      </c>
      <c r="E29" s="61">
        <v>3.0</v>
      </c>
      <c r="F29" s="62">
        <v>167.0</v>
      </c>
      <c r="G29" s="63">
        <f t="shared" si="1"/>
        <v>0.009090909091</v>
      </c>
      <c r="H29" s="64">
        <f t="shared" si="2"/>
        <v>0.02690909091</v>
      </c>
      <c r="I29" s="63">
        <f t="shared" si="3"/>
        <v>0.004664022789</v>
      </c>
      <c r="J29" s="65">
        <f t="shared" si="4"/>
        <v>1.725688432</v>
      </c>
      <c r="K29" s="65">
        <f t="shared" si="5"/>
        <v>15.59324986</v>
      </c>
      <c r="L29" s="52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</row>
    <row r="30" ht="14.25" customHeight="1">
      <c r="A30" s="6">
        <v>11003.0</v>
      </c>
      <c r="B30" s="7" t="s">
        <v>11</v>
      </c>
      <c r="C30" s="7" t="s">
        <v>55</v>
      </c>
      <c r="D30" s="7" t="s">
        <v>58</v>
      </c>
      <c r="E30" s="61">
        <v>8.0</v>
      </c>
      <c r="F30" s="62">
        <v>431.0</v>
      </c>
      <c r="G30" s="63">
        <f t="shared" si="1"/>
        <v>0.02424242424</v>
      </c>
      <c r="H30" s="64">
        <f t="shared" si="2"/>
        <v>0.07175757576</v>
      </c>
      <c r="I30" s="63">
        <f t="shared" si="3"/>
        <v>0.01203708876</v>
      </c>
      <c r="J30" s="65">
        <f t="shared" si="4"/>
        <v>4.45372284</v>
      </c>
      <c r="K30" s="65">
        <f t="shared" si="5"/>
        <v>16.11181888</v>
      </c>
      <c r="L30" s="52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ht="14.25" customHeight="1">
      <c r="A31" s="6">
        <v>20101.0</v>
      </c>
      <c r="B31" s="7" t="s">
        <v>15</v>
      </c>
      <c r="C31" s="7" t="s">
        <v>59</v>
      </c>
      <c r="D31" s="7" t="s">
        <v>60</v>
      </c>
      <c r="E31" s="61">
        <v>352.0</v>
      </c>
      <c r="F31" s="62">
        <v>34528.0</v>
      </c>
      <c r="G31" s="63">
        <f t="shared" ref="G31:G117" si="18">E31/$R$3</f>
        <v>0.1538461538</v>
      </c>
      <c r="H31" s="64">
        <f t="shared" ref="H31:H117" si="19">$S$18*G31</f>
        <v>4.010769231</v>
      </c>
      <c r="I31" s="63">
        <f t="shared" ref="I31:I117" si="20">F31/$S$3</f>
        <v>0.1970630033</v>
      </c>
      <c r="J31" s="65">
        <f t="shared" ref="J31:J117" si="21">I31*$U$18</f>
        <v>342.4954998</v>
      </c>
      <c r="K31" s="65">
        <f t="shared" si="5"/>
        <v>11.71042899</v>
      </c>
      <c r="L31" s="52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</row>
    <row r="32" ht="14.25" customHeight="1">
      <c r="A32" s="6">
        <v>20102.0</v>
      </c>
      <c r="B32" s="7" t="s">
        <v>15</v>
      </c>
      <c r="C32" s="7" t="s">
        <v>59</v>
      </c>
      <c r="D32" s="7" t="s">
        <v>61</v>
      </c>
      <c r="E32" s="61">
        <v>26.0</v>
      </c>
      <c r="F32" s="62">
        <v>1505.0</v>
      </c>
      <c r="G32" s="63">
        <f t="shared" si="18"/>
        <v>0.01136363636</v>
      </c>
      <c r="H32" s="64">
        <f t="shared" si="19"/>
        <v>0.29625</v>
      </c>
      <c r="I32" s="63">
        <f t="shared" si="20"/>
        <v>0.008589545296</v>
      </c>
      <c r="J32" s="65">
        <f t="shared" si="21"/>
        <v>14.92862972</v>
      </c>
      <c r="K32" s="65">
        <f t="shared" si="5"/>
        <v>19.84442011</v>
      </c>
      <c r="L32" s="52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</row>
    <row r="33" ht="14.25" customHeight="1">
      <c r="A33" s="6">
        <v>20103.0</v>
      </c>
      <c r="B33" s="7" t="s">
        <v>15</v>
      </c>
      <c r="C33" s="7" t="s">
        <v>59</v>
      </c>
      <c r="D33" s="7" t="s">
        <v>62</v>
      </c>
      <c r="E33" s="61">
        <v>14.0</v>
      </c>
      <c r="F33" s="62">
        <v>1157.0</v>
      </c>
      <c r="G33" s="63">
        <f t="shared" si="18"/>
        <v>0.006118881119</v>
      </c>
      <c r="H33" s="64">
        <f t="shared" si="19"/>
        <v>0.1595192308</v>
      </c>
      <c r="I33" s="63">
        <f t="shared" si="20"/>
        <v>0.006603391301</v>
      </c>
      <c r="J33" s="65">
        <f t="shared" si="21"/>
        <v>11.47669408</v>
      </c>
      <c r="K33" s="65">
        <f t="shared" si="5"/>
        <v>13.89940602</v>
      </c>
      <c r="L33" s="52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ht="14.25" customHeight="1">
      <c r="A34" s="6">
        <v>20104.0</v>
      </c>
      <c r="B34" s="7" t="s">
        <v>15</v>
      </c>
      <c r="C34" s="7" t="s">
        <v>59</v>
      </c>
      <c r="D34" s="7" t="s">
        <v>63</v>
      </c>
      <c r="E34" s="61">
        <v>38.0</v>
      </c>
      <c r="F34" s="62">
        <v>2909.0</v>
      </c>
      <c r="G34" s="63">
        <f t="shared" si="18"/>
        <v>0.01660839161</v>
      </c>
      <c r="H34" s="64">
        <f t="shared" si="19"/>
        <v>0.4329807692</v>
      </c>
      <c r="I34" s="63">
        <f t="shared" si="20"/>
        <v>0.01660264935</v>
      </c>
      <c r="J34" s="65">
        <f t="shared" si="21"/>
        <v>28.85540456</v>
      </c>
      <c r="K34" s="65">
        <f t="shared" si="5"/>
        <v>15.00518796</v>
      </c>
      <c r="L34" s="52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</row>
    <row r="35" ht="14.25" customHeight="1">
      <c r="A35" s="6">
        <v>20105.0</v>
      </c>
      <c r="B35" s="7" t="s">
        <v>15</v>
      </c>
      <c r="C35" s="7" t="s">
        <v>59</v>
      </c>
      <c r="D35" s="7" t="s">
        <v>64</v>
      </c>
      <c r="E35" s="61">
        <v>751.0</v>
      </c>
      <c r="F35" s="62">
        <v>56954.0</v>
      </c>
      <c r="G35" s="63">
        <f t="shared" si="18"/>
        <v>0.3282342657</v>
      </c>
      <c r="H35" s="64">
        <f t="shared" si="19"/>
        <v>8.557067308</v>
      </c>
      <c r="I35" s="63">
        <f t="shared" si="20"/>
        <v>0.3250557892</v>
      </c>
      <c r="J35" s="65">
        <f t="shared" si="21"/>
        <v>564.9469617</v>
      </c>
      <c r="K35" s="65">
        <f t="shared" si="5"/>
        <v>15.14667374</v>
      </c>
      <c r="L35" s="52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 ht="14.25" customHeight="1">
      <c r="A36" s="6">
        <v>20201.0</v>
      </c>
      <c r="B36" s="7" t="s">
        <v>15</v>
      </c>
      <c r="C36" s="7" t="s">
        <v>65</v>
      </c>
      <c r="D36" s="7" t="s">
        <v>66</v>
      </c>
      <c r="E36" s="61">
        <v>41.0</v>
      </c>
      <c r="F36" s="62">
        <v>2499.0</v>
      </c>
      <c r="G36" s="63">
        <f t="shared" si="18"/>
        <v>0.01791958042</v>
      </c>
      <c r="H36" s="64">
        <f t="shared" si="19"/>
        <v>0.4671634615</v>
      </c>
      <c r="I36" s="63">
        <f t="shared" si="20"/>
        <v>0.01426264033</v>
      </c>
      <c r="J36" s="65">
        <f t="shared" si="21"/>
        <v>24.78846889</v>
      </c>
      <c r="K36" s="65">
        <f t="shared" si="5"/>
        <v>18.84599906</v>
      </c>
      <c r="L36" s="52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ht="14.25" customHeight="1">
      <c r="A37" s="6">
        <v>20202.0</v>
      </c>
      <c r="B37" s="7" t="s">
        <v>15</v>
      </c>
      <c r="C37" s="7" t="s">
        <v>65</v>
      </c>
      <c r="D37" s="7" t="s">
        <v>67</v>
      </c>
      <c r="E37" s="61">
        <v>11.0</v>
      </c>
      <c r="F37" s="62">
        <v>821.0</v>
      </c>
      <c r="G37" s="63">
        <f t="shared" si="18"/>
        <v>0.004807692308</v>
      </c>
      <c r="H37" s="64">
        <f t="shared" si="19"/>
        <v>0.1253365385</v>
      </c>
      <c r="I37" s="63">
        <f t="shared" si="20"/>
        <v>0.004685725374</v>
      </c>
      <c r="J37" s="65">
        <f t="shared" si="21"/>
        <v>8.1437907</v>
      </c>
      <c r="K37" s="65">
        <f t="shared" si="5"/>
        <v>15.390442</v>
      </c>
      <c r="L37" s="52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ht="14.25" customHeight="1">
      <c r="A38" s="6">
        <v>20203.0</v>
      </c>
      <c r="B38" s="7" t="s">
        <v>15</v>
      </c>
      <c r="C38" s="7" t="s">
        <v>65</v>
      </c>
      <c r="D38" s="7" t="s">
        <v>68</v>
      </c>
      <c r="E38" s="61">
        <v>6.0</v>
      </c>
      <c r="F38" s="62">
        <v>333.0</v>
      </c>
      <c r="G38" s="63">
        <f t="shared" si="18"/>
        <v>0.002622377622</v>
      </c>
      <c r="H38" s="64">
        <f t="shared" si="19"/>
        <v>0.06836538462</v>
      </c>
      <c r="I38" s="63">
        <f t="shared" si="20"/>
        <v>0.001900543909</v>
      </c>
      <c r="J38" s="65">
        <f t="shared" si="21"/>
        <v>3.303145315</v>
      </c>
      <c r="K38" s="65">
        <f t="shared" si="5"/>
        <v>20.69705632</v>
      </c>
      <c r="L38" s="52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ht="14.25" customHeight="1">
      <c r="A39" s="6">
        <v>20204.0</v>
      </c>
      <c r="B39" s="7" t="s">
        <v>15</v>
      </c>
      <c r="C39" s="7" t="s">
        <v>65</v>
      </c>
      <c r="D39" s="7" t="s">
        <v>69</v>
      </c>
      <c r="E39" s="61">
        <v>6.0</v>
      </c>
      <c r="F39" s="62">
        <v>418.0</v>
      </c>
      <c r="G39" s="63">
        <f t="shared" si="18"/>
        <v>0.002622377622</v>
      </c>
      <c r="H39" s="64">
        <f t="shared" si="19"/>
        <v>0.06836538462</v>
      </c>
      <c r="I39" s="63">
        <f t="shared" si="20"/>
        <v>0.00238566773</v>
      </c>
      <c r="J39" s="65">
        <f t="shared" si="21"/>
        <v>4.146290515</v>
      </c>
      <c r="K39" s="65">
        <f t="shared" si="5"/>
        <v>16.48832477</v>
      </c>
      <c r="L39" s="52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ht="14.25" customHeight="1">
      <c r="A40" s="6">
        <v>20205.0</v>
      </c>
      <c r="B40" s="7" t="s">
        <v>15</v>
      </c>
      <c r="C40" s="7" t="s">
        <v>65</v>
      </c>
      <c r="D40" s="7" t="s">
        <v>70</v>
      </c>
      <c r="E40" s="61">
        <v>3.0</v>
      </c>
      <c r="F40" s="62">
        <v>414.0</v>
      </c>
      <c r="G40" s="63">
        <f t="shared" si="18"/>
        <v>0.001311188811</v>
      </c>
      <c r="H40" s="64">
        <f t="shared" si="19"/>
        <v>0.03418269231</v>
      </c>
      <c r="I40" s="63">
        <f t="shared" si="20"/>
        <v>0.002362838374</v>
      </c>
      <c r="J40" s="65">
        <f t="shared" si="21"/>
        <v>4.106613094</v>
      </c>
      <c r="K40" s="65">
        <f t="shared" si="5"/>
        <v>8.32381613</v>
      </c>
      <c r="L40" s="52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ht="14.25" customHeight="1">
      <c r="A41" s="6">
        <v>20206.0</v>
      </c>
      <c r="B41" s="7" t="s">
        <v>15</v>
      </c>
      <c r="C41" s="7" t="s">
        <v>65</v>
      </c>
      <c r="D41" s="7" t="s">
        <v>71</v>
      </c>
      <c r="E41" s="61">
        <v>7.0</v>
      </c>
      <c r="F41" s="62">
        <v>188.0</v>
      </c>
      <c r="G41" s="63">
        <f t="shared" si="18"/>
        <v>0.003059440559</v>
      </c>
      <c r="H41" s="64">
        <f t="shared" si="19"/>
        <v>0.07975961538</v>
      </c>
      <c r="I41" s="63">
        <f t="shared" si="20"/>
        <v>0.001072979745</v>
      </c>
      <c r="J41" s="65">
        <f t="shared" si="21"/>
        <v>1.864838796</v>
      </c>
      <c r="K41" s="65">
        <f t="shared" si="5"/>
        <v>42.77024671</v>
      </c>
      <c r="L41" s="52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ht="14.25" customHeight="1">
      <c r="A42" s="6">
        <v>20301.0</v>
      </c>
      <c r="B42" s="7" t="s">
        <v>15</v>
      </c>
      <c r="C42" s="7" t="s">
        <v>72</v>
      </c>
      <c r="D42" s="7" t="s">
        <v>73</v>
      </c>
      <c r="E42" s="61">
        <v>15.0</v>
      </c>
      <c r="F42" s="62">
        <v>655.0</v>
      </c>
      <c r="G42" s="63">
        <f t="shared" si="18"/>
        <v>0.006555944056</v>
      </c>
      <c r="H42" s="64">
        <f t="shared" si="19"/>
        <v>0.1709134615</v>
      </c>
      <c r="I42" s="63">
        <f t="shared" si="20"/>
        <v>0.003738307089</v>
      </c>
      <c r="J42" s="65">
        <f t="shared" si="21"/>
        <v>6.497177721</v>
      </c>
      <c r="K42" s="65">
        <f t="shared" si="5"/>
        <v>26.30580059</v>
      </c>
      <c r="L42" s="52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ht="14.25" customHeight="1">
      <c r="A43" s="6">
        <v>20302.0</v>
      </c>
      <c r="B43" s="7" t="s">
        <v>15</v>
      </c>
      <c r="C43" s="7" t="s">
        <v>72</v>
      </c>
      <c r="D43" s="7" t="s">
        <v>74</v>
      </c>
      <c r="E43" s="61">
        <v>11.0</v>
      </c>
      <c r="F43" s="62">
        <v>742.0</v>
      </c>
      <c r="G43" s="63">
        <f t="shared" si="18"/>
        <v>0.004807692308</v>
      </c>
      <c r="H43" s="64">
        <f t="shared" si="19"/>
        <v>0.1253365385</v>
      </c>
      <c r="I43" s="63">
        <f t="shared" si="20"/>
        <v>0.004234845588</v>
      </c>
      <c r="J43" s="65">
        <f t="shared" si="21"/>
        <v>7.360161632</v>
      </c>
      <c r="K43" s="65">
        <f t="shared" si="5"/>
        <v>17.02904701</v>
      </c>
      <c r="L43" s="52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ht="14.25" customHeight="1">
      <c r="A44" s="6">
        <v>20303.0</v>
      </c>
      <c r="B44" s="7" t="s">
        <v>15</v>
      </c>
      <c r="C44" s="7" t="s">
        <v>72</v>
      </c>
      <c r="D44" s="7" t="s">
        <v>75</v>
      </c>
      <c r="E44" s="61">
        <v>11.0</v>
      </c>
      <c r="F44" s="62">
        <v>570.0</v>
      </c>
      <c r="G44" s="63">
        <f t="shared" si="18"/>
        <v>0.004807692308</v>
      </c>
      <c r="H44" s="64">
        <f t="shared" si="19"/>
        <v>0.1253365385</v>
      </c>
      <c r="I44" s="63">
        <f t="shared" si="20"/>
        <v>0.003253183268</v>
      </c>
      <c r="J44" s="65">
        <f t="shared" si="21"/>
        <v>5.65403252</v>
      </c>
      <c r="K44" s="65">
        <f t="shared" si="5"/>
        <v>22.16763664</v>
      </c>
      <c r="L44" s="52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ht="14.25" customHeight="1">
      <c r="A45" s="6">
        <v>20304.0</v>
      </c>
      <c r="B45" s="7" t="s">
        <v>15</v>
      </c>
      <c r="C45" s="7" t="s">
        <v>72</v>
      </c>
      <c r="D45" s="7" t="s">
        <v>76</v>
      </c>
      <c r="E45" s="61">
        <v>4.0</v>
      </c>
      <c r="F45" s="62">
        <v>310.0</v>
      </c>
      <c r="G45" s="63">
        <f t="shared" si="18"/>
        <v>0.001748251748</v>
      </c>
      <c r="H45" s="64">
        <f t="shared" si="19"/>
        <v>0.04557692308</v>
      </c>
      <c r="I45" s="63">
        <f t="shared" si="20"/>
        <v>0.001769275111</v>
      </c>
      <c r="J45" s="65">
        <f t="shared" si="21"/>
        <v>3.075000143</v>
      </c>
      <c r="K45" s="65">
        <f t="shared" si="5"/>
        <v>14.82176291</v>
      </c>
      <c r="L45" s="52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ht="14.25" customHeight="1">
      <c r="A46" s="6">
        <v>20305.0</v>
      </c>
      <c r="B46" s="7" t="s">
        <v>15</v>
      </c>
      <c r="C46" s="7" t="s">
        <v>72</v>
      </c>
      <c r="D46" s="7" t="s">
        <v>77</v>
      </c>
      <c r="E46" s="61">
        <v>6.0</v>
      </c>
      <c r="F46" s="62">
        <v>233.0</v>
      </c>
      <c r="G46" s="63">
        <f t="shared" si="18"/>
        <v>0.002622377622</v>
      </c>
      <c r="H46" s="64">
        <f t="shared" si="19"/>
        <v>0.06836538462</v>
      </c>
      <c r="I46" s="63">
        <f t="shared" si="20"/>
        <v>0.001329810003</v>
      </c>
      <c r="J46" s="65">
        <f t="shared" si="21"/>
        <v>2.311209785</v>
      </c>
      <c r="K46" s="65">
        <f t="shared" si="5"/>
        <v>29.57991311</v>
      </c>
      <c r="L46" s="52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ht="14.25" customHeight="1">
      <c r="A47" s="6">
        <v>20306.0</v>
      </c>
      <c r="B47" s="7" t="s">
        <v>15</v>
      </c>
      <c r="C47" s="7" t="s">
        <v>72</v>
      </c>
      <c r="D47" s="7" t="s">
        <v>78</v>
      </c>
      <c r="E47" s="61">
        <v>7.0</v>
      </c>
      <c r="F47" s="62">
        <v>220.0</v>
      </c>
      <c r="G47" s="63">
        <f t="shared" si="18"/>
        <v>0.003059440559</v>
      </c>
      <c r="H47" s="64">
        <f t="shared" si="19"/>
        <v>0.07975961538</v>
      </c>
      <c r="I47" s="63">
        <f t="shared" si="20"/>
        <v>0.001255614595</v>
      </c>
      <c r="J47" s="65">
        <f t="shared" si="21"/>
        <v>2.182258166</v>
      </c>
      <c r="K47" s="65">
        <f t="shared" si="5"/>
        <v>36.54911991</v>
      </c>
      <c r="L47" s="52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ht="14.25" customHeight="1">
      <c r="A48" s="6">
        <v>20307.0</v>
      </c>
      <c r="B48" s="7" t="s">
        <v>15</v>
      </c>
      <c r="C48" s="7" t="s">
        <v>72</v>
      </c>
      <c r="D48" s="7" t="s">
        <v>79</v>
      </c>
      <c r="E48" s="61">
        <v>1.0</v>
      </c>
      <c r="F48" s="62">
        <v>224.0</v>
      </c>
      <c r="G48" s="63">
        <f t="shared" si="18"/>
        <v>0.0004370629371</v>
      </c>
      <c r="H48" s="64">
        <f t="shared" si="19"/>
        <v>0.01139423077</v>
      </c>
      <c r="I48" s="63">
        <f t="shared" si="20"/>
        <v>0.001278443951</v>
      </c>
      <c r="J48" s="65">
        <f t="shared" si="21"/>
        <v>2.221935587</v>
      </c>
      <c r="K48" s="65">
        <f t="shared" si="5"/>
        <v>5.128065294</v>
      </c>
      <c r="L48" s="52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ht="14.25" customHeight="1">
      <c r="A49" s="6">
        <v>20308.0</v>
      </c>
      <c r="B49" s="7" t="s">
        <v>15</v>
      </c>
      <c r="C49" s="7" t="s">
        <v>72</v>
      </c>
      <c r="D49" s="7" t="s">
        <v>80</v>
      </c>
      <c r="E49" s="61">
        <v>3.0</v>
      </c>
      <c r="F49" s="62">
        <v>350.0</v>
      </c>
      <c r="G49" s="63">
        <f t="shared" si="18"/>
        <v>0.001311188811</v>
      </c>
      <c r="H49" s="64">
        <f t="shared" si="19"/>
        <v>0.03418269231</v>
      </c>
      <c r="I49" s="63">
        <f t="shared" si="20"/>
        <v>0.001997568674</v>
      </c>
      <c r="J49" s="65">
        <f t="shared" si="21"/>
        <v>3.471774355</v>
      </c>
      <c r="K49" s="65">
        <f t="shared" si="5"/>
        <v>9.845885365</v>
      </c>
      <c r="L49" s="52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ht="14.25" customHeight="1">
      <c r="A50" s="6">
        <v>20401.0</v>
      </c>
      <c r="B50" s="7" t="s">
        <v>15</v>
      </c>
      <c r="C50" s="7" t="s">
        <v>81</v>
      </c>
      <c r="D50" s="7" t="s">
        <v>82</v>
      </c>
      <c r="E50" s="61">
        <v>8.0</v>
      </c>
      <c r="F50" s="62">
        <v>624.0</v>
      </c>
      <c r="G50" s="63">
        <f t="shared" si="18"/>
        <v>0.003496503497</v>
      </c>
      <c r="H50" s="64">
        <f t="shared" si="19"/>
        <v>0.09115384615</v>
      </c>
      <c r="I50" s="63">
        <f t="shared" si="20"/>
        <v>0.003561379578</v>
      </c>
      <c r="J50" s="65">
        <f t="shared" si="21"/>
        <v>6.189677707</v>
      </c>
      <c r="K50" s="65">
        <f t="shared" si="5"/>
        <v>14.72675161</v>
      </c>
      <c r="L50" s="52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ht="14.25" customHeight="1">
      <c r="A51" s="6">
        <v>20402.0</v>
      </c>
      <c r="B51" s="7" t="s">
        <v>15</v>
      </c>
      <c r="C51" s="7" t="s">
        <v>81</v>
      </c>
      <c r="D51" s="7" t="s">
        <v>83</v>
      </c>
      <c r="E51" s="61">
        <v>11.0</v>
      </c>
      <c r="F51" s="62">
        <v>785.0</v>
      </c>
      <c r="G51" s="63">
        <f t="shared" si="18"/>
        <v>0.004807692308</v>
      </c>
      <c r="H51" s="64">
        <f t="shared" si="19"/>
        <v>0.1253365385</v>
      </c>
      <c r="I51" s="63">
        <f t="shared" si="20"/>
        <v>0.004480261168</v>
      </c>
      <c r="J51" s="65">
        <f t="shared" si="21"/>
        <v>7.78669391</v>
      </c>
      <c r="K51" s="65">
        <f t="shared" si="5"/>
        <v>16.09624571</v>
      </c>
      <c r="L51" s="52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ht="14.25" customHeight="1">
      <c r="A52" s="6">
        <v>20403.0</v>
      </c>
      <c r="B52" s="7" t="s">
        <v>15</v>
      </c>
      <c r="C52" s="7" t="s">
        <v>81</v>
      </c>
      <c r="D52" s="7" t="s">
        <v>84</v>
      </c>
      <c r="E52" s="61">
        <v>17.0</v>
      </c>
      <c r="F52" s="62">
        <v>834.0</v>
      </c>
      <c r="G52" s="63">
        <f t="shared" si="18"/>
        <v>0.00743006993</v>
      </c>
      <c r="H52" s="64">
        <f t="shared" si="19"/>
        <v>0.1937019231</v>
      </c>
      <c r="I52" s="63">
        <f t="shared" si="20"/>
        <v>0.004759920782</v>
      </c>
      <c r="J52" s="65">
        <f t="shared" si="21"/>
        <v>8.272742319</v>
      </c>
      <c r="K52" s="65">
        <f t="shared" si="5"/>
        <v>23.41447559</v>
      </c>
      <c r="L52" s="52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 ht="14.25" customHeight="1">
      <c r="A53" s="6">
        <v>20404.0</v>
      </c>
      <c r="B53" s="7" t="s">
        <v>15</v>
      </c>
      <c r="C53" s="7" t="s">
        <v>81</v>
      </c>
      <c r="D53" s="7" t="s">
        <v>85</v>
      </c>
      <c r="E53" s="61">
        <v>2.0</v>
      </c>
      <c r="F53" s="62">
        <v>276.0</v>
      </c>
      <c r="G53" s="63">
        <f t="shared" si="18"/>
        <v>0.0008741258741</v>
      </c>
      <c r="H53" s="64">
        <f t="shared" si="19"/>
        <v>0.02278846154</v>
      </c>
      <c r="I53" s="63">
        <f t="shared" si="20"/>
        <v>0.001575225583</v>
      </c>
      <c r="J53" s="65">
        <f t="shared" si="21"/>
        <v>2.737742063</v>
      </c>
      <c r="K53" s="65">
        <f t="shared" si="5"/>
        <v>8.32381613</v>
      </c>
      <c r="L53" s="52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 ht="14.25" customHeight="1">
      <c r="A54" s="6">
        <v>20405.0</v>
      </c>
      <c r="B54" s="7" t="s">
        <v>15</v>
      </c>
      <c r="C54" s="7" t="s">
        <v>81</v>
      </c>
      <c r="D54" s="7" t="s">
        <v>86</v>
      </c>
      <c r="E54" s="61">
        <v>6.0</v>
      </c>
      <c r="F54" s="62">
        <v>384.0</v>
      </c>
      <c r="G54" s="63">
        <f t="shared" si="18"/>
        <v>0.002622377622</v>
      </c>
      <c r="H54" s="64">
        <f t="shared" si="19"/>
        <v>0.06836538462</v>
      </c>
      <c r="I54" s="63">
        <f t="shared" si="20"/>
        <v>0.002191618202</v>
      </c>
      <c r="J54" s="65">
        <f t="shared" si="21"/>
        <v>3.809032435</v>
      </c>
      <c r="K54" s="65">
        <f t="shared" si="5"/>
        <v>17.94822853</v>
      </c>
      <c r="L54" s="52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</row>
    <row r="55" ht="14.25" customHeight="1">
      <c r="A55" s="6">
        <v>20501.0</v>
      </c>
      <c r="B55" s="7" t="s">
        <v>15</v>
      </c>
      <c r="C55" s="7" t="s">
        <v>87</v>
      </c>
      <c r="D55" s="7" t="s">
        <v>88</v>
      </c>
      <c r="E55" s="61">
        <v>8.0</v>
      </c>
      <c r="F55" s="62">
        <v>908.0</v>
      </c>
      <c r="G55" s="63">
        <f t="shared" si="18"/>
        <v>0.003496503497</v>
      </c>
      <c r="H55" s="64">
        <f t="shared" si="19"/>
        <v>0.09115384615</v>
      </c>
      <c r="I55" s="63">
        <f t="shared" si="20"/>
        <v>0.005182263873</v>
      </c>
      <c r="J55" s="65">
        <f t="shared" si="21"/>
        <v>9.006774611</v>
      </c>
      <c r="K55" s="65">
        <f t="shared" si="5"/>
        <v>10.12058701</v>
      </c>
      <c r="L55" s="52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</row>
    <row r="56" ht="14.25" customHeight="1">
      <c r="A56" s="6">
        <v>20502.0</v>
      </c>
      <c r="B56" s="7" t="s">
        <v>15</v>
      </c>
      <c r="C56" s="7" t="s">
        <v>87</v>
      </c>
      <c r="D56" s="7" t="s">
        <v>89</v>
      </c>
      <c r="E56" s="61">
        <v>3.0</v>
      </c>
      <c r="F56" s="62">
        <v>453.0</v>
      </c>
      <c r="G56" s="63">
        <f t="shared" si="18"/>
        <v>0.001311188811</v>
      </c>
      <c r="H56" s="64">
        <f t="shared" si="19"/>
        <v>0.03418269231</v>
      </c>
      <c r="I56" s="63">
        <f t="shared" si="20"/>
        <v>0.002585424597</v>
      </c>
      <c r="J56" s="65">
        <f t="shared" si="21"/>
        <v>4.49346795</v>
      </c>
      <c r="K56" s="65">
        <f t="shared" si="5"/>
        <v>7.607196198</v>
      </c>
      <c r="L56" s="52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</row>
    <row r="57" ht="14.25" customHeight="1">
      <c r="A57" s="6">
        <v>20503.0</v>
      </c>
      <c r="B57" s="7" t="s">
        <v>15</v>
      </c>
      <c r="C57" s="7" t="s">
        <v>87</v>
      </c>
      <c r="D57" s="7" t="s">
        <v>90</v>
      </c>
      <c r="E57" s="61">
        <v>4.0</v>
      </c>
      <c r="F57" s="62">
        <v>445.0</v>
      </c>
      <c r="G57" s="63">
        <f t="shared" si="18"/>
        <v>0.001748251748</v>
      </c>
      <c r="H57" s="64">
        <f t="shared" si="19"/>
        <v>0.04557692308</v>
      </c>
      <c r="I57" s="63">
        <f t="shared" si="20"/>
        <v>0.002539765885</v>
      </c>
      <c r="J57" s="65">
        <f t="shared" si="21"/>
        <v>4.414113108</v>
      </c>
      <c r="K57" s="65">
        <f t="shared" si="5"/>
        <v>10.32527304</v>
      </c>
      <c r="L57" s="52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</row>
    <row r="58" ht="14.25" customHeight="1">
      <c r="A58" s="6">
        <v>20601.0</v>
      </c>
      <c r="B58" s="7" t="s">
        <v>15</v>
      </c>
      <c r="C58" s="7" t="s">
        <v>91</v>
      </c>
      <c r="D58" s="7" t="s">
        <v>92</v>
      </c>
      <c r="E58" s="61">
        <v>22.0</v>
      </c>
      <c r="F58" s="62">
        <v>1880.0</v>
      </c>
      <c r="G58" s="63">
        <f t="shared" si="18"/>
        <v>0.009615384615</v>
      </c>
      <c r="H58" s="64">
        <f t="shared" si="19"/>
        <v>0.2506730769</v>
      </c>
      <c r="I58" s="63">
        <f t="shared" si="20"/>
        <v>0.01072979745</v>
      </c>
      <c r="J58" s="65">
        <f t="shared" si="21"/>
        <v>18.64838796</v>
      </c>
      <c r="K58" s="65">
        <f t="shared" si="5"/>
        <v>13.44207754</v>
      </c>
      <c r="L58" s="52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</row>
    <row r="59" ht="14.25" customHeight="1">
      <c r="A59" s="6">
        <v>20602.0</v>
      </c>
      <c r="B59" s="7" t="s">
        <v>15</v>
      </c>
      <c r="C59" s="7" t="s">
        <v>91</v>
      </c>
      <c r="D59" s="7" t="s">
        <v>93</v>
      </c>
      <c r="E59" s="61">
        <v>22.0</v>
      </c>
      <c r="F59" s="62">
        <v>1186.0</v>
      </c>
      <c r="G59" s="63">
        <f t="shared" si="18"/>
        <v>0.009615384615</v>
      </c>
      <c r="H59" s="64">
        <f t="shared" si="19"/>
        <v>0.2506730769</v>
      </c>
      <c r="I59" s="63">
        <f t="shared" si="20"/>
        <v>0.006768904134</v>
      </c>
      <c r="J59" s="65">
        <f t="shared" si="21"/>
        <v>11.76435538</v>
      </c>
      <c r="K59" s="65">
        <f t="shared" si="5"/>
        <v>21.30784635</v>
      </c>
      <c r="L59" s="52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</row>
    <row r="60" ht="14.25" customHeight="1">
      <c r="A60" s="6">
        <v>20603.0</v>
      </c>
      <c r="B60" s="7" t="s">
        <v>15</v>
      </c>
      <c r="C60" s="7" t="s">
        <v>91</v>
      </c>
      <c r="D60" s="7" t="s">
        <v>94</v>
      </c>
      <c r="E60" s="61">
        <v>0.0</v>
      </c>
      <c r="F60" s="62">
        <v>645.0</v>
      </c>
      <c r="G60" s="63">
        <f t="shared" si="18"/>
        <v>0</v>
      </c>
      <c r="H60" s="64">
        <f t="shared" si="19"/>
        <v>0</v>
      </c>
      <c r="I60" s="63">
        <f t="shared" si="20"/>
        <v>0.003681233698</v>
      </c>
      <c r="J60" s="65">
        <f t="shared" si="21"/>
        <v>6.397984168</v>
      </c>
      <c r="K60" s="65">
        <f t="shared" si="5"/>
        <v>0</v>
      </c>
      <c r="L60" s="52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</row>
    <row r="61" ht="14.25" customHeight="1">
      <c r="A61" s="6">
        <v>20604.0</v>
      </c>
      <c r="B61" s="7" t="s">
        <v>15</v>
      </c>
      <c r="C61" s="7" t="s">
        <v>91</v>
      </c>
      <c r="D61" s="7" t="s">
        <v>95</v>
      </c>
      <c r="E61" s="61">
        <v>8.0</v>
      </c>
      <c r="F61" s="62">
        <v>286.0</v>
      </c>
      <c r="G61" s="63">
        <f t="shared" si="18"/>
        <v>0.003496503497</v>
      </c>
      <c r="H61" s="64">
        <f t="shared" si="19"/>
        <v>0.09115384615</v>
      </c>
      <c r="I61" s="63">
        <f t="shared" si="20"/>
        <v>0.001632298973</v>
      </c>
      <c r="J61" s="65">
        <f t="shared" si="21"/>
        <v>2.836935616</v>
      </c>
      <c r="K61" s="65">
        <f t="shared" si="5"/>
        <v>32.13109443</v>
      </c>
      <c r="L61" s="52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</row>
    <row r="62" ht="14.25" customHeight="1">
      <c r="A62" s="6">
        <v>20605.0</v>
      </c>
      <c r="B62" s="7" t="s">
        <v>15</v>
      </c>
      <c r="C62" s="7" t="s">
        <v>91</v>
      </c>
      <c r="D62" s="7" t="s">
        <v>96</v>
      </c>
      <c r="E62" s="61">
        <v>2.0</v>
      </c>
      <c r="F62" s="62">
        <v>132.0</v>
      </c>
      <c r="G62" s="63">
        <f t="shared" si="18"/>
        <v>0.0008741258741</v>
      </c>
      <c r="H62" s="64">
        <f t="shared" si="19"/>
        <v>0.02278846154</v>
      </c>
      <c r="I62" s="63">
        <f t="shared" si="20"/>
        <v>0.0007533687569</v>
      </c>
      <c r="J62" s="65">
        <f t="shared" si="21"/>
        <v>1.309354899</v>
      </c>
      <c r="K62" s="65">
        <f t="shared" si="5"/>
        <v>17.40434282</v>
      </c>
      <c r="L62" s="52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</row>
    <row r="63" ht="14.25" customHeight="1">
      <c r="A63" s="6">
        <v>20606.0</v>
      </c>
      <c r="B63" s="7" t="s">
        <v>15</v>
      </c>
      <c r="C63" s="7" t="s">
        <v>91</v>
      </c>
      <c r="D63" s="7" t="s">
        <v>97</v>
      </c>
      <c r="E63" s="61">
        <v>11.0</v>
      </c>
      <c r="F63" s="62">
        <v>536.0</v>
      </c>
      <c r="G63" s="63">
        <f t="shared" si="18"/>
        <v>0.004807692308</v>
      </c>
      <c r="H63" s="64">
        <f t="shared" si="19"/>
        <v>0.1253365385</v>
      </c>
      <c r="I63" s="63">
        <f t="shared" si="20"/>
        <v>0.00305913374</v>
      </c>
      <c r="J63" s="65">
        <f t="shared" si="21"/>
        <v>5.31677444</v>
      </c>
      <c r="K63" s="65">
        <f t="shared" si="5"/>
        <v>23.5737927</v>
      </c>
      <c r="L63" s="52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</row>
    <row r="64" ht="14.25" customHeight="1">
      <c r="A64" s="6">
        <v>20607.0</v>
      </c>
      <c r="B64" s="7" t="s">
        <v>15</v>
      </c>
      <c r="C64" s="7" t="s">
        <v>91</v>
      </c>
      <c r="D64" s="7" t="s">
        <v>98</v>
      </c>
      <c r="E64" s="61">
        <v>24.0</v>
      </c>
      <c r="F64" s="62">
        <v>1890.0</v>
      </c>
      <c r="G64" s="63">
        <f t="shared" si="18"/>
        <v>0.01048951049</v>
      </c>
      <c r="H64" s="64">
        <f t="shared" si="19"/>
        <v>0.2734615385</v>
      </c>
      <c r="I64" s="63">
        <f t="shared" si="20"/>
        <v>0.01078687084</v>
      </c>
      <c r="J64" s="65">
        <f t="shared" si="21"/>
        <v>18.74758152</v>
      </c>
      <c r="K64" s="65">
        <f t="shared" si="5"/>
        <v>14.58649684</v>
      </c>
      <c r="L64" s="52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</row>
    <row r="65" ht="14.25" customHeight="1">
      <c r="A65" s="6">
        <v>20608.0</v>
      </c>
      <c r="B65" s="7" t="s">
        <v>15</v>
      </c>
      <c r="C65" s="7" t="s">
        <v>91</v>
      </c>
      <c r="D65" s="7" t="s">
        <v>99</v>
      </c>
      <c r="E65" s="61">
        <v>15.0</v>
      </c>
      <c r="F65" s="62">
        <v>928.0</v>
      </c>
      <c r="G65" s="63">
        <f t="shared" si="18"/>
        <v>0.006555944056</v>
      </c>
      <c r="H65" s="64">
        <f t="shared" si="19"/>
        <v>0.1709134615</v>
      </c>
      <c r="I65" s="63">
        <f t="shared" si="20"/>
        <v>0.005296410654</v>
      </c>
      <c r="J65" s="65">
        <f t="shared" si="21"/>
        <v>9.205161717</v>
      </c>
      <c r="K65" s="65">
        <f t="shared" si="5"/>
        <v>18.56713296</v>
      </c>
      <c r="L65" s="52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</row>
    <row r="66" ht="14.25" customHeight="1">
      <c r="A66" s="6">
        <v>20701.0</v>
      </c>
      <c r="B66" s="7" t="s">
        <v>15</v>
      </c>
      <c r="C66" s="7" t="s">
        <v>100</v>
      </c>
      <c r="D66" s="7" t="s">
        <v>101</v>
      </c>
      <c r="E66" s="61">
        <v>26.0</v>
      </c>
      <c r="F66" s="62">
        <v>1480.0</v>
      </c>
      <c r="G66" s="63">
        <f t="shared" si="18"/>
        <v>0.01136363636</v>
      </c>
      <c r="H66" s="64">
        <f t="shared" si="19"/>
        <v>0.29625</v>
      </c>
      <c r="I66" s="63">
        <f t="shared" si="20"/>
        <v>0.00844686182</v>
      </c>
      <c r="J66" s="65">
        <f t="shared" si="21"/>
        <v>14.68064584</v>
      </c>
      <c r="K66" s="65">
        <f t="shared" si="5"/>
        <v>20.17962991</v>
      </c>
      <c r="L66" s="52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</row>
    <row r="67" ht="14.25" customHeight="1">
      <c r="A67" s="6">
        <v>20702.0</v>
      </c>
      <c r="B67" s="7" t="s">
        <v>15</v>
      </c>
      <c r="C67" s="7" t="s">
        <v>100</v>
      </c>
      <c r="D67" s="7" t="s">
        <v>102</v>
      </c>
      <c r="E67" s="61">
        <v>6.0</v>
      </c>
      <c r="F67" s="62">
        <v>594.0</v>
      </c>
      <c r="G67" s="63">
        <f t="shared" si="18"/>
        <v>0.002622377622</v>
      </c>
      <c r="H67" s="64">
        <f t="shared" si="19"/>
        <v>0.06836538462</v>
      </c>
      <c r="I67" s="63">
        <f t="shared" si="20"/>
        <v>0.003390159406</v>
      </c>
      <c r="J67" s="65">
        <f t="shared" si="21"/>
        <v>5.892097048</v>
      </c>
      <c r="K67" s="65">
        <f t="shared" si="5"/>
        <v>11.60289521</v>
      </c>
      <c r="L67" s="52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</row>
    <row r="68" ht="14.25" customHeight="1">
      <c r="A68" s="6">
        <v>20801.0</v>
      </c>
      <c r="B68" s="7" t="s">
        <v>15</v>
      </c>
      <c r="C68" s="7" t="s">
        <v>103</v>
      </c>
      <c r="D68" s="7" t="s">
        <v>104</v>
      </c>
      <c r="E68" s="61">
        <v>101.0</v>
      </c>
      <c r="F68" s="62">
        <v>7268.0</v>
      </c>
      <c r="G68" s="63">
        <f t="shared" si="18"/>
        <v>0.04414335664</v>
      </c>
      <c r="H68" s="64">
        <f t="shared" si="19"/>
        <v>1.150817308</v>
      </c>
      <c r="I68" s="63">
        <f t="shared" si="20"/>
        <v>0.04148094034</v>
      </c>
      <c r="J68" s="65">
        <f t="shared" si="21"/>
        <v>72.09387431</v>
      </c>
      <c r="K68" s="65">
        <f t="shared" si="5"/>
        <v>15.96276131</v>
      </c>
      <c r="L68" s="52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</row>
    <row r="69" ht="14.25" customHeight="1">
      <c r="A69" s="6">
        <v>20802.0</v>
      </c>
      <c r="B69" s="7" t="s">
        <v>15</v>
      </c>
      <c r="C69" s="7" t="s">
        <v>103</v>
      </c>
      <c r="D69" s="7" t="s">
        <v>105</v>
      </c>
      <c r="E69" s="61">
        <v>10.0</v>
      </c>
      <c r="F69" s="62">
        <v>427.0</v>
      </c>
      <c r="G69" s="63">
        <f t="shared" si="18"/>
        <v>0.004370629371</v>
      </c>
      <c r="H69" s="64">
        <f t="shared" si="19"/>
        <v>0.1139423077</v>
      </c>
      <c r="I69" s="63">
        <f t="shared" si="20"/>
        <v>0.002437033782</v>
      </c>
      <c r="J69" s="65">
        <f t="shared" si="21"/>
        <v>4.235564713</v>
      </c>
      <c r="K69" s="65">
        <f t="shared" si="5"/>
        <v>26.90132613</v>
      </c>
      <c r="L69" s="52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</row>
    <row r="70" ht="14.25" customHeight="1">
      <c r="A70" s="6">
        <v>20803.0</v>
      </c>
      <c r="B70" s="7" t="s">
        <v>15</v>
      </c>
      <c r="C70" s="7" t="s">
        <v>103</v>
      </c>
      <c r="D70" s="7" t="s">
        <v>106</v>
      </c>
      <c r="E70" s="61">
        <v>7.0</v>
      </c>
      <c r="F70" s="62">
        <v>785.0</v>
      </c>
      <c r="G70" s="63">
        <f t="shared" si="18"/>
        <v>0.003059440559</v>
      </c>
      <c r="H70" s="64">
        <f t="shared" si="19"/>
        <v>0.07975961538</v>
      </c>
      <c r="I70" s="63">
        <f t="shared" si="20"/>
        <v>0.004480261168</v>
      </c>
      <c r="J70" s="65">
        <f t="shared" si="21"/>
        <v>7.78669391</v>
      </c>
      <c r="K70" s="65">
        <f t="shared" si="5"/>
        <v>10.24306545</v>
      </c>
      <c r="L70" s="52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</row>
    <row r="71" ht="14.25" customHeight="1">
      <c r="A71" s="6">
        <v>20804.0</v>
      </c>
      <c r="B71" s="7" t="s">
        <v>15</v>
      </c>
      <c r="C71" s="7" t="s">
        <v>103</v>
      </c>
      <c r="D71" s="7" t="s">
        <v>107</v>
      </c>
      <c r="E71" s="61">
        <v>8.0</v>
      </c>
      <c r="F71" s="62">
        <v>486.0</v>
      </c>
      <c r="G71" s="63">
        <f t="shared" si="18"/>
        <v>0.003496503497</v>
      </c>
      <c r="H71" s="64">
        <f t="shared" si="19"/>
        <v>0.09115384615</v>
      </c>
      <c r="I71" s="63">
        <f t="shared" si="20"/>
        <v>0.002773766787</v>
      </c>
      <c r="J71" s="65">
        <f t="shared" si="21"/>
        <v>4.820806675</v>
      </c>
      <c r="K71" s="65">
        <f t="shared" si="5"/>
        <v>18.90842183</v>
      </c>
      <c r="L71" s="52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</row>
    <row r="72" ht="14.25" customHeight="1">
      <c r="A72" s="6">
        <v>20805.0</v>
      </c>
      <c r="B72" s="7" t="s">
        <v>15</v>
      </c>
      <c r="C72" s="7" t="s">
        <v>103</v>
      </c>
      <c r="D72" s="7" t="s">
        <v>108</v>
      </c>
      <c r="E72" s="61">
        <v>5.0</v>
      </c>
      <c r="F72" s="62">
        <v>370.0</v>
      </c>
      <c r="G72" s="63">
        <f t="shared" si="18"/>
        <v>0.002185314685</v>
      </c>
      <c r="H72" s="64">
        <f t="shared" si="19"/>
        <v>0.05697115385</v>
      </c>
      <c r="I72" s="63">
        <f t="shared" si="20"/>
        <v>0.002111715455</v>
      </c>
      <c r="J72" s="65">
        <f t="shared" si="21"/>
        <v>3.670161461</v>
      </c>
      <c r="K72" s="65">
        <f t="shared" si="5"/>
        <v>15.52279224</v>
      </c>
      <c r="L72" s="52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</row>
    <row r="73" ht="14.25" customHeight="1">
      <c r="A73" s="6">
        <v>20806.0</v>
      </c>
      <c r="B73" s="7" t="s">
        <v>15</v>
      </c>
      <c r="C73" s="7" t="s">
        <v>103</v>
      </c>
      <c r="D73" s="7" t="s">
        <v>109</v>
      </c>
      <c r="E73" s="61">
        <v>5.0</v>
      </c>
      <c r="F73" s="62">
        <v>822.0</v>
      </c>
      <c r="G73" s="63">
        <f t="shared" si="18"/>
        <v>0.002185314685</v>
      </c>
      <c r="H73" s="64">
        <f t="shared" si="19"/>
        <v>0.05697115385</v>
      </c>
      <c r="I73" s="63">
        <f t="shared" si="20"/>
        <v>0.004691432713</v>
      </c>
      <c r="J73" s="65">
        <f t="shared" si="21"/>
        <v>8.153710056</v>
      </c>
      <c r="K73" s="65">
        <f t="shared" si="5"/>
        <v>6.987144926</v>
      </c>
      <c r="L73" s="52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</row>
    <row r="74" ht="14.25" customHeight="1">
      <c r="A74" s="6">
        <v>20807.0</v>
      </c>
      <c r="B74" s="7" t="s">
        <v>15</v>
      </c>
      <c r="C74" s="7" t="s">
        <v>103</v>
      </c>
      <c r="D74" s="7" t="s">
        <v>110</v>
      </c>
      <c r="E74" s="61">
        <v>2.0</v>
      </c>
      <c r="F74" s="62">
        <v>397.0</v>
      </c>
      <c r="G74" s="63">
        <f t="shared" si="18"/>
        <v>0.0008741258741</v>
      </c>
      <c r="H74" s="64">
        <f t="shared" si="19"/>
        <v>0.02278846154</v>
      </c>
      <c r="I74" s="63">
        <f t="shared" si="20"/>
        <v>0.00226581361</v>
      </c>
      <c r="J74" s="65">
        <f t="shared" si="21"/>
        <v>3.937984054</v>
      </c>
      <c r="K74" s="65">
        <f t="shared" si="5"/>
        <v>5.786834387</v>
      </c>
      <c r="L74" s="52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</row>
    <row r="75" ht="14.25" customHeight="1">
      <c r="A75" s="6">
        <v>20901.0</v>
      </c>
      <c r="B75" s="7" t="s">
        <v>15</v>
      </c>
      <c r="C75" s="7" t="s">
        <v>111</v>
      </c>
      <c r="D75" s="7" t="s">
        <v>112</v>
      </c>
      <c r="E75" s="61">
        <v>3.0</v>
      </c>
      <c r="F75" s="62">
        <v>599.0</v>
      </c>
      <c r="G75" s="63">
        <f t="shared" si="18"/>
        <v>0.001311188811</v>
      </c>
      <c r="H75" s="64">
        <f t="shared" si="19"/>
        <v>0.03418269231</v>
      </c>
      <c r="I75" s="63">
        <f t="shared" si="20"/>
        <v>0.003418696101</v>
      </c>
      <c r="J75" s="65">
        <f t="shared" si="21"/>
        <v>5.941693824</v>
      </c>
      <c r="K75" s="65">
        <f t="shared" si="5"/>
        <v>5.753021499</v>
      </c>
      <c r="L75" s="52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</row>
    <row r="76" ht="14.25" customHeight="1">
      <c r="A76" s="6">
        <v>20902.0</v>
      </c>
      <c r="B76" s="7" t="s">
        <v>15</v>
      </c>
      <c r="C76" s="7" t="s">
        <v>111</v>
      </c>
      <c r="D76" s="7" t="s">
        <v>113</v>
      </c>
      <c r="E76" s="61">
        <v>20.0</v>
      </c>
      <c r="F76" s="62">
        <v>943.0</v>
      </c>
      <c r="G76" s="63">
        <f t="shared" si="18"/>
        <v>0.008741258741</v>
      </c>
      <c r="H76" s="64">
        <f t="shared" si="19"/>
        <v>0.2278846154</v>
      </c>
      <c r="I76" s="63">
        <f t="shared" si="20"/>
        <v>0.00538202074</v>
      </c>
      <c r="J76" s="65">
        <f t="shared" si="21"/>
        <v>9.353952047</v>
      </c>
      <c r="K76" s="65">
        <f t="shared" si="5"/>
        <v>24.36238867</v>
      </c>
      <c r="L76" s="52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</row>
    <row r="77" ht="14.25" customHeight="1">
      <c r="A77" s="6">
        <v>20903.0</v>
      </c>
      <c r="B77" s="7" t="s">
        <v>15</v>
      </c>
      <c r="C77" s="7" t="s">
        <v>111</v>
      </c>
      <c r="D77" s="7" t="s">
        <v>114</v>
      </c>
      <c r="E77" s="61">
        <v>9.0</v>
      </c>
      <c r="F77" s="62">
        <v>660.0</v>
      </c>
      <c r="G77" s="63">
        <f t="shared" si="18"/>
        <v>0.003933566434</v>
      </c>
      <c r="H77" s="64">
        <f t="shared" si="19"/>
        <v>0.1025480769</v>
      </c>
      <c r="I77" s="63">
        <f t="shared" si="20"/>
        <v>0.003766843784</v>
      </c>
      <c r="J77" s="65">
        <f t="shared" si="21"/>
        <v>6.546774497</v>
      </c>
      <c r="K77" s="65">
        <f t="shared" si="5"/>
        <v>15.66390853</v>
      </c>
      <c r="L77" s="52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</row>
    <row r="78" ht="14.25" customHeight="1">
      <c r="A78" s="6">
        <v>20904.0</v>
      </c>
      <c r="B78" s="7" t="s">
        <v>15</v>
      </c>
      <c r="C78" s="7" t="s">
        <v>111</v>
      </c>
      <c r="D78" s="7" t="s">
        <v>115</v>
      </c>
      <c r="E78" s="61">
        <v>1.0</v>
      </c>
      <c r="F78" s="62">
        <v>346.0</v>
      </c>
      <c r="G78" s="63">
        <f t="shared" si="18"/>
        <v>0.0004370629371</v>
      </c>
      <c r="H78" s="64">
        <f t="shared" si="19"/>
        <v>0.01139423077</v>
      </c>
      <c r="I78" s="63">
        <f t="shared" si="20"/>
        <v>0.001974739317</v>
      </c>
      <c r="J78" s="65">
        <f t="shared" si="21"/>
        <v>3.432096933</v>
      </c>
      <c r="K78" s="65">
        <f t="shared" si="5"/>
        <v>3.319903543</v>
      </c>
      <c r="L78" s="52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</row>
    <row r="79" ht="14.25" customHeight="1">
      <c r="A79" s="6">
        <v>20905.0</v>
      </c>
      <c r="B79" s="7" t="s">
        <v>15</v>
      </c>
      <c r="C79" s="7" t="s">
        <v>111</v>
      </c>
      <c r="D79" s="7" t="s">
        <v>116</v>
      </c>
      <c r="E79" s="61">
        <v>9.0</v>
      </c>
      <c r="F79" s="62">
        <v>910.0</v>
      </c>
      <c r="G79" s="63">
        <f t="shared" si="18"/>
        <v>0.003933566434</v>
      </c>
      <c r="H79" s="64">
        <f t="shared" si="19"/>
        <v>0.1025480769</v>
      </c>
      <c r="I79" s="63">
        <f t="shared" si="20"/>
        <v>0.005193678551</v>
      </c>
      <c r="J79" s="65">
        <f t="shared" si="21"/>
        <v>9.026613322</v>
      </c>
      <c r="K79" s="65">
        <f t="shared" si="5"/>
        <v>11.36063696</v>
      </c>
      <c r="L79" s="52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</row>
    <row r="80" ht="14.25" customHeight="1">
      <c r="A80" s="6">
        <v>21001.0</v>
      </c>
      <c r="B80" s="7" t="s">
        <v>15</v>
      </c>
      <c r="C80" s="7" t="s">
        <v>117</v>
      </c>
      <c r="D80" s="7" t="s">
        <v>117</v>
      </c>
      <c r="E80" s="61">
        <v>11.0</v>
      </c>
      <c r="F80" s="62">
        <v>1189.0</v>
      </c>
      <c r="G80" s="63">
        <f t="shared" si="18"/>
        <v>0.004807692308</v>
      </c>
      <c r="H80" s="64">
        <f t="shared" si="19"/>
        <v>0.1253365385</v>
      </c>
      <c r="I80" s="63">
        <f t="shared" si="20"/>
        <v>0.006786026151</v>
      </c>
      <c r="J80" s="65">
        <f t="shared" si="21"/>
        <v>11.79411345</v>
      </c>
      <c r="K80" s="65">
        <f t="shared" si="5"/>
        <v>10.62704196</v>
      </c>
      <c r="L80" s="52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</row>
    <row r="81" ht="14.25" customHeight="1">
      <c r="A81" s="6">
        <v>21002.0</v>
      </c>
      <c r="B81" s="7" t="s">
        <v>15</v>
      </c>
      <c r="C81" s="7" t="s">
        <v>117</v>
      </c>
      <c r="D81" s="7" t="s">
        <v>118</v>
      </c>
      <c r="E81" s="61">
        <v>15.0</v>
      </c>
      <c r="F81" s="62">
        <v>632.0</v>
      </c>
      <c r="G81" s="63">
        <f t="shared" si="18"/>
        <v>0.006555944056</v>
      </c>
      <c r="H81" s="64">
        <f t="shared" si="19"/>
        <v>0.1709134615</v>
      </c>
      <c r="I81" s="63">
        <f t="shared" si="20"/>
        <v>0.003607038291</v>
      </c>
      <c r="J81" s="65">
        <f t="shared" si="21"/>
        <v>6.269032549</v>
      </c>
      <c r="K81" s="65">
        <f t="shared" si="5"/>
        <v>27.26313194</v>
      </c>
      <c r="L81" s="52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</row>
    <row r="82" ht="14.25" customHeight="1">
      <c r="A82" s="6">
        <v>21003.0</v>
      </c>
      <c r="B82" s="7" t="s">
        <v>15</v>
      </c>
      <c r="C82" s="7" t="s">
        <v>117</v>
      </c>
      <c r="D82" s="7" t="s">
        <v>119</v>
      </c>
      <c r="E82" s="61">
        <v>15.0</v>
      </c>
      <c r="F82" s="62">
        <v>1220.0</v>
      </c>
      <c r="G82" s="63">
        <f t="shared" si="18"/>
        <v>0.006555944056</v>
      </c>
      <c r="H82" s="64">
        <f t="shared" si="19"/>
        <v>0.1709134615</v>
      </c>
      <c r="I82" s="63">
        <f t="shared" si="20"/>
        <v>0.006962953662</v>
      </c>
      <c r="J82" s="65">
        <f t="shared" si="21"/>
        <v>12.10161346</v>
      </c>
      <c r="K82" s="65">
        <f t="shared" si="5"/>
        <v>14.12319622</v>
      </c>
      <c r="L82" s="52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</row>
    <row r="83" ht="14.25" customHeight="1">
      <c r="A83" s="6">
        <v>21004.0</v>
      </c>
      <c r="B83" s="7" t="s">
        <v>15</v>
      </c>
      <c r="C83" s="7" t="s">
        <v>117</v>
      </c>
      <c r="D83" s="7" t="s">
        <v>120</v>
      </c>
      <c r="E83" s="61">
        <v>27.0</v>
      </c>
      <c r="F83" s="62">
        <v>1585.0</v>
      </c>
      <c r="G83" s="63">
        <f t="shared" si="18"/>
        <v>0.0118006993</v>
      </c>
      <c r="H83" s="64">
        <f t="shared" si="19"/>
        <v>0.3076442308</v>
      </c>
      <c r="I83" s="63">
        <f t="shared" si="20"/>
        <v>0.009046132422</v>
      </c>
      <c r="J83" s="65">
        <f t="shared" si="21"/>
        <v>15.72217815</v>
      </c>
      <c r="K83" s="65">
        <f t="shared" si="5"/>
        <v>19.56753243</v>
      </c>
      <c r="L83" s="52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</row>
    <row r="84" ht="14.25" customHeight="1">
      <c r="A84" s="6">
        <v>21005.0</v>
      </c>
      <c r="B84" s="7" t="s">
        <v>15</v>
      </c>
      <c r="C84" s="7" t="s">
        <v>117</v>
      </c>
      <c r="D84" s="7" t="s">
        <v>121</v>
      </c>
      <c r="E84" s="61">
        <v>5.0</v>
      </c>
      <c r="F84" s="62">
        <v>472.0</v>
      </c>
      <c r="G84" s="63">
        <f t="shared" si="18"/>
        <v>0.002185314685</v>
      </c>
      <c r="H84" s="64">
        <f t="shared" si="19"/>
        <v>0.05697115385</v>
      </c>
      <c r="I84" s="63">
        <f t="shared" si="20"/>
        <v>0.00269386404</v>
      </c>
      <c r="J84" s="65">
        <f t="shared" si="21"/>
        <v>4.681935701</v>
      </c>
      <c r="K84" s="65">
        <f t="shared" si="5"/>
        <v>12.16829053</v>
      </c>
      <c r="L84" s="52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</row>
    <row r="85" ht="14.25" customHeight="1">
      <c r="A85" s="6">
        <v>21006.0</v>
      </c>
      <c r="B85" s="7" t="s">
        <v>15</v>
      </c>
      <c r="C85" s="7" t="s">
        <v>117</v>
      </c>
      <c r="D85" s="7" t="s">
        <v>122</v>
      </c>
      <c r="E85" s="61">
        <v>4.0</v>
      </c>
      <c r="F85" s="62">
        <v>490.0</v>
      </c>
      <c r="G85" s="63">
        <f t="shared" si="18"/>
        <v>0.001748251748</v>
      </c>
      <c r="H85" s="64">
        <f t="shared" si="19"/>
        <v>0.04557692308</v>
      </c>
      <c r="I85" s="63">
        <f t="shared" si="20"/>
        <v>0.002796596143</v>
      </c>
      <c r="J85" s="65">
        <f t="shared" si="21"/>
        <v>4.860484096</v>
      </c>
      <c r="K85" s="65">
        <f t="shared" si="5"/>
        <v>9.377033681</v>
      </c>
      <c r="L85" s="52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</row>
    <row r="86" ht="14.25" customHeight="1">
      <c r="A86" s="6">
        <v>21101.0</v>
      </c>
      <c r="B86" s="7" t="s">
        <v>15</v>
      </c>
      <c r="C86" s="7" t="s">
        <v>123</v>
      </c>
      <c r="D86" s="7" t="s">
        <v>124</v>
      </c>
      <c r="E86" s="61">
        <v>27.0</v>
      </c>
      <c r="F86" s="62">
        <v>1210.0</v>
      </c>
      <c r="G86" s="63">
        <f t="shared" si="18"/>
        <v>0.0118006993</v>
      </c>
      <c r="H86" s="64">
        <f t="shared" si="19"/>
        <v>0.3076442308</v>
      </c>
      <c r="I86" s="63">
        <f t="shared" si="20"/>
        <v>0.006905880271</v>
      </c>
      <c r="J86" s="65">
        <f t="shared" si="21"/>
        <v>12.00241991</v>
      </c>
      <c r="K86" s="65">
        <f t="shared" si="5"/>
        <v>25.63185033</v>
      </c>
      <c r="L86" s="52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</row>
    <row r="87" ht="14.25" customHeight="1">
      <c r="A87" s="6">
        <v>21102.0</v>
      </c>
      <c r="B87" s="7" t="s">
        <v>15</v>
      </c>
      <c r="C87" s="7" t="s">
        <v>123</v>
      </c>
      <c r="D87" s="7" t="s">
        <v>125</v>
      </c>
      <c r="E87" s="61">
        <v>22.0</v>
      </c>
      <c r="F87" s="62">
        <v>1413.0</v>
      </c>
      <c r="G87" s="63">
        <f t="shared" si="18"/>
        <v>0.009615384615</v>
      </c>
      <c r="H87" s="64">
        <f t="shared" si="19"/>
        <v>0.2506730769</v>
      </c>
      <c r="I87" s="63">
        <f t="shared" si="20"/>
        <v>0.008064470102</v>
      </c>
      <c r="J87" s="65">
        <f t="shared" si="21"/>
        <v>14.01604904</v>
      </c>
      <c r="K87" s="65">
        <f t="shared" si="5"/>
        <v>17.88471746</v>
      </c>
      <c r="L87" s="52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</row>
    <row r="88" ht="14.25" customHeight="1">
      <c r="A88" s="6">
        <v>21103.0</v>
      </c>
      <c r="B88" s="7" t="s">
        <v>15</v>
      </c>
      <c r="C88" s="7" t="s">
        <v>123</v>
      </c>
      <c r="D88" s="7" t="s">
        <v>126</v>
      </c>
      <c r="E88" s="61">
        <v>3.0</v>
      </c>
      <c r="F88" s="62">
        <v>418.0</v>
      </c>
      <c r="G88" s="63">
        <f t="shared" si="18"/>
        <v>0.001311188811</v>
      </c>
      <c r="H88" s="64">
        <f t="shared" si="19"/>
        <v>0.03418269231</v>
      </c>
      <c r="I88" s="63">
        <f t="shared" si="20"/>
        <v>0.00238566773</v>
      </c>
      <c r="J88" s="65">
        <f t="shared" si="21"/>
        <v>4.146290515</v>
      </c>
      <c r="K88" s="65">
        <f t="shared" si="5"/>
        <v>8.244162387</v>
      </c>
      <c r="L88" s="52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</row>
    <row r="89" ht="14.25" customHeight="1">
      <c r="A89" s="6">
        <v>21104.0</v>
      </c>
      <c r="B89" s="7" t="s">
        <v>15</v>
      </c>
      <c r="C89" s="7" t="s">
        <v>123</v>
      </c>
      <c r="D89" s="7" t="s">
        <v>127</v>
      </c>
      <c r="E89" s="61">
        <v>30.0</v>
      </c>
      <c r="F89" s="62">
        <v>2035.0</v>
      </c>
      <c r="G89" s="63">
        <f t="shared" si="18"/>
        <v>0.01311188811</v>
      </c>
      <c r="H89" s="64">
        <f t="shared" si="19"/>
        <v>0.3418269231</v>
      </c>
      <c r="I89" s="63">
        <f t="shared" si="20"/>
        <v>0.011614435</v>
      </c>
      <c r="J89" s="65">
        <f t="shared" si="21"/>
        <v>20.18588803</v>
      </c>
      <c r="K89" s="65">
        <f t="shared" si="5"/>
        <v>16.93395517</v>
      </c>
      <c r="L89" s="52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</row>
    <row r="90" ht="14.25" customHeight="1">
      <c r="A90" s="6">
        <v>21105.0</v>
      </c>
      <c r="B90" s="7" t="s">
        <v>15</v>
      </c>
      <c r="C90" s="7" t="s">
        <v>123</v>
      </c>
      <c r="D90" s="7" t="s">
        <v>128</v>
      </c>
      <c r="E90" s="61">
        <v>56.0</v>
      </c>
      <c r="F90" s="62">
        <v>3464.0</v>
      </c>
      <c r="G90" s="63">
        <f t="shared" si="18"/>
        <v>0.02447552448</v>
      </c>
      <c r="H90" s="64">
        <f t="shared" si="19"/>
        <v>0.6380769231</v>
      </c>
      <c r="I90" s="63">
        <f t="shared" si="20"/>
        <v>0.01977022253</v>
      </c>
      <c r="J90" s="65">
        <f t="shared" si="21"/>
        <v>34.36064676</v>
      </c>
      <c r="K90" s="65">
        <f t="shared" si="5"/>
        <v>18.56999164</v>
      </c>
      <c r="L90" s="52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</row>
    <row r="91" ht="14.25" customHeight="1">
      <c r="A91" s="6">
        <v>21201.0</v>
      </c>
      <c r="B91" s="7" t="s">
        <v>15</v>
      </c>
      <c r="C91" s="7" t="s">
        <v>129</v>
      </c>
      <c r="D91" s="7" t="s">
        <v>130</v>
      </c>
      <c r="E91" s="61">
        <v>44.0</v>
      </c>
      <c r="F91" s="62">
        <v>3215.0</v>
      </c>
      <c r="G91" s="63">
        <f t="shared" si="18"/>
        <v>0.01923076923</v>
      </c>
      <c r="H91" s="64">
        <f t="shared" si="19"/>
        <v>0.5013461538</v>
      </c>
      <c r="I91" s="63">
        <f t="shared" si="20"/>
        <v>0.0183490951</v>
      </c>
      <c r="J91" s="65">
        <f t="shared" si="21"/>
        <v>31.89072729</v>
      </c>
      <c r="K91" s="65">
        <f t="shared" si="5"/>
        <v>15.72075009</v>
      </c>
      <c r="L91" s="52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</row>
    <row r="92" ht="14.25" customHeight="1">
      <c r="A92" s="6">
        <v>21202.0</v>
      </c>
      <c r="B92" s="7" t="s">
        <v>15</v>
      </c>
      <c r="C92" s="7" t="s">
        <v>129</v>
      </c>
      <c r="D92" s="7" t="s">
        <v>131</v>
      </c>
      <c r="E92" s="61">
        <v>28.0</v>
      </c>
      <c r="F92" s="62">
        <v>2349.0</v>
      </c>
      <c r="G92" s="63">
        <f t="shared" si="18"/>
        <v>0.01223776224</v>
      </c>
      <c r="H92" s="64">
        <f t="shared" si="19"/>
        <v>0.3190384615</v>
      </c>
      <c r="I92" s="63">
        <f t="shared" si="20"/>
        <v>0.01340653947</v>
      </c>
      <c r="J92" s="65">
        <f t="shared" si="21"/>
        <v>23.3005656</v>
      </c>
      <c r="K92" s="65">
        <f t="shared" si="5"/>
        <v>13.69230546</v>
      </c>
      <c r="L92" s="52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</row>
    <row r="93" ht="14.25" customHeight="1">
      <c r="A93" s="6">
        <v>21203.0</v>
      </c>
      <c r="B93" s="7" t="s">
        <v>15</v>
      </c>
      <c r="C93" s="7" t="s">
        <v>129</v>
      </c>
      <c r="D93" s="7" t="s">
        <v>132</v>
      </c>
      <c r="E93" s="61">
        <v>19.0</v>
      </c>
      <c r="F93" s="62">
        <v>1212.0</v>
      </c>
      <c r="G93" s="63">
        <f t="shared" si="18"/>
        <v>0.008304195804</v>
      </c>
      <c r="H93" s="64">
        <f t="shared" si="19"/>
        <v>0.2164903846</v>
      </c>
      <c r="I93" s="63">
        <f t="shared" si="20"/>
        <v>0.00691729495</v>
      </c>
      <c r="J93" s="65">
        <f t="shared" si="21"/>
        <v>12.02225862</v>
      </c>
      <c r="K93" s="65">
        <f t="shared" si="5"/>
        <v>18.00746361</v>
      </c>
      <c r="L93" s="52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</row>
    <row r="94" ht="14.25" customHeight="1">
      <c r="A94" s="6">
        <v>21204.0</v>
      </c>
      <c r="B94" s="7" t="s">
        <v>15</v>
      </c>
      <c r="C94" s="7" t="s">
        <v>129</v>
      </c>
      <c r="D94" s="7" t="s">
        <v>133</v>
      </c>
      <c r="E94" s="61">
        <v>3.0</v>
      </c>
      <c r="F94" s="62">
        <v>372.0</v>
      </c>
      <c r="G94" s="63">
        <f t="shared" si="18"/>
        <v>0.001311188811</v>
      </c>
      <c r="H94" s="64">
        <f t="shared" si="19"/>
        <v>0.03418269231</v>
      </c>
      <c r="I94" s="63">
        <f t="shared" si="20"/>
        <v>0.002123130133</v>
      </c>
      <c r="J94" s="65">
        <f t="shared" si="21"/>
        <v>3.690000171</v>
      </c>
      <c r="K94" s="65">
        <f t="shared" si="5"/>
        <v>9.263601822</v>
      </c>
      <c r="L94" s="52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</row>
    <row r="95" ht="14.25" customHeight="1">
      <c r="A95" s="6">
        <v>21301.0</v>
      </c>
      <c r="B95" s="7" t="s">
        <v>15</v>
      </c>
      <c r="C95" s="7" t="s">
        <v>134</v>
      </c>
      <c r="D95" s="7" t="s">
        <v>135</v>
      </c>
      <c r="E95" s="61">
        <v>31.0</v>
      </c>
      <c r="F95" s="62">
        <v>2036.0</v>
      </c>
      <c r="G95" s="63">
        <f t="shared" si="18"/>
        <v>0.01354895105</v>
      </c>
      <c r="H95" s="64">
        <f t="shared" si="19"/>
        <v>0.3532211538</v>
      </c>
      <c r="I95" s="63">
        <f t="shared" si="20"/>
        <v>0.01162014234</v>
      </c>
      <c r="J95" s="65">
        <f t="shared" si="21"/>
        <v>20.19580739</v>
      </c>
      <c r="K95" s="65">
        <f t="shared" si="5"/>
        <v>17.48982584</v>
      </c>
      <c r="L95" s="52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</row>
    <row r="96" ht="14.25" customHeight="1">
      <c r="A96" s="6">
        <v>21302.0</v>
      </c>
      <c r="B96" s="7" t="s">
        <v>15</v>
      </c>
      <c r="C96" s="7" t="s">
        <v>134</v>
      </c>
      <c r="D96" s="7" t="s">
        <v>136</v>
      </c>
      <c r="E96" s="61">
        <v>5.0</v>
      </c>
      <c r="F96" s="62">
        <v>437.0</v>
      </c>
      <c r="G96" s="63">
        <f t="shared" si="18"/>
        <v>0.002185314685</v>
      </c>
      <c r="H96" s="64">
        <f t="shared" si="19"/>
        <v>0.05697115385</v>
      </c>
      <c r="I96" s="63">
        <f t="shared" si="20"/>
        <v>0.002494107172</v>
      </c>
      <c r="J96" s="65">
        <f t="shared" si="21"/>
        <v>4.334758266</v>
      </c>
      <c r="K96" s="65">
        <f t="shared" si="5"/>
        <v>13.14286757</v>
      </c>
      <c r="L96" s="52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</row>
    <row r="97" ht="14.25" customHeight="1">
      <c r="A97" s="6">
        <v>21303.0</v>
      </c>
      <c r="B97" s="7" t="s">
        <v>15</v>
      </c>
      <c r="C97" s="7" t="s">
        <v>134</v>
      </c>
      <c r="D97" s="7" t="s">
        <v>137</v>
      </c>
      <c r="E97" s="61">
        <v>20.0</v>
      </c>
      <c r="F97" s="62">
        <v>660.0</v>
      </c>
      <c r="G97" s="63">
        <f t="shared" si="18"/>
        <v>0.008741258741</v>
      </c>
      <c r="H97" s="64">
        <f t="shared" si="19"/>
        <v>0.2278846154</v>
      </c>
      <c r="I97" s="63">
        <f t="shared" si="20"/>
        <v>0.003766843784</v>
      </c>
      <c r="J97" s="65">
        <f t="shared" si="21"/>
        <v>6.546774497</v>
      </c>
      <c r="K97" s="65">
        <f t="shared" si="5"/>
        <v>34.80868563</v>
      </c>
      <c r="L97" s="52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</row>
    <row r="98" ht="14.25" customHeight="1">
      <c r="A98" s="6">
        <v>21304.0</v>
      </c>
      <c r="B98" s="7" t="s">
        <v>15</v>
      </c>
      <c r="C98" s="7" t="s">
        <v>134</v>
      </c>
      <c r="D98" s="7" t="s">
        <v>138</v>
      </c>
      <c r="E98" s="61">
        <v>7.0</v>
      </c>
      <c r="F98" s="62">
        <v>914.0</v>
      </c>
      <c r="G98" s="63">
        <f t="shared" si="18"/>
        <v>0.003059440559</v>
      </c>
      <c r="H98" s="64">
        <f t="shared" si="19"/>
        <v>0.07975961538</v>
      </c>
      <c r="I98" s="63">
        <f t="shared" si="20"/>
        <v>0.005216507908</v>
      </c>
      <c r="J98" s="65">
        <f t="shared" si="21"/>
        <v>9.066290743</v>
      </c>
      <c r="K98" s="65">
        <f t="shared" si="5"/>
        <v>8.797381161</v>
      </c>
      <c r="L98" s="52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</row>
    <row r="99" ht="14.25" customHeight="1">
      <c r="A99" s="6">
        <v>21305.0</v>
      </c>
      <c r="B99" s="7" t="s">
        <v>15</v>
      </c>
      <c r="C99" s="7" t="s">
        <v>134</v>
      </c>
      <c r="D99" s="7" t="s">
        <v>139</v>
      </c>
      <c r="E99" s="61">
        <v>30.0</v>
      </c>
      <c r="F99" s="62">
        <v>1687.0</v>
      </c>
      <c r="G99" s="63">
        <f t="shared" si="18"/>
        <v>0.01311188811</v>
      </c>
      <c r="H99" s="64">
        <f t="shared" si="19"/>
        <v>0.3418269231</v>
      </c>
      <c r="I99" s="63">
        <f t="shared" si="20"/>
        <v>0.009628281007</v>
      </c>
      <c r="J99" s="65">
        <f t="shared" si="21"/>
        <v>16.73395239</v>
      </c>
      <c r="K99" s="65">
        <f t="shared" si="5"/>
        <v>20.42714806</v>
      </c>
      <c r="L99" s="52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</row>
    <row r="100" ht="14.25" customHeight="1">
      <c r="A100" s="6">
        <v>21306.0</v>
      </c>
      <c r="B100" s="7" t="s">
        <v>15</v>
      </c>
      <c r="C100" s="7" t="s">
        <v>134</v>
      </c>
      <c r="D100" s="7" t="s">
        <v>140</v>
      </c>
      <c r="E100" s="61">
        <v>16.0</v>
      </c>
      <c r="F100" s="62">
        <v>839.0</v>
      </c>
      <c r="G100" s="63">
        <f t="shared" si="18"/>
        <v>0.006993006993</v>
      </c>
      <c r="H100" s="64">
        <f t="shared" si="19"/>
        <v>0.1823076923</v>
      </c>
      <c r="I100" s="63">
        <f t="shared" si="20"/>
        <v>0.004788457477</v>
      </c>
      <c r="J100" s="65">
        <f t="shared" si="21"/>
        <v>8.322339096</v>
      </c>
      <c r="K100" s="65">
        <f t="shared" si="5"/>
        <v>21.90582362</v>
      </c>
      <c r="L100" s="52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</row>
    <row r="101" ht="14.25" customHeight="1">
      <c r="A101" s="6">
        <v>21307.0</v>
      </c>
      <c r="B101" s="7" t="s">
        <v>15</v>
      </c>
      <c r="C101" s="7" t="s">
        <v>134</v>
      </c>
      <c r="D101" s="7" t="s">
        <v>141</v>
      </c>
      <c r="E101" s="61">
        <v>5.0</v>
      </c>
      <c r="F101" s="62">
        <v>283.0</v>
      </c>
      <c r="G101" s="63">
        <f t="shared" si="18"/>
        <v>0.002185314685</v>
      </c>
      <c r="H101" s="64">
        <f t="shared" si="19"/>
        <v>0.05697115385</v>
      </c>
      <c r="I101" s="63">
        <f t="shared" si="20"/>
        <v>0.001615176956</v>
      </c>
      <c r="J101" s="65">
        <f t="shared" si="21"/>
        <v>2.80717755</v>
      </c>
      <c r="K101" s="65">
        <f t="shared" si="5"/>
        <v>20.29481671</v>
      </c>
      <c r="L101" s="52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</row>
    <row r="102" ht="14.25" customHeight="1">
      <c r="A102" s="6">
        <v>21401.0</v>
      </c>
      <c r="B102" s="7" t="s">
        <v>15</v>
      </c>
      <c r="C102" s="7" t="s">
        <v>142</v>
      </c>
      <c r="D102" s="7" t="s">
        <v>143</v>
      </c>
      <c r="E102" s="61">
        <v>20.0</v>
      </c>
      <c r="F102" s="62">
        <v>1623.0</v>
      </c>
      <c r="G102" s="63">
        <f t="shared" si="18"/>
        <v>0.008741258741</v>
      </c>
      <c r="H102" s="64">
        <f t="shared" si="19"/>
        <v>0.2278846154</v>
      </c>
      <c r="I102" s="63">
        <f t="shared" si="20"/>
        <v>0.009263011306</v>
      </c>
      <c r="J102" s="65">
        <f t="shared" si="21"/>
        <v>16.09911365</v>
      </c>
      <c r="K102" s="65">
        <f t="shared" si="5"/>
        <v>14.15510321</v>
      </c>
      <c r="L102" s="52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</row>
    <row r="103" ht="14.25" customHeight="1">
      <c r="A103" s="6">
        <v>21402.0</v>
      </c>
      <c r="B103" s="7" t="s">
        <v>15</v>
      </c>
      <c r="C103" s="7" t="s">
        <v>142</v>
      </c>
      <c r="D103" s="7" t="s">
        <v>144</v>
      </c>
      <c r="E103" s="61">
        <v>16.0</v>
      </c>
      <c r="F103" s="62">
        <v>1538.0</v>
      </c>
      <c r="G103" s="63">
        <f t="shared" si="18"/>
        <v>0.006993006993</v>
      </c>
      <c r="H103" s="64">
        <f t="shared" si="19"/>
        <v>0.1823076923</v>
      </c>
      <c r="I103" s="63">
        <f t="shared" si="20"/>
        <v>0.008777887486</v>
      </c>
      <c r="J103" s="65">
        <f t="shared" si="21"/>
        <v>15.25596845</v>
      </c>
      <c r="K103" s="65">
        <f t="shared" si="5"/>
        <v>11.94992589</v>
      </c>
      <c r="L103" s="52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</row>
    <row r="104" ht="14.25" customHeight="1">
      <c r="A104" s="6">
        <v>21501.0</v>
      </c>
      <c r="B104" s="7" t="s">
        <v>15</v>
      </c>
      <c r="C104" s="7" t="s">
        <v>145</v>
      </c>
      <c r="D104" s="7" t="s">
        <v>146</v>
      </c>
      <c r="E104" s="61">
        <v>15.0</v>
      </c>
      <c r="F104" s="62">
        <v>962.0</v>
      </c>
      <c r="G104" s="63">
        <f t="shared" si="18"/>
        <v>0.006555944056</v>
      </c>
      <c r="H104" s="64">
        <f t="shared" si="19"/>
        <v>0.1709134615</v>
      </c>
      <c r="I104" s="63">
        <f t="shared" si="20"/>
        <v>0.005490460183</v>
      </c>
      <c r="J104" s="65">
        <f t="shared" si="21"/>
        <v>9.542419798</v>
      </c>
      <c r="K104" s="65">
        <f t="shared" si="5"/>
        <v>17.91091412</v>
      </c>
      <c r="L104" s="52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</row>
    <row r="105" ht="14.25" customHeight="1">
      <c r="A105" s="6">
        <v>21502.0</v>
      </c>
      <c r="B105" s="7" t="s">
        <v>15</v>
      </c>
      <c r="C105" s="7" t="s">
        <v>145</v>
      </c>
      <c r="D105" s="7" t="s">
        <v>147</v>
      </c>
      <c r="E105" s="61">
        <v>18.0</v>
      </c>
      <c r="F105" s="62">
        <v>800.0</v>
      </c>
      <c r="G105" s="63">
        <f t="shared" si="18"/>
        <v>0.007867132867</v>
      </c>
      <c r="H105" s="64">
        <f t="shared" si="19"/>
        <v>0.2050961538</v>
      </c>
      <c r="I105" s="63">
        <f t="shared" si="20"/>
        <v>0.004565871254</v>
      </c>
      <c r="J105" s="65">
        <f t="shared" si="21"/>
        <v>7.935484239</v>
      </c>
      <c r="K105" s="65">
        <f t="shared" si="5"/>
        <v>25.84544908</v>
      </c>
      <c r="L105" s="52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</row>
    <row r="106" ht="14.25" customHeight="1">
      <c r="A106" s="6">
        <v>21601.0</v>
      </c>
      <c r="B106" s="7" t="s">
        <v>15</v>
      </c>
      <c r="C106" s="7" t="s">
        <v>148</v>
      </c>
      <c r="D106" s="7" t="s">
        <v>149</v>
      </c>
      <c r="E106" s="61">
        <v>10.0</v>
      </c>
      <c r="F106" s="62">
        <v>970.0</v>
      </c>
      <c r="G106" s="63">
        <f t="shared" si="18"/>
        <v>0.004370629371</v>
      </c>
      <c r="H106" s="64">
        <f t="shared" si="19"/>
        <v>0.1139423077</v>
      </c>
      <c r="I106" s="63">
        <f t="shared" si="20"/>
        <v>0.005536118895</v>
      </c>
      <c r="J106" s="65">
        <f t="shared" si="21"/>
        <v>9.62177464</v>
      </c>
      <c r="K106" s="65">
        <f t="shared" si="5"/>
        <v>11.84213016</v>
      </c>
      <c r="L106" s="52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</row>
    <row r="107" ht="14.25" customHeight="1">
      <c r="A107" s="6">
        <v>21602.0</v>
      </c>
      <c r="B107" s="7" t="s">
        <v>15</v>
      </c>
      <c r="C107" s="7" t="s">
        <v>148</v>
      </c>
      <c r="D107" s="7" t="s">
        <v>150</v>
      </c>
      <c r="E107" s="61">
        <v>4.0</v>
      </c>
      <c r="F107" s="62">
        <v>385.0</v>
      </c>
      <c r="G107" s="63">
        <f t="shared" si="18"/>
        <v>0.001748251748</v>
      </c>
      <c r="H107" s="64">
        <f t="shared" si="19"/>
        <v>0.04557692308</v>
      </c>
      <c r="I107" s="63">
        <f t="shared" si="20"/>
        <v>0.002197325541</v>
      </c>
      <c r="J107" s="65">
        <f t="shared" si="21"/>
        <v>3.81895179</v>
      </c>
      <c r="K107" s="65">
        <f t="shared" si="5"/>
        <v>11.9344065</v>
      </c>
      <c r="L107" s="52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</row>
    <row r="108" ht="14.25" customHeight="1">
      <c r="A108" s="6">
        <v>21701.0</v>
      </c>
      <c r="B108" s="7" t="s">
        <v>15</v>
      </c>
      <c r="C108" s="7" t="s">
        <v>151</v>
      </c>
      <c r="D108" s="7" t="s">
        <v>152</v>
      </c>
      <c r="E108" s="61">
        <v>8.0</v>
      </c>
      <c r="F108" s="62">
        <v>890.0</v>
      </c>
      <c r="G108" s="63">
        <f t="shared" si="18"/>
        <v>0.003496503497</v>
      </c>
      <c r="H108" s="64">
        <f t="shared" si="19"/>
        <v>0.09115384615</v>
      </c>
      <c r="I108" s="63">
        <f t="shared" si="20"/>
        <v>0.00507953177</v>
      </c>
      <c r="J108" s="65">
        <f t="shared" si="21"/>
        <v>8.828226216</v>
      </c>
      <c r="K108" s="65">
        <f t="shared" si="5"/>
        <v>10.32527304</v>
      </c>
      <c r="L108" s="52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</row>
    <row r="109" ht="14.25" customHeight="1">
      <c r="A109" s="6">
        <v>21702.0</v>
      </c>
      <c r="B109" s="7" t="s">
        <v>15</v>
      </c>
      <c r="C109" s="7" t="s">
        <v>151</v>
      </c>
      <c r="D109" s="7" t="s">
        <v>153</v>
      </c>
      <c r="E109" s="61">
        <v>10.0</v>
      </c>
      <c r="F109" s="62">
        <v>395.0</v>
      </c>
      <c r="G109" s="63">
        <f t="shared" si="18"/>
        <v>0.004370629371</v>
      </c>
      <c r="H109" s="64">
        <f t="shared" si="19"/>
        <v>0.1139423077</v>
      </c>
      <c r="I109" s="63">
        <f t="shared" si="20"/>
        <v>0.002254398932</v>
      </c>
      <c r="J109" s="65">
        <f t="shared" si="21"/>
        <v>3.918145343</v>
      </c>
      <c r="K109" s="65">
        <f t="shared" si="5"/>
        <v>29.08067407</v>
      </c>
      <c r="L109" s="52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</row>
    <row r="110" ht="14.25" customHeight="1">
      <c r="A110" s="6">
        <v>21703.0</v>
      </c>
      <c r="B110" s="7" t="s">
        <v>15</v>
      </c>
      <c r="C110" s="7" t="s">
        <v>151</v>
      </c>
      <c r="D110" s="7" t="s">
        <v>154</v>
      </c>
      <c r="E110" s="61">
        <v>0.0</v>
      </c>
      <c r="F110" s="62">
        <v>188.0</v>
      </c>
      <c r="G110" s="63">
        <f t="shared" si="18"/>
        <v>0</v>
      </c>
      <c r="H110" s="64">
        <f t="shared" si="19"/>
        <v>0</v>
      </c>
      <c r="I110" s="63">
        <f t="shared" si="20"/>
        <v>0.001072979745</v>
      </c>
      <c r="J110" s="65">
        <f t="shared" si="21"/>
        <v>1.864838796</v>
      </c>
      <c r="K110" s="65">
        <f t="shared" si="5"/>
        <v>0</v>
      </c>
      <c r="L110" s="52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</row>
    <row r="111" ht="14.25" customHeight="1">
      <c r="A111" s="6">
        <v>21801.0</v>
      </c>
      <c r="B111" s="7" t="s">
        <v>15</v>
      </c>
      <c r="C111" s="7" t="s">
        <v>155</v>
      </c>
      <c r="D111" s="7" t="s">
        <v>156</v>
      </c>
      <c r="E111" s="61">
        <v>7.0</v>
      </c>
      <c r="F111" s="62">
        <v>451.0</v>
      </c>
      <c r="G111" s="63">
        <f t="shared" si="18"/>
        <v>0.003059440559</v>
      </c>
      <c r="H111" s="64">
        <f t="shared" si="19"/>
        <v>0.07975961538</v>
      </c>
      <c r="I111" s="63">
        <f t="shared" si="20"/>
        <v>0.002574009919</v>
      </c>
      <c r="J111" s="65">
        <f t="shared" si="21"/>
        <v>4.47362924</v>
      </c>
      <c r="K111" s="65">
        <f t="shared" si="5"/>
        <v>17.82883898</v>
      </c>
      <c r="L111" s="52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</row>
    <row r="112" ht="14.25" customHeight="1">
      <c r="A112" s="6">
        <v>21802.0</v>
      </c>
      <c r="B112" s="7" t="s">
        <v>15</v>
      </c>
      <c r="C112" s="7" t="s">
        <v>157</v>
      </c>
      <c r="D112" s="7" t="s">
        <v>158</v>
      </c>
      <c r="E112" s="61">
        <v>5.0</v>
      </c>
      <c r="F112" s="62">
        <v>344.0</v>
      </c>
      <c r="G112" s="63">
        <f t="shared" si="18"/>
        <v>0.002185314685</v>
      </c>
      <c r="H112" s="64">
        <f t="shared" si="19"/>
        <v>0.05697115385</v>
      </c>
      <c r="I112" s="63">
        <f t="shared" si="20"/>
        <v>0.001963324639</v>
      </c>
      <c r="J112" s="65">
        <f t="shared" si="21"/>
        <v>3.412258223</v>
      </c>
      <c r="K112" s="65">
        <f t="shared" si="5"/>
        <v>16.69602654</v>
      </c>
      <c r="L112" s="52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</row>
    <row r="113" ht="14.25" customHeight="1">
      <c r="A113" s="6">
        <v>21803.0</v>
      </c>
      <c r="B113" s="7" t="s">
        <v>15</v>
      </c>
      <c r="C113" s="7" t="s">
        <v>157</v>
      </c>
      <c r="D113" s="7" t="s">
        <v>159</v>
      </c>
      <c r="E113" s="61">
        <v>0.0</v>
      </c>
      <c r="F113" s="62">
        <v>120.0</v>
      </c>
      <c r="G113" s="63">
        <f t="shared" si="18"/>
        <v>0</v>
      </c>
      <c r="H113" s="64">
        <f t="shared" si="19"/>
        <v>0</v>
      </c>
      <c r="I113" s="63">
        <f t="shared" si="20"/>
        <v>0.0006848806881</v>
      </c>
      <c r="J113" s="65">
        <f t="shared" si="21"/>
        <v>1.190322636</v>
      </c>
      <c r="K113" s="65">
        <f t="shared" si="5"/>
        <v>0</v>
      </c>
      <c r="L113" s="52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</row>
    <row r="114" ht="14.25" customHeight="1">
      <c r="A114" s="6">
        <v>21901.0</v>
      </c>
      <c r="B114" s="7" t="s">
        <v>15</v>
      </c>
      <c r="C114" s="7" t="s">
        <v>160</v>
      </c>
      <c r="D114" s="7" t="s">
        <v>161</v>
      </c>
      <c r="E114" s="61">
        <v>11.0</v>
      </c>
      <c r="F114" s="62">
        <v>327.0</v>
      </c>
      <c r="G114" s="63">
        <f t="shared" si="18"/>
        <v>0.004807692308</v>
      </c>
      <c r="H114" s="64">
        <f t="shared" si="19"/>
        <v>0.1253365385</v>
      </c>
      <c r="I114" s="63">
        <f t="shared" si="20"/>
        <v>0.001866299875</v>
      </c>
      <c r="J114" s="65">
        <f t="shared" si="21"/>
        <v>3.243629183</v>
      </c>
      <c r="K114" s="65">
        <f t="shared" si="5"/>
        <v>38.64083451</v>
      </c>
      <c r="L114" s="52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</row>
    <row r="115" ht="14.25" customHeight="1">
      <c r="A115" s="6">
        <v>21902.0</v>
      </c>
      <c r="B115" s="7" t="s">
        <v>15</v>
      </c>
      <c r="C115" s="7" t="s">
        <v>160</v>
      </c>
      <c r="D115" s="7" t="s">
        <v>162</v>
      </c>
      <c r="E115" s="61">
        <v>1.0</v>
      </c>
      <c r="F115" s="62">
        <v>326.0</v>
      </c>
      <c r="G115" s="63">
        <f t="shared" si="18"/>
        <v>0.0004370629371</v>
      </c>
      <c r="H115" s="64">
        <f t="shared" si="19"/>
        <v>0.01139423077</v>
      </c>
      <c r="I115" s="63">
        <f t="shared" si="20"/>
        <v>0.001860592536</v>
      </c>
      <c r="J115" s="65">
        <f t="shared" si="21"/>
        <v>3.233709827</v>
      </c>
      <c r="K115" s="65">
        <f t="shared" si="5"/>
        <v>3.523578607</v>
      </c>
      <c r="L115" s="52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</row>
    <row r="116" ht="14.25" customHeight="1">
      <c r="A116" s="6">
        <v>22001.0</v>
      </c>
      <c r="B116" s="7" t="s">
        <v>15</v>
      </c>
      <c r="C116" s="7" t="s">
        <v>163</v>
      </c>
      <c r="D116" s="7" t="s">
        <v>163</v>
      </c>
      <c r="E116" s="61">
        <v>40.0</v>
      </c>
      <c r="F116" s="62">
        <v>3769.0</v>
      </c>
      <c r="G116" s="63">
        <f t="shared" si="18"/>
        <v>0.01748251748</v>
      </c>
      <c r="H116" s="64">
        <f t="shared" si="19"/>
        <v>0.4557692308</v>
      </c>
      <c r="I116" s="63">
        <f t="shared" si="20"/>
        <v>0.02151096094</v>
      </c>
      <c r="J116" s="65">
        <f t="shared" si="21"/>
        <v>37.38605012</v>
      </c>
      <c r="K116" s="65">
        <f t="shared" si="5"/>
        <v>12.19089017</v>
      </c>
      <c r="L116" s="52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</row>
    <row r="117" ht="14.25" customHeight="1">
      <c r="A117" s="6">
        <v>22002.0</v>
      </c>
      <c r="B117" s="7" t="s">
        <v>15</v>
      </c>
      <c r="C117" s="7" t="s">
        <v>163</v>
      </c>
      <c r="D117" s="7" t="s">
        <v>164</v>
      </c>
      <c r="E117" s="61">
        <v>12.0</v>
      </c>
      <c r="F117" s="62">
        <v>684.0</v>
      </c>
      <c r="G117" s="63">
        <f t="shared" si="18"/>
        <v>0.005244755245</v>
      </c>
      <c r="H117" s="64">
        <f t="shared" si="19"/>
        <v>0.1367307692</v>
      </c>
      <c r="I117" s="63">
        <f t="shared" si="20"/>
        <v>0.003903819922</v>
      </c>
      <c r="J117" s="65">
        <f t="shared" si="21"/>
        <v>6.784839025</v>
      </c>
      <c r="K117" s="65">
        <f t="shared" si="5"/>
        <v>20.15239695</v>
      </c>
      <c r="L117" s="52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</row>
    <row r="118" ht="14.25" customHeight="1">
      <c r="A118" s="6">
        <v>30101.0</v>
      </c>
      <c r="B118" s="7" t="s">
        <v>17</v>
      </c>
      <c r="C118" s="7" t="s">
        <v>165</v>
      </c>
      <c r="D118" s="7" t="s">
        <v>17</v>
      </c>
      <c r="E118" s="61">
        <v>299.0</v>
      </c>
      <c r="F118" s="62">
        <v>37662.0</v>
      </c>
      <c r="G118" s="63">
        <f t="shared" ref="G118:G165" si="22">E118/$R$4</f>
        <v>0.2270311314</v>
      </c>
      <c r="H118" s="64">
        <f t="shared" ref="H118:H165" si="23">$S$19*G118</f>
        <v>1.712268793</v>
      </c>
      <c r="I118" s="63">
        <f t="shared" ref="I118:I165" si="24">F118/$S$4</f>
        <v>0.2926931626</v>
      </c>
      <c r="J118" s="65">
        <f t="shared" ref="J118:J165" si="25">I118*$U$19</f>
        <v>367.9153053</v>
      </c>
      <c r="K118" s="65">
        <f t="shared" si="5"/>
        <v>4.653975434</v>
      </c>
      <c r="L118" s="52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</row>
    <row r="119" ht="14.25" customHeight="1">
      <c r="A119" s="6">
        <v>30201.0</v>
      </c>
      <c r="B119" s="7" t="s">
        <v>17</v>
      </c>
      <c r="C119" s="7" t="s">
        <v>166</v>
      </c>
      <c r="D119" s="7" t="s">
        <v>167</v>
      </c>
      <c r="E119" s="61">
        <v>7.0</v>
      </c>
      <c r="F119" s="62">
        <v>1388.0</v>
      </c>
      <c r="G119" s="63">
        <f t="shared" si="22"/>
        <v>0.005315110099</v>
      </c>
      <c r="H119" s="64">
        <f t="shared" si="23"/>
        <v>0.04008656036</v>
      </c>
      <c r="I119" s="63">
        <f t="shared" si="24"/>
        <v>0.01078694997</v>
      </c>
      <c r="J119" s="65">
        <f t="shared" si="25"/>
        <v>13.55919611</v>
      </c>
      <c r="K119" s="65">
        <f t="shared" si="5"/>
        <v>2.956411283</v>
      </c>
      <c r="L119" s="52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</row>
    <row r="120" ht="14.25" customHeight="1">
      <c r="A120" s="6">
        <v>30202.0</v>
      </c>
      <c r="B120" s="7" t="s">
        <v>17</v>
      </c>
      <c r="C120" s="7" t="s">
        <v>166</v>
      </c>
      <c r="D120" s="7" t="s">
        <v>168</v>
      </c>
      <c r="E120" s="61">
        <v>1.0</v>
      </c>
      <c r="F120" s="62">
        <v>318.0</v>
      </c>
      <c r="G120" s="63">
        <f t="shared" si="22"/>
        <v>0.0007593014427</v>
      </c>
      <c r="H120" s="64">
        <f t="shared" si="23"/>
        <v>0.005726651481</v>
      </c>
      <c r="I120" s="63">
        <f t="shared" si="24"/>
        <v>0.002471361736</v>
      </c>
      <c r="J120" s="65">
        <f t="shared" si="25"/>
        <v>3.106501702</v>
      </c>
      <c r="K120" s="65">
        <f t="shared" si="5"/>
        <v>1.843440638</v>
      </c>
      <c r="L120" s="52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</row>
    <row r="121" ht="14.25" customHeight="1">
      <c r="A121" s="6">
        <v>30203.0</v>
      </c>
      <c r="B121" s="7" t="s">
        <v>17</v>
      </c>
      <c r="C121" s="7" t="s">
        <v>166</v>
      </c>
      <c r="D121" s="7" t="s">
        <v>169</v>
      </c>
      <c r="E121" s="61">
        <v>1.0</v>
      </c>
      <c r="F121" s="62">
        <v>465.0</v>
      </c>
      <c r="G121" s="63">
        <f t="shared" si="22"/>
        <v>0.0007593014427</v>
      </c>
      <c r="H121" s="64">
        <f t="shared" si="23"/>
        <v>0.005726651481</v>
      </c>
      <c r="I121" s="63">
        <f t="shared" si="24"/>
        <v>0.00361378367</v>
      </c>
      <c r="J121" s="65">
        <f t="shared" si="25"/>
        <v>4.542526074</v>
      </c>
      <c r="K121" s="65">
        <f t="shared" si="5"/>
        <v>1.260675533</v>
      </c>
      <c r="L121" s="52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</row>
    <row r="122" ht="14.25" customHeight="1">
      <c r="A122" s="6">
        <v>30301.0</v>
      </c>
      <c r="B122" s="7" t="s">
        <v>17</v>
      </c>
      <c r="C122" s="7" t="s">
        <v>170</v>
      </c>
      <c r="D122" s="7" t="s">
        <v>171</v>
      </c>
      <c r="E122" s="61">
        <v>26.0</v>
      </c>
      <c r="F122" s="62">
        <v>1506.0</v>
      </c>
      <c r="G122" s="63">
        <f t="shared" si="22"/>
        <v>0.01974183751</v>
      </c>
      <c r="H122" s="64">
        <f t="shared" si="23"/>
        <v>0.1488929385</v>
      </c>
      <c r="I122" s="63">
        <f t="shared" si="24"/>
        <v>0.01170399615</v>
      </c>
      <c r="J122" s="65">
        <f t="shared" si="25"/>
        <v>14.71192315</v>
      </c>
      <c r="K122" s="65">
        <f t="shared" si="5"/>
        <v>10.12056255</v>
      </c>
      <c r="L122" s="52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</row>
    <row r="123" ht="14.25" customHeight="1">
      <c r="A123" s="6">
        <v>30302.0</v>
      </c>
      <c r="B123" s="7" t="s">
        <v>17</v>
      </c>
      <c r="C123" s="7" t="s">
        <v>170</v>
      </c>
      <c r="D123" s="7" t="s">
        <v>172</v>
      </c>
      <c r="E123" s="61">
        <v>12.0</v>
      </c>
      <c r="F123" s="62">
        <v>918.0</v>
      </c>
      <c r="G123" s="63">
        <f t="shared" si="22"/>
        <v>0.009111617312</v>
      </c>
      <c r="H123" s="64">
        <f t="shared" si="23"/>
        <v>0.06871981777</v>
      </c>
      <c r="I123" s="63">
        <f t="shared" si="24"/>
        <v>0.007134308407</v>
      </c>
      <c r="J123" s="65">
        <f t="shared" si="25"/>
        <v>8.967825668</v>
      </c>
      <c r="K123" s="65">
        <f t="shared" si="5"/>
        <v>7.662929713</v>
      </c>
      <c r="L123" s="52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</row>
    <row r="124" ht="14.25" customHeight="1">
      <c r="A124" s="6">
        <v>30303.0</v>
      </c>
      <c r="B124" s="7" t="s">
        <v>17</v>
      </c>
      <c r="C124" s="7" t="s">
        <v>170</v>
      </c>
      <c r="D124" s="7" t="s">
        <v>173</v>
      </c>
      <c r="E124" s="61">
        <v>41.0</v>
      </c>
      <c r="F124" s="62">
        <v>1526.0</v>
      </c>
      <c r="G124" s="63">
        <f t="shared" si="22"/>
        <v>0.03113135915</v>
      </c>
      <c r="H124" s="64">
        <f t="shared" si="23"/>
        <v>0.2347927107</v>
      </c>
      <c r="I124" s="63">
        <f t="shared" si="24"/>
        <v>0.0118594277</v>
      </c>
      <c r="J124" s="65">
        <f t="shared" si="25"/>
        <v>14.90730062</v>
      </c>
      <c r="K124" s="65">
        <f t="shared" si="5"/>
        <v>15.75018286</v>
      </c>
      <c r="L124" s="52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</row>
    <row r="125" ht="14.25" customHeight="1">
      <c r="A125" s="6">
        <v>30401.0</v>
      </c>
      <c r="B125" s="7" t="s">
        <v>17</v>
      </c>
      <c r="C125" s="7" t="s">
        <v>174</v>
      </c>
      <c r="D125" s="7" t="s">
        <v>175</v>
      </c>
      <c r="E125" s="61">
        <v>11.0</v>
      </c>
      <c r="F125" s="62">
        <v>692.0</v>
      </c>
      <c r="G125" s="63">
        <f t="shared" si="22"/>
        <v>0.008352315869</v>
      </c>
      <c r="H125" s="64">
        <f t="shared" si="23"/>
        <v>0.06299316629</v>
      </c>
      <c r="I125" s="63">
        <f t="shared" si="24"/>
        <v>0.005377931828</v>
      </c>
      <c r="J125" s="65">
        <f t="shared" si="25"/>
        <v>6.760060307</v>
      </c>
      <c r="K125" s="65">
        <f t="shared" si="5"/>
        <v>9.318432591</v>
      </c>
      <c r="L125" s="52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</row>
    <row r="126" ht="14.25" customHeight="1">
      <c r="A126" s="6">
        <v>30402.0</v>
      </c>
      <c r="B126" s="7" t="s">
        <v>17</v>
      </c>
      <c r="C126" s="7" t="s">
        <v>174</v>
      </c>
      <c r="D126" s="7" t="s">
        <v>176</v>
      </c>
      <c r="E126" s="61">
        <v>8.0</v>
      </c>
      <c r="F126" s="62">
        <v>400.0</v>
      </c>
      <c r="G126" s="63">
        <f t="shared" si="22"/>
        <v>0.006074411541</v>
      </c>
      <c r="H126" s="64">
        <f t="shared" si="23"/>
        <v>0.04581321185</v>
      </c>
      <c r="I126" s="63">
        <f t="shared" si="24"/>
        <v>0.003108631114</v>
      </c>
      <c r="J126" s="65">
        <f t="shared" si="25"/>
        <v>3.907549311</v>
      </c>
      <c r="K126" s="65">
        <f t="shared" si="5"/>
        <v>11.72428246</v>
      </c>
      <c r="L126" s="52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</row>
    <row r="127" ht="14.25" customHeight="1">
      <c r="A127" s="6">
        <v>30403.0</v>
      </c>
      <c r="B127" s="7" t="s">
        <v>17</v>
      </c>
      <c r="C127" s="7" t="s">
        <v>174</v>
      </c>
      <c r="D127" s="7" t="s">
        <v>177</v>
      </c>
      <c r="E127" s="61">
        <v>22.0</v>
      </c>
      <c r="F127" s="62">
        <v>2327.0</v>
      </c>
      <c r="G127" s="63">
        <f t="shared" si="22"/>
        <v>0.01670463174</v>
      </c>
      <c r="H127" s="64">
        <f t="shared" si="23"/>
        <v>0.1259863326</v>
      </c>
      <c r="I127" s="63">
        <f t="shared" si="24"/>
        <v>0.01808446151</v>
      </c>
      <c r="J127" s="65">
        <f t="shared" si="25"/>
        <v>22.73216811</v>
      </c>
      <c r="K127" s="65">
        <f t="shared" si="5"/>
        <v>5.542204859</v>
      </c>
      <c r="L127" s="52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</row>
    <row r="128" ht="14.25" customHeight="1">
      <c r="A128" s="6">
        <v>30404.0</v>
      </c>
      <c r="B128" s="7" t="s">
        <v>17</v>
      </c>
      <c r="C128" s="7" t="s">
        <v>174</v>
      </c>
      <c r="D128" s="7" t="s">
        <v>178</v>
      </c>
      <c r="E128" s="61">
        <v>7.0</v>
      </c>
      <c r="F128" s="62">
        <v>282.0</v>
      </c>
      <c r="G128" s="63">
        <f t="shared" si="22"/>
        <v>0.005315110099</v>
      </c>
      <c r="H128" s="64">
        <f t="shared" si="23"/>
        <v>0.04008656036</v>
      </c>
      <c r="I128" s="63">
        <f t="shared" si="24"/>
        <v>0.002191584936</v>
      </c>
      <c r="J128" s="65">
        <f t="shared" si="25"/>
        <v>2.754822264</v>
      </c>
      <c r="K128" s="65">
        <f t="shared" si="5"/>
        <v>14.5514144</v>
      </c>
      <c r="L128" s="52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</row>
    <row r="129" ht="14.25" customHeight="1">
      <c r="A129" s="6">
        <v>30501.0</v>
      </c>
      <c r="B129" s="7" t="s">
        <v>17</v>
      </c>
      <c r="C129" s="7" t="s">
        <v>179</v>
      </c>
      <c r="D129" s="7" t="s">
        <v>179</v>
      </c>
      <c r="E129" s="61">
        <v>10.0</v>
      </c>
      <c r="F129" s="62">
        <v>623.0</v>
      </c>
      <c r="G129" s="63">
        <f t="shared" si="22"/>
        <v>0.007593014427</v>
      </c>
      <c r="H129" s="64">
        <f t="shared" si="23"/>
        <v>0.05726651481</v>
      </c>
      <c r="I129" s="63">
        <f t="shared" si="24"/>
        <v>0.004841692961</v>
      </c>
      <c r="J129" s="65">
        <f t="shared" si="25"/>
        <v>6.086008051</v>
      </c>
      <c r="K129" s="65">
        <f t="shared" si="5"/>
        <v>9.409536485</v>
      </c>
      <c r="L129" s="52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</row>
    <row r="130" ht="14.25" customHeight="1">
      <c r="A130" s="6">
        <v>30502.0</v>
      </c>
      <c r="B130" s="7" t="s">
        <v>17</v>
      </c>
      <c r="C130" s="7" t="s">
        <v>179</v>
      </c>
      <c r="D130" s="7" t="s">
        <v>180</v>
      </c>
      <c r="E130" s="61">
        <v>8.0</v>
      </c>
      <c r="F130" s="62">
        <v>436.0</v>
      </c>
      <c r="G130" s="63">
        <f t="shared" si="22"/>
        <v>0.006074411541</v>
      </c>
      <c r="H130" s="64">
        <f t="shared" si="23"/>
        <v>0.04581321185</v>
      </c>
      <c r="I130" s="63">
        <f t="shared" si="24"/>
        <v>0.003388407915</v>
      </c>
      <c r="J130" s="65">
        <f t="shared" si="25"/>
        <v>4.259228749</v>
      </c>
      <c r="K130" s="65">
        <f t="shared" si="5"/>
        <v>10.75622244</v>
      </c>
      <c r="L130" s="52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</row>
    <row r="131" ht="14.25" customHeight="1">
      <c r="A131" s="6">
        <v>30601.0</v>
      </c>
      <c r="B131" s="7" t="s">
        <v>17</v>
      </c>
      <c r="C131" s="7" t="s">
        <v>181</v>
      </c>
      <c r="D131" s="7" t="s">
        <v>181</v>
      </c>
      <c r="E131" s="61">
        <v>19.0</v>
      </c>
      <c r="F131" s="62">
        <v>736.0</v>
      </c>
      <c r="G131" s="63">
        <f t="shared" si="22"/>
        <v>0.01442672741</v>
      </c>
      <c r="H131" s="64">
        <f t="shared" si="23"/>
        <v>0.1088063781</v>
      </c>
      <c r="I131" s="63">
        <f t="shared" si="24"/>
        <v>0.00571988125</v>
      </c>
      <c r="J131" s="65">
        <f t="shared" si="25"/>
        <v>7.189890732</v>
      </c>
      <c r="K131" s="65">
        <f t="shared" si="5"/>
        <v>15.13324502</v>
      </c>
      <c r="L131" s="52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</row>
    <row r="132" ht="14.25" customHeight="1">
      <c r="A132" s="6">
        <v>30602.0</v>
      </c>
      <c r="B132" s="7" t="s">
        <v>17</v>
      </c>
      <c r="C132" s="7" t="s">
        <v>181</v>
      </c>
      <c r="D132" s="7" t="s">
        <v>182</v>
      </c>
      <c r="E132" s="61">
        <v>11.0</v>
      </c>
      <c r="F132" s="62">
        <v>538.0</v>
      </c>
      <c r="G132" s="63">
        <f t="shared" si="22"/>
        <v>0.008352315869</v>
      </c>
      <c r="H132" s="64">
        <f t="shared" si="23"/>
        <v>0.06299316629</v>
      </c>
      <c r="I132" s="63">
        <f t="shared" si="24"/>
        <v>0.004181108849</v>
      </c>
      <c r="J132" s="65">
        <f t="shared" si="25"/>
        <v>5.255653823</v>
      </c>
      <c r="K132" s="65">
        <f t="shared" si="5"/>
        <v>11.98579062</v>
      </c>
      <c r="L132" s="52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</row>
    <row r="133" ht="14.25" customHeight="1">
      <c r="A133" s="6">
        <v>30701.0</v>
      </c>
      <c r="B133" s="7" t="s">
        <v>17</v>
      </c>
      <c r="C133" s="7" t="s">
        <v>183</v>
      </c>
      <c r="D133" s="7" t="s">
        <v>183</v>
      </c>
      <c r="E133" s="61">
        <v>19.0</v>
      </c>
      <c r="F133" s="62">
        <v>1329.0</v>
      </c>
      <c r="G133" s="63">
        <f t="shared" si="22"/>
        <v>0.01442672741</v>
      </c>
      <c r="H133" s="64">
        <f t="shared" si="23"/>
        <v>0.1088063781</v>
      </c>
      <c r="I133" s="63">
        <f t="shared" si="24"/>
        <v>0.01032842688</v>
      </c>
      <c r="J133" s="65">
        <f t="shared" si="25"/>
        <v>12.98283258</v>
      </c>
      <c r="K133" s="65">
        <f t="shared" si="5"/>
        <v>8.380788817</v>
      </c>
      <c r="L133" s="52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</row>
    <row r="134" ht="14.25" customHeight="1">
      <c r="A134" s="6">
        <v>30702.0</v>
      </c>
      <c r="B134" s="7" t="s">
        <v>17</v>
      </c>
      <c r="C134" s="7" t="s">
        <v>183</v>
      </c>
      <c r="D134" s="7" t="s">
        <v>184</v>
      </c>
      <c r="E134" s="61">
        <v>4.0</v>
      </c>
      <c r="F134" s="62">
        <v>498.0</v>
      </c>
      <c r="G134" s="63">
        <f t="shared" si="22"/>
        <v>0.003037205771</v>
      </c>
      <c r="H134" s="64">
        <f t="shared" si="23"/>
        <v>0.02290660592</v>
      </c>
      <c r="I134" s="63">
        <f t="shared" si="24"/>
        <v>0.003870245737</v>
      </c>
      <c r="J134" s="65">
        <f t="shared" si="25"/>
        <v>4.864898892</v>
      </c>
      <c r="K134" s="65">
        <f t="shared" si="5"/>
        <v>4.708547173</v>
      </c>
      <c r="L134" s="52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</row>
    <row r="135" ht="14.25" customHeight="1">
      <c r="A135" s="6">
        <v>30703.0</v>
      </c>
      <c r="B135" s="7" t="s">
        <v>17</v>
      </c>
      <c r="C135" s="7" t="s">
        <v>183</v>
      </c>
      <c r="D135" s="7" t="s">
        <v>185</v>
      </c>
      <c r="E135" s="61">
        <v>0.0</v>
      </c>
      <c r="F135" s="62">
        <v>288.0</v>
      </c>
      <c r="G135" s="63">
        <f t="shared" si="22"/>
        <v>0</v>
      </c>
      <c r="H135" s="64">
        <f t="shared" si="23"/>
        <v>0</v>
      </c>
      <c r="I135" s="63">
        <f t="shared" si="24"/>
        <v>0.002238214402</v>
      </c>
      <c r="J135" s="65">
        <f t="shared" si="25"/>
        <v>2.813435504</v>
      </c>
      <c r="K135" s="65">
        <f t="shared" si="5"/>
        <v>0</v>
      </c>
      <c r="L135" s="52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</row>
    <row r="136" ht="14.25" customHeight="1">
      <c r="A136" s="6">
        <v>30801.0</v>
      </c>
      <c r="B136" s="7" t="s">
        <v>17</v>
      </c>
      <c r="C136" s="7" t="s">
        <v>186</v>
      </c>
      <c r="D136" s="7" t="s">
        <v>187</v>
      </c>
      <c r="E136" s="61">
        <v>6.0</v>
      </c>
      <c r="F136" s="62">
        <v>1232.0</v>
      </c>
      <c r="G136" s="63">
        <f t="shared" si="22"/>
        <v>0.004555808656</v>
      </c>
      <c r="H136" s="64">
        <f t="shared" si="23"/>
        <v>0.03435990888</v>
      </c>
      <c r="I136" s="63">
        <f t="shared" si="24"/>
        <v>0.009574583832</v>
      </c>
      <c r="J136" s="65">
        <f t="shared" si="25"/>
        <v>12.03525188</v>
      </c>
      <c r="K136" s="65">
        <f t="shared" si="5"/>
        <v>2.854938911</v>
      </c>
      <c r="L136" s="52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</row>
    <row r="137" ht="14.25" customHeight="1">
      <c r="A137" s="6">
        <v>30802.0</v>
      </c>
      <c r="B137" s="7" t="s">
        <v>17</v>
      </c>
      <c r="C137" s="7" t="s">
        <v>186</v>
      </c>
      <c r="D137" s="7" t="s">
        <v>188</v>
      </c>
      <c r="E137" s="61">
        <v>7.0</v>
      </c>
      <c r="F137" s="62">
        <v>387.0</v>
      </c>
      <c r="G137" s="63">
        <f t="shared" si="22"/>
        <v>0.005315110099</v>
      </c>
      <c r="H137" s="64">
        <f t="shared" si="23"/>
        <v>0.04008656036</v>
      </c>
      <c r="I137" s="63">
        <f t="shared" si="24"/>
        <v>0.003007600603</v>
      </c>
      <c r="J137" s="65">
        <f t="shared" si="25"/>
        <v>3.780553958</v>
      </c>
      <c r="K137" s="65">
        <f t="shared" si="5"/>
        <v>10.60335623</v>
      </c>
      <c r="L137" s="52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</row>
    <row r="138" ht="14.25" customHeight="1">
      <c r="A138" s="6">
        <v>30803.0</v>
      </c>
      <c r="B138" s="7" t="s">
        <v>17</v>
      </c>
      <c r="C138" s="7" t="s">
        <v>186</v>
      </c>
      <c r="D138" s="7" t="s">
        <v>189</v>
      </c>
      <c r="E138" s="61">
        <v>10.0</v>
      </c>
      <c r="F138" s="62">
        <v>529.0</v>
      </c>
      <c r="G138" s="63">
        <f t="shared" si="22"/>
        <v>0.007593014427</v>
      </c>
      <c r="H138" s="64">
        <f t="shared" si="23"/>
        <v>0.05726651481</v>
      </c>
      <c r="I138" s="63">
        <f t="shared" si="24"/>
        <v>0.004111164649</v>
      </c>
      <c r="J138" s="65">
        <f t="shared" si="25"/>
        <v>5.167733963</v>
      </c>
      <c r="K138" s="65">
        <f t="shared" si="5"/>
        <v>11.08155242</v>
      </c>
      <c r="L138" s="52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</row>
    <row r="139" ht="14.25" customHeight="1">
      <c r="A139" s="6">
        <v>30901.0</v>
      </c>
      <c r="B139" s="7" t="s">
        <v>17</v>
      </c>
      <c r="C139" s="7" t="s">
        <v>190</v>
      </c>
      <c r="D139" s="7" t="s">
        <v>190</v>
      </c>
      <c r="E139" s="61">
        <v>72.0</v>
      </c>
      <c r="F139" s="62">
        <v>10618.0</v>
      </c>
      <c r="G139" s="63">
        <f t="shared" si="22"/>
        <v>0.05466970387</v>
      </c>
      <c r="H139" s="64">
        <f t="shared" si="23"/>
        <v>0.4123189066</v>
      </c>
      <c r="I139" s="63">
        <f t="shared" si="24"/>
        <v>0.08251861293</v>
      </c>
      <c r="J139" s="65">
        <f t="shared" si="25"/>
        <v>103.7258965</v>
      </c>
      <c r="K139" s="65">
        <f t="shared" si="5"/>
        <v>3.97508164</v>
      </c>
      <c r="L139" s="52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</row>
    <row r="140" ht="14.25" customHeight="1">
      <c r="A140" s="6">
        <v>30902.0</v>
      </c>
      <c r="B140" s="7" t="s">
        <v>17</v>
      </c>
      <c r="C140" s="7" t="s">
        <v>190</v>
      </c>
      <c r="D140" s="7" t="s">
        <v>191</v>
      </c>
      <c r="E140" s="61">
        <v>46.0</v>
      </c>
      <c r="F140" s="62">
        <v>4316.0</v>
      </c>
      <c r="G140" s="63">
        <f t="shared" si="22"/>
        <v>0.03492786636</v>
      </c>
      <c r="H140" s="64">
        <f t="shared" si="23"/>
        <v>0.2634259681</v>
      </c>
      <c r="I140" s="63">
        <f t="shared" si="24"/>
        <v>0.03354212972</v>
      </c>
      <c r="J140" s="65">
        <f t="shared" si="25"/>
        <v>42.16245706</v>
      </c>
      <c r="K140" s="65">
        <f t="shared" si="5"/>
        <v>6.247879902</v>
      </c>
      <c r="L140" s="52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</row>
    <row r="141" ht="14.25" customHeight="1">
      <c r="A141" s="6">
        <v>30903.0</v>
      </c>
      <c r="B141" s="7" t="s">
        <v>17</v>
      </c>
      <c r="C141" s="7" t="s">
        <v>190</v>
      </c>
      <c r="D141" s="7" t="s">
        <v>192</v>
      </c>
      <c r="E141" s="61">
        <v>29.0</v>
      </c>
      <c r="F141" s="62">
        <v>3685.0</v>
      </c>
      <c r="G141" s="63">
        <f t="shared" si="22"/>
        <v>0.02201974184</v>
      </c>
      <c r="H141" s="64">
        <f t="shared" si="23"/>
        <v>0.1660728929</v>
      </c>
      <c r="I141" s="63">
        <f t="shared" si="24"/>
        <v>0.02863826414</v>
      </c>
      <c r="J141" s="65">
        <f t="shared" si="25"/>
        <v>35.99829802</v>
      </c>
      <c r="K141" s="65">
        <f t="shared" si="5"/>
        <v>4.613354021</v>
      </c>
      <c r="L141" s="52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</row>
    <row r="142" ht="14.25" customHeight="1">
      <c r="A142" s="6">
        <v>30904.0</v>
      </c>
      <c r="B142" s="7" t="s">
        <v>17</v>
      </c>
      <c r="C142" s="7" t="s">
        <v>190</v>
      </c>
      <c r="D142" s="7" t="s">
        <v>193</v>
      </c>
      <c r="E142" s="61">
        <v>26.0</v>
      </c>
      <c r="F142" s="62">
        <v>3851.0</v>
      </c>
      <c r="G142" s="63">
        <f t="shared" si="22"/>
        <v>0.01974183751</v>
      </c>
      <c r="H142" s="64">
        <f t="shared" si="23"/>
        <v>0.1488929385</v>
      </c>
      <c r="I142" s="63">
        <f t="shared" si="24"/>
        <v>0.02992834605</v>
      </c>
      <c r="J142" s="65">
        <f t="shared" si="25"/>
        <v>37.61993099</v>
      </c>
      <c r="K142" s="65">
        <f t="shared" si="5"/>
        <v>3.957820618</v>
      </c>
      <c r="L142" s="52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</row>
    <row r="143" ht="14.25" customHeight="1">
      <c r="A143" s="6">
        <v>30905.0</v>
      </c>
      <c r="B143" s="7" t="s">
        <v>17</v>
      </c>
      <c r="C143" s="7" t="s">
        <v>190</v>
      </c>
      <c r="D143" s="7" t="s">
        <v>194</v>
      </c>
      <c r="E143" s="61">
        <v>25.0</v>
      </c>
      <c r="F143" s="62">
        <v>3735.0</v>
      </c>
      <c r="G143" s="63">
        <f t="shared" si="22"/>
        <v>0.01898253607</v>
      </c>
      <c r="H143" s="64">
        <f t="shared" si="23"/>
        <v>0.143166287</v>
      </c>
      <c r="I143" s="63">
        <f t="shared" si="24"/>
        <v>0.02902684303</v>
      </c>
      <c r="J143" s="65">
        <f t="shared" si="25"/>
        <v>36.48674169</v>
      </c>
      <c r="K143" s="65">
        <f t="shared" si="5"/>
        <v>3.923789311</v>
      </c>
      <c r="L143" s="52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</row>
    <row r="144" ht="14.25" customHeight="1">
      <c r="A144" s="6">
        <v>31001.0</v>
      </c>
      <c r="B144" s="7" t="s">
        <v>17</v>
      </c>
      <c r="C144" s="7" t="s">
        <v>195</v>
      </c>
      <c r="D144" s="7" t="s">
        <v>196</v>
      </c>
      <c r="E144" s="61">
        <v>108.0</v>
      </c>
      <c r="F144" s="62">
        <v>13602.0</v>
      </c>
      <c r="G144" s="63">
        <f t="shared" si="22"/>
        <v>0.08200455581</v>
      </c>
      <c r="H144" s="64">
        <f t="shared" si="23"/>
        <v>0.6184783599</v>
      </c>
      <c r="I144" s="63">
        <f t="shared" si="24"/>
        <v>0.105709001</v>
      </c>
      <c r="J144" s="65">
        <f t="shared" si="25"/>
        <v>132.8762143</v>
      </c>
      <c r="K144" s="65">
        <f t="shared" si="5"/>
        <v>4.654545308</v>
      </c>
      <c r="L144" s="52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</row>
    <row r="145" ht="14.25" customHeight="1">
      <c r="A145" s="6">
        <v>31002.0</v>
      </c>
      <c r="B145" s="7" t="s">
        <v>17</v>
      </c>
      <c r="C145" s="7" t="s">
        <v>195</v>
      </c>
      <c r="D145" s="7" t="s">
        <v>197</v>
      </c>
      <c r="E145" s="61">
        <v>24.0</v>
      </c>
      <c r="F145" s="62">
        <v>1623.0</v>
      </c>
      <c r="G145" s="63">
        <f t="shared" si="22"/>
        <v>0.01822323462</v>
      </c>
      <c r="H145" s="64">
        <f t="shared" si="23"/>
        <v>0.1374396355</v>
      </c>
      <c r="I145" s="63">
        <f t="shared" si="24"/>
        <v>0.01261327075</v>
      </c>
      <c r="J145" s="65">
        <f t="shared" si="25"/>
        <v>15.85488133</v>
      </c>
      <c r="K145" s="65">
        <f t="shared" si="5"/>
        <v>8.66860071</v>
      </c>
      <c r="L145" s="52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</row>
    <row r="146" ht="14.25" customHeight="1">
      <c r="A146" s="6">
        <v>31003.0</v>
      </c>
      <c r="B146" s="7" t="s">
        <v>17</v>
      </c>
      <c r="C146" s="7" t="s">
        <v>195</v>
      </c>
      <c r="D146" s="7" t="s">
        <v>198</v>
      </c>
      <c r="E146" s="61">
        <v>117.0</v>
      </c>
      <c r="F146" s="62">
        <v>7538.0</v>
      </c>
      <c r="G146" s="63">
        <f t="shared" si="22"/>
        <v>0.08883826879</v>
      </c>
      <c r="H146" s="64">
        <f t="shared" si="23"/>
        <v>0.6700182232</v>
      </c>
      <c r="I146" s="63">
        <f t="shared" si="24"/>
        <v>0.05858215335</v>
      </c>
      <c r="J146" s="65">
        <f t="shared" si="25"/>
        <v>73.63776676</v>
      </c>
      <c r="K146" s="65">
        <f t="shared" si="5"/>
        <v>9.098839532</v>
      </c>
      <c r="L146" s="52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</row>
    <row r="147" ht="14.25" customHeight="1">
      <c r="A147" s="6">
        <v>31101.0</v>
      </c>
      <c r="B147" s="7" t="s">
        <v>17</v>
      </c>
      <c r="C147" s="7" t="s">
        <v>199</v>
      </c>
      <c r="D147" s="7" t="s">
        <v>199</v>
      </c>
      <c r="E147" s="61">
        <v>45.0</v>
      </c>
      <c r="F147" s="62">
        <v>1538.0</v>
      </c>
      <c r="G147" s="63">
        <f t="shared" si="22"/>
        <v>0.03416856492</v>
      </c>
      <c r="H147" s="64">
        <f t="shared" si="23"/>
        <v>0.2576993166</v>
      </c>
      <c r="I147" s="63">
        <f t="shared" si="24"/>
        <v>0.01195268663</v>
      </c>
      <c r="J147" s="65">
        <f t="shared" si="25"/>
        <v>15.0245271</v>
      </c>
      <c r="K147" s="65">
        <f t="shared" si="5"/>
        <v>17.15190867</v>
      </c>
      <c r="L147" s="52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</row>
    <row r="148" ht="14.25" customHeight="1">
      <c r="A148" s="6">
        <v>31201.0</v>
      </c>
      <c r="B148" s="7" t="s">
        <v>17</v>
      </c>
      <c r="C148" s="7" t="s">
        <v>200</v>
      </c>
      <c r="D148" s="7" t="s">
        <v>201</v>
      </c>
      <c r="E148" s="61">
        <v>15.0</v>
      </c>
      <c r="F148" s="62">
        <v>1255.0</v>
      </c>
      <c r="G148" s="63">
        <f t="shared" si="22"/>
        <v>0.01138952164</v>
      </c>
      <c r="H148" s="64">
        <f t="shared" si="23"/>
        <v>0.08589977221</v>
      </c>
      <c r="I148" s="63">
        <f t="shared" si="24"/>
        <v>0.009753330121</v>
      </c>
      <c r="J148" s="65">
        <f t="shared" si="25"/>
        <v>12.25993596</v>
      </c>
      <c r="K148" s="65">
        <f t="shared" si="5"/>
        <v>7.006543303</v>
      </c>
      <c r="L148" s="52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</row>
    <row r="149" ht="14.25" customHeight="1">
      <c r="A149" s="6">
        <v>31202.0</v>
      </c>
      <c r="B149" s="7" t="s">
        <v>17</v>
      </c>
      <c r="C149" s="7" t="s">
        <v>200</v>
      </c>
      <c r="D149" s="7" t="s">
        <v>202</v>
      </c>
      <c r="E149" s="61">
        <v>8.0</v>
      </c>
      <c r="F149" s="62">
        <v>907.0</v>
      </c>
      <c r="G149" s="63">
        <f t="shared" si="22"/>
        <v>0.006074411541</v>
      </c>
      <c r="H149" s="64">
        <f t="shared" si="23"/>
        <v>0.04581321185</v>
      </c>
      <c r="I149" s="63">
        <f t="shared" si="24"/>
        <v>0.007048821052</v>
      </c>
      <c r="J149" s="65">
        <f t="shared" si="25"/>
        <v>8.860368062</v>
      </c>
      <c r="K149" s="65">
        <f t="shared" si="5"/>
        <v>5.170576609</v>
      </c>
      <c r="L149" s="52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</row>
    <row r="150" ht="14.25" customHeight="1">
      <c r="A150" s="6">
        <v>31203.0</v>
      </c>
      <c r="B150" s="7" t="s">
        <v>17</v>
      </c>
      <c r="C150" s="7" t="s">
        <v>200</v>
      </c>
      <c r="D150" s="7" t="s">
        <v>203</v>
      </c>
      <c r="E150" s="61">
        <v>10.0</v>
      </c>
      <c r="F150" s="62">
        <v>769.0</v>
      </c>
      <c r="G150" s="63">
        <f t="shared" si="22"/>
        <v>0.007593014427</v>
      </c>
      <c r="H150" s="64">
        <f t="shared" si="23"/>
        <v>0.05726651481</v>
      </c>
      <c r="I150" s="63">
        <f t="shared" si="24"/>
        <v>0.005976343317</v>
      </c>
      <c r="J150" s="65">
        <f t="shared" si="25"/>
        <v>7.51226355</v>
      </c>
      <c r="K150" s="65">
        <f t="shared" si="5"/>
        <v>7.62307052</v>
      </c>
      <c r="L150" s="52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</row>
    <row r="151" ht="14.25" customHeight="1">
      <c r="A151" s="6">
        <v>31204.0</v>
      </c>
      <c r="B151" s="7" t="s">
        <v>17</v>
      </c>
      <c r="C151" s="7" t="s">
        <v>200</v>
      </c>
      <c r="D151" s="7" t="s">
        <v>204</v>
      </c>
      <c r="E151" s="61">
        <v>31.0</v>
      </c>
      <c r="F151" s="62">
        <v>2163.0</v>
      </c>
      <c r="G151" s="63">
        <f t="shared" si="22"/>
        <v>0.02353834472</v>
      </c>
      <c r="H151" s="64">
        <f t="shared" si="23"/>
        <v>0.1775261959</v>
      </c>
      <c r="I151" s="63">
        <f t="shared" si="24"/>
        <v>0.01680992275</v>
      </c>
      <c r="J151" s="65">
        <f t="shared" si="25"/>
        <v>21.1300729</v>
      </c>
      <c r="K151" s="65">
        <f t="shared" si="5"/>
        <v>8.401589373</v>
      </c>
      <c r="L151" s="52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</row>
    <row r="152" ht="14.25" customHeight="1">
      <c r="A152" s="6">
        <v>31205.0</v>
      </c>
      <c r="B152" s="7" t="s">
        <v>17</v>
      </c>
      <c r="C152" s="7" t="s">
        <v>200</v>
      </c>
      <c r="D152" s="7" t="s">
        <v>205</v>
      </c>
      <c r="E152" s="61">
        <v>58.0</v>
      </c>
      <c r="F152" s="62">
        <v>5355.0</v>
      </c>
      <c r="G152" s="63">
        <f t="shared" si="22"/>
        <v>0.04403948368</v>
      </c>
      <c r="H152" s="64">
        <f t="shared" si="23"/>
        <v>0.3321457859</v>
      </c>
      <c r="I152" s="63">
        <f t="shared" si="24"/>
        <v>0.04161679904</v>
      </c>
      <c r="J152" s="65">
        <f t="shared" si="25"/>
        <v>52.3123164</v>
      </c>
      <c r="K152" s="65">
        <f t="shared" si="5"/>
        <v>6.349284619</v>
      </c>
      <c r="L152" s="52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</row>
    <row r="153" ht="14.25" customHeight="1">
      <c r="A153" s="6">
        <v>31206.0</v>
      </c>
      <c r="B153" s="7" t="s">
        <v>17</v>
      </c>
      <c r="C153" s="7" t="s">
        <v>200</v>
      </c>
      <c r="D153" s="7" t="s">
        <v>206</v>
      </c>
      <c r="E153" s="61">
        <v>37.0</v>
      </c>
      <c r="F153" s="62">
        <v>3718.0</v>
      </c>
      <c r="G153" s="63">
        <f t="shared" si="22"/>
        <v>0.02809415338</v>
      </c>
      <c r="H153" s="64">
        <f t="shared" si="23"/>
        <v>0.2118861048</v>
      </c>
      <c r="I153" s="63">
        <f t="shared" si="24"/>
        <v>0.02889472621</v>
      </c>
      <c r="J153" s="65">
        <f t="shared" si="25"/>
        <v>36.32067084</v>
      </c>
      <c r="K153" s="65">
        <f t="shared" si="5"/>
        <v>5.833760772</v>
      </c>
      <c r="L153" s="52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</row>
    <row r="154" ht="14.25" customHeight="1">
      <c r="A154" s="6">
        <v>31301.0</v>
      </c>
      <c r="B154" s="7" t="s">
        <v>17</v>
      </c>
      <c r="C154" s="7" t="s">
        <v>207</v>
      </c>
      <c r="D154" s="7" t="s">
        <v>207</v>
      </c>
      <c r="E154" s="61">
        <v>13.0</v>
      </c>
      <c r="F154" s="62">
        <v>1387.0</v>
      </c>
      <c r="G154" s="63">
        <f t="shared" si="22"/>
        <v>0.009870918755</v>
      </c>
      <c r="H154" s="64">
        <f t="shared" si="23"/>
        <v>0.07444646925</v>
      </c>
      <c r="I154" s="63">
        <f t="shared" si="24"/>
        <v>0.01077917839</v>
      </c>
      <c r="J154" s="65">
        <f t="shared" si="25"/>
        <v>13.54942723</v>
      </c>
      <c r="K154" s="65">
        <f t="shared" si="5"/>
        <v>5.494436625</v>
      </c>
      <c r="L154" s="52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</row>
    <row r="155" ht="14.25" customHeight="1">
      <c r="A155" s="6">
        <v>31302.0</v>
      </c>
      <c r="B155" s="7" t="s">
        <v>17</v>
      </c>
      <c r="C155" s="7" t="s">
        <v>207</v>
      </c>
      <c r="D155" s="7" t="s">
        <v>208</v>
      </c>
      <c r="E155" s="61">
        <v>8.0</v>
      </c>
      <c r="F155" s="62">
        <v>345.0</v>
      </c>
      <c r="G155" s="63">
        <f t="shared" si="22"/>
        <v>0.006074411541</v>
      </c>
      <c r="H155" s="64">
        <f t="shared" si="23"/>
        <v>0.04581321185</v>
      </c>
      <c r="I155" s="63">
        <f t="shared" si="24"/>
        <v>0.002681194336</v>
      </c>
      <c r="J155" s="65">
        <f t="shared" si="25"/>
        <v>3.37026128</v>
      </c>
      <c r="K155" s="65">
        <f t="shared" si="5"/>
        <v>13.59337097</v>
      </c>
      <c r="L155" s="52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</row>
    <row r="156" ht="14.25" customHeight="1">
      <c r="A156" s="6">
        <v>31303.0</v>
      </c>
      <c r="B156" s="7" t="s">
        <v>17</v>
      </c>
      <c r="C156" s="7" t="s">
        <v>207</v>
      </c>
      <c r="D156" s="7" t="s">
        <v>209</v>
      </c>
      <c r="E156" s="61">
        <v>0.0</v>
      </c>
      <c r="F156" s="62">
        <v>206.0</v>
      </c>
      <c r="G156" s="63">
        <f t="shared" si="22"/>
        <v>0</v>
      </c>
      <c r="H156" s="64">
        <f t="shared" si="23"/>
        <v>0</v>
      </c>
      <c r="I156" s="63">
        <f t="shared" si="24"/>
        <v>0.001600945024</v>
      </c>
      <c r="J156" s="65">
        <f t="shared" si="25"/>
        <v>2.012387895</v>
      </c>
      <c r="K156" s="65">
        <f t="shared" si="5"/>
        <v>0</v>
      </c>
      <c r="L156" s="52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</row>
    <row r="157" ht="14.25" customHeight="1">
      <c r="A157" s="25">
        <v>31304.0</v>
      </c>
      <c r="B157" s="7" t="s">
        <v>17</v>
      </c>
      <c r="C157" s="7" t="s">
        <v>207</v>
      </c>
      <c r="D157" s="7" t="s">
        <v>210</v>
      </c>
      <c r="E157" s="61">
        <v>18.0</v>
      </c>
      <c r="F157" s="62">
        <v>525.0</v>
      </c>
      <c r="G157" s="63">
        <f t="shared" si="22"/>
        <v>0.01366742597</v>
      </c>
      <c r="H157" s="64">
        <f t="shared" si="23"/>
        <v>0.1030797267</v>
      </c>
      <c r="I157" s="63">
        <f t="shared" si="24"/>
        <v>0.004080078338</v>
      </c>
      <c r="J157" s="65">
        <f t="shared" si="25"/>
        <v>5.12865847</v>
      </c>
      <c r="K157" s="65">
        <f t="shared" si="5"/>
        <v>20.09876993</v>
      </c>
      <c r="L157" s="52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</row>
    <row r="158" ht="14.25" customHeight="1">
      <c r="A158" s="6">
        <v>31401.0</v>
      </c>
      <c r="B158" s="7" t="s">
        <v>17</v>
      </c>
      <c r="C158" s="7" t="s">
        <v>211</v>
      </c>
      <c r="D158" s="7" t="s">
        <v>211</v>
      </c>
      <c r="E158" s="61">
        <v>22.0</v>
      </c>
      <c r="F158" s="62">
        <v>2153.0</v>
      </c>
      <c r="G158" s="63">
        <f t="shared" si="22"/>
        <v>0.01670463174</v>
      </c>
      <c r="H158" s="64">
        <f t="shared" si="23"/>
        <v>0.1259863326</v>
      </c>
      <c r="I158" s="63">
        <f t="shared" si="24"/>
        <v>0.01673220697</v>
      </c>
      <c r="J158" s="65">
        <f t="shared" si="25"/>
        <v>21.03238416</v>
      </c>
      <c r="K158" s="65">
        <f t="shared" si="5"/>
        <v>5.9901118</v>
      </c>
      <c r="L158" s="52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</row>
    <row r="159" ht="14.25" customHeight="1">
      <c r="A159" s="6">
        <v>31402.0</v>
      </c>
      <c r="B159" s="7" t="s">
        <v>17</v>
      </c>
      <c r="C159" s="7" t="s">
        <v>211</v>
      </c>
      <c r="D159" s="7" t="s">
        <v>212</v>
      </c>
      <c r="E159" s="61">
        <v>5.0</v>
      </c>
      <c r="F159" s="62">
        <v>546.0</v>
      </c>
      <c r="G159" s="63">
        <f t="shared" si="22"/>
        <v>0.003796507213</v>
      </c>
      <c r="H159" s="64">
        <f t="shared" si="23"/>
        <v>0.0286332574</v>
      </c>
      <c r="I159" s="63">
        <f t="shared" si="24"/>
        <v>0.004243281471</v>
      </c>
      <c r="J159" s="65">
        <f t="shared" si="25"/>
        <v>5.333804809</v>
      </c>
      <c r="K159" s="65">
        <f t="shared" si="5"/>
        <v>5.3682612</v>
      </c>
      <c r="L159" s="52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</row>
    <row r="160" ht="14.25" customHeight="1">
      <c r="A160" s="6">
        <v>31403.0</v>
      </c>
      <c r="B160" s="7" t="s">
        <v>17</v>
      </c>
      <c r="C160" s="7" t="s">
        <v>211</v>
      </c>
      <c r="D160" s="7" t="s">
        <v>213</v>
      </c>
      <c r="E160" s="61">
        <v>9.0</v>
      </c>
      <c r="F160" s="62">
        <v>792.0</v>
      </c>
      <c r="G160" s="63">
        <f t="shared" si="22"/>
        <v>0.006833712984</v>
      </c>
      <c r="H160" s="64">
        <f t="shared" si="23"/>
        <v>0.05153986333</v>
      </c>
      <c r="I160" s="63">
        <f t="shared" si="24"/>
        <v>0.006155089606</v>
      </c>
      <c r="J160" s="65">
        <f t="shared" si="25"/>
        <v>7.736947635</v>
      </c>
      <c r="K160" s="65">
        <f t="shared" si="5"/>
        <v>6.661524125</v>
      </c>
      <c r="L160" s="52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</row>
    <row r="161" ht="14.25" customHeight="1">
      <c r="A161" s="6">
        <v>31404.0</v>
      </c>
      <c r="B161" s="7" t="s">
        <v>17</v>
      </c>
      <c r="C161" s="7" t="s">
        <v>211</v>
      </c>
      <c r="D161" s="7" t="s">
        <v>214</v>
      </c>
      <c r="E161" s="61">
        <v>1.0</v>
      </c>
      <c r="F161" s="62">
        <v>69.0</v>
      </c>
      <c r="G161" s="63">
        <f t="shared" si="22"/>
        <v>0.0007593014427</v>
      </c>
      <c r="H161" s="64">
        <f t="shared" si="23"/>
        <v>0.005726651481</v>
      </c>
      <c r="I161" s="63">
        <f t="shared" si="24"/>
        <v>0.0005362388672</v>
      </c>
      <c r="J161" s="65">
        <f t="shared" si="25"/>
        <v>0.6740522561</v>
      </c>
      <c r="K161" s="65">
        <f t="shared" si="5"/>
        <v>8.495856855</v>
      </c>
      <c r="L161" s="52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</row>
    <row r="162" ht="14.25" customHeight="1">
      <c r="A162" s="6">
        <v>31405.0</v>
      </c>
      <c r="B162" s="7" t="s">
        <v>17</v>
      </c>
      <c r="C162" s="7" t="s">
        <v>211</v>
      </c>
      <c r="D162" s="7" t="s">
        <v>215</v>
      </c>
      <c r="E162" s="61">
        <v>0.0</v>
      </c>
      <c r="F162" s="62">
        <v>187.0</v>
      </c>
      <c r="G162" s="63">
        <f t="shared" si="22"/>
        <v>0</v>
      </c>
      <c r="H162" s="64">
        <f t="shared" si="23"/>
        <v>0</v>
      </c>
      <c r="I162" s="63">
        <f t="shared" si="24"/>
        <v>0.001453285046</v>
      </c>
      <c r="J162" s="65">
        <f t="shared" si="25"/>
        <v>1.826779303</v>
      </c>
      <c r="K162" s="65">
        <f t="shared" si="5"/>
        <v>0</v>
      </c>
      <c r="L162" s="52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</row>
    <row r="163" ht="14.25" customHeight="1">
      <c r="A163" s="6">
        <v>31501.0</v>
      </c>
      <c r="B163" s="7" t="s">
        <v>17</v>
      </c>
      <c r="C163" s="7" t="s">
        <v>216</v>
      </c>
      <c r="D163" s="7" t="s">
        <v>216</v>
      </c>
      <c r="E163" s="61">
        <v>24.0</v>
      </c>
      <c r="F163" s="62">
        <v>456.0</v>
      </c>
      <c r="G163" s="63">
        <f t="shared" si="22"/>
        <v>0.01822323462</v>
      </c>
      <c r="H163" s="64">
        <f t="shared" si="23"/>
        <v>0.1374396355</v>
      </c>
      <c r="I163" s="63">
        <f t="shared" si="24"/>
        <v>0.00354383947</v>
      </c>
      <c r="J163" s="65">
        <f t="shared" si="25"/>
        <v>4.454606214</v>
      </c>
      <c r="K163" s="65">
        <f t="shared" si="5"/>
        <v>30.8533749</v>
      </c>
      <c r="L163" s="52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</row>
    <row r="164" ht="14.25" customHeight="1">
      <c r="A164" s="6">
        <v>31601.0</v>
      </c>
      <c r="B164" s="7" t="s">
        <v>17</v>
      </c>
      <c r="C164" s="7" t="s">
        <v>217</v>
      </c>
      <c r="D164" s="7" t="s">
        <v>217</v>
      </c>
      <c r="E164" s="61">
        <v>13.0</v>
      </c>
      <c r="F164" s="62">
        <v>1164.0</v>
      </c>
      <c r="G164" s="63">
        <f t="shared" si="22"/>
        <v>0.009870918755</v>
      </c>
      <c r="H164" s="64">
        <f t="shared" si="23"/>
        <v>0.07444646925</v>
      </c>
      <c r="I164" s="63">
        <f t="shared" si="24"/>
        <v>0.009046116543</v>
      </c>
      <c r="J164" s="65">
        <f t="shared" si="25"/>
        <v>11.37096849</v>
      </c>
      <c r="K164" s="65">
        <f t="shared" si="5"/>
        <v>6.547064948</v>
      </c>
      <c r="L164" s="52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</row>
    <row r="165" ht="14.25" customHeight="1">
      <c r="A165" s="6">
        <v>31602.0</v>
      </c>
      <c r="B165" s="7" t="s">
        <v>17</v>
      </c>
      <c r="C165" s="7" t="s">
        <v>217</v>
      </c>
      <c r="D165" s="7" t="s">
        <v>218</v>
      </c>
      <c r="E165" s="61">
        <v>24.0</v>
      </c>
      <c r="F165" s="62">
        <v>2091.0</v>
      </c>
      <c r="G165" s="63">
        <f t="shared" si="22"/>
        <v>0.01822323462</v>
      </c>
      <c r="H165" s="64">
        <f t="shared" si="23"/>
        <v>0.1374396355</v>
      </c>
      <c r="I165" s="63">
        <f t="shared" si="24"/>
        <v>0.01625036915</v>
      </c>
      <c r="J165" s="65">
        <f t="shared" si="25"/>
        <v>20.42671402</v>
      </c>
      <c r="K165" s="65">
        <f t="shared" si="5"/>
        <v>6.728426089</v>
      </c>
      <c r="L165" s="52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</row>
    <row r="166" ht="14.25" customHeight="1">
      <c r="A166" s="6">
        <v>40101.0</v>
      </c>
      <c r="B166" s="7" t="s">
        <v>20</v>
      </c>
      <c r="C166" s="7" t="s">
        <v>165</v>
      </c>
      <c r="D166" s="7" t="s">
        <v>20</v>
      </c>
      <c r="E166" s="61">
        <v>246.0</v>
      </c>
      <c r="F166" s="62">
        <v>19429.0</v>
      </c>
      <c r="G166" s="63">
        <f t="shared" ref="G166:G200" si="26">E166/$R$5</f>
        <v>0.5406593407</v>
      </c>
      <c r="H166" s="64">
        <f t="shared" ref="H166:H200" si="27">$S$20*G166</f>
        <v>4.562624176</v>
      </c>
      <c r="I166" s="63">
        <f t="shared" ref="I166:I200" si="28">F166/$S$5</f>
        <v>0.5547338968</v>
      </c>
      <c r="J166" s="65">
        <f t="shared" ref="J166:J200" si="29">I166*$U$20</f>
        <v>161.427564</v>
      </c>
      <c r="K166" s="65">
        <f t="shared" si="5"/>
        <v>28.26421996</v>
      </c>
      <c r="L166" s="52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</row>
    <row r="167" ht="14.25" customHeight="1">
      <c r="A167" s="6">
        <v>40102.0</v>
      </c>
      <c r="B167" s="7" t="s">
        <v>20</v>
      </c>
      <c r="C167" s="7" t="s">
        <v>165</v>
      </c>
      <c r="D167" s="7" t="s">
        <v>219</v>
      </c>
      <c r="E167" s="61">
        <v>28.0</v>
      </c>
      <c r="F167" s="62">
        <v>1427.0</v>
      </c>
      <c r="G167" s="63">
        <f t="shared" si="26"/>
        <v>0.06153846154</v>
      </c>
      <c r="H167" s="64">
        <f t="shared" si="27"/>
        <v>0.5193230769</v>
      </c>
      <c r="I167" s="63">
        <f t="shared" si="28"/>
        <v>0.04074349018</v>
      </c>
      <c r="J167" s="65">
        <f t="shared" si="29"/>
        <v>11.85635564</v>
      </c>
      <c r="K167" s="65">
        <f t="shared" si="5"/>
        <v>43.80123983</v>
      </c>
      <c r="L167" s="52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</row>
    <row r="168" ht="14.25" customHeight="1">
      <c r="A168" s="6">
        <v>40103.0</v>
      </c>
      <c r="B168" s="7" t="s">
        <v>20</v>
      </c>
      <c r="C168" s="7" t="s">
        <v>165</v>
      </c>
      <c r="D168" s="7" t="s">
        <v>220</v>
      </c>
      <c r="E168" s="61">
        <v>3.0</v>
      </c>
      <c r="F168" s="62">
        <v>395.0</v>
      </c>
      <c r="G168" s="63">
        <f t="shared" si="26"/>
        <v>0.006593406593</v>
      </c>
      <c r="H168" s="64">
        <f t="shared" si="27"/>
        <v>0.05564175824</v>
      </c>
      <c r="I168" s="63">
        <f t="shared" si="28"/>
        <v>0.01127798081</v>
      </c>
      <c r="J168" s="65">
        <f t="shared" si="29"/>
        <v>3.281892417</v>
      </c>
      <c r="K168" s="65">
        <f t="shared" si="5"/>
        <v>16.95416887</v>
      </c>
      <c r="L168" s="52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</row>
    <row r="169" ht="14.25" customHeight="1">
      <c r="A169" s="6">
        <v>40104.0</v>
      </c>
      <c r="B169" s="7" t="s">
        <v>20</v>
      </c>
      <c r="C169" s="7" t="s">
        <v>165</v>
      </c>
      <c r="D169" s="7" t="s">
        <v>221</v>
      </c>
      <c r="E169" s="61">
        <v>11.0</v>
      </c>
      <c r="F169" s="62">
        <v>1046.0</v>
      </c>
      <c r="G169" s="63">
        <f t="shared" si="26"/>
        <v>0.02417582418</v>
      </c>
      <c r="H169" s="64">
        <f t="shared" si="27"/>
        <v>0.2040197802</v>
      </c>
      <c r="I169" s="63">
        <f t="shared" si="28"/>
        <v>0.02986523527</v>
      </c>
      <c r="J169" s="65">
        <f t="shared" si="29"/>
        <v>8.690783463</v>
      </c>
      <c r="K169" s="65">
        <f t="shared" si="5"/>
        <v>23.47541865</v>
      </c>
      <c r="L169" s="52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</row>
    <row r="170" ht="14.25" customHeight="1">
      <c r="A170" s="6">
        <v>40201.0</v>
      </c>
      <c r="B170" s="7" t="s">
        <v>20</v>
      </c>
      <c r="C170" s="7" t="s">
        <v>222</v>
      </c>
      <c r="D170" s="7" t="s">
        <v>223</v>
      </c>
      <c r="E170" s="61">
        <v>31.0</v>
      </c>
      <c r="F170" s="62">
        <v>2387.0</v>
      </c>
      <c r="G170" s="63">
        <f t="shared" si="26"/>
        <v>0.06813186813</v>
      </c>
      <c r="H170" s="64">
        <f t="shared" si="27"/>
        <v>0.5749648352</v>
      </c>
      <c r="I170" s="63">
        <f t="shared" si="28"/>
        <v>0.06815326633</v>
      </c>
      <c r="J170" s="65">
        <f t="shared" si="29"/>
        <v>19.8326005</v>
      </c>
      <c r="K170" s="65">
        <f t="shared" si="5"/>
        <v>28.99089482</v>
      </c>
      <c r="L170" s="52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</row>
    <row r="171" ht="14.25" customHeight="1">
      <c r="A171" s="6">
        <v>40202.0</v>
      </c>
      <c r="B171" s="7" t="s">
        <v>20</v>
      </c>
      <c r="C171" s="7" t="s">
        <v>222</v>
      </c>
      <c r="D171" s="7" t="s">
        <v>224</v>
      </c>
      <c r="E171" s="61">
        <v>5.0</v>
      </c>
      <c r="F171" s="62">
        <v>239.0</v>
      </c>
      <c r="G171" s="63">
        <f t="shared" si="26"/>
        <v>0.01098901099</v>
      </c>
      <c r="H171" s="64">
        <f t="shared" si="27"/>
        <v>0.09273626374</v>
      </c>
      <c r="I171" s="63">
        <f t="shared" si="28"/>
        <v>0.006823892188</v>
      </c>
      <c r="J171" s="65">
        <f t="shared" si="29"/>
        <v>1.985752627</v>
      </c>
      <c r="K171" s="65">
        <f t="shared" si="5"/>
        <v>46.70081383</v>
      </c>
      <c r="L171" s="52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</row>
    <row r="172" ht="14.25" customHeight="1">
      <c r="A172" s="6">
        <v>40301.0</v>
      </c>
      <c r="B172" s="7" t="s">
        <v>20</v>
      </c>
      <c r="C172" s="7" t="s">
        <v>225</v>
      </c>
      <c r="D172" s="7" t="s">
        <v>226</v>
      </c>
      <c r="E172" s="61">
        <v>10.0</v>
      </c>
      <c r="F172" s="62">
        <v>854.0</v>
      </c>
      <c r="G172" s="63">
        <f t="shared" si="26"/>
        <v>0.02197802198</v>
      </c>
      <c r="H172" s="64">
        <f t="shared" si="27"/>
        <v>0.1854725275</v>
      </c>
      <c r="I172" s="63">
        <f t="shared" si="28"/>
        <v>0.02438328004</v>
      </c>
      <c r="J172" s="65">
        <f t="shared" si="29"/>
        <v>7.095534491</v>
      </c>
      <c r="K172" s="65">
        <f t="shared" si="5"/>
        <v>26.13933139</v>
      </c>
      <c r="L172" s="52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</row>
    <row r="173" ht="14.25" customHeight="1">
      <c r="A173" s="6">
        <v>40302.0</v>
      </c>
      <c r="B173" s="7" t="s">
        <v>20</v>
      </c>
      <c r="C173" s="7" t="s">
        <v>225</v>
      </c>
      <c r="D173" s="7" t="s">
        <v>227</v>
      </c>
      <c r="E173" s="61">
        <v>1.0</v>
      </c>
      <c r="F173" s="62">
        <v>122.0</v>
      </c>
      <c r="G173" s="63">
        <f t="shared" si="26"/>
        <v>0.002197802198</v>
      </c>
      <c r="H173" s="64">
        <f t="shared" si="27"/>
        <v>0.01854725275</v>
      </c>
      <c r="I173" s="63">
        <f t="shared" si="28"/>
        <v>0.00348332572</v>
      </c>
      <c r="J173" s="65">
        <f t="shared" si="29"/>
        <v>1.013647784</v>
      </c>
      <c r="K173" s="65">
        <f t="shared" si="5"/>
        <v>18.29753198</v>
      </c>
      <c r="L173" s="52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</row>
    <row r="174" ht="14.25" customHeight="1">
      <c r="A174" s="6">
        <v>40401.0</v>
      </c>
      <c r="B174" s="7" t="s">
        <v>20</v>
      </c>
      <c r="C174" s="7" t="s">
        <v>228</v>
      </c>
      <c r="D174" s="7" t="s">
        <v>229</v>
      </c>
      <c r="E174" s="61">
        <v>9.0</v>
      </c>
      <c r="F174" s="62">
        <v>351.0</v>
      </c>
      <c r="G174" s="63">
        <f t="shared" si="26"/>
        <v>0.01978021978</v>
      </c>
      <c r="H174" s="64">
        <f t="shared" si="27"/>
        <v>0.1669252747</v>
      </c>
      <c r="I174" s="63">
        <f t="shared" si="28"/>
        <v>0.01002169941</v>
      </c>
      <c r="J174" s="65">
        <f t="shared" si="29"/>
        <v>2.916314527</v>
      </c>
      <c r="K174" s="65">
        <f t="shared" si="5"/>
        <v>57.23843336</v>
      </c>
      <c r="L174" s="52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</row>
    <row r="175" ht="14.25" customHeight="1">
      <c r="A175" s="6">
        <v>40402.0</v>
      </c>
      <c r="B175" s="7" t="s">
        <v>20</v>
      </c>
      <c r="C175" s="7" t="s">
        <v>228</v>
      </c>
      <c r="D175" s="7" t="s">
        <v>230</v>
      </c>
      <c r="E175" s="61">
        <v>2.0</v>
      </c>
      <c r="F175" s="62">
        <v>305.0</v>
      </c>
      <c r="G175" s="63">
        <f t="shared" si="26"/>
        <v>0.004395604396</v>
      </c>
      <c r="H175" s="64">
        <f t="shared" si="27"/>
        <v>0.03709450549</v>
      </c>
      <c r="I175" s="63">
        <f t="shared" si="28"/>
        <v>0.008708314299</v>
      </c>
      <c r="J175" s="65">
        <f t="shared" si="29"/>
        <v>2.534119461</v>
      </c>
      <c r="K175" s="65">
        <f t="shared" si="5"/>
        <v>14.63802558</v>
      </c>
      <c r="L175" s="52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</row>
    <row r="176" ht="14.25" customHeight="1">
      <c r="A176" s="6">
        <v>40501.0</v>
      </c>
      <c r="B176" s="7" t="s">
        <v>20</v>
      </c>
      <c r="C176" s="7" t="s">
        <v>231</v>
      </c>
      <c r="D176" s="7" t="s">
        <v>232</v>
      </c>
      <c r="E176" s="61">
        <v>1.0</v>
      </c>
      <c r="F176" s="62">
        <v>224.0</v>
      </c>
      <c r="G176" s="63">
        <f t="shared" si="26"/>
        <v>0.002197802198</v>
      </c>
      <c r="H176" s="64">
        <f t="shared" si="27"/>
        <v>0.01854725275</v>
      </c>
      <c r="I176" s="63">
        <f t="shared" si="28"/>
        <v>0.006395614436</v>
      </c>
      <c r="J176" s="65">
        <f t="shared" si="29"/>
        <v>1.861123801</v>
      </c>
      <c r="K176" s="65">
        <f t="shared" si="5"/>
        <v>9.965620094</v>
      </c>
      <c r="L176" s="52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</row>
    <row r="177" ht="14.25" customHeight="1">
      <c r="A177" s="6">
        <v>40502.0</v>
      </c>
      <c r="B177" s="7" t="s">
        <v>20</v>
      </c>
      <c r="C177" s="7" t="s">
        <v>231</v>
      </c>
      <c r="D177" s="7" t="s">
        <v>233</v>
      </c>
      <c r="E177" s="61">
        <v>1.0</v>
      </c>
      <c r="F177" s="62">
        <v>218.0</v>
      </c>
      <c r="G177" s="63">
        <f t="shared" si="26"/>
        <v>0.002197802198</v>
      </c>
      <c r="H177" s="64">
        <f t="shared" si="27"/>
        <v>0.01854725275</v>
      </c>
      <c r="I177" s="63">
        <f t="shared" si="28"/>
        <v>0.006224303335</v>
      </c>
      <c r="J177" s="65">
        <f t="shared" si="29"/>
        <v>1.81127227</v>
      </c>
      <c r="K177" s="65">
        <f t="shared" si="5"/>
        <v>10.23990322</v>
      </c>
      <c r="L177" s="52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</row>
    <row r="178" ht="14.25" customHeight="1">
      <c r="A178" s="6">
        <v>40503.0</v>
      </c>
      <c r="B178" s="7" t="s">
        <v>20</v>
      </c>
      <c r="C178" s="7" t="s">
        <v>231</v>
      </c>
      <c r="D178" s="7" t="s">
        <v>234</v>
      </c>
      <c r="E178" s="61">
        <v>0.0</v>
      </c>
      <c r="F178" s="62">
        <v>81.0</v>
      </c>
      <c r="G178" s="63">
        <f t="shared" si="26"/>
        <v>0</v>
      </c>
      <c r="H178" s="64">
        <f t="shared" si="27"/>
        <v>0</v>
      </c>
      <c r="I178" s="63">
        <f t="shared" si="28"/>
        <v>0.002312699863</v>
      </c>
      <c r="J178" s="65">
        <f t="shared" si="29"/>
        <v>0.6729956601</v>
      </c>
      <c r="K178" s="65">
        <f t="shared" si="5"/>
        <v>0</v>
      </c>
      <c r="L178" s="52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</row>
    <row r="179" ht="14.25" customHeight="1">
      <c r="A179" s="6">
        <v>40504.0</v>
      </c>
      <c r="B179" s="7" t="s">
        <v>20</v>
      </c>
      <c r="C179" s="7" t="s">
        <v>231</v>
      </c>
      <c r="D179" s="7" t="s">
        <v>235</v>
      </c>
      <c r="E179" s="61">
        <v>0.0</v>
      </c>
      <c r="F179" s="62">
        <v>49.0</v>
      </c>
      <c r="G179" s="63">
        <f t="shared" si="26"/>
        <v>0</v>
      </c>
      <c r="H179" s="64">
        <f t="shared" si="27"/>
        <v>0</v>
      </c>
      <c r="I179" s="63">
        <f t="shared" si="28"/>
        <v>0.001399040658</v>
      </c>
      <c r="J179" s="65">
        <f t="shared" si="29"/>
        <v>0.4071208314</v>
      </c>
      <c r="K179" s="65">
        <f t="shared" si="5"/>
        <v>0</v>
      </c>
      <c r="L179" s="52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</row>
    <row r="180" ht="14.25" customHeight="1">
      <c r="A180" s="6">
        <v>40505.0</v>
      </c>
      <c r="B180" s="7" t="s">
        <v>20</v>
      </c>
      <c r="C180" s="7" t="s">
        <v>231</v>
      </c>
      <c r="D180" s="7" t="s">
        <v>236</v>
      </c>
      <c r="E180" s="61">
        <v>2.0</v>
      </c>
      <c r="F180" s="62">
        <v>215.0</v>
      </c>
      <c r="G180" s="63">
        <f t="shared" si="26"/>
        <v>0.004395604396</v>
      </c>
      <c r="H180" s="64">
        <f t="shared" si="27"/>
        <v>0.03709450549</v>
      </c>
      <c r="I180" s="63">
        <f t="shared" si="28"/>
        <v>0.006138647784</v>
      </c>
      <c r="J180" s="65">
        <f t="shared" si="29"/>
        <v>1.786346505</v>
      </c>
      <c r="K180" s="65">
        <f t="shared" si="5"/>
        <v>20.76557117</v>
      </c>
      <c r="L180" s="52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</row>
    <row r="181" ht="14.25" customHeight="1">
      <c r="A181" s="6">
        <v>40601.0</v>
      </c>
      <c r="B181" s="7" t="s">
        <v>20</v>
      </c>
      <c r="C181" s="7" t="s">
        <v>237</v>
      </c>
      <c r="D181" s="7" t="s">
        <v>237</v>
      </c>
      <c r="E181" s="61">
        <v>8.0</v>
      </c>
      <c r="F181" s="62">
        <v>589.0</v>
      </c>
      <c r="G181" s="63">
        <f t="shared" si="26"/>
        <v>0.01758241758</v>
      </c>
      <c r="H181" s="64">
        <f t="shared" si="27"/>
        <v>0.148378022</v>
      </c>
      <c r="I181" s="63">
        <f t="shared" si="28"/>
        <v>0.01681703974</v>
      </c>
      <c r="J181" s="65">
        <f t="shared" si="29"/>
        <v>4.893758566</v>
      </c>
      <c r="K181" s="65">
        <f t="shared" si="5"/>
        <v>30.31984925</v>
      </c>
      <c r="L181" s="52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</row>
    <row r="182" ht="14.25" customHeight="1">
      <c r="A182" s="6">
        <v>40602.0</v>
      </c>
      <c r="B182" s="7" t="s">
        <v>20</v>
      </c>
      <c r="C182" s="7" t="s">
        <v>237</v>
      </c>
      <c r="D182" s="7" t="s">
        <v>238</v>
      </c>
      <c r="E182" s="61">
        <v>1.0</v>
      </c>
      <c r="F182" s="62">
        <v>210.0</v>
      </c>
      <c r="G182" s="63">
        <f t="shared" si="26"/>
        <v>0.002197802198</v>
      </c>
      <c r="H182" s="64">
        <f t="shared" si="27"/>
        <v>0.01854725275</v>
      </c>
      <c r="I182" s="63">
        <f t="shared" si="28"/>
        <v>0.005995888534</v>
      </c>
      <c r="J182" s="65">
        <f t="shared" si="29"/>
        <v>1.744803563</v>
      </c>
      <c r="K182" s="65">
        <f t="shared" si="5"/>
        <v>10.62999477</v>
      </c>
      <c r="L182" s="52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</row>
    <row r="183" ht="14.25" customHeight="1">
      <c r="A183" s="6">
        <v>40603.0</v>
      </c>
      <c r="B183" s="7" t="s">
        <v>20</v>
      </c>
      <c r="C183" s="7" t="s">
        <v>237</v>
      </c>
      <c r="D183" s="7" t="s">
        <v>239</v>
      </c>
      <c r="E183" s="61">
        <v>1.0</v>
      </c>
      <c r="F183" s="62">
        <v>225.0</v>
      </c>
      <c r="G183" s="63">
        <f t="shared" si="26"/>
        <v>0.002197802198</v>
      </c>
      <c r="H183" s="64">
        <f t="shared" si="27"/>
        <v>0.01854725275</v>
      </c>
      <c r="I183" s="63">
        <f t="shared" si="28"/>
        <v>0.006424166286</v>
      </c>
      <c r="J183" s="65">
        <f t="shared" si="29"/>
        <v>1.869432389</v>
      </c>
      <c r="K183" s="65">
        <f t="shared" si="5"/>
        <v>9.921328449</v>
      </c>
      <c r="L183" s="52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</row>
    <row r="184" ht="14.25" customHeight="1">
      <c r="A184" s="6">
        <v>40701.0</v>
      </c>
      <c r="B184" s="7" t="s">
        <v>20</v>
      </c>
      <c r="C184" s="7" t="s">
        <v>240</v>
      </c>
      <c r="D184" s="7" t="s">
        <v>241</v>
      </c>
      <c r="E184" s="61">
        <v>21.0</v>
      </c>
      <c r="F184" s="62">
        <v>1185.0</v>
      </c>
      <c r="G184" s="63">
        <f t="shared" si="26"/>
        <v>0.04615384615</v>
      </c>
      <c r="H184" s="64">
        <f t="shared" si="27"/>
        <v>0.3894923077</v>
      </c>
      <c r="I184" s="63">
        <f t="shared" si="28"/>
        <v>0.03383394244</v>
      </c>
      <c r="J184" s="65">
        <f t="shared" si="29"/>
        <v>9.84567725</v>
      </c>
      <c r="K184" s="65">
        <f t="shared" si="5"/>
        <v>39.55972736</v>
      </c>
      <c r="L184" s="52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</row>
    <row r="185" ht="14.25" customHeight="1">
      <c r="A185" s="6">
        <v>40702.0</v>
      </c>
      <c r="B185" s="7" t="s">
        <v>20</v>
      </c>
      <c r="C185" s="7" t="s">
        <v>240</v>
      </c>
      <c r="D185" s="7" t="s">
        <v>242</v>
      </c>
      <c r="E185" s="61">
        <v>6.0</v>
      </c>
      <c r="F185" s="62">
        <v>357.0</v>
      </c>
      <c r="G185" s="63">
        <f t="shared" si="26"/>
        <v>0.01318681319</v>
      </c>
      <c r="H185" s="64">
        <f t="shared" si="27"/>
        <v>0.1112835165</v>
      </c>
      <c r="I185" s="63">
        <f t="shared" si="28"/>
        <v>0.01019301051</v>
      </c>
      <c r="J185" s="65">
        <f t="shared" si="29"/>
        <v>2.966166058</v>
      </c>
      <c r="K185" s="65">
        <f t="shared" si="5"/>
        <v>37.51762859</v>
      </c>
      <c r="L185" s="52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</row>
    <row r="186" ht="14.25" customHeight="1">
      <c r="A186" s="6">
        <v>40801.0</v>
      </c>
      <c r="B186" s="7" t="s">
        <v>20</v>
      </c>
      <c r="C186" s="7" t="s">
        <v>243</v>
      </c>
      <c r="D186" s="7" t="s">
        <v>244</v>
      </c>
      <c r="E186" s="61">
        <v>14.0</v>
      </c>
      <c r="F186" s="62">
        <v>923.0</v>
      </c>
      <c r="G186" s="63">
        <f t="shared" si="26"/>
        <v>0.03076923077</v>
      </c>
      <c r="H186" s="64">
        <f t="shared" si="27"/>
        <v>0.2596615385</v>
      </c>
      <c r="I186" s="63">
        <f t="shared" si="28"/>
        <v>0.0263533577</v>
      </c>
      <c r="J186" s="65">
        <f t="shared" si="29"/>
        <v>7.66882709</v>
      </c>
      <c r="K186" s="65">
        <f t="shared" si="5"/>
        <v>33.85935495</v>
      </c>
      <c r="L186" s="52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</row>
    <row r="187" ht="14.25" customHeight="1">
      <c r="A187" s="6">
        <v>40802.0</v>
      </c>
      <c r="B187" s="7" t="s">
        <v>20</v>
      </c>
      <c r="C187" s="7" t="s">
        <v>243</v>
      </c>
      <c r="D187" s="7" t="s">
        <v>245</v>
      </c>
      <c r="E187" s="61">
        <v>1.0</v>
      </c>
      <c r="F187" s="62">
        <v>183.0</v>
      </c>
      <c r="G187" s="63">
        <f t="shared" si="26"/>
        <v>0.002197802198</v>
      </c>
      <c r="H187" s="64">
        <f t="shared" si="27"/>
        <v>0.01854725275</v>
      </c>
      <c r="I187" s="63">
        <f t="shared" si="28"/>
        <v>0.005224988579</v>
      </c>
      <c r="J187" s="65">
        <f t="shared" si="29"/>
        <v>1.520471677</v>
      </c>
      <c r="K187" s="65">
        <f t="shared" si="5"/>
        <v>12.19835465</v>
      </c>
      <c r="L187" s="52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</row>
    <row r="188" ht="14.25" customHeight="1">
      <c r="A188" s="6">
        <v>40901.0</v>
      </c>
      <c r="B188" s="7" t="s">
        <v>20</v>
      </c>
      <c r="C188" s="7" t="s">
        <v>246</v>
      </c>
      <c r="D188" s="7" t="s">
        <v>246</v>
      </c>
      <c r="E188" s="61">
        <v>8.0</v>
      </c>
      <c r="F188" s="62">
        <v>1040.0</v>
      </c>
      <c r="G188" s="63">
        <f t="shared" si="26"/>
        <v>0.01758241758</v>
      </c>
      <c r="H188" s="64">
        <f t="shared" si="27"/>
        <v>0.148378022</v>
      </c>
      <c r="I188" s="63">
        <f t="shared" si="28"/>
        <v>0.02969392417</v>
      </c>
      <c r="J188" s="65">
        <f t="shared" si="29"/>
        <v>8.640931932</v>
      </c>
      <c r="K188" s="65">
        <f t="shared" si="5"/>
        <v>17.17153001</v>
      </c>
      <c r="L188" s="52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</row>
    <row r="189" ht="14.25" customHeight="1">
      <c r="A189" s="6">
        <v>40902.0</v>
      </c>
      <c r="B189" s="7" t="s">
        <v>20</v>
      </c>
      <c r="C189" s="7" t="s">
        <v>246</v>
      </c>
      <c r="D189" s="7" t="s">
        <v>247</v>
      </c>
      <c r="E189" s="61">
        <v>1.0</v>
      </c>
      <c r="F189" s="62">
        <v>118.0</v>
      </c>
      <c r="G189" s="63">
        <f t="shared" si="26"/>
        <v>0.002197802198</v>
      </c>
      <c r="H189" s="64">
        <f t="shared" si="27"/>
        <v>0.01854725275</v>
      </c>
      <c r="I189" s="63">
        <f t="shared" si="28"/>
        <v>0.003369118319</v>
      </c>
      <c r="J189" s="65">
        <f t="shared" si="29"/>
        <v>0.9804134308</v>
      </c>
      <c r="K189" s="65">
        <f t="shared" si="5"/>
        <v>18.9177873</v>
      </c>
      <c r="L189" s="52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</row>
    <row r="190" ht="14.25" customHeight="1">
      <c r="A190" s="6">
        <v>40903.0</v>
      </c>
      <c r="B190" s="7" t="s">
        <v>20</v>
      </c>
      <c r="C190" s="7" t="s">
        <v>246</v>
      </c>
      <c r="D190" s="7" t="s">
        <v>248</v>
      </c>
      <c r="E190" s="61">
        <v>3.0</v>
      </c>
      <c r="F190" s="62">
        <v>166.0</v>
      </c>
      <c r="G190" s="63">
        <f t="shared" si="26"/>
        <v>0.006593406593</v>
      </c>
      <c r="H190" s="64">
        <f t="shared" si="27"/>
        <v>0.05564175824</v>
      </c>
      <c r="I190" s="63">
        <f t="shared" si="28"/>
        <v>0.004739607127</v>
      </c>
      <c r="J190" s="65">
        <f t="shared" si="29"/>
        <v>1.379225674</v>
      </c>
      <c r="K190" s="65">
        <f t="shared" si="5"/>
        <v>40.34275122</v>
      </c>
      <c r="L190" s="52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</row>
    <row r="191" ht="14.25" customHeight="1">
      <c r="A191" s="6">
        <v>41001.0</v>
      </c>
      <c r="B191" s="7" t="s">
        <v>20</v>
      </c>
      <c r="C191" s="7" t="s">
        <v>249</v>
      </c>
      <c r="D191" s="7" t="s">
        <v>250</v>
      </c>
      <c r="E191" s="61">
        <v>9.0</v>
      </c>
      <c r="F191" s="62">
        <v>534.0</v>
      </c>
      <c r="G191" s="63">
        <f t="shared" si="26"/>
        <v>0.01978021978</v>
      </c>
      <c r="H191" s="64">
        <f t="shared" si="27"/>
        <v>0.1669252747</v>
      </c>
      <c r="I191" s="63">
        <f t="shared" si="28"/>
        <v>0.01524668799</v>
      </c>
      <c r="J191" s="65">
        <f t="shared" si="29"/>
        <v>4.436786204</v>
      </c>
      <c r="K191" s="65">
        <f t="shared" si="5"/>
        <v>37.62301519</v>
      </c>
      <c r="L191" s="52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</row>
    <row r="192" ht="14.25" customHeight="1">
      <c r="A192" s="6">
        <v>41101.0</v>
      </c>
      <c r="B192" s="7" t="s">
        <v>20</v>
      </c>
      <c r="C192" s="7" t="s">
        <v>251</v>
      </c>
      <c r="D192" s="7" t="s">
        <v>252</v>
      </c>
      <c r="E192" s="61">
        <v>8.0</v>
      </c>
      <c r="F192" s="62">
        <v>320.0</v>
      </c>
      <c r="G192" s="63">
        <f t="shared" si="26"/>
        <v>0.01758241758</v>
      </c>
      <c r="H192" s="64">
        <f t="shared" si="27"/>
        <v>0.148378022</v>
      </c>
      <c r="I192" s="63">
        <f t="shared" si="28"/>
        <v>0.009136592051</v>
      </c>
      <c r="J192" s="65">
        <f t="shared" si="29"/>
        <v>2.658748287</v>
      </c>
      <c r="K192" s="65">
        <f t="shared" si="5"/>
        <v>55.80747253</v>
      </c>
      <c r="L192" s="52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</row>
    <row r="193" ht="14.25" customHeight="1">
      <c r="A193" s="6">
        <v>41201.0</v>
      </c>
      <c r="B193" s="7" t="s">
        <v>20</v>
      </c>
      <c r="C193" s="7" t="s">
        <v>253</v>
      </c>
      <c r="D193" s="7" t="s">
        <v>254</v>
      </c>
      <c r="E193" s="61">
        <v>2.0</v>
      </c>
      <c r="F193" s="62">
        <v>254.0</v>
      </c>
      <c r="G193" s="63">
        <f t="shared" si="26"/>
        <v>0.004395604396</v>
      </c>
      <c r="H193" s="64">
        <f t="shared" si="27"/>
        <v>0.03709450549</v>
      </c>
      <c r="I193" s="63">
        <f t="shared" si="28"/>
        <v>0.007252169941</v>
      </c>
      <c r="J193" s="65">
        <f t="shared" si="29"/>
        <v>2.110381453</v>
      </c>
      <c r="K193" s="65">
        <f t="shared" si="5"/>
        <v>17.5771567</v>
      </c>
      <c r="L193" s="52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</row>
    <row r="194" ht="14.25" customHeight="1">
      <c r="A194" s="6">
        <v>41202.0</v>
      </c>
      <c r="B194" s="7" t="s">
        <v>20</v>
      </c>
      <c r="C194" s="7" t="s">
        <v>253</v>
      </c>
      <c r="D194" s="7" t="s">
        <v>255</v>
      </c>
      <c r="E194" s="61">
        <v>3.0</v>
      </c>
      <c r="F194" s="62">
        <v>156.0</v>
      </c>
      <c r="G194" s="63">
        <f t="shared" si="26"/>
        <v>0.006593406593</v>
      </c>
      <c r="H194" s="64">
        <f t="shared" si="27"/>
        <v>0.05564175824</v>
      </c>
      <c r="I194" s="63">
        <f t="shared" si="28"/>
        <v>0.004454088625</v>
      </c>
      <c r="J194" s="65">
        <f t="shared" si="29"/>
        <v>1.29613979</v>
      </c>
      <c r="K194" s="65">
        <f t="shared" si="5"/>
        <v>42.92882502</v>
      </c>
      <c r="L194" s="52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</row>
    <row r="195" ht="14.25" customHeight="1">
      <c r="A195" s="6">
        <v>41301.0</v>
      </c>
      <c r="B195" s="7" t="s">
        <v>20</v>
      </c>
      <c r="C195" s="7" t="s">
        <v>256</v>
      </c>
      <c r="D195" s="7" t="s">
        <v>256</v>
      </c>
      <c r="E195" s="61">
        <v>6.0</v>
      </c>
      <c r="F195" s="62">
        <v>337.0</v>
      </c>
      <c r="G195" s="63">
        <f t="shared" si="26"/>
        <v>0.01318681319</v>
      </c>
      <c r="H195" s="64">
        <f t="shared" si="27"/>
        <v>0.1112835165</v>
      </c>
      <c r="I195" s="63">
        <f t="shared" si="28"/>
        <v>0.009621973504</v>
      </c>
      <c r="J195" s="65">
        <f t="shared" si="29"/>
        <v>2.79999429</v>
      </c>
      <c r="K195" s="65">
        <f t="shared" si="5"/>
        <v>39.74419408</v>
      </c>
      <c r="L195" s="52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</row>
    <row r="196" ht="14.25" customHeight="1">
      <c r="A196" s="6">
        <v>41401.0</v>
      </c>
      <c r="B196" s="7" t="s">
        <v>20</v>
      </c>
      <c r="C196" s="7" t="s">
        <v>257</v>
      </c>
      <c r="D196" s="7" t="s">
        <v>258</v>
      </c>
      <c r="E196" s="61">
        <v>6.0</v>
      </c>
      <c r="F196" s="62">
        <v>610.0</v>
      </c>
      <c r="G196" s="63">
        <f t="shared" si="26"/>
        <v>0.01318681319</v>
      </c>
      <c r="H196" s="64">
        <f t="shared" si="27"/>
        <v>0.1112835165</v>
      </c>
      <c r="I196" s="63">
        <f t="shared" si="28"/>
        <v>0.0174166286</v>
      </c>
      <c r="J196" s="65">
        <f t="shared" si="29"/>
        <v>5.068238922</v>
      </c>
      <c r="K196" s="65">
        <f t="shared" si="5"/>
        <v>21.95703837</v>
      </c>
      <c r="L196" s="52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</row>
    <row r="197" ht="14.25" customHeight="1">
      <c r="A197" s="6">
        <v>41501.0</v>
      </c>
      <c r="B197" s="7" t="s">
        <v>20</v>
      </c>
      <c r="C197" s="7" t="s">
        <v>259</v>
      </c>
      <c r="D197" s="7" t="s">
        <v>260</v>
      </c>
      <c r="E197" s="61">
        <v>0.0</v>
      </c>
      <c r="F197" s="62">
        <v>87.0</v>
      </c>
      <c r="G197" s="63">
        <f t="shared" si="26"/>
        <v>0</v>
      </c>
      <c r="H197" s="64">
        <f t="shared" si="27"/>
        <v>0</v>
      </c>
      <c r="I197" s="63">
        <f t="shared" si="28"/>
        <v>0.002484010964</v>
      </c>
      <c r="J197" s="65">
        <f t="shared" si="29"/>
        <v>0.7228471905</v>
      </c>
      <c r="K197" s="65">
        <f t="shared" si="5"/>
        <v>0</v>
      </c>
      <c r="L197" s="52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</row>
    <row r="198" ht="14.25" customHeight="1">
      <c r="A198" s="6">
        <v>41502.0</v>
      </c>
      <c r="B198" s="7" t="s">
        <v>20</v>
      </c>
      <c r="C198" s="7" t="s">
        <v>259</v>
      </c>
      <c r="D198" s="7" t="s">
        <v>261</v>
      </c>
      <c r="E198" s="61">
        <v>1.0</v>
      </c>
      <c r="F198" s="62">
        <v>78.0</v>
      </c>
      <c r="G198" s="63">
        <f t="shared" si="26"/>
        <v>0.002197802198</v>
      </c>
      <c r="H198" s="64">
        <f t="shared" si="27"/>
        <v>0.01854725275</v>
      </c>
      <c r="I198" s="63">
        <f t="shared" si="28"/>
        <v>0.002227044312</v>
      </c>
      <c r="J198" s="65">
        <f t="shared" si="29"/>
        <v>0.6480698949</v>
      </c>
      <c r="K198" s="65">
        <f t="shared" si="5"/>
        <v>28.61921668</v>
      </c>
      <c r="L198" s="52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</row>
    <row r="199" ht="14.25" customHeight="1">
      <c r="A199" s="6">
        <v>41503.0</v>
      </c>
      <c r="B199" s="7" t="s">
        <v>20</v>
      </c>
      <c r="C199" s="7" t="s">
        <v>259</v>
      </c>
      <c r="D199" s="7" t="s">
        <v>225</v>
      </c>
      <c r="E199" s="61">
        <v>0.0</v>
      </c>
      <c r="F199" s="62">
        <v>64.0</v>
      </c>
      <c r="G199" s="63">
        <f t="shared" si="26"/>
        <v>0</v>
      </c>
      <c r="H199" s="64">
        <f t="shared" si="27"/>
        <v>0</v>
      </c>
      <c r="I199" s="63">
        <f t="shared" si="28"/>
        <v>0.00182731841</v>
      </c>
      <c r="J199" s="65">
        <f t="shared" si="29"/>
        <v>0.5317496574</v>
      </c>
      <c r="K199" s="65">
        <f t="shared" si="5"/>
        <v>0</v>
      </c>
      <c r="L199" s="52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</row>
    <row r="200" ht="14.25" customHeight="1">
      <c r="A200" s="6">
        <v>41601.0</v>
      </c>
      <c r="B200" s="7" t="s">
        <v>20</v>
      </c>
      <c r="C200" s="7" t="s">
        <v>262</v>
      </c>
      <c r="D200" s="7" t="s">
        <v>263</v>
      </c>
      <c r="E200" s="61">
        <v>6.0</v>
      </c>
      <c r="F200" s="62">
        <v>246.0</v>
      </c>
      <c r="G200" s="63">
        <f t="shared" si="26"/>
        <v>0.01318681319</v>
      </c>
      <c r="H200" s="64">
        <f t="shared" si="27"/>
        <v>0.1112835165</v>
      </c>
      <c r="I200" s="63">
        <f t="shared" si="28"/>
        <v>0.007023755139</v>
      </c>
      <c r="J200" s="65">
        <f t="shared" si="29"/>
        <v>2.043912746</v>
      </c>
      <c r="K200" s="65">
        <f t="shared" si="5"/>
        <v>54.44631466</v>
      </c>
      <c r="L200" s="52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</row>
    <row r="201" ht="14.25" customHeight="1">
      <c r="A201" s="6">
        <v>50101.0</v>
      </c>
      <c r="B201" s="7" t="s">
        <v>264</v>
      </c>
      <c r="C201" s="7" t="s">
        <v>265</v>
      </c>
      <c r="D201" s="7" t="s">
        <v>264</v>
      </c>
      <c r="E201" s="61">
        <v>191.0</v>
      </c>
      <c r="F201" s="62">
        <v>16092.0</v>
      </c>
      <c r="G201" s="63">
        <f t="shared" ref="G201:G242" si="30">E201/$R$6</f>
        <v>0.1950970378</v>
      </c>
      <c r="H201" s="64">
        <f t="shared" ref="H201:H242" si="31">$S$21*G201</f>
        <v>2.085392237</v>
      </c>
      <c r="I201" s="63">
        <f t="shared" ref="I201:I242" si="32">F201/$S$6</f>
        <v>0.2821623328</v>
      </c>
      <c r="J201" s="65">
        <f t="shared" ref="J201:J242" si="33">I201*$U$21</f>
        <v>143.6206274</v>
      </c>
      <c r="K201" s="65">
        <f t="shared" si="5"/>
        <v>14.52014432</v>
      </c>
      <c r="L201" s="52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</row>
    <row r="202" ht="14.25" customHeight="1">
      <c r="A202" s="6">
        <v>50102.0</v>
      </c>
      <c r="B202" s="7" t="s">
        <v>264</v>
      </c>
      <c r="C202" s="7" t="s">
        <v>265</v>
      </c>
      <c r="D202" s="7" t="s">
        <v>266</v>
      </c>
      <c r="E202" s="61">
        <v>54.0</v>
      </c>
      <c r="F202" s="62">
        <v>1914.0</v>
      </c>
      <c r="G202" s="63">
        <f t="shared" si="30"/>
        <v>0.05515832482</v>
      </c>
      <c r="H202" s="64">
        <f t="shared" si="31"/>
        <v>0.589587334</v>
      </c>
      <c r="I202" s="63">
        <f t="shared" si="32"/>
        <v>0.03356069506</v>
      </c>
      <c r="J202" s="65">
        <f t="shared" si="33"/>
        <v>17.08239379</v>
      </c>
      <c r="K202" s="65">
        <f t="shared" si="5"/>
        <v>34.51432752</v>
      </c>
      <c r="L202" s="52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</row>
    <row r="203" ht="14.25" customHeight="1">
      <c r="A203" s="6">
        <v>50103.0</v>
      </c>
      <c r="B203" s="7" t="s">
        <v>264</v>
      </c>
      <c r="C203" s="7" t="s">
        <v>265</v>
      </c>
      <c r="D203" s="7" t="s">
        <v>267</v>
      </c>
      <c r="E203" s="61">
        <v>12.0</v>
      </c>
      <c r="F203" s="62">
        <v>718.0</v>
      </c>
      <c r="G203" s="63">
        <f t="shared" si="30"/>
        <v>0.01225740552</v>
      </c>
      <c r="H203" s="64">
        <f t="shared" si="31"/>
        <v>0.1310194076</v>
      </c>
      <c r="I203" s="63">
        <f t="shared" si="32"/>
        <v>0.01258964423</v>
      </c>
      <c r="J203" s="65">
        <f t="shared" si="33"/>
        <v>6.408128912</v>
      </c>
      <c r="K203" s="65">
        <f t="shared" si="5"/>
        <v>20.44581333</v>
      </c>
      <c r="L203" s="52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</row>
    <row r="204" ht="14.25" customHeight="1">
      <c r="A204" s="6">
        <v>50104.0</v>
      </c>
      <c r="B204" s="7" t="s">
        <v>264</v>
      </c>
      <c r="C204" s="7" t="s">
        <v>265</v>
      </c>
      <c r="D204" s="7" t="s">
        <v>268</v>
      </c>
      <c r="E204" s="61">
        <v>1.0</v>
      </c>
      <c r="F204" s="62">
        <v>147.0</v>
      </c>
      <c r="G204" s="63">
        <f t="shared" si="30"/>
        <v>0.00102145046</v>
      </c>
      <c r="H204" s="64">
        <f t="shared" si="31"/>
        <v>0.01091828396</v>
      </c>
      <c r="I204" s="63">
        <f t="shared" si="32"/>
        <v>0.002577545545</v>
      </c>
      <c r="J204" s="65">
        <f t="shared" si="33"/>
        <v>1.311970683</v>
      </c>
      <c r="K204" s="65">
        <f t="shared" si="5"/>
        <v>8.322048738</v>
      </c>
      <c r="L204" s="52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</row>
    <row r="205" ht="14.25" customHeight="1">
      <c r="A205" s="6">
        <v>50201.0</v>
      </c>
      <c r="B205" s="7" t="s">
        <v>264</v>
      </c>
      <c r="C205" s="7" t="s">
        <v>269</v>
      </c>
      <c r="D205" s="7" t="s">
        <v>270</v>
      </c>
      <c r="E205" s="61">
        <v>37.0</v>
      </c>
      <c r="F205" s="62">
        <v>1465.0</v>
      </c>
      <c r="G205" s="63">
        <f t="shared" si="30"/>
        <v>0.03779366701</v>
      </c>
      <c r="H205" s="64">
        <f t="shared" si="31"/>
        <v>0.4039765066</v>
      </c>
      <c r="I205" s="63">
        <f t="shared" si="32"/>
        <v>0.02568778384</v>
      </c>
      <c r="J205" s="65">
        <f t="shared" si="33"/>
        <v>13.07508197</v>
      </c>
      <c r="K205" s="65">
        <f t="shared" si="5"/>
        <v>30.89667105</v>
      </c>
      <c r="L205" s="52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</row>
    <row r="206" ht="14.25" customHeight="1">
      <c r="A206" s="6">
        <v>50202.0</v>
      </c>
      <c r="B206" s="7" t="s">
        <v>264</v>
      </c>
      <c r="C206" s="7" t="s">
        <v>269</v>
      </c>
      <c r="D206" s="7" t="s">
        <v>271</v>
      </c>
      <c r="E206" s="61">
        <v>34.0</v>
      </c>
      <c r="F206" s="62">
        <v>1011.0</v>
      </c>
      <c r="G206" s="63">
        <f t="shared" si="30"/>
        <v>0.03472931563</v>
      </c>
      <c r="H206" s="64">
        <f t="shared" si="31"/>
        <v>0.3712216547</v>
      </c>
      <c r="I206" s="63">
        <f t="shared" si="32"/>
        <v>0.017727201</v>
      </c>
      <c r="J206" s="65">
        <f t="shared" si="33"/>
        <v>9.023145307</v>
      </c>
      <c r="K206" s="65">
        <f t="shared" si="5"/>
        <v>41.14104806</v>
      </c>
      <c r="L206" s="52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</row>
    <row r="207" ht="14.25" customHeight="1">
      <c r="A207" s="6">
        <v>50203.0</v>
      </c>
      <c r="B207" s="7" t="s">
        <v>264</v>
      </c>
      <c r="C207" s="7" t="s">
        <v>269</v>
      </c>
      <c r="D207" s="7" t="s">
        <v>272</v>
      </c>
      <c r="E207" s="61">
        <v>43.0</v>
      </c>
      <c r="F207" s="62">
        <v>2810.0</v>
      </c>
      <c r="G207" s="63">
        <f t="shared" si="30"/>
        <v>0.04392236977</v>
      </c>
      <c r="H207" s="64">
        <f t="shared" si="31"/>
        <v>0.4694862104</v>
      </c>
      <c r="I207" s="63">
        <f t="shared" si="32"/>
        <v>0.04927144886</v>
      </c>
      <c r="J207" s="65">
        <f t="shared" si="33"/>
        <v>25.07916747</v>
      </c>
      <c r="K207" s="65">
        <f t="shared" si="5"/>
        <v>18.72016729</v>
      </c>
      <c r="L207" s="52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</row>
    <row r="208" ht="14.25" customHeight="1">
      <c r="A208" s="6">
        <v>50204.0</v>
      </c>
      <c r="B208" s="7" t="s">
        <v>264</v>
      </c>
      <c r="C208" s="7" t="s">
        <v>269</v>
      </c>
      <c r="D208" s="7" t="s">
        <v>273</v>
      </c>
      <c r="E208" s="61">
        <v>14.0</v>
      </c>
      <c r="F208" s="62">
        <v>570.0</v>
      </c>
      <c r="G208" s="63">
        <f t="shared" si="30"/>
        <v>0.01430030644</v>
      </c>
      <c r="H208" s="64">
        <f t="shared" si="31"/>
        <v>0.1528559755</v>
      </c>
      <c r="I208" s="63">
        <f t="shared" si="32"/>
        <v>0.00999456436</v>
      </c>
      <c r="J208" s="65">
        <f t="shared" si="33"/>
        <v>5.087233259</v>
      </c>
      <c r="K208" s="65">
        <f t="shared" si="5"/>
        <v>30.04697597</v>
      </c>
      <c r="L208" s="52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</row>
    <row r="209" ht="14.25" customHeight="1">
      <c r="A209" s="6">
        <v>50301.0</v>
      </c>
      <c r="B209" s="7" t="s">
        <v>264</v>
      </c>
      <c r="C209" s="7" t="s">
        <v>274</v>
      </c>
      <c r="D209" s="7" t="s">
        <v>275</v>
      </c>
      <c r="E209" s="61">
        <v>38.0</v>
      </c>
      <c r="F209" s="62">
        <v>2050.0</v>
      </c>
      <c r="G209" s="63">
        <f t="shared" si="30"/>
        <v>0.03881511747</v>
      </c>
      <c r="H209" s="64">
        <f t="shared" si="31"/>
        <v>0.4148947906</v>
      </c>
      <c r="I209" s="63">
        <f t="shared" si="32"/>
        <v>0.03594536305</v>
      </c>
      <c r="J209" s="65">
        <f t="shared" si="33"/>
        <v>18.29618979</v>
      </c>
      <c r="K209" s="65">
        <f t="shared" si="5"/>
        <v>22.67656793</v>
      </c>
      <c r="L209" s="52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</row>
    <row r="210" ht="14.25" customHeight="1">
      <c r="A210" s="6">
        <v>50302.0</v>
      </c>
      <c r="B210" s="7" t="s">
        <v>264</v>
      </c>
      <c r="C210" s="7" t="s">
        <v>274</v>
      </c>
      <c r="D210" s="7" t="s">
        <v>276</v>
      </c>
      <c r="E210" s="61">
        <v>8.0</v>
      </c>
      <c r="F210" s="62">
        <v>556.0</v>
      </c>
      <c r="G210" s="63">
        <f t="shared" si="30"/>
        <v>0.008171603677</v>
      </c>
      <c r="H210" s="64">
        <f t="shared" si="31"/>
        <v>0.08734627171</v>
      </c>
      <c r="I210" s="63">
        <f t="shared" si="32"/>
        <v>0.009749083832</v>
      </c>
      <c r="J210" s="65">
        <f t="shared" si="33"/>
        <v>4.96228367</v>
      </c>
      <c r="K210" s="65">
        <f t="shared" si="5"/>
        <v>17.60203114</v>
      </c>
      <c r="L210" s="52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</row>
    <row r="211" ht="14.25" customHeight="1">
      <c r="A211" s="6">
        <v>50303.0</v>
      </c>
      <c r="B211" s="7" t="s">
        <v>264</v>
      </c>
      <c r="C211" s="7" t="s">
        <v>274</v>
      </c>
      <c r="D211" s="7" t="s">
        <v>277</v>
      </c>
      <c r="E211" s="61">
        <v>6.0</v>
      </c>
      <c r="F211" s="62">
        <v>896.0</v>
      </c>
      <c r="G211" s="63">
        <f t="shared" si="30"/>
        <v>0.006128702758</v>
      </c>
      <c r="H211" s="64">
        <f t="shared" si="31"/>
        <v>0.06550970378</v>
      </c>
      <c r="I211" s="63">
        <f t="shared" si="32"/>
        <v>0.0157107538</v>
      </c>
      <c r="J211" s="65">
        <f t="shared" si="33"/>
        <v>7.996773684</v>
      </c>
      <c r="K211" s="65">
        <f t="shared" si="5"/>
        <v>8.192016726</v>
      </c>
      <c r="L211" s="52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</row>
    <row r="212" ht="14.25" customHeight="1">
      <c r="A212" s="6">
        <v>50401.0</v>
      </c>
      <c r="B212" s="7" t="s">
        <v>264</v>
      </c>
      <c r="C212" s="7" t="s">
        <v>271</v>
      </c>
      <c r="D212" s="7" t="s">
        <v>278</v>
      </c>
      <c r="E212" s="61">
        <v>45.0</v>
      </c>
      <c r="F212" s="62">
        <v>1044.0</v>
      </c>
      <c r="G212" s="63">
        <f t="shared" si="30"/>
        <v>0.04596527068</v>
      </c>
      <c r="H212" s="64">
        <f t="shared" si="31"/>
        <v>0.4913227783</v>
      </c>
      <c r="I212" s="63">
        <f t="shared" si="32"/>
        <v>0.01830583367</v>
      </c>
      <c r="J212" s="65">
        <f t="shared" si="33"/>
        <v>9.317669338</v>
      </c>
      <c r="K212" s="65">
        <f t="shared" si="5"/>
        <v>52.73022261</v>
      </c>
      <c r="L212" s="52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</row>
    <row r="213" ht="14.25" customHeight="1">
      <c r="A213" s="6">
        <v>50402.0</v>
      </c>
      <c r="B213" s="7" t="s">
        <v>264</v>
      </c>
      <c r="C213" s="7" t="s">
        <v>271</v>
      </c>
      <c r="D213" s="7" t="s">
        <v>279</v>
      </c>
      <c r="E213" s="61">
        <v>13.0</v>
      </c>
      <c r="F213" s="62">
        <v>904.0</v>
      </c>
      <c r="G213" s="63">
        <f t="shared" si="30"/>
        <v>0.01327885598</v>
      </c>
      <c r="H213" s="64">
        <f t="shared" si="31"/>
        <v>0.1419376915</v>
      </c>
      <c r="I213" s="63">
        <f t="shared" si="32"/>
        <v>0.01585102839</v>
      </c>
      <c r="J213" s="65">
        <f t="shared" si="33"/>
        <v>8.06817345</v>
      </c>
      <c r="K213" s="65">
        <f t="shared" si="5"/>
        <v>17.59229551</v>
      </c>
      <c r="L213" s="52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</row>
    <row r="214" ht="14.25" customHeight="1">
      <c r="A214" s="6">
        <v>50403.0</v>
      </c>
      <c r="B214" s="7" t="s">
        <v>264</v>
      </c>
      <c r="C214" s="7" t="s">
        <v>271</v>
      </c>
      <c r="D214" s="7" t="s">
        <v>280</v>
      </c>
      <c r="E214" s="61">
        <v>59.0</v>
      </c>
      <c r="F214" s="62">
        <v>1973.0</v>
      </c>
      <c r="G214" s="63">
        <f t="shared" si="30"/>
        <v>0.06026557712</v>
      </c>
      <c r="H214" s="64">
        <f t="shared" si="31"/>
        <v>0.6441787538</v>
      </c>
      <c r="I214" s="63">
        <f t="shared" si="32"/>
        <v>0.03459522014</v>
      </c>
      <c r="J214" s="65">
        <f t="shared" si="33"/>
        <v>17.60896705</v>
      </c>
      <c r="K214" s="65">
        <f t="shared" si="5"/>
        <v>36.58242712</v>
      </c>
      <c r="L214" s="52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</row>
    <row r="215" ht="14.25" customHeight="1">
      <c r="A215" s="6">
        <v>50404.0</v>
      </c>
      <c r="B215" s="7" t="s">
        <v>264</v>
      </c>
      <c r="C215" s="7" t="s">
        <v>271</v>
      </c>
      <c r="D215" s="7" t="s">
        <v>281</v>
      </c>
      <c r="E215" s="61">
        <v>12.0</v>
      </c>
      <c r="F215" s="62">
        <v>794.0</v>
      </c>
      <c r="G215" s="63">
        <f t="shared" si="30"/>
        <v>0.01225740552</v>
      </c>
      <c r="H215" s="64">
        <f t="shared" si="31"/>
        <v>0.1310194076</v>
      </c>
      <c r="I215" s="63">
        <f t="shared" si="32"/>
        <v>0.01392225281</v>
      </c>
      <c r="J215" s="65">
        <f t="shared" si="33"/>
        <v>7.08642668</v>
      </c>
      <c r="K215" s="65">
        <f t="shared" si="5"/>
        <v>18.48878334</v>
      </c>
      <c r="L215" s="52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</row>
    <row r="216" ht="14.25" customHeight="1">
      <c r="A216" s="25">
        <v>50405.0</v>
      </c>
      <c r="B216" s="7" t="s">
        <v>264</v>
      </c>
      <c r="C216" s="7" t="s">
        <v>271</v>
      </c>
      <c r="D216" s="7" t="s">
        <v>282</v>
      </c>
      <c r="E216" s="61">
        <v>46.0</v>
      </c>
      <c r="F216" s="62">
        <v>1328.0</v>
      </c>
      <c r="G216" s="63">
        <f t="shared" si="30"/>
        <v>0.04698672114</v>
      </c>
      <c r="H216" s="64">
        <f t="shared" si="31"/>
        <v>0.5022410623</v>
      </c>
      <c r="I216" s="63">
        <f t="shared" si="32"/>
        <v>0.02328558153</v>
      </c>
      <c r="J216" s="65">
        <f t="shared" si="33"/>
        <v>11.852361</v>
      </c>
      <c r="K216" s="65">
        <f t="shared" si="5"/>
        <v>42.37476925</v>
      </c>
      <c r="L216" s="52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</row>
    <row r="217" ht="14.25" customHeight="1">
      <c r="A217" s="6">
        <v>50501.0</v>
      </c>
      <c r="B217" s="7" t="s">
        <v>264</v>
      </c>
      <c r="C217" s="7" t="s">
        <v>283</v>
      </c>
      <c r="D217" s="7" t="s">
        <v>284</v>
      </c>
      <c r="E217" s="61">
        <v>54.0</v>
      </c>
      <c r="F217" s="62">
        <v>1874.0</v>
      </c>
      <c r="G217" s="63">
        <f t="shared" si="30"/>
        <v>0.05515832482</v>
      </c>
      <c r="H217" s="64">
        <f t="shared" si="31"/>
        <v>0.589587334</v>
      </c>
      <c r="I217" s="63">
        <f t="shared" si="32"/>
        <v>0.03285932212</v>
      </c>
      <c r="J217" s="65">
        <f t="shared" si="33"/>
        <v>16.72539496</v>
      </c>
      <c r="K217" s="65">
        <f t="shared" si="5"/>
        <v>35.25102608</v>
      </c>
      <c r="L217" s="52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</row>
    <row r="218" ht="14.25" customHeight="1">
      <c r="A218" s="6">
        <v>50502.0</v>
      </c>
      <c r="B218" s="7" t="s">
        <v>264</v>
      </c>
      <c r="C218" s="7" t="s">
        <v>283</v>
      </c>
      <c r="D218" s="7" t="s">
        <v>285</v>
      </c>
      <c r="E218" s="61">
        <v>12.0</v>
      </c>
      <c r="F218" s="62">
        <v>761.0</v>
      </c>
      <c r="G218" s="63">
        <f t="shared" si="30"/>
        <v>0.01225740552</v>
      </c>
      <c r="H218" s="64">
        <f t="shared" si="31"/>
        <v>0.1310194076</v>
      </c>
      <c r="I218" s="63">
        <f t="shared" si="32"/>
        <v>0.01334362014</v>
      </c>
      <c r="J218" s="65">
        <f t="shared" si="33"/>
        <v>6.791902649</v>
      </c>
      <c r="K218" s="65">
        <f t="shared" si="5"/>
        <v>19.29053085</v>
      </c>
      <c r="L218" s="52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</row>
    <row r="219" ht="14.25" customHeight="1">
      <c r="A219" s="6">
        <v>50601.0</v>
      </c>
      <c r="B219" s="7" t="s">
        <v>264</v>
      </c>
      <c r="C219" s="7" t="s">
        <v>286</v>
      </c>
      <c r="D219" s="7" t="s">
        <v>287</v>
      </c>
      <c r="E219" s="61">
        <v>10.0</v>
      </c>
      <c r="F219" s="62">
        <v>1728.0</v>
      </c>
      <c r="G219" s="63">
        <f t="shared" si="30"/>
        <v>0.0102145046</v>
      </c>
      <c r="H219" s="64">
        <f t="shared" si="31"/>
        <v>0.1091828396</v>
      </c>
      <c r="I219" s="63">
        <f t="shared" si="32"/>
        <v>0.0302993109</v>
      </c>
      <c r="J219" s="65">
        <f t="shared" si="33"/>
        <v>15.42234925</v>
      </c>
      <c r="K219" s="65">
        <f t="shared" si="5"/>
        <v>7.079520628</v>
      </c>
      <c r="L219" s="52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</row>
    <row r="220" ht="14.25" customHeight="1">
      <c r="A220" s="6">
        <v>50602.0</v>
      </c>
      <c r="B220" s="7" t="s">
        <v>264</v>
      </c>
      <c r="C220" s="7" t="s">
        <v>286</v>
      </c>
      <c r="D220" s="7" t="s">
        <v>288</v>
      </c>
      <c r="E220" s="61">
        <v>6.0</v>
      </c>
      <c r="F220" s="62">
        <v>576.0</v>
      </c>
      <c r="G220" s="63">
        <f t="shared" si="30"/>
        <v>0.006128702758</v>
      </c>
      <c r="H220" s="64">
        <f t="shared" si="31"/>
        <v>0.06550970378</v>
      </c>
      <c r="I220" s="63">
        <f t="shared" si="32"/>
        <v>0.0100997703</v>
      </c>
      <c r="J220" s="65">
        <f t="shared" si="33"/>
        <v>5.140783083</v>
      </c>
      <c r="K220" s="65">
        <f t="shared" si="5"/>
        <v>12.74313713</v>
      </c>
      <c r="L220" s="52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</row>
    <row r="221" ht="14.25" customHeight="1">
      <c r="A221" s="6">
        <v>50701.0</v>
      </c>
      <c r="B221" s="7" t="s">
        <v>264</v>
      </c>
      <c r="C221" s="7" t="s">
        <v>289</v>
      </c>
      <c r="D221" s="7" t="s">
        <v>290</v>
      </c>
      <c r="E221" s="61">
        <v>38.0</v>
      </c>
      <c r="F221" s="62">
        <v>1110.0</v>
      </c>
      <c r="G221" s="63">
        <f t="shared" si="30"/>
        <v>0.03881511747</v>
      </c>
      <c r="H221" s="64">
        <f t="shared" si="31"/>
        <v>0.4148947906</v>
      </c>
      <c r="I221" s="63">
        <f t="shared" si="32"/>
        <v>0.01946309902</v>
      </c>
      <c r="J221" s="65">
        <f t="shared" si="33"/>
        <v>9.906717399</v>
      </c>
      <c r="K221" s="65">
        <f t="shared" si="5"/>
        <v>41.88014797</v>
      </c>
      <c r="L221" s="52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</row>
    <row r="222" ht="14.25" customHeight="1">
      <c r="A222" s="6">
        <v>50702.0</v>
      </c>
      <c r="B222" s="7" t="s">
        <v>264</v>
      </c>
      <c r="C222" s="7" t="s">
        <v>289</v>
      </c>
      <c r="D222" s="7" t="s">
        <v>291</v>
      </c>
      <c r="E222" s="61">
        <v>18.0</v>
      </c>
      <c r="F222" s="62">
        <v>508.0</v>
      </c>
      <c r="G222" s="63">
        <f t="shared" si="30"/>
        <v>0.01838610827</v>
      </c>
      <c r="H222" s="64">
        <f t="shared" si="31"/>
        <v>0.1965291113</v>
      </c>
      <c r="I222" s="63">
        <f t="shared" si="32"/>
        <v>0.008907436307</v>
      </c>
      <c r="J222" s="65">
        <f t="shared" si="33"/>
        <v>4.53388508</v>
      </c>
      <c r="K222" s="65">
        <f t="shared" si="5"/>
        <v>43.34673417</v>
      </c>
      <c r="L222" s="52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</row>
    <row r="223" ht="14.25" customHeight="1">
      <c r="A223" s="6">
        <v>50801.0</v>
      </c>
      <c r="B223" s="7" t="s">
        <v>264</v>
      </c>
      <c r="C223" s="7" t="s">
        <v>292</v>
      </c>
      <c r="D223" s="7" t="s">
        <v>293</v>
      </c>
      <c r="E223" s="61">
        <v>23.0</v>
      </c>
      <c r="F223" s="62">
        <v>2966.0</v>
      </c>
      <c r="G223" s="63">
        <f t="shared" si="30"/>
        <v>0.02349336057</v>
      </c>
      <c r="H223" s="64">
        <f t="shared" si="31"/>
        <v>0.2511205312</v>
      </c>
      <c r="I223" s="63">
        <f t="shared" si="32"/>
        <v>0.05200680332</v>
      </c>
      <c r="J223" s="65">
        <f t="shared" si="33"/>
        <v>26.47146289</v>
      </c>
      <c r="K223" s="65">
        <f t="shared" si="5"/>
        <v>9.486462165</v>
      </c>
      <c r="L223" s="52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</row>
    <row r="224" ht="14.25" customHeight="1">
      <c r="A224" s="6">
        <v>50802.0</v>
      </c>
      <c r="B224" s="7" t="s">
        <v>264</v>
      </c>
      <c r="C224" s="7" t="s">
        <v>292</v>
      </c>
      <c r="D224" s="7" t="s">
        <v>294</v>
      </c>
      <c r="E224" s="61">
        <v>10.0</v>
      </c>
      <c r="F224" s="62">
        <v>687.0</v>
      </c>
      <c r="G224" s="63">
        <f t="shared" si="30"/>
        <v>0.0102145046</v>
      </c>
      <c r="H224" s="64">
        <f t="shared" si="31"/>
        <v>0.1091828396</v>
      </c>
      <c r="I224" s="63">
        <f t="shared" si="32"/>
        <v>0.0120460802</v>
      </c>
      <c r="J224" s="65">
        <f t="shared" si="33"/>
        <v>6.131454823</v>
      </c>
      <c r="K224" s="65">
        <f t="shared" si="5"/>
        <v>17.80700385</v>
      </c>
      <c r="L224" s="52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</row>
    <row r="225" ht="14.25" customHeight="1">
      <c r="A225" s="6">
        <v>50901.0</v>
      </c>
      <c r="B225" s="7" t="s">
        <v>264</v>
      </c>
      <c r="C225" s="7" t="s">
        <v>295</v>
      </c>
      <c r="D225" s="7" t="s">
        <v>296</v>
      </c>
      <c r="E225" s="61">
        <v>13.0</v>
      </c>
      <c r="F225" s="62">
        <v>819.0</v>
      </c>
      <c r="G225" s="63">
        <f t="shared" si="30"/>
        <v>0.01327885598</v>
      </c>
      <c r="H225" s="64">
        <f t="shared" si="31"/>
        <v>0.1419376915</v>
      </c>
      <c r="I225" s="63">
        <f t="shared" si="32"/>
        <v>0.0143606109</v>
      </c>
      <c r="J225" s="65">
        <f t="shared" si="33"/>
        <v>7.309550946</v>
      </c>
      <c r="K225" s="65">
        <f t="shared" si="5"/>
        <v>19.41811372</v>
      </c>
      <c r="L225" s="52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</row>
    <row r="226" ht="14.25" customHeight="1">
      <c r="A226" s="6">
        <v>50902.0</v>
      </c>
      <c r="B226" s="7" t="s">
        <v>264</v>
      </c>
      <c r="C226" s="7" t="s">
        <v>295</v>
      </c>
      <c r="D226" s="7" t="s">
        <v>297</v>
      </c>
      <c r="E226" s="61">
        <v>2.0</v>
      </c>
      <c r="F226" s="62">
        <v>86.0</v>
      </c>
      <c r="G226" s="63">
        <f t="shared" si="30"/>
        <v>0.002042900919</v>
      </c>
      <c r="H226" s="64">
        <f t="shared" si="31"/>
        <v>0.02183656793</v>
      </c>
      <c r="I226" s="63">
        <f t="shared" si="32"/>
        <v>0.001507951816</v>
      </c>
      <c r="J226" s="65">
        <f t="shared" si="33"/>
        <v>0.7675474742</v>
      </c>
      <c r="K226" s="65">
        <f t="shared" si="5"/>
        <v>28.44979452</v>
      </c>
      <c r="L226" s="52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</row>
    <row r="227" ht="14.25" customHeight="1">
      <c r="A227" s="6">
        <v>51001.0</v>
      </c>
      <c r="B227" s="7" t="s">
        <v>264</v>
      </c>
      <c r="C227" s="7" t="s">
        <v>298</v>
      </c>
      <c r="D227" s="7" t="s">
        <v>299</v>
      </c>
      <c r="E227" s="61">
        <v>5.0</v>
      </c>
      <c r="F227" s="62">
        <v>203.0</v>
      </c>
      <c r="G227" s="63">
        <f t="shared" si="30"/>
        <v>0.005107252298</v>
      </c>
      <c r="H227" s="64">
        <f t="shared" si="31"/>
        <v>0.05459141982</v>
      </c>
      <c r="I227" s="63">
        <f t="shared" si="32"/>
        <v>0.003559467658</v>
      </c>
      <c r="J227" s="65">
        <f t="shared" si="33"/>
        <v>1.811769038</v>
      </c>
      <c r="K227" s="65">
        <f t="shared" si="5"/>
        <v>30.13155577</v>
      </c>
      <c r="L227" s="52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</row>
    <row r="228" ht="14.25" customHeight="1">
      <c r="A228" s="6">
        <v>51002.0</v>
      </c>
      <c r="B228" s="7" t="s">
        <v>264</v>
      </c>
      <c r="C228" s="7" t="s">
        <v>298</v>
      </c>
      <c r="D228" s="7" t="s">
        <v>300</v>
      </c>
      <c r="E228" s="61">
        <v>1.0</v>
      </c>
      <c r="F228" s="62">
        <v>61.0</v>
      </c>
      <c r="G228" s="63">
        <f t="shared" si="30"/>
        <v>0.00102145046</v>
      </c>
      <c r="H228" s="64">
        <f t="shared" si="31"/>
        <v>0.01091828396</v>
      </c>
      <c r="I228" s="63">
        <f t="shared" si="32"/>
        <v>0.00106959373</v>
      </c>
      <c r="J228" s="65">
        <f t="shared" si="33"/>
        <v>0.5444232084</v>
      </c>
      <c r="K228" s="65">
        <f t="shared" si="5"/>
        <v>20.05477319</v>
      </c>
      <c r="L228" s="52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</row>
    <row r="229" ht="14.25" customHeight="1">
      <c r="A229" s="6">
        <v>51003.0</v>
      </c>
      <c r="B229" s="7" t="s">
        <v>264</v>
      </c>
      <c r="C229" s="7" t="s">
        <v>298</v>
      </c>
      <c r="D229" s="7" t="s">
        <v>301</v>
      </c>
      <c r="E229" s="61">
        <v>4.0</v>
      </c>
      <c r="F229" s="62">
        <v>139.0</v>
      </c>
      <c r="G229" s="63">
        <f t="shared" si="30"/>
        <v>0.004085801839</v>
      </c>
      <c r="H229" s="64">
        <f t="shared" si="31"/>
        <v>0.04367313585</v>
      </c>
      <c r="I229" s="63">
        <f t="shared" si="32"/>
        <v>0.002437270958</v>
      </c>
      <c r="J229" s="65">
        <f t="shared" si="33"/>
        <v>1.240570918</v>
      </c>
      <c r="K229" s="65">
        <f t="shared" si="5"/>
        <v>35.20406229</v>
      </c>
      <c r="L229" s="52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</row>
    <row r="230" ht="14.25" customHeight="1">
      <c r="A230" s="6">
        <v>51101.0</v>
      </c>
      <c r="B230" s="7" t="s">
        <v>264</v>
      </c>
      <c r="C230" s="7" t="s">
        <v>302</v>
      </c>
      <c r="D230" s="7" t="s">
        <v>303</v>
      </c>
      <c r="E230" s="61">
        <v>11.0</v>
      </c>
      <c r="F230" s="62">
        <v>865.0</v>
      </c>
      <c r="G230" s="63">
        <f t="shared" si="30"/>
        <v>0.01123595506</v>
      </c>
      <c r="H230" s="64">
        <f t="shared" si="31"/>
        <v>0.1201011236</v>
      </c>
      <c r="I230" s="63">
        <f t="shared" si="32"/>
        <v>0.01516718977</v>
      </c>
      <c r="J230" s="65">
        <f t="shared" si="33"/>
        <v>7.720099595</v>
      </c>
      <c r="K230" s="65">
        <f t="shared" si="5"/>
        <v>15.55693966</v>
      </c>
      <c r="L230" s="52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</row>
    <row r="231" ht="14.25" customHeight="1">
      <c r="A231" s="6">
        <v>51102.0</v>
      </c>
      <c r="B231" s="7" t="s">
        <v>264</v>
      </c>
      <c r="C231" s="7" t="s">
        <v>302</v>
      </c>
      <c r="D231" s="7" t="s">
        <v>304</v>
      </c>
      <c r="E231" s="61">
        <v>13.0</v>
      </c>
      <c r="F231" s="62">
        <v>887.0</v>
      </c>
      <c r="G231" s="63">
        <f t="shared" si="30"/>
        <v>0.01327885598</v>
      </c>
      <c r="H231" s="64">
        <f t="shared" si="31"/>
        <v>0.1419376915</v>
      </c>
      <c r="I231" s="63">
        <f t="shared" si="32"/>
        <v>0.01555294489</v>
      </c>
      <c r="J231" s="65">
        <f t="shared" si="33"/>
        <v>7.916448949</v>
      </c>
      <c r="K231" s="65">
        <f t="shared" si="5"/>
        <v>17.92946464</v>
      </c>
      <c r="L231" s="52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</row>
    <row r="232" ht="14.25" customHeight="1">
      <c r="A232" s="6">
        <v>51103.0</v>
      </c>
      <c r="B232" s="7" t="s">
        <v>264</v>
      </c>
      <c r="C232" s="7" t="s">
        <v>302</v>
      </c>
      <c r="D232" s="7" t="s">
        <v>305</v>
      </c>
      <c r="E232" s="61">
        <v>14.0</v>
      </c>
      <c r="F232" s="62">
        <v>1006.0</v>
      </c>
      <c r="G232" s="63">
        <f t="shared" si="30"/>
        <v>0.01430030644</v>
      </c>
      <c r="H232" s="64">
        <f t="shared" si="31"/>
        <v>0.1528559755</v>
      </c>
      <c r="I232" s="63">
        <f t="shared" si="32"/>
        <v>0.01763952938</v>
      </c>
      <c r="J232" s="65">
        <f t="shared" si="33"/>
        <v>8.978520454</v>
      </c>
      <c r="K232" s="65">
        <f t="shared" si="5"/>
        <v>17.02462853</v>
      </c>
      <c r="L232" s="52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</row>
    <row r="233" ht="14.25" customHeight="1">
      <c r="A233" s="6">
        <v>51201.0</v>
      </c>
      <c r="B233" s="7" t="s">
        <v>264</v>
      </c>
      <c r="C233" s="7" t="s">
        <v>306</v>
      </c>
      <c r="D233" s="7" t="s">
        <v>307</v>
      </c>
      <c r="E233" s="61">
        <v>41.0</v>
      </c>
      <c r="F233" s="62">
        <v>2445.0</v>
      </c>
      <c r="G233" s="63">
        <f t="shared" si="30"/>
        <v>0.04187946885</v>
      </c>
      <c r="H233" s="64">
        <f t="shared" si="31"/>
        <v>0.4476496425</v>
      </c>
      <c r="I233" s="63">
        <f t="shared" si="32"/>
        <v>0.04287142081</v>
      </c>
      <c r="J233" s="65">
        <f t="shared" si="33"/>
        <v>21.82155319</v>
      </c>
      <c r="K233" s="65">
        <f t="shared" si="5"/>
        <v>20.51410542</v>
      </c>
      <c r="L233" s="52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</row>
    <row r="234" ht="14.25" customHeight="1">
      <c r="A234" s="6">
        <v>51202.0</v>
      </c>
      <c r="B234" s="7" t="s">
        <v>264</v>
      </c>
      <c r="C234" s="7" t="s">
        <v>306</v>
      </c>
      <c r="D234" s="7" t="s">
        <v>308</v>
      </c>
      <c r="E234" s="61">
        <v>8.0</v>
      </c>
      <c r="F234" s="62">
        <v>461.0</v>
      </c>
      <c r="G234" s="63">
        <f t="shared" si="30"/>
        <v>0.008171603677</v>
      </c>
      <c r="H234" s="64">
        <f t="shared" si="31"/>
        <v>0.08734627171</v>
      </c>
      <c r="I234" s="63">
        <f t="shared" si="32"/>
        <v>0.008083323105</v>
      </c>
      <c r="J234" s="65">
        <f t="shared" si="33"/>
        <v>4.11441146</v>
      </c>
      <c r="K234" s="65">
        <f t="shared" si="5"/>
        <v>21.22934776</v>
      </c>
      <c r="L234" s="52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</row>
    <row r="235" ht="14.25" customHeight="1">
      <c r="A235" s="6">
        <v>51203.0</v>
      </c>
      <c r="B235" s="7" t="s">
        <v>264</v>
      </c>
      <c r="C235" s="7" t="s">
        <v>306</v>
      </c>
      <c r="D235" s="7" t="s">
        <v>309</v>
      </c>
      <c r="E235" s="61">
        <v>13.0</v>
      </c>
      <c r="F235" s="62">
        <v>1230.0</v>
      </c>
      <c r="G235" s="63">
        <f t="shared" si="30"/>
        <v>0.01327885598</v>
      </c>
      <c r="H235" s="64">
        <f t="shared" si="31"/>
        <v>0.1419376915</v>
      </c>
      <c r="I235" s="63">
        <f t="shared" si="32"/>
        <v>0.02156721783</v>
      </c>
      <c r="J235" s="65">
        <f t="shared" si="33"/>
        <v>10.97771387</v>
      </c>
      <c r="K235" s="65">
        <f t="shared" si="5"/>
        <v>12.92962206</v>
      </c>
      <c r="L235" s="52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</row>
    <row r="236" ht="14.25" customHeight="1">
      <c r="A236" s="25">
        <v>51204.0</v>
      </c>
      <c r="B236" s="7" t="s">
        <v>264</v>
      </c>
      <c r="C236" s="7"/>
      <c r="D236" s="7" t="s">
        <v>310</v>
      </c>
      <c r="E236" s="61">
        <v>10.0</v>
      </c>
      <c r="F236" s="62">
        <v>363.0</v>
      </c>
      <c r="G236" s="63">
        <f t="shared" si="30"/>
        <v>0.0102145046</v>
      </c>
      <c r="H236" s="64">
        <f t="shared" si="31"/>
        <v>0.1091828396</v>
      </c>
      <c r="I236" s="63">
        <f t="shared" si="32"/>
        <v>0.006364959408</v>
      </c>
      <c r="J236" s="65">
        <f t="shared" si="33"/>
        <v>3.239764339</v>
      </c>
      <c r="K236" s="65">
        <f t="shared" si="5"/>
        <v>33.70085852</v>
      </c>
      <c r="L236" s="52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</row>
    <row r="237" ht="14.25" customHeight="1">
      <c r="A237" s="6">
        <v>51301.0</v>
      </c>
      <c r="B237" s="7" t="s">
        <v>264</v>
      </c>
      <c r="C237" s="7" t="s">
        <v>311</v>
      </c>
      <c r="D237" s="7" t="s">
        <v>312</v>
      </c>
      <c r="E237" s="61">
        <v>5.0</v>
      </c>
      <c r="F237" s="62">
        <v>228.0</v>
      </c>
      <c r="G237" s="63">
        <f t="shared" si="30"/>
        <v>0.005107252298</v>
      </c>
      <c r="H237" s="64">
        <f t="shared" si="31"/>
        <v>0.05459141982</v>
      </c>
      <c r="I237" s="63">
        <f t="shared" si="32"/>
        <v>0.003997825744</v>
      </c>
      <c r="J237" s="65">
        <f t="shared" si="33"/>
        <v>2.034893304</v>
      </c>
      <c r="K237" s="65">
        <f t="shared" si="5"/>
        <v>26.82765712</v>
      </c>
      <c r="L237" s="52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</row>
    <row r="238" ht="14.25" customHeight="1">
      <c r="A238" s="6">
        <v>51302.0</v>
      </c>
      <c r="B238" s="7" t="s">
        <v>264</v>
      </c>
      <c r="C238" s="7" t="s">
        <v>311</v>
      </c>
      <c r="D238" s="7" t="s">
        <v>313</v>
      </c>
      <c r="E238" s="61">
        <v>8.0</v>
      </c>
      <c r="F238" s="62">
        <v>265.0</v>
      </c>
      <c r="G238" s="63">
        <f t="shared" si="30"/>
        <v>0.008171603677</v>
      </c>
      <c r="H238" s="64">
        <f t="shared" si="31"/>
        <v>0.08734627171</v>
      </c>
      <c r="I238" s="63">
        <f t="shared" si="32"/>
        <v>0.004646595711</v>
      </c>
      <c r="J238" s="65">
        <f t="shared" si="33"/>
        <v>2.365117217</v>
      </c>
      <c r="K238" s="65">
        <f t="shared" si="5"/>
        <v>36.93105402</v>
      </c>
      <c r="L238" s="52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</row>
    <row r="239" ht="14.25" customHeight="1">
      <c r="A239" s="6">
        <v>51401.0</v>
      </c>
      <c r="B239" s="7" t="s">
        <v>264</v>
      </c>
      <c r="C239" s="7" t="s">
        <v>314</v>
      </c>
      <c r="D239" s="7" t="s">
        <v>315</v>
      </c>
      <c r="E239" s="61">
        <v>8.0</v>
      </c>
      <c r="F239" s="62">
        <v>285.0</v>
      </c>
      <c r="G239" s="63">
        <f t="shared" si="30"/>
        <v>0.008171603677</v>
      </c>
      <c r="H239" s="64">
        <f t="shared" si="31"/>
        <v>0.08734627171</v>
      </c>
      <c r="I239" s="63">
        <f t="shared" si="32"/>
        <v>0.00499728218</v>
      </c>
      <c r="J239" s="65">
        <f t="shared" si="33"/>
        <v>2.54361663</v>
      </c>
      <c r="K239" s="65">
        <f t="shared" si="5"/>
        <v>34.33940111</v>
      </c>
      <c r="L239" s="52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</row>
    <row r="240" ht="14.25" customHeight="1">
      <c r="A240" s="6">
        <v>51402.0</v>
      </c>
      <c r="B240" s="7" t="s">
        <v>264</v>
      </c>
      <c r="C240" s="7" t="s">
        <v>314</v>
      </c>
      <c r="D240" s="7" t="s">
        <v>316</v>
      </c>
      <c r="E240" s="61">
        <v>0.0</v>
      </c>
      <c r="F240" s="62">
        <v>84.0</v>
      </c>
      <c r="G240" s="63">
        <f t="shared" si="30"/>
        <v>0</v>
      </c>
      <c r="H240" s="64">
        <f t="shared" si="31"/>
        <v>0</v>
      </c>
      <c r="I240" s="63">
        <f t="shared" si="32"/>
        <v>0.001472883169</v>
      </c>
      <c r="J240" s="65">
        <f t="shared" si="33"/>
        <v>0.7496975329</v>
      </c>
      <c r="K240" s="65">
        <f t="shared" si="5"/>
        <v>0</v>
      </c>
      <c r="L240" s="52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</row>
    <row r="241" ht="14.25" customHeight="1">
      <c r="A241" s="6">
        <v>51501.0</v>
      </c>
      <c r="B241" s="7" t="s">
        <v>264</v>
      </c>
      <c r="C241" s="7" t="s">
        <v>317</v>
      </c>
      <c r="D241" s="7" t="s">
        <v>318</v>
      </c>
      <c r="E241" s="61">
        <v>37.0</v>
      </c>
      <c r="F241" s="62">
        <v>2994.0</v>
      </c>
      <c r="G241" s="63">
        <f t="shared" si="30"/>
        <v>0.03779366701</v>
      </c>
      <c r="H241" s="64">
        <f t="shared" si="31"/>
        <v>0.4039765066</v>
      </c>
      <c r="I241" s="63">
        <f t="shared" si="32"/>
        <v>0.05249776437</v>
      </c>
      <c r="J241" s="65">
        <f t="shared" si="33"/>
        <v>26.72136207</v>
      </c>
      <c r="K241" s="65">
        <f t="shared" si="5"/>
        <v>15.11811058</v>
      </c>
      <c r="L241" s="52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</row>
    <row r="242" ht="14.25" customHeight="1">
      <c r="A242" s="6">
        <v>51601.0</v>
      </c>
      <c r="B242" s="7" t="s">
        <v>264</v>
      </c>
      <c r="C242" s="7" t="s">
        <v>319</v>
      </c>
      <c r="D242" s="7" t="s">
        <v>320</v>
      </c>
      <c r="E242" s="61">
        <v>2.0</v>
      </c>
      <c r="F242" s="62">
        <v>128.0</v>
      </c>
      <c r="G242" s="63">
        <f t="shared" si="30"/>
        <v>0.002042900919</v>
      </c>
      <c r="H242" s="64">
        <f t="shared" si="31"/>
        <v>0.02183656793</v>
      </c>
      <c r="I242" s="63">
        <f t="shared" si="32"/>
        <v>0.0022443934</v>
      </c>
      <c r="J242" s="65">
        <f t="shared" si="33"/>
        <v>1.142396241</v>
      </c>
      <c r="K242" s="65">
        <f t="shared" si="5"/>
        <v>19.11470569</v>
      </c>
      <c r="L242" s="52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</row>
    <row r="243" ht="14.25" customHeight="1">
      <c r="A243" s="6">
        <v>60101.0</v>
      </c>
      <c r="B243" s="7" t="s">
        <v>25</v>
      </c>
      <c r="C243" s="7" t="s">
        <v>165</v>
      </c>
      <c r="D243" s="7" t="s">
        <v>25</v>
      </c>
      <c r="E243" s="61">
        <v>71.0</v>
      </c>
      <c r="F243" s="62">
        <v>13085.0</v>
      </c>
      <c r="G243" s="63">
        <f t="shared" ref="G243:G253" si="34">E243/$R$7</f>
        <v>0.3532338308</v>
      </c>
      <c r="H243" s="64">
        <f t="shared" ref="H243:H253" si="35">$S$22*G243</f>
        <v>2.633358209</v>
      </c>
      <c r="I243" s="63">
        <f t="shared" ref="I243:I253" si="36">F243/$S$7</f>
        <v>0.4147779504</v>
      </c>
      <c r="J243" s="65">
        <f t="shared" ref="J243:J253" si="37">I243*$U$22</f>
        <v>147.2461724</v>
      </c>
      <c r="K243" s="65">
        <f t="shared" si="5"/>
        <v>17.88405204</v>
      </c>
      <c r="L243" s="52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</row>
    <row r="244" ht="14.25" customHeight="1">
      <c r="A244" s="6">
        <v>60201.0</v>
      </c>
      <c r="B244" s="7" t="s">
        <v>25</v>
      </c>
      <c r="C244" s="7" t="s">
        <v>321</v>
      </c>
      <c r="D244" s="7" t="s">
        <v>322</v>
      </c>
      <c r="E244" s="61">
        <v>6.0</v>
      </c>
      <c r="F244" s="62">
        <v>1004.0</v>
      </c>
      <c r="G244" s="63">
        <f t="shared" si="34"/>
        <v>0.02985074627</v>
      </c>
      <c r="H244" s="64">
        <f t="shared" si="35"/>
        <v>0.2225373134</v>
      </c>
      <c r="I244" s="63">
        <f t="shared" si="36"/>
        <v>0.03182553016</v>
      </c>
      <c r="J244" s="65">
        <f t="shared" si="37"/>
        <v>11.29806321</v>
      </c>
      <c r="K244" s="65">
        <f t="shared" si="5"/>
        <v>19.69694357</v>
      </c>
      <c r="L244" s="52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</row>
    <row r="245" ht="14.25" customHeight="1">
      <c r="A245" s="6">
        <v>60202.0</v>
      </c>
      <c r="B245" s="7" t="s">
        <v>25</v>
      </c>
      <c r="C245" s="7" t="s">
        <v>321</v>
      </c>
      <c r="D245" s="7" t="s">
        <v>323</v>
      </c>
      <c r="E245" s="61">
        <v>10.0</v>
      </c>
      <c r="F245" s="62">
        <v>2256.0</v>
      </c>
      <c r="G245" s="63">
        <f t="shared" si="34"/>
        <v>0.04975124378</v>
      </c>
      <c r="H245" s="64">
        <f t="shared" si="35"/>
        <v>0.3708955224</v>
      </c>
      <c r="I245" s="63">
        <f t="shared" si="36"/>
        <v>0.07151234666</v>
      </c>
      <c r="J245" s="65">
        <f t="shared" si="37"/>
        <v>25.38688306</v>
      </c>
      <c r="K245" s="65">
        <f t="shared" si="5"/>
        <v>14.6097306</v>
      </c>
      <c r="L245" s="52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</row>
    <row r="246" ht="14.25" customHeight="1">
      <c r="A246" s="6">
        <v>60301.0</v>
      </c>
      <c r="B246" s="7" t="s">
        <v>25</v>
      </c>
      <c r="C246" s="7" t="s">
        <v>35</v>
      </c>
      <c r="D246" s="7" t="s">
        <v>324</v>
      </c>
      <c r="E246" s="61">
        <v>61.0</v>
      </c>
      <c r="F246" s="62">
        <v>6224.0</v>
      </c>
      <c r="G246" s="63">
        <f t="shared" si="34"/>
        <v>0.3034825871</v>
      </c>
      <c r="H246" s="64">
        <f t="shared" si="35"/>
        <v>2.262462687</v>
      </c>
      <c r="I246" s="63">
        <f t="shared" si="36"/>
        <v>0.197292928</v>
      </c>
      <c r="J246" s="65">
        <f t="shared" si="37"/>
        <v>70.03898944</v>
      </c>
      <c r="K246" s="65">
        <f t="shared" si="5"/>
        <v>32.30290306</v>
      </c>
      <c r="L246" s="52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</row>
    <row r="247" ht="14.25" customHeight="1">
      <c r="A247" s="6">
        <v>60302.0</v>
      </c>
      <c r="B247" s="7" t="s">
        <v>25</v>
      </c>
      <c r="C247" s="7" t="s">
        <v>35</v>
      </c>
      <c r="D247" s="7" t="s">
        <v>325</v>
      </c>
      <c r="E247" s="61">
        <v>7.0</v>
      </c>
      <c r="F247" s="62">
        <v>1074.0</v>
      </c>
      <c r="G247" s="63">
        <f t="shared" si="34"/>
        <v>0.03482587065</v>
      </c>
      <c r="H247" s="64">
        <f t="shared" si="35"/>
        <v>0.2596268657</v>
      </c>
      <c r="I247" s="63">
        <f t="shared" si="36"/>
        <v>0.03404444163</v>
      </c>
      <c r="J247" s="65">
        <f t="shared" si="37"/>
        <v>12.08577678</v>
      </c>
      <c r="K247" s="65">
        <f t="shared" si="5"/>
        <v>21.48201729</v>
      </c>
      <c r="L247" s="52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</row>
    <row r="248" ht="14.25" customHeight="1">
      <c r="A248" s="6">
        <v>60303.0</v>
      </c>
      <c r="B248" s="7" t="s">
        <v>25</v>
      </c>
      <c r="C248" s="7" t="s">
        <v>35</v>
      </c>
      <c r="D248" s="7" t="s">
        <v>326</v>
      </c>
      <c r="E248" s="61">
        <v>17.0</v>
      </c>
      <c r="F248" s="62">
        <v>3031.0</v>
      </c>
      <c r="G248" s="63">
        <f t="shared" si="34"/>
        <v>0.08457711443</v>
      </c>
      <c r="H248" s="64">
        <f t="shared" si="35"/>
        <v>0.6305223881</v>
      </c>
      <c r="I248" s="63">
        <f t="shared" si="36"/>
        <v>0.09607886645</v>
      </c>
      <c r="J248" s="65">
        <f t="shared" si="37"/>
        <v>34.10799759</v>
      </c>
      <c r="K248" s="65">
        <f t="shared" si="5"/>
        <v>18.48605701</v>
      </c>
      <c r="L248" s="52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</row>
    <row r="249" ht="14.25" customHeight="1">
      <c r="A249" s="6">
        <v>60401.0</v>
      </c>
      <c r="B249" s="7" t="s">
        <v>25</v>
      </c>
      <c r="C249" s="7" t="s">
        <v>327</v>
      </c>
      <c r="D249" s="7" t="s">
        <v>328</v>
      </c>
      <c r="E249" s="61">
        <v>5.0</v>
      </c>
      <c r="F249" s="62">
        <v>964.0</v>
      </c>
      <c r="G249" s="63">
        <f t="shared" si="34"/>
        <v>0.02487562189</v>
      </c>
      <c r="H249" s="64">
        <f t="shared" si="35"/>
        <v>0.1854477612</v>
      </c>
      <c r="I249" s="63">
        <f t="shared" si="36"/>
        <v>0.03055758075</v>
      </c>
      <c r="J249" s="65">
        <f t="shared" si="37"/>
        <v>10.84794117</v>
      </c>
      <c r="K249" s="65">
        <f t="shared" si="5"/>
        <v>17.09520344</v>
      </c>
      <c r="L249" s="52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</row>
    <row r="250" ht="14.25" customHeight="1">
      <c r="A250" s="6">
        <v>60402.0</v>
      </c>
      <c r="B250" s="7" t="s">
        <v>25</v>
      </c>
      <c r="C250" s="7" t="s">
        <v>327</v>
      </c>
      <c r="D250" s="7" t="s">
        <v>329</v>
      </c>
      <c r="E250" s="61">
        <v>2.0</v>
      </c>
      <c r="F250" s="62">
        <v>311.0</v>
      </c>
      <c r="G250" s="63">
        <f t="shared" si="34"/>
        <v>0.009950248756</v>
      </c>
      <c r="H250" s="64">
        <f t="shared" si="35"/>
        <v>0.07417910448</v>
      </c>
      <c r="I250" s="63">
        <f t="shared" si="36"/>
        <v>0.009858306654</v>
      </c>
      <c r="J250" s="65">
        <f t="shared" si="37"/>
        <v>3.499698862</v>
      </c>
      <c r="K250" s="65">
        <f t="shared" si="5"/>
        <v>21.19585353</v>
      </c>
      <c r="L250" s="52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</row>
    <row r="251" ht="14.25" customHeight="1">
      <c r="A251" s="6">
        <v>60501.0</v>
      </c>
      <c r="B251" s="7" t="s">
        <v>25</v>
      </c>
      <c r="C251" s="7" t="s">
        <v>330</v>
      </c>
      <c r="D251" s="7" t="s">
        <v>331</v>
      </c>
      <c r="E251" s="61">
        <v>8.0</v>
      </c>
      <c r="F251" s="62">
        <v>1741.0</v>
      </c>
      <c r="G251" s="63">
        <f t="shared" si="34"/>
        <v>0.03980099502</v>
      </c>
      <c r="H251" s="64">
        <f t="shared" si="35"/>
        <v>0.2967164179</v>
      </c>
      <c r="I251" s="63">
        <f t="shared" si="36"/>
        <v>0.05518749802</v>
      </c>
      <c r="J251" s="65">
        <f t="shared" si="37"/>
        <v>19.5915618</v>
      </c>
      <c r="K251" s="65">
        <f t="shared" si="5"/>
        <v>15.14511303</v>
      </c>
      <c r="L251" s="52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</row>
    <row r="252" ht="14.25" customHeight="1">
      <c r="A252" s="6">
        <v>60502.0</v>
      </c>
      <c r="B252" s="7" t="s">
        <v>25</v>
      </c>
      <c r="C252" s="7" t="s">
        <v>330</v>
      </c>
      <c r="D252" s="7" t="s">
        <v>332</v>
      </c>
      <c r="E252" s="61">
        <v>5.0</v>
      </c>
      <c r="F252" s="62">
        <v>561.0</v>
      </c>
      <c r="G252" s="63">
        <f t="shared" si="34"/>
        <v>0.02487562189</v>
      </c>
      <c r="H252" s="64">
        <f t="shared" si="35"/>
        <v>0.1854477612</v>
      </c>
      <c r="I252" s="63">
        <f t="shared" si="36"/>
        <v>0.01778299046</v>
      </c>
      <c r="J252" s="65">
        <f t="shared" si="37"/>
        <v>6.312961613</v>
      </c>
      <c r="K252" s="65">
        <f t="shared" si="5"/>
        <v>29.37571501</v>
      </c>
      <c r="L252" s="52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</row>
    <row r="253" ht="14.25" customHeight="1">
      <c r="A253" s="6">
        <v>60601.0</v>
      </c>
      <c r="B253" s="7" t="s">
        <v>25</v>
      </c>
      <c r="C253" s="7" t="s">
        <v>333</v>
      </c>
      <c r="D253" s="7" t="s">
        <v>206</v>
      </c>
      <c r="E253" s="61">
        <v>9.0</v>
      </c>
      <c r="F253" s="62">
        <v>1296.0</v>
      </c>
      <c r="G253" s="63">
        <f t="shared" si="34"/>
        <v>0.0447761194</v>
      </c>
      <c r="H253" s="64">
        <f t="shared" si="35"/>
        <v>0.3338059701</v>
      </c>
      <c r="I253" s="63">
        <f t="shared" si="36"/>
        <v>0.04108156085</v>
      </c>
      <c r="J253" s="65">
        <f t="shared" si="37"/>
        <v>14.5839541</v>
      </c>
      <c r="K253" s="65">
        <f t="shared" si="5"/>
        <v>22.88857794</v>
      </c>
      <c r="L253" s="52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</row>
    <row r="254" ht="14.25" customHeight="1">
      <c r="A254" s="6">
        <v>70101.0</v>
      </c>
      <c r="B254" s="7" t="s">
        <v>27</v>
      </c>
      <c r="C254" s="7" t="s">
        <v>334</v>
      </c>
      <c r="D254" s="7" t="s">
        <v>335</v>
      </c>
      <c r="E254" s="61">
        <v>596.0</v>
      </c>
      <c r="F254" s="62">
        <v>100340.0</v>
      </c>
      <c r="G254" s="63">
        <f t="shared" ref="G254:G309" si="38">E254/$R$8</f>
        <v>0.3654199877</v>
      </c>
      <c r="H254" s="64">
        <f t="shared" ref="H254:H309" si="39">$S$23*G254</f>
        <v>4.575789086</v>
      </c>
      <c r="I254" s="63">
        <f t="shared" ref="I254:I309" si="40">F254/$S$8</f>
        <v>0.4764663425</v>
      </c>
      <c r="J254" s="65">
        <f t="shared" ref="J254:J309" si="41">I254*$U$23</f>
        <v>994.3852568</v>
      </c>
      <c r="K254" s="65">
        <f t="shared" si="5"/>
        <v>4.601626035</v>
      </c>
      <c r="L254" s="52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</row>
    <row r="255" ht="14.25" customHeight="1">
      <c r="A255" s="6">
        <v>70102.0</v>
      </c>
      <c r="B255" s="7" t="s">
        <v>27</v>
      </c>
      <c r="C255" s="7" t="s">
        <v>334</v>
      </c>
      <c r="D255" s="7" t="s">
        <v>336</v>
      </c>
      <c r="E255" s="61">
        <v>58.0</v>
      </c>
      <c r="F255" s="62">
        <v>8168.0</v>
      </c>
      <c r="G255" s="63">
        <f t="shared" si="38"/>
        <v>0.03556100552</v>
      </c>
      <c r="H255" s="64">
        <f t="shared" si="39"/>
        <v>0.4452949111</v>
      </c>
      <c r="I255" s="63">
        <f t="shared" si="40"/>
        <v>0.0387858988</v>
      </c>
      <c r="J255" s="65">
        <f t="shared" si="41"/>
        <v>80.94617079</v>
      </c>
      <c r="K255" s="65">
        <f t="shared" si="5"/>
        <v>5.501123855</v>
      </c>
      <c r="L255" s="52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</row>
    <row r="256" ht="14.25" customHeight="1">
      <c r="A256" s="6">
        <v>70103.0</v>
      </c>
      <c r="B256" s="7" t="s">
        <v>27</v>
      </c>
      <c r="C256" s="7" t="s">
        <v>334</v>
      </c>
      <c r="D256" s="7" t="s">
        <v>337</v>
      </c>
      <c r="E256" s="61">
        <v>9.0</v>
      </c>
      <c r="F256" s="62">
        <v>1394.0</v>
      </c>
      <c r="G256" s="63">
        <f t="shared" si="38"/>
        <v>0.005518087063</v>
      </c>
      <c r="H256" s="64">
        <f t="shared" si="39"/>
        <v>0.0690974862</v>
      </c>
      <c r="I256" s="63">
        <f t="shared" si="40"/>
        <v>0.006619434736</v>
      </c>
      <c r="J256" s="65">
        <f t="shared" si="41"/>
        <v>13.81476029</v>
      </c>
      <c r="K256" s="65">
        <f t="shared" si="5"/>
        <v>5.001714451</v>
      </c>
      <c r="L256" s="52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</row>
    <row r="257" ht="14.25" customHeight="1">
      <c r="A257" s="6">
        <v>70104.0</v>
      </c>
      <c r="B257" s="7" t="s">
        <v>27</v>
      </c>
      <c r="C257" s="7" t="s">
        <v>334</v>
      </c>
      <c r="D257" s="7" t="s">
        <v>338</v>
      </c>
      <c r="E257" s="61">
        <v>62.0</v>
      </c>
      <c r="F257" s="62">
        <v>10727.0</v>
      </c>
      <c r="G257" s="63">
        <f t="shared" si="38"/>
        <v>0.03801348866</v>
      </c>
      <c r="H257" s="64">
        <f t="shared" si="39"/>
        <v>0.476004905</v>
      </c>
      <c r="I257" s="63">
        <f t="shared" si="40"/>
        <v>0.05093735754</v>
      </c>
      <c r="J257" s="65">
        <f t="shared" si="41"/>
        <v>106.3062652</v>
      </c>
      <c r="K257" s="65">
        <f t="shared" si="5"/>
        <v>4.47767499</v>
      </c>
      <c r="L257" s="52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</row>
    <row r="258" ht="14.25" customHeight="1">
      <c r="A258" s="6">
        <v>70105.0</v>
      </c>
      <c r="B258" s="7" t="s">
        <v>27</v>
      </c>
      <c r="C258" s="7" t="s">
        <v>334</v>
      </c>
      <c r="D258" s="7" t="s">
        <v>339</v>
      </c>
      <c r="E258" s="61">
        <v>29.0</v>
      </c>
      <c r="F258" s="62">
        <v>3804.0</v>
      </c>
      <c r="G258" s="63">
        <f t="shared" si="38"/>
        <v>0.01778050276</v>
      </c>
      <c r="H258" s="64">
        <f t="shared" si="39"/>
        <v>0.2226474555</v>
      </c>
      <c r="I258" s="63">
        <f t="shared" si="40"/>
        <v>0.01806336423</v>
      </c>
      <c r="J258" s="65">
        <f t="shared" si="41"/>
        <v>37.69824115</v>
      </c>
      <c r="K258" s="65">
        <f t="shared" si="5"/>
        <v>5.906043592</v>
      </c>
      <c r="L258" s="52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</row>
    <row r="259" ht="14.25" customHeight="1">
      <c r="A259" s="6">
        <v>70201.0</v>
      </c>
      <c r="B259" s="7" t="s">
        <v>27</v>
      </c>
      <c r="C259" s="7" t="s">
        <v>340</v>
      </c>
      <c r="D259" s="7" t="s">
        <v>340</v>
      </c>
      <c r="E259" s="61">
        <v>89.0</v>
      </c>
      <c r="F259" s="62">
        <v>11147.0</v>
      </c>
      <c r="G259" s="63">
        <f t="shared" si="38"/>
        <v>0.05456774985</v>
      </c>
      <c r="H259" s="64">
        <f t="shared" si="39"/>
        <v>0.6832973636</v>
      </c>
      <c r="I259" s="63">
        <f t="shared" si="40"/>
        <v>0.0529317353</v>
      </c>
      <c r="J259" s="65">
        <f t="shared" si="41"/>
        <v>110.4685316</v>
      </c>
      <c r="K259" s="65">
        <f t="shared" si="5"/>
        <v>6.185448054</v>
      </c>
      <c r="L259" s="52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</row>
    <row r="260" ht="14.25" customHeight="1">
      <c r="A260" s="6">
        <v>70202.0</v>
      </c>
      <c r="B260" s="7" t="s">
        <v>27</v>
      </c>
      <c r="C260" s="7" t="s">
        <v>340</v>
      </c>
      <c r="D260" s="7" t="s">
        <v>341</v>
      </c>
      <c r="E260" s="61">
        <v>7.0</v>
      </c>
      <c r="F260" s="62">
        <v>737.0</v>
      </c>
      <c r="G260" s="63">
        <f t="shared" si="38"/>
        <v>0.004291845494</v>
      </c>
      <c r="H260" s="64">
        <f t="shared" si="39"/>
        <v>0.05374248927</v>
      </c>
      <c r="I260" s="63">
        <f t="shared" si="40"/>
        <v>0.003499658107</v>
      </c>
      <c r="J260" s="65">
        <f t="shared" si="41"/>
        <v>7.303786469</v>
      </c>
      <c r="K260" s="65">
        <f t="shared" si="5"/>
        <v>7.358168191</v>
      </c>
      <c r="L260" s="52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</row>
    <row r="261" ht="14.25" customHeight="1">
      <c r="A261" s="6">
        <v>70301.0</v>
      </c>
      <c r="B261" s="7" t="s">
        <v>27</v>
      </c>
      <c r="C261" s="7" t="s">
        <v>342</v>
      </c>
      <c r="D261" s="7" t="s">
        <v>343</v>
      </c>
      <c r="E261" s="61">
        <v>64.0</v>
      </c>
      <c r="F261" s="62">
        <v>5551.0</v>
      </c>
      <c r="G261" s="63">
        <f t="shared" si="38"/>
        <v>0.03923973023</v>
      </c>
      <c r="H261" s="64">
        <f t="shared" si="39"/>
        <v>0.4913599019</v>
      </c>
      <c r="I261" s="63">
        <f t="shared" si="40"/>
        <v>0.02635902598</v>
      </c>
      <c r="J261" s="65">
        <f t="shared" si="41"/>
        <v>55.01128723</v>
      </c>
      <c r="K261" s="65">
        <f t="shared" si="5"/>
        <v>8.931983356</v>
      </c>
      <c r="L261" s="52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</row>
    <row r="262" ht="14.25" customHeight="1">
      <c r="A262" s="6">
        <v>70302.0</v>
      </c>
      <c r="B262" s="7" t="s">
        <v>27</v>
      </c>
      <c r="C262" s="7" t="s">
        <v>342</v>
      </c>
      <c r="D262" s="7" t="s">
        <v>344</v>
      </c>
      <c r="E262" s="61">
        <v>21.0</v>
      </c>
      <c r="F262" s="62">
        <v>991.0</v>
      </c>
      <c r="G262" s="63">
        <f t="shared" si="38"/>
        <v>0.01287553648</v>
      </c>
      <c r="H262" s="64">
        <f t="shared" si="39"/>
        <v>0.1612274678</v>
      </c>
      <c r="I262" s="63">
        <f t="shared" si="40"/>
        <v>0.004705781796</v>
      </c>
      <c r="J262" s="65">
        <f t="shared" si="41"/>
        <v>9.820966608</v>
      </c>
      <c r="K262" s="65">
        <f t="shared" si="5"/>
        <v>16.41665981</v>
      </c>
      <c r="L262" s="52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</row>
    <row r="263" ht="14.25" customHeight="1">
      <c r="A263" s="6">
        <v>70303.0</v>
      </c>
      <c r="B263" s="7" t="s">
        <v>27</v>
      </c>
      <c r="C263" s="7" t="s">
        <v>342</v>
      </c>
      <c r="D263" s="7" t="s">
        <v>345</v>
      </c>
      <c r="E263" s="61">
        <v>9.0</v>
      </c>
      <c r="F263" s="62">
        <v>660.0</v>
      </c>
      <c r="G263" s="63">
        <f t="shared" si="38"/>
        <v>0.005518087063</v>
      </c>
      <c r="H263" s="64">
        <f t="shared" si="39"/>
        <v>0.0690974862</v>
      </c>
      <c r="I263" s="63">
        <f t="shared" si="40"/>
        <v>0.003134022185</v>
      </c>
      <c r="J263" s="65">
        <f t="shared" si="41"/>
        <v>6.5407043</v>
      </c>
      <c r="K263" s="65">
        <f t="shared" si="5"/>
        <v>10.56422719</v>
      </c>
      <c r="L263" s="52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</row>
    <row r="264" ht="14.25" customHeight="1">
      <c r="A264" s="6">
        <v>70401.0</v>
      </c>
      <c r="B264" s="7" t="s">
        <v>27</v>
      </c>
      <c r="C264" s="7" t="s">
        <v>346</v>
      </c>
      <c r="D264" s="7" t="s">
        <v>347</v>
      </c>
      <c r="E264" s="61">
        <v>2.0</v>
      </c>
      <c r="F264" s="62">
        <v>934.0</v>
      </c>
      <c r="G264" s="63">
        <f t="shared" si="38"/>
        <v>0.00122624157</v>
      </c>
      <c r="H264" s="64">
        <f t="shared" si="39"/>
        <v>0.01535499693</v>
      </c>
      <c r="I264" s="63">
        <f t="shared" si="40"/>
        <v>0.004435116244</v>
      </c>
      <c r="J264" s="65">
        <f t="shared" si="41"/>
        <v>9.256087601</v>
      </c>
      <c r="K264" s="65">
        <f t="shared" si="5"/>
        <v>1.65890791</v>
      </c>
      <c r="L264" s="52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</row>
    <row r="265" ht="14.25" customHeight="1">
      <c r="A265" s="6">
        <v>70402.0</v>
      </c>
      <c r="B265" s="7" t="s">
        <v>27</v>
      </c>
      <c r="C265" s="7" t="s">
        <v>346</v>
      </c>
      <c r="D265" s="7" t="s">
        <v>348</v>
      </c>
      <c r="E265" s="61">
        <v>11.0</v>
      </c>
      <c r="F265" s="62">
        <v>1309.0</v>
      </c>
      <c r="G265" s="63">
        <f t="shared" si="38"/>
        <v>0.006744328633</v>
      </c>
      <c r="H265" s="64">
        <f t="shared" si="39"/>
        <v>0.08445248314</v>
      </c>
      <c r="I265" s="63">
        <f t="shared" si="40"/>
        <v>0.006215810667</v>
      </c>
      <c r="J265" s="65">
        <f t="shared" si="41"/>
        <v>12.97239686</v>
      </c>
      <c r="K265" s="65">
        <f t="shared" si="5"/>
        <v>6.510168016</v>
      </c>
      <c r="L265" s="52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</row>
    <row r="266" ht="14.25" customHeight="1">
      <c r="A266" s="6">
        <v>70403.0</v>
      </c>
      <c r="B266" s="7" t="s">
        <v>27</v>
      </c>
      <c r="C266" s="7" t="s">
        <v>346</v>
      </c>
      <c r="D266" s="7" t="s">
        <v>349</v>
      </c>
      <c r="E266" s="61">
        <v>33.0</v>
      </c>
      <c r="F266" s="62">
        <v>4103.0</v>
      </c>
      <c r="G266" s="63">
        <f t="shared" si="38"/>
        <v>0.0202329859</v>
      </c>
      <c r="H266" s="64">
        <f t="shared" si="39"/>
        <v>0.2533574494</v>
      </c>
      <c r="I266" s="63">
        <f t="shared" si="40"/>
        <v>0.01948317125</v>
      </c>
      <c r="J266" s="65">
        <f t="shared" si="41"/>
        <v>40.6613784</v>
      </c>
      <c r="K266" s="65">
        <f t="shared" si="5"/>
        <v>6.230911479</v>
      </c>
      <c r="L266" s="52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</row>
    <row r="267" ht="14.25" customHeight="1">
      <c r="A267" s="6">
        <v>70404.0</v>
      </c>
      <c r="B267" s="7" t="s">
        <v>27</v>
      </c>
      <c r="C267" s="7" t="s">
        <v>346</v>
      </c>
      <c r="D267" s="7" t="s">
        <v>350</v>
      </c>
      <c r="E267" s="61">
        <v>3.0</v>
      </c>
      <c r="F267" s="62">
        <v>682.0</v>
      </c>
      <c r="G267" s="63">
        <f t="shared" si="38"/>
        <v>0.001839362354</v>
      </c>
      <c r="H267" s="64">
        <f t="shared" si="39"/>
        <v>0.0230324954</v>
      </c>
      <c r="I267" s="63">
        <f t="shared" si="40"/>
        <v>0.003238489591</v>
      </c>
      <c r="J267" s="65">
        <f t="shared" si="41"/>
        <v>6.758727777</v>
      </c>
      <c r="K267" s="65">
        <f t="shared" si="5"/>
        <v>3.407815222</v>
      </c>
      <c r="L267" s="52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</row>
    <row r="268" ht="14.25" customHeight="1">
      <c r="A268" s="6">
        <v>70501.0</v>
      </c>
      <c r="B268" s="7" t="s">
        <v>27</v>
      </c>
      <c r="C268" s="7" t="s">
        <v>351</v>
      </c>
      <c r="D268" s="7" t="s">
        <v>352</v>
      </c>
      <c r="E268" s="61">
        <v>40.0</v>
      </c>
      <c r="F268" s="62">
        <v>3132.0</v>
      </c>
      <c r="G268" s="63">
        <f t="shared" si="38"/>
        <v>0.02452483139</v>
      </c>
      <c r="H268" s="64">
        <f t="shared" si="39"/>
        <v>0.3070999387</v>
      </c>
      <c r="I268" s="63">
        <f t="shared" si="40"/>
        <v>0.01487235982</v>
      </c>
      <c r="J268" s="65">
        <f t="shared" si="41"/>
        <v>31.03861495</v>
      </c>
      <c r="K268" s="65">
        <f t="shared" si="5"/>
        <v>9.894125081</v>
      </c>
      <c r="L268" s="52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</row>
    <row r="269" ht="14.25" customHeight="1">
      <c r="A269" s="6">
        <v>70502.0</v>
      </c>
      <c r="B269" s="7" t="s">
        <v>27</v>
      </c>
      <c r="C269" s="7" t="s">
        <v>351</v>
      </c>
      <c r="D269" s="7" t="s">
        <v>353</v>
      </c>
      <c r="E269" s="61">
        <v>70.0</v>
      </c>
      <c r="F269" s="62">
        <v>4607.0</v>
      </c>
      <c r="G269" s="63">
        <f t="shared" si="38"/>
        <v>0.04291845494</v>
      </c>
      <c r="H269" s="64">
        <f t="shared" si="39"/>
        <v>0.5374248927</v>
      </c>
      <c r="I269" s="63">
        <f t="shared" si="40"/>
        <v>0.02187642456</v>
      </c>
      <c r="J269" s="65">
        <f t="shared" si="41"/>
        <v>45.65609805</v>
      </c>
      <c r="K269" s="65">
        <f t="shared" si="5"/>
        <v>11.7711525</v>
      </c>
      <c r="L269" s="52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</row>
    <row r="270" ht="14.25" customHeight="1">
      <c r="A270" s="6">
        <v>70503.0</v>
      </c>
      <c r="B270" s="7" t="s">
        <v>27</v>
      </c>
      <c r="C270" s="7" t="s">
        <v>351</v>
      </c>
      <c r="D270" s="7" t="s">
        <v>354</v>
      </c>
      <c r="E270" s="61">
        <v>8.0</v>
      </c>
      <c r="F270" s="62">
        <v>1252.0</v>
      </c>
      <c r="G270" s="63">
        <f t="shared" si="38"/>
        <v>0.004904966278</v>
      </c>
      <c r="H270" s="64">
        <f t="shared" si="39"/>
        <v>0.06141998774</v>
      </c>
      <c r="I270" s="63">
        <f t="shared" si="40"/>
        <v>0.005945145115</v>
      </c>
      <c r="J270" s="65">
        <f t="shared" si="41"/>
        <v>12.40751785</v>
      </c>
      <c r="K270" s="65">
        <f t="shared" si="5"/>
        <v>4.950223603</v>
      </c>
      <c r="L270" s="52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</row>
    <row r="271" ht="14.25" customHeight="1">
      <c r="A271" s="6">
        <v>70601.0</v>
      </c>
      <c r="B271" s="7" t="s">
        <v>27</v>
      </c>
      <c r="C271" s="7" t="s">
        <v>355</v>
      </c>
      <c r="D271" s="7" t="s">
        <v>356</v>
      </c>
      <c r="E271" s="61">
        <v>7.0</v>
      </c>
      <c r="F271" s="62">
        <v>1435.0</v>
      </c>
      <c r="G271" s="63">
        <f t="shared" si="38"/>
        <v>0.004291845494</v>
      </c>
      <c r="H271" s="64">
        <f t="shared" si="39"/>
        <v>0.05374248927</v>
      </c>
      <c r="I271" s="63">
        <f t="shared" si="40"/>
        <v>0.006814123993</v>
      </c>
      <c r="J271" s="65">
        <f t="shared" si="41"/>
        <v>14.22107677</v>
      </c>
      <c r="K271" s="65">
        <f t="shared" si="5"/>
        <v>3.779073141</v>
      </c>
      <c r="L271" s="52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</row>
    <row r="272" ht="14.25" customHeight="1">
      <c r="A272" s="6">
        <v>70602.0</v>
      </c>
      <c r="B272" s="7" t="s">
        <v>27</v>
      </c>
      <c r="C272" s="7" t="s">
        <v>355</v>
      </c>
      <c r="D272" s="7" t="s">
        <v>357</v>
      </c>
      <c r="E272" s="61">
        <v>13.0</v>
      </c>
      <c r="F272" s="62">
        <v>1233.0</v>
      </c>
      <c r="G272" s="63">
        <f t="shared" si="38"/>
        <v>0.007970570202</v>
      </c>
      <c r="H272" s="64">
        <f t="shared" si="39"/>
        <v>0.09980748007</v>
      </c>
      <c r="I272" s="63">
        <f t="shared" si="40"/>
        <v>0.005854923264</v>
      </c>
      <c r="J272" s="65">
        <f t="shared" si="41"/>
        <v>12.21922485</v>
      </c>
      <c r="K272" s="65">
        <f t="shared" si="5"/>
        <v>8.168069684</v>
      </c>
      <c r="L272" s="52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</row>
    <row r="273" ht="14.25" customHeight="1">
      <c r="A273" s="6">
        <v>70603.0</v>
      </c>
      <c r="B273" s="7" t="s">
        <v>27</v>
      </c>
      <c r="C273" s="7" t="s">
        <v>355</v>
      </c>
      <c r="D273" s="7" t="s">
        <v>358</v>
      </c>
      <c r="E273" s="61">
        <v>3.0</v>
      </c>
      <c r="F273" s="62">
        <v>429.0</v>
      </c>
      <c r="G273" s="63">
        <f t="shared" si="38"/>
        <v>0.001839362354</v>
      </c>
      <c r="H273" s="64">
        <f t="shared" si="39"/>
        <v>0.0230324954</v>
      </c>
      <c r="I273" s="63">
        <f t="shared" si="40"/>
        <v>0.00203711442</v>
      </c>
      <c r="J273" s="65">
        <f t="shared" si="41"/>
        <v>4.251457795</v>
      </c>
      <c r="K273" s="65">
        <f t="shared" si="5"/>
        <v>5.417552405</v>
      </c>
      <c r="L273" s="52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</row>
    <row r="274" ht="14.25" customHeight="1">
      <c r="A274" s="6">
        <v>70701.0</v>
      </c>
      <c r="B274" s="7" t="s">
        <v>27</v>
      </c>
      <c r="C274" s="7" t="s">
        <v>359</v>
      </c>
      <c r="D274" s="7" t="s">
        <v>360</v>
      </c>
      <c r="E274" s="61">
        <v>5.0</v>
      </c>
      <c r="F274" s="62">
        <v>431.0</v>
      </c>
      <c r="G274" s="63">
        <f t="shared" si="38"/>
        <v>0.003065603924</v>
      </c>
      <c r="H274" s="64">
        <f t="shared" si="39"/>
        <v>0.03838749234</v>
      </c>
      <c r="I274" s="63">
        <f t="shared" si="40"/>
        <v>0.002046611457</v>
      </c>
      <c r="J274" s="65">
        <f t="shared" si="41"/>
        <v>4.271278111</v>
      </c>
      <c r="K274" s="65">
        <f t="shared" si="5"/>
        <v>8.987354917</v>
      </c>
      <c r="L274" s="52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</row>
    <row r="275" ht="14.25" customHeight="1">
      <c r="A275" s="6">
        <v>70702.0</v>
      </c>
      <c r="B275" s="7" t="s">
        <v>27</v>
      </c>
      <c r="C275" s="7" t="s">
        <v>359</v>
      </c>
      <c r="D275" s="7" t="s">
        <v>361</v>
      </c>
      <c r="E275" s="61">
        <v>64.0</v>
      </c>
      <c r="F275" s="62">
        <v>2828.0</v>
      </c>
      <c r="G275" s="63">
        <f t="shared" si="38"/>
        <v>0.03923973023</v>
      </c>
      <c r="H275" s="64">
        <f t="shared" si="39"/>
        <v>0.4913599019</v>
      </c>
      <c r="I275" s="63">
        <f t="shared" si="40"/>
        <v>0.01342881021</v>
      </c>
      <c r="J275" s="65">
        <f t="shared" si="41"/>
        <v>28.02592691</v>
      </c>
      <c r="K275" s="65">
        <f t="shared" si="5"/>
        <v>17.53233367</v>
      </c>
      <c r="L275" s="52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</row>
    <row r="276" ht="14.25" customHeight="1">
      <c r="A276" s="6">
        <v>70703.0</v>
      </c>
      <c r="B276" s="7" t="s">
        <v>27</v>
      </c>
      <c r="C276" s="7" t="s">
        <v>359</v>
      </c>
      <c r="D276" s="7" t="s">
        <v>362</v>
      </c>
      <c r="E276" s="61">
        <v>22.0</v>
      </c>
      <c r="F276" s="62">
        <v>2467.0</v>
      </c>
      <c r="G276" s="63">
        <f t="shared" si="38"/>
        <v>0.01348865727</v>
      </c>
      <c r="H276" s="64">
        <f t="shared" si="39"/>
        <v>0.1689049663</v>
      </c>
      <c r="I276" s="63">
        <f t="shared" si="40"/>
        <v>0.01171459505</v>
      </c>
      <c r="J276" s="65">
        <f t="shared" si="41"/>
        <v>24.44835986</v>
      </c>
      <c r="K276" s="65">
        <f t="shared" si="5"/>
        <v>6.908642021</v>
      </c>
      <c r="L276" s="52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</row>
    <row r="277" ht="14.25" customHeight="1">
      <c r="A277" s="6">
        <v>70704.0</v>
      </c>
      <c r="B277" s="7" t="s">
        <v>27</v>
      </c>
      <c r="C277" s="7" t="s">
        <v>359</v>
      </c>
      <c r="D277" s="7" t="s">
        <v>363</v>
      </c>
      <c r="E277" s="61">
        <v>2.0</v>
      </c>
      <c r="F277" s="62">
        <v>277.0</v>
      </c>
      <c r="G277" s="63">
        <f t="shared" si="38"/>
        <v>0.00122624157</v>
      </c>
      <c r="H277" s="64">
        <f t="shared" si="39"/>
        <v>0.01535499693</v>
      </c>
      <c r="I277" s="63">
        <f t="shared" si="40"/>
        <v>0.001315339614</v>
      </c>
      <c r="J277" s="65">
        <f t="shared" si="41"/>
        <v>2.745113775</v>
      </c>
      <c r="K277" s="65">
        <f t="shared" si="5"/>
        <v>5.593573963</v>
      </c>
      <c r="L277" s="52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</row>
    <row r="278" ht="14.25" customHeight="1">
      <c r="A278" s="6">
        <v>70705.0</v>
      </c>
      <c r="B278" s="7" t="s">
        <v>27</v>
      </c>
      <c r="C278" s="7" t="s">
        <v>359</v>
      </c>
      <c r="D278" s="7" t="s">
        <v>364</v>
      </c>
      <c r="E278" s="61">
        <v>25.0</v>
      </c>
      <c r="F278" s="62">
        <v>1202.0</v>
      </c>
      <c r="G278" s="63">
        <f t="shared" si="38"/>
        <v>0.01532801962</v>
      </c>
      <c r="H278" s="64">
        <f t="shared" si="39"/>
        <v>0.1919374617</v>
      </c>
      <c r="I278" s="63">
        <f t="shared" si="40"/>
        <v>0.005707719192</v>
      </c>
      <c r="J278" s="65">
        <f t="shared" si="41"/>
        <v>11.91200995</v>
      </c>
      <c r="K278" s="65">
        <f t="shared" si="5"/>
        <v>16.11293664</v>
      </c>
      <c r="L278" s="52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</row>
    <row r="279" ht="14.25" customHeight="1">
      <c r="A279" s="6">
        <v>70706.0</v>
      </c>
      <c r="B279" s="7" t="s">
        <v>27</v>
      </c>
      <c r="C279" s="7" t="s">
        <v>359</v>
      </c>
      <c r="D279" s="7" t="s">
        <v>365</v>
      </c>
      <c r="E279" s="61">
        <v>14.0</v>
      </c>
      <c r="F279" s="62">
        <v>1931.0</v>
      </c>
      <c r="G279" s="63">
        <f t="shared" si="38"/>
        <v>0.008583690987</v>
      </c>
      <c r="H279" s="64">
        <f t="shared" si="39"/>
        <v>0.1074849785</v>
      </c>
      <c r="I279" s="63">
        <f t="shared" si="40"/>
        <v>0.009169389151</v>
      </c>
      <c r="J279" s="65">
        <f t="shared" si="41"/>
        <v>19.13651516</v>
      </c>
      <c r="K279" s="65">
        <f t="shared" si="5"/>
        <v>5.616747755</v>
      </c>
      <c r="L279" s="52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</row>
    <row r="280" ht="14.25" customHeight="1">
      <c r="A280" s="6">
        <v>70707.0</v>
      </c>
      <c r="B280" s="7" t="s">
        <v>27</v>
      </c>
      <c r="C280" s="7" t="s">
        <v>359</v>
      </c>
      <c r="D280" s="7" t="s">
        <v>366</v>
      </c>
      <c r="E280" s="61">
        <v>2.0</v>
      </c>
      <c r="F280" s="62">
        <v>396.0</v>
      </c>
      <c r="G280" s="63">
        <f t="shared" si="38"/>
        <v>0.00122624157</v>
      </c>
      <c r="H280" s="64">
        <f t="shared" si="39"/>
        <v>0.01535499693</v>
      </c>
      <c r="I280" s="63">
        <f t="shared" si="40"/>
        <v>0.001880413311</v>
      </c>
      <c r="J280" s="65">
        <f t="shared" si="41"/>
        <v>3.92442258</v>
      </c>
      <c r="K280" s="65">
        <f t="shared" si="5"/>
        <v>3.912676737</v>
      </c>
      <c r="L280" s="52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</row>
    <row r="281" ht="14.25" customHeight="1">
      <c r="A281" s="6">
        <v>70801.0</v>
      </c>
      <c r="B281" s="7" t="s">
        <v>27</v>
      </c>
      <c r="C281" s="7" t="s">
        <v>367</v>
      </c>
      <c r="D281" s="7" t="s">
        <v>367</v>
      </c>
      <c r="E281" s="61">
        <v>6.0</v>
      </c>
      <c r="F281" s="62">
        <v>968.0</v>
      </c>
      <c r="G281" s="63">
        <f t="shared" si="38"/>
        <v>0.003678724709</v>
      </c>
      <c r="H281" s="64">
        <f t="shared" si="39"/>
        <v>0.0460649908</v>
      </c>
      <c r="I281" s="63">
        <f t="shared" si="40"/>
        <v>0.004596565871</v>
      </c>
      <c r="J281" s="65">
        <f t="shared" si="41"/>
        <v>9.593032974</v>
      </c>
      <c r="K281" s="65">
        <f t="shared" si="5"/>
        <v>4.80192145</v>
      </c>
      <c r="L281" s="52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</row>
    <row r="282" ht="14.25" customHeight="1">
      <c r="A282" s="6">
        <v>70802.0</v>
      </c>
      <c r="B282" s="7" t="s">
        <v>27</v>
      </c>
      <c r="C282" s="7" t="s">
        <v>367</v>
      </c>
      <c r="D282" s="7" t="s">
        <v>368</v>
      </c>
      <c r="E282" s="61">
        <v>2.0</v>
      </c>
      <c r="F282" s="62">
        <v>112.0</v>
      </c>
      <c r="G282" s="63">
        <f t="shared" si="38"/>
        <v>0.00122624157</v>
      </c>
      <c r="H282" s="64">
        <f t="shared" si="39"/>
        <v>0.01535499693</v>
      </c>
      <c r="I282" s="63">
        <f t="shared" si="40"/>
        <v>0.0005318340678</v>
      </c>
      <c r="J282" s="65">
        <f t="shared" si="41"/>
        <v>1.109937699</v>
      </c>
      <c r="K282" s="65">
        <f t="shared" si="5"/>
        <v>13.83410703</v>
      </c>
      <c r="L282" s="52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</row>
    <row r="283" ht="14.25" customHeight="1">
      <c r="A283" s="6">
        <v>70803.0</v>
      </c>
      <c r="B283" s="7" t="s">
        <v>27</v>
      </c>
      <c r="C283" s="7" t="s">
        <v>367</v>
      </c>
      <c r="D283" s="7" t="s">
        <v>369</v>
      </c>
      <c r="E283" s="61">
        <v>0.0</v>
      </c>
      <c r="F283" s="62">
        <v>154.0</v>
      </c>
      <c r="G283" s="63">
        <f t="shared" si="38"/>
        <v>0</v>
      </c>
      <c r="H283" s="64">
        <f t="shared" si="39"/>
        <v>0</v>
      </c>
      <c r="I283" s="63">
        <f t="shared" si="40"/>
        <v>0.0007312718432</v>
      </c>
      <c r="J283" s="65">
        <f t="shared" si="41"/>
        <v>1.526164337</v>
      </c>
      <c r="K283" s="65">
        <f t="shared" si="5"/>
        <v>0</v>
      </c>
      <c r="L283" s="52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</row>
    <row r="284" ht="14.25" customHeight="1">
      <c r="A284" s="6">
        <v>70804.0</v>
      </c>
      <c r="B284" s="7" t="s">
        <v>27</v>
      </c>
      <c r="C284" s="7" t="s">
        <v>367</v>
      </c>
      <c r="D284" s="7" t="s">
        <v>370</v>
      </c>
      <c r="E284" s="61">
        <v>0.0</v>
      </c>
      <c r="F284" s="62">
        <v>91.0</v>
      </c>
      <c r="G284" s="63">
        <f t="shared" si="38"/>
        <v>0</v>
      </c>
      <c r="H284" s="64">
        <f t="shared" si="39"/>
        <v>0</v>
      </c>
      <c r="I284" s="63">
        <f t="shared" si="40"/>
        <v>0.0004321151801</v>
      </c>
      <c r="J284" s="65">
        <f t="shared" si="41"/>
        <v>0.9018243808</v>
      </c>
      <c r="K284" s="65">
        <f t="shared" si="5"/>
        <v>0</v>
      </c>
      <c r="L284" s="52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</row>
    <row r="285" ht="14.25" customHeight="1">
      <c r="A285" s="6">
        <v>70805.0</v>
      </c>
      <c r="B285" s="7" t="s">
        <v>27</v>
      </c>
      <c r="C285" s="7" t="s">
        <v>367</v>
      </c>
      <c r="D285" s="7" t="s">
        <v>371</v>
      </c>
      <c r="E285" s="61">
        <v>1.0</v>
      </c>
      <c r="F285" s="62">
        <v>116.0</v>
      </c>
      <c r="G285" s="63">
        <f t="shared" si="38"/>
        <v>0.0006131207848</v>
      </c>
      <c r="H285" s="64">
        <f t="shared" si="39"/>
        <v>0.007677498467</v>
      </c>
      <c r="I285" s="63">
        <f t="shared" si="40"/>
        <v>0.0005508281416</v>
      </c>
      <c r="J285" s="65">
        <f t="shared" si="41"/>
        <v>1.149578332</v>
      </c>
      <c r="K285" s="65">
        <f t="shared" si="5"/>
        <v>6.67853443</v>
      </c>
      <c r="L285" s="52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</row>
    <row r="286" ht="14.25" customHeight="1">
      <c r="A286" s="6">
        <v>70901.0</v>
      </c>
      <c r="B286" s="7" t="s">
        <v>27</v>
      </c>
      <c r="C286" s="7" t="s">
        <v>372</v>
      </c>
      <c r="D286" s="7" t="s">
        <v>373</v>
      </c>
      <c r="E286" s="61">
        <v>7.0</v>
      </c>
      <c r="F286" s="62">
        <v>710.0</v>
      </c>
      <c r="G286" s="63">
        <f t="shared" si="38"/>
        <v>0.004291845494</v>
      </c>
      <c r="H286" s="64">
        <f t="shared" si="39"/>
        <v>0.05374248927</v>
      </c>
      <c r="I286" s="63">
        <f t="shared" si="40"/>
        <v>0.003371448108</v>
      </c>
      <c r="J286" s="65">
        <f t="shared" si="41"/>
        <v>7.036212202</v>
      </c>
      <c r="K286" s="65">
        <f t="shared" si="5"/>
        <v>7.637985855</v>
      </c>
      <c r="L286" s="52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</row>
    <row r="287" ht="14.25" customHeight="1">
      <c r="A287" s="6">
        <v>70902.0</v>
      </c>
      <c r="B287" s="7" t="s">
        <v>27</v>
      </c>
      <c r="C287" s="7" t="s">
        <v>372</v>
      </c>
      <c r="D287" s="7" t="s">
        <v>374</v>
      </c>
      <c r="E287" s="61">
        <v>5.0</v>
      </c>
      <c r="F287" s="62">
        <v>746.0</v>
      </c>
      <c r="G287" s="63">
        <f t="shared" si="38"/>
        <v>0.003065603924</v>
      </c>
      <c r="H287" s="64">
        <f t="shared" si="39"/>
        <v>0.03838749234</v>
      </c>
      <c r="I287" s="63">
        <f t="shared" si="40"/>
        <v>0.003542394773</v>
      </c>
      <c r="J287" s="65">
        <f t="shared" si="41"/>
        <v>7.392977891</v>
      </c>
      <c r="K287" s="65">
        <f t="shared" si="5"/>
        <v>5.192426232</v>
      </c>
      <c r="L287" s="52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</row>
    <row r="288" ht="14.25" customHeight="1">
      <c r="A288" s="6">
        <v>70903.0</v>
      </c>
      <c r="B288" s="7" t="s">
        <v>27</v>
      </c>
      <c r="C288" s="7" t="s">
        <v>372</v>
      </c>
      <c r="D288" s="7" t="s">
        <v>375</v>
      </c>
      <c r="E288" s="61">
        <v>6.0</v>
      </c>
      <c r="F288" s="62">
        <v>929.0</v>
      </c>
      <c r="G288" s="63">
        <f t="shared" si="38"/>
        <v>0.003678724709</v>
      </c>
      <c r="H288" s="64">
        <f t="shared" si="39"/>
        <v>0.0460649908</v>
      </c>
      <c r="I288" s="63">
        <f t="shared" si="40"/>
        <v>0.004411373651</v>
      </c>
      <c r="J288" s="65">
        <f t="shared" si="41"/>
        <v>9.206536811</v>
      </c>
      <c r="K288" s="65">
        <f t="shared" si="5"/>
        <v>5.00350911</v>
      </c>
      <c r="L288" s="52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</row>
    <row r="289" ht="14.25" customHeight="1">
      <c r="A289" s="6">
        <v>70904.0</v>
      </c>
      <c r="B289" s="7" t="s">
        <v>27</v>
      </c>
      <c r="C289" s="7" t="s">
        <v>372</v>
      </c>
      <c r="D289" s="7" t="s">
        <v>376</v>
      </c>
      <c r="E289" s="61">
        <v>0.0</v>
      </c>
      <c r="F289" s="62">
        <v>151.0</v>
      </c>
      <c r="G289" s="63">
        <f t="shared" si="38"/>
        <v>0</v>
      </c>
      <c r="H289" s="64">
        <f t="shared" si="39"/>
        <v>0</v>
      </c>
      <c r="I289" s="63">
        <f t="shared" si="40"/>
        <v>0.0007170262878</v>
      </c>
      <c r="J289" s="65">
        <f t="shared" si="41"/>
        <v>1.496433863</v>
      </c>
      <c r="K289" s="65">
        <f t="shared" si="5"/>
        <v>0</v>
      </c>
      <c r="L289" s="52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</row>
    <row r="290" ht="14.25" customHeight="1">
      <c r="A290" s="6">
        <v>71001.0</v>
      </c>
      <c r="B290" s="7" t="s">
        <v>27</v>
      </c>
      <c r="C290" s="7" t="s">
        <v>377</v>
      </c>
      <c r="D290" s="7" t="s">
        <v>378</v>
      </c>
      <c r="E290" s="61">
        <v>55.0</v>
      </c>
      <c r="F290" s="62">
        <v>9108.0</v>
      </c>
      <c r="G290" s="63">
        <f t="shared" si="38"/>
        <v>0.03372164316</v>
      </c>
      <c r="H290" s="64">
        <f t="shared" si="39"/>
        <v>0.4222624157</v>
      </c>
      <c r="I290" s="63">
        <f t="shared" si="40"/>
        <v>0.04324950615</v>
      </c>
      <c r="J290" s="65">
        <f t="shared" si="41"/>
        <v>90.26171934</v>
      </c>
      <c r="K290" s="65">
        <f t="shared" si="5"/>
        <v>4.678200446</v>
      </c>
      <c r="L290" s="52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</row>
    <row r="291" ht="14.25" customHeight="1">
      <c r="A291" s="6">
        <v>71002.0</v>
      </c>
      <c r="B291" s="7" t="s">
        <v>27</v>
      </c>
      <c r="C291" s="7" t="s">
        <v>377</v>
      </c>
      <c r="D291" s="7" t="s">
        <v>379</v>
      </c>
      <c r="E291" s="61">
        <v>14.0</v>
      </c>
      <c r="F291" s="62">
        <v>1283.0</v>
      </c>
      <c r="G291" s="63">
        <f t="shared" si="38"/>
        <v>0.008583690987</v>
      </c>
      <c r="H291" s="64">
        <f t="shared" si="39"/>
        <v>0.1074849785</v>
      </c>
      <c r="I291" s="63">
        <f t="shared" si="40"/>
        <v>0.006092349187</v>
      </c>
      <c r="J291" s="65">
        <f t="shared" si="41"/>
        <v>12.71473275</v>
      </c>
      <c r="K291" s="65">
        <f t="shared" si="5"/>
        <v>8.453577486</v>
      </c>
      <c r="L291" s="52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</row>
    <row r="292" ht="14.25" customHeight="1">
      <c r="A292" s="6">
        <v>71003.0</v>
      </c>
      <c r="B292" s="7" t="s">
        <v>27</v>
      </c>
      <c r="C292" s="7" t="s">
        <v>377</v>
      </c>
      <c r="D292" s="7" t="s">
        <v>380</v>
      </c>
      <c r="E292" s="61">
        <v>19.0</v>
      </c>
      <c r="F292" s="62">
        <v>1729.0</v>
      </c>
      <c r="G292" s="63">
        <f t="shared" si="38"/>
        <v>0.01164929491</v>
      </c>
      <c r="H292" s="64">
        <f t="shared" si="39"/>
        <v>0.1458724709</v>
      </c>
      <c r="I292" s="63">
        <f t="shared" si="40"/>
        <v>0.008210188421</v>
      </c>
      <c r="J292" s="65">
        <f t="shared" si="41"/>
        <v>17.13466324</v>
      </c>
      <c r="K292" s="65">
        <f t="shared" si="5"/>
        <v>8.513296636</v>
      </c>
      <c r="L292" s="52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</row>
    <row r="293" ht="14.25" customHeight="1">
      <c r="A293" s="6">
        <v>71004.0</v>
      </c>
      <c r="B293" s="7" t="s">
        <v>27</v>
      </c>
      <c r="C293" s="7" t="s">
        <v>377</v>
      </c>
      <c r="D293" s="7" t="s">
        <v>381</v>
      </c>
      <c r="E293" s="61">
        <v>11.0</v>
      </c>
      <c r="F293" s="62">
        <v>991.0</v>
      </c>
      <c r="G293" s="63">
        <f t="shared" si="38"/>
        <v>0.006744328633</v>
      </c>
      <c r="H293" s="64">
        <f t="shared" si="39"/>
        <v>0.08445248314</v>
      </c>
      <c r="I293" s="63">
        <f t="shared" si="40"/>
        <v>0.004705781796</v>
      </c>
      <c r="J293" s="65">
        <f t="shared" si="41"/>
        <v>9.820966608</v>
      </c>
      <c r="K293" s="65">
        <f t="shared" si="5"/>
        <v>8.599202757</v>
      </c>
      <c r="L293" s="52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</row>
    <row r="294" ht="14.25" customHeight="1">
      <c r="A294" s="6">
        <v>71005.0</v>
      </c>
      <c r="B294" s="7" t="s">
        <v>27</v>
      </c>
      <c r="C294" s="7" t="s">
        <v>377</v>
      </c>
      <c r="D294" s="7" t="s">
        <v>382</v>
      </c>
      <c r="E294" s="61">
        <v>8.0</v>
      </c>
      <c r="F294" s="62">
        <v>979.0</v>
      </c>
      <c r="G294" s="63">
        <f t="shared" si="38"/>
        <v>0.004904966278</v>
      </c>
      <c r="H294" s="64">
        <f t="shared" si="39"/>
        <v>0.06141998774</v>
      </c>
      <c r="I294" s="63">
        <f t="shared" si="40"/>
        <v>0.004648799575</v>
      </c>
      <c r="J294" s="65">
        <f t="shared" si="41"/>
        <v>9.702044712</v>
      </c>
      <c r="K294" s="65">
        <f t="shared" si="5"/>
        <v>6.330623035</v>
      </c>
      <c r="L294" s="52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</row>
    <row r="295" ht="14.25" customHeight="1">
      <c r="A295" s="6">
        <v>71101.0</v>
      </c>
      <c r="B295" s="7" t="s">
        <v>27</v>
      </c>
      <c r="C295" s="7" t="s">
        <v>383</v>
      </c>
      <c r="D295" s="7" t="s">
        <v>384</v>
      </c>
      <c r="E295" s="61">
        <v>33.0</v>
      </c>
      <c r="F295" s="62">
        <v>2423.0</v>
      </c>
      <c r="G295" s="63">
        <f t="shared" si="38"/>
        <v>0.0202329859</v>
      </c>
      <c r="H295" s="64">
        <f t="shared" si="39"/>
        <v>0.2533574494</v>
      </c>
      <c r="I295" s="63">
        <f t="shared" si="40"/>
        <v>0.01150566023</v>
      </c>
      <c r="J295" s="65">
        <f t="shared" si="41"/>
        <v>24.01231291</v>
      </c>
      <c r="K295" s="65">
        <f t="shared" si="5"/>
        <v>10.55114725</v>
      </c>
      <c r="L295" s="52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</row>
    <row r="296" ht="14.25" customHeight="1">
      <c r="A296" s="6">
        <v>71102.0</v>
      </c>
      <c r="B296" s="7" t="s">
        <v>27</v>
      </c>
      <c r="C296" s="7" t="s">
        <v>383</v>
      </c>
      <c r="D296" s="7" t="s">
        <v>385</v>
      </c>
      <c r="E296" s="61">
        <v>17.0</v>
      </c>
      <c r="F296" s="62">
        <v>1127.0</v>
      </c>
      <c r="G296" s="63">
        <f t="shared" si="38"/>
        <v>0.01042305334</v>
      </c>
      <c r="H296" s="64">
        <f t="shared" si="39"/>
        <v>0.1305174739</v>
      </c>
      <c r="I296" s="63">
        <f t="shared" si="40"/>
        <v>0.005351580307</v>
      </c>
      <c r="J296" s="65">
        <f t="shared" si="41"/>
        <v>11.1687481</v>
      </c>
      <c r="K296" s="65">
        <f t="shared" si="5"/>
        <v>11.68595377</v>
      </c>
      <c r="L296" s="52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</row>
    <row r="297" ht="14.25" customHeight="1">
      <c r="A297" s="6">
        <v>71103.0</v>
      </c>
      <c r="B297" s="7" t="s">
        <v>27</v>
      </c>
      <c r="C297" s="7" t="s">
        <v>383</v>
      </c>
      <c r="D297" s="7" t="s">
        <v>386</v>
      </c>
      <c r="E297" s="61">
        <v>37.0</v>
      </c>
      <c r="F297" s="62">
        <v>651.0</v>
      </c>
      <c r="G297" s="63">
        <f t="shared" si="38"/>
        <v>0.02268546904</v>
      </c>
      <c r="H297" s="64">
        <f t="shared" si="39"/>
        <v>0.2840674433</v>
      </c>
      <c r="I297" s="63">
        <f t="shared" si="40"/>
        <v>0.003091285519</v>
      </c>
      <c r="J297" s="65">
        <f t="shared" si="41"/>
        <v>6.451512878</v>
      </c>
      <c r="K297" s="65">
        <f t="shared" si="5"/>
        <v>44.03113636</v>
      </c>
      <c r="L297" s="52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</row>
    <row r="298" ht="14.25" customHeight="1">
      <c r="A298" s="6">
        <v>71104.0</v>
      </c>
      <c r="B298" s="7" t="s">
        <v>27</v>
      </c>
      <c r="C298" s="7" t="s">
        <v>383</v>
      </c>
      <c r="D298" s="7" t="s">
        <v>387</v>
      </c>
      <c r="E298" s="61">
        <v>7.0</v>
      </c>
      <c r="F298" s="62">
        <v>3462.0</v>
      </c>
      <c r="G298" s="63">
        <f t="shared" si="38"/>
        <v>0.004291845494</v>
      </c>
      <c r="H298" s="64">
        <f t="shared" si="39"/>
        <v>0.05374248927</v>
      </c>
      <c r="I298" s="63">
        <f t="shared" si="40"/>
        <v>0.01643937092</v>
      </c>
      <c r="J298" s="65">
        <f t="shared" si="41"/>
        <v>34.3089671</v>
      </c>
      <c r="K298" s="65">
        <f t="shared" si="5"/>
        <v>1.566426908</v>
      </c>
      <c r="L298" s="52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</row>
    <row r="299" ht="14.25" customHeight="1">
      <c r="A299" s="6">
        <v>71105.0</v>
      </c>
      <c r="B299" s="7" t="s">
        <v>27</v>
      </c>
      <c r="C299" s="7" t="s">
        <v>383</v>
      </c>
      <c r="D299" s="7" t="s">
        <v>388</v>
      </c>
      <c r="E299" s="61">
        <v>5.0</v>
      </c>
      <c r="F299" s="62">
        <v>507.0</v>
      </c>
      <c r="G299" s="63">
        <f t="shared" si="38"/>
        <v>0.003065603924</v>
      </c>
      <c r="H299" s="64">
        <f t="shared" si="39"/>
        <v>0.03838749234</v>
      </c>
      <c r="I299" s="63">
        <f t="shared" si="40"/>
        <v>0.00240749886</v>
      </c>
      <c r="J299" s="65">
        <f t="shared" si="41"/>
        <v>5.024450122</v>
      </c>
      <c r="K299" s="65">
        <f t="shared" si="5"/>
        <v>7.640138007</v>
      </c>
      <c r="L299" s="52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</row>
    <row r="300" ht="14.25" customHeight="1">
      <c r="A300" s="6">
        <v>71106.0</v>
      </c>
      <c r="B300" s="7" t="s">
        <v>27</v>
      </c>
      <c r="C300" s="7" t="s">
        <v>383</v>
      </c>
      <c r="D300" s="7" t="s">
        <v>389</v>
      </c>
      <c r="E300" s="61">
        <v>24.0</v>
      </c>
      <c r="F300" s="62">
        <v>2035.0</v>
      </c>
      <c r="G300" s="63">
        <f t="shared" si="38"/>
        <v>0.01471489884</v>
      </c>
      <c r="H300" s="64">
        <f t="shared" si="39"/>
        <v>0.1842599632</v>
      </c>
      <c r="I300" s="63">
        <f t="shared" si="40"/>
        <v>0.009663235071</v>
      </c>
      <c r="J300" s="65">
        <f t="shared" si="41"/>
        <v>20.16717159</v>
      </c>
      <c r="K300" s="65">
        <f t="shared" si="5"/>
        <v>9.13662892</v>
      </c>
      <c r="L300" s="52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</row>
    <row r="301" ht="14.25" customHeight="1">
      <c r="A301" s="6">
        <v>71201.0</v>
      </c>
      <c r="B301" s="7" t="s">
        <v>27</v>
      </c>
      <c r="C301" s="7" t="s">
        <v>390</v>
      </c>
      <c r="D301" s="7" t="s">
        <v>391</v>
      </c>
      <c r="E301" s="61">
        <v>7.0</v>
      </c>
      <c r="F301" s="62">
        <v>1262.0</v>
      </c>
      <c r="G301" s="63">
        <f t="shared" si="38"/>
        <v>0.004291845494</v>
      </c>
      <c r="H301" s="64">
        <f t="shared" si="39"/>
        <v>0.05374248927</v>
      </c>
      <c r="I301" s="63">
        <f t="shared" si="40"/>
        <v>0.005992630299</v>
      </c>
      <c r="J301" s="65">
        <f t="shared" si="41"/>
        <v>12.50661943</v>
      </c>
      <c r="K301" s="65">
        <f t="shared" si="5"/>
        <v>4.297123579</v>
      </c>
      <c r="L301" s="52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</row>
    <row r="302" ht="14.25" customHeight="1">
      <c r="A302" s="6">
        <v>71301.0</v>
      </c>
      <c r="B302" s="7" t="s">
        <v>27</v>
      </c>
      <c r="C302" s="7" t="s">
        <v>392</v>
      </c>
      <c r="D302" s="7" t="s">
        <v>393</v>
      </c>
      <c r="E302" s="61">
        <v>17.0</v>
      </c>
      <c r="F302" s="62">
        <v>1228.0</v>
      </c>
      <c r="G302" s="63">
        <f t="shared" si="38"/>
        <v>0.01042305334</v>
      </c>
      <c r="H302" s="64">
        <f t="shared" si="39"/>
        <v>0.1305174739</v>
      </c>
      <c r="I302" s="63">
        <f t="shared" si="40"/>
        <v>0.005831180672</v>
      </c>
      <c r="J302" s="65">
        <f t="shared" si="41"/>
        <v>12.16967406</v>
      </c>
      <c r="K302" s="65">
        <f t="shared" si="5"/>
        <v>10.72481262</v>
      </c>
      <c r="L302" s="52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</row>
    <row r="303" ht="14.25" customHeight="1">
      <c r="A303" s="6">
        <v>71302.0</v>
      </c>
      <c r="B303" s="7" t="s">
        <v>27</v>
      </c>
      <c r="C303" s="7" t="s">
        <v>392</v>
      </c>
      <c r="D303" s="7" t="s">
        <v>394</v>
      </c>
      <c r="E303" s="61">
        <v>2.0</v>
      </c>
      <c r="F303" s="62">
        <v>429.0</v>
      </c>
      <c r="G303" s="63">
        <f t="shared" si="38"/>
        <v>0.00122624157</v>
      </c>
      <c r="H303" s="64">
        <f t="shared" si="39"/>
        <v>0.01535499693</v>
      </c>
      <c r="I303" s="63">
        <f t="shared" si="40"/>
        <v>0.00203711442</v>
      </c>
      <c r="J303" s="65">
        <f t="shared" si="41"/>
        <v>4.251457795</v>
      </c>
      <c r="K303" s="65">
        <f t="shared" si="5"/>
        <v>3.611701603</v>
      </c>
      <c r="L303" s="52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</row>
    <row r="304" ht="14.25" customHeight="1">
      <c r="A304" s="6">
        <v>71401.0</v>
      </c>
      <c r="B304" s="7" t="s">
        <v>27</v>
      </c>
      <c r="C304" s="7" t="s">
        <v>395</v>
      </c>
      <c r="D304" s="7" t="s">
        <v>396</v>
      </c>
      <c r="E304" s="61">
        <v>11.0</v>
      </c>
      <c r="F304" s="62">
        <v>1096.0</v>
      </c>
      <c r="G304" s="63">
        <f t="shared" si="38"/>
        <v>0.006744328633</v>
      </c>
      <c r="H304" s="64">
        <f t="shared" si="39"/>
        <v>0.08445248314</v>
      </c>
      <c r="I304" s="63">
        <f t="shared" si="40"/>
        <v>0.005204376235</v>
      </c>
      <c r="J304" s="65">
        <f t="shared" si="41"/>
        <v>10.8615332</v>
      </c>
      <c r="K304" s="65">
        <f t="shared" si="5"/>
        <v>7.775374026</v>
      </c>
      <c r="L304" s="52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</row>
    <row r="305" ht="14.25" customHeight="1">
      <c r="A305" s="6">
        <v>71402.0</v>
      </c>
      <c r="B305" s="7" t="s">
        <v>27</v>
      </c>
      <c r="C305" s="7" t="s">
        <v>395</v>
      </c>
      <c r="D305" s="7" t="s">
        <v>397</v>
      </c>
      <c r="E305" s="61">
        <v>9.0</v>
      </c>
      <c r="F305" s="62">
        <v>1215.0</v>
      </c>
      <c r="G305" s="63">
        <f t="shared" si="38"/>
        <v>0.005518087063</v>
      </c>
      <c r="H305" s="64">
        <f t="shared" si="39"/>
        <v>0.0690974862</v>
      </c>
      <c r="I305" s="63">
        <f t="shared" si="40"/>
        <v>0.005769449932</v>
      </c>
      <c r="J305" s="65">
        <f t="shared" si="41"/>
        <v>12.04084201</v>
      </c>
      <c r="K305" s="65">
        <f t="shared" si="5"/>
        <v>5.738592547</v>
      </c>
      <c r="L305" s="52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</row>
    <row r="306" ht="14.25" customHeight="1">
      <c r="A306" s="6">
        <v>71403.0</v>
      </c>
      <c r="B306" s="7" t="s">
        <v>27</v>
      </c>
      <c r="C306" s="7" t="s">
        <v>395</v>
      </c>
      <c r="D306" s="7" t="s">
        <v>398</v>
      </c>
      <c r="E306" s="61">
        <v>12.0</v>
      </c>
      <c r="F306" s="62">
        <v>644.0</v>
      </c>
      <c r="G306" s="63">
        <f t="shared" si="38"/>
        <v>0.007357449418</v>
      </c>
      <c r="H306" s="64">
        <f t="shared" si="39"/>
        <v>0.09212998161</v>
      </c>
      <c r="I306" s="63">
        <f t="shared" si="40"/>
        <v>0.00305804589</v>
      </c>
      <c r="J306" s="65">
        <f t="shared" si="41"/>
        <v>6.382141772</v>
      </c>
      <c r="K306" s="65">
        <f t="shared" si="5"/>
        <v>14.43558995</v>
      </c>
      <c r="L306" s="52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</row>
    <row r="307" ht="14.25" customHeight="1">
      <c r="A307" s="6">
        <v>71501.0</v>
      </c>
      <c r="B307" s="7" t="s">
        <v>27</v>
      </c>
      <c r="C307" s="7" t="s">
        <v>399</v>
      </c>
      <c r="D307" s="7" t="s">
        <v>400</v>
      </c>
      <c r="E307" s="61">
        <v>28.0</v>
      </c>
      <c r="F307" s="62">
        <v>2624.0</v>
      </c>
      <c r="G307" s="63">
        <f t="shared" si="38"/>
        <v>0.01716738197</v>
      </c>
      <c r="H307" s="64">
        <f t="shared" si="39"/>
        <v>0.2149699571</v>
      </c>
      <c r="I307" s="63">
        <f t="shared" si="40"/>
        <v>0.01246011244</v>
      </c>
      <c r="J307" s="65">
        <f t="shared" si="41"/>
        <v>26.00425467</v>
      </c>
      <c r="K307" s="65">
        <f t="shared" si="5"/>
        <v>8.266722496</v>
      </c>
      <c r="L307" s="52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</row>
    <row r="308" ht="14.25" customHeight="1">
      <c r="A308" s="6">
        <v>71502.0</v>
      </c>
      <c r="B308" s="7" t="s">
        <v>27</v>
      </c>
      <c r="C308" s="7" t="s">
        <v>399</v>
      </c>
      <c r="D308" s="7" t="s">
        <v>401</v>
      </c>
      <c r="E308" s="61">
        <v>10.0</v>
      </c>
      <c r="F308" s="62">
        <v>488.0</v>
      </c>
      <c r="G308" s="63">
        <f t="shared" si="38"/>
        <v>0.006131207848</v>
      </c>
      <c r="H308" s="64">
        <f t="shared" si="39"/>
        <v>0.07677498467</v>
      </c>
      <c r="I308" s="63">
        <f t="shared" si="40"/>
        <v>0.00231727701</v>
      </c>
      <c r="J308" s="65">
        <f t="shared" si="41"/>
        <v>4.836157119</v>
      </c>
      <c r="K308" s="65">
        <f t="shared" si="5"/>
        <v>15.87520479</v>
      </c>
      <c r="L308" s="52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</row>
    <row r="309" ht="14.25" customHeight="1">
      <c r="A309" s="6">
        <v>71503.0</v>
      </c>
      <c r="B309" s="7" t="s">
        <v>27</v>
      </c>
      <c r="C309" s="7" t="s">
        <v>399</v>
      </c>
      <c r="D309" s="7" t="s">
        <v>332</v>
      </c>
      <c r="E309" s="61">
        <v>10.0</v>
      </c>
      <c r="F309" s="62">
        <v>1167.0</v>
      </c>
      <c r="G309" s="63">
        <f t="shared" si="38"/>
        <v>0.006131207848</v>
      </c>
      <c r="H309" s="64">
        <f t="shared" si="39"/>
        <v>0.07677498467</v>
      </c>
      <c r="I309" s="63">
        <f t="shared" si="40"/>
        <v>0.005541521045</v>
      </c>
      <c r="J309" s="65">
        <f t="shared" si="41"/>
        <v>11.56515442</v>
      </c>
      <c r="K309" s="65">
        <f t="shared" si="5"/>
        <v>6.638474669</v>
      </c>
      <c r="L309" s="52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</row>
    <row r="310" ht="14.25" customHeight="1">
      <c r="A310" s="6">
        <v>80101.0</v>
      </c>
      <c r="B310" s="7" t="s">
        <v>29</v>
      </c>
      <c r="C310" s="7" t="s">
        <v>165</v>
      </c>
      <c r="D310" s="7" t="s">
        <v>402</v>
      </c>
      <c r="E310" s="61">
        <v>50.0</v>
      </c>
      <c r="F310" s="62">
        <v>8681.0</v>
      </c>
      <c r="G310" s="63">
        <f t="shared" ref="G310:G329" si="42">E310/$R$9</f>
        <v>0.1488095238</v>
      </c>
      <c r="H310" s="64">
        <f t="shared" ref="H310:H329" si="43">$S$24*G310</f>
        <v>0.640327381</v>
      </c>
      <c r="I310" s="63">
        <f t="shared" ref="I310:I329" si="44">F310/$S$9</f>
        <v>0.2398132545</v>
      </c>
      <c r="J310" s="65">
        <f t="shared" ref="J310:J329" si="45">I310*$U$24</f>
        <v>79.37818724</v>
      </c>
      <c r="K310" s="65">
        <f t="shared" si="5"/>
        <v>8.066792694</v>
      </c>
      <c r="L310" s="52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</row>
    <row r="311" ht="14.25" customHeight="1">
      <c r="A311" s="6">
        <v>80102.0</v>
      </c>
      <c r="B311" s="7" t="s">
        <v>29</v>
      </c>
      <c r="C311" s="7" t="s">
        <v>165</v>
      </c>
      <c r="D311" s="7" t="s">
        <v>385</v>
      </c>
      <c r="E311" s="61">
        <v>7.0</v>
      </c>
      <c r="F311" s="62">
        <v>570.0</v>
      </c>
      <c r="G311" s="63">
        <f t="shared" si="42"/>
        <v>0.02083333333</v>
      </c>
      <c r="H311" s="64">
        <f t="shared" si="43"/>
        <v>0.08964583333</v>
      </c>
      <c r="I311" s="63">
        <f t="shared" si="44"/>
        <v>0.01574629133</v>
      </c>
      <c r="J311" s="65">
        <f t="shared" si="45"/>
        <v>5.212022432</v>
      </c>
      <c r="K311" s="65">
        <f t="shared" si="5"/>
        <v>17.19981725</v>
      </c>
      <c r="L311" s="52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</row>
    <row r="312" ht="14.25" customHeight="1">
      <c r="A312" s="6">
        <v>80201.0</v>
      </c>
      <c r="B312" s="7" t="s">
        <v>29</v>
      </c>
      <c r="C312" s="7" t="s">
        <v>403</v>
      </c>
      <c r="D312" s="7" t="s">
        <v>404</v>
      </c>
      <c r="E312" s="61">
        <v>77.0</v>
      </c>
      <c r="F312" s="62">
        <v>8646.0</v>
      </c>
      <c r="G312" s="63">
        <f t="shared" si="42"/>
        <v>0.2291666667</v>
      </c>
      <c r="H312" s="64">
        <f t="shared" si="43"/>
        <v>0.9861041667</v>
      </c>
      <c r="I312" s="63">
        <f t="shared" si="44"/>
        <v>0.238846377</v>
      </c>
      <c r="J312" s="65">
        <f t="shared" si="45"/>
        <v>79.05815078</v>
      </c>
      <c r="K312" s="65">
        <f t="shared" si="5"/>
        <v>12.47314992</v>
      </c>
      <c r="L312" s="52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</row>
    <row r="313" ht="14.25" customHeight="1">
      <c r="A313" s="6">
        <v>80202.0</v>
      </c>
      <c r="B313" s="7" t="s">
        <v>29</v>
      </c>
      <c r="C313" s="7" t="s">
        <v>403</v>
      </c>
      <c r="D313" s="7" t="s">
        <v>405</v>
      </c>
      <c r="E313" s="61">
        <v>22.0</v>
      </c>
      <c r="F313" s="62">
        <v>2971.0</v>
      </c>
      <c r="G313" s="63">
        <f t="shared" si="42"/>
        <v>0.06547619048</v>
      </c>
      <c r="H313" s="64">
        <f t="shared" si="43"/>
        <v>0.2817440476</v>
      </c>
      <c r="I313" s="63">
        <f t="shared" si="44"/>
        <v>0.08207409044</v>
      </c>
      <c r="J313" s="65">
        <f t="shared" si="45"/>
        <v>27.16652394</v>
      </c>
      <c r="K313" s="65">
        <f t="shared" si="5"/>
        <v>10.37100103</v>
      </c>
      <c r="L313" s="52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</row>
    <row r="314" ht="14.25" customHeight="1">
      <c r="A314" s="6">
        <v>80301.0</v>
      </c>
      <c r="B314" s="7" t="s">
        <v>29</v>
      </c>
      <c r="C314" s="7" t="s">
        <v>406</v>
      </c>
      <c r="D314" s="7" t="s">
        <v>407</v>
      </c>
      <c r="E314" s="61">
        <v>15.0</v>
      </c>
      <c r="F314" s="62">
        <v>916.0</v>
      </c>
      <c r="G314" s="63">
        <f t="shared" si="42"/>
        <v>0.04464285714</v>
      </c>
      <c r="H314" s="64">
        <f t="shared" si="43"/>
        <v>0.1920982143</v>
      </c>
      <c r="I314" s="63">
        <f t="shared" si="44"/>
        <v>0.02530456642</v>
      </c>
      <c r="J314" s="65">
        <f t="shared" si="45"/>
        <v>8.375811487</v>
      </c>
      <c r="K314" s="65">
        <f t="shared" si="5"/>
        <v>22.93487796</v>
      </c>
      <c r="L314" s="52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</row>
    <row r="315" ht="14.25" customHeight="1">
      <c r="A315" s="6">
        <v>80302.0</v>
      </c>
      <c r="B315" s="7" t="s">
        <v>29</v>
      </c>
      <c r="C315" s="7" t="s">
        <v>406</v>
      </c>
      <c r="D315" s="7" t="s">
        <v>408</v>
      </c>
      <c r="E315" s="61">
        <v>52.0</v>
      </c>
      <c r="F315" s="62">
        <v>3681.0</v>
      </c>
      <c r="G315" s="63">
        <f t="shared" si="42"/>
        <v>0.1547619048</v>
      </c>
      <c r="H315" s="64">
        <f t="shared" si="43"/>
        <v>0.6659404762</v>
      </c>
      <c r="I315" s="63">
        <f t="shared" si="44"/>
        <v>0.1016878919</v>
      </c>
      <c r="J315" s="65">
        <f t="shared" si="45"/>
        <v>33.65869223</v>
      </c>
      <c r="K315" s="65">
        <f t="shared" si="5"/>
        <v>19.78509657</v>
      </c>
      <c r="L315" s="52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</row>
    <row r="316" ht="14.25" customHeight="1">
      <c r="A316" s="6">
        <v>80303.0</v>
      </c>
      <c r="B316" s="7" t="s">
        <v>29</v>
      </c>
      <c r="C316" s="7" t="s">
        <v>406</v>
      </c>
      <c r="D316" s="7" t="s">
        <v>409</v>
      </c>
      <c r="E316" s="61">
        <v>10.0</v>
      </c>
      <c r="F316" s="62">
        <v>889.0</v>
      </c>
      <c r="G316" s="63">
        <f t="shared" si="42"/>
        <v>0.02976190476</v>
      </c>
      <c r="H316" s="64">
        <f t="shared" si="43"/>
        <v>0.1280654762</v>
      </c>
      <c r="I316" s="63">
        <f t="shared" si="44"/>
        <v>0.02455868947</v>
      </c>
      <c r="J316" s="65">
        <f t="shared" si="45"/>
        <v>8.128926213</v>
      </c>
      <c r="K316" s="65">
        <f t="shared" si="5"/>
        <v>15.75429187</v>
      </c>
      <c r="L316" s="52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</row>
    <row r="317" ht="14.25" customHeight="1">
      <c r="A317" s="6">
        <v>80304.0</v>
      </c>
      <c r="B317" s="7" t="s">
        <v>29</v>
      </c>
      <c r="C317" s="7" t="s">
        <v>406</v>
      </c>
      <c r="D317" s="7" t="s">
        <v>410</v>
      </c>
      <c r="E317" s="61">
        <v>18.0</v>
      </c>
      <c r="F317" s="62">
        <v>1670.0</v>
      </c>
      <c r="G317" s="63">
        <f t="shared" si="42"/>
        <v>0.05357142857</v>
      </c>
      <c r="H317" s="64">
        <f t="shared" si="43"/>
        <v>0.2305178571</v>
      </c>
      <c r="I317" s="63">
        <f t="shared" si="44"/>
        <v>0.0461338711</v>
      </c>
      <c r="J317" s="65">
        <f t="shared" si="45"/>
        <v>15.27031133</v>
      </c>
      <c r="K317" s="65">
        <f t="shared" si="5"/>
        <v>15.09581908</v>
      </c>
      <c r="L317" s="52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</row>
    <row r="318" ht="14.25" customHeight="1">
      <c r="A318" s="6">
        <v>80401.0</v>
      </c>
      <c r="B318" s="7" t="s">
        <v>29</v>
      </c>
      <c r="C318" s="7" t="s">
        <v>411</v>
      </c>
      <c r="D318" s="7" t="s">
        <v>412</v>
      </c>
      <c r="E318" s="61">
        <v>7.0</v>
      </c>
      <c r="F318" s="62">
        <v>1410.0</v>
      </c>
      <c r="G318" s="63">
        <f t="shared" si="42"/>
        <v>0.02083333333</v>
      </c>
      <c r="H318" s="64">
        <f t="shared" si="43"/>
        <v>0.08964583333</v>
      </c>
      <c r="I318" s="63">
        <f t="shared" si="44"/>
        <v>0.03895135225</v>
      </c>
      <c r="J318" s="65">
        <f t="shared" si="45"/>
        <v>12.89289759</v>
      </c>
      <c r="K318" s="65">
        <f t="shared" si="5"/>
        <v>6.953117612</v>
      </c>
      <c r="L318" s="52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</row>
    <row r="319" ht="14.25" customHeight="1">
      <c r="A319" s="6">
        <v>80402.0</v>
      </c>
      <c r="B319" s="7" t="s">
        <v>29</v>
      </c>
      <c r="C319" s="7" t="s">
        <v>411</v>
      </c>
      <c r="D319" s="7" t="s">
        <v>413</v>
      </c>
      <c r="E319" s="61">
        <v>2.0</v>
      </c>
      <c r="F319" s="62">
        <v>510.0</v>
      </c>
      <c r="G319" s="63">
        <f t="shared" si="42"/>
        <v>0.005952380952</v>
      </c>
      <c r="H319" s="64">
        <f t="shared" si="43"/>
        <v>0.02561309524</v>
      </c>
      <c r="I319" s="63">
        <f t="shared" si="44"/>
        <v>0.01408878698</v>
      </c>
      <c r="J319" s="65">
        <f t="shared" si="45"/>
        <v>4.663388491</v>
      </c>
      <c r="K319" s="65">
        <f t="shared" si="5"/>
        <v>5.492378618</v>
      </c>
      <c r="L319" s="52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</row>
    <row r="320" ht="14.25" customHeight="1">
      <c r="A320" s="6">
        <v>80501.0</v>
      </c>
      <c r="B320" s="7" t="s">
        <v>29</v>
      </c>
      <c r="C320" s="7" t="s">
        <v>414</v>
      </c>
      <c r="D320" s="7" t="s">
        <v>415</v>
      </c>
      <c r="E320" s="61">
        <v>21.0</v>
      </c>
      <c r="F320" s="62">
        <v>1779.0</v>
      </c>
      <c r="G320" s="63">
        <f t="shared" si="42"/>
        <v>0.0625</v>
      </c>
      <c r="H320" s="64">
        <f t="shared" si="43"/>
        <v>0.2689375</v>
      </c>
      <c r="I320" s="63">
        <f t="shared" si="44"/>
        <v>0.04914500401</v>
      </c>
      <c r="J320" s="65">
        <f t="shared" si="45"/>
        <v>16.26699633</v>
      </c>
      <c r="K320" s="65">
        <f t="shared" si="5"/>
        <v>16.53270798</v>
      </c>
      <c r="L320" s="52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</row>
    <row r="321" ht="14.25" customHeight="1">
      <c r="A321" s="6">
        <v>80601.0</v>
      </c>
      <c r="B321" s="7" t="s">
        <v>29</v>
      </c>
      <c r="C321" s="7" t="s">
        <v>416</v>
      </c>
      <c r="D321" s="7" t="s">
        <v>417</v>
      </c>
      <c r="E321" s="61">
        <v>5.0</v>
      </c>
      <c r="F321" s="62">
        <v>340.0</v>
      </c>
      <c r="G321" s="63">
        <f t="shared" si="42"/>
        <v>0.01488095238</v>
      </c>
      <c r="H321" s="64">
        <f t="shared" si="43"/>
        <v>0.0640327381</v>
      </c>
      <c r="I321" s="63">
        <f t="shared" si="44"/>
        <v>0.009392524655</v>
      </c>
      <c r="J321" s="65">
        <f t="shared" si="45"/>
        <v>3.108925661</v>
      </c>
      <c r="K321" s="65">
        <f t="shared" si="5"/>
        <v>20.59641982</v>
      </c>
      <c r="L321" s="52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</row>
    <row r="322" ht="14.25" customHeight="1">
      <c r="A322" s="6">
        <v>80602.0</v>
      </c>
      <c r="B322" s="7" t="s">
        <v>29</v>
      </c>
      <c r="C322" s="7" t="s">
        <v>416</v>
      </c>
      <c r="D322" s="7" t="s">
        <v>418</v>
      </c>
      <c r="E322" s="61">
        <v>17.0</v>
      </c>
      <c r="F322" s="62">
        <v>1113.0</v>
      </c>
      <c r="G322" s="63">
        <f t="shared" si="42"/>
        <v>0.0505952381</v>
      </c>
      <c r="H322" s="64">
        <f t="shared" si="43"/>
        <v>0.2177113095</v>
      </c>
      <c r="I322" s="63">
        <f t="shared" si="44"/>
        <v>0.03074670571</v>
      </c>
      <c r="J322" s="65">
        <f t="shared" si="45"/>
        <v>10.17715959</v>
      </c>
      <c r="K322" s="65">
        <f t="shared" si="5"/>
        <v>21.39214853</v>
      </c>
      <c r="L322" s="52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</row>
    <row r="323" ht="14.25" customHeight="1">
      <c r="A323" s="6">
        <v>80701.0</v>
      </c>
      <c r="B323" s="7" t="s">
        <v>29</v>
      </c>
      <c r="C323" s="7" t="s">
        <v>419</v>
      </c>
      <c r="D323" s="7" t="s">
        <v>420</v>
      </c>
      <c r="E323" s="61">
        <v>4.0</v>
      </c>
      <c r="F323" s="62">
        <v>449.0</v>
      </c>
      <c r="G323" s="63">
        <f t="shared" si="42"/>
        <v>0.0119047619</v>
      </c>
      <c r="H323" s="64">
        <f t="shared" si="43"/>
        <v>0.05122619048</v>
      </c>
      <c r="I323" s="63">
        <f t="shared" si="44"/>
        <v>0.01240365756</v>
      </c>
      <c r="J323" s="65">
        <f t="shared" si="45"/>
        <v>4.105610652</v>
      </c>
      <c r="K323" s="65">
        <f t="shared" si="5"/>
        <v>12.47711846</v>
      </c>
      <c r="L323" s="52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</row>
    <row r="324" ht="14.25" customHeight="1">
      <c r="A324" s="6">
        <v>80702.0</v>
      </c>
      <c r="B324" s="7" t="s">
        <v>29</v>
      </c>
      <c r="C324" s="7" t="s">
        <v>419</v>
      </c>
      <c r="D324" s="7" t="s">
        <v>386</v>
      </c>
      <c r="E324" s="61">
        <v>3.0</v>
      </c>
      <c r="F324" s="62">
        <v>385.0</v>
      </c>
      <c r="G324" s="63">
        <f t="shared" si="42"/>
        <v>0.008928571429</v>
      </c>
      <c r="H324" s="64">
        <f t="shared" si="43"/>
        <v>0.03841964286</v>
      </c>
      <c r="I324" s="63">
        <f t="shared" si="44"/>
        <v>0.01063565292</v>
      </c>
      <c r="J324" s="65">
        <f t="shared" si="45"/>
        <v>3.520401116</v>
      </c>
      <c r="K324" s="65">
        <f t="shared" si="5"/>
        <v>10.91342764</v>
      </c>
      <c r="L324" s="52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</row>
    <row r="325" ht="14.25" customHeight="1">
      <c r="A325" s="6">
        <v>80703.0</v>
      </c>
      <c r="B325" s="7" t="s">
        <v>29</v>
      </c>
      <c r="C325" s="7" t="s">
        <v>419</v>
      </c>
      <c r="D325" s="7" t="s">
        <v>421</v>
      </c>
      <c r="E325" s="61">
        <v>0.0</v>
      </c>
      <c r="F325" s="62">
        <v>92.0</v>
      </c>
      <c r="G325" s="63">
        <f t="shared" si="42"/>
        <v>0</v>
      </c>
      <c r="H325" s="64">
        <f t="shared" si="43"/>
        <v>0</v>
      </c>
      <c r="I325" s="63">
        <f t="shared" si="44"/>
        <v>0.002541506671</v>
      </c>
      <c r="J325" s="65">
        <f t="shared" si="45"/>
        <v>0.8412387083</v>
      </c>
      <c r="K325" s="65">
        <f t="shared" si="5"/>
        <v>0</v>
      </c>
      <c r="L325" s="52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</row>
    <row r="326" ht="14.25" customHeight="1">
      <c r="A326" s="6">
        <v>80801.0</v>
      </c>
      <c r="B326" s="7" t="s">
        <v>29</v>
      </c>
      <c r="C326" s="7" t="s">
        <v>422</v>
      </c>
      <c r="D326" s="7" t="s">
        <v>423</v>
      </c>
      <c r="E326" s="61">
        <v>7.0</v>
      </c>
      <c r="F326" s="62">
        <v>913.0</v>
      </c>
      <c r="G326" s="63">
        <f t="shared" si="42"/>
        <v>0.02083333333</v>
      </c>
      <c r="H326" s="64">
        <f t="shared" si="43"/>
        <v>0.08964583333</v>
      </c>
      <c r="I326" s="63">
        <f t="shared" si="44"/>
        <v>0.02522169121</v>
      </c>
      <c r="J326" s="65">
        <f t="shared" si="45"/>
        <v>8.348379789</v>
      </c>
      <c r="K326" s="65">
        <f t="shared" si="5"/>
        <v>10.73811154</v>
      </c>
      <c r="L326" s="52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</row>
    <row r="327" ht="14.25" customHeight="1">
      <c r="A327" s="6">
        <v>80802.0</v>
      </c>
      <c r="B327" s="7" t="s">
        <v>29</v>
      </c>
      <c r="C327" s="7" t="s">
        <v>422</v>
      </c>
      <c r="D327" s="7" t="s">
        <v>424</v>
      </c>
      <c r="E327" s="61">
        <v>7.0</v>
      </c>
      <c r="F327" s="62">
        <v>459.0</v>
      </c>
      <c r="G327" s="63">
        <f t="shared" si="42"/>
        <v>0.02083333333</v>
      </c>
      <c r="H327" s="64">
        <f t="shared" si="43"/>
        <v>0.08964583333</v>
      </c>
      <c r="I327" s="63">
        <f t="shared" si="44"/>
        <v>0.01267990828</v>
      </c>
      <c r="J327" s="65">
        <f t="shared" si="45"/>
        <v>4.197049642</v>
      </c>
      <c r="K327" s="65">
        <f t="shared" si="5"/>
        <v>21.35925018</v>
      </c>
      <c r="L327" s="52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</row>
    <row r="328" ht="14.25" customHeight="1">
      <c r="A328" s="6">
        <v>80803.0</v>
      </c>
      <c r="B328" s="7" t="s">
        <v>29</v>
      </c>
      <c r="C328" s="7" t="s">
        <v>422</v>
      </c>
      <c r="D328" s="7" t="s">
        <v>425</v>
      </c>
      <c r="E328" s="61">
        <v>1.0</v>
      </c>
      <c r="F328" s="62">
        <v>329.0</v>
      </c>
      <c r="G328" s="63">
        <f t="shared" si="42"/>
        <v>0.002976190476</v>
      </c>
      <c r="H328" s="64">
        <f t="shared" si="43"/>
        <v>0.01280654762</v>
      </c>
      <c r="I328" s="63">
        <f t="shared" si="44"/>
        <v>0.009088648858</v>
      </c>
      <c r="J328" s="65">
        <f t="shared" si="45"/>
        <v>3.008342772</v>
      </c>
      <c r="K328" s="65">
        <f t="shared" si="5"/>
        <v>4.257010783</v>
      </c>
      <c r="L328" s="52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</row>
    <row r="329" ht="14.25" customHeight="1">
      <c r="A329" s="25">
        <v>80901.0</v>
      </c>
      <c r="B329" s="7" t="s">
        <v>29</v>
      </c>
      <c r="C329" s="7"/>
      <c r="D329" s="7" t="s">
        <v>426</v>
      </c>
      <c r="E329" s="61">
        <v>11.0</v>
      </c>
      <c r="F329" s="78">
        <v>396.0</v>
      </c>
      <c r="G329" s="63">
        <f t="shared" si="42"/>
        <v>0.03273809524</v>
      </c>
      <c r="H329" s="64">
        <f t="shared" si="43"/>
        <v>0.1408720238</v>
      </c>
      <c r="I329" s="63">
        <f t="shared" si="44"/>
        <v>0.01093952872</v>
      </c>
      <c r="J329" s="65">
        <f t="shared" si="45"/>
        <v>3.620984005</v>
      </c>
      <c r="K329" s="65">
        <f t="shared" si="5"/>
        <v>38.90434854</v>
      </c>
      <c r="L329" s="52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</row>
    <row r="330" ht="14.25" customHeight="1">
      <c r="A330" s="6">
        <v>90101.0</v>
      </c>
      <c r="B330" s="7" t="s">
        <v>31</v>
      </c>
      <c r="C330" s="7" t="s">
        <v>427</v>
      </c>
      <c r="D330" s="7" t="s">
        <v>428</v>
      </c>
      <c r="E330" s="61">
        <v>32.0</v>
      </c>
      <c r="F330" s="62">
        <v>3599.0</v>
      </c>
      <c r="G330" s="63">
        <f t="shared" ref="G330:G344" si="46">E330/$R$10</f>
        <v>0.4507042254</v>
      </c>
      <c r="H330" s="64">
        <f t="shared" ref="H330:H344" si="47">$S$25*G330</f>
        <v>0.4777464789</v>
      </c>
      <c r="I330" s="63">
        <f t="shared" ref="I330:I344" si="48">F330/$S$10</f>
        <v>0.3783641716</v>
      </c>
      <c r="J330" s="65">
        <f t="shared" ref="J330:J344" si="49">I330*$U$25</f>
        <v>40.10660219</v>
      </c>
      <c r="K330" s="65">
        <f t="shared" si="5"/>
        <v>11.91191606</v>
      </c>
      <c r="L330" s="52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</row>
    <row r="331" ht="14.25" customHeight="1">
      <c r="A331" s="6">
        <v>90102.0</v>
      </c>
      <c r="B331" s="7" t="s">
        <v>31</v>
      </c>
      <c r="C331" s="7" t="s">
        <v>427</v>
      </c>
      <c r="D331" s="7" t="s">
        <v>429</v>
      </c>
      <c r="E331" s="61">
        <v>1.0</v>
      </c>
      <c r="F331" s="62">
        <v>625.0</v>
      </c>
      <c r="G331" s="63">
        <f t="shared" si="46"/>
        <v>0.01408450704</v>
      </c>
      <c r="H331" s="64">
        <f t="shared" si="47"/>
        <v>0.01492957746</v>
      </c>
      <c r="I331" s="63">
        <f t="shared" si="48"/>
        <v>0.06570647603</v>
      </c>
      <c r="J331" s="65">
        <f t="shared" si="49"/>
        <v>6.964886459</v>
      </c>
      <c r="K331" s="65">
        <f t="shared" si="5"/>
        <v>2.143549296</v>
      </c>
      <c r="L331" s="52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</row>
    <row r="332" ht="14.25" customHeight="1">
      <c r="A332" s="6">
        <v>90103.0</v>
      </c>
      <c r="B332" s="7" t="s">
        <v>31</v>
      </c>
      <c r="C332" s="7" t="s">
        <v>427</v>
      </c>
      <c r="D332" s="7" t="s">
        <v>430</v>
      </c>
      <c r="E332" s="61">
        <v>0.0</v>
      </c>
      <c r="F332" s="62">
        <v>152.0</v>
      </c>
      <c r="G332" s="63">
        <f t="shared" si="46"/>
        <v>0</v>
      </c>
      <c r="H332" s="64">
        <f t="shared" si="47"/>
        <v>0</v>
      </c>
      <c r="I332" s="63">
        <f t="shared" si="48"/>
        <v>0.01597981497</v>
      </c>
      <c r="J332" s="65">
        <f t="shared" si="49"/>
        <v>1.693860387</v>
      </c>
      <c r="K332" s="65">
        <f t="shared" si="5"/>
        <v>0</v>
      </c>
      <c r="L332" s="52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</row>
    <row r="333" ht="14.25" customHeight="1">
      <c r="A333" s="6">
        <v>90104.0</v>
      </c>
      <c r="B333" s="7" t="s">
        <v>31</v>
      </c>
      <c r="C333" s="7" t="s">
        <v>427</v>
      </c>
      <c r="D333" s="7" t="s">
        <v>431</v>
      </c>
      <c r="E333" s="61">
        <v>1.0</v>
      </c>
      <c r="F333" s="62">
        <v>263.0</v>
      </c>
      <c r="G333" s="63">
        <f t="shared" si="46"/>
        <v>0.01408450704</v>
      </c>
      <c r="H333" s="64">
        <f t="shared" si="47"/>
        <v>0.01492957746</v>
      </c>
      <c r="I333" s="63">
        <f t="shared" si="48"/>
        <v>0.02764928511</v>
      </c>
      <c r="J333" s="65">
        <f t="shared" si="49"/>
        <v>2.930824222</v>
      </c>
      <c r="K333" s="65">
        <f t="shared" si="5"/>
        <v>5.093985969</v>
      </c>
      <c r="L333" s="52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</row>
    <row r="334" ht="14.25" customHeight="1">
      <c r="A334" s="6">
        <v>90201.0</v>
      </c>
      <c r="B334" s="7" t="s">
        <v>31</v>
      </c>
      <c r="C334" s="7" t="s">
        <v>432</v>
      </c>
      <c r="D334" s="7" t="s">
        <v>433</v>
      </c>
      <c r="E334" s="61">
        <v>4.0</v>
      </c>
      <c r="F334" s="62">
        <v>604.0</v>
      </c>
      <c r="G334" s="63">
        <f t="shared" si="46"/>
        <v>0.05633802817</v>
      </c>
      <c r="H334" s="64">
        <f t="shared" si="47"/>
        <v>0.05971830986</v>
      </c>
      <c r="I334" s="63">
        <f t="shared" si="48"/>
        <v>0.06349873844</v>
      </c>
      <c r="J334" s="65">
        <f t="shared" si="49"/>
        <v>6.730866274</v>
      </c>
      <c r="K334" s="65">
        <f t="shared" si="5"/>
        <v>8.872306688</v>
      </c>
      <c r="L334" s="52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</row>
    <row r="335" ht="14.25" customHeight="1">
      <c r="A335" s="6">
        <v>90202.0</v>
      </c>
      <c r="B335" s="7" t="s">
        <v>31</v>
      </c>
      <c r="C335" s="7" t="s">
        <v>432</v>
      </c>
      <c r="D335" s="7" t="s">
        <v>382</v>
      </c>
      <c r="E335" s="61">
        <v>0.0</v>
      </c>
      <c r="F335" s="62">
        <v>262.0</v>
      </c>
      <c r="G335" s="63">
        <f t="shared" si="46"/>
        <v>0</v>
      </c>
      <c r="H335" s="64">
        <f t="shared" si="47"/>
        <v>0</v>
      </c>
      <c r="I335" s="63">
        <f t="shared" si="48"/>
        <v>0.02754415475</v>
      </c>
      <c r="J335" s="65">
        <f t="shared" si="49"/>
        <v>2.919680404</v>
      </c>
      <c r="K335" s="65">
        <f t="shared" si="5"/>
        <v>0</v>
      </c>
      <c r="L335" s="52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</row>
    <row r="336" ht="14.25" customHeight="1">
      <c r="A336" s="6">
        <v>90203.0</v>
      </c>
      <c r="B336" s="7" t="s">
        <v>31</v>
      </c>
      <c r="C336" s="7" t="s">
        <v>432</v>
      </c>
      <c r="D336" s="7" t="s">
        <v>434</v>
      </c>
      <c r="E336" s="61">
        <v>3.0</v>
      </c>
      <c r="F336" s="62">
        <v>645.0</v>
      </c>
      <c r="G336" s="63">
        <f t="shared" si="46"/>
        <v>0.04225352113</v>
      </c>
      <c r="H336" s="64">
        <f t="shared" si="47"/>
        <v>0.04478873239</v>
      </c>
      <c r="I336" s="63">
        <f t="shared" si="48"/>
        <v>0.06780908326</v>
      </c>
      <c r="J336" s="65">
        <f t="shared" si="49"/>
        <v>7.187762826</v>
      </c>
      <c r="K336" s="65">
        <f t="shared" si="5"/>
        <v>6.231247953</v>
      </c>
      <c r="L336" s="52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</row>
    <row r="337" ht="14.25" customHeight="1">
      <c r="A337" s="6">
        <v>90301.0</v>
      </c>
      <c r="B337" s="7" t="s">
        <v>31</v>
      </c>
      <c r="C337" s="7" t="s">
        <v>435</v>
      </c>
      <c r="D337" s="7" t="s">
        <v>436</v>
      </c>
      <c r="E337" s="61">
        <v>6.0</v>
      </c>
      <c r="F337" s="62">
        <v>674.0</v>
      </c>
      <c r="G337" s="63">
        <f t="shared" si="46"/>
        <v>0.08450704225</v>
      </c>
      <c r="H337" s="64">
        <f t="shared" si="47"/>
        <v>0.08957746479</v>
      </c>
      <c r="I337" s="63">
        <f t="shared" si="48"/>
        <v>0.07085786375</v>
      </c>
      <c r="J337" s="65">
        <f t="shared" si="49"/>
        <v>7.510933558</v>
      </c>
      <c r="K337" s="65">
        <f t="shared" si="5"/>
        <v>11.92627576</v>
      </c>
      <c r="L337" s="52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</row>
    <row r="338" ht="14.25" customHeight="1">
      <c r="A338" s="6">
        <v>90302.0</v>
      </c>
      <c r="B338" s="7" t="s">
        <v>31</v>
      </c>
      <c r="C338" s="7" t="s">
        <v>435</v>
      </c>
      <c r="D338" s="7" t="s">
        <v>437</v>
      </c>
      <c r="E338" s="61">
        <v>2.0</v>
      </c>
      <c r="F338" s="62">
        <v>788.0</v>
      </c>
      <c r="G338" s="63">
        <f t="shared" si="46"/>
        <v>0.02816901408</v>
      </c>
      <c r="H338" s="64">
        <f t="shared" si="47"/>
        <v>0.02985915493</v>
      </c>
      <c r="I338" s="63">
        <f t="shared" si="48"/>
        <v>0.08284272498</v>
      </c>
      <c r="J338" s="65">
        <f t="shared" si="49"/>
        <v>8.781328848</v>
      </c>
      <c r="K338" s="65">
        <f t="shared" si="5"/>
        <v>3.400300279</v>
      </c>
      <c r="L338" s="52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</row>
    <row r="339" ht="14.25" customHeight="1">
      <c r="A339" s="6">
        <v>90303.0</v>
      </c>
      <c r="B339" s="7" t="s">
        <v>31</v>
      </c>
      <c r="C339" s="7" t="s">
        <v>435</v>
      </c>
      <c r="D339" s="7" t="s">
        <v>438</v>
      </c>
      <c r="E339" s="61">
        <v>11.0</v>
      </c>
      <c r="F339" s="62">
        <v>940.0</v>
      </c>
      <c r="G339" s="63">
        <f t="shared" si="46"/>
        <v>0.1549295775</v>
      </c>
      <c r="H339" s="64">
        <f t="shared" si="47"/>
        <v>0.1642253521</v>
      </c>
      <c r="I339" s="63">
        <f t="shared" si="48"/>
        <v>0.09882253995</v>
      </c>
      <c r="J339" s="65">
        <f t="shared" si="49"/>
        <v>10.47518923</v>
      </c>
      <c r="K339" s="65">
        <f t="shared" si="5"/>
        <v>15.67755469</v>
      </c>
      <c r="L339" s="52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</row>
    <row r="340" ht="14.25" customHeight="1">
      <c r="A340" s="6">
        <v>90401.0</v>
      </c>
      <c r="B340" s="7" t="s">
        <v>31</v>
      </c>
      <c r="C340" s="7" t="s">
        <v>439</v>
      </c>
      <c r="D340" s="7" t="s">
        <v>440</v>
      </c>
      <c r="E340" s="61">
        <v>1.0</v>
      </c>
      <c r="F340" s="62">
        <v>230.0</v>
      </c>
      <c r="G340" s="63">
        <f t="shared" si="46"/>
        <v>0.01408450704</v>
      </c>
      <c r="H340" s="64">
        <f t="shared" si="47"/>
        <v>0.01492957746</v>
      </c>
      <c r="I340" s="63">
        <f t="shared" si="48"/>
        <v>0.02417998318</v>
      </c>
      <c r="J340" s="65">
        <f t="shared" si="49"/>
        <v>2.563078217</v>
      </c>
      <c r="K340" s="65">
        <f t="shared" si="5"/>
        <v>5.824862217</v>
      </c>
      <c r="L340" s="52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</row>
    <row r="341" ht="14.25" customHeight="1">
      <c r="A341" s="6">
        <v>90402.0</v>
      </c>
      <c r="B341" s="7" t="s">
        <v>31</v>
      </c>
      <c r="C341" s="7" t="s">
        <v>439</v>
      </c>
      <c r="D341" s="7" t="s">
        <v>103</v>
      </c>
      <c r="E341" s="61">
        <v>2.0</v>
      </c>
      <c r="F341" s="62">
        <v>211.0</v>
      </c>
      <c r="G341" s="63">
        <f t="shared" si="46"/>
        <v>0.02816901408</v>
      </c>
      <c r="H341" s="64">
        <f t="shared" si="47"/>
        <v>0.02985915493</v>
      </c>
      <c r="I341" s="63">
        <f t="shared" si="48"/>
        <v>0.02218250631</v>
      </c>
      <c r="J341" s="65">
        <f t="shared" si="49"/>
        <v>2.351345669</v>
      </c>
      <c r="K341" s="65">
        <f t="shared" si="5"/>
        <v>12.69875175</v>
      </c>
      <c r="L341" s="52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</row>
    <row r="342" ht="14.25" customHeight="1">
      <c r="A342" s="6">
        <v>90501.0</v>
      </c>
      <c r="B342" s="7" t="s">
        <v>31</v>
      </c>
      <c r="C342" s="7" t="s">
        <v>441</v>
      </c>
      <c r="D342" s="7" t="s">
        <v>442</v>
      </c>
      <c r="E342" s="61">
        <v>1.0</v>
      </c>
      <c r="F342" s="62">
        <v>126.0</v>
      </c>
      <c r="G342" s="63">
        <f t="shared" si="46"/>
        <v>0.01408450704</v>
      </c>
      <c r="H342" s="64">
        <f t="shared" si="47"/>
        <v>0.01492957746</v>
      </c>
      <c r="I342" s="63">
        <f t="shared" si="48"/>
        <v>0.01324642557</v>
      </c>
      <c r="J342" s="65">
        <f t="shared" si="49"/>
        <v>1.40412111</v>
      </c>
      <c r="K342" s="65">
        <f t="shared" si="5"/>
        <v>10.632685</v>
      </c>
      <c r="L342" s="52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</row>
    <row r="343" ht="14.25" customHeight="1">
      <c r="A343" s="6">
        <v>90502.0</v>
      </c>
      <c r="B343" s="7" t="s">
        <v>31</v>
      </c>
      <c r="C343" s="7" t="s">
        <v>441</v>
      </c>
      <c r="D343" s="7" t="s">
        <v>443</v>
      </c>
      <c r="E343" s="61">
        <v>3.0</v>
      </c>
      <c r="F343" s="62">
        <v>214.0</v>
      </c>
      <c r="G343" s="63">
        <f t="shared" si="46"/>
        <v>0.04225352113</v>
      </c>
      <c r="H343" s="64">
        <f t="shared" si="47"/>
        <v>0.04478873239</v>
      </c>
      <c r="I343" s="63">
        <f t="shared" si="48"/>
        <v>0.02249789739</v>
      </c>
      <c r="J343" s="65">
        <f t="shared" si="49"/>
        <v>2.384777124</v>
      </c>
      <c r="K343" s="65">
        <f t="shared" si="5"/>
        <v>18.7810978</v>
      </c>
      <c r="L343" s="52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</row>
    <row r="344" ht="14.25" customHeight="1">
      <c r="A344" s="6">
        <v>90503.0</v>
      </c>
      <c r="B344" s="7" t="s">
        <v>31</v>
      </c>
      <c r="C344" s="7" t="s">
        <v>441</v>
      </c>
      <c r="D344" s="7" t="s">
        <v>444</v>
      </c>
      <c r="E344" s="79">
        <v>4.0</v>
      </c>
      <c r="F344" s="80">
        <v>179.0</v>
      </c>
      <c r="G344" s="63">
        <f t="shared" si="46"/>
        <v>0.05633802817</v>
      </c>
      <c r="H344" s="64">
        <f t="shared" si="47"/>
        <v>0.05971830986</v>
      </c>
      <c r="I344" s="63">
        <f t="shared" si="48"/>
        <v>0.01881833474</v>
      </c>
      <c r="J344" s="65">
        <f t="shared" si="49"/>
        <v>1.994743482</v>
      </c>
      <c r="K344" s="65">
        <f t="shared" si="5"/>
        <v>29.93783933</v>
      </c>
      <c r="L344" s="52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</row>
    <row r="345" ht="14.25" customHeight="1">
      <c r="A345" s="52"/>
      <c r="B345" s="52"/>
      <c r="C345" s="52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52"/>
      <c r="AJ345" s="52"/>
      <c r="AK345" s="52"/>
      <c r="AL345" s="52"/>
      <c r="AM345" s="52"/>
      <c r="AN345" s="52"/>
    </row>
    <row r="346" ht="14.25" customHeight="1">
      <c r="A346" s="52"/>
      <c r="B346" s="52"/>
      <c r="C346" s="52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52"/>
      <c r="AJ346" s="52"/>
      <c r="AK346" s="52"/>
      <c r="AL346" s="52"/>
      <c r="AM346" s="52"/>
      <c r="AN346" s="52"/>
    </row>
    <row r="347" ht="14.25" customHeight="1">
      <c r="A347" s="52"/>
      <c r="B347" s="52"/>
      <c r="C347" s="52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52"/>
      <c r="AJ347" s="52"/>
      <c r="AK347" s="52"/>
      <c r="AL347" s="52"/>
      <c r="AM347" s="52"/>
      <c r="AN347" s="52"/>
    </row>
    <row r="348" ht="14.25" customHeight="1">
      <c r="A348" s="52"/>
      <c r="B348" s="52"/>
      <c r="C348" s="52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52"/>
      <c r="AJ348" s="52"/>
      <c r="AK348" s="52"/>
      <c r="AL348" s="52"/>
      <c r="AM348" s="52"/>
      <c r="AN348" s="52"/>
    </row>
    <row r="349" ht="14.25" customHeight="1">
      <c r="A349" s="52"/>
      <c r="B349" s="52"/>
      <c r="C349" s="52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52"/>
      <c r="AJ349" s="52"/>
      <c r="AK349" s="52"/>
      <c r="AL349" s="52"/>
      <c r="AM349" s="52"/>
      <c r="AN349" s="52"/>
    </row>
    <row r="350" ht="14.25" customHeight="1">
      <c r="A350" s="52"/>
      <c r="B350" s="52"/>
      <c r="C350" s="52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52"/>
      <c r="AJ350" s="52"/>
      <c r="AK350" s="52"/>
      <c r="AL350" s="52"/>
      <c r="AM350" s="52"/>
      <c r="AN350" s="52"/>
    </row>
    <row r="351" ht="14.25" customHeight="1">
      <c r="A351" s="52"/>
      <c r="B351" s="52"/>
      <c r="C351" s="52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52"/>
      <c r="AJ351" s="52"/>
      <c r="AK351" s="52"/>
      <c r="AL351" s="52"/>
      <c r="AM351" s="52"/>
      <c r="AN351" s="52"/>
    </row>
    <row r="352" ht="14.25" customHeight="1">
      <c r="A352" s="52"/>
      <c r="B352" s="52"/>
      <c r="C352" s="52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52"/>
      <c r="AJ352" s="52"/>
      <c r="AK352" s="52"/>
      <c r="AL352" s="52"/>
      <c r="AM352" s="52"/>
      <c r="AN352" s="52"/>
    </row>
    <row r="353" ht="14.25" customHeight="1">
      <c r="A353" s="52"/>
      <c r="B353" s="52"/>
      <c r="C353" s="52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52"/>
      <c r="AJ353" s="52"/>
      <c r="AK353" s="52"/>
      <c r="AL353" s="52"/>
      <c r="AM353" s="52"/>
      <c r="AN353" s="52"/>
    </row>
    <row r="354" ht="14.25" customHeight="1">
      <c r="A354" s="52"/>
      <c r="B354" s="52"/>
      <c r="C354" s="52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52"/>
      <c r="AJ354" s="52"/>
      <c r="AK354" s="52"/>
      <c r="AL354" s="52"/>
      <c r="AM354" s="52"/>
      <c r="AN354" s="52"/>
    </row>
    <row r="355" ht="14.25" customHeight="1">
      <c r="A355" s="52"/>
      <c r="B355" s="52"/>
      <c r="C355" s="52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52"/>
      <c r="AJ355" s="52"/>
      <c r="AK355" s="52"/>
      <c r="AL355" s="52"/>
      <c r="AM355" s="52"/>
      <c r="AN355" s="52"/>
    </row>
    <row r="356" ht="14.25" customHeight="1">
      <c r="A356" s="52"/>
      <c r="B356" s="52"/>
      <c r="C356" s="52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52"/>
      <c r="AJ356" s="52"/>
      <c r="AK356" s="52"/>
      <c r="AL356" s="52"/>
      <c r="AM356" s="52"/>
      <c r="AN356" s="52"/>
    </row>
    <row r="357" ht="14.25" customHeight="1">
      <c r="A357" s="52"/>
      <c r="B357" s="52"/>
      <c r="C357" s="52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52"/>
      <c r="AJ357" s="52"/>
      <c r="AK357" s="52"/>
      <c r="AL357" s="52"/>
      <c r="AM357" s="52"/>
      <c r="AN357" s="52"/>
    </row>
    <row r="358" ht="14.25" customHeight="1">
      <c r="A358" s="52"/>
      <c r="B358" s="52"/>
      <c r="C358" s="52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52"/>
      <c r="AJ358" s="52"/>
      <c r="AK358" s="52"/>
      <c r="AL358" s="52"/>
      <c r="AM358" s="52"/>
      <c r="AN358" s="52"/>
    </row>
    <row r="359" ht="14.25" customHeight="1">
      <c r="A359" s="52"/>
      <c r="B359" s="52"/>
      <c r="C359" s="52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52"/>
      <c r="AJ359" s="52"/>
      <c r="AK359" s="52"/>
      <c r="AL359" s="52"/>
      <c r="AM359" s="52"/>
      <c r="AN359" s="52"/>
    </row>
    <row r="360" ht="14.25" customHeight="1">
      <c r="A360" s="52"/>
      <c r="B360" s="52"/>
      <c r="C360" s="52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52"/>
      <c r="AJ360" s="52"/>
      <c r="AK360" s="52"/>
      <c r="AL360" s="52"/>
      <c r="AM360" s="52"/>
      <c r="AN360" s="52"/>
    </row>
    <row r="361" ht="14.25" customHeight="1">
      <c r="A361" s="52"/>
      <c r="B361" s="52"/>
      <c r="C361" s="52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52"/>
      <c r="AJ361" s="52"/>
      <c r="AK361" s="52"/>
      <c r="AL361" s="52"/>
      <c r="AM361" s="52"/>
      <c r="AN361" s="52"/>
    </row>
    <row r="362" ht="14.25" customHeight="1">
      <c r="A362" s="52"/>
      <c r="B362" s="52"/>
      <c r="C362" s="52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52"/>
      <c r="AJ362" s="52"/>
      <c r="AK362" s="52"/>
      <c r="AL362" s="52"/>
      <c r="AM362" s="52"/>
      <c r="AN362" s="52"/>
    </row>
    <row r="363" ht="14.25" customHeight="1">
      <c r="A363" s="52"/>
      <c r="B363" s="52"/>
      <c r="C363" s="52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52"/>
      <c r="AJ363" s="52"/>
      <c r="AK363" s="52"/>
      <c r="AL363" s="52"/>
      <c r="AM363" s="52"/>
      <c r="AN363" s="52"/>
    </row>
    <row r="364" ht="14.25" customHeight="1">
      <c r="A364" s="52"/>
      <c r="B364" s="52"/>
      <c r="C364" s="52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52"/>
      <c r="AJ364" s="52"/>
      <c r="AK364" s="52"/>
      <c r="AL364" s="52"/>
      <c r="AM364" s="52"/>
      <c r="AN364" s="52"/>
    </row>
    <row r="365" ht="14.25" customHeight="1">
      <c r="A365" s="52"/>
      <c r="B365" s="52"/>
      <c r="C365" s="52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52"/>
      <c r="AJ365" s="52"/>
      <c r="AK365" s="52"/>
      <c r="AL365" s="52"/>
      <c r="AM365" s="52"/>
      <c r="AN365" s="52"/>
    </row>
    <row r="366" ht="14.25" customHeight="1">
      <c r="A366" s="52"/>
      <c r="B366" s="52"/>
      <c r="C366" s="52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52"/>
      <c r="AJ366" s="52"/>
      <c r="AK366" s="52"/>
      <c r="AL366" s="52"/>
      <c r="AM366" s="52"/>
      <c r="AN366" s="52"/>
    </row>
    <row r="367" ht="14.25" customHeight="1">
      <c r="A367" s="52"/>
      <c r="B367" s="52"/>
      <c r="C367" s="52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52"/>
      <c r="AJ367" s="52"/>
      <c r="AK367" s="52"/>
      <c r="AL367" s="52"/>
      <c r="AM367" s="52"/>
      <c r="AN367" s="52"/>
    </row>
    <row r="368" ht="14.25" customHeight="1">
      <c r="A368" s="52"/>
      <c r="B368" s="52"/>
      <c r="C368" s="52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52"/>
      <c r="AJ368" s="52"/>
      <c r="AK368" s="52"/>
      <c r="AL368" s="52"/>
      <c r="AM368" s="52"/>
      <c r="AN368" s="52"/>
    </row>
    <row r="369" ht="14.25" customHeight="1">
      <c r="A369" s="52"/>
      <c r="B369" s="52"/>
      <c r="C369" s="52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52"/>
      <c r="AJ369" s="52"/>
      <c r="AK369" s="52"/>
      <c r="AL369" s="52"/>
      <c r="AM369" s="52"/>
      <c r="AN369" s="52"/>
    </row>
    <row r="370" ht="14.25" customHeight="1">
      <c r="A370" s="52"/>
      <c r="B370" s="52"/>
      <c r="C370" s="52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52"/>
      <c r="AJ370" s="52"/>
      <c r="AK370" s="52"/>
      <c r="AL370" s="52"/>
      <c r="AM370" s="52"/>
      <c r="AN370" s="52"/>
    </row>
    <row r="371" ht="14.25" customHeight="1">
      <c r="A371" s="52"/>
      <c r="B371" s="52"/>
      <c r="C371" s="52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52"/>
      <c r="AJ371" s="52"/>
      <c r="AK371" s="52"/>
      <c r="AL371" s="52"/>
      <c r="AM371" s="52"/>
      <c r="AN371" s="52"/>
    </row>
    <row r="372" ht="14.25" customHeight="1">
      <c r="A372" s="52"/>
      <c r="B372" s="52"/>
      <c r="C372" s="52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52"/>
      <c r="AJ372" s="52"/>
      <c r="AK372" s="52"/>
      <c r="AL372" s="52"/>
      <c r="AM372" s="52"/>
      <c r="AN372" s="52"/>
    </row>
    <row r="373" ht="14.25" customHeight="1">
      <c r="A373" s="52"/>
      <c r="B373" s="52"/>
      <c r="C373" s="52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52"/>
      <c r="AJ373" s="52"/>
      <c r="AK373" s="52"/>
      <c r="AL373" s="52"/>
      <c r="AM373" s="52"/>
      <c r="AN373" s="52"/>
    </row>
    <row r="374" ht="14.25" customHeight="1">
      <c r="A374" s="52"/>
      <c r="B374" s="52"/>
      <c r="C374" s="52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52"/>
      <c r="AJ374" s="52"/>
      <c r="AK374" s="52"/>
      <c r="AL374" s="52"/>
      <c r="AM374" s="52"/>
      <c r="AN374" s="52"/>
    </row>
    <row r="375" ht="14.25" customHeight="1">
      <c r="A375" s="52"/>
      <c r="B375" s="52"/>
      <c r="C375" s="52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52"/>
      <c r="AJ375" s="52"/>
      <c r="AK375" s="52"/>
      <c r="AL375" s="52"/>
      <c r="AM375" s="52"/>
      <c r="AN375" s="52"/>
    </row>
    <row r="376" ht="14.25" customHeight="1">
      <c r="A376" s="52"/>
      <c r="B376" s="52"/>
      <c r="C376" s="52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52"/>
      <c r="AJ376" s="52"/>
      <c r="AK376" s="52"/>
      <c r="AL376" s="52"/>
      <c r="AM376" s="52"/>
      <c r="AN376" s="52"/>
    </row>
    <row r="377" ht="14.25" customHeight="1">
      <c r="A377" s="52"/>
      <c r="B377" s="52"/>
      <c r="C377" s="52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52"/>
      <c r="AJ377" s="52"/>
      <c r="AK377" s="52"/>
      <c r="AL377" s="52"/>
      <c r="AM377" s="52"/>
      <c r="AN377" s="52"/>
    </row>
    <row r="378" ht="14.25" customHeight="1">
      <c r="A378" s="52"/>
      <c r="B378" s="52"/>
      <c r="C378" s="52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52"/>
      <c r="AJ378" s="52"/>
      <c r="AK378" s="52"/>
      <c r="AL378" s="52"/>
      <c r="AM378" s="52"/>
      <c r="AN378" s="52"/>
    </row>
    <row r="379" ht="14.25" customHeight="1">
      <c r="A379" s="52"/>
      <c r="B379" s="52"/>
      <c r="C379" s="52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52"/>
      <c r="AJ379" s="52"/>
      <c r="AK379" s="52"/>
      <c r="AL379" s="52"/>
      <c r="AM379" s="52"/>
      <c r="AN379" s="52"/>
    </row>
    <row r="380" ht="14.25" customHeight="1">
      <c r="A380" s="52"/>
      <c r="B380" s="52"/>
      <c r="C380" s="52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52"/>
      <c r="AJ380" s="52"/>
      <c r="AK380" s="52"/>
      <c r="AL380" s="52"/>
      <c r="AM380" s="52"/>
      <c r="AN380" s="52"/>
    </row>
    <row r="381" ht="14.25" customHeight="1">
      <c r="A381" s="52"/>
      <c r="B381" s="52"/>
      <c r="C381" s="52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52"/>
      <c r="AJ381" s="52"/>
      <c r="AK381" s="52"/>
      <c r="AL381" s="52"/>
      <c r="AM381" s="52"/>
      <c r="AN381" s="52"/>
    </row>
    <row r="382" ht="14.25" customHeight="1">
      <c r="A382" s="52"/>
      <c r="B382" s="52"/>
      <c r="C382" s="52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52"/>
      <c r="AJ382" s="52"/>
      <c r="AK382" s="52"/>
      <c r="AL382" s="52"/>
      <c r="AM382" s="52"/>
      <c r="AN382" s="52"/>
    </row>
    <row r="383" ht="14.25" customHeight="1">
      <c r="A383" s="52"/>
      <c r="B383" s="52"/>
      <c r="C383" s="52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52"/>
      <c r="AJ383" s="52"/>
      <c r="AK383" s="52"/>
      <c r="AL383" s="52"/>
      <c r="AM383" s="52"/>
      <c r="AN383" s="52"/>
    </row>
    <row r="384" ht="14.25" customHeight="1">
      <c r="A384" s="52"/>
      <c r="B384" s="52"/>
      <c r="C384" s="52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52"/>
      <c r="AJ384" s="52"/>
      <c r="AK384" s="52"/>
      <c r="AL384" s="52"/>
      <c r="AM384" s="52"/>
      <c r="AN384" s="52"/>
    </row>
    <row r="385" ht="14.25" customHeight="1">
      <c r="A385" s="52"/>
      <c r="B385" s="52"/>
      <c r="C385" s="52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52"/>
      <c r="AJ385" s="52"/>
      <c r="AK385" s="52"/>
      <c r="AL385" s="52"/>
      <c r="AM385" s="52"/>
      <c r="AN385" s="52"/>
    </row>
    <row r="386" ht="14.25" customHeight="1">
      <c r="A386" s="52"/>
      <c r="B386" s="52"/>
      <c r="C386" s="52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52"/>
      <c r="AJ386" s="52"/>
      <c r="AK386" s="52"/>
      <c r="AL386" s="52"/>
      <c r="AM386" s="52"/>
      <c r="AN386" s="52"/>
    </row>
    <row r="387" ht="14.25" customHeight="1">
      <c r="A387" s="52"/>
      <c r="B387" s="52"/>
      <c r="C387" s="52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52"/>
      <c r="AJ387" s="52"/>
      <c r="AK387" s="52"/>
      <c r="AL387" s="52"/>
      <c r="AM387" s="52"/>
      <c r="AN387" s="52"/>
    </row>
    <row r="388" ht="14.25" customHeight="1">
      <c r="A388" s="52"/>
      <c r="B388" s="52"/>
      <c r="C388" s="52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52"/>
      <c r="AJ388" s="52"/>
      <c r="AK388" s="52"/>
      <c r="AL388" s="52"/>
      <c r="AM388" s="52"/>
      <c r="AN388" s="52"/>
    </row>
    <row r="389" ht="14.25" customHeight="1">
      <c r="A389" s="52"/>
      <c r="B389" s="52"/>
      <c r="C389" s="52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52"/>
      <c r="AJ389" s="52"/>
      <c r="AK389" s="52"/>
      <c r="AL389" s="52"/>
      <c r="AM389" s="52"/>
      <c r="AN389" s="52"/>
    </row>
    <row r="390" ht="14.25" customHeight="1">
      <c r="A390" s="52"/>
      <c r="B390" s="52"/>
      <c r="C390" s="52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52"/>
      <c r="AJ390" s="52"/>
      <c r="AK390" s="52"/>
      <c r="AL390" s="52"/>
      <c r="AM390" s="52"/>
      <c r="AN390" s="52"/>
    </row>
    <row r="391" ht="14.25" customHeight="1">
      <c r="A391" s="52"/>
      <c r="B391" s="52"/>
      <c r="C391" s="52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52"/>
      <c r="AJ391" s="52"/>
      <c r="AK391" s="52"/>
      <c r="AL391" s="52"/>
      <c r="AM391" s="52"/>
      <c r="AN391" s="52"/>
    </row>
    <row r="392" ht="14.25" customHeight="1">
      <c r="A392" s="52"/>
      <c r="B392" s="52"/>
      <c r="C392" s="52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52"/>
      <c r="AJ392" s="52"/>
      <c r="AK392" s="52"/>
      <c r="AL392" s="52"/>
      <c r="AM392" s="52"/>
      <c r="AN392" s="52"/>
    </row>
    <row r="393" ht="14.25" customHeight="1">
      <c r="A393" s="52"/>
      <c r="B393" s="52"/>
      <c r="C393" s="52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52"/>
      <c r="AJ393" s="52"/>
      <c r="AK393" s="52"/>
      <c r="AL393" s="52"/>
      <c r="AM393" s="52"/>
      <c r="AN393" s="52"/>
    </row>
    <row r="394" ht="14.25" customHeight="1">
      <c r="A394" s="52"/>
      <c r="B394" s="52"/>
      <c r="C394" s="52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52"/>
      <c r="AJ394" s="52"/>
      <c r="AK394" s="52"/>
      <c r="AL394" s="52"/>
      <c r="AM394" s="52"/>
      <c r="AN394" s="52"/>
    </row>
    <row r="395" ht="14.25" customHeight="1">
      <c r="A395" s="52"/>
      <c r="B395" s="52"/>
      <c r="C395" s="52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52"/>
      <c r="AJ395" s="52"/>
      <c r="AK395" s="52"/>
      <c r="AL395" s="52"/>
      <c r="AM395" s="52"/>
      <c r="AN395" s="52"/>
    </row>
    <row r="396" ht="14.25" customHeight="1">
      <c r="A396" s="52"/>
      <c r="B396" s="52"/>
      <c r="C396" s="52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52"/>
      <c r="AJ396" s="52"/>
      <c r="AK396" s="52"/>
      <c r="AL396" s="52"/>
      <c r="AM396" s="52"/>
      <c r="AN396" s="52"/>
    </row>
    <row r="397" ht="14.25" customHeight="1">
      <c r="A397" s="52"/>
      <c r="B397" s="52"/>
      <c r="C397" s="52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52"/>
      <c r="AJ397" s="52"/>
      <c r="AK397" s="52"/>
      <c r="AL397" s="52"/>
      <c r="AM397" s="52"/>
      <c r="AN397" s="52"/>
    </row>
    <row r="398" ht="14.25" customHeight="1">
      <c r="A398" s="52"/>
      <c r="B398" s="52"/>
      <c r="C398" s="52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52"/>
      <c r="AJ398" s="52"/>
      <c r="AK398" s="52"/>
      <c r="AL398" s="52"/>
      <c r="AM398" s="52"/>
      <c r="AN398" s="52"/>
    </row>
    <row r="399" ht="14.25" customHeight="1">
      <c r="A399" s="52"/>
      <c r="B399" s="52"/>
      <c r="C399" s="52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52"/>
      <c r="AJ399" s="52"/>
      <c r="AK399" s="52"/>
      <c r="AL399" s="52"/>
      <c r="AM399" s="52"/>
      <c r="AN399" s="52"/>
    </row>
    <row r="400" ht="14.25" customHeight="1">
      <c r="A400" s="52"/>
      <c r="B400" s="52"/>
      <c r="C400" s="52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52"/>
      <c r="AJ400" s="52"/>
      <c r="AK400" s="52"/>
      <c r="AL400" s="52"/>
      <c r="AM400" s="52"/>
      <c r="AN400" s="52"/>
    </row>
    <row r="401" ht="14.25" customHeight="1">
      <c r="A401" s="52"/>
      <c r="B401" s="52"/>
      <c r="C401" s="52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52"/>
      <c r="AJ401" s="52"/>
      <c r="AK401" s="52"/>
      <c r="AL401" s="52"/>
      <c r="AM401" s="52"/>
      <c r="AN401" s="52"/>
    </row>
    <row r="402" ht="14.25" customHeight="1">
      <c r="A402" s="52"/>
      <c r="B402" s="52"/>
      <c r="C402" s="52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52"/>
      <c r="AJ402" s="52"/>
      <c r="AK402" s="52"/>
      <c r="AL402" s="52"/>
      <c r="AM402" s="52"/>
      <c r="AN402" s="52"/>
    </row>
    <row r="403" ht="14.25" customHeight="1">
      <c r="A403" s="52"/>
      <c r="B403" s="52"/>
      <c r="C403" s="52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52"/>
      <c r="AJ403" s="52"/>
      <c r="AK403" s="52"/>
      <c r="AL403" s="52"/>
      <c r="AM403" s="52"/>
      <c r="AN403" s="52"/>
    </row>
    <row r="404" ht="14.25" customHeight="1">
      <c r="A404" s="52"/>
      <c r="B404" s="52"/>
      <c r="C404" s="52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52"/>
      <c r="AJ404" s="52"/>
      <c r="AK404" s="52"/>
      <c r="AL404" s="52"/>
      <c r="AM404" s="52"/>
      <c r="AN404" s="52"/>
    </row>
    <row r="405" ht="14.25" customHeight="1">
      <c r="A405" s="52"/>
      <c r="B405" s="52"/>
      <c r="C405" s="52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52"/>
      <c r="AJ405" s="52"/>
      <c r="AK405" s="52"/>
      <c r="AL405" s="52"/>
      <c r="AM405" s="52"/>
      <c r="AN405" s="52"/>
    </row>
    <row r="406" ht="14.25" customHeight="1">
      <c r="A406" s="52"/>
      <c r="B406" s="52"/>
      <c r="C406" s="52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52"/>
      <c r="AJ406" s="52"/>
      <c r="AK406" s="52"/>
      <c r="AL406" s="52"/>
      <c r="AM406" s="52"/>
      <c r="AN406" s="52"/>
    </row>
    <row r="407" ht="14.25" customHeight="1">
      <c r="A407" s="52"/>
      <c r="B407" s="52"/>
      <c r="C407" s="52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52"/>
      <c r="AJ407" s="52"/>
      <c r="AK407" s="52"/>
      <c r="AL407" s="52"/>
      <c r="AM407" s="52"/>
      <c r="AN407" s="52"/>
    </row>
    <row r="408" ht="14.25" customHeight="1">
      <c r="A408" s="52"/>
      <c r="B408" s="52"/>
      <c r="C408" s="52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52"/>
      <c r="AJ408" s="52"/>
      <c r="AK408" s="52"/>
      <c r="AL408" s="52"/>
      <c r="AM408" s="52"/>
      <c r="AN408" s="52"/>
    </row>
    <row r="409" ht="14.25" customHeight="1">
      <c r="A409" s="52"/>
      <c r="B409" s="52"/>
      <c r="C409" s="52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52"/>
      <c r="AJ409" s="52"/>
      <c r="AK409" s="52"/>
      <c r="AL409" s="52"/>
      <c r="AM409" s="52"/>
      <c r="AN409" s="52"/>
    </row>
    <row r="410" ht="14.25" customHeight="1">
      <c r="A410" s="52"/>
      <c r="B410" s="52"/>
      <c r="C410" s="52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52"/>
      <c r="AJ410" s="52"/>
      <c r="AK410" s="52"/>
      <c r="AL410" s="52"/>
      <c r="AM410" s="52"/>
      <c r="AN410" s="52"/>
    </row>
    <row r="411" ht="14.25" customHeight="1">
      <c r="A411" s="52"/>
      <c r="B411" s="52"/>
      <c r="C411" s="52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52"/>
      <c r="AJ411" s="52"/>
      <c r="AK411" s="52"/>
      <c r="AL411" s="52"/>
      <c r="AM411" s="52"/>
      <c r="AN411" s="52"/>
    </row>
    <row r="412" ht="14.25" customHeight="1">
      <c r="A412" s="52"/>
      <c r="B412" s="52"/>
      <c r="C412" s="52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52"/>
      <c r="AJ412" s="52"/>
      <c r="AK412" s="52"/>
      <c r="AL412" s="52"/>
      <c r="AM412" s="52"/>
      <c r="AN412" s="52"/>
    </row>
    <row r="413" ht="14.25" customHeight="1">
      <c r="A413" s="52"/>
      <c r="B413" s="52"/>
      <c r="C413" s="52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52"/>
      <c r="AJ413" s="52"/>
      <c r="AK413" s="52"/>
      <c r="AL413" s="52"/>
      <c r="AM413" s="52"/>
      <c r="AN413" s="52"/>
    </row>
    <row r="414" ht="14.25" customHeight="1">
      <c r="A414" s="52"/>
      <c r="B414" s="52"/>
      <c r="C414" s="52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52"/>
      <c r="AJ414" s="52"/>
      <c r="AK414" s="52"/>
      <c r="AL414" s="52"/>
      <c r="AM414" s="52"/>
      <c r="AN414" s="52"/>
    </row>
    <row r="415" ht="14.25" customHeight="1">
      <c r="A415" s="52"/>
      <c r="B415" s="52"/>
      <c r="C415" s="52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52"/>
      <c r="AJ415" s="52"/>
      <c r="AK415" s="52"/>
      <c r="AL415" s="52"/>
      <c r="AM415" s="52"/>
      <c r="AN415" s="52"/>
    </row>
    <row r="416" ht="14.25" customHeight="1">
      <c r="A416" s="52"/>
      <c r="B416" s="52"/>
      <c r="C416" s="52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52"/>
      <c r="AJ416" s="52"/>
      <c r="AK416" s="52"/>
      <c r="AL416" s="52"/>
      <c r="AM416" s="52"/>
      <c r="AN416" s="52"/>
    </row>
    <row r="417" ht="14.25" customHeight="1">
      <c r="A417" s="52"/>
      <c r="B417" s="52"/>
      <c r="C417" s="52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52"/>
      <c r="AJ417" s="52"/>
      <c r="AK417" s="52"/>
      <c r="AL417" s="52"/>
      <c r="AM417" s="52"/>
      <c r="AN417" s="52"/>
    </row>
    <row r="418" ht="14.25" customHeight="1">
      <c r="A418" s="52"/>
      <c r="B418" s="52"/>
      <c r="C418" s="52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52"/>
      <c r="AJ418" s="52"/>
      <c r="AK418" s="52"/>
      <c r="AL418" s="52"/>
      <c r="AM418" s="52"/>
      <c r="AN418" s="52"/>
    </row>
    <row r="419" ht="14.25" customHeight="1">
      <c r="A419" s="52"/>
      <c r="B419" s="52"/>
      <c r="C419" s="52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52"/>
      <c r="AJ419" s="52"/>
      <c r="AK419" s="52"/>
      <c r="AL419" s="52"/>
      <c r="AM419" s="52"/>
      <c r="AN419" s="52"/>
    </row>
    <row r="420" ht="14.25" customHeight="1">
      <c r="A420" s="52"/>
      <c r="B420" s="52"/>
      <c r="C420" s="52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52"/>
      <c r="AJ420" s="52"/>
      <c r="AK420" s="52"/>
      <c r="AL420" s="52"/>
      <c r="AM420" s="52"/>
      <c r="AN420" s="52"/>
    </row>
    <row r="421" ht="14.25" customHeight="1">
      <c r="A421" s="52"/>
      <c r="B421" s="52"/>
      <c r="C421" s="52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52"/>
      <c r="AJ421" s="52"/>
      <c r="AK421" s="52"/>
      <c r="AL421" s="52"/>
      <c r="AM421" s="52"/>
      <c r="AN421" s="52"/>
    </row>
    <row r="422" ht="14.25" customHeight="1">
      <c r="A422" s="52"/>
      <c r="B422" s="52"/>
      <c r="C422" s="52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52"/>
      <c r="AJ422" s="52"/>
      <c r="AK422" s="52"/>
      <c r="AL422" s="52"/>
      <c r="AM422" s="52"/>
      <c r="AN422" s="52"/>
    </row>
    <row r="423" ht="14.25" customHeight="1">
      <c r="A423" s="52"/>
      <c r="B423" s="52"/>
      <c r="C423" s="52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52"/>
      <c r="AJ423" s="52"/>
      <c r="AK423" s="52"/>
      <c r="AL423" s="52"/>
      <c r="AM423" s="52"/>
      <c r="AN423" s="52"/>
    </row>
    <row r="424" ht="14.25" customHeight="1">
      <c r="A424" s="52"/>
      <c r="B424" s="52"/>
      <c r="C424" s="52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52"/>
      <c r="AJ424" s="52"/>
      <c r="AK424" s="52"/>
      <c r="AL424" s="52"/>
      <c r="AM424" s="52"/>
      <c r="AN424" s="52"/>
    </row>
    <row r="425" ht="14.25" customHeight="1">
      <c r="A425" s="52"/>
      <c r="B425" s="52"/>
      <c r="C425" s="52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52"/>
      <c r="AJ425" s="52"/>
      <c r="AK425" s="52"/>
      <c r="AL425" s="52"/>
      <c r="AM425" s="52"/>
      <c r="AN425" s="52"/>
    </row>
    <row r="426" ht="14.25" customHeight="1">
      <c r="A426" s="52"/>
      <c r="B426" s="52"/>
      <c r="C426" s="52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52"/>
      <c r="AJ426" s="52"/>
      <c r="AK426" s="52"/>
      <c r="AL426" s="52"/>
      <c r="AM426" s="52"/>
      <c r="AN426" s="52"/>
    </row>
    <row r="427" ht="14.25" customHeight="1">
      <c r="A427" s="52"/>
      <c r="B427" s="52"/>
      <c r="C427" s="52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52"/>
      <c r="AJ427" s="52"/>
      <c r="AK427" s="52"/>
      <c r="AL427" s="52"/>
      <c r="AM427" s="52"/>
      <c r="AN427" s="52"/>
    </row>
    <row r="428" ht="14.25" customHeight="1">
      <c r="A428" s="52"/>
      <c r="B428" s="52"/>
      <c r="C428" s="52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52"/>
      <c r="AJ428" s="52"/>
      <c r="AK428" s="52"/>
      <c r="AL428" s="52"/>
      <c r="AM428" s="52"/>
      <c r="AN428" s="52"/>
    </row>
    <row r="429" ht="14.25" customHeight="1">
      <c r="A429" s="52"/>
      <c r="B429" s="52"/>
      <c r="C429" s="52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52"/>
      <c r="AJ429" s="52"/>
      <c r="AK429" s="52"/>
      <c r="AL429" s="52"/>
      <c r="AM429" s="52"/>
      <c r="AN429" s="52"/>
    </row>
    <row r="430" ht="14.25" customHeight="1">
      <c r="A430" s="52"/>
      <c r="B430" s="52"/>
      <c r="C430" s="52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52"/>
      <c r="AJ430" s="52"/>
      <c r="AK430" s="52"/>
      <c r="AL430" s="52"/>
      <c r="AM430" s="52"/>
      <c r="AN430" s="52"/>
    </row>
    <row r="431" ht="14.25" customHeight="1">
      <c r="A431" s="52"/>
      <c r="B431" s="52"/>
      <c r="C431" s="52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52"/>
      <c r="AJ431" s="52"/>
      <c r="AK431" s="52"/>
      <c r="AL431" s="52"/>
      <c r="AM431" s="52"/>
      <c r="AN431" s="52"/>
    </row>
    <row r="432" ht="14.25" customHeight="1">
      <c r="A432" s="52"/>
      <c r="B432" s="52"/>
      <c r="C432" s="52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52"/>
      <c r="AJ432" s="52"/>
      <c r="AK432" s="52"/>
      <c r="AL432" s="52"/>
      <c r="AM432" s="52"/>
      <c r="AN432" s="52"/>
    </row>
    <row r="433" ht="14.25" customHeight="1">
      <c r="A433" s="52"/>
      <c r="B433" s="52"/>
      <c r="C433" s="52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52"/>
      <c r="AJ433" s="52"/>
      <c r="AK433" s="52"/>
      <c r="AL433" s="52"/>
      <c r="AM433" s="52"/>
      <c r="AN433" s="52"/>
    </row>
    <row r="434" ht="14.25" customHeight="1">
      <c r="A434" s="52"/>
      <c r="B434" s="52"/>
      <c r="C434" s="52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52"/>
      <c r="AJ434" s="52"/>
      <c r="AK434" s="52"/>
      <c r="AL434" s="52"/>
      <c r="AM434" s="52"/>
      <c r="AN434" s="52"/>
    </row>
    <row r="435" ht="14.25" customHeight="1">
      <c r="A435" s="52"/>
      <c r="B435" s="52"/>
      <c r="C435" s="52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52"/>
      <c r="AJ435" s="52"/>
      <c r="AK435" s="52"/>
      <c r="AL435" s="52"/>
      <c r="AM435" s="52"/>
      <c r="AN435" s="52"/>
    </row>
    <row r="436" ht="14.25" customHeight="1">
      <c r="A436" s="52"/>
      <c r="B436" s="52"/>
      <c r="C436" s="52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52"/>
      <c r="AJ436" s="52"/>
      <c r="AK436" s="52"/>
      <c r="AL436" s="52"/>
      <c r="AM436" s="52"/>
      <c r="AN436" s="52"/>
    </row>
    <row r="437" ht="14.25" customHeight="1">
      <c r="A437" s="52"/>
      <c r="B437" s="52"/>
      <c r="C437" s="52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52"/>
      <c r="AJ437" s="52"/>
      <c r="AK437" s="52"/>
      <c r="AL437" s="52"/>
      <c r="AM437" s="52"/>
      <c r="AN437" s="52"/>
    </row>
    <row r="438" ht="14.25" customHeight="1">
      <c r="A438" s="52"/>
      <c r="B438" s="52"/>
      <c r="C438" s="52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52"/>
      <c r="AJ438" s="52"/>
      <c r="AK438" s="52"/>
      <c r="AL438" s="52"/>
      <c r="AM438" s="52"/>
      <c r="AN438" s="52"/>
    </row>
    <row r="439" ht="14.25" customHeight="1">
      <c r="A439" s="52"/>
      <c r="B439" s="52"/>
      <c r="C439" s="52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52"/>
      <c r="AJ439" s="52"/>
      <c r="AK439" s="52"/>
      <c r="AL439" s="52"/>
      <c r="AM439" s="52"/>
      <c r="AN439" s="52"/>
    </row>
    <row r="440" ht="14.25" customHeight="1">
      <c r="A440" s="52"/>
      <c r="B440" s="52"/>
      <c r="C440" s="52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52"/>
      <c r="AJ440" s="52"/>
      <c r="AK440" s="52"/>
      <c r="AL440" s="52"/>
      <c r="AM440" s="52"/>
      <c r="AN440" s="52"/>
    </row>
    <row r="441" ht="14.25" customHeight="1">
      <c r="A441" s="52"/>
      <c r="B441" s="52"/>
      <c r="C441" s="52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52"/>
      <c r="AJ441" s="52"/>
      <c r="AK441" s="52"/>
      <c r="AL441" s="52"/>
      <c r="AM441" s="52"/>
      <c r="AN441" s="52"/>
    </row>
    <row r="442" ht="14.25" customHeight="1">
      <c r="A442" s="52"/>
      <c r="B442" s="52"/>
      <c r="C442" s="52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52"/>
      <c r="AJ442" s="52"/>
      <c r="AK442" s="52"/>
      <c r="AL442" s="52"/>
      <c r="AM442" s="52"/>
      <c r="AN442" s="52"/>
    </row>
    <row r="443" ht="14.25" customHeight="1">
      <c r="A443" s="52"/>
      <c r="B443" s="52"/>
      <c r="C443" s="52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52"/>
      <c r="AJ443" s="52"/>
      <c r="AK443" s="52"/>
      <c r="AL443" s="52"/>
      <c r="AM443" s="52"/>
      <c r="AN443" s="52"/>
    </row>
    <row r="444" ht="14.25" customHeight="1">
      <c r="A444" s="52"/>
      <c r="B444" s="52"/>
      <c r="C444" s="52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52"/>
      <c r="AJ444" s="52"/>
      <c r="AK444" s="52"/>
      <c r="AL444" s="52"/>
      <c r="AM444" s="52"/>
      <c r="AN444" s="52"/>
    </row>
    <row r="445" ht="14.25" customHeight="1">
      <c r="A445" s="52"/>
      <c r="B445" s="52"/>
      <c r="C445" s="52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52"/>
      <c r="AJ445" s="52"/>
      <c r="AK445" s="52"/>
      <c r="AL445" s="52"/>
      <c r="AM445" s="52"/>
      <c r="AN445" s="52"/>
    </row>
    <row r="446" ht="14.25" customHeight="1">
      <c r="A446" s="52"/>
      <c r="B446" s="52"/>
      <c r="C446" s="52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52"/>
      <c r="AJ446" s="52"/>
      <c r="AK446" s="52"/>
      <c r="AL446" s="52"/>
      <c r="AM446" s="52"/>
      <c r="AN446" s="52"/>
    </row>
    <row r="447" ht="14.25" customHeight="1">
      <c r="A447" s="52"/>
      <c r="B447" s="52"/>
      <c r="C447" s="52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52"/>
      <c r="AJ447" s="52"/>
      <c r="AK447" s="52"/>
      <c r="AL447" s="52"/>
      <c r="AM447" s="52"/>
      <c r="AN447" s="52"/>
    </row>
    <row r="448" ht="14.25" customHeight="1">
      <c r="A448" s="52"/>
      <c r="B448" s="52"/>
      <c r="C448" s="52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52"/>
      <c r="AJ448" s="52"/>
      <c r="AK448" s="52"/>
      <c r="AL448" s="52"/>
      <c r="AM448" s="52"/>
      <c r="AN448" s="52"/>
    </row>
    <row r="449" ht="14.25" customHeight="1">
      <c r="A449" s="52"/>
      <c r="B449" s="52"/>
      <c r="C449" s="52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52"/>
      <c r="AJ449" s="52"/>
      <c r="AK449" s="52"/>
      <c r="AL449" s="52"/>
      <c r="AM449" s="52"/>
      <c r="AN449" s="52"/>
    </row>
    <row r="450" ht="14.25" customHeight="1">
      <c r="A450" s="52"/>
      <c r="B450" s="52"/>
      <c r="C450" s="52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52"/>
      <c r="AJ450" s="52"/>
      <c r="AK450" s="52"/>
      <c r="AL450" s="52"/>
      <c r="AM450" s="52"/>
      <c r="AN450" s="52"/>
    </row>
    <row r="451" ht="14.25" customHeight="1">
      <c r="A451" s="52"/>
      <c r="B451" s="52"/>
      <c r="C451" s="52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52"/>
      <c r="AJ451" s="52"/>
      <c r="AK451" s="52"/>
      <c r="AL451" s="52"/>
      <c r="AM451" s="52"/>
      <c r="AN451" s="52"/>
    </row>
    <row r="452" ht="14.25" customHeight="1">
      <c r="A452" s="52"/>
      <c r="B452" s="52"/>
      <c r="C452" s="52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52"/>
      <c r="AJ452" s="52"/>
      <c r="AK452" s="52"/>
      <c r="AL452" s="52"/>
      <c r="AM452" s="52"/>
      <c r="AN452" s="52"/>
    </row>
    <row r="453" ht="14.25" customHeight="1">
      <c r="A453" s="52"/>
      <c r="B453" s="52"/>
      <c r="C453" s="52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52"/>
      <c r="AJ453" s="52"/>
      <c r="AK453" s="52"/>
      <c r="AL453" s="52"/>
      <c r="AM453" s="52"/>
      <c r="AN453" s="52"/>
    </row>
    <row r="454" ht="14.25" customHeight="1">
      <c r="A454" s="52"/>
      <c r="B454" s="52"/>
      <c r="C454" s="52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52"/>
      <c r="AJ454" s="52"/>
      <c r="AK454" s="52"/>
      <c r="AL454" s="52"/>
      <c r="AM454" s="52"/>
      <c r="AN454" s="52"/>
    </row>
    <row r="455" ht="14.25" customHeight="1">
      <c r="A455" s="52"/>
      <c r="B455" s="52"/>
      <c r="C455" s="52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52"/>
      <c r="AJ455" s="52"/>
      <c r="AK455" s="52"/>
      <c r="AL455" s="52"/>
      <c r="AM455" s="52"/>
      <c r="AN455" s="52"/>
    </row>
    <row r="456" ht="14.25" customHeight="1">
      <c r="A456" s="52"/>
      <c r="B456" s="52"/>
      <c r="C456" s="52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52"/>
      <c r="AJ456" s="52"/>
      <c r="AK456" s="52"/>
      <c r="AL456" s="52"/>
      <c r="AM456" s="52"/>
      <c r="AN456" s="52"/>
    </row>
    <row r="457" ht="14.25" customHeight="1">
      <c r="A457" s="52"/>
      <c r="B457" s="52"/>
      <c r="C457" s="52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52"/>
      <c r="AJ457" s="52"/>
      <c r="AK457" s="52"/>
      <c r="AL457" s="52"/>
      <c r="AM457" s="52"/>
      <c r="AN457" s="52"/>
    </row>
    <row r="458" ht="14.25" customHeight="1">
      <c r="A458" s="52"/>
      <c r="B458" s="52"/>
      <c r="C458" s="52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52"/>
      <c r="AJ458" s="52"/>
      <c r="AK458" s="52"/>
      <c r="AL458" s="52"/>
      <c r="AM458" s="52"/>
      <c r="AN458" s="52"/>
    </row>
    <row r="459" ht="14.25" customHeight="1">
      <c r="A459" s="52"/>
      <c r="B459" s="52"/>
      <c r="C459" s="52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52"/>
      <c r="AJ459" s="52"/>
      <c r="AK459" s="52"/>
      <c r="AL459" s="52"/>
      <c r="AM459" s="52"/>
      <c r="AN459" s="52"/>
    </row>
    <row r="460" ht="14.25" customHeight="1">
      <c r="A460" s="52"/>
      <c r="B460" s="52"/>
      <c r="C460" s="52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52"/>
      <c r="AJ460" s="52"/>
      <c r="AK460" s="52"/>
      <c r="AL460" s="52"/>
      <c r="AM460" s="52"/>
      <c r="AN460" s="52"/>
    </row>
    <row r="461" ht="14.25" customHeight="1">
      <c r="A461" s="52"/>
      <c r="B461" s="52"/>
      <c r="C461" s="52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52"/>
      <c r="AJ461" s="52"/>
      <c r="AK461" s="52"/>
      <c r="AL461" s="52"/>
      <c r="AM461" s="52"/>
      <c r="AN461" s="52"/>
    </row>
    <row r="462" ht="14.25" customHeight="1">
      <c r="A462" s="52"/>
      <c r="B462" s="52"/>
      <c r="C462" s="52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52"/>
      <c r="AJ462" s="52"/>
      <c r="AK462" s="52"/>
      <c r="AL462" s="52"/>
      <c r="AM462" s="52"/>
      <c r="AN462" s="52"/>
    </row>
    <row r="463" ht="14.25" customHeight="1">
      <c r="A463" s="52"/>
      <c r="B463" s="52"/>
      <c r="C463" s="52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52"/>
      <c r="AJ463" s="52"/>
      <c r="AK463" s="52"/>
      <c r="AL463" s="52"/>
      <c r="AM463" s="52"/>
      <c r="AN463" s="52"/>
    </row>
    <row r="464" ht="14.25" customHeight="1">
      <c r="A464" s="52"/>
      <c r="B464" s="52"/>
      <c r="C464" s="52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52"/>
      <c r="AJ464" s="52"/>
      <c r="AK464" s="52"/>
      <c r="AL464" s="52"/>
      <c r="AM464" s="52"/>
      <c r="AN464" s="52"/>
    </row>
    <row r="465" ht="14.25" customHeight="1">
      <c r="A465" s="52"/>
      <c r="B465" s="52"/>
      <c r="C465" s="52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52"/>
      <c r="AJ465" s="52"/>
      <c r="AK465" s="52"/>
      <c r="AL465" s="52"/>
      <c r="AM465" s="52"/>
      <c r="AN465" s="52"/>
    </row>
    <row r="466" ht="14.25" customHeight="1">
      <c r="A466" s="52"/>
      <c r="B466" s="52"/>
      <c r="C466" s="52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52"/>
      <c r="AJ466" s="52"/>
      <c r="AK466" s="52"/>
      <c r="AL466" s="52"/>
      <c r="AM466" s="52"/>
      <c r="AN466" s="52"/>
    </row>
    <row r="467" ht="14.25" customHeight="1">
      <c r="A467" s="52"/>
      <c r="B467" s="52"/>
      <c r="C467" s="52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52"/>
      <c r="AJ467" s="52"/>
      <c r="AK467" s="52"/>
      <c r="AL467" s="52"/>
      <c r="AM467" s="52"/>
      <c r="AN467" s="52"/>
    </row>
    <row r="468" ht="14.25" customHeight="1">
      <c r="A468" s="52"/>
      <c r="B468" s="52"/>
      <c r="C468" s="52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52"/>
      <c r="AJ468" s="52"/>
      <c r="AK468" s="52"/>
      <c r="AL468" s="52"/>
      <c r="AM468" s="52"/>
      <c r="AN468" s="52"/>
    </row>
    <row r="469" ht="14.25" customHeight="1">
      <c r="A469" s="52"/>
      <c r="B469" s="52"/>
      <c r="C469" s="52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52"/>
      <c r="AJ469" s="52"/>
      <c r="AK469" s="52"/>
      <c r="AL469" s="52"/>
      <c r="AM469" s="52"/>
      <c r="AN469" s="52"/>
    </row>
    <row r="470" ht="14.25" customHeight="1">
      <c r="A470" s="52"/>
      <c r="B470" s="52"/>
      <c r="C470" s="52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52"/>
      <c r="AJ470" s="52"/>
      <c r="AK470" s="52"/>
      <c r="AL470" s="52"/>
      <c r="AM470" s="52"/>
      <c r="AN470" s="52"/>
    </row>
    <row r="471" ht="14.25" customHeight="1">
      <c r="A471" s="52"/>
      <c r="B471" s="52"/>
      <c r="C471" s="52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52"/>
      <c r="AJ471" s="52"/>
      <c r="AK471" s="52"/>
      <c r="AL471" s="52"/>
      <c r="AM471" s="52"/>
      <c r="AN471" s="52"/>
    </row>
    <row r="472" ht="14.25" customHeight="1">
      <c r="A472" s="52"/>
      <c r="B472" s="52"/>
      <c r="C472" s="52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52"/>
      <c r="AJ472" s="52"/>
      <c r="AK472" s="52"/>
      <c r="AL472" s="52"/>
      <c r="AM472" s="52"/>
      <c r="AN472" s="52"/>
    </row>
    <row r="473" ht="14.25" customHeight="1">
      <c r="A473" s="52"/>
      <c r="B473" s="52"/>
      <c r="C473" s="52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52"/>
      <c r="AJ473" s="52"/>
      <c r="AK473" s="52"/>
      <c r="AL473" s="52"/>
      <c r="AM473" s="52"/>
      <c r="AN473" s="52"/>
    </row>
    <row r="474" ht="14.25" customHeight="1">
      <c r="A474" s="52"/>
      <c r="B474" s="52"/>
      <c r="C474" s="52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52"/>
      <c r="AJ474" s="52"/>
      <c r="AK474" s="52"/>
      <c r="AL474" s="52"/>
      <c r="AM474" s="52"/>
      <c r="AN474" s="52"/>
    </row>
    <row r="475" ht="14.25" customHeight="1">
      <c r="A475" s="52"/>
      <c r="B475" s="52"/>
      <c r="C475" s="52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52"/>
      <c r="AJ475" s="52"/>
      <c r="AK475" s="52"/>
      <c r="AL475" s="52"/>
      <c r="AM475" s="52"/>
      <c r="AN475" s="52"/>
    </row>
    <row r="476" ht="14.25" customHeight="1">
      <c r="A476" s="52"/>
      <c r="B476" s="52"/>
      <c r="C476" s="52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52"/>
      <c r="AJ476" s="52"/>
      <c r="AK476" s="52"/>
      <c r="AL476" s="52"/>
      <c r="AM476" s="52"/>
      <c r="AN476" s="52"/>
    </row>
    <row r="477" ht="14.25" customHeight="1">
      <c r="A477" s="52"/>
      <c r="B477" s="52"/>
      <c r="C477" s="52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52"/>
      <c r="AJ477" s="52"/>
      <c r="AK477" s="52"/>
      <c r="AL477" s="52"/>
      <c r="AM477" s="52"/>
      <c r="AN477" s="52"/>
    </row>
    <row r="478" ht="14.25" customHeight="1">
      <c r="A478" s="52"/>
      <c r="B478" s="52"/>
      <c r="C478" s="52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52"/>
      <c r="AJ478" s="52"/>
      <c r="AK478" s="52"/>
      <c r="AL478" s="52"/>
      <c r="AM478" s="52"/>
      <c r="AN478" s="52"/>
    </row>
    <row r="479" ht="14.25" customHeight="1">
      <c r="A479" s="52"/>
      <c r="B479" s="52"/>
      <c r="C479" s="52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52"/>
      <c r="AJ479" s="52"/>
      <c r="AK479" s="52"/>
      <c r="AL479" s="52"/>
      <c r="AM479" s="52"/>
      <c r="AN479" s="52"/>
    </row>
    <row r="480" ht="14.25" customHeight="1">
      <c r="A480" s="52"/>
      <c r="B480" s="52"/>
      <c r="C480" s="52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52"/>
      <c r="AJ480" s="52"/>
      <c r="AK480" s="52"/>
      <c r="AL480" s="52"/>
      <c r="AM480" s="52"/>
      <c r="AN480" s="52"/>
    </row>
    <row r="481" ht="14.25" customHeight="1">
      <c r="A481" s="52"/>
      <c r="B481" s="52"/>
      <c r="C481" s="52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52"/>
      <c r="AJ481" s="52"/>
      <c r="AK481" s="52"/>
      <c r="AL481" s="52"/>
      <c r="AM481" s="52"/>
      <c r="AN481" s="52"/>
    </row>
    <row r="482" ht="14.25" customHeight="1">
      <c r="A482" s="52"/>
      <c r="B482" s="52"/>
      <c r="C482" s="52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52"/>
      <c r="AJ482" s="52"/>
      <c r="AK482" s="52"/>
      <c r="AL482" s="52"/>
      <c r="AM482" s="52"/>
      <c r="AN482" s="52"/>
    </row>
    <row r="483" ht="14.25" customHeight="1">
      <c r="A483" s="52"/>
      <c r="B483" s="52"/>
      <c r="C483" s="52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52"/>
      <c r="AJ483" s="52"/>
      <c r="AK483" s="52"/>
      <c r="AL483" s="52"/>
      <c r="AM483" s="52"/>
      <c r="AN483" s="52"/>
    </row>
    <row r="484" ht="14.25" customHeight="1">
      <c r="A484" s="52"/>
      <c r="B484" s="52"/>
      <c r="C484" s="52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52"/>
      <c r="AJ484" s="52"/>
      <c r="AK484" s="52"/>
      <c r="AL484" s="52"/>
      <c r="AM484" s="52"/>
      <c r="AN484" s="52"/>
    </row>
    <row r="485" ht="14.25" customHeight="1">
      <c r="A485" s="52"/>
      <c r="B485" s="52"/>
      <c r="C485" s="52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52"/>
      <c r="AJ485" s="52"/>
      <c r="AK485" s="52"/>
      <c r="AL485" s="52"/>
      <c r="AM485" s="52"/>
      <c r="AN485" s="52"/>
    </row>
    <row r="486" ht="14.25" customHeight="1">
      <c r="A486" s="52"/>
      <c r="B486" s="52"/>
      <c r="C486" s="52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52"/>
      <c r="AJ486" s="52"/>
      <c r="AK486" s="52"/>
      <c r="AL486" s="52"/>
      <c r="AM486" s="52"/>
      <c r="AN486" s="52"/>
    </row>
    <row r="487" ht="14.25" customHeight="1">
      <c r="A487" s="52"/>
      <c r="B487" s="52"/>
      <c r="C487" s="52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52"/>
      <c r="AJ487" s="52"/>
      <c r="AK487" s="52"/>
      <c r="AL487" s="52"/>
      <c r="AM487" s="52"/>
      <c r="AN487" s="52"/>
    </row>
    <row r="488" ht="14.25" customHeight="1">
      <c r="A488" s="52"/>
      <c r="B488" s="52"/>
      <c r="C488" s="52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52"/>
      <c r="AJ488" s="52"/>
      <c r="AK488" s="52"/>
      <c r="AL488" s="52"/>
      <c r="AM488" s="52"/>
      <c r="AN488" s="52"/>
    </row>
    <row r="489" ht="14.25" customHeight="1">
      <c r="A489" s="52"/>
      <c r="B489" s="52"/>
      <c r="C489" s="52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52"/>
      <c r="AJ489" s="52"/>
      <c r="AK489" s="52"/>
      <c r="AL489" s="52"/>
      <c r="AM489" s="52"/>
      <c r="AN489" s="52"/>
    </row>
    <row r="490" ht="14.25" customHeight="1">
      <c r="A490" s="52"/>
      <c r="B490" s="52"/>
      <c r="C490" s="52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52"/>
      <c r="AJ490" s="52"/>
      <c r="AK490" s="52"/>
      <c r="AL490" s="52"/>
      <c r="AM490" s="52"/>
      <c r="AN490" s="52"/>
    </row>
    <row r="491" ht="14.25" customHeight="1">
      <c r="A491" s="52"/>
      <c r="B491" s="52"/>
      <c r="C491" s="52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52"/>
      <c r="AJ491" s="52"/>
      <c r="AK491" s="52"/>
      <c r="AL491" s="52"/>
      <c r="AM491" s="52"/>
      <c r="AN491" s="52"/>
    </row>
    <row r="492" ht="14.25" customHeight="1">
      <c r="A492" s="52"/>
      <c r="B492" s="52"/>
      <c r="C492" s="52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52"/>
      <c r="AJ492" s="52"/>
      <c r="AK492" s="52"/>
      <c r="AL492" s="52"/>
      <c r="AM492" s="52"/>
      <c r="AN492" s="52"/>
    </row>
    <row r="493" ht="14.25" customHeight="1">
      <c r="A493" s="52"/>
      <c r="B493" s="52"/>
      <c r="C493" s="52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52"/>
      <c r="AJ493" s="52"/>
      <c r="AK493" s="52"/>
      <c r="AL493" s="52"/>
      <c r="AM493" s="52"/>
      <c r="AN493" s="52"/>
    </row>
    <row r="494" ht="14.25" customHeight="1">
      <c r="A494" s="52"/>
      <c r="B494" s="52"/>
      <c r="C494" s="52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52"/>
      <c r="AJ494" s="52"/>
      <c r="AK494" s="52"/>
      <c r="AL494" s="52"/>
      <c r="AM494" s="52"/>
      <c r="AN494" s="52"/>
    </row>
    <row r="495" ht="14.25" customHeight="1">
      <c r="A495" s="52"/>
      <c r="B495" s="52"/>
      <c r="C495" s="52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52"/>
      <c r="AJ495" s="52"/>
      <c r="AK495" s="52"/>
      <c r="AL495" s="52"/>
      <c r="AM495" s="52"/>
      <c r="AN495" s="52"/>
    </row>
    <row r="496" ht="14.25" customHeight="1">
      <c r="A496" s="52"/>
      <c r="B496" s="52"/>
      <c r="C496" s="52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52"/>
      <c r="AJ496" s="52"/>
      <c r="AK496" s="52"/>
      <c r="AL496" s="52"/>
      <c r="AM496" s="52"/>
      <c r="AN496" s="52"/>
    </row>
    <row r="497" ht="14.25" customHeight="1">
      <c r="A497" s="52"/>
      <c r="B497" s="52"/>
      <c r="C497" s="52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52"/>
      <c r="AJ497" s="52"/>
      <c r="AK497" s="52"/>
      <c r="AL497" s="52"/>
      <c r="AM497" s="52"/>
      <c r="AN497" s="52"/>
    </row>
    <row r="498" ht="14.25" customHeight="1">
      <c r="A498" s="52"/>
      <c r="B498" s="52"/>
      <c r="C498" s="52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52"/>
      <c r="AJ498" s="52"/>
      <c r="AK498" s="52"/>
      <c r="AL498" s="52"/>
      <c r="AM498" s="52"/>
      <c r="AN498" s="52"/>
    </row>
    <row r="499" ht="14.25" customHeight="1">
      <c r="A499" s="52"/>
      <c r="B499" s="52"/>
      <c r="C499" s="52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52"/>
      <c r="AJ499" s="52"/>
      <c r="AK499" s="52"/>
      <c r="AL499" s="52"/>
      <c r="AM499" s="52"/>
      <c r="AN499" s="52"/>
    </row>
    <row r="500" ht="14.25" customHeight="1">
      <c r="A500" s="52"/>
      <c r="B500" s="52"/>
      <c r="C500" s="52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52"/>
      <c r="AJ500" s="52"/>
      <c r="AK500" s="52"/>
      <c r="AL500" s="52"/>
      <c r="AM500" s="52"/>
      <c r="AN500" s="52"/>
    </row>
    <row r="501" ht="14.25" customHeight="1">
      <c r="A501" s="52"/>
      <c r="B501" s="52"/>
      <c r="C501" s="52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52"/>
      <c r="AJ501" s="52"/>
      <c r="AK501" s="52"/>
      <c r="AL501" s="52"/>
      <c r="AM501" s="52"/>
      <c r="AN501" s="52"/>
    </row>
    <row r="502" ht="14.25" customHeight="1">
      <c r="A502" s="52"/>
      <c r="B502" s="52"/>
      <c r="C502" s="52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52"/>
      <c r="AJ502" s="52"/>
      <c r="AK502" s="52"/>
      <c r="AL502" s="52"/>
      <c r="AM502" s="52"/>
      <c r="AN502" s="52"/>
    </row>
    <row r="503" ht="14.25" customHeight="1">
      <c r="A503" s="52"/>
      <c r="B503" s="52"/>
      <c r="C503" s="52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52"/>
      <c r="AJ503" s="52"/>
      <c r="AK503" s="52"/>
      <c r="AL503" s="52"/>
      <c r="AM503" s="52"/>
      <c r="AN503" s="52"/>
    </row>
    <row r="504" ht="14.25" customHeight="1">
      <c r="A504" s="52"/>
      <c r="B504" s="52"/>
      <c r="C504" s="52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52"/>
      <c r="AJ504" s="52"/>
      <c r="AK504" s="52"/>
      <c r="AL504" s="52"/>
      <c r="AM504" s="52"/>
      <c r="AN504" s="52"/>
    </row>
    <row r="505" ht="14.25" customHeight="1">
      <c r="A505" s="52"/>
      <c r="B505" s="52"/>
      <c r="C505" s="52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52"/>
      <c r="AJ505" s="52"/>
      <c r="AK505" s="52"/>
      <c r="AL505" s="52"/>
      <c r="AM505" s="52"/>
      <c r="AN505" s="52"/>
    </row>
    <row r="506" ht="14.25" customHeight="1">
      <c r="A506" s="52"/>
      <c r="B506" s="52"/>
      <c r="C506" s="52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52"/>
      <c r="AJ506" s="52"/>
      <c r="AK506" s="52"/>
      <c r="AL506" s="52"/>
      <c r="AM506" s="52"/>
      <c r="AN506" s="52"/>
    </row>
    <row r="507" ht="14.25" customHeight="1">
      <c r="A507" s="52"/>
      <c r="B507" s="52"/>
      <c r="C507" s="52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52"/>
      <c r="AJ507" s="52"/>
      <c r="AK507" s="52"/>
      <c r="AL507" s="52"/>
      <c r="AM507" s="52"/>
      <c r="AN507" s="52"/>
    </row>
    <row r="508" ht="14.25" customHeight="1">
      <c r="A508" s="52"/>
      <c r="B508" s="52"/>
      <c r="C508" s="52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52"/>
      <c r="AJ508" s="52"/>
      <c r="AK508" s="52"/>
      <c r="AL508" s="52"/>
      <c r="AM508" s="52"/>
      <c r="AN508" s="52"/>
    </row>
    <row r="509" ht="14.25" customHeight="1">
      <c r="A509" s="52"/>
      <c r="B509" s="52"/>
      <c r="C509" s="52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52"/>
      <c r="AJ509" s="52"/>
      <c r="AK509" s="52"/>
      <c r="AL509" s="52"/>
      <c r="AM509" s="52"/>
      <c r="AN509" s="52"/>
    </row>
    <row r="510" ht="14.25" customHeight="1">
      <c r="A510" s="52"/>
      <c r="B510" s="52"/>
      <c r="C510" s="52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52"/>
      <c r="AJ510" s="52"/>
      <c r="AK510" s="52"/>
      <c r="AL510" s="52"/>
      <c r="AM510" s="52"/>
      <c r="AN510" s="52"/>
    </row>
    <row r="511" ht="14.25" customHeight="1">
      <c r="A511" s="52"/>
      <c r="B511" s="52"/>
      <c r="C511" s="52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52"/>
      <c r="AJ511" s="52"/>
      <c r="AK511" s="52"/>
      <c r="AL511" s="52"/>
      <c r="AM511" s="52"/>
      <c r="AN511" s="52"/>
    </row>
    <row r="512" ht="14.25" customHeight="1">
      <c r="A512" s="52"/>
      <c r="B512" s="52"/>
      <c r="C512" s="52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52"/>
      <c r="AJ512" s="52"/>
      <c r="AK512" s="52"/>
      <c r="AL512" s="52"/>
      <c r="AM512" s="52"/>
      <c r="AN512" s="52"/>
    </row>
    <row r="513" ht="14.25" customHeight="1">
      <c r="A513" s="52"/>
      <c r="B513" s="52"/>
      <c r="C513" s="52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52"/>
      <c r="AJ513" s="52"/>
      <c r="AK513" s="52"/>
      <c r="AL513" s="52"/>
      <c r="AM513" s="52"/>
      <c r="AN513" s="52"/>
    </row>
    <row r="514" ht="14.25" customHeight="1">
      <c r="A514" s="52"/>
      <c r="B514" s="52"/>
      <c r="C514" s="52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52"/>
      <c r="AJ514" s="52"/>
      <c r="AK514" s="52"/>
      <c r="AL514" s="52"/>
      <c r="AM514" s="52"/>
      <c r="AN514" s="52"/>
    </row>
    <row r="515" ht="14.25" customHeight="1">
      <c r="A515" s="52"/>
      <c r="B515" s="52"/>
      <c r="C515" s="52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52"/>
      <c r="AJ515" s="52"/>
      <c r="AK515" s="52"/>
      <c r="AL515" s="52"/>
      <c r="AM515" s="52"/>
      <c r="AN515" s="52"/>
    </row>
    <row r="516" ht="14.25" customHeight="1">
      <c r="A516" s="52"/>
      <c r="B516" s="52"/>
      <c r="C516" s="52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52"/>
      <c r="AJ516" s="52"/>
      <c r="AK516" s="52"/>
      <c r="AL516" s="52"/>
      <c r="AM516" s="52"/>
      <c r="AN516" s="52"/>
    </row>
    <row r="517" ht="14.25" customHeight="1">
      <c r="A517" s="52"/>
      <c r="B517" s="52"/>
      <c r="C517" s="52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52"/>
      <c r="AJ517" s="52"/>
      <c r="AK517" s="52"/>
      <c r="AL517" s="52"/>
      <c r="AM517" s="52"/>
      <c r="AN517" s="52"/>
    </row>
    <row r="518" ht="14.25" customHeight="1">
      <c r="A518" s="52"/>
      <c r="B518" s="52"/>
      <c r="C518" s="52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52"/>
      <c r="AJ518" s="52"/>
      <c r="AK518" s="52"/>
      <c r="AL518" s="52"/>
      <c r="AM518" s="52"/>
      <c r="AN518" s="52"/>
    </row>
    <row r="519" ht="14.25" customHeight="1">
      <c r="A519" s="52"/>
      <c r="B519" s="52"/>
      <c r="C519" s="52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52"/>
      <c r="AJ519" s="52"/>
      <c r="AK519" s="52"/>
      <c r="AL519" s="52"/>
      <c r="AM519" s="52"/>
      <c r="AN519" s="52"/>
    </row>
    <row r="520" ht="14.25" customHeight="1">
      <c r="A520" s="52"/>
      <c r="B520" s="52"/>
      <c r="C520" s="52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52"/>
      <c r="AJ520" s="52"/>
      <c r="AK520" s="52"/>
      <c r="AL520" s="52"/>
      <c r="AM520" s="52"/>
      <c r="AN520" s="52"/>
    </row>
    <row r="521" ht="14.25" customHeight="1">
      <c r="A521" s="52"/>
      <c r="B521" s="52"/>
      <c r="C521" s="52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52"/>
      <c r="AJ521" s="52"/>
      <c r="AK521" s="52"/>
      <c r="AL521" s="52"/>
      <c r="AM521" s="52"/>
      <c r="AN521" s="52"/>
    </row>
    <row r="522" ht="14.25" customHeight="1">
      <c r="A522" s="52"/>
      <c r="B522" s="52"/>
      <c r="C522" s="52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52"/>
      <c r="AJ522" s="52"/>
      <c r="AK522" s="52"/>
      <c r="AL522" s="52"/>
      <c r="AM522" s="52"/>
      <c r="AN522" s="52"/>
    </row>
    <row r="523" ht="14.25" customHeight="1">
      <c r="A523" s="52"/>
      <c r="B523" s="52"/>
      <c r="C523" s="52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52"/>
      <c r="AJ523" s="52"/>
      <c r="AK523" s="52"/>
      <c r="AL523" s="52"/>
      <c r="AM523" s="52"/>
      <c r="AN523" s="52"/>
    </row>
    <row r="524" ht="14.25" customHeight="1">
      <c r="A524" s="52"/>
      <c r="B524" s="52"/>
      <c r="C524" s="52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52"/>
      <c r="AJ524" s="52"/>
      <c r="AK524" s="52"/>
      <c r="AL524" s="52"/>
      <c r="AM524" s="52"/>
      <c r="AN524" s="52"/>
    </row>
    <row r="525" ht="14.25" customHeight="1">
      <c r="A525" s="52"/>
      <c r="B525" s="52"/>
      <c r="C525" s="52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52"/>
      <c r="AJ525" s="52"/>
      <c r="AK525" s="52"/>
      <c r="AL525" s="52"/>
      <c r="AM525" s="52"/>
      <c r="AN525" s="52"/>
    </row>
    <row r="526" ht="14.25" customHeight="1">
      <c r="A526" s="52"/>
      <c r="B526" s="52"/>
      <c r="C526" s="52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52"/>
      <c r="AJ526" s="52"/>
      <c r="AK526" s="52"/>
      <c r="AL526" s="52"/>
      <c r="AM526" s="52"/>
      <c r="AN526" s="52"/>
    </row>
    <row r="527" ht="14.25" customHeight="1">
      <c r="A527" s="52"/>
      <c r="B527" s="52"/>
      <c r="C527" s="52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52"/>
      <c r="AJ527" s="52"/>
      <c r="AK527" s="52"/>
      <c r="AL527" s="52"/>
      <c r="AM527" s="52"/>
      <c r="AN527" s="52"/>
    </row>
    <row r="528" ht="14.25" customHeight="1">
      <c r="A528" s="52"/>
      <c r="B528" s="52"/>
      <c r="C528" s="52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52"/>
      <c r="AJ528" s="52"/>
      <c r="AK528" s="52"/>
      <c r="AL528" s="52"/>
      <c r="AM528" s="52"/>
      <c r="AN528" s="52"/>
    </row>
    <row r="529" ht="14.25" customHeight="1">
      <c r="A529" s="52"/>
      <c r="B529" s="52"/>
      <c r="C529" s="52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52"/>
      <c r="AJ529" s="52"/>
      <c r="AK529" s="52"/>
      <c r="AL529" s="52"/>
      <c r="AM529" s="52"/>
      <c r="AN529" s="52"/>
    </row>
    <row r="530" ht="14.25" customHeight="1">
      <c r="A530" s="52"/>
      <c r="B530" s="52"/>
      <c r="C530" s="52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52"/>
      <c r="AJ530" s="52"/>
      <c r="AK530" s="52"/>
      <c r="AL530" s="52"/>
      <c r="AM530" s="52"/>
      <c r="AN530" s="52"/>
    </row>
    <row r="531" ht="14.25" customHeight="1">
      <c r="A531" s="52"/>
      <c r="B531" s="52"/>
      <c r="C531" s="52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52"/>
      <c r="AJ531" s="52"/>
      <c r="AK531" s="52"/>
      <c r="AL531" s="52"/>
      <c r="AM531" s="52"/>
      <c r="AN531" s="52"/>
    </row>
    <row r="532" ht="14.25" customHeight="1">
      <c r="A532" s="52"/>
      <c r="B532" s="52"/>
      <c r="C532" s="52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52"/>
      <c r="AJ532" s="52"/>
      <c r="AK532" s="52"/>
      <c r="AL532" s="52"/>
      <c r="AM532" s="52"/>
      <c r="AN532" s="52"/>
    </row>
    <row r="533" ht="14.25" customHeight="1">
      <c r="A533" s="52"/>
      <c r="B533" s="52"/>
      <c r="C533" s="52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52"/>
      <c r="AJ533" s="52"/>
      <c r="AK533" s="52"/>
      <c r="AL533" s="52"/>
      <c r="AM533" s="52"/>
      <c r="AN533" s="52"/>
    </row>
    <row r="534" ht="14.25" customHeight="1">
      <c r="A534" s="52"/>
      <c r="B534" s="52"/>
      <c r="C534" s="52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52"/>
      <c r="AJ534" s="52"/>
      <c r="AK534" s="52"/>
      <c r="AL534" s="52"/>
      <c r="AM534" s="52"/>
      <c r="AN534" s="52"/>
    </row>
    <row r="535" ht="14.25" customHeight="1">
      <c r="A535" s="52"/>
      <c r="B535" s="52"/>
      <c r="C535" s="52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52"/>
      <c r="AJ535" s="52"/>
      <c r="AK535" s="52"/>
      <c r="AL535" s="52"/>
      <c r="AM535" s="52"/>
      <c r="AN535" s="52"/>
    </row>
    <row r="536" ht="14.25" customHeight="1">
      <c r="A536" s="52"/>
      <c r="B536" s="52"/>
      <c r="C536" s="52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52"/>
      <c r="AJ536" s="52"/>
      <c r="AK536" s="52"/>
      <c r="AL536" s="52"/>
      <c r="AM536" s="52"/>
      <c r="AN536" s="52"/>
    </row>
    <row r="537" ht="14.25" customHeight="1">
      <c r="A537" s="52"/>
      <c r="B537" s="52"/>
      <c r="C537" s="52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52"/>
      <c r="AJ537" s="52"/>
      <c r="AK537" s="52"/>
      <c r="AL537" s="52"/>
      <c r="AM537" s="52"/>
      <c r="AN537" s="52"/>
    </row>
    <row r="538" ht="14.25" customHeight="1">
      <c r="A538" s="52"/>
      <c r="B538" s="52"/>
      <c r="C538" s="52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52"/>
      <c r="AJ538" s="52"/>
      <c r="AK538" s="52"/>
      <c r="AL538" s="52"/>
      <c r="AM538" s="52"/>
      <c r="AN538" s="52"/>
    </row>
    <row r="539" ht="14.25" customHeight="1">
      <c r="A539" s="52"/>
      <c r="B539" s="52"/>
      <c r="C539" s="52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52"/>
      <c r="AJ539" s="52"/>
      <c r="AK539" s="52"/>
      <c r="AL539" s="52"/>
      <c r="AM539" s="52"/>
      <c r="AN539" s="52"/>
    </row>
    <row r="540" ht="14.25" customHeight="1">
      <c r="A540" s="52"/>
      <c r="B540" s="52"/>
      <c r="C540" s="52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52"/>
      <c r="AJ540" s="52"/>
      <c r="AK540" s="52"/>
      <c r="AL540" s="52"/>
      <c r="AM540" s="52"/>
      <c r="AN540" s="52"/>
    </row>
    <row r="541" ht="14.25" customHeight="1">
      <c r="A541" s="52"/>
      <c r="B541" s="52"/>
      <c r="C541" s="52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52"/>
      <c r="AJ541" s="52"/>
      <c r="AK541" s="52"/>
      <c r="AL541" s="52"/>
      <c r="AM541" s="52"/>
      <c r="AN541" s="52"/>
    </row>
    <row r="542" ht="14.25" customHeight="1">
      <c r="A542" s="52"/>
      <c r="B542" s="52"/>
      <c r="C542" s="52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52"/>
      <c r="AJ542" s="52"/>
      <c r="AK542" s="52"/>
      <c r="AL542" s="52"/>
      <c r="AM542" s="52"/>
      <c r="AN542" s="52"/>
    </row>
    <row r="543" ht="14.25" customHeight="1">
      <c r="A543" s="52"/>
      <c r="B543" s="52"/>
      <c r="C543" s="52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52"/>
      <c r="AJ543" s="52"/>
      <c r="AK543" s="52"/>
      <c r="AL543" s="52"/>
      <c r="AM543" s="52"/>
      <c r="AN543" s="52"/>
    </row>
    <row r="544" ht="14.25" customHeight="1">
      <c r="A544" s="52"/>
      <c r="B544" s="52"/>
      <c r="C544" s="52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52"/>
      <c r="AJ544" s="52"/>
      <c r="AK544" s="52"/>
      <c r="AL544" s="52"/>
      <c r="AM544" s="52"/>
      <c r="AN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2" max="2" width="11.75"/>
    <col customWidth="1" min="3" max="4" width="13.0"/>
  </cols>
  <sheetData>
    <row r="1">
      <c r="A1" s="1" t="s">
        <v>0</v>
      </c>
      <c r="B1" s="2" t="s">
        <v>3</v>
      </c>
      <c r="C1" s="57" t="s">
        <v>482</v>
      </c>
      <c r="D1" s="57" t="s">
        <v>476</v>
      </c>
    </row>
    <row r="2">
      <c r="A2" s="6">
        <v>10101.0</v>
      </c>
      <c r="B2" s="7" t="s">
        <v>13</v>
      </c>
      <c r="C2" s="81">
        <v>18.616089422915817</v>
      </c>
      <c r="D2" s="8">
        <v>6.196907810624236</v>
      </c>
    </row>
    <row r="3">
      <c r="A3" s="6">
        <v>10102.0</v>
      </c>
      <c r="B3" s="7" t="s">
        <v>14</v>
      </c>
      <c r="C3" s="81">
        <v>20.980805311011686</v>
      </c>
      <c r="D3" s="8">
        <v>15.052443510246977</v>
      </c>
    </row>
    <row r="4">
      <c r="A4" s="6">
        <v>10103.0</v>
      </c>
      <c r="B4" s="7" t="s">
        <v>16</v>
      </c>
      <c r="C4" s="81">
        <v>29.39721254355401</v>
      </c>
      <c r="D4" s="8">
        <v>16.018901820977945</v>
      </c>
    </row>
    <row r="5">
      <c r="A5" s="6">
        <v>10201.0</v>
      </c>
      <c r="B5" s="7" t="s">
        <v>19</v>
      </c>
      <c r="C5" s="81">
        <v>23.225476621578444</v>
      </c>
      <c r="D5" s="8">
        <v>13.27761747494061</v>
      </c>
    </row>
    <row r="6">
      <c r="A6" s="6">
        <v>10202.0</v>
      </c>
      <c r="B6" s="7" t="s">
        <v>21</v>
      </c>
      <c r="C6" s="81">
        <v>19.131777504825408</v>
      </c>
      <c r="D6" s="8">
        <v>9.189862046839911</v>
      </c>
    </row>
    <row r="7">
      <c r="A7" s="6">
        <v>10301.0</v>
      </c>
      <c r="B7" s="7" t="s">
        <v>24</v>
      </c>
      <c r="C7" s="81">
        <v>32.088290475664934</v>
      </c>
      <c r="D7" s="8">
        <v>3.2388964269561282</v>
      </c>
    </row>
    <row r="8">
      <c r="A8" s="6">
        <v>10302.0</v>
      </c>
      <c r="B8" s="7" t="s">
        <v>26</v>
      </c>
      <c r="C8" s="81">
        <v>51.57463414634146</v>
      </c>
      <c r="D8" s="8">
        <v>8.914241257245108</v>
      </c>
    </row>
    <row r="9">
      <c r="A9" s="6">
        <v>10303.0</v>
      </c>
      <c r="B9" s="7" t="s">
        <v>28</v>
      </c>
      <c r="C9" s="81">
        <v>47.00813008130081</v>
      </c>
      <c r="D9" s="8">
        <v>7.934408066035122</v>
      </c>
    </row>
    <row r="10">
      <c r="A10" s="6">
        <v>10304.0</v>
      </c>
      <c r="B10" s="7" t="s">
        <v>30</v>
      </c>
      <c r="C10" s="81">
        <v>12.754518336550271</v>
      </c>
      <c r="D10" s="8">
        <v>8.362468616803877</v>
      </c>
    </row>
    <row r="11">
      <c r="A11" s="6">
        <v>10401.0</v>
      </c>
      <c r="B11" s="7" t="s">
        <v>33</v>
      </c>
      <c r="C11" s="81">
        <v>33.360608444794124</v>
      </c>
      <c r="D11" s="8">
        <v>4.459028642590286</v>
      </c>
    </row>
    <row r="12">
      <c r="A12" s="6">
        <v>10402.0</v>
      </c>
      <c r="B12" s="7" t="s">
        <v>32</v>
      </c>
      <c r="C12" s="81">
        <v>26.861788617886177</v>
      </c>
      <c r="D12" s="8">
        <v>4.778115095913261</v>
      </c>
    </row>
    <row r="13">
      <c r="A13" s="6">
        <v>10403.0</v>
      </c>
      <c r="B13" s="7" t="s">
        <v>36</v>
      </c>
      <c r="C13" s="81">
        <v>13.743240688220833</v>
      </c>
      <c r="D13" s="8">
        <v>2.028094024355706</v>
      </c>
    </row>
    <row r="14">
      <c r="A14" s="6">
        <v>10404.0</v>
      </c>
      <c r="B14" s="7" t="s">
        <v>37</v>
      </c>
      <c r="C14" s="81">
        <v>0.0</v>
      </c>
      <c r="D14" s="8">
        <v>4.255020796197266</v>
      </c>
    </row>
    <row r="15">
      <c r="A15" s="6">
        <v>10405.0</v>
      </c>
      <c r="B15" s="7" t="s">
        <v>38</v>
      </c>
      <c r="C15" s="81">
        <v>25.6938847649346</v>
      </c>
      <c r="D15" s="8">
        <v>10.27247624170701</v>
      </c>
    </row>
    <row r="16">
      <c r="A16" s="6">
        <v>10501.0</v>
      </c>
      <c r="B16" s="7" t="s">
        <v>40</v>
      </c>
      <c r="C16" s="81">
        <v>31.725186136071883</v>
      </c>
      <c r="D16" s="8">
        <v>5.564257964257965</v>
      </c>
    </row>
    <row r="17">
      <c r="A17" s="6">
        <v>10502.0</v>
      </c>
      <c r="B17" s="7" t="s">
        <v>41</v>
      </c>
      <c r="C17" s="81">
        <v>10.679988245665589</v>
      </c>
      <c r="D17" s="8">
        <v>7.4031918330425786</v>
      </c>
    </row>
    <row r="18">
      <c r="A18" s="6">
        <v>10601.0</v>
      </c>
      <c r="B18" s="7" t="s">
        <v>43</v>
      </c>
      <c r="C18" s="81">
        <v>37.293551187939066</v>
      </c>
      <c r="D18" s="8">
        <v>15.826528964256873</v>
      </c>
    </row>
    <row r="19">
      <c r="A19" s="6">
        <v>10602.0</v>
      </c>
      <c r="B19" s="7" t="s">
        <v>42</v>
      </c>
      <c r="C19" s="81">
        <v>11.66367137355584</v>
      </c>
      <c r="D19" s="8">
        <v>5.6610276679841895</v>
      </c>
    </row>
    <row r="20">
      <c r="A20" s="6">
        <v>10701.0</v>
      </c>
      <c r="B20" s="7" t="s">
        <v>45</v>
      </c>
      <c r="C20" s="81">
        <v>9.265913146936349</v>
      </c>
      <c r="D20" s="8">
        <v>11.644227642276423</v>
      </c>
    </row>
    <row r="21" ht="15.75" customHeight="1">
      <c r="A21" s="6">
        <v>10702.0</v>
      </c>
      <c r="B21" s="7" t="s">
        <v>46</v>
      </c>
      <c r="C21" s="81">
        <v>27.979424012317594</v>
      </c>
      <c r="D21" s="8">
        <v>13.853991761311518</v>
      </c>
    </row>
    <row r="22" ht="15.75" customHeight="1">
      <c r="A22" s="6">
        <v>10703.0</v>
      </c>
      <c r="B22" s="7" t="s">
        <v>47</v>
      </c>
      <c r="C22" s="81">
        <v>23.464562410329982</v>
      </c>
      <c r="D22" s="8">
        <v>13.32858721572733</v>
      </c>
    </row>
    <row r="23" ht="15.75" customHeight="1">
      <c r="A23" s="6">
        <v>10704.0</v>
      </c>
      <c r="B23" s="7" t="s">
        <v>48</v>
      </c>
      <c r="C23" s="81">
        <v>36.84465382551136</v>
      </c>
      <c r="D23" s="8">
        <v>7.7195831836148034</v>
      </c>
    </row>
    <row r="24" ht="15.75" customHeight="1">
      <c r="A24" s="6">
        <v>10801.0</v>
      </c>
      <c r="B24" s="7" t="s">
        <v>50</v>
      </c>
      <c r="C24" s="81">
        <v>4.432195121951219</v>
      </c>
      <c r="D24" s="8">
        <v>8.52676073108293</v>
      </c>
    </row>
    <row r="25" ht="15.75" customHeight="1">
      <c r="A25" s="6">
        <v>10901.0</v>
      </c>
      <c r="B25" s="7" t="s">
        <v>52</v>
      </c>
      <c r="C25" s="81">
        <v>13.430894308943088</v>
      </c>
      <c r="D25" s="8">
        <v>2.8647664766476644</v>
      </c>
    </row>
    <row r="26" ht="15.75" customHeight="1">
      <c r="A26" s="6">
        <v>10902.0</v>
      </c>
      <c r="B26" s="7" t="s">
        <v>53</v>
      </c>
      <c r="C26" s="81">
        <v>15.1343248066627</v>
      </c>
      <c r="D26" s="8">
        <v>13.033397033397035</v>
      </c>
    </row>
    <row r="27" ht="15.75" customHeight="1">
      <c r="A27" s="6">
        <v>10903.0</v>
      </c>
      <c r="B27" s="7" t="s">
        <v>54</v>
      </c>
      <c r="C27" s="81">
        <v>12.8469423824673</v>
      </c>
      <c r="D27" s="8">
        <v>3.6167676767676764</v>
      </c>
    </row>
    <row r="28" ht="15.75" customHeight="1">
      <c r="A28" s="6">
        <v>11001.0</v>
      </c>
      <c r="B28" s="7" t="s">
        <v>56</v>
      </c>
      <c r="C28" s="81">
        <v>17.21240824058726</v>
      </c>
      <c r="D28" s="8">
        <v>5.467869243617274</v>
      </c>
    </row>
    <row r="29" ht="15.75" customHeight="1">
      <c r="A29" s="6">
        <v>11002.0</v>
      </c>
      <c r="B29" s="7" t="s">
        <v>57</v>
      </c>
      <c r="C29" s="81">
        <v>15.024390243902438</v>
      </c>
      <c r="D29" s="8">
        <v>15.593249863908543</v>
      </c>
    </row>
    <row r="30" ht="15.75" customHeight="1">
      <c r="A30" s="6">
        <v>11003.0</v>
      </c>
      <c r="B30" s="7" t="s">
        <v>58</v>
      </c>
      <c r="C30" s="81">
        <v>6.198874296435271</v>
      </c>
      <c r="D30" s="8">
        <v>16.11181888490473</v>
      </c>
    </row>
    <row r="31" ht="15.75" customHeight="1">
      <c r="A31" s="6">
        <v>20101.0</v>
      </c>
      <c r="B31" s="7" t="s">
        <v>60</v>
      </c>
      <c r="C31" s="81">
        <v>58.00895402451919</v>
      </c>
      <c r="D31" s="8">
        <v>11.710428994082841</v>
      </c>
    </row>
    <row r="32" ht="15.75" customHeight="1">
      <c r="A32" s="6">
        <v>20102.0</v>
      </c>
      <c r="B32" s="7" t="s">
        <v>61</v>
      </c>
      <c r="C32" s="81">
        <v>113.52269503546098</v>
      </c>
      <c r="D32" s="8">
        <v>19.844420114768955</v>
      </c>
    </row>
    <row r="33" ht="15.75" customHeight="1">
      <c r="A33" s="6">
        <v>20103.0</v>
      </c>
      <c r="B33" s="7" t="s">
        <v>62</v>
      </c>
      <c r="C33" s="81">
        <v>69.67352228322699</v>
      </c>
      <c r="D33" s="8">
        <v>13.899406017491584</v>
      </c>
    </row>
    <row r="34" ht="15.75" customHeight="1">
      <c r="A34" s="6">
        <v>20104.0</v>
      </c>
      <c r="B34" s="7" t="s">
        <v>63</v>
      </c>
      <c r="C34" s="81">
        <v>99.34953294230827</v>
      </c>
      <c r="D34" s="8">
        <v>15.0051879626046</v>
      </c>
    </row>
    <row r="35" ht="15.75" customHeight="1">
      <c r="A35" s="6">
        <v>20105.0</v>
      </c>
      <c r="B35" s="7" t="s">
        <v>64</v>
      </c>
      <c r="C35" s="81">
        <v>55.59619325483657</v>
      </c>
      <c r="D35" s="8">
        <v>15.146673737252316</v>
      </c>
    </row>
    <row r="36" ht="15.75" customHeight="1">
      <c r="A36" s="6">
        <v>20201.0</v>
      </c>
      <c r="B36" s="7" t="s">
        <v>66</v>
      </c>
      <c r="C36" s="81">
        <v>7.029732103645146</v>
      </c>
      <c r="D36" s="8">
        <v>18.84599906396125</v>
      </c>
    </row>
    <row r="37" ht="15.75" customHeight="1">
      <c r="A37" s="6">
        <v>20202.0</v>
      </c>
      <c r="B37" s="7" t="s">
        <v>67</v>
      </c>
      <c r="C37" s="81">
        <v>59.59149049328546</v>
      </c>
      <c r="D37" s="8">
        <v>15.39044200318561</v>
      </c>
    </row>
    <row r="38" ht="15.75" customHeight="1">
      <c r="A38" s="6">
        <v>20203.0</v>
      </c>
      <c r="B38" s="7" t="s">
        <v>68</v>
      </c>
      <c r="C38" s="81">
        <v>56.23785682916117</v>
      </c>
      <c r="D38" s="8">
        <v>20.697056322056323</v>
      </c>
    </row>
    <row r="39" ht="15.75" customHeight="1">
      <c r="A39" s="6">
        <v>20204.0</v>
      </c>
      <c r="B39" s="7" t="s">
        <v>69</v>
      </c>
      <c r="C39" s="81">
        <v>67.4854281949934</v>
      </c>
      <c r="D39" s="8">
        <v>16.48832477331281</v>
      </c>
    </row>
    <row r="40" ht="15.75" customHeight="1">
      <c r="A40" s="6">
        <v>20205.0</v>
      </c>
      <c r="B40" s="7" t="s">
        <v>70</v>
      </c>
      <c r="C40" s="81">
        <v>0.0</v>
      </c>
      <c r="D40" s="8">
        <v>8.323816129522653</v>
      </c>
    </row>
    <row r="41" ht="15.75" customHeight="1">
      <c r="A41" s="6">
        <v>20206.0</v>
      </c>
      <c r="B41" s="7" t="s">
        <v>71</v>
      </c>
      <c r="C41" s="81">
        <v>50.15808852330591</v>
      </c>
      <c r="D41" s="8">
        <v>42.770246708079156</v>
      </c>
    </row>
    <row r="42" ht="15.75" customHeight="1">
      <c r="A42" s="6">
        <v>20301.0</v>
      </c>
      <c r="B42" s="7" t="s">
        <v>73</v>
      </c>
      <c r="C42" s="81">
        <v>20.73574609343373</v>
      </c>
      <c r="D42" s="8">
        <v>26.305800592537235</v>
      </c>
    </row>
    <row r="43" ht="15.75" customHeight="1">
      <c r="A43" s="6">
        <v>20302.0</v>
      </c>
      <c r="B43" s="7" t="s">
        <v>74</v>
      </c>
      <c r="C43" s="81">
        <v>29.6935884057971</v>
      </c>
      <c r="D43" s="8">
        <v>17.02904701430645</v>
      </c>
    </row>
    <row r="44" ht="15.75" customHeight="1">
      <c r="A44" s="6">
        <v>20303.0</v>
      </c>
      <c r="B44" s="7" t="s">
        <v>75</v>
      </c>
      <c r="C44" s="81">
        <v>0.0</v>
      </c>
      <c r="D44" s="8">
        <v>22.167636639676115</v>
      </c>
    </row>
    <row r="45" ht="15.75" customHeight="1">
      <c r="A45" s="6">
        <v>20304.0</v>
      </c>
      <c r="B45" s="7" t="s">
        <v>76</v>
      </c>
      <c r="C45" s="81">
        <v>0.0</v>
      </c>
      <c r="D45" s="8">
        <v>14.82176291450485</v>
      </c>
    </row>
    <row r="46" ht="15.75" customHeight="1">
      <c r="A46" s="6">
        <v>20305.0</v>
      </c>
      <c r="B46" s="7" t="s">
        <v>77</v>
      </c>
      <c r="C46" s="81">
        <v>0.0</v>
      </c>
      <c r="D46" s="8">
        <v>29.579913112638433</v>
      </c>
    </row>
    <row r="47" ht="15.75" customHeight="1">
      <c r="A47" s="6">
        <v>20306.0</v>
      </c>
      <c r="B47" s="7" t="s">
        <v>78</v>
      </c>
      <c r="C47" s="81">
        <v>36.0359082594625</v>
      </c>
      <c r="D47" s="8">
        <v>36.54911991417673</v>
      </c>
    </row>
    <row r="48" ht="15.75" customHeight="1">
      <c r="A48" s="6">
        <v>20307.0</v>
      </c>
      <c r="B48" s="7" t="s">
        <v>79</v>
      </c>
      <c r="C48" s="81">
        <v>0.0</v>
      </c>
      <c r="D48" s="8">
        <v>5.128065294080919</v>
      </c>
    </row>
    <row r="49" ht="15.75" customHeight="1">
      <c r="A49" s="6">
        <v>20308.0</v>
      </c>
      <c r="B49" s="7" t="s">
        <v>80</v>
      </c>
      <c r="C49" s="81">
        <v>0.0</v>
      </c>
      <c r="D49" s="8">
        <v>9.845885364635365</v>
      </c>
    </row>
    <row r="50" ht="15.75" customHeight="1">
      <c r="A50" s="6">
        <v>20401.0</v>
      </c>
      <c r="B50" s="7" t="s">
        <v>82</v>
      </c>
      <c r="C50" s="81">
        <v>70.92417612849626</v>
      </c>
      <c r="D50" s="8">
        <v>14.726751613770846</v>
      </c>
    </row>
    <row r="51" ht="15.75" customHeight="1">
      <c r="A51" s="6">
        <v>20402.0</v>
      </c>
      <c r="B51" s="7" t="s">
        <v>83</v>
      </c>
      <c r="C51" s="81">
        <v>97.31044889540247</v>
      </c>
      <c r="D51" s="8">
        <v>16.09624571288584</v>
      </c>
    </row>
    <row r="52" ht="15.75" customHeight="1">
      <c r="A52" s="6">
        <v>20403.0</v>
      </c>
      <c r="B52" s="7" t="s">
        <v>84</v>
      </c>
      <c r="C52" s="81">
        <v>113.45803430162648</v>
      </c>
      <c r="D52" s="8">
        <v>23.414475587362276</v>
      </c>
    </row>
    <row r="53" ht="15.75" customHeight="1">
      <c r="A53" s="6">
        <v>20404.0</v>
      </c>
      <c r="B53" s="7" t="s">
        <v>85</v>
      </c>
      <c r="C53" s="81">
        <v>162.16158716758125</v>
      </c>
      <c r="D53" s="8">
        <v>8.323816129522651</v>
      </c>
    </row>
    <row r="54" ht="15.75" customHeight="1">
      <c r="A54" s="6">
        <v>20405.0</v>
      </c>
      <c r="B54" s="7" t="s">
        <v>86</v>
      </c>
      <c r="C54" s="81">
        <v>61.861642512077296</v>
      </c>
      <c r="D54" s="8">
        <v>17.948228529283217</v>
      </c>
    </row>
    <row r="55" ht="15.75" customHeight="1">
      <c r="A55" s="6">
        <v>20501.0</v>
      </c>
      <c r="B55" s="7" t="s">
        <v>88</v>
      </c>
      <c r="C55" s="81">
        <v>55.75512844436151</v>
      </c>
      <c r="D55" s="8">
        <v>10.120587012106835</v>
      </c>
    </row>
    <row r="56" ht="15.75" customHeight="1">
      <c r="A56" s="6">
        <v>20502.0</v>
      </c>
      <c r="B56" s="7" t="s">
        <v>89</v>
      </c>
      <c r="C56" s="81">
        <v>88.79661604604397</v>
      </c>
      <c r="D56" s="8">
        <v>7.607196197841893</v>
      </c>
    </row>
    <row r="57" ht="15.75" customHeight="1">
      <c r="A57" s="6">
        <v>20503.0</v>
      </c>
      <c r="B57" s="7" t="s">
        <v>90</v>
      </c>
      <c r="C57" s="81">
        <v>70.69902001380261</v>
      </c>
      <c r="D57" s="8">
        <v>10.325273041565177</v>
      </c>
    </row>
    <row r="58" ht="15.75" customHeight="1">
      <c r="A58" s="6">
        <v>20601.0</v>
      </c>
      <c r="B58" s="7" t="s">
        <v>92</v>
      </c>
      <c r="C58" s="81">
        <v>80.68909892879647</v>
      </c>
      <c r="D58" s="8">
        <v>13.442077536824879</v>
      </c>
    </row>
    <row r="59" ht="15.75" customHeight="1">
      <c r="A59" s="6">
        <v>20602.0</v>
      </c>
      <c r="B59" s="7" t="s">
        <v>93</v>
      </c>
      <c r="C59" s="81">
        <v>144.53654792541423</v>
      </c>
      <c r="D59" s="8">
        <v>21.30784634842392</v>
      </c>
    </row>
    <row r="60" ht="15.75" customHeight="1">
      <c r="A60" s="6">
        <v>20603.0</v>
      </c>
      <c r="B60" s="7" t="s">
        <v>94</v>
      </c>
      <c r="C60" s="81">
        <v>71.37881828316611</v>
      </c>
      <c r="D60" s="8">
        <v>0.0</v>
      </c>
    </row>
    <row r="61" ht="15.75" customHeight="1">
      <c r="A61" s="6">
        <v>20604.0</v>
      </c>
      <c r="B61" s="7" t="s">
        <v>95</v>
      </c>
      <c r="C61" s="81">
        <v>175.08012031719988</v>
      </c>
      <c r="D61" s="8">
        <v>32.13109443004548</v>
      </c>
    </row>
    <row r="62" ht="15.75" customHeight="1">
      <c r="A62" s="6">
        <v>20605.0</v>
      </c>
      <c r="B62" s="7" t="s">
        <v>96</v>
      </c>
      <c r="C62" s="81">
        <v>72.77840295538505</v>
      </c>
      <c r="D62" s="8">
        <v>17.404342816274635</v>
      </c>
    </row>
    <row r="63" ht="15.75" customHeight="1">
      <c r="A63" s="6">
        <v>20606.0</v>
      </c>
      <c r="B63" s="7" t="s">
        <v>97</v>
      </c>
      <c r="C63" s="81">
        <v>94.24234601449275</v>
      </c>
      <c r="D63" s="8">
        <v>23.573792695177957</v>
      </c>
    </row>
    <row r="64" ht="15.75" customHeight="1">
      <c r="A64" s="6">
        <v>20607.0</v>
      </c>
      <c r="B64" s="7" t="s">
        <v>98</v>
      </c>
      <c r="C64" s="81">
        <v>64.5081298922731</v>
      </c>
      <c r="D64" s="8">
        <v>14.586496836496835</v>
      </c>
    </row>
    <row r="65" ht="15.75" customHeight="1">
      <c r="A65" s="6">
        <v>20608.0</v>
      </c>
      <c r="B65" s="7" t="s">
        <v>99</v>
      </c>
      <c r="C65" s="81">
        <v>70.47528893780957</v>
      </c>
      <c r="D65" s="8">
        <v>18.56713296132747</v>
      </c>
    </row>
    <row r="66" ht="15.75" customHeight="1">
      <c r="A66" s="6">
        <v>20701.0</v>
      </c>
      <c r="B66" s="7" t="s">
        <v>101</v>
      </c>
      <c r="C66" s="81">
        <v>81.62300053676864</v>
      </c>
      <c r="D66" s="8">
        <v>20.179629914004913</v>
      </c>
    </row>
    <row r="67" ht="15.75" customHeight="1">
      <c r="A67" s="6">
        <v>20702.0</v>
      </c>
      <c r="B67" s="7" t="s">
        <v>102</v>
      </c>
      <c r="C67" s="81">
        <v>83.8125479195886</v>
      </c>
      <c r="D67" s="8">
        <v>11.602895210849756</v>
      </c>
    </row>
    <row r="68" ht="15.75" customHeight="1">
      <c r="A68" s="6">
        <v>20801.0</v>
      </c>
      <c r="B68" s="7" t="s">
        <v>104</v>
      </c>
      <c r="C68" s="81">
        <v>70.21605245721858</v>
      </c>
      <c r="D68" s="8">
        <v>15.962761311679515</v>
      </c>
    </row>
    <row r="69" ht="15.75" customHeight="1">
      <c r="A69" s="6">
        <v>20802.0</v>
      </c>
      <c r="B69" s="7" t="s">
        <v>105</v>
      </c>
      <c r="C69" s="81">
        <v>84.35678524374175</v>
      </c>
      <c r="D69" s="8">
        <v>26.90132613288352</v>
      </c>
    </row>
    <row r="70" ht="15.75" customHeight="1">
      <c r="A70" s="6">
        <v>20803.0</v>
      </c>
      <c r="B70" s="7" t="s">
        <v>106</v>
      </c>
      <c r="C70" s="81">
        <v>86.8695405488745</v>
      </c>
      <c r="D70" s="8">
        <v>10.243065453654626</v>
      </c>
    </row>
    <row r="71" ht="15.75" customHeight="1">
      <c r="A71" s="6">
        <v>20804.0</v>
      </c>
      <c r="B71" s="7" t="s">
        <v>107</v>
      </c>
      <c r="C71" s="81">
        <v>87.18754984923646</v>
      </c>
      <c r="D71" s="8">
        <v>18.908421825088492</v>
      </c>
    </row>
    <row r="72" ht="15.75" customHeight="1">
      <c r="A72" s="6">
        <v>20805.0</v>
      </c>
      <c r="B72" s="7" t="s">
        <v>108</v>
      </c>
      <c r="C72" s="81">
        <v>24.419069412662086</v>
      </c>
      <c r="D72" s="8">
        <v>15.522792241542243</v>
      </c>
    </row>
    <row r="73" ht="15.75" customHeight="1">
      <c r="A73" s="6">
        <v>20806.0</v>
      </c>
      <c r="B73" s="7" t="s">
        <v>109</v>
      </c>
      <c r="C73" s="81">
        <v>72.62018903591682</v>
      </c>
      <c r="D73" s="8">
        <v>6.987144926241642</v>
      </c>
    </row>
    <row r="74" ht="15.75" customHeight="1">
      <c r="A74" s="6">
        <v>20807.0</v>
      </c>
      <c r="B74" s="7" t="s">
        <v>110</v>
      </c>
      <c r="C74" s="81">
        <v>21.33160086623355</v>
      </c>
      <c r="D74" s="8">
        <v>5.786834387275194</v>
      </c>
    </row>
    <row r="75" ht="15.75" customHeight="1">
      <c r="A75" s="6">
        <v>20901.0</v>
      </c>
      <c r="B75" s="7" t="s">
        <v>112</v>
      </c>
      <c r="C75" s="81">
        <v>81.87570332480819</v>
      </c>
      <c r="D75" s="8">
        <v>5.753021498534855</v>
      </c>
    </row>
    <row r="76" ht="15.75" customHeight="1">
      <c r="A76" s="6">
        <v>20902.0</v>
      </c>
      <c r="B76" s="7" t="s">
        <v>113</v>
      </c>
      <c r="C76" s="81">
        <v>64.55127914303716</v>
      </c>
      <c r="D76" s="8">
        <v>24.36238867177362</v>
      </c>
    </row>
    <row r="77" ht="15.75" customHeight="1">
      <c r="A77" s="6">
        <v>20903.0</v>
      </c>
      <c r="B77" s="7" t="s">
        <v>114</v>
      </c>
      <c r="C77" s="81">
        <v>94.13728208359588</v>
      </c>
      <c r="D77" s="8">
        <v>15.663908534647172</v>
      </c>
    </row>
    <row r="78" ht="15.75" customHeight="1">
      <c r="A78" s="6">
        <v>20904.0</v>
      </c>
      <c r="B78" s="7" t="s">
        <v>115</v>
      </c>
      <c r="C78" s="81">
        <v>84.35678524374177</v>
      </c>
      <c r="D78" s="8">
        <v>3.3199035429888033</v>
      </c>
    </row>
    <row r="79" ht="15.75" customHeight="1">
      <c r="A79" s="6">
        <v>20905.0</v>
      </c>
      <c r="B79" s="7" t="s">
        <v>116</v>
      </c>
      <c r="C79" s="81">
        <v>128.77321502514047</v>
      </c>
      <c r="D79" s="8">
        <v>11.360636959194652</v>
      </c>
    </row>
    <row r="80" ht="15.75" customHeight="1">
      <c r="A80" s="6">
        <v>21001.0</v>
      </c>
      <c r="B80" s="7" t="s">
        <v>117</v>
      </c>
      <c r="C80" s="81">
        <v>80.1910180712113</v>
      </c>
      <c r="D80" s="8">
        <v>10.627041955101248</v>
      </c>
    </row>
    <row r="81" ht="15.75" customHeight="1">
      <c r="A81" s="6">
        <v>21002.0</v>
      </c>
      <c r="B81" s="7" t="s">
        <v>118</v>
      </c>
      <c r="C81" s="81">
        <v>101.96974040452302</v>
      </c>
      <c r="D81" s="8">
        <v>27.263131943215015</v>
      </c>
    </row>
    <row r="82" ht="15.75" customHeight="1">
      <c r="A82" s="6">
        <v>21003.0</v>
      </c>
      <c r="B82" s="7" t="s">
        <v>119</v>
      </c>
      <c r="C82" s="81">
        <v>100.31617704661183</v>
      </c>
      <c r="D82" s="8">
        <v>14.123196219763843</v>
      </c>
    </row>
    <row r="83" ht="15.75" customHeight="1">
      <c r="A83" s="6">
        <v>21004.0</v>
      </c>
      <c r="B83" s="7" t="s">
        <v>120</v>
      </c>
      <c r="C83" s="81">
        <v>84.35678524374177</v>
      </c>
      <c r="D83" s="8">
        <v>19.567532428139685</v>
      </c>
    </row>
    <row r="84" ht="15.75" customHeight="1">
      <c r="A84" s="6">
        <v>21005.0</v>
      </c>
      <c r="B84" s="7" t="s">
        <v>121</v>
      </c>
      <c r="C84" s="81">
        <v>49.82145705670654</v>
      </c>
      <c r="D84" s="8">
        <v>12.168290528327606</v>
      </c>
    </row>
    <row r="85" ht="15.75" customHeight="1">
      <c r="A85" s="6">
        <v>21006.0</v>
      </c>
      <c r="B85" s="7" t="s">
        <v>122</v>
      </c>
      <c r="C85" s="81">
        <v>22.632308236125837</v>
      </c>
      <c r="D85" s="8">
        <v>9.37703368060511</v>
      </c>
    </row>
    <row r="86" ht="15.75" customHeight="1">
      <c r="A86" s="6">
        <v>21101.0</v>
      </c>
      <c r="B86" s="7" t="s">
        <v>124</v>
      </c>
      <c r="C86" s="81">
        <v>63.26758893280633</v>
      </c>
      <c r="D86" s="8">
        <v>25.63185032942264</v>
      </c>
    </row>
    <row r="87" ht="15.75" customHeight="1">
      <c r="A87" s="6">
        <v>21102.0</v>
      </c>
      <c r="B87" s="7" t="s">
        <v>125</v>
      </c>
      <c r="C87" s="81">
        <v>49.62163837867162</v>
      </c>
      <c r="D87" s="8">
        <v>17.884717458762044</v>
      </c>
    </row>
    <row r="88" ht="15.75" customHeight="1">
      <c r="A88" s="6">
        <v>21103.0</v>
      </c>
      <c r="B88" s="7" t="s">
        <v>126</v>
      </c>
      <c r="C88" s="81">
        <v>63.55648203295612</v>
      </c>
      <c r="D88" s="8">
        <v>8.244162386656406</v>
      </c>
    </row>
    <row r="89" ht="15.75" customHeight="1">
      <c r="A89" s="6">
        <v>21104.0</v>
      </c>
      <c r="B89" s="7" t="s">
        <v>127</v>
      </c>
      <c r="C89" s="81">
        <v>48.612384716732535</v>
      </c>
      <c r="D89" s="8">
        <v>16.93395517259154</v>
      </c>
    </row>
    <row r="90" ht="15.75" customHeight="1">
      <c r="A90" s="6">
        <v>21105.0</v>
      </c>
      <c r="B90" s="7" t="s">
        <v>128</v>
      </c>
      <c r="C90" s="81">
        <v>66.84877321202177</v>
      </c>
      <c r="D90" s="8">
        <v>18.56999164230689</v>
      </c>
    </row>
    <row r="91" ht="15.75" customHeight="1">
      <c r="A91" s="6">
        <v>21201.0</v>
      </c>
      <c r="B91" s="7" t="s">
        <v>130</v>
      </c>
      <c r="C91" s="81">
        <v>107.4938251487544</v>
      </c>
      <c r="D91" s="8">
        <v>15.720750089723653</v>
      </c>
    </row>
    <row r="92" ht="15.75" customHeight="1">
      <c r="A92" s="6">
        <v>21202.0</v>
      </c>
      <c r="B92" s="7" t="s">
        <v>131</v>
      </c>
      <c r="C92" s="81">
        <v>73.74235531241001</v>
      </c>
      <c r="D92" s="8">
        <v>13.692305459546839</v>
      </c>
    </row>
    <row r="93" ht="15.75" customHeight="1">
      <c r="A93" s="6">
        <v>21203.0</v>
      </c>
      <c r="B93" s="7" t="s">
        <v>132</v>
      </c>
      <c r="C93" s="81">
        <v>37.36609279252991</v>
      </c>
      <c r="D93" s="8">
        <v>18.007463606937616</v>
      </c>
    </row>
    <row r="94" ht="15.75" customHeight="1">
      <c r="A94" s="6">
        <v>21204.0</v>
      </c>
      <c r="B94" s="7" t="s">
        <v>133</v>
      </c>
      <c r="C94" s="81">
        <v>144.34383252818037</v>
      </c>
      <c r="D94" s="8">
        <v>9.263601821565532</v>
      </c>
    </row>
    <row r="95" ht="15.75" customHeight="1">
      <c r="A95" s="6">
        <v>21301.0</v>
      </c>
      <c r="B95" s="7" t="s">
        <v>135</v>
      </c>
      <c r="C95" s="81">
        <v>87.33408354646207</v>
      </c>
      <c r="D95" s="8">
        <v>17.489825836000932</v>
      </c>
    </row>
    <row r="96" ht="15.75" customHeight="1">
      <c r="A96" s="6">
        <v>21302.0</v>
      </c>
      <c r="B96" s="7" t="s">
        <v>136</v>
      </c>
      <c r="C96" s="81">
        <v>70.47528893780958</v>
      </c>
      <c r="D96" s="8">
        <v>13.142867572930502</v>
      </c>
    </row>
    <row r="97" ht="15.75" customHeight="1">
      <c r="A97" s="6">
        <v>21303.0</v>
      </c>
      <c r="B97" s="7" t="s">
        <v>137</v>
      </c>
      <c r="C97" s="81">
        <v>31.27835857352223</v>
      </c>
      <c r="D97" s="8">
        <v>34.80868563254927</v>
      </c>
    </row>
    <row r="98" ht="15.75" customHeight="1">
      <c r="A98" s="6">
        <v>21304.0</v>
      </c>
      <c r="B98" s="7" t="s">
        <v>138</v>
      </c>
      <c r="C98" s="81">
        <v>33.43872568220394</v>
      </c>
      <c r="D98" s="8">
        <v>8.797381160961576</v>
      </c>
    </row>
    <row r="99" ht="15.75" customHeight="1">
      <c r="A99" s="6">
        <v>21305.0</v>
      </c>
      <c r="B99" s="7" t="s">
        <v>139</v>
      </c>
      <c r="C99" s="81">
        <v>23.69169287696577</v>
      </c>
      <c r="D99" s="8">
        <v>20.427148059409472</v>
      </c>
    </row>
    <row r="100" ht="15.75" customHeight="1">
      <c r="A100" s="6">
        <v>21306.0</v>
      </c>
      <c r="B100" s="7" t="s">
        <v>140</v>
      </c>
      <c r="C100" s="81">
        <v>15.727536231884056</v>
      </c>
      <c r="D100" s="8">
        <v>21.905823616193103</v>
      </c>
    </row>
    <row r="101" ht="15.75" customHeight="1">
      <c r="A101" s="6">
        <v>21307.0</v>
      </c>
      <c r="B101" s="7" t="s">
        <v>141</v>
      </c>
      <c r="C101" s="81">
        <v>0.0</v>
      </c>
      <c r="D101" s="8">
        <v>20.294816711556997</v>
      </c>
    </row>
    <row r="102" ht="15.75" customHeight="1">
      <c r="A102" s="6">
        <v>21401.0</v>
      </c>
      <c r="B102" s="7" t="s">
        <v>143</v>
      </c>
      <c r="C102" s="81">
        <v>24.94421069035375</v>
      </c>
      <c r="D102" s="8">
        <v>14.155103214715048</v>
      </c>
    </row>
    <row r="103" ht="15.75" customHeight="1">
      <c r="A103" s="6">
        <v>21402.0</v>
      </c>
      <c r="B103" s="7" t="s">
        <v>144</v>
      </c>
      <c r="C103" s="81">
        <v>50.56810014611223</v>
      </c>
      <c r="D103" s="8">
        <v>11.949925886856965</v>
      </c>
    </row>
    <row r="104" ht="15.75" customHeight="1">
      <c r="A104" s="6">
        <v>21501.0</v>
      </c>
      <c r="B104" s="7" t="s">
        <v>146</v>
      </c>
      <c r="C104" s="81">
        <v>13.069361094100836</v>
      </c>
      <c r="D104" s="8">
        <v>17.910914124856433</v>
      </c>
    </row>
    <row r="105" ht="15.75" customHeight="1">
      <c r="A105" s="6">
        <v>21502.0</v>
      </c>
      <c r="B105" s="7" t="s">
        <v>147</v>
      </c>
      <c r="C105" s="81">
        <v>14.90641988242826</v>
      </c>
      <c r="D105" s="8">
        <v>25.845449082167836</v>
      </c>
    </row>
    <row r="106" ht="15.75" customHeight="1">
      <c r="A106" s="6">
        <v>21601.0</v>
      </c>
      <c r="B106" s="7" t="s">
        <v>149</v>
      </c>
      <c r="C106" s="81">
        <v>38.00373942721472</v>
      </c>
      <c r="D106" s="8">
        <v>11.842130163650783</v>
      </c>
    </row>
    <row r="107" ht="15.75" customHeight="1">
      <c r="A107" s="6">
        <v>21602.0</v>
      </c>
      <c r="B107" s="7" t="s">
        <v>150</v>
      </c>
      <c r="C107" s="81">
        <v>26.512132505175977</v>
      </c>
      <c r="D107" s="8">
        <v>11.934406502588322</v>
      </c>
    </row>
    <row r="108" ht="15.75" customHeight="1">
      <c r="A108" s="6">
        <v>21701.0</v>
      </c>
      <c r="B108" s="7" t="s">
        <v>152</v>
      </c>
      <c r="C108" s="81">
        <v>35.41697090386105</v>
      </c>
      <c r="D108" s="8">
        <v>10.325273041565177</v>
      </c>
    </row>
    <row r="109" ht="15.75" customHeight="1">
      <c r="A109" s="6">
        <v>21702.0</v>
      </c>
      <c r="B109" s="7" t="s">
        <v>153</v>
      </c>
      <c r="C109" s="81">
        <v>0.0</v>
      </c>
      <c r="D109" s="8">
        <v>29.080674072762683</v>
      </c>
    </row>
    <row r="110" ht="15.75" customHeight="1">
      <c r="A110" s="6">
        <v>21703.0</v>
      </c>
      <c r="B110" s="7" t="s">
        <v>154</v>
      </c>
      <c r="C110" s="81">
        <v>0.0</v>
      </c>
      <c r="D110" s="8">
        <v>0.0</v>
      </c>
    </row>
    <row r="111" ht="15.75" customHeight="1">
      <c r="A111" s="6">
        <v>21801.0</v>
      </c>
      <c r="B111" s="7" t="s">
        <v>156</v>
      </c>
      <c r="C111" s="81">
        <v>11.896469713861018</v>
      </c>
      <c r="D111" s="8">
        <v>17.828838982525237</v>
      </c>
    </row>
    <row r="112" ht="15.75" customHeight="1">
      <c r="A112" s="6">
        <v>21802.0</v>
      </c>
      <c r="B112" s="7" t="s">
        <v>158</v>
      </c>
      <c r="C112" s="81">
        <v>15.727536231884056</v>
      </c>
      <c r="D112" s="8">
        <v>16.696026538868114</v>
      </c>
    </row>
    <row r="113" ht="15.75" customHeight="1">
      <c r="A113" s="6">
        <v>21803.0</v>
      </c>
      <c r="B113" s="7" t="s">
        <v>159</v>
      </c>
      <c r="C113" s="81">
        <v>0.0</v>
      </c>
      <c r="D113" s="8">
        <v>0.0</v>
      </c>
    </row>
    <row r="114" ht="15.75" customHeight="1">
      <c r="A114" s="6">
        <v>21901.0</v>
      </c>
      <c r="B114" s="7" t="s">
        <v>161</v>
      </c>
      <c r="C114" s="81">
        <v>0.0</v>
      </c>
      <c r="D114" s="8">
        <v>38.640834509527174</v>
      </c>
    </row>
    <row r="115" ht="15.75" customHeight="1">
      <c r="A115" s="6">
        <v>21902.0</v>
      </c>
      <c r="B115" s="7" t="s">
        <v>162</v>
      </c>
      <c r="C115" s="81">
        <v>0.0</v>
      </c>
      <c r="D115" s="8">
        <v>3.5235786069758466</v>
      </c>
    </row>
    <row r="116" ht="15.75" customHeight="1">
      <c r="A116" s="6">
        <v>22001.0</v>
      </c>
      <c r="B116" s="7" t="s">
        <v>163</v>
      </c>
      <c r="C116" s="81">
        <v>34.8516295842689</v>
      </c>
      <c r="D116" s="8">
        <v>12.190890165817203</v>
      </c>
    </row>
    <row r="117" ht="15.75" customHeight="1">
      <c r="A117" s="6">
        <v>22002.0</v>
      </c>
      <c r="B117" s="7" t="s">
        <v>164</v>
      </c>
      <c r="C117" s="81">
        <v>81.50689385037211</v>
      </c>
      <c r="D117" s="8">
        <v>20.152396945160103</v>
      </c>
    </row>
    <row r="118" ht="15.75" customHeight="1">
      <c r="A118" s="6">
        <v>30101.0</v>
      </c>
      <c r="B118" s="7" t="s">
        <v>17</v>
      </c>
      <c r="C118" s="81">
        <v>53.516955270876</v>
      </c>
      <c r="D118" s="8">
        <v>4.65397543356814</v>
      </c>
    </row>
    <row r="119" ht="15.75" customHeight="1">
      <c r="A119" s="6">
        <v>30201.0</v>
      </c>
      <c r="B119" s="7" t="s">
        <v>167</v>
      </c>
      <c r="C119" s="81">
        <v>68.12124784865362</v>
      </c>
      <c r="D119" s="8">
        <v>2.956411283175674</v>
      </c>
    </row>
    <row r="120" ht="15.75" customHeight="1">
      <c r="A120" s="6">
        <v>30202.0</v>
      </c>
      <c r="B120" s="7" t="s">
        <v>168</v>
      </c>
      <c r="C120" s="81">
        <v>0.0</v>
      </c>
      <c r="D120" s="8">
        <v>1.8434406383862696</v>
      </c>
    </row>
    <row r="121" ht="15.75" customHeight="1">
      <c r="A121" s="6">
        <v>30203.0</v>
      </c>
      <c r="B121" s="7" t="s">
        <v>169</v>
      </c>
      <c r="C121" s="81">
        <v>53.340912654853376</v>
      </c>
      <c r="D121" s="8">
        <v>1.2606755333480295</v>
      </c>
    </row>
    <row r="122" ht="15.75" customHeight="1">
      <c r="A122" s="6">
        <v>30301.0</v>
      </c>
      <c r="B122" s="7" t="s">
        <v>171</v>
      </c>
      <c r="C122" s="81">
        <v>165.7367502603507</v>
      </c>
      <c r="D122" s="8">
        <v>10.120562548590755</v>
      </c>
    </row>
    <row r="123" ht="15.75" customHeight="1">
      <c r="A123" s="6">
        <v>30302.0</v>
      </c>
      <c r="B123" s="7" t="s">
        <v>172</v>
      </c>
      <c r="C123" s="81">
        <v>137.75420161350482</v>
      </c>
      <c r="D123" s="8">
        <v>7.66292971250763</v>
      </c>
    </row>
    <row r="124" ht="15.75" customHeight="1">
      <c r="A124" s="6">
        <v>30303.0</v>
      </c>
      <c r="B124" s="7" t="s">
        <v>173</v>
      </c>
      <c r="C124" s="81">
        <v>133.68154653006462</v>
      </c>
      <c r="D124" s="8">
        <v>15.750182859292387</v>
      </c>
    </row>
    <row r="125" ht="15.75" customHeight="1">
      <c r="A125" s="6">
        <v>30401.0</v>
      </c>
      <c r="B125" s="7" t="s">
        <v>175</v>
      </c>
      <c r="C125" s="81">
        <v>116.77928202626335</v>
      </c>
      <c r="D125" s="8">
        <v>9.31843259114909</v>
      </c>
    </row>
    <row r="126" ht="15.75" customHeight="1">
      <c r="A126" s="6">
        <v>30402.0</v>
      </c>
      <c r="B126" s="7" t="s">
        <v>176</v>
      </c>
      <c r="C126" s="81">
        <v>51.783513745222606</v>
      </c>
      <c r="D126" s="8">
        <v>11.724282460136674</v>
      </c>
    </row>
    <row r="127" ht="15.75" customHeight="1">
      <c r="A127" s="6">
        <v>30403.0</v>
      </c>
      <c r="B127" s="7" t="s">
        <v>177</v>
      </c>
      <c r="C127" s="81">
        <v>170.3165983014617</v>
      </c>
      <c r="D127" s="8">
        <v>5.542204858680851</v>
      </c>
    </row>
    <row r="128" ht="15.75" customHeight="1">
      <c r="A128" s="6">
        <v>30404.0</v>
      </c>
      <c r="B128" s="7" t="s">
        <v>178</v>
      </c>
      <c r="C128" s="81">
        <v>0.0</v>
      </c>
      <c r="D128" s="8">
        <v>14.55141440087885</v>
      </c>
    </row>
    <row r="129" ht="15.75" customHeight="1">
      <c r="A129" s="6">
        <v>30501.0</v>
      </c>
      <c r="B129" s="7" t="s">
        <v>179</v>
      </c>
      <c r="C129" s="81">
        <v>204.15370886605749</v>
      </c>
      <c r="D129" s="8">
        <v>9.409536484860894</v>
      </c>
    </row>
    <row r="130" ht="15.75" customHeight="1">
      <c r="A130" s="6">
        <v>30502.0</v>
      </c>
      <c r="B130" s="7" t="s">
        <v>180</v>
      </c>
      <c r="C130" s="81">
        <v>51.97319694575457</v>
      </c>
      <c r="D130" s="8">
        <v>10.756222440492364</v>
      </c>
    </row>
    <row r="131" ht="15.75" customHeight="1">
      <c r="A131" s="6">
        <v>30601.0</v>
      </c>
      <c r="B131" s="7" t="s">
        <v>181</v>
      </c>
      <c r="C131" s="81">
        <v>116.93969312794779</v>
      </c>
      <c r="D131" s="8">
        <v>15.133245023274242</v>
      </c>
    </row>
    <row r="132" ht="15.75" customHeight="1">
      <c r="A132" s="6">
        <v>30602.0</v>
      </c>
      <c r="B132" s="7" t="s">
        <v>182</v>
      </c>
      <c r="C132" s="81">
        <v>120.03961731126059</v>
      </c>
      <c r="D132" s="8">
        <v>11.985790619098829</v>
      </c>
    </row>
    <row r="133" ht="15.75" customHeight="1">
      <c r="A133" s="6">
        <v>30701.0</v>
      </c>
      <c r="B133" s="7" t="s">
        <v>183</v>
      </c>
      <c r="C133" s="81">
        <v>32.32046188198405</v>
      </c>
      <c r="D133" s="8">
        <v>8.38078881650101</v>
      </c>
    </row>
    <row r="134" ht="15.75" customHeight="1">
      <c r="A134" s="6">
        <v>30702.0</v>
      </c>
      <c r="B134" s="7" t="s">
        <v>184</v>
      </c>
      <c r="C134" s="81">
        <v>56.30429669123412</v>
      </c>
      <c r="D134" s="8">
        <v>4.708547172745653</v>
      </c>
    </row>
    <row r="135" ht="15.75" customHeight="1">
      <c r="A135" s="6">
        <v>30703.0</v>
      </c>
      <c r="B135" s="7" t="s">
        <v>185</v>
      </c>
      <c r="C135" s="81">
        <v>187.30934344806596</v>
      </c>
      <c r="D135" s="8">
        <v>0.0</v>
      </c>
    </row>
    <row r="136" ht="15.75" customHeight="1">
      <c r="A136" s="6">
        <v>30801.0</v>
      </c>
      <c r="B136" s="7" t="s">
        <v>187</v>
      </c>
      <c r="C136" s="81">
        <v>47.295609220636656</v>
      </c>
      <c r="D136" s="8">
        <v>2.8549389107475664</v>
      </c>
    </row>
    <row r="137" ht="15.75" customHeight="1">
      <c r="A137" s="6">
        <v>30802.0</v>
      </c>
      <c r="B137" s="7" t="s">
        <v>188</v>
      </c>
      <c r="C137" s="81">
        <v>65.08570076234402</v>
      </c>
      <c r="D137" s="8">
        <v>10.603356230097765</v>
      </c>
    </row>
    <row r="138" ht="15.75" customHeight="1">
      <c r="A138" s="6">
        <v>30803.0</v>
      </c>
      <c r="B138" s="7" t="s">
        <v>189</v>
      </c>
      <c r="C138" s="81">
        <v>97.5167200425498</v>
      </c>
      <c r="D138" s="8">
        <v>11.081552419788917</v>
      </c>
    </row>
    <row r="139" ht="15.75" customHeight="1">
      <c r="A139" s="6">
        <v>30901.0</v>
      </c>
      <c r="B139" s="7" t="s">
        <v>190</v>
      </c>
      <c r="C139" s="81">
        <v>21.252779808789377</v>
      </c>
      <c r="D139" s="8">
        <v>3.9750816402799045</v>
      </c>
    </row>
    <row r="140" ht="15.75" customHeight="1">
      <c r="A140" s="6">
        <v>30902.0</v>
      </c>
      <c r="B140" s="7" t="s">
        <v>191</v>
      </c>
      <c r="C140" s="81">
        <v>42.27262653789816</v>
      </c>
      <c r="D140" s="8">
        <v>6.247879902297117</v>
      </c>
    </row>
    <row r="141" ht="15.75" customHeight="1">
      <c r="A141" s="6">
        <v>30903.0</v>
      </c>
      <c r="B141" s="7" t="s">
        <v>192</v>
      </c>
      <c r="C141" s="81">
        <v>21.227831786641232</v>
      </c>
      <c r="D141" s="8">
        <v>4.613354020949302</v>
      </c>
    </row>
    <row r="142" ht="15.75" customHeight="1">
      <c r="A142" s="6">
        <v>30904.0</v>
      </c>
      <c r="B142" s="7" t="s">
        <v>193</v>
      </c>
      <c r="C142" s="81">
        <v>32.037669243445656</v>
      </c>
      <c r="D142" s="8">
        <v>3.9578206175480846</v>
      </c>
    </row>
    <row r="143" ht="15.75" customHeight="1">
      <c r="A143" s="6">
        <v>30905.0</v>
      </c>
      <c r="B143" s="7" t="s">
        <v>194</v>
      </c>
      <c r="C143" s="81">
        <v>21.17713845700149</v>
      </c>
      <c r="D143" s="8">
        <v>3.9237893106213773</v>
      </c>
    </row>
    <row r="144" ht="15.75" customHeight="1">
      <c r="A144" s="6">
        <v>31001.0</v>
      </c>
      <c r="B144" s="7" t="s">
        <v>196</v>
      </c>
      <c r="C144" s="81">
        <v>55.355979961350364</v>
      </c>
      <c r="D144" s="8">
        <v>4.654545308391269</v>
      </c>
    </row>
    <row r="145" ht="15.75" customHeight="1">
      <c r="A145" s="6">
        <v>31002.0</v>
      </c>
      <c r="B145" s="7" t="s">
        <v>197</v>
      </c>
      <c r="C145" s="81">
        <v>79.15583133160946</v>
      </c>
      <c r="D145" s="8">
        <v>8.668600709897726</v>
      </c>
    </row>
    <row r="146" ht="15.75" customHeight="1">
      <c r="A146" s="6">
        <v>31003.0</v>
      </c>
      <c r="B146" s="7" t="s">
        <v>198</v>
      </c>
      <c r="C146" s="81">
        <v>79.5531137189222</v>
      </c>
      <c r="D146" s="8">
        <v>9.098839531944751</v>
      </c>
    </row>
    <row r="147" ht="15.75" customHeight="1">
      <c r="A147" s="6">
        <v>31101.0</v>
      </c>
      <c r="B147" s="7" t="s">
        <v>199</v>
      </c>
      <c r="C147" s="81">
        <v>116.93969312794778</v>
      </c>
      <c r="D147" s="8">
        <v>17.151908670551048</v>
      </c>
    </row>
    <row r="148" ht="15.75" customHeight="1">
      <c r="A148" s="6">
        <v>31201.0</v>
      </c>
      <c r="B148" s="7" t="s">
        <v>201</v>
      </c>
      <c r="C148" s="81">
        <v>98.53251920965971</v>
      </c>
      <c r="D148" s="8">
        <v>7.006543302870522</v>
      </c>
    </row>
    <row r="149" ht="15.75" customHeight="1">
      <c r="A149" s="6">
        <v>31202.0</v>
      </c>
      <c r="B149" s="7" t="s">
        <v>202</v>
      </c>
      <c r="C149" s="81">
        <v>78.82601536772778</v>
      </c>
      <c r="D149" s="8">
        <v>5.170576608660055</v>
      </c>
    </row>
    <row r="150" ht="15.75" customHeight="1">
      <c r="A150" s="6">
        <v>31203.0</v>
      </c>
      <c r="B150" s="7" t="s">
        <v>203</v>
      </c>
      <c r="C150" s="81">
        <v>53.99042148474505</v>
      </c>
      <c r="D150" s="8">
        <v>7.6230705202449105</v>
      </c>
    </row>
    <row r="151" ht="15.75" customHeight="1">
      <c r="A151" s="6">
        <v>31204.0</v>
      </c>
      <c r="B151" s="7" t="s">
        <v>204</v>
      </c>
      <c r="C151" s="81">
        <v>77.06831691184361</v>
      </c>
      <c r="D151" s="8">
        <v>8.401589372728546</v>
      </c>
    </row>
    <row r="152" ht="15.75" customHeight="1">
      <c r="A152" s="6">
        <v>31205.0</v>
      </c>
      <c r="B152" s="7" t="s">
        <v>205</v>
      </c>
      <c r="C152" s="81">
        <v>47.98661649821089</v>
      </c>
      <c r="D152" s="8">
        <v>6.3492846189348935</v>
      </c>
    </row>
    <row r="153" ht="15.75" customHeight="1">
      <c r="A153" s="6">
        <v>31206.0</v>
      </c>
      <c r="B153" s="7" t="s">
        <v>206</v>
      </c>
      <c r="C153" s="81">
        <v>34.355164082786914</v>
      </c>
      <c r="D153" s="8">
        <v>5.833760772257355</v>
      </c>
    </row>
    <row r="154" ht="15.75" customHeight="1">
      <c r="A154" s="6">
        <v>31301.0</v>
      </c>
      <c r="B154" s="7" t="s">
        <v>207</v>
      </c>
      <c r="C154" s="81">
        <v>39.16820639390199</v>
      </c>
      <c r="D154" s="8">
        <v>5.494436625154172</v>
      </c>
    </row>
    <row r="155" ht="15.75" customHeight="1">
      <c r="A155" s="6">
        <v>31302.0</v>
      </c>
      <c r="B155" s="7" t="s">
        <v>208</v>
      </c>
      <c r="C155" s="81">
        <v>43.792230759848756</v>
      </c>
      <c r="D155" s="8">
        <v>13.593370968274405</v>
      </c>
    </row>
    <row r="156" ht="15.75" customHeight="1">
      <c r="A156" s="6">
        <v>31303.0</v>
      </c>
      <c r="B156" s="7" t="s">
        <v>209</v>
      </c>
      <c r="C156" s="81">
        <v>28.838786110144305</v>
      </c>
      <c r="D156" s="8">
        <v>0.0</v>
      </c>
    </row>
    <row r="157" ht="15.75" customHeight="1">
      <c r="A157" s="25">
        <v>31304.0</v>
      </c>
      <c r="B157" s="7" t="s">
        <v>210</v>
      </c>
      <c r="C157" s="81">
        <v>45.2589561919968</v>
      </c>
      <c r="D157" s="8">
        <v>20.098769931662872</v>
      </c>
    </row>
    <row r="158" ht="15.75" customHeight="1">
      <c r="A158" s="6">
        <v>31401.0</v>
      </c>
      <c r="B158" s="7" t="s">
        <v>211</v>
      </c>
      <c r="C158" s="81">
        <v>30.883326916460504</v>
      </c>
      <c r="D158" s="8">
        <v>5.99011180034851</v>
      </c>
    </row>
    <row r="159" ht="15.75" customHeight="1">
      <c r="A159" s="6">
        <v>31402.0</v>
      </c>
      <c r="B159" s="7" t="s">
        <v>212</v>
      </c>
      <c r="C159" s="81">
        <v>0.0</v>
      </c>
      <c r="D159" s="8">
        <v>5.3682611996962795</v>
      </c>
    </row>
    <row r="160" ht="15.75" customHeight="1">
      <c r="A160" s="6">
        <v>31403.0</v>
      </c>
      <c r="B160" s="7" t="s">
        <v>213</v>
      </c>
      <c r="C160" s="81">
        <v>65.38563486723962</v>
      </c>
      <c r="D160" s="8">
        <v>6.661524125077657</v>
      </c>
    </row>
    <row r="161" ht="15.75" customHeight="1">
      <c r="A161" s="6">
        <v>31404.0</v>
      </c>
      <c r="B161" s="7" t="s">
        <v>214</v>
      </c>
      <c r="C161" s="81">
        <v>102.81654178399273</v>
      </c>
      <c r="D161" s="8">
        <v>8.495856855171503</v>
      </c>
    </row>
    <row r="162" ht="15.75" customHeight="1">
      <c r="A162" s="6">
        <v>31405.0</v>
      </c>
      <c r="B162" s="7" t="s">
        <v>215</v>
      </c>
      <c r="C162" s="81">
        <v>0.0</v>
      </c>
      <c r="D162" s="8">
        <v>0.0</v>
      </c>
    </row>
    <row r="163" ht="15.75" customHeight="1">
      <c r="A163" s="6">
        <v>31501.0</v>
      </c>
      <c r="B163" s="7" t="s">
        <v>216</v>
      </c>
      <c r="C163" s="81">
        <v>140.13513843151603</v>
      </c>
      <c r="D163" s="8">
        <v>30.85337489509651</v>
      </c>
    </row>
    <row r="164" ht="15.75" customHeight="1">
      <c r="A164" s="6">
        <v>31601.0</v>
      </c>
      <c r="B164" s="7" t="s">
        <v>217</v>
      </c>
      <c r="C164" s="81">
        <v>70.59046152333829</v>
      </c>
      <c r="D164" s="8">
        <v>6.5470649476708225</v>
      </c>
    </row>
    <row r="165" ht="15.75" customHeight="1">
      <c r="A165" s="6">
        <v>31602.0</v>
      </c>
      <c r="B165" s="7" t="s">
        <v>218</v>
      </c>
      <c r="C165" s="81">
        <v>21.114111259212795</v>
      </c>
      <c r="D165" s="8">
        <v>6.728426089031089</v>
      </c>
    </row>
    <row r="166" ht="15.75" customHeight="1">
      <c r="A166" s="6">
        <v>40101.0</v>
      </c>
      <c r="B166" s="7" t="s">
        <v>20</v>
      </c>
      <c r="C166" s="81">
        <v>12.606130562602925</v>
      </c>
      <c r="D166" s="8">
        <v>28.264219963473646</v>
      </c>
    </row>
    <row r="167" ht="15.75" customHeight="1">
      <c r="A167" s="6">
        <v>40102.0</v>
      </c>
      <c r="B167" s="7" t="s">
        <v>219</v>
      </c>
      <c r="C167" s="81">
        <v>134.1572470278515</v>
      </c>
      <c r="D167" s="8">
        <v>43.80123982534634</v>
      </c>
    </row>
    <row r="168" ht="15.75" customHeight="1">
      <c r="A168" s="6">
        <v>40103.0</v>
      </c>
      <c r="B168" s="7" t="s">
        <v>220</v>
      </c>
      <c r="C168" s="81">
        <v>66.87784396055072</v>
      </c>
      <c r="D168" s="8">
        <v>16.954168869105576</v>
      </c>
    </row>
    <row r="169" ht="15.75" customHeight="1">
      <c r="A169" s="6">
        <v>40104.0</v>
      </c>
      <c r="B169" s="7" t="s">
        <v>221</v>
      </c>
      <c r="C169" s="81">
        <v>148.39310282567482</v>
      </c>
      <c r="D169" s="8">
        <v>23.475418654003743</v>
      </c>
    </row>
    <row r="170" ht="15.75" customHeight="1">
      <c r="A170" s="6">
        <v>40201.0</v>
      </c>
      <c r="B170" s="7" t="s">
        <v>223</v>
      </c>
      <c r="C170" s="81">
        <v>154.5083522202636</v>
      </c>
      <c r="D170" s="8">
        <v>28.990894819466245</v>
      </c>
    </row>
    <row r="171" ht="15.75" customHeight="1">
      <c r="A171" s="6">
        <v>40202.0</v>
      </c>
      <c r="B171" s="7" t="s">
        <v>224</v>
      </c>
      <c r="C171" s="81">
        <v>151.7136275031012</v>
      </c>
      <c r="D171" s="8">
        <v>46.70081383052095</v>
      </c>
    </row>
    <row r="172" ht="15.75" customHeight="1">
      <c r="A172" s="6">
        <v>40301.0</v>
      </c>
      <c r="B172" s="7" t="s">
        <v>226</v>
      </c>
      <c r="C172" s="81">
        <v>30.15657381043238</v>
      </c>
      <c r="D172" s="8">
        <v>26.139331394600717</v>
      </c>
    </row>
    <row r="173" ht="15.75" customHeight="1">
      <c r="A173" s="6">
        <v>40302.0</v>
      </c>
      <c r="B173" s="7" t="s">
        <v>227</v>
      </c>
      <c r="C173" s="81">
        <v>81.92535885167463</v>
      </c>
      <c r="D173" s="8">
        <v>18.2975319762205</v>
      </c>
    </row>
    <row r="174" ht="15.75" customHeight="1">
      <c r="A174" s="6">
        <v>40401.0</v>
      </c>
      <c r="B174" s="7" t="s">
        <v>229</v>
      </c>
      <c r="C174" s="81">
        <v>157.54876702245124</v>
      </c>
      <c r="D174" s="8">
        <v>57.238433361510275</v>
      </c>
    </row>
    <row r="175" ht="15.75" customHeight="1">
      <c r="A175" s="6">
        <v>40402.0</v>
      </c>
      <c r="B175" s="7" t="s">
        <v>230</v>
      </c>
      <c r="C175" s="81">
        <v>179.21172248803828</v>
      </c>
      <c r="D175" s="8">
        <v>14.6380255809764</v>
      </c>
    </row>
    <row r="176" ht="15.75" customHeight="1">
      <c r="A176" s="6">
        <v>40501.0</v>
      </c>
      <c r="B176" s="7" t="s">
        <v>232</v>
      </c>
      <c r="C176" s="81">
        <v>0.0</v>
      </c>
      <c r="D176" s="8">
        <v>9.965620094191522</v>
      </c>
    </row>
    <row r="177" ht="15.75" customHeight="1">
      <c r="A177" s="6">
        <v>40502.0</v>
      </c>
      <c r="B177" s="7" t="s">
        <v>233</v>
      </c>
      <c r="C177" s="81">
        <v>63.01950680898048</v>
      </c>
      <c r="D177" s="8">
        <v>10.239903216050003</v>
      </c>
    </row>
    <row r="178" ht="15.75" customHeight="1">
      <c r="A178" s="6">
        <v>40503.0</v>
      </c>
      <c r="B178" s="7" t="s">
        <v>234</v>
      </c>
      <c r="C178" s="81">
        <v>144.57416267942583</v>
      </c>
      <c r="D178" s="8">
        <v>0.0</v>
      </c>
    </row>
    <row r="179" ht="15.75" customHeight="1">
      <c r="A179" s="6">
        <v>40504.0</v>
      </c>
      <c r="B179" s="7" t="s">
        <v>235</v>
      </c>
      <c r="C179" s="81">
        <v>0.0</v>
      </c>
      <c r="D179" s="8">
        <v>0.0</v>
      </c>
    </row>
    <row r="180" ht="15.75" customHeight="1">
      <c r="A180" s="6">
        <v>40505.0</v>
      </c>
      <c r="B180" s="7" t="s">
        <v>236</v>
      </c>
      <c r="C180" s="81">
        <v>0.0</v>
      </c>
      <c r="D180" s="8">
        <v>20.765571173013033</v>
      </c>
    </row>
    <row r="181" ht="15.75" customHeight="1">
      <c r="A181" s="6">
        <v>40601.0</v>
      </c>
      <c r="B181" s="7" t="s">
        <v>237</v>
      </c>
      <c r="C181" s="81">
        <v>206.5345181134655</v>
      </c>
      <c r="D181" s="8">
        <v>30.31984925091886</v>
      </c>
    </row>
    <row r="182" ht="15.75" customHeight="1">
      <c r="A182" s="6">
        <v>40602.0</v>
      </c>
      <c r="B182" s="7" t="s">
        <v>238</v>
      </c>
      <c r="C182" s="81">
        <v>65.83287764866712</v>
      </c>
      <c r="D182" s="8">
        <v>10.629994767137624</v>
      </c>
    </row>
    <row r="183" ht="15.75" customHeight="1">
      <c r="A183" s="6">
        <v>40603.0</v>
      </c>
      <c r="B183" s="7" t="s">
        <v>239</v>
      </c>
      <c r="C183" s="81">
        <v>40.291160090987525</v>
      </c>
      <c r="D183" s="8">
        <v>9.921328449328449</v>
      </c>
    </row>
    <row r="184" ht="15.75" customHeight="1">
      <c r="A184" s="6">
        <v>40701.0</v>
      </c>
      <c r="B184" s="7" t="s">
        <v>241</v>
      </c>
      <c r="C184" s="81">
        <v>46.636826670782526</v>
      </c>
      <c r="D184" s="8">
        <v>39.55972736124635</v>
      </c>
    </row>
    <row r="185" ht="15.75" customHeight="1">
      <c r="A185" s="6">
        <v>40702.0</v>
      </c>
      <c r="B185" s="7" t="s">
        <v>242</v>
      </c>
      <c r="C185" s="81">
        <v>55.85819921705089</v>
      </c>
      <c r="D185" s="8">
        <v>37.5176285898975</v>
      </c>
    </row>
    <row r="186" ht="15.75" customHeight="1">
      <c r="A186" s="6">
        <v>40801.0</v>
      </c>
      <c r="B186" s="7" t="s">
        <v>244</v>
      </c>
      <c r="C186" s="81">
        <v>87.77717019822285</v>
      </c>
      <c r="D186" s="8">
        <v>33.859354946245524</v>
      </c>
    </row>
    <row r="187" ht="15.75" customHeight="1">
      <c r="A187" s="6">
        <v>40802.0</v>
      </c>
      <c r="B187" s="7" t="s">
        <v>245</v>
      </c>
      <c r="C187" s="81">
        <v>0.0</v>
      </c>
      <c r="D187" s="8">
        <v>12.198354650813666</v>
      </c>
    </row>
    <row r="188" ht="15.75" customHeight="1">
      <c r="A188" s="6">
        <v>40901.0</v>
      </c>
      <c r="B188" s="7" t="s">
        <v>246</v>
      </c>
      <c r="C188" s="81">
        <v>55.542616170626864</v>
      </c>
      <c r="D188" s="8">
        <v>17.171530008453086</v>
      </c>
    </row>
    <row r="189" ht="15.75" customHeight="1">
      <c r="A189" s="6">
        <v>40902.0</v>
      </c>
      <c r="B189" s="7" t="s">
        <v>247</v>
      </c>
      <c r="C189" s="81">
        <v>0.0</v>
      </c>
      <c r="D189" s="8">
        <v>18.917787297448314</v>
      </c>
    </row>
    <row r="190" ht="15.75" customHeight="1">
      <c r="A190" s="6">
        <v>40903.0</v>
      </c>
      <c r="B190" s="7" t="s">
        <v>248</v>
      </c>
      <c r="C190" s="81">
        <v>144.57416267942585</v>
      </c>
      <c r="D190" s="8">
        <v>40.342751224678935</v>
      </c>
    </row>
    <row r="191" ht="15.75" customHeight="1">
      <c r="A191" s="6">
        <v>41001.0</v>
      </c>
      <c r="B191" s="7" t="s">
        <v>250</v>
      </c>
      <c r="C191" s="81">
        <v>67.80029698069625</v>
      </c>
      <c r="D191" s="8">
        <v>37.623015187060126</v>
      </c>
    </row>
    <row r="192" ht="15.75" customHeight="1">
      <c r="A192" s="6">
        <v>41101.0</v>
      </c>
      <c r="B192" s="7" t="s">
        <v>252</v>
      </c>
      <c r="C192" s="81">
        <v>148.9551979121357</v>
      </c>
      <c r="D192" s="8">
        <v>55.80747252747252</v>
      </c>
    </row>
    <row r="193" ht="15.75" customHeight="1">
      <c r="A193" s="6">
        <v>41201.0</v>
      </c>
      <c r="B193" s="7" t="s">
        <v>254</v>
      </c>
      <c r="C193" s="81">
        <v>124.44358306583487</v>
      </c>
      <c r="D193" s="8">
        <v>17.57715670156615</v>
      </c>
    </row>
    <row r="194" ht="15.75" customHeight="1">
      <c r="A194" s="6">
        <v>41202.0</v>
      </c>
      <c r="B194" s="7" t="s">
        <v>255</v>
      </c>
      <c r="C194" s="81">
        <v>0.0</v>
      </c>
      <c r="D194" s="8">
        <v>42.92882502113272</v>
      </c>
    </row>
    <row r="195" ht="15.75" customHeight="1">
      <c r="A195" s="6">
        <v>41301.0</v>
      </c>
      <c r="B195" s="7" t="s">
        <v>256</v>
      </c>
      <c r="C195" s="81">
        <v>0.0</v>
      </c>
      <c r="D195" s="8">
        <v>39.7441940848469</v>
      </c>
    </row>
    <row r="196" ht="15.75" customHeight="1">
      <c r="A196" s="6">
        <v>41401.0</v>
      </c>
      <c r="B196" s="7" t="s">
        <v>258</v>
      </c>
      <c r="C196" s="81">
        <v>97.87542871660247</v>
      </c>
      <c r="D196" s="8">
        <v>21.957038371464602</v>
      </c>
    </row>
    <row r="197" ht="15.75" customHeight="1">
      <c r="A197" s="6">
        <v>41501.0</v>
      </c>
      <c r="B197" s="7" t="s">
        <v>260</v>
      </c>
      <c r="C197" s="81">
        <v>0.0</v>
      </c>
      <c r="D197" s="8">
        <v>0.0</v>
      </c>
    </row>
    <row r="198" ht="15.75" customHeight="1">
      <c r="A198" s="6">
        <v>41502.0</v>
      </c>
      <c r="B198" s="7" t="s">
        <v>261</v>
      </c>
      <c r="C198" s="81">
        <v>0.0</v>
      </c>
      <c r="D198" s="8">
        <v>28.619216680755137</v>
      </c>
    </row>
    <row r="199" ht="15.75" customHeight="1">
      <c r="A199" s="6">
        <v>41503.0</v>
      </c>
      <c r="B199" s="7" t="s">
        <v>225</v>
      </c>
      <c r="C199" s="81">
        <v>0.0</v>
      </c>
      <c r="D199" s="8">
        <v>0.0</v>
      </c>
    </row>
    <row r="200" ht="15.75" customHeight="1">
      <c r="A200" s="6">
        <v>41601.0</v>
      </c>
      <c r="B200" s="7" t="s">
        <v>263</v>
      </c>
      <c r="C200" s="81">
        <v>163.8507177033493</v>
      </c>
      <c r="D200" s="8">
        <v>54.44631466094881</v>
      </c>
    </row>
    <row r="201" ht="15.75" customHeight="1">
      <c r="A201" s="6">
        <v>50101.0</v>
      </c>
      <c r="B201" s="7" t="s">
        <v>264</v>
      </c>
      <c r="C201" s="81">
        <v>77.05794713494286</v>
      </c>
      <c r="D201" s="8">
        <v>14.520144320819233</v>
      </c>
    </row>
    <row r="202" ht="15.75" customHeight="1">
      <c r="A202" s="6">
        <v>50102.0</v>
      </c>
      <c r="B202" s="7" t="s">
        <v>266</v>
      </c>
      <c r="C202" s="81">
        <v>218.98023222883035</v>
      </c>
      <c r="D202" s="8">
        <v>34.51432752376713</v>
      </c>
    </row>
    <row r="203" ht="15.75" customHeight="1">
      <c r="A203" s="6">
        <v>50103.0</v>
      </c>
      <c r="B203" s="7" t="s">
        <v>267</v>
      </c>
      <c r="C203" s="81">
        <v>14.171906158357771</v>
      </c>
      <c r="D203" s="8">
        <v>20.44581333348508</v>
      </c>
    </row>
    <row r="204" ht="15.75" customHeight="1">
      <c r="A204" s="6">
        <v>50104.0</v>
      </c>
      <c r="B204" s="7" t="s">
        <v>268</v>
      </c>
      <c r="C204" s="81">
        <v>36.610757575757575</v>
      </c>
      <c r="D204" s="8">
        <v>8.322048737779074</v>
      </c>
    </row>
    <row r="205" ht="15.75" customHeight="1">
      <c r="A205" s="6">
        <v>50201.0</v>
      </c>
      <c r="B205" s="7" t="s">
        <v>270</v>
      </c>
      <c r="C205" s="81">
        <v>212.7381859131859</v>
      </c>
      <c r="D205" s="8">
        <v>30.89667104763166</v>
      </c>
    </row>
    <row r="206" ht="15.75" customHeight="1">
      <c r="A206" s="6">
        <v>50202.0</v>
      </c>
      <c r="B206" s="7" t="s">
        <v>271</v>
      </c>
      <c r="C206" s="81">
        <v>157.70787878787877</v>
      </c>
      <c r="D206" s="8">
        <v>41.14104806272979</v>
      </c>
    </row>
    <row r="207" ht="15.75" customHeight="1">
      <c r="A207" s="6">
        <v>50203.0</v>
      </c>
      <c r="B207" s="7" t="s">
        <v>272</v>
      </c>
      <c r="C207" s="81">
        <v>74.53687171112321</v>
      </c>
      <c r="D207" s="8">
        <v>18.720167285231863</v>
      </c>
    </row>
    <row r="208" ht="15.75" customHeight="1">
      <c r="A208" s="6">
        <v>50204.0</v>
      </c>
      <c r="B208" s="7" t="s">
        <v>273</v>
      </c>
      <c r="C208" s="81">
        <v>130.23589651455262</v>
      </c>
      <c r="D208" s="8">
        <v>30.046975969033923</v>
      </c>
    </row>
    <row r="209" ht="15.75" customHeight="1">
      <c r="A209" s="6">
        <v>50301.0</v>
      </c>
      <c r="B209" s="7" t="s">
        <v>275</v>
      </c>
      <c r="C209" s="81">
        <v>123.36854346901147</v>
      </c>
      <c r="D209" s="8">
        <v>22.67656792645557</v>
      </c>
    </row>
    <row r="210" ht="15.75" customHeight="1">
      <c r="A210" s="6">
        <v>50302.0</v>
      </c>
      <c r="B210" s="7" t="s">
        <v>276</v>
      </c>
      <c r="C210" s="81">
        <v>116.2929946524064</v>
      </c>
      <c r="D210" s="8">
        <v>17.60203114321617</v>
      </c>
    </row>
    <row r="211" ht="15.75" customHeight="1">
      <c r="A211" s="6">
        <v>50303.0</v>
      </c>
      <c r="B211" s="7" t="s">
        <v>277</v>
      </c>
      <c r="C211" s="81">
        <v>113.31901154401153</v>
      </c>
      <c r="D211" s="8">
        <v>8.192016726251277</v>
      </c>
    </row>
    <row r="212" ht="15.75" customHeight="1">
      <c r="A212" s="6">
        <v>50401.0</v>
      </c>
      <c r="B212" s="7" t="s">
        <v>278</v>
      </c>
      <c r="C212" s="81">
        <v>313.80649350649344</v>
      </c>
      <c r="D212" s="8">
        <v>52.73022260575534</v>
      </c>
    </row>
    <row r="213" ht="15.75" customHeight="1">
      <c r="A213" s="6">
        <v>50402.0</v>
      </c>
      <c r="B213" s="7" t="s">
        <v>279</v>
      </c>
      <c r="C213" s="81">
        <v>74.54679144385025</v>
      </c>
      <c r="D213" s="8">
        <v>17.592295506521914</v>
      </c>
    </row>
    <row r="214" ht="15.75" customHeight="1">
      <c r="A214" s="6">
        <v>50403.0</v>
      </c>
      <c r="B214" s="7" t="s">
        <v>280</v>
      </c>
      <c r="C214" s="81">
        <v>157.74832707687284</v>
      </c>
      <c r="D214" s="8">
        <v>36.58242711746473</v>
      </c>
    </row>
    <row r="215" ht="15.75" customHeight="1">
      <c r="A215" s="6">
        <v>50404.0</v>
      </c>
      <c r="B215" s="7" t="s">
        <v>281</v>
      </c>
      <c r="C215" s="81">
        <v>245.31065989847716</v>
      </c>
      <c r="D215" s="8">
        <v>18.48878334186686</v>
      </c>
    </row>
    <row r="216" ht="15.75" customHeight="1">
      <c r="A216" s="6">
        <v>50405.0</v>
      </c>
      <c r="B216" s="82" t="s">
        <v>282</v>
      </c>
      <c r="C216" s="81">
        <v>206.7971662228984</v>
      </c>
      <c r="D216" s="8">
        <v>42.37476925064918</v>
      </c>
    </row>
    <row r="217" ht="15.75" customHeight="1">
      <c r="A217" s="6">
        <v>50501.0</v>
      </c>
      <c r="B217" s="7" t="s">
        <v>284</v>
      </c>
      <c r="C217" s="81">
        <v>193.1116883116883</v>
      </c>
      <c r="D217" s="8">
        <v>35.25102608350603</v>
      </c>
    </row>
    <row r="218" ht="15.75" customHeight="1">
      <c r="A218" s="6">
        <v>50502.0</v>
      </c>
      <c r="B218" s="7" t="s">
        <v>285</v>
      </c>
      <c r="C218" s="81">
        <v>168.97272727272727</v>
      </c>
      <c r="D218" s="8">
        <v>19.29053084552206</v>
      </c>
    </row>
    <row r="219" ht="15.75" customHeight="1">
      <c r="A219" s="6">
        <v>50601.0</v>
      </c>
      <c r="B219" s="7" t="s">
        <v>287</v>
      </c>
      <c r="C219" s="81">
        <v>21.820981336544246</v>
      </c>
      <c r="D219" s="8">
        <v>7.079520627624561</v>
      </c>
    </row>
    <row r="220" ht="15.75" customHeight="1">
      <c r="A220" s="6">
        <v>50602.0</v>
      </c>
      <c r="B220" s="7" t="s">
        <v>288</v>
      </c>
      <c r="C220" s="81">
        <v>45.76344696969697</v>
      </c>
      <c r="D220" s="8">
        <v>12.743137129724209</v>
      </c>
    </row>
    <row r="221" ht="15.75" customHeight="1">
      <c r="A221" s="6">
        <v>50701.0</v>
      </c>
      <c r="B221" s="7" t="s">
        <v>290</v>
      </c>
      <c r="C221" s="81">
        <v>66.42124484586688</v>
      </c>
      <c r="D221" s="8">
        <v>41.880147972282806</v>
      </c>
    </row>
    <row r="222" ht="15.75" customHeight="1">
      <c r="A222" s="6">
        <v>50702.0</v>
      </c>
      <c r="B222" s="7" t="s">
        <v>291</v>
      </c>
      <c r="C222" s="81">
        <v>83.2851357173632</v>
      </c>
      <c r="D222" s="8">
        <v>43.34673417355007</v>
      </c>
    </row>
    <row r="223" ht="15.75" customHeight="1">
      <c r="A223" s="6">
        <v>50801.0</v>
      </c>
      <c r="B223" s="7" t="s">
        <v>293</v>
      </c>
      <c r="C223" s="81">
        <v>23.798975672215107</v>
      </c>
      <c r="D223" s="8">
        <v>9.486462165350996</v>
      </c>
    </row>
    <row r="224" ht="15.75" customHeight="1">
      <c r="A224" s="6">
        <v>50802.0</v>
      </c>
      <c r="B224" s="7" t="s">
        <v>294</v>
      </c>
      <c r="C224" s="81">
        <v>8.38414295628036</v>
      </c>
      <c r="D224" s="8">
        <v>17.807003849396274</v>
      </c>
    </row>
    <row r="225" ht="15.75" customHeight="1">
      <c r="A225" s="6">
        <v>50901.0</v>
      </c>
      <c r="B225" s="7" t="s">
        <v>296</v>
      </c>
      <c r="C225" s="81">
        <v>7.627241161616161</v>
      </c>
      <c r="D225" s="8">
        <v>19.418113721484506</v>
      </c>
    </row>
    <row r="226" ht="15.75" customHeight="1">
      <c r="A226" s="6">
        <v>50902.0</v>
      </c>
      <c r="B226" s="7" t="s">
        <v>297</v>
      </c>
      <c r="C226" s="81">
        <v>0.0</v>
      </c>
      <c r="D226" s="8">
        <v>28.449794522174976</v>
      </c>
    </row>
    <row r="227" ht="15.75" customHeight="1">
      <c r="A227" s="6">
        <v>51001.0</v>
      </c>
      <c r="B227" s="7" t="s">
        <v>299</v>
      </c>
      <c r="C227" s="81">
        <v>23.368568665377172</v>
      </c>
      <c r="D227" s="8">
        <v>30.131555774717338</v>
      </c>
    </row>
    <row r="228" ht="15.75" customHeight="1">
      <c r="A228" s="6">
        <v>51002.0</v>
      </c>
      <c r="B228" s="7" t="s">
        <v>300</v>
      </c>
      <c r="C228" s="81">
        <v>0.0</v>
      </c>
      <c r="D228" s="8">
        <v>20.054773187762684</v>
      </c>
    </row>
    <row r="229" ht="15.75" customHeight="1">
      <c r="A229" s="6">
        <v>51003.0</v>
      </c>
      <c r="B229" s="7" t="s">
        <v>301</v>
      </c>
      <c r="C229" s="81">
        <v>0.0</v>
      </c>
      <c r="D229" s="8">
        <v>35.20406228643234</v>
      </c>
    </row>
    <row r="230" ht="15.75" customHeight="1">
      <c r="A230" s="6">
        <v>51101.0</v>
      </c>
      <c r="B230" s="7" t="s">
        <v>303</v>
      </c>
      <c r="C230" s="81">
        <v>24.626070118222582</v>
      </c>
      <c r="D230" s="8">
        <v>15.556939663570827</v>
      </c>
    </row>
    <row r="231" ht="15.75" customHeight="1">
      <c r="A231" s="6">
        <v>51102.0</v>
      </c>
      <c r="B231" s="7" t="s">
        <v>304</v>
      </c>
      <c r="C231" s="81">
        <v>30.091033623910334</v>
      </c>
      <c r="D231" s="8">
        <v>17.929464642498093</v>
      </c>
    </row>
    <row r="232" ht="15.75" customHeight="1">
      <c r="A232" s="6">
        <v>51103.0</v>
      </c>
      <c r="B232" s="7" t="s">
        <v>305</v>
      </c>
      <c r="C232" s="81">
        <v>51.084778012684986</v>
      </c>
      <c r="D232" s="8">
        <v>17.024628531162364</v>
      </c>
    </row>
    <row r="233" ht="15.75" customHeight="1">
      <c r="A233" s="6">
        <v>51201.0</v>
      </c>
      <c r="B233" s="7" t="s">
        <v>307</v>
      </c>
      <c r="C233" s="81">
        <v>25.431495855808443</v>
      </c>
      <c r="D233" s="8">
        <v>20.51410541619406</v>
      </c>
    </row>
    <row r="234" ht="15.75" customHeight="1">
      <c r="A234" s="6">
        <v>51202.0</v>
      </c>
      <c r="B234" s="7" t="s">
        <v>308</v>
      </c>
      <c r="C234" s="81">
        <v>25.394745139253804</v>
      </c>
      <c r="D234" s="8">
        <v>21.229347756243364</v>
      </c>
    </row>
    <row r="235" ht="15.75" customHeight="1">
      <c r="A235" s="6">
        <v>51203.0</v>
      </c>
      <c r="B235" s="7" t="s">
        <v>309</v>
      </c>
      <c r="C235" s="81">
        <v>13.815380217267009</v>
      </c>
      <c r="D235" s="8">
        <v>12.929622063329926</v>
      </c>
    </row>
    <row r="236" ht="15.75" customHeight="1">
      <c r="A236" s="6">
        <v>51204.0</v>
      </c>
      <c r="B236" s="82" t="s">
        <v>310</v>
      </c>
      <c r="C236" s="81">
        <v>50.69181818181818</v>
      </c>
      <c r="D236" s="8">
        <v>33.70085852489047</v>
      </c>
    </row>
    <row r="237" ht="15.75" customHeight="1">
      <c r="A237" s="6">
        <v>51301.0</v>
      </c>
      <c r="B237" s="7" t="s">
        <v>312</v>
      </c>
      <c r="C237" s="81">
        <v>59.908512396694206</v>
      </c>
      <c r="D237" s="8">
        <v>26.827657115208865</v>
      </c>
    </row>
    <row r="238" ht="15.75" customHeight="1">
      <c r="A238" s="6">
        <v>51302.0</v>
      </c>
      <c r="B238" s="7" t="s">
        <v>313</v>
      </c>
      <c r="C238" s="81">
        <v>51.08477801268498</v>
      </c>
      <c r="D238" s="8">
        <v>36.93105402123846</v>
      </c>
    </row>
    <row r="239" ht="15.75" customHeight="1">
      <c r="A239" s="6">
        <v>51401.0</v>
      </c>
      <c r="B239" s="7" t="s">
        <v>315</v>
      </c>
      <c r="C239" s="81">
        <v>26.788359201773833</v>
      </c>
      <c r="D239" s="8">
        <v>34.33940110746734</v>
      </c>
    </row>
    <row r="240" ht="15.75" customHeight="1">
      <c r="A240" s="6">
        <v>51402.0</v>
      </c>
      <c r="B240" s="7" t="s">
        <v>316</v>
      </c>
      <c r="C240" s="81">
        <v>0.0</v>
      </c>
      <c r="D240" s="8">
        <v>0.0</v>
      </c>
    </row>
    <row r="241" ht="15.75" customHeight="1">
      <c r="A241" s="6">
        <v>51501.0</v>
      </c>
      <c r="B241" s="7" t="s">
        <v>318</v>
      </c>
      <c r="C241" s="81">
        <v>6.717570197386711</v>
      </c>
      <c r="D241" s="8">
        <v>15.11811058275898</v>
      </c>
    </row>
    <row r="242" ht="15.75" customHeight="1">
      <c r="A242" s="6">
        <v>51601.0</v>
      </c>
      <c r="B242" s="7" t="s">
        <v>320</v>
      </c>
      <c r="C242" s="81">
        <v>0.0</v>
      </c>
      <c r="D242" s="8">
        <v>19.114705694586313</v>
      </c>
    </row>
    <row r="243" ht="15.75" customHeight="1">
      <c r="A243" s="6">
        <v>60101.0</v>
      </c>
      <c r="B243" s="7" t="s">
        <v>25</v>
      </c>
      <c r="C243" s="81">
        <v>22.240937660392596</v>
      </c>
      <c r="D243" s="8">
        <v>17.884052036341032</v>
      </c>
    </row>
    <row r="244" ht="15.75" customHeight="1">
      <c r="A244" s="6">
        <v>60201.0</v>
      </c>
      <c r="B244" s="7" t="s">
        <v>322</v>
      </c>
      <c r="C244" s="81">
        <v>35.92146321509962</v>
      </c>
      <c r="D244" s="8">
        <v>19.696943569007555</v>
      </c>
    </row>
    <row r="245" ht="15.75" customHeight="1">
      <c r="A245" s="6">
        <v>60202.0</v>
      </c>
      <c r="B245" s="7" t="s">
        <v>323</v>
      </c>
      <c r="C245" s="81">
        <v>50.41338399715699</v>
      </c>
      <c r="D245" s="8">
        <v>14.60973060230761</v>
      </c>
    </row>
    <row r="246" ht="15.75" customHeight="1">
      <c r="A246" s="6">
        <v>60301.0</v>
      </c>
      <c r="B246" s="7" t="s">
        <v>324</v>
      </c>
      <c r="C246" s="81">
        <v>45.041171238408765</v>
      </c>
      <c r="D246" s="8">
        <v>32.30290306181177</v>
      </c>
    </row>
    <row r="247" ht="15.75" customHeight="1">
      <c r="A247" s="6">
        <v>60302.0</v>
      </c>
      <c r="B247" s="7" t="s">
        <v>325</v>
      </c>
      <c r="C247" s="81">
        <v>13.835475231257456</v>
      </c>
      <c r="D247" s="8">
        <v>21.482017287862366</v>
      </c>
    </row>
    <row r="248" ht="15.75" customHeight="1">
      <c r="A248" s="6">
        <v>60303.0</v>
      </c>
      <c r="B248" s="7" t="s">
        <v>326</v>
      </c>
      <c r="C248" s="81">
        <v>53.15076231374469</v>
      </c>
      <c r="D248" s="8">
        <v>18.48605701285719</v>
      </c>
    </row>
    <row r="249" ht="15.75" customHeight="1">
      <c r="A249" s="6">
        <v>60401.0</v>
      </c>
      <c r="B249" s="7" t="s">
        <v>328</v>
      </c>
      <c r="C249" s="81">
        <v>13.64264630817373</v>
      </c>
      <c r="D249" s="8">
        <v>17.095203443364092</v>
      </c>
    </row>
    <row r="250" ht="15.75" customHeight="1">
      <c r="A250" s="6">
        <v>60402.0</v>
      </c>
      <c r="B250" s="7" t="s">
        <v>329</v>
      </c>
      <c r="C250" s="81">
        <v>66.93058958027112</v>
      </c>
      <c r="D250" s="8">
        <v>21.19585352977876</v>
      </c>
    </row>
    <row r="251" ht="15.75" customHeight="1">
      <c r="A251" s="6">
        <v>60501.0</v>
      </c>
      <c r="B251" s="7" t="s">
        <v>331</v>
      </c>
      <c r="C251" s="81">
        <v>37.83033324102281</v>
      </c>
      <c r="D251" s="8">
        <v>15.145113033339905</v>
      </c>
    </row>
    <row r="252" ht="15.75" customHeight="1">
      <c r="A252" s="6">
        <v>60502.0</v>
      </c>
      <c r="B252" s="7" t="s">
        <v>332</v>
      </c>
      <c r="C252" s="81">
        <v>34.95928116469518</v>
      </c>
      <c r="D252" s="8">
        <v>29.37571500784846</v>
      </c>
    </row>
    <row r="253" ht="15.75" customHeight="1">
      <c r="A253" s="6">
        <v>60601.0</v>
      </c>
      <c r="B253" s="7" t="s">
        <v>206</v>
      </c>
      <c r="C253" s="81">
        <v>13.819198201573622</v>
      </c>
      <c r="D253" s="8">
        <v>22.888577943615257</v>
      </c>
    </row>
    <row r="254" ht="15.75" customHeight="1">
      <c r="A254" s="6">
        <v>70101.0</v>
      </c>
      <c r="B254" s="7" t="s">
        <v>335</v>
      </c>
      <c r="C254" s="81">
        <v>19.669631188129305</v>
      </c>
      <c r="D254" s="8">
        <v>4.601626034939209</v>
      </c>
    </row>
    <row r="255" ht="15.75" customHeight="1">
      <c r="A255" s="6">
        <v>70102.0</v>
      </c>
      <c r="B255" s="7" t="s">
        <v>336</v>
      </c>
      <c r="C255" s="81">
        <v>37.026682927157935</v>
      </c>
      <c r="D255" s="8">
        <v>5.5011238546021</v>
      </c>
    </row>
    <row r="256" ht="15.75" customHeight="1">
      <c r="A256" s="6">
        <v>70103.0</v>
      </c>
      <c r="B256" s="7" t="s">
        <v>337</v>
      </c>
      <c r="C256" s="81">
        <v>8.474261658031088</v>
      </c>
      <c r="D256" s="8">
        <v>5.0017144510897635</v>
      </c>
    </row>
    <row r="257" ht="15.75" customHeight="1">
      <c r="A257" s="6">
        <v>70104.0</v>
      </c>
      <c r="B257" s="7" t="s">
        <v>338</v>
      </c>
      <c r="C257" s="81">
        <v>11.588733891324566</v>
      </c>
      <c r="D257" s="8">
        <v>4.477674990199041</v>
      </c>
    </row>
    <row r="258" ht="15.75" customHeight="1">
      <c r="A258" s="6">
        <v>70105.0</v>
      </c>
      <c r="B258" s="7" t="s">
        <v>339</v>
      </c>
      <c r="C258" s="81">
        <v>18.224218619421695</v>
      </c>
      <c r="D258" s="8">
        <v>5.906043591533905</v>
      </c>
    </row>
    <row r="259" ht="15.75" customHeight="1">
      <c r="A259" s="6">
        <v>70201.0</v>
      </c>
      <c r="B259" s="7" t="s">
        <v>340</v>
      </c>
      <c r="C259" s="81">
        <v>12.772059770958684</v>
      </c>
      <c r="D259" s="8">
        <v>6.185448053675653</v>
      </c>
    </row>
    <row r="260" ht="15.75" customHeight="1">
      <c r="A260" s="6">
        <v>70202.0</v>
      </c>
      <c r="B260" s="7" t="s">
        <v>341</v>
      </c>
      <c r="C260" s="81">
        <v>22.448375253062487</v>
      </c>
      <c r="D260" s="8">
        <v>7.358168191426791</v>
      </c>
    </row>
    <row r="261" ht="15.75" customHeight="1">
      <c r="A261" s="6">
        <v>70301.0</v>
      </c>
      <c r="B261" s="7" t="s">
        <v>343</v>
      </c>
      <c r="C261" s="81">
        <v>25.221663946930246</v>
      </c>
      <c r="D261" s="8">
        <v>8.931983355720176</v>
      </c>
    </row>
    <row r="262" ht="15.75" customHeight="1">
      <c r="A262" s="6">
        <v>70302.0</v>
      </c>
      <c r="B262" s="7" t="s">
        <v>344</v>
      </c>
      <c r="C262" s="81">
        <v>52.70212197220747</v>
      </c>
      <c r="D262" s="8">
        <v>16.416659809530408</v>
      </c>
    </row>
    <row r="263" ht="15.75" customHeight="1">
      <c r="A263" s="6">
        <v>70303.0</v>
      </c>
      <c r="B263" s="7" t="s">
        <v>345</v>
      </c>
      <c r="C263" s="81">
        <v>47.079231433506045</v>
      </c>
      <c r="D263" s="8">
        <v>10.564227189119894</v>
      </c>
    </row>
    <row r="264" ht="15.75" customHeight="1">
      <c r="A264" s="6">
        <v>70401.0</v>
      </c>
      <c r="B264" s="7" t="s">
        <v>347</v>
      </c>
      <c r="C264" s="81">
        <v>17.16306158588575</v>
      </c>
      <c r="D264" s="8">
        <v>1.6589079097832808</v>
      </c>
    </row>
    <row r="265" ht="15.75" customHeight="1">
      <c r="A265" s="6">
        <v>70402.0</v>
      </c>
      <c r="B265" s="7" t="s">
        <v>348</v>
      </c>
      <c r="C265" s="81">
        <v>18.646705416492768</v>
      </c>
      <c r="D265" s="8">
        <v>6.510168015704135</v>
      </c>
    </row>
    <row r="266" ht="15.75" customHeight="1">
      <c r="A266" s="6">
        <v>70403.0</v>
      </c>
      <c r="B266" s="7" t="s">
        <v>349</v>
      </c>
      <c r="C266" s="81">
        <v>31.246660269941795</v>
      </c>
      <c r="D266" s="8">
        <v>6.23091147883747</v>
      </c>
    </row>
    <row r="267" ht="15.75" customHeight="1">
      <c r="A267" s="6">
        <v>70404.0</v>
      </c>
      <c r="B267" s="7" t="s">
        <v>350</v>
      </c>
      <c r="C267" s="81">
        <v>29.096177366630346</v>
      </c>
      <c r="D267" s="8">
        <v>3.407815222296739</v>
      </c>
    </row>
    <row r="268" ht="15.75" customHeight="1">
      <c r="A268" s="6">
        <v>70501.0</v>
      </c>
      <c r="B268" s="7" t="s">
        <v>352</v>
      </c>
      <c r="C268" s="81">
        <v>16.24891716053897</v>
      </c>
      <c r="D268" s="8">
        <v>9.894125081338341</v>
      </c>
    </row>
    <row r="269" ht="15.75" customHeight="1">
      <c r="A269" s="6">
        <v>70502.0</v>
      </c>
      <c r="B269" s="7" t="s">
        <v>353</v>
      </c>
      <c r="C269" s="81">
        <v>27.563910136480597</v>
      </c>
      <c r="D269" s="8">
        <v>11.771152500719653</v>
      </c>
    </row>
    <row r="270" ht="15.75" customHeight="1">
      <c r="A270" s="6">
        <v>70503.0</v>
      </c>
      <c r="B270" s="7" t="s">
        <v>354</v>
      </c>
      <c r="C270" s="81">
        <v>16.535144698597247</v>
      </c>
      <c r="D270" s="8">
        <v>4.950223602995477</v>
      </c>
    </row>
    <row r="271" ht="15.75" customHeight="1">
      <c r="A271" s="6">
        <v>70601.0</v>
      </c>
      <c r="B271" s="7" t="s">
        <v>356</v>
      </c>
      <c r="C271" s="81">
        <v>6.2054089944392405</v>
      </c>
      <c r="D271" s="8">
        <v>3.779073140823376</v>
      </c>
    </row>
    <row r="272" ht="15.75" customHeight="1">
      <c r="A272" s="6">
        <v>70602.0</v>
      </c>
      <c r="B272" s="7" t="s">
        <v>357</v>
      </c>
      <c r="C272" s="81">
        <v>19.05858043573257</v>
      </c>
      <c r="D272" s="8">
        <v>8.16806968393698</v>
      </c>
    </row>
    <row r="273" ht="15.75" customHeight="1">
      <c r="A273" s="6">
        <v>70603.0</v>
      </c>
      <c r="B273" s="7" t="s">
        <v>358</v>
      </c>
      <c r="C273" s="81">
        <v>18.078424870466318</v>
      </c>
      <c r="D273" s="8">
        <v>5.417552404676868</v>
      </c>
    </row>
    <row r="274" ht="15.75" customHeight="1">
      <c r="A274" s="6">
        <v>70701.0</v>
      </c>
      <c r="B274" s="7" t="s">
        <v>360</v>
      </c>
      <c r="C274" s="81">
        <v>21.02142426798409</v>
      </c>
      <c r="D274" s="8">
        <v>8.987354917271372</v>
      </c>
    </row>
    <row r="275" ht="15.75" customHeight="1">
      <c r="A275" s="6">
        <v>70702.0</v>
      </c>
      <c r="B275" s="7" t="s">
        <v>361</v>
      </c>
      <c r="C275" s="81">
        <v>39.52122028857548</v>
      </c>
      <c r="D275" s="8">
        <v>17.5323336660547</v>
      </c>
    </row>
    <row r="276" ht="15.75" customHeight="1">
      <c r="A276" s="6">
        <v>70703.0</v>
      </c>
      <c r="B276" s="7" t="s">
        <v>362</v>
      </c>
      <c r="C276" s="81">
        <v>18.186194914403526</v>
      </c>
      <c r="D276" s="8">
        <v>6.90864202071886</v>
      </c>
    </row>
    <row r="277" ht="15.75" customHeight="1">
      <c r="A277" s="6">
        <v>70704.0</v>
      </c>
      <c r="B277" s="7" t="s">
        <v>363</v>
      </c>
      <c r="C277" s="81">
        <v>0.0</v>
      </c>
      <c r="D277" s="8">
        <v>5.593573962951567</v>
      </c>
    </row>
    <row r="278" ht="15.75" customHeight="1">
      <c r="A278" s="6">
        <v>70705.0</v>
      </c>
      <c r="B278" s="7" t="s">
        <v>364</v>
      </c>
      <c r="C278" s="81">
        <v>64.18375693656682</v>
      </c>
      <c r="D278" s="8">
        <v>16.112936644525625</v>
      </c>
    </row>
    <row r="279" ht="15.75" customHeight="1">
      <c r="A279" s="6">
        <v>70706.0</v>
      </c>
      <c r="B279" s="7" t="s">
        <v>365</v>
      </c>
      <c r="C279" s="81">
        <v>14.208342899692845</v>
      </c>
      <c r="D279" s="8">
        <v>5.61674775461579</v>
      </c>
    </row>
    <row r="280" ht="15.75" customHeight="1">
      <c r="A280" s="6">
        <v>70707.0</v>
      </c>
      <c r="B280" s="7" t="s">
        <v>366</v>
      </c>
      <c r="C280" s="81">
        <v>0.0</v>
      </c>
      <c r="D280" s="8">
        <v>3.912676736711071</v>
      </c>
    </row>
    <row r="281" ht="15.75" customHeight="1">
      <c r="A281" s="6">
        <v>70801.0</v>
      </c>
      <c r="B281" s="7" t="s">
        <v>367</v>
      </c>
      <c r="C281" s="81">
        <v>12.554461715601612</v>
      </c>
      <c r="D281" s="8">
        <v>4.801921449599951</v>
      </c>
    </row>
    <row r="282" ht="15.75" customHeight="1">
      <c r="A282" s="6">
        <v>70802.0</v>
      </c>
      <c r="B282" s="7" t="s">
        <v>368</v>
      </c>
      <c r="C282" s="81">
        <v>0.0</v>
      </c>
      <c r="D282" s="8">
        <v>13.834107033371287</v>
      </c>
    </row>
    <row r="283" ht="15.75" customHeight="1">
      <c r="A283" s="6">
        <v>70803.0</v>
      </c>
      <c r="B283" s="7" t="s">
        <v>369</v>
      </c>
      <c r="C283" s="81">
        <v>0.0</v>
      </c>
      <c r="D283" s="8">
        <v>0.0</v>
      </c>
    </row>
    <row r="284" ht="15.75" customHeight="1">
      <c r="A284" s="6">
        <v>70804.0</v>
      </c>
      <c r="B284" s="7" t="s">
        <v>370</v>
      </c>
      <c r="C284" s="81">
        <v>0.0</v>
      </c>
      <c r="D284" s="8">
        <v>0.0</v>
      </c>
    </row>
    <row r="285" ht="15.75" customHeight="1">
      <c r="A285" s="6">
        <v>70805.0</v>
      </c>
      <c r="B285" s="7" t="s">
        <v>371</v>
      </c>
      <c r="C285" s="81">
        <v>0.0</v>
      </c>
      <c r="D285" s="8">
        <v>6.67853442990338</v>
      </c>
    </row>
    <row r="286" ht="15.75" customHeight="1">
      <c r="A286" s="6">
        <v>70901.0</v>
      </c>
      <c r="B286" s="7" t="s">
        <v>373</v>
      </c>
      <c r="C286" s="81">
        <v>0.0</v>
      </c>
      <c r="D286" s="8">
        <v>7.63798585504443</v>
      </c>
    </row>
    <row r="287" ht="15.75" customHeight="1">
      <c r="A287" s="6">
        <v>70902.0</v>
      </c>
      <c r="B287" s="7" t="s">
        <v>374</v>
      </c>
      <c r="C287" s="81">
        <v>18.57372418198595</v>
      </c>
      <c r="D287" s="8">
        <v>5.192426232364558</v>
      </c>
    </row>
    <row r="288" ht="15.75" customHeight="1">
      <c r="A288" s="6">
        <v>70903.0</v>
      </c>
      <c r="B288" s="7" t="s">
        <v>375</v>
      </c>
      <c r="C288" s="81">
        <v>26.585918927156357</v>
      </c>
      <c r="D288" s="8">
        <v>5.003509110024492</v>
      </c>
    </row>
    <row r="289" ht="15.75" customHeight="1">
      <c r="A289" s="6">
        <v>70904.0</v>
      </c>
      <c r="B289" s="7" t="s">
        <v>376</v>
      </c>
      <c r="C289" s="81">
        <v>28.84855032521221</v>
      </c>
      <c r="D289" s="8">
        <v>0.0</v>
      </c>
    </row>
    <row r="290" ht="15.75" customHeight="1">
      <c r="A290" s="6">
        <v>71001.0</v>
      </c>
      <c r="B290" s="7" t="s">
        <v>378</v>
      </c>
      <c r="C290" s="81">
        <v>20.005634308889327</v>
      </c>
      <c r="D290" s="8">
        <v>4.678200446067585</v>
      </c>
    </row>
    <row r="291" ht="15.75" customHeight="1">
      <c r="A291" s="6">
        <v>71002.0</v>
      </c>
      <c r="B291" s="7" t="s">
        <v>379</v>
      </c>
      <c r="C291" s="81">
        <v>11.144234509191568</v>
      </c>
      <c r="D291" s="8">
        <v>8.453577485707786</v>
      </c>
    </row>
    <row r="292" ht="15.75" customHeight="1">
      <c r="A292" s="6">
        <v>71003.0</v>
      </c>
      <c r="B292" s="7" t="s">
        <v>380</v>
      </c>
      <c r="C292" s="81">
        <v>25.54251551557251</v>
      </c>
      <c r="D292" s="8">
        <v>8.513296635920792</v>
      </c>
    </row>
    <row r="293" ht="15.75" customHeight="1">
      <c r="A293" s="6">
        <v>71004.0</v>
      </c>
      <c r="B293" s="7" t="s">
        <v>381</v>
      </c>
      <c r="C293" s="81">
        <v>39.7619315332837</v>
      </c>
      <c r="D293" s="8">
        <v>8.599202757373071</v>
      </c>
    </row>
    <row r="294" ht="15.75" customHeight="1">
      <c r="A294" s="6">
        <v>71005.0</v>
      </c>
      <c r="B294" s="7" t="s">
        <v>382</v>
      </c>
      <c r="C294" s="81">
        <v>22.598031088082905</v>
      </c>
      <c r="D294" s="8">
        <v>6.330623034678587</v>
      </c>
    </row>
    <row r="295" ht="15.75" customHeight="1">
      <c r="A295" s="6">
        <v>71101.0</v>
      </c>
      <c r="B295" s="7" t="s">
        <v>384</v>
      </c>
      <c r="C295" s="81">
        <v>25.391046166385284</v>
      </c>
      <c r="D295" s="8">
        <v>10.551147254506866</v>
      </c>
    </row>
    <row r="296" ht="15.75" customHeight="1">
      <c r="A296" s="6">
        <v>71102.0</v>
      </c>
      <c r="B296" s="7" t="s">
        <v>385</v>
      </c>
      <c r="C296" s="81">
        <v>57.615376711826094</v>
      </c>
      <c r="D296" s="8">
        <v>11.685953767319846</v>
      </c>
    </row>
    <row r="297" ht="15.75" customHeight="1">
      <c r="A297" s="6">
        <v>71103.0</v>
      </c>
      <c r="B297" s="7" t="s">
        <v>386</v>
      </c>
      <c r="C297" s="81">
        <v>19.06533640185654</v>
      </c>
      <c r="D297" s="8">
        <v>44.0311363642785</v>
      </c>
    </row>
    <row r="298" ht="15.75" customHeight="1">
      <c r="A298" s="6">
        <v>71104.0</v>
      </c>
      <c r="B298" s="7" t="s">
        <v>387</v>
      </c>
      <c r="C298" s="81">
        <v>69.98099949857931</v>
      </c>
      <c r="D298" s="8">
        <v>1.5664269084579854</v>
      </c>
    </row>
    <row r="299" ht="15.75" customHeight="1">
      <c r="A299" s="6">
        <v>71105.0</v>
      </c>
      <c r="B299" s="7" t="s">
        <v>388</v>
      </c>
      <c r="C299" s="81">
        <v>25.108923431203223</v>
      </c>
      <c r="D299" s="8">
        <v>7.640138006595584</v>
      </c>
    </row>
    <row r="300" ht="15.75" customHeight="1">
      <c r="A300" s="6">
        <v>71106.0</v>
      </c>
      <c r="B300" s="7" t="s">
        <v>389</v>
      </c>
      <c r="C300" s="81">
        <v>28.00444472189275</v>
      </c>
      <c r="D300" s="8">
        <v>9.136628920319906</v>
      </c>
    </row>
    <row r="301" ht="15.75" customHeight="1">
      <c r="A301" s="6">
        <v>71201.0</v>
      </c>
      <c r="B301" s="7" t="s">
        <v>391</v>
      </c>
      <c r="C301" s="81">
        <v>26.66059847470455</v>
      </c>
      <c r="D301" s="8">
        <v>4.297123579303919</v>
      </c>
    </row>
    <row r="302" ht="15.75" customHeight="1">
      <c r="A302" s="6">
        <v>71301.0</v>
      </c>
      <c r="B302" s="7" t="s">
        <v>393</v>
      </c>
      <c r="C302" s="81">
        <v>9.079566062176166</v>
      </c>
      <c r="D302" s="8">
        <v>10.724812618704778</v>
      </c>
    </row>
    <row r="303" ht="15.75" customHeight="1">
      <c r="A303" s="6">
        <v>71302.0</v>
      </c>
      <c r="B303" s="7" t="s">
        <v>394</v>
      </c>
      <c r="C303" s="81">
        <v>7.747896373056995</v>
      </c>
      <c r="D303" s="8">
        <v>3.6117016031179117</v>
      </c>
    </row>
    <row r="304" ht="15.75" customHeight="1">
      <c r="A304" s="6">
        <v>71401.0</v>
      </c>
      <c r="B304" s="7" t="s">
        <v>396</v>
      </c>
      <c r="C304" s="81">
        <v>24.78113069711441</v>
      </c>
      <c r="D304" s="8">
        <v>7.775374026055395</v>
      </c>
    </row>
    <row r="305" ht="15.75" customHeight="1">
      <c r="A305" s="6">
        <v>71402.0</v>
      </c>
      <c r="B305" s="7" t="s">
        <v>397</v>
      </c>
      <c r="C305" s="81">
        <v>31.978345879362603</v>
      </c>
      <c r="D305" s="8">
        <v>5.738592547176238</v>
      </c>
    </row>
    <row r="306" ht="15.75" customHeight="1">
      <c r="A306" s="6">
        <v>71403.0</v>
      </c>
      <c r="B306" s="7" t="s">
        <v>398</v>
      </c>
      <c r="C306" s="81">
        <v>10.350243246450182</v>
      </c>
      <c r="D306" s="8">
        <v>14.435589947865692</v>
      </c>
    </row>
    <row r="307" ht="15.75" customHeight="1">
      <c r="A307" s="6">
        <v>71501.0</v>
      </c>
      <c r="B307" s="7" t="s">
        <v>400</v>
      </c>
      <c r="C307" s="81">
        <v>18.701818831516885</v>
      </c>
      <c r="D307" s="8">
        <v>8.266722495551136</v>
      </c>
    </row>
    <row r="308" ht="15.75" customHeight="1">
      <c r="A308" s="6">
        <v>71502.0</v>
      </c>
      <c r="B308" s="7" t="s">
        <v>401</v>
      </c>
      <c r="C308" s="81">
        <v>22.473180087596255</v>
      </c>
      <c r="D308" s="8">
        <v>15.875204792393278</v>
      </c>
    </row>
    <row r="309" ht="15.75" customHeight="1">
      <c r="A309" s="6">
        <v>71503.0</v>
      </c>
      <c r="B309" s="7" t="s">
        <v>332</v>
      </c>
      <c r="C309" s="81">
        <v>33.728404609078964</v>
      </c>
      <c r="D309" s="8">
        <v>6.638474668969941</v>
      </c>
    </row>
    <row r="310" ht="15.75" customHeight="1">
      <c r="A310" s="6">
        <v>80101.0</v>
      </c>
      <c r="B310" s="7" t="s">
        <v>402</v>
      </c>
      <c r="C310" s="81">
        <v>26.90709552287054</v>
      </c>
      <c r="D310" s="8">
        <v>8.066792694499755</v>
      </c>
    </row>
    <row r="311" ht="15.75" customHeight="1">
      <c r="A311" s="6">
        <v>80102.0</v>
      </c>
      <c r="B311" s="7" t="s">
        <v>385</v>
      </c>
      <c r="C311" s="81">
        <v>44.55530129672007</v>
      </c>
      <c r="D311" s="8">
        <v>17.199817251461987</v>
      </c>
    </row>
    <row r="312" ht="15.75" customHeight="1">
      <c r="A312" s="6">
        <v>80201.0</v>
      </c>
      <c r="B312" s="7" t="s">
        <v>404</v>
      </c>
      <c r="C312" s="81">
        <v>34.56484755240617</v>
      </c>
      <c r="D312" s="8">
        <v>12.473149915182356</v>
      </c>
    </row>
    <row r="313" ht="15.75" customHeight="1">
      <c r="A313" s="6">
        <v>80202.0</v>
      </c>
      <c r="B313" s="7" t="s">
        <v>405</v>
      </c>
      <c r="C313" s="81">
        <v>29.555386895081142</v>
      </c>
      <c r="D313" s="8">
        <v>10.371001025788976</v>
      </c>
    </row>
    <row r="314" ht="15.75" customHeight="1">
      <c r="A314" s="6">
        <v>80301.0</v>
      </c>
      <c r="B314" s="7" t="s">
        <v>407</v>
      </c>
      <c r="C314" s="81">
        <v>46.88588628762543</v>
      </c>
      <c r="D314" s="8">
        <v>22.934877963194012</v>
      </c>
    </row>
    <row r="315" ht="15.75" customHeight="1">
      <c r="A315" s="6">
        <v>80302.0</v>
      </c>
      <c r="B315" s="7" t="s">
        <v>408</v>
      </c>
      <c r="C315" s="81">
        <v>74.49646376811593</v>
      </c>
      <c r="D315" s="8">
        <v>19.785096570548895</v>
      </c>
    </row>
    <row r="316" ht="15.75" customHeight="1">
      <c r="A316" s="6">
        <v>80303.0</v>
      </c>
      <c r="B316" s="7" t="s">
        <v>409</v>
      </c>
      <c r="C316" s="81">
        <v>23.087747035573123</v>
      </c>
      <c r="D316" s="8">
        <v>15.754291874230002</v>
      </c>
    </row>
    <row r="317" ht="15.75" customHeight="1">
      <c r="A317" s="6">
        <v>80304.0</v>
      </c>
      <c r="B317" s="7" t="s">
        <v>410</v>
      </c>
      <c r="C317" s="81">
        <v>32.205734089477005</v>
      </c>
      <c r="D317" s="8">
        <v>15.095819076133447</v>
      </c>
    </row>
    <row r="318" ht="15.75" customHeight="1">
      <c r="A318" s="6">
        <v>80401.0</v>
      </c>
      <c r="B318" s="7" t="s">
        <v>412</v>
      </c>
      <c r="C318" s="81">
        <v>35.11039871769185</v>
      </c>
      <c r="D318" s="8">
        <v>6.953117612293144</v>
      </c>
    </row>
    <row r="319" ht="15.75" customHeight="1">
      <c r="A319" s="6">
        <v>80402.0</v>
      </c>
      <c r="B319" s="7" t="s">
        <v>413</v>
      </c>
      <c r="C319" s="81">
        <v>6.938940365882632</v>
      </c>
      <c r="D319" s="8">
        <v>5.492378618113912</v>
      </c>
    </row>
    <row r="320" ht="15.75" customHeight="1">
      <c r="A320" s="6">
        <v>80501.0</v>
      </c>
      <c r="B320" s="7" t="s">
        <v>415</v>
      </c>
      <c r="C320" s="81">
        <v>26.733180778032043</v>
      </c>
      <c r="D320" s="8">
        <v>16.53270798201237</v>
      </c>
    </row>
    <row r="321" ht="15.75" customHeight="1">
      <c r="A321" s="6">
        <v>80601.0</v>
      </c>
      <c r="B321" s="7" t="s">
        <v>417</v>
      </c>
      <c r="C321" s="81">
        <v>29.761548913043484</v>
      </c>
      <c r="D321" s="8">
        <v>20.59641981792717</v>
      </c>
    </row>
    <row r="322" ht="15.75" customHeight="1">
      <c r="A322" s="6">
        <v>80602.0</v>
      </c>
      <c r="B322" s="7" t="s">
        <v>418</v>
      </c>
      <c r="C322" s="81">
        <v>21.40156326331217</v>
      </c>
      <c r="D322" s="8">
        <v>21.392148526077097</v>
      </c>
    </row>
    <row r="323" ht="15.75" customHeight="1">
      <c r="A323" s="6">
        <v>80701.0</v>
      </c>
      <c r="B323" s="7" t="s">
        <v>420</v>
      </c>
      <c r="C323" s="81">
        <v>44.29625884732053</v>
      </c>
      <c r="D323" s="8">
        <v>12.477118464312229</v>
      </c>
    </row>
    <row r="324" ht="15.75" customHeight="1">
      <c r="A324" s="6">
        <v>80702.0</v>
      </c>
      <c r="B324" s="7" t="s">
        <v>386</v>
      </c>
      <c r="C324" s="81">
        <v>31.22523164647185</v>
      </c>
      <c r="D324" s="8">
        <v>10.913427643784788</v>
      </c>
    </row>
    <row r="325" ht="15.75" customHeight="1">
      <c r="A325" s="6">
        <v>80703.0</v>
      </c>
      <c r="B325" s="7" t="s">
        <v>421</v>
      </c>
      <c r="C325" s="81">
        <v>81.9242636746143</v>
      </c>
      <c r="D325" s="8">
        <v>0.0</v>
      </c>
    </row>
    <row r="326" ht="15.75" customHeight="1">
      <c r="A326" s="6">
        <v>80801.0</v>
      </c>
      <c r="B326" s="7" t="s">
        <v>423</v>
      </c>
      <c r="C326" s="81">
        <v>4.246909989821143</v>
      </c>
      <c r="D326" s="8">
        <v>10.73811153705732</v>
      </c>
    </row>
    <row r="327" ht="15.75" customHeight="1">
      <c r="A327" s="6">
        <v>80802.0</v>
      </c>
      <c r="B327" s="7" t="s">
        <v>424</v>
      </c>
      <c r="C327" s="81">
        <v>16.279821627647713</v>
      </c>
      <c r="D327" s="8">
        <v>21.359250181554103</v>
      </c>
    </row>
    <row r="328" ht="15.75" customHeight="1">
      <c r="A328" s="6">
        <v>80803.0</v>
      </c>
      <c r="B328" s="7" t="s">
        <v>425</v>
      </c>
      <c r="C328" s="81">
        <v>21.70642883686362</v>
      </c>
      <c r="D328" s="8">
        <v>4.257010783036619</v>
      </c>
    </row>
    <row r="329" ht="15.75" customHeight="1">
      <c r="A329" s="6">
        <v>80901.0</v>
      </c>
      <c r="B329" s="82" t="s">
        <v>426</v>
      </c>
      <c r="C329" s="81">
        <v>30.971367974549313</v>
      </c>
      <c r="D329" s="8">
        <v>38.904348544973544</v>
      </c>
    </row>
    <row r="330" ht="15.75" customHeight="1">
      <c r="A330" s="6">
        <v>90101.0</v>
      </c>
      <c r="B330" s="7" t="s">
        <v>428</v>
      </c>
      <c r="C330" s="81">
        <v>50.48553830992855</v>
      </c>
      <c r="D330" s="8">
        <v>11.911916064321469</v>
      </c>
    </row>
    <row r="331" ht="15.75" customHeight="1">
      <c r="A331" s="6">
        <v>90102.0</v>
      </c>
      <c r="B331" s="7" t="s">
        <v>429</v>
      </c>
      <c r="C331" s="81">
        <v>0.0</v>
      </c>
      <c r="D331" s="8">
        <v>2.143549295774648</v>
      </c>
    </row>
    <row r="332" ht="15.75" customHeight="1">
      <c r="A332" s="6">
        <v>90103.0</v>
      </c>
      <c r="B332" s="7" t="s">
        <v>430</v>
      </c>
      <c r="C332" s="81">
        <v>0.0</v>
      </c>
      <c r="D332" s="8">
        <v>0.0</v>
      </c>
    </row>
    <row r="333" ht="15.75" customHeight="1">
      <c r="A333" s="6">
        <v>90104.0</v>
      </c>
      <c r="B333" s="7" t="s">
        <v>431</v>
      </c>
      <c r="C333" s="81">
        <v>0.0</v>
      </c>
      <c r="D333" s="8">
        <v>5.093985969046217</v>
      </c>
    </row>
    <row r="334" ht="15.75" customHeight="1">
      <c r="A334" s="6">
        <v>90201.0</v>
      </c>
      <c r="B334" s="7" t="s">
        <v>433</v>
      </c>
      <c r="C334" s="81">
        <v>0.0</v>
      </c>
      <c r="D334" s="8">
        <v>8.872306687808974</v>
      </c>
    </row>
    <row r="335" ht="15.75" customHeight="1">
      <c r="A335" s="6">
        <v>90202.0</v>
      </c>
      <c r="B335" s="7" t="s">
        <v>382</v>
      </c>
      <c r="C335" s="81">
        <v>0.0</v>
      </c>
      <c r="D335" s="8">
        <v>0.0</v>
      </c>
    </row>
    <row r="336" ht="15.75" customHeight="1">
      <c r="A336" s="6">
        <v>90203.0</v>
      </c>
      <c r="B336" s="7" t="s">
        <v>434</v>
      </c>
      <c r="C336" s="81">
        <v>0.0</v>
      </c>
      <c r="D336" s="8">
        <v>6.231247952833279</v>
      </c>
    </row>
    <row r="337" ht="15.75" customHeight="1">
      <c r="A337" s="6">
        <v>90301.0</v>
      </c>
      <c r="B337" s="7" t="s">
        <v>436</v>
      </c>
      <c r="C337" s="81">
        <v>44.762079510703366</v>
      </c>
      <c r="D337" s="8">
        <v>11.926275755422745</v>
      </c>
    </row>
    <row r="338" ht="15.75" customHeight="1">
      <c r="A338" s="6">
        <v>90302.0</v>
      </c>
      <c r="B338" s="7" t="s">
        <v>437</v>
      </c>
      <c r="C338" s="81">
        <v>0.0</v>
      </c>
      <c r="D338" s="8">
        <v>3.400300278830343</v>
      </c>
    </row>
    <row r="339" ht="15.75" customHeight="1">
      <c r="A339" s="6">
        <v>90303.0</v>
      </c>
      <c r="B339" s="7" t="s">
        <v>438</v>
      </c>
      <c r="C339" s="81">
        <v>62.552136752136754</v>
      </c>
      <c r="D339" s="8">
        <v>15.677554689841175</v>
      </c>
    </row>
    <row r="340" ht="15.75" customHeight="1">
      <c r="A340" s="6">
        <v>90401.0</v>
      </c>
      <c r="B340" s="7" t="s">
        <v>440</v>
      </c>
      <c r="C340" s="81">
        <v>0.0</v>
      </c>
      <c r="D340" s="8">
        <v>5.824862216778935</v>
      </c>
    </row>
    <row r="341" ht="15.75" customHeight="1">
      <c r="A341" s="6">
        <v>90402.0</v>
      </c>
      <c r="B341" s="7" t="s">
        <v>103</v>
      </c>
      <c r="C341" s="81">
        <v>191.3359477124183</v>
      </c>
      <c r="D341" s="8">
        <v>12.698751752219477</v>
      </c>
    </row>
    <row r="342" ht="15.75" customHeight="1">
      <c r="A342" s="6">
        <v>90501.0</v>
      </c>
      <c r="B342" s="7" t="s">
        <v>442</v>
      </c>
      <c r="C342" s="81">
        <v>342.3906432748538</v>
      </c>
      <c r="D342" s="8">
        <v>10.632684998882183</v>
      </c>
    </row>
    <row r="343" ht="15.75" customHeight="1">
      <c r="A343" s="6">
        <v>90502.0</v>
      </c>
      <c r="B343" s="7" t="s">
        <v>443</v>
      </c>
      <c r="C343" s="81">
        <v>212.13333333333333</v>
      </c>
      <c r="D343" s="8">
        <v>18.781097801763856</v>
      </c>
    </row>
    <row r="344" ht="15.75" customHeight="1">
      <c r="A344" s="6">
        <v>90503.0</v>
      </c>
      <c r="B344" s="7" t="s">
        <v>444</v>
      </c>
      <c r="C344" s="81">
        <v>0.0</v>
      </c>
      <c r="D344" s="8">
        <v>29.937839326461567</v>
      </c>
    </row>
    <row r="345" ht="15.75" customHeight="1">
      <c r="A345" s="29"/>
      <c r="B345" s="30"/>
      <c r="C345" s="40"/>
      <c r="D345" s="38"/>
    </row>
    <row r="346" ht="15.75" customHeight="1">
      <c r="A346" s="29"/>
      <c r="B346" s="30"/>
      <c r="C346" s="40"/>
      <c r="D346" s="38"/>
    </row>
    <row r="347" ht="15.75" customHeight="1">
      <c r="A347" s="29"/>
      <c r="B347" s="30"/>
      <c r="C347" s="40"/>
      <c r="D347" s="38"/>
    </row>
    <row r="348" ht="15.75" customHeight="1">
      <c r="A348" s="29"/>
      <c r="B348" s="30"/>
      <c r="C348" s="40"/>
    </row>
    <row r="349" ht="15.75" customHeight="1">
      <c r="A349" s="29"/>
      <c r="B349" s="30"/>
      <c r="C349" s="40"/>
    </row>
    <row r="350" ht="15.75" customHeight="1">
      <c r="A350" s="29"/>
      <c r="B350" s="30"/>
      <c r="C350" s="40"/>
      <c r="D350" s="40"/>
    </row>
    <row r="351" ht="15.75" customHeight="1">
      <c r="A351" s="29"/>
      <c r="B351" s="30"/>
      <c r="C351" s="40"/>
      <c r="D351" s="40"/>
    </row>
    <row r="352" ht="15.75" customHeight="1">
      <c r="A352" s="29"/>
      <c r="B352" s="30"/>
      <c r="C352" s="40"/>
      <c r="D352" s="40"/>
    </row>
    <row r="353" ht="15.75" customHeight="1">
      <c r="A353" s="29"/>
      <c r="B353" s="41"/>
      <c r="C353" s="40"/>
      <c r="D353" s="40"/>
    </row>
    <row r="354" ht="15.75" customHeight="1">
      <c r="A354" s="29"/>
      <c r="B354" s="41"/>
      <c r="D354" s="38"/>
    </row>
    <row r="355" ht="15.75" customHeight="1">
      <c r="A355" s="29"/>
      <c r="B355" s="41"/>
    </row>
    <row r="356" ht="15.75" customHeight="1">
      <c r="A356" s="29"/>
      <c r="B356" s="41"/>
    </row>
    <row r="357" ht="15.75" customHeight="1">
      <c r="A357" s="29"/>
      <c r="B357" s="41"/>
    </row>
    <row r="358" ht="15.75" customHeight="1">
      <c r="A358" s="29"/>
      <c r="B358" s="41"/>
    </row>
    <row r="359" ht="15.75" customHeight="1">
      <c r="A359" s="29"/>
      <c r="B359" s="41"/>
    </row>
    <row r="360" ht="15.75" customHeight="1">
      <c r="A360" s="29"/>
      <c r="B360" s="41"/>
    </row>
    <row r="361" ht="15.75" customHeight="1">
      <c r="A361" s="29"/>
      <c r="B361" s="41"/>
    </row>
    <row r="362" ht="15.75" customHeight="1">
      <c r="A362" s="29"/>
      <c r="B362" s="41"/>
    </row>
    <row r="363" ht="15.75" customHeight="1">
      <c r="A363" s="29"/>
      <c r="B363" s="41"/>
    </row>
    <row r="364" ht="15.75" customHeight="1">
      <c r="A364" s="29"/>
      <c r="B364" s="41"/>
    </row>
    <row r="365" ht="15.75" customHeight="1">
      <c r="A365" s="29"/>
      <c r="B365" s="41"/>
    </row>
    <row r="366" ht="15.75" customHeight="1">
      <c r="A366" s="29"/>
      <c r="B366" s="41"/>
    </row>
    <row r="367" ht="15.75" customHeight="1">
      <c r="A367" s="29"/>
      <c r="B367" s="41"/>
    </row>
    <row r="368" ht="15.75" customHeight="1">
      <c r="A368" s="29"/>
      <c r="B368" s="41"/>
    </row>
    <row r="369" ht="15.75" customHeight="1">
      <c r="A369" s="29"/>
      <c r="B369" s="41"/>
    </row>
    <row r="370" ht="15.75" customHeight="1">
      <c r="A370" s="29"/>
      <c r="B370" s="41"/>
    </row>
    <row r="371" ht="15.75" customHeight="1">
      <c r="A371" s="29"/>
      <c r="B371" s="41"/>
    </row>
    <row r="372" ht="15.75" customHeight="1">
      <c r="A372" s="29"/>
      <c r="B372" s="41"/>
    </row>
    <row r="373" ht="15.75" customHeight="1">
      <c r="A373" s="29"/>
      <c r="B373" s="41"/>
    </row>
    <row r="374" ht="15.75" customHeight="1">
      <c r="A374" s="29"/>
      <c r="B374" s="41"/>
    </row>
    <row r="375" ht="15.75" customHeight="1">
      <c r="A375" s="29"/>
      <c r="B375" s="41"/>
    </row>
    <row r="376" ht="15.75" customHeight="1">
      <c r="A376" s="29"/>
      <c r="B376" s="41"/>
    </row>
    <row r="377" ht="15.75" customHeight="1">
      <c r="A377" s="29"/>
      <c r="B377" s="41"/>
    </row>
    <row r="378" ht="15.75" customHeight="1">
      <c r="A378" s="29"/>
      <c r="B378" s="41"/>
    </row>
    <row r="379" ht="15.75" customHeight="1">
      <c r="A379" s="29"/>
      <c r="B379" s="41"/>
    </row>
    <row r="380" ht="15.75" customHeight="1">
      <c r="A380" s="29"/>
      <c r="B380" s="41"/>
    </row>
    <row r="381" ht="15.75" customHeight="1">
      <c r="A381" s="29"/>
      <c r="B381" s="41"/>
    </row>
    <row r="382" ht="15.75" customHeight="1">
      <c r="A382" s="29"/>
      <c r="B382" s="41"/>
    </row>
    <row r="383" ht="15.75" customHeight="1">
      <c r="A383" s="29"/>
      <c r="B383" s="41"/>
    </row>
    <row r="384" ht="15.75" customHeight="1">
      <c r="A384" s="29"/>
      <c r="B384" s="41"/>
    </row>
    <row r="385" ht="15.75" customHeight="1">
      <c r="A385" s="29"/>
      <c r="B385" s="41"/>
    </row>
    <row r="386" ht="15.75" customHeight="1">
      <c r="A386" s="29"/>
      <c r="B386" s="41"/>
    </row>
    <row r="387" ht="15.75" customHeight="1">
      <c r="A387" s="29"/>
      <c r="B387" s="41"/>
    </row>
    <row r="388" ht="15.75" customHeight="1">
      <c r="A388" s="29"/>
      <c r="B388" s="41"/>
    </row>
    <row r="389" ht="15.75" customHeight="1">
      <c r="A389" s="29"/>
      <c r="B389" s="41"/>
    </row>
    <row r="390" ht="15.75" customHeight="1">
      <c r="A390" s="29"/>
      <c r="B390" s="41"/>
    </row>
    <row r="391" ht="15.75" customHeight="1">
      <c r="A391" s="29"/>
      <c r="B391" s="41"/>
    </row>
    <row r="392" ht="15.75" customHeight="1">
      <c r="A392" s="29"/>
      <c r="B392" s="41"/>
    </row>
    <row r="393" ht="15.75" customHeight="1">
      <c r="A393" s="29"/>
      <c r="B393" s="41"/>
    </row>
    <row r="394" ht="15.75" customHeight="1">
      <c r="A394" s="29"/>
      <c r="B394" s="41"/>
    </row>
    <row r="395" ht="15.75" customHeight="1">
      <c r="A395" s="29"/>
      <c r="B395" s="41"/>
    </row>
    <row r="396" ht="15.75" customHeight="1">
      <c r="A396" s="29"/>
      <c r="B396" s="41"/>
    </row>
    <row r="397" ht="15.75" customHeight="1">
      <c r="A397" s="29"/>
      <c r="B397" s="41"/>
    </row>
    <row r="398" ht="15.75" customHeight="1">
      <c r="A398" s="29"/>
      <c r="B398" s="41"/>
    </row>
    <row r="399" ht="15.75" customHeight="1">
      <c r="A399" s="29"/>
      <c r="B399" s="41"/>
    </row>
    <row r="400" ht="15.75" customHeight="1">
      <c r="A400" s="29"/>
      <c r="B400" s="41"/>
    </row>
    <row r="401" ht="15.75" customHeight="1">
      <c r="A401" s="29"/>
      <c r="B401" s="41"/>
    </row>
    <row r="402" ht="15.75" customHeight="1">
      <c r="A402" s="29"/>
      <c r="B402" s="41"/>
    </row>
    <row r="403" ht="15.75" customHeight="1">
      <c r="A403" s="29"/>
      <c r="B403" s="41"/>
    </row>
    <row r="404" ht="15.75" customHeight="1">
      <c r="A404" s="29"/>
      <c r="B404" s="41"/>
    </row>
    <row r="405" ht="15.75" customHeight="1">
      <c r="A405" s="29"/>
      <c r="B405" s="41"/>
    </row>
    <row r="406" ht="15.75" customHeight="1">
      <c r="A406" s="29"/>
      <c r="B406" s="41"/>
    </row>
    <row r="407" ht="15.75" customHeight="1">
      <c r="A407" s="29"/>
      <c r="B407" s="41"/>
    </row>
    <row r="408" ht="15.75" customHeight="1">
      <c r="A408" s="29"/>
      <c r="B408" s="41"/>
    </row>
    <row r="409" ht="15.75" customHeight="1">
      <c r="A409" s="29"/>
      <c r="B409" s="41"/>
    </row>
    <row r="410" ht="15.75" customHeight="1">
      <c r="A410" s="29"/>
      <c r="B410" s="41"/>
    </row>
    <row r="411" ht="15.75" customHeight="1">
      <c r="A411" s="29"/>
      <c r="B411" s="41"/>
    </row>
    <row r="412" ht="15.75" customHeight="1">
      <c r="A412" s="29"/>
      <c r="B412" s="41"/>
    </row>
    <row r="413" ht="15.75" customHeight="1">
      <c r="A413" s="29"/>
      <c r="B413" s="41"/>
    </row>
    <row r="414" ht="15.75" customHeight="1">
      <c r="A414" s="29"/>
      <c r="B414" s="41"/>
    </row>
    <row r="415" ht="15.75" customHeight="1">
      <c r="A415" s="29"/>
      <c r="B415" s="41"/>
    </row>
    <row r="416" ht="15.75" customHeight="1">
      <c r="A416" s="29"/>
      <c r="B416" s="41"/>
    </row>
    <row r="417" ht="15.75" customHeight="1">
      <c r="A417" s="29"/>
      <c r="B417" s="41"/>
    </row>
    <row r="418" ht="15.75" customHeight="1">
      <c r="A418" s="29"/>
      <c r="B418" s="41"/>
    </row>
    <row r="419" ht="15.75" customHeight="1">
      <c r="A419" s="29"/>
      <c r="B419" s="41"/>
    </row>
    <row r="420" ht="15.75" customHeight="1">
      <c r="A420" s="29"/>
      <c r="B420" s="41"/>
    </row>
    <row r="421" ht="15.75" customHeight="1">
      <c r="A421" s="29"/>
      <c r="B421" s="41"/>
    </row>
    <row r="422" ht="15.75" customHeight="1">
      <c r="A422" s="29"/>
      <c r="B422" s="41"/>
    </row>
    <row r="423" ht="15.75" customHeight="1">
      <c r="A423" s="29"/>
      <c r="B423" s="41"/>
    </row>
    <row r="424" ht="15.75" customHeight="1">
      <c r="A424" s="29"/>
      <c r="B424" s="41"/>
    </row>
    <row r="425" ht="15.75" customHeight="1">
      <c r="A425" s="29"/>
      <c r="B425" s="41"/>
    </row>
    <row r="426" ht="15.75" customHeight="1">
      <c r="A426" s="29"/>
      <c r="B426" s="41"/>
    </row>
    <row r="427" ht="15.75" customHeight="1">
      <c r="A427" s="29"/>
      <c r="B427" s="41"/>
    </row>
    <row r="428" ht="15.75" customHeight="1">
      <c r="A428" s="29"/>
      <c r="B428" s="41"/>
    </row>
    <row r="429" ht="15.75" customHeight="1">
      <c r="A429" s="29"/>
      <c r="B429" s="41"/>
    </row>
    <row r="430" ht="15.75" customHeight="1">
      <c r="A430" s="29"/>
      <c r="B430" s="41"/>
    </row>
    <row r="431" ht="15.75" customHeight="1">
      <c r="A431" s="29"/>
      <c r="B431" s="41"/>
    </row>
    <row r="432" ht="15.75" customHeight="1">
      <c r="A432" s="29"/>
      <c r="B432" s="41"/>
    </row>
    <row r="433" ht="15.75" customHeight="1">
      <c r="A433" s="29"/>
      <c r="B433" s="41"/>
    </row>
    <row r="434" ht="15.75" customHeight="1">
      <c r="A434" s="29"/>
      <c r="B434" s="41"/>
    </row>
    <row r="435" ht="15.75" customHeight="1">
      <c r="A435" s="29"/>
      <c r="B435" s="41"/>
    </row>
    <row r="436" ht="15.75" customHeight="1">
      <c r="A436" s="29"/>
      <c r="B436" s="41"/>
    </row>
    <row r="437" ht="15.75" customHeight="1">
      <c r="A437" s="29"/>
      <c r="B437" s="41"/>
    </row>
    <row r="438" ht="15.75" customHeight="1">
      <c r="A438" s="29"/>
      <c r="B438" s="41"/>
    </row>
    <row r="439" ht="15.75" customHeight="1">
      <c r="A439" s="29"/>
      <c r="B439" s="41"/>
    </row>
    <row r="440" ht="15.75" customHeight="1">
      <c r="A440" s="29"/>
      <c r="B440" s="41"/>
    </row>
    <row r="441" ht="15.75" customHeight="1">
      <c r="A441" s="29"/>
      <c r="B441" s="41"/>
    </row>
    <row r="442" ht="15.75" customHeight="1">
      <c r="A442" s="29"/>
      <c r="B442" s="41"/>
    </row>
    <row r="443" ht="15.75" customHeight="1">
      <c r="A443" s="29"/>
      <c r="B443" s="41"/>
    </row>
    <row r="444" ht="15.75" customHeight="1">
      <c r="A444" s="29"/>
      <c r="B444" s="41"/>
    </row>
    <row r="445" ht="15.75" customHeight="1">
      <c r="A445" s="29"/>
      <c r="B445" s="41"/>
    </row>
    <row r="446" ht="15.75" customHeight="1">
      <c r="A446" s="29"/>
      <c r="B446" s="41"/>
    </row>
    <row r="447" ht="15.75" customHeight="1">
      <c r="A447" s="29"/>
      <c r="B447" s="41"/>
    </row>
    <row r="448" ht="15.75" customHeight="1">
      <c r="A448" s="29"/>
      <c r="B448" s="41"/>
    </row>
    <row r="449" ht="15.75" customHeight="1">
      <c r="A449" s="29"/>
      <c r="B449" s="41"/>
    </row>
    <row r="450" ht="15.75" customHeight="1">
      <c r="A450" s="29"/>
      <c r="B450" s="41"/>
    </row>
    <row r="451" ht="15.75" customHeight="1">
      <c r="A451" s="29"/>
      <c r="B451" s="41"/>
    </row>
    <row r="452" ht="15.75" customHeight="1">
      <c r="A452" s="29"/>
      <c r="B452" s="41"/>
    </row>
    <row r="453" ht="15.75" customHeight="1">
      <c r="A453" s="29"/>
      <c r="B453" s="41"/>
    </row>
    <row r="454" ht="15.75" customHeight="1">
      <c r="A454" s="29"/>
      <c r="B454" s="41"/>
    </row>
    <row r="455" ht="15.75" customHeight="1">
      <c r="A455" s="29"/>
      <c r="B455" s="41"/>
    </row>
    <row r="456" ht="15.75" customHeight="1">
      <c r="A456" s="29"/>
      <c r="B456" s="41"/>
    </row>
    <row r="457" ht="15.75" customHeight="1">
      <c r="A457" s="29"/>
      <c r="B457" s="41"/>
    </row>
    <row r="458" ht="15.75" customHeight="1">
      <c r="A458" s="29"/>
      <c r="B458" s="41"/>
    </row>
    <row r="459" ht="15.75" customHeight="1">
      <c r="A459" s="29"/>
      <c r="B459" s="41"/>
    </row>
    <row r="460" ht="15.75" customHeight="1">
      <c r="A460" s="29"/>
      <c r="B460" s="41"/>
    </row>
    <row r="461" ht="15.75" customHeight="1">
      <c r="A461" s="29"/>
      <c r="B461" s="41"/>
    </row>
    <row r="462" ht="15.75" customHeight="1">
      <c r="A462" s="29"/>
      <c r="B462" s="41"/>
    </row>
    <row r="463" ht="15.75" customHeight="1">
      <c r="A463" s="29"/>
      <c r="B463" s="41"/>
    </row>
    <row r="464" ht="15.75" customHeight="1">
      <c r="A464" s="29"/>
      <c r="B464" s="41"/>
    </row>
    <row r="465" ht="15.75" customHeight="1">
      <c r="A465" s="29"/>
      <c r="B465" s="41"/>
    </row>
    <row r="466" ht="15.75" customHeight="1">
      <c r="A466" s="29"/>
      <c r="B466" s="41"/>
    </row>
    <row r="467" ht="15.75" customHeight="1">
      <c r="A467" s="29"/>
      <c r="B467" s="41"/>
    </row>
    <row r="468" ht="15.75" customHeight="1">
      <c r="A468" s="29"/>
      <c r="B468" s="41"/>
    </row>
    <row r="469" ht="15.75" customHeight="1">
      <c r="A469" s="29"/>
      <c r="B469" s="41"/>
    </row>
    <row r="470" ht="15.75" customHeight="1">
      <c r="A470" s="29"/>
      <c r="B470" s="41"/>
    </row>
    <row r="471" ht="15.75" customHeight="1">
      <c r="A471" s="29"/>
      <c r="B471" s="41"/>
    </row>
    <row r="472" ht="15.75" customHeight="1">
      <c r="A472" s="29"/>
      <c r="B472" s="41"/>
    </row>
    <row r="473" ht="15.75" customHeight="1">
      <c r="A473" s="29"/>
      <c r="B473" s="41"/>
    </row>
    <row r="474" ht="15.75" customHeight="1">
      <c r="A474" s="29"/>
      <c r="B474" s="41"/>
    </row>
    <row r="475" ht="15.75" customHeight="1">
      <c r="A475" s="29"/>
      <c r="B475" s="41"/>
    </row>
    <row r="476" ht="15.75" customHeight="1">
      <c r="A476" s="29"/>
      <c r="B476" s="41"/>
    </row>
    <row r="477" ht="15.75" customHeight="1">
      <c r="A477" s="29"/>
      <c r="B477" s="41"/>
    </row>
    <row r="478" ht="15.75" customHeight="1">
      <c r="A478" s="29"/>
      <c r="B478" s="41"/>
    </row>
    <row r="479" ht="15.75" customHeight="1">
      <c r="A479" s="29"/>
      <c r="B479" s="41"/>
    </row>
    <row r="480" ht="15.75" customHeight="1">
      <c r="A480" s="29"/>
      <c r="B480" s="41"/>
    </row>
    <row r="481" ht="15.75" customHeight="1">
      <c r="A481" s="29"/>
      <c r="B481" s="41"/>
    </row>
    <row r="482" ht="15.75" customHeight="1">
      <c r="A482" s="29"/>
      <c r="B482" s="41"/>
    </row>
    <row r="483" ht="15.75" customHeight="1">
      <c r="A483" s="29"/>
      <c r="B483" s="41"/>
    </row>
    <row r="484" ht="15.75" customHeight="1">
      <c r="A484" s="29"/>
      <c r="B484" s="41"/>
    </row>
    <row r="485" ht="15.75" customHeight="1">
      <c r="A485" s="29"/>
      <c r="B485" s="41"/>
    </row>
    <row r="486" ht="15.75" customHeight="1">
      <c r="A486" s="29"/>
      <c r="B486" s="41"/>
    </row>
    <row r="487" ht="15.75" customHeight="1">
      <c r="A487" s="29"/>
      <c r="B487" s="41"/>
    </row>
    <row r="488" ht="15.75" customHeight="1">
      <c r="A488" s="29"/>
      <c r="B488" s="41"/>
    </row>
    <row r="489" ht="15.75" customHeight="1">
      <c r="A489" s="29"/>
      <c r="B489" s="41"/>
    </row>
    <row r="490" ht="15.75" customHeight="1">
      <c r="A490" s="29"/>
      <c r="B490" s="41"/>
    </row>
    <row r="491" ht="15.75" customHeight="1">
      <c r="A491" s="29"/>
      <c r="B491" s="41"/>
    </row>
    <row r="492" ht="15.75" customHeight="1">
      <c r="A492" s="29"/>
      <c r="B492" s="41"/>
    </row>
    <row r="493" ht="15.75" customHeight="1">
      <c r="A493" s="29"/>
      <c r="B493" s="41"/>
    </row>
    <row r="494" ht="15.75" customHeight="1">
      <c r="A494" s="29"/>
      <c r="B494" s="41"/>
    </row>
    <row r="495" ht="15.75" customHeight="1">
      <c r="A495" s="29"/>
      <c r="B495" s="41"/>
    </row>
    <row r="496" ht="15.75" customHeight="1">
      <c r="A496" s="29"/>
      <c r="B496" s="41"/>
    </row>
    <row r="497" ht="15.75" customHeight="1">
      <c r="A497" s="29"/>
      <c r="B497" s="41"/>
    </row>
    <row r="498" ht="15.75" customHeight="1">
      <c r="A498" s="29"/>
      <c r="B498" s="41"/>
    </row>
    <row r="499" ht="15.75" customHeight="1">
      <c r="A499" s="29"/>
      <c r="B499" s="41"/>
    </row>
    <row r="500" ht="15.75" customHeight="1">
      <c r="A500" s="29"/>
      <c r="B500" s="41"/>
    </row>
    <row r="501" ht="15.75" customHeight="1">
      <c r="A501" s="29"/>
      <c r="B501" s="41"/>
    </row>
    <row r="502" ht="15.75" customHeight="1">
      <c r="A502" s="29"/>
      <c r="B502" s="41"/>
    </row>
    <row r="503" ht="15.75" customHeight="1">
      <c r="A503" s="29"/>
      <c r="B503" s="41"/>
    </row>
    <row r="504" ht="15.75" customHeight="1">
      <c r="A504" s="29"/>
      <c r="B504" s="41"/>
    </row>
    <row r="505" ht="15.75" customHeight="1">
      <c r="A505" s="29"/>
      <c r="B505" s="41"/>
    </row>
    <row r="506" ht="15.75" customHeight="1">
      <c r="A506" s="29"/>
      <c r="B506" s="41"/>
    </row>
    <row r="507" ht="15.75" customHeight="1">
      <c r="A507" s="29"/>
      <c r="B507" s="41"/>
    </row>
    <row r="508" ht="15.75" customHeight="1">
      <c r="A508" s="29"/>
      <c r="B508" s="41"/>
    </row>
    <row r="509" ht="15.75" customHeight="1">
      <c r="A509" s="29"/>
      <c r="B509" s="41"/>
    </row>
    <row r="510" ht="15.75" customHeight="1">
      <c r="A510" s="29"/>
      <c r="B510" s="41"/>
    </row>
    <row r="511" ht="15.75" customHeight="1">
      <c r="A511" s="29"/>
      <c r="B511" s="41"/>
    </row>
    <row r="512" ht="15.75" customHeight="1">
      <c r="A512" s="29"/>
      <c r="B512" s="41"/>
    </row>
    <row r="513" ht="15.75" customHeight="1">
      <c r="A513" s="29"/>
      <c r="B513" s="41"/>
    </row>
    <row r="514" ht="15.75" customHeight="1">
      <c r="A514" s="29"/>
      <c r="B514" s="41"/>
    </row>
    <row r="515" ht="15.75" customHeight="1">
      <c r="A515" s="29"/>
      <c r="B515" s="41"/>
    </row>
    <row r="516" ht="15.75" customHeight="1">
      <c r="A516" s="29"/>
      <c r="B516" s="41"/>
    </row>
    <row r="517" ht="15.75" customHeight="1">
      <c r="A517" s="29"/>
      <c r="B517" s="41"/>
    </row>
    <row r="518" ht="15.75" customHeight="1">
      <c r="A518" s="29"/>
      <c r="B518" s="41"/>
    </row>
    <row r="519" ht="15.75" customHeight="1">
      <c r="A519" s="29"/>
      <c r="B519" s="41"/>
    </row>
    <row r="520" ht="15.75" customHeight="1">
      <c r="A520" s="29"/>
      <c r="B520" s="41"/>
    </row>
    <row r="521" ht="15.75" customHeight="1">
      <c r="A521" s="29"/>
      <c r="B521" s="41"/>
    </row>
    <row r="522" ht="15.75" customHeight="1">
      <c r="A522" s="29"/>
      <c r="B522" s="41"/>
    </row>
    <row r="523" ht="15.75" customHeight="1">
      <c r="A523" s="29"/>
      <c r="B523" s="41"/>
    </row>
    <row r="524" ht="15.75" customHeight="1">
      <c r="A524" s="29"/>
      <c r="B524" s="41"/>
    </row>
    <row r="525" ht="15.75" customHeight="1">
      <c r="A525" s="29"/>
      <c r="B525" s="41"/>
    </row>
    <row r="526" ht="15.75" customHeight="1">
      <c r="A526" s="29"/>
      <c r="B526" s="41"/>
    </row>
    <row r="527" ht="15.75" customHeight="1">
      <c r="A527" s="29"/>
      <c r="B527" s="41"/>
    </row>
    <row r="528" ht="15.75" customHeight="1">
      <c r="A528" s="29"/>
      <c r="B528" s="41"/>
    </row>
    <row r="529" ht="15.75" customHeight="1">
      <c r="A529" s="29"/>
      <c r="B529" s="41"/>
    </row>
    <row r="530" ht="15.75" customHeight="1">
      <c r="A530" s="29"/>
      <c r="B530" s="41"/>
    </row>
    <row r="531" ht="15.75" customHeight="1">
      <c r="A531" s="29"/>
      <c r="B531" s="41"/>
    </row>
    <row r="532" ht="15.75" customHeight="1">
      <c r="A532" s="29"/>
      <c r="B532" s="41"/>
    </row>
    <row r="533" ht="15.75" customHeight="1">
      <c r="A533" s="29"/>
      <c r="B533" s="41"/>
    </row>
    <row r="534" ht="15.75" customHeight="1">
      <c r="A534" s="29"/>
      <c r="B534" s="41"/>
    </row>
    <row r="535" ht="15.75" customHeight="1">
      <c r="A535" s="29"/>
      <c r="B535" s="41"/>
    </row>
    <row r="536" ht="15.75" customHeight="1">
      <c r="A536" s="29"/>
      <c r="B536" s="41"/>
    </row>
    <row r="537" ht="15.75" customHeight="1">
      <c r="A537" s="29"/>
      <c r="B537" s="41"/>
    </row>
    <row r="538" ht="15.75" customHeight="1">
      <c r="A538" s="29"/>
      <c r="B538" s="41"/>
    </row>
    <row r="539" ht="15.75" customHeight="1">
      <c r="A539" s="29"/>
      <c r="B539" s="41"/>
    </row>
    <row r="540" ht="15.75" customHeight="1">
      <c r="A540" s="29"/>
      <c r="B540" s="41"/>
    </row>
    <row r="541" ht="15.75" customHeight="1">
      <c r="A541" s="29"/>
      <c r="B541" s="41"/>
    </row>
    <row r="542" ht="15.75" customHeight="1">
      <c r="A542" s="29"/>
      <c r="B542" s="41"/>
    </row>
    <row r="543" ht="15.75" customHeight="1">
      <c r="A543" s="29"/>
      <c r="B543" s="41"/>
    </row>
    <row r="544" ht="15.75" customHeight="1">
      <c r="A544" s="29"/>
      <c r="B544" s="41"/>
    </row>
    <row r="545" ht="15.75" customHeight="1">
      <c r="A545" s="29"/>
    </row>
    <row r="546" ht="15.75" customHeight="1">
      <c r="A546" s="29"/>
    </row>
    <row r="547" ht="15.75" customHeight="1">
      <c r="A547" s="29"/>
    </row>
    <row r="548" ht="15.75" customHeight="1">
      <c r="A548" s="29"/>
    </row>
    <row r="549" ht="15.75" customHeight="1">
      <c r="A549" s="29"/>
    </row>
    <row r="550" ht="15.75" customHeight="1">
      <c r="A550" s="29"/>
    </row>
    <row r="551" ht="15.75" customHeight="1">
      <c r="A551" s="29"/>
    </row>
    <row r="552" ht="15.75" customHeight="1">
      <c r="A552" s="29"/>
    </row>
    <row r="553" ht="15.75" customHeight="1">
      <c r="A553" s="29"/>
    </row>
    <row r="554" ht="15.75" customHeight="1">
      <c r="A554" s="29"/>
    </row>
    <row r="555" ht="15.75" customHeight="1">
      <c r="A555" s="29"/>
    </row>
    <row r="556" ht="15.75" customHeight="1">
      <c r="A556" s="29"/>
    </row>
    <row r="557" ht="15.75" customHeight="1">
      <c r="A557" s="29"/>
    </row>
    <row r="558" ht="15.75" customHeight="1">
      <c r="A558" s="29"/>
    </row>
    <row r="559" ht="15.75" customHeight="1">
      <c r="A559" s="29"/>
    </row>
    <row r="560" ht="15.75" customHeight="1">
      <c r="A560" s="29"/>
    </row>
    <row r="561" ht="15.75" customHeight="1">
      <c r="A561" s="29"/>
    </row>
    <row r="562" ht="15.75" customHeight="1">
      <c r="A562" s="29"/>
    </row>
    <row r="563" ht="15.75" customHeight="1">
      <c r="A563" s="29"/>
    </row>
    <row r="564" ht="15.75" customHeight="1">
      <c r="A564" s="29"/>
    </row>
    <row r="565" ht="15.75" customHeight="1">
      <c r="A565" s="29"/>
    </row>
    <row r="566" ht="15.75" customHeight="1">
      <c r="A566" s="29"/>
    </row>
    <row r="567" ht="15.75" customHeight="1">
      <c r="A567" s="29"/>
    </row>
    <row r="568" ht="15.75" customHeight="1">
      <c r="A568" s="29"/>
    </row>
    <row r="569" ht="15.75" customHeight="1">
      <c r="A569" s="29"/>
    </row>
    <row r="570" ht="15.75" customHeight="1">
      <c r="A570" s="29"/>
    </row>
    <row r="571" ht="15.75" customHeight="1">
      <c r="A571" s="29"/>
    </row>
    <row r="572" ht="15.75" customHeight="1">
      <c r="A572" s="29"/>
    </row>
    <row r="573" ht="15.75" customHeight="1">
      <c r="A573" s="29"/>
    </row>
    <row r="574" ht="15.75" customHeight="1">
      <c r="A574" s="29"/>
    </row>
    <row r="575" ht="15.75" customHeight="1">
      <c r="A575" s="29"/>
    </row>
    <row r="576" ht="15.75" customHeight="1">
      <c r="A576" s="29"/>
    </row>
    <row r="577" ht="15.75" customHeight="1">
      <c r="A577" s="29"/>
    </row>
    <row r="578" ht="15.75" customHeight="1">
      <c r="A578" s="29"/>
    </row>
    <row r="579" ht="15.75" customHeight="1">
      <c r="A579" s="29"/>
    </row>
    <row r="580" ht="15.75" customHeight="1">
      <c r="A580" s="29"/>
    </row>
    <row r="581" ht="15.75" customHeight="1">
      <c r="A581" s="29"/>
    </row>
    <row r="582" ht="15.75" customHeight="1">
      <c r="A582" s="29"/>
    </row>
    <row r="583" ht="15.75" customHeight="1">
      <c r="A583" s="29"/>
    </row>
    <row r="584" ht="15.75" customHeight="1">
      <c r="A584" s="29"/>
    </row>
    <row r="585" ht="15.75" customHeight="1">
      <c r="A585" s="29"/>
    </row>
    <row r="586" ht="15.75" customHeight="1">
      <c r="A586" s="29"/>
    </row>
    <row r="587" ht="15.75" customHeight="1">
      <c r="A587" s="29"/>
    </row>
    <row r="588" ht="15.75" customHeight="1">
      <c r="A588" s="29"/>
    </row>
    <row r="589" ht="15.75" customHeight="1">
      <c r="A589" s="29"/>
    </row>
    <row r="590" ht="15.75" customHeight="1">
      <c r="A590" s="29"/>
    </row>
    <row r="591" ht="15.75" customHeight="1">
      <c r="A591" s="29"/>
    </row>
    <row r="592" ht="15.75" customHeight="1">
      <c r="A592" s="29"/>
    </row>
    <row r="593" ht="15.75" customHeight="1">
      <c r="A593" s="29"/>
    </row>
    <row r="594" ht="15.75" customHeight="1">
      <c r="A594" s="29"/>
    </row>
    <row r="595" ht="15.75" customHeight="1">
      <c r="A595" s="29"/>
    </row>
    <row r="596" ht="15.75" customHeight="1">
      <c r="A596" s="29"/>
    </row>
    <row r="597" ht="15.75" customHeight="1">
      <c r="A597" s="29"/>
    </row>
    <row r="598" ht="15.75" customHeight="1">
      <c r="A598" s="29"/>
    </row>
    <row r="599" ht="15.75" customHeight="1">
      <c r="A599" s="29"/>
    </row>
    <row r="600" ht="15.75" customHeight="1">
      <c r="A600" s="29"/>
    </row>
    <row r="601" ht="15.75" customHeight="1">
      <c r="A601" s="29"/>
    </row>
    <row r="602" ht="15.75" customHeight="1">
      <c r="A602" s="29"/>
    </row>
    <row r="603" ht="15.75" customHeight="1">
      <c r="A603" s="29"/>
    </row>
    <row r="604" ht="15.75" customHeight="1">
      <c r="A604" s="29"/>
    </row>
    <row r="605" ht="15.75" customHeight="1">
      <c r="A605" s="29"/>
    </row>
    <row r="606" ht="15.75" customHeight="1">
      <c r="A606" s="29"/>
    </row>
    <row r="607" ht="15.75" customHeight="1">
      <c r="A607" s="29"/>
    </row>
    <row r="608" ht="15.75" customHeight="1">
      <c r="A608" s="29"/>
    </row>
    <row r="609" ht="15.75" customHeight="1">
      <c r="A609" s="29"/>
    </row>
    <row r="610" ht="15.75" customHeight="1">
      <c r="A610" s="29"/>
    </row>
    <row r="611" ht="15.75" customHeight="1">
      <c r="A611" s="29"/>
    </row>
    <row r="612" ht="15.75" customHeight="1">
      <c r="A612" s="29"/>
    </row>
    <row r="613" ht="15.75" customHeight="1">
      <c r="A613" s="29"/>
    </row>
    <row r="614" ht="15.75" customHeight="1">
      <c r="A614" s="29"/>
    </row>
    <row r="615" ht="15.75" customHeight="1">
      <c r="A615" s="29"/>
    </row>
    <row r="616" ht="15.75" customHeight="1">
      <c r="A616" s="29"/>
    </row>
    <row r="617" ht="15.75" customHeight="1">
      <c r="A617" s="29"/>
    </row>
    <row r="618" ht="15.75" customHeight="1">
      <c r="A618" s="29"/>
    </row>
    <row r="619" ht="15.75" customHeight="1">
      <c r="A619" s="29"/>
    </row>
    <row r="620" ht="15.75" customHeight="1">
      <c r="A620" s="29"/>
    </row>
    <row r="621" ht="15.75" customHeight="1">
      <c r="A621" s="29"/>
    </row>
    <row r="622" ht="15.75" customHeight="1">
      <c r="A622" s="29"/>
    </row>
    <row r="623" ht="15.75" customHeight="1">
      <c r="A623" s="29"/>
    </row>
    <row r="624" ht="15.75" customHeight="1">
      <c r="A624" s="29"/>
    </row>
    <row r="625" ht="15.75" customHeight="1">
      <c r="A625" s="29"/>
    </row>
    <row r="626" ht="15.75" customHeight="1">
      <c r="A626" s="29"/>
    </row>
    <row r="627" ht="15.75" customHeight="1">
      <c r="A627" s="29"/>
    </row>
    <row r="628" ht="15.75" customHeight="1">
      <c r="A628" s="29"/>
    </row>
    <row r="629" ht="15.75" customHeight="1">
      <c r="A629" s="29"/>
    </row>
    <row r="630" ht="15.75" customHeight="1">
      <c r="A630" s="29"/>
    </row>
    <row r="631" ht="15.75" customHeight="1">
      <c r="A631" s="29"/>
    </row>
    <row r="632" ht="15.75" customHeight="1">
      <c r="A632" s="29"/>
    </row>
    <row r="633" ht="15.75" customHeight="1">
      <c r="A633" s="29"/>
    </row>
    <row r="634" ht="15.75" customHeight="1">
      <c r="A634" s="29"/>
    </row>
    <row r="635" ht="15.75" customHeight="1">
      <c r="A635" s="29"/>
    </row>
    <row r="636" ht="15.75" customHeight="1">
      <c r="A636" s="29"/>
    </row>
    <row r="637" ht="15.75" customHeight="1">
      <c r="A637" s="29"/>
    </row>
    <row r="638" ht="15.75" customHeight="1">
      <c r="A638" s="29"/>
    </row>
    <row r="639" ht="15.75" customHeight="1">
      <c r="A639" s="29"/>
    </row>
    <row r="640" ht="15.75" customHeight="1">
      <c r="A640" s="29"/>
    </row>
    <row r="641" ht="15.75" customHeight="1">
      <c r="A641" s="29"/>
    </row>
    <row r="642" ht="15.75" customHeight="1">
      <c r="A642" s="29"/>
    </row>
    <row r="643" ht="15.75" customHeight="1">
      <c r="A643" s="29"/>
    </row>
    <row r="644" ht="15.75" customHeight="1">
      <c r="A644" s="29"/>
    </row>
    <row r="645" ht="15.75" customHeight="1">
      <c r="A645" s="29"/>
    </row>
    <row r="646" ht="15.75" customHeight="1">
      <c r="A646" s="29"/>
    </row>
    <row r="647" ht="15.75" customHeight="1">
      <c r="A647" s="29"/>
    </row>
    <row r="648" ht="15.75" customHeight="1">
      <c r="A648" s="29"/>
    </row>
    <row r="649" ht="15.75" customHeight="1">
      <c r="A649" s="29"/>
    </row>
    <row r="650" ht="15.75" customHeight="1">
      <c r="A650" s="29"/>
    </row>
    <row r="651" ht="15.75" customHeight="1">
      <c r="A651" s="29"/>
    </row>
    <row r="652" ht="15.75" customHeight="1">
      <c r="A652" s="29"/>
    </row>
    <row r="653" ht="15.75" customHeight="1">
      <c r="A653" s="29"/>
    </row>
    <row r="654" ht="15.75" customHeight="1">
      <c r="A654" s="29"/>
    </row>
    <row r="655" ht="15.75" customHeight="1">
      <c r="A655" s="29"/>
    </row>
    <row r="656" ht="15.75" customHeight="1">
      <c r="A656" s="29"/>
    </row>
    <row r="657" ht="15.75" customHeight="1">
      <c r="A657" s="29"/>
    </row>
    <row r="658" ht="15.75" customHeight="1">
      <c r="A658" s="29"/>
    </row>
    <row r="659" ht="15.75" customHeight="1">
      <c r="A659" s="29"/>
    </row>
    <row r="660" ht="15.75" customHeight="1">
      <c r="A660" s="29"/>
    </row>
    <row r="661" ht="15.75" customHeight="1">
      <c r="A661" s="29"/>
    </row>
    <row r="662" ht="15.75" customHeight="1">
      <c r="A662" s="29"/>
    </row>
    <row r="663" ht="15.75" customHeight="1">
      <c r="A663" s="29"/>
    </row>
    <row r="664" ht="15.75" customHeight="1">
      <c r="A664" s="29"/>
    </row>
    <row r="665" ht="15.75" customHeight="1">
      <c r="A665" s="29"/>
    </row>
    <row r="666" ht="15.75" customHeight="1">
      <c r="A666" s="29"/>
    </row>
    <row r="667" ht="15.75" customHeight="1">
      <c r="A667" s="29"/>
    </row>
    <row r="668" ht="15.75" customHeight="1">
      <c r="A668" s="29"/>
    </row>
    <row r="669" ht="15.75" customHeight="1">
      <c r="A669" s="29"/>
    </row>
    <row r="670" ht="15.75" customHeight="1">
      <c r="A670" s="29"/>
    </row>
    <row r="671" ht="15.75" customHeight="1">
      <c r="A671" s="29"/>
    </row>
    <row r="672" ht="15.75" customHeight="1">
      <c r="A672" s="29"/>
    </row>
    <row r="673" ht="15.75" customHeight="1">
      <c r="A673" s="29"/>
    </row>
    <row r="674" ht="15.75" customHeight="1">
      <c r="A674" s="29"/>
    </row>
    <row r="675" ht="15.75" customHeight="1">
      <c r="A675" s="29"/>
    </row>
    <row r="676" ht="15.75" customHeight="1">
      <c r="A676" s="29"/>
    </row>
    <row r="677" ht="15.75" customHeight="1">
      <c r="A677" s="29"/>
    </row>
    <row r="678" ht="15.75" customHeight="1">
      <c r="A678" s="29"/>
    </row>
    <row r="679" ht="15.75" customHeight="1">
      <c r="A679" s="29"/>
    </row>
    <row r="680" ht="15.75" customHeight="1">
      <c r="A680" s="29"/>
    </row>
    <row r="681" ht="15.75" customHeight="1">
      <c r="A681" s="29"/>
    </row>
    <row r="682" ht="15.75" customHeight="1">
      <c r="A682" s="29"/>
    </row>
    <row r="683" ht="15.75" customHeight="1">
      <c r="A683" s="29"/>
    </row>
    <row r="684" ht="15.75" customHeight="1">
      <c r="A684" s="29"/>
    </row>
    <row r="685" ht="15.75" customHeight="1">
      <c r="A685" s="29"/>
    </row>
    <row r="686" ht="15.75" customHeight="1">
      <c r="A686" s="29"/>
    </row>
    <row r="687" ht="15.75" customHeight="1">
      <c r="A687" s="29"/>
    </row>
    <row r="688" ht="15.75" customHeight="1">
      <c r="A688" s="29"/>
    </row>
    <row r="689" ht="15.75" customHeight="1">
      <c r="A689" s="29"/>
    </row>
    <row r="690" ht="15.75" customHeight="1">
      <c r="A690" s="29"/>
    </row>
    <row r="691" ht="15.75" customHeight="1">
      <c r="A691" s="29"/>
    </row>
    <row r="692" ht="15.75" customHeight="1">
      <c r="A692" s="29"/>
    </row>
    <row r="693" ht="15.75" customHeight="1">
      <c r="A693" s="29"/>
    </row>
    <row r="694" ht="15.75" customHeight="1">
      <c r="A694" s="29"/>
    </row>
    <row r="695" ht="15.75" customHeight="1">
      <c r="A695" s="29"/>
    </row>
    <row r="696" ht="15.75" customHeight="1">
      <c r="A696" s="29"/>
    </row>
    <row r="697" ht="15.75" customHeight="1">
      <c r="A697" s="29"/>
    </row>
    <row r="698" ht="15.75" customHeight="1">
      <c r="A698" s="29"/>
    </row>
    <row r="699" ht="15.75" customHeight="1">
      <c r="A699" s="29"/>
    </row>
    <row r="700" ht="15.75" customHeight="1">
      <c r="A700" s="29"/>
    </row>
    <row r="701" ht="15.75" customHeight="1">
      <c r="A701" s="29"/>
    </row>
    <row r="702" ht="15.75" customHeight="1">
      <c r="A702" s="29"/>
    </row>
    <row r="703" ht="15.75" customHeight="1">
      <c r="A703" s="29"/>
    </row>
    <row r="704" ht="15.75" customHeight="1">
      <c r="A704" s="29"/>
    </row>
    <row r="705" ht="15.75" customHeight="1">
      <c r="A705" s="29"/>
    </row>
    <row r="706" ht="15.75" customHeight="1">
      <c r="A706" s="29"/>
    </row>
    <row r="707" ht="15.75" customHeight="1">
      <c r="A707" s="29"/>
    </row>
    <row r="708" ht="15.75" customHeight="1">
      <c r="A708" s="29"/>
    </row>
    <row r="709" ht="15.75" customHeight="1">
      <c r="A709" s="29"/>
    </row>
    <row r="710" ht="15.75" customHeight="1">
      <c r="A710" s="29"/>
    </row>
    <row r="711" ht="15.75" customHeight="1">
      <c r="A711" s="29"/>
    </row>
    <row r="712" ht="15.75" customHeight="1">
      <c r="A712" s="29"/>
    </row>
    <row r="713" ht="15.75" customHeight="1">
      <c r="A713" s="29"/>
    </row>
    <row r="714" ht="15.75" customHeight="1">
      <c r="A714" s="29"/>
    </row>
    <row r="715" ht="15.75" customHeight="1">
      <c r="A715" s="29"/>
    </row>
    <row r="716" ht="15.75" customHeight="1">
      <c r="A716" s="29"/>
    </row>
    <row r="717" ht="15.75" customHeight="1">
      <c r="A717" s="29"/>
    </row>
    <row r="718" ht="15.75" customHeight="1">
      <c r="A718" s="29"/>
    </row>
    <row r="719" ht="15.75" customHeight="1">
      <c r="A719" s="29"/>
    </row>
    <row r="720" ht="15.75" customHeight="1">
      <c r="A720" s="29"/>
    </row>
    <row r="721" ht="15.75" customHeight="1">
      <c r="A721" s="29"/>
    </row>
    <row r="722" ht="15.75" customHeight="1">
      <c r="A722" s="29"/>
    </row>
    <row r="723" ht="15.75" customHeight="1">
      <c r="A723" s="29"/>
    </row>
    <row r="724" ht="15.75" customHeight="1">
      <c r="A724" s="29"/>
    </row>
    <row r="725" ht="15.75" customHeight="1">
      <c r="A725" s="29"/>
    </row>
    <row r="726" ht="15.75" customHeight="1">
      <c r="A726" s="29"/>
    </row>
    <row r="727" ht="15.75" customHeight="1">
      <c r="A727" s="29"/>
    </row>
    <row r="728" ht="15.75" customHeight="1">
      <c r="A728" s="29"/>
    </row>
    <row r="729" ht="15.75" customHeight="1">
      <c r="A729" s="29"/>
    </row>
    <row r="730" ht="15.75" customHeight="1">
      <c r="A730" s="29"/>
    </row>
    <row r="731" ht="15.75" customHeight="1">
      <c r="A731" s="29"/>
    </row>
    <row r="732" ht="15.75" customHeight="1">
      <c r="A732" s="29"/>
    </row>
    <row r="733" ht="15.75" customHeight="1">
      <c r="A733" s="29"/>
    </row>
    <row r="734" ht="15.75" customHeight="1">
      <c r="A734" s="29"/>
    </row>
    <row r="735" ht="15.75" customHeight="1">
      <c r="A735" s="29"/>
    </row>
    <row r="736" ht="15.75" customHeight="1">
      <c r="A736" s="29"/>
    </row>
    <row r="737" ht="15.75" customHeight="1">
      <c r="A737" s="29"/>
    </row>
    <row r="738" ht="15.75" customHeight="1">
      <c r="A738" s="29"/>
    </row>
    <row r="739" ht="15.75" customHeight="1">
      <c r="A739" s="29"/>
    </row>
    <row r="740" ht="15.75" customHeight="1">
      <c r="A740" s="29"/>
    </row>
    <row r="741" ht="15.75" customHeight="1">
      <c r="A741" s="29"/>
    </row>
    <row r="742" ht="15.75" customHeight="1">
      <c r="A742" s="29"/>
    </row>
    <row r="743" ht="15.75" customHeight="1">
      <c r="A743" s="29"/>
    </row>
    <row r="744" ht="15.75" customHeight="1">
      <c r="A744" s="29"/>
    </row>
    <row r="745" ht="15.75" customHeight="1">
      <c r="A745" s="29"/>
    </row>
    <row r="746" ht="15.75" customHeight="1">
      <c r="A746" s="29"/>
    </row>
    <row r="747" ht="15.75" customHeight="1">
      <c r="A747" s="29"/>
    </row>
    <row r="748" ht="15.75" customHeight="1">
      <c r="A748" s="29"/>
    </row>
    <row r="749" ht="15.75" customHeight="1">
      <c r="A749" s="29"/>
    </row>
    <row r="750" ht="15.75" customHeight="1">
      <c r="A750" s="29"/>
    </row>
    <row r="751" ht="15.75" customHeight="1">
      <c r="A751" s="29"/>
    </row>
    <row r="752" ht="15.75" customHeight="1">
      <c r="A752" s="29"/>
    </row>
    <row r="753" ht="15.75" customHeight="1">
      <c r="A753" s="29"/>
    </row>
    <row r="754" ht="15.75" customHeight="1">
      <c r="A754" s="29"/>
    </row>
    <row r="755" ht="15.75" customHeight="1">
      <c r="A755" s="29"/>
    </row>
    <row r="756" ht="15.75" customHeight="1">
      <c r="A756" s="29"/>
    </row>
    <row r="757" ht="15.75" customHeight="1">
      <c r="A757" s="29"/>
    </row>
    <row r="758" ht="15.75" customHeight="1">
      <c r="A758" s="29"/>
    </row>
    <row r="759" ht="15.75" customHeight="1">
      <c r="A759" s="29"/>
    </row>
    <row r="760" ht="15.75" customHeight="1">
      <c r="A760" s="29"/>
    </row>
    <row r="761" ht="15.75" customHeight="1">
      <c r="A761" s="29"/>
    </row>
    <row r="762" ht="15.75" customHeight="1">
      <c r="A762" s="29"/>
    </row>
    <row r="763" ht="15.75" customHeight="1">
      <c r="A763" s="29"/>
    </row>
    <row r="764" ht="15.75" customHeight="1">
      <c r="A764" s="29"/>
    </row>
    <row r="765" ht="15.75" customHeight="1">
      <c r="A765" s="29"/>
    </row>
    <row r="766" ht="15.75" customHeight="1">
      <c r="A766" s="29"/>
    </row>
    <row r="767" ht="15.75" customHeight="1">
      <c r="A767" s="29"/>
    </row>
    <row r="768" ht="15.75" customHeight="1">
      <c r="A768" s="29"/>
    </row>
    <row r="769" ht="15.75" customHeight="1">
      <c r="A769" s="29"/>
    </row>
    <row r="770" ht="15.75" customHeight="1">
      <c r="A770" s="29"/>
    </row>
    <row r="771" ht="15.75" customHeight="1">
      <c r="A771" s="29"/>
    </row>
    <row r="772" ht="15.75" customHeight="1">
      <c r="A772" s="29"/>
    </row>
    <row r="773" ht="15.75" customHeight="1">
      <c r="A773" s="29"/>
    </row>
    <row r="774" ht="15.75" customHeight="1">
      <c r="A774" s="29"/>
    </row>
    <row r="775" ht="15.75" customHeight="1">
      <c r="A775" s="29"/>
    </row>
    <row r="776" ht="15.75" customHeight="1">
      <c r="A776" s="29"/>
    </row>
    <row r="777" ht="15.75" customHeight="1">
      <c r="A777" s="29"/>
    </row>
    <row r="778" ht="15.75" customHeight="1">
      <c r="A778" s="29"/>
    </row>
    <row r="779" ht="15.75" customHeight="1">
      <c r="A779" s="29"/>
    </row>
    <row r="780" ht="15.75" customHeight="1">
      <c r="A780" s="29"/>
    </row>
    <row r="781" ht="15.75" customHeight="1">
      <c r="A781" s="29"/>
    </row>
    <row r="782" ht="15.75" customHeight="1">
      <c r="A782" s="29"/>
    </row>
    <row r="783" ht="15.75" customHeight="1">
      <c r="A783" s="29"/>
    </row>
    <row r="784" ht="15.75" customHeight="1">
      <c r="A784" s="29"/>
    </row>
    <row r="785" ht="15.75" customHeight="1">
      <c r="A785" s="29"/>
    </row>
    <row r="786" ht="15.75" customHeight="1">
      <c r="A786" s="29"/>
    </row>
    <row r="787" ht="15.75" customHeight="1">
      <c r="A787" s="29"/>
    </row>
    <row r="788" ht="15.75" customHeight="1">
      <c r="A788" s="29"/>
    </row>
    <row r="789" ht="15.75" customHeight="1">
      <c r="A789" s="29"/>
    </row>
    <row r="790" ht="15.75" customHeight="1">
      <c r="A790" s="29"/>
    </row>
    <row r="791" ht="15.75" customHeight="1">
      <c r="A791" s="29"/>
    </row>
    <row r="792" ht="15.75" customHeight="1">
      <c r="A792" s="29"/>
    </row>
    <row r="793" ht="15.75" customHeight="1">
      <c r="A793" s="29"/>
    </row>
    <row r="794" ht="15.75" customHeight="1">
      <c r="A794" s="29"/>
    </row>
    <row r="795" ht="15.75" customHeight="1">
      <c r="A795" s="29"/>
    </row>
    <row r="796" ht="15.75" customHeight="1">
      <c r="A796" s="29"/>
    </row>
    <row r="797" ht="15.75" customHeight="1">
      <c r="A797" s="29"/>
    </row>
    <row r="798" ht="15.75" customHeight="1">
      <c r="A798" s="29"/>
    </row>
    <row r="799" ht="15.75" customHeight="1">
      <c r="A799" s="29"/>
    </row>
    <row r="800" ht="15.75" customHeight="1">
      <c r="A800" s="29"/>
    </row>
    <row r="801" ht="15.75" customHeight="1">
      <c r="A801" s="29"/>
    </row>
    <row r="802" ht="15.75" customHeight="1">
      <c r="A802" s="29"/>
    </row>
    <row r="803" ht="15.75" customHeight="1">
      <c r="A803" s="29"/>
    </row>
    <row r="804" ht="15.75" customHeight="1">
      <c r="A804" s="29"/>
    </row>
    <row r="805" ht="15.75" customHeight="1">
      <c r="A805" s="29"/>
    </row>
    <row r="806" ht="15.75" customHeight="1">
      <c r="A806" s="29"/>
    </row>
    <row r="807" ht="15.75" customHeight="1">
      <c r="A807" s="29"/>
    </row>
    <row r="808" ht="15.75" customHeight="1">
      <c r="A808" s="29"/>
    </row>
    <row r="809" ht="15.75" customHeight="1">
      <c r="A809" s="29"/>
    </row>
    <row r="810" ht="15.75" customHeight="1">
      <c r="A810" s="29"/>
    </row>
    <row r="811" ht="15.75" customHeight="1">
      <c r="A811" s="29"/>
    </row>
    <row r="812" ht="15.75" customHeight="1">
      <c r="A812" s="29"/>
    </row>
    <row r="813" ht="15.75" customHeight="1">
      <c r="A813" s="29"/>
    </row>
    <row r="814" ht="15.75" customHeight="1">
      <c r="A814" s="29"/>
    </row>
    <row r="815" ht="15.75" customHeight="1">
      <c r="A815" s="29"/>
    </row>
    <row r="816" ht="15.75" customHeight="1">
      <c r="A816" s="29"/>
    </row>
    <row r="817" ht="15.75" customHeight="1">
      <c r="A817" s="29"/>
    </row>
    <row r="818" ht="15.75" customHeight="1">
      <c r="A818" s="29"/>
    </row>
    <row r="819" ht="15.75" customHeight="1">
      <c r="A819" s="29"/>
    </row>
    <row r="820" ht="15.75" customHeight="1">
      <c r="A820" s="29"/>
    </row>
    <row r="821" ht="15.75" customHeight="1">
      <c r="A821" s="29"/>
    </row>
    <row r="822" ht="15.75" customHeight="1">
      <c r="A822" s="29"/>
    </row>
    <row r="823" ht="15.75" customHeight="1">
      <c r="A823" s="29"/>
    </row>
    <row r="824" ht="15.75" customHeight="1">
      <c r="A824" s="29"/>
    </row>
    <row r="825" ht="15.75" customHeight="1">
      <c r="A825" s="29"/>
    </row>
    <row r="826" ht="15.75" customHeight="1">
      <c r="A826" s="29"/>
    </row>
    <row r="827" ht="15.75" customHeight="1">
      <c r="A827" s="29"/>
    </row>
    <row r="828" ht="15.75" customHeight="1">
      <c r="A828" s="29"/>
    </row>
    <row r="829" ht="15.75" customHeight="1">
      <c r="A829" s="29"/>
    </row>
    <row r="830" ht="15.75" customHeight="1">
      <c r="A830" s="29"/>
    </row>
    <row r="831" ht="15.75" customHeight="1">
      <c r="A831" s="29"/>
    </row>
    <row r="832" ht="15.75" customHeight="1">
      <c r="A832" s="29"/>
    </row>
    <row r="833" ht="15.75" customHeight="1">
      <c r="A833" s="29"/>
    </row>
    <row r="834" ht="15.75" customHeight="1">
      <c r="A834" s="29"/>
    </row>
    <row r="835" ht="15.75" customHeight="1">
      <c r="A835" s="29"/>
    </row>
    <row r="836" ht="15.75" customHeight="1">
      <c r="A836" s="29"/>
    </row>
    <row r="837" ht="15.75" customHeight="1">
      <c r="A837" s="29"/>
    </row>
    <row r="838" ht="15.75" customHeight="1">
      <c r="A838" s="29"/>
    </row>
    <row r="839" ht="15.75" customHeight="1">
      <c r="A839" s="29"/>
    </row>
    <row r="840" ht="15.75" customHeight="1">
      <c r="A840" s="29"/>
    </row>
    <row r="841" ht="15.75" customHeight="1">
      <c r="A841" s="29"/>
    </row>
    <row r="842" ht="15.75" customHeight="1">
      <c r="A842" s="29"/>
    </row>
    <row r="843" ht="15.75" customHeight="1">
      <c r="A843" s="29"/>
    </row>
    <row r="844" ht="15.75" customHeight="1">
      <c r="A844" s="29"/>
    </row>
    <row r="845" ht="15.75" customHeight="1">
      <c r="A845" s="29"/>
    </row>
    <row r="846" ht="15.75" customHeight="1">
      <c r="A846" s="29"/>
    </row>
    <row r="847" ht="15.75" customHeight="1">
      <c r="A847" s="29"/>
    </row>
    <row r="848" ht="15.75" customHeight="1">
      <c r="A848" s="29"/>
    </row>
    <row r="849" ht="15.75" customHeight="1">
      <c r="A849" s="29"/>
    </row>
    <row r="850" ht="15.75" customHeight="1">
      <c r="A850" s="29"/>
    </row>
    <row r="851" ht="15.75" customHeight="1">
      <c r="A851" s="29"/>
    </row>
    <row r="852" ht="15.75" customHeight="1">
      <c r="A852" s="29"/>
    </row>
    <row r="853" ht="15.75" customHeight="1">
      <c r="A853" s="29"/>
    </row>
    <row r="854" ht="15.75" customHeight="1">
      <c r="A854" s="29"/>
    </row>
    <row r="855" ht="15.75" customHeight="1">
      <c r="A855" s="29"/>
    </row>
    <row r="856" ht="15.75" customHeight="1">
      <c r="A856" s="29"/>
    </row>
    <row r="857" ht="15.75" customHeight="1">
      <c r="A857" s="29"/>
    </row>
    <row r="858" ht="15.75" customHeight="1">
      <c r="A858" s="29"/>
    </row>
    <row r="859" ht="15.75" customHeight="1">
      <c r="A859" s="29"/>
    </row>
    <row r="860" ht="15.75" customHeight="1">
      <c r="A860" s="29"/>
    </row>
    <row r="861" ht="15.75" customHeight="1">
      <c r="A861" s="29"/>
    </row>
    <row r="862" ht="15.75" customHeight="1">
      <c r="A862" s="29"/>
    </row>
    <row r="863" ht="15.75" customHeight="1">
      <c r="A863" s="29"/>
    </row>
    <row r="864" ht="15.75" customHeight="1">
      <c r="A864" s="29"/>
    </row>
    <row r="865" ht="15.75" customHeight="1">
      <c r="A865" s="29"/>
    </row>
    <row r="866" ht="15.75" customHeight="1">
      <c r="A866" s="29"/>
    </row>
    <row r="867" ht="15.75" customHeight="1">
      <c r="A867" s="29"/>
    </row>
    <row r="868" ht="15.75" customHeight="1">
      <c r="A868" s="29"/>
    </row>
    <row r="869" ht="15.75" customHeight="1">
      <c r="A869" s="29"/>
    </row>
    <row r="870" ht="15.75" customHeight="1">
      <c r="A870" s="29"/>
    </row>
    <row r="871" ht="15.75" customHeight="1">
      <c r="A871" s="29"/>
    </row>
    <row r="872" ht="15.75" customHeight="1">
      <c r="A872" s="29"/>
    </row>
    <row r="873" ht="15.75" customHeight="1">
      <c r="A873" s="29"/>
    </row>
    <row r="874" ht="15.75" customHeight="1">
      <c r="A874" s="29"/>
    </row>
    <row r="875" ht="15.75" customHeight="1">
      <c r="A875" s="29"/>
    </row>
    <row r="876" ht="15.75" customHeight="1">
      <c r="A876" s="29"/>
    </row>
    <row r="877" ht="15.75" customHeight="1">
      <c r="A877" s="29"/>
    </row>
    <row r="878" ht="15.75" customHeight="1">
      <c r="A878" s="29"/>
    </row>
    <row r="879" ht="15.75" customHeight="1">
      <c r="A879" s="29"/>
    </row>
    <row r="880" ht="15.75" customHeight="1">
      <c r="A880" s="29"/>
    </row>
    <row r="881" ht="15.75" customHeight="1">
      <c r="A881" s="29"/>
    </row>
    <row r="882" ht="15.75" customHeight="1">
      <c r="A882" s="29"/>
    </row>
    <row r="883" ht="15.75" customHeight="1">
      <c r="A883" s="29"/>
    </row>
    <row r="884" ht="15.75" customHeight="1">
      <c r="A884" s="29"/>
    </row>
    <row r="885" ht="15.75" customHeight="1">
      <c r="A885" s="29"/>
    </row>
    <row r="886" ht="15.75" customHeight="1">
      <c r="A886" s="29"/>
    </row>
    <row r="887" ht="15.75" customHeight="1">
      <c r="A887" s="29"/>
    </row>
    <row r="888" ht="15.75" customHeight="1">
      <c r="A888" s="29"/>
    </row>
    <row r="889" ht="15.75" customHeight="1">
      <c r="A889" s="29"/>
    </row>
    <row r="890" ht="15.75" customHeight="1">
      <c r="A890" s="29"/>
    </row>
    <row r="891" ht="15.75" customHeight="1">
      <c r="A891" s="29"/>
    </row>
    <row r="892" ht="15.75" customHeight="1">
      <c r="A892" s="29"/>
    </row>
    <row r="893" ht="15.75" customHeight="1">
      <c r="A893" s="29"/>
    </row>
    <row r="894" ht="15.75" customHeight="1">
      <c r="A894" s="29"/>
    </row>
    <row r="895" ht="15.75" customHeight="1">
      <c r="A895" s="29"/>
    </row>
    <row r="896" ht="15.75" customHeight="1">
      <c r="A896" s="29"/>
    </row>
    <row r="897" ht="15.75" customHeight="1">
      <c r="A897" s="29"/>
    </row>
    <row r="898" ht="15.75" customHeight="1">
      <c r="A898" s="29"/>
    </row>
    <row r="899" ht="15.75" customHeight="1">
      <c r="A899" s="29"/>
    </row>
    <row r="900" ht="15.75" customHeight="1">
      <c r="A900" s="29"/>
    </row>
    <row r="901" ht="15.75" customHeight="1">
      <c r="A901" s="29"/>
    </row>
    <row r="902" ht="15.75" customHeight="1">
      <c r="A902" s="29"/>
    </row>
    <row r="903" ht="15.75" customHeight="1">
      <c r="A903" s="29"/>
    </row>
    <row r="904" ht="15.75" customHeight="1">
      <c r="A904" s="29"/>
    </row>
    <row r="905" ht="15.75" customHeight="1">
      <c r="A905" s="29"/>
    </row>
    <row r="906" ht="15.75" customHeight="1">
      <c r="A906" s="29"/>
    </row>
    <row r="907" ht="15.75" customHeight="1">
      <c r="A907" s="29"/>
    </row>
    <row r="908" ht="15.75" customHeight="1">
      <c r="A908" s="29"/>
    </row>
    <row r="909" ht="15.75" customHeight="1">
      <c r="A909" s="29"/>
    </row>
    <row r="910" ht="15.75" customHeight="1">
      <c r="A910" s="29"/>
    </row>
    <row r="911" ht="15.75" customHeight="1">
      <c r="A911" s="29"/>
    </row>
    <row r="912" ht="15.75" customHeight="1">
      <c r="A912" s="29"/>
    </row>
    <row r="913" ht="15.75" customHeight="1">
      <c r="A913" s="29"/>
    </row>
    <row r="914" ht="15.75" customHeight="1">
      <c r="A914" s="29"/>
    </row>
    <row r="915" ht="15.75" customHeight="1">
      <c r="A915" s="29"/>
    </row>
    <row r="916" ht="15.75" customHeight="1">
      <c r="A916" s="29"/>
    </row>
    <row r="917" ht="15.75" customHeight="1">
      <c r="A917" s="29"/>
    </row>
    <row r="918" ht="15.75" customHeight="1">
      <c r="A918" s="29"/>
    </row>
    <row r="919" ht="15.75" customHeight="1">
      <c r="A919" s="29"/>
    </row>
    <row r="920" ht="15.75" customHeight="1">
      <c r="A920" s="29"/>
    </row>
    <row r="921" ht="15.75" customHeight="1">
      <c r="A921" s="29"/>
    </row>
    <row r="922" ht="15.75" customHeight="1">
      <c r="A922" s="29"/>
    </row>
    <row r="923" ht="15.75" customHeight="1">
      <c r="A923" s="29"/>
    </row>
    <row r="924" ht="15.75" customHeight="1">
      <c r="A924" s="29"/>
    </row>
    <row r="925" ht="15.75" customHeight="1">
      <c r="A925" s="29"/>
    </row>
    <row r="926" ht="15.75" customHeight="1">
      <c r="A926" s="29"/>
    </row>
    <row r="927" ht="15.75" customHeight="1">
      <c r="A927" s="29"/>
    </row>
    <row r="928" ht="15.75" customHeight="1">
      <c r="A928" s="29"/>
    </row>
    <row r="929" ht="15.75" customHeight="1">
      <c r="A929" s="29"/>
    </row>
    <row r="930" ht="15.75" customHeight="1">
      <c r="A930" s="29"/>
    </row>
    <row r="931" ht="15.75" customHeight="1">
      <c r="A931" s="29"/>
    </row>
    <row r="932" ht="15.75" customHeight="1">
      <c r="A932" s="29"/>
    </row>
    <row r="933" ht="15.75" customHeight="1">
      <c r="A933" s="29"/>
    </row>
    <row r="934" ht="15.75" customHeight="1">
      <c r="A934" s="29"/>
    </row>
    <row r="935" ht="15.75" customHeight="1">
      <c r="A935" s="29"/>
    </row>
    <row r="936" ht="15.75" customHeight="1">
      <c r="A936" s="29"/>
    </row>
    <row r="937" ht="15.75" customHeight="1">
      <c r="A937" s="29"/>
    </row>
    <row r="938" ht="15.75" customHeight="1">
      <c r="A938" s="29"/>
    </row>
    <row r="939" ht="15.75" customHeight="1">
      <c r="A939" s="29"/>
    </row>
    <row r="940" ht="15.75" customHeight="1">
      <c r="A940" s="29"/>
    </row>
    <row r="941" ht="15.75" customHeight="1">
      <c r="A941" s="29"/>
    </row>
    <row r="942" ht="15.75" customHeight="1">
      <c r="A942" s="29"/>
    </row>
    <row r="943" ht="15.75" customHeight="1">
      <c r="A943" s="29"/>
    </row>
    <row r="944" ht="15.75" customHeight="1">
      <c r="A944" s="29"/>
    </row>
    <row r="945" ht="15.75" customHeight="1">
      <c r="A945" s="29"/>
    </row>
    <row r="946" ht="15.75" customHeight="1">
      <c r="A946" s="29"/>
    </row>
    <row r="947" ht="15.75" customHeight="1">
      <c r="A947" s="29"/>
    </row>
    <row r="948" ht="15.75" customHeight="1">
      <c r="A948" s="29"/>
    </row>
    <row r="949" ht="15.75" customHeight="1">
      <c r="A949" s="29"/>
    </row>
    <row r="950" ht="15.75" customHeight="1">
      <c r="A950" s="29"/>
    </row>
    <row r="951" ht="15.75" customHeight="1">
      <c r="A951" s="29"/>
    </row>
    <row r="952" ht="15.75" customHeight="1">
      <c r="A952" s="29"/>
    </row>
    <row r="953" ht="15.75" customHeight="1">
      <c r="A953" s="29"/>
    </row>
    <row r="954" ht="15.75" customHeight="1">
      <c r="A954" s="29"/>
    </row>
    <row r="955" ht="15.75" customHeight="1">
      <c r="A955" s="29"/>
    </row>
    <row r="956" ht="15.75" customHeight="1">
      <c r="A956" s="29"/>
    </row>
    <row r="957" ht="15.75" customHeight="1">
      <c r="A957" s="29"/>
    </row>
    <row r="958" ht="15.75" customHeight="1">
      <c r="A958" s="29"/>
    </row>
    <row r="959" ht="15.75" customHeight="1">
      <c r="A959" s="29"/>
    </row>
    <row r="960" ht="15.75" customHeight="1">
      <c r="A960" s="29"/>
    </row>
    <row r="961" ht="15.75" customHeight="1">
      <c r="A961" s="29"/>
    </row>
    <row r="962" ht="15.75" customHeight="1">
      <c r="A962" s="29"/>
    </row>
    <row r="963" ht="15.75" customHeight="1">
      <c r="A963" s="29"/>
    </row>
    <row r="964" ht="15.75" customHeight="1">
      <c r="A964" s="29"/>
    </row>
    <row r="965" ht="15.75" customHeight="1">
      <c r="A965" s="29"/>
    </row>
    <row r="966" ht="15.75" customHeight="1">
      <c r="A966" s="29"/>
    </row>
    <row r="967" ht="15.75" customHeight="1">
      <c r="A967" s="29"/>
    </row>
    <row r="968" ht="15.75" customHeight="1">
      <c r="A968" s="29"/>
    </row>
    <row r="969" ht="15.75" customHeight="1">
      <c r="A969" s="29"/>
    </row>
    <row r="970" ht="15.75" customHeight="1">
      <c r="A970" s="29"/>
    </row>
    <row r="971" ht="15.75" customHeight="1">
      <c r="A971" s="29"/>
    </row>
    <row r="972" ht="15.75" customHeight="1">
      <c r="A972" s="29"/>
    </row>
    <row r="973" ht="15.75" customHeight="1">
      <c r="A973" s="29"/>
    </row>
    <row r="974" ht="15.75" customHeight="1">
      <c r="A974" s="29"/>
    </row>
    <row r="975" ht="15.75" customHeight="1">
      <c r="A975" s="29"/>
    </row>
    <row r="976" ht="15.75" customHeight="1">
      <c r="A976" s="29"/>
    </row>
    <row r="977" ht="15.75" customHeight="1">
      <c r="A977" s="29"/>
    </row>
    <row r="978" ht="15.75" customHeight="1">
      <c r="A978" s="29"/>
    </row>
    <row r="979" ht="15.75" customHeight="1">
      <c r="A979" s="29"/>
    </row>
    <row r="980" ht="15.75" customHeight="1">
      <c r="A980" s="29"/>
    </row>
    <row r="981" ht="15.75" customHeight="1">
      <c r="A981" s="29"/>
    </row>
    <row r="982" ht="15.75" customHeight="1">
      <c r="A982" s="29"/>
    </row>
    <row r="983" ht="15.75" customHeight="1">
      <c r="A983" s="29"/>
    </row>
    <row r="984" ht="15.75" customHeight="1">
      <c r="A984" s="29"/>
    </row>
    <row r="985" ht="15.75" customHeight="1">
      <c r="A985" s="29"/>
    </row>
    <row r="986" ht="15.75" customHeight="1">
      <c r="A986" s="29"/>
    </row>
    <row r="987" ht="15.75" customHeight="1">
      <c r="A987" s="29"/>
    </row>
    <row r="988" ht="15.75" customHeight="1">
      <c r="A988" s="29"/>
    </row>
    <row r="989" ht="15.75" customHeight="1">
      <c r="A989" s="29"/>
    </row>
    <row r="990" ht="15.75" customHeight="1">
      <c r="A990" s="29"/>
    </row>
    <row r="991" ht="15.75" customHeight="1">
      <c r="A991" s="29"/>
    </row>
    <row r="992" ht="15.75" customHeight="1">
      <c r="A992" s="29"/>
    </row>
    <row r="993" ht="15.75" customHeight="1">
      <c r="A993" s="29"/>
    </row>
    <row r="994" ht="15.75" customHeight="1">
      <c r="A994" s="29"/>
    </row>
    <row r="995" ht="15.75" customHeight="1">
      <c r="A995" s="29"/>
    </row>
    <row r="996" ht="15.75" customHeight="1">
      <c r="A996" s="29"/>
    </row>
    <row r="997" ht="15.75" customHeight="1">
      <c r="A997" s="29"/>
    </row>
    <row r="998" ht="15.75" customHeight="1">
      <c r="A998" s="29"/>
    </row>
    <row r="999" ht="15.75" customHeight="1">
      <c r="A999" s="29"/>
    </row>
    <row r="1000" ht="15.75" customHeight="1">
      <c r="A1000" s="29"/>
    </row>
  </sheetData>
  <autoFilter ref="$A$1:$D$1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2" max="2" width="11.75"/>
    <col customWidth="1" min="3" max="3" width="18.25"/>
    <col customWidth="1" min="4" max="4" width="17.88"/>
    <col customWidth="1" min="5" max="6" width="9.38"/>
  </cols>
  <sheetData>
    <row r="1" ht="51.75" customHeight="1">
      <c r="A1" s="1" t="s">
        <v>0</v>
      </c>
      <c r="B1" s="2" t="s">
        <v>3</v>
      </c>
      <c r="C1" s="46" t="s">
        <v>483</v>
      </c>
      <c r="D1" s="46" t="s">
        <v>484</v>
      </c>
    </row>
    <row r="2">
      <c r="A2" s="6">
        <v>10101.0</v>
      </c>
      <c r="B2" s="7" t="s">
        <v>13</v>
      </c>
      <c r="C2" s="83">
        <v>106.0</v>
      </c>
      <c r="D2" s="83">
        <v>132.0</v>
      </c>
    </row>
    <row r="3">
      <c r="A3" s="6">
        <v>10102.0</v>
      </c>
      <c r="B3" s="7" t="s">
        <v>14</v>
      </c>
      <c r="C3" s="83">
        <v>4.0</v>
      </c>
      <c r="D3" s="83">
        <v>9.0</v>
      </c>
    </row>
    <row r="4">
      <c r="A4" s="6">
        <v>10103.0</v>
      </c>
      <c r="B4" s="7" t="s">
        <v>16</v>
      </c>
      <c r="C4" s="83">
        <v>14.0</v>
      </c>
      <c r="D4" s="83">
        <v>17.0</v>
      </c>
    </row>
    <row r="5">
      <c r="A5" s="6">
        <v>10201.0</v>
      </c>
      <c r="B5" s="7" t="s">
        <v>19</v>
      </c>
      <c r="C5" s="83">
        <v>6.0</v>
      </c>
      <c r="D5" s="83">
        <v>9.0</v>
      </c>
    </row>
    <row r="6">
      <c r="A6" s="6">
        <v>10202.0</v>
      </c>
      <c r="B6" s="7" t="s">
        <v>21</v>
      </c>
      <c r="C6" s="83">
        <v>6.0</v>
      </c>
      <c r="D6" s="83">
        <v>12.0</v>
      </c>
    </row>
    <row r="7">
      <c r="A7" s="6">
        <v>10301.0</v>
      </c>
      <c r="B7" s="7" t="s">
        <v>24</v>
      </c>
      <c r="C7" s="83">
        <v>8.0</v>
      </c>
      <c r="D7" s="83">
        <v>3.0</v>
      </c>
    </row>
    <row r="8">
      <c r="A8" s="6">
        <v>10302.0</v>
      </c>
      <c r="B8" s="7" t="s">
        <v>26</v>
      </c>
      <c r="C8" s="83">
        <v>16.0</v>
      </c>
      <c r="D8" s="83">
        <v>8.0</v>
      </c>
    </row>
    <row r="9">
      <c r="A9" s="6">
        <v>10303.0</v>
      </c>
      <c r="B9" s="7" t="s">
        <v>28</v>
      </c>
      <c r="C9" s="83">
        <v>7.0</v>
      </c>
      <c r="D9" s="83">
        <v>5.0</v>
      </c>
    </row>
    <row r="10">
      <c r="A10" s="6">
        <v>10304.0</v>
      </c>
      <c r="B10" s="7" t="s">
        <v>30</v>
      </c>
      <c r="C10" s="83">
        <v>2.0</v>
      </c>
      <c r="D10" s="83">
        <v>5.0</v>
      </c>
    </row>
    <row r="11">
      <c r="A11" s="6">
        <v>10401.0</v>
      </c>
      <c r="B11" s="7" t="s">
        <v>33</v>
      </c>
      <c r="C11" s="83">
        <v>7.0</v>
      </c>
      <c r="D11" s="83">
        <v>3.0</v>
      </c>
    </row>
    <row r="12">
      <c r="A12" s="6">
        <v>10402.0</v>
      </c>
      <c r="B12" s="7" t="s">
        <v>32</v>
      </c>
      <c r="C12" s="83">
        <v>6.0</v>
      </c>
      <c r="D12" s="83">
        <v>3.0</v>
      </c>
    </row>
    <row r="13">
      <c r="A13" s="6">
        <v>10403.0</v>
      </c>
      <c r="B13" s="7" t="s">
        <v>36</v>
      </c>
      <c r="C13" s="83">
        <v>2.0</v>
      </c>
      <c r="D13" s="83">
        <v>3.0</v>
      </c>
    </row>
    <row r="14">
      <c r="A14" s="6">
        <v>10404.0</v>
      </c>
      <c r="B14" s="7" t="s">
        <v>37</v>
      </c>
      <c r="C14" s="83">
        <v>0.0</v>
      </c>
      <c r="D14" s="83">
        <v>1.0</v>
      </c>
    </row>
    <row r="15">
      <c r="A15" s="6">
        <v>10405.0</v>
      </c>
      <c r="B15" s="7" t="s">
        <v>38</v>
      </c>
      <c r="C15" s="83">
        <v>2.0</v>
      </c>
      <c r="D15" s="83">
        <v>4.0</v>
      </c>
    </row>
    <row r="16">
      <c r="A16" s="6">
        <v>10501.0</v>
      </c>
      <c r="B16" s="7" t="s">
        <v>40</v>
      </c>
      <c r="C16" s="83">
        <v>17.0</v>
      </c>
      <c r="D16" s="83">
        <v>10.0</v>
      </c>
    </row>
    <row r="17">
      <c r="A17" s="6">
        <v>10502.0</v>
      </c>
      <c r="B17" s="7" t="s">
        <v>41</v>
      </c>
      <c r="C17" s="83">
        <v>2.0</v>
      </c>
      <c r="D17" s="83">
        <v>4.0</v>
      </c>
    </row>
    <row r="18">
      <c r="A18" s="6">
        <v>10601.0</v>
      </c>
      <c r="B18" s="7" t="s">
        <v>43</v>
      </c>
      <c r="C18" s="83">
        <v>13.0</v>
      </c>
      <c r="D18" s="83">
        <v>13.0</v>
      </c>
    </row>
    <row r="19">
      <c r="A19" s="6">
        <v>10602.0</v>
      </c>
      <c r="B19" s="7" t="s">
        <v>42</v>
      </c>
      <c r="C19" s="83">
        <v>2.0</v>
      </c>
      <c r="D19" s="83">
        <v>4.0</v>
      </c>
    </row>
    <row r="20">
      <c r="A20" s="6">
        <v>10701.0</v>
      </c>
      <c r="B20" s="7" t="s">
        <v>45</v>
      </c>
      <c r="C20" s="83">
        <v>3.0</v>
      </c>
      <c r="D20" s="83">
        <v>11.0</v>
      </c>
    </row>
    <row r="21" ht="15.75" customHeight="1">
      <c r="A21" s="6">
        <v>10702.0</v>
      </c>
      <c r="B21" s="7" t="s">
        <v>46</v>
      </c>
      <c r="C21" s="83">
        <v>22.0</v>
      </c>
      <c r="D21" s="83">
        <v>31.0</v>
      </c>
    </row>
    <row r="22" ht="15.75" customHeight="1">
      <c r="A22" s="6">
        <v>10703.0</v>
      </c>
      <c r="B22" s="7" t="s">
        <v>47</v>
      </c>
      <c r="C22" s="83">
        <v>9.0</v>
      </c>
      <c r="D22" s="83">
        <v>16.0</v>
      </c>
    </row>
    <row r="23" ht="15.75" customHeight="1">
      <c r="A23" s="6">
        <v>10704.0</v>
      </c>
      <c r="B23" s="7" t="s">
        <v>48</v>
      </c>
      <c r="C23" s="83">
        <v>17.0</v>
      </c>
      <c r="D23" s="83">
        <v>9.0</v>
      </c>
    </row>
    <row r="24" ht="15.75" customHeight="1">
      <c r="A24" s="6">
        <v>10801.0</v>
      </c>
      <c r="B24" s="7" t="s">
        <v>50</v>
      </c>
      <c r="C24" s="83">
        <v>1.0</v>
      </c>
      <c r="D24" s="83">
        <v>5.0</v>
      </c>
    </row>
    <row r="25" ht="15.75" customHeight="1">
      <c r="A25" s="6">
        <v>10901.0</v>
      </c>
      <c r="B25" s="7" t="s">
        <v>52</v>
      </c>
      <c r="C25" s="83">
        <v>1.0</v>
      </c>
      <c r="D25" s="83">
        <v>2.0</v>
      </c>
    </row>
    <row r="26" ht="15.75" customHeight="1">
      <c r="A26" s="6">
        <v>10902.0</v>
      </c>
      <c r="B26" s="7" t="s">
        <v>53</v>
      </c>
      <c r="C26" s="83">
        <v>7.0</v>
      </c>
      <c r="D26" s="83">
        <v>17.0</v>
      </c>
    </row>
    <row r="27" ht="15.75" customHeight="1">
      <c r="A27" s="6">
        <v>10903.0</v>
      </c>
      <c r="B27" s="7" t="s">
        <v>54</v>
      </c>
      <c r="C27" s="83">
        <v>1.0</v>
      </c>
      <c r="D27" s="83">
        <v>1.0</v>
      </c>
    </row>
    <row r="28" ht="15.75" customHeight="1">
      <c r="A28" s="6">
        <v>11001.0</v>
      </c>
      <c r="B28" s="7" t="s">
        <v>56</v>
      </c>
      <c r="C28" s="83">
        <v>4.0</v>
      </c>
      <c r="D28" s="83">
        <v>4.0</v>
      </c>
    </row>
    <row r="29" ht="15.75" customHeight="1">
      <c r="A29" s="6">
        <v>11002.0</v>
      </c>
      <c r="B29" s="7" t="s">
        <v>57</v>
      </c>
      <c r="C29" s="83">
        <v>1.0</v>
      </c>
      <c r="D29" s="83">
        <v>3.0</v>
      </c>
    </row>
    <row r="30" ht="15.75" customHeight="1">
      <c r="A30" s="6">
        <v>11003.0</v>
      </c>
      <c r="B30" s="7" t="s">
        <v>58</v>
      </c>
      <c r="C30" s="83">
        <v>1.0</v>
      </c>
      <c r="D30" s="83">
        <v>8.0</v>
      </c>
    </row>
    <row r="31" ht="15.75" customHeight="1">
      <c r="A31" s="6">
        <v>20101.0</v>
      </c>
      <c r="B31" s="7" t="s">
        <v>60</v>
      </c>
      <c r="C31" s="83">
        <v>398.0</v>
      </c>
      <c r="D31" s="83">
        <v>380.0</v>
      </c>
    </row>
    <row r="32" ht="15.75" customHeight="1">
      <c r="A32" s="6">
        <v>20102.0</v>
      </c>
      <c r="B32" s="7" t="s">
        <v>61</v>
      </c>
      <c r="C32" s="83">
        <v>23.0</v>
      </c>
      <c r="D32" s="83">
        <v>28.0</v>
      </c>
    </row>
    <row r="33" ht="15.75" customHeight="1">
      <c r="A33" s="6">
        <v>20103.0</v>
      </c>
      <c r="B33" s="7" t="s">
        <v>62</v>
      </c>
      <c r="C33" s="83">
        <v>12.0</v>
      </c>
      <c r="D33" s="83">
        <v>14.0</v>
      </c>
    </row>
    <row r="34" ht="15.75" customHeight="1">
      <c r="A34" s="6">
        <v>20104.0</v>
      </c>
      <c r="B34" s="7" t="s">
        <v>63</v>
      </c>
      <c r="C34" s="83">
        <v>24.0</v>
      </c>
      <c r="D34" s="83">
        <v>40.0</v>
      </c>
    </row>
    <row r="35" ht="15.75" customHeight="1">
      <c r="A35" s="6">
        <v>20105.0</v>
      </c>
      <c r="B35" s="7" t="s">
        <v>64</v>
      </c>
      <c r="C35" s="83">
        <v>575.0</v>
      </c>
      <c r="D35" s="83">
        <v>794.0</v>
      </c>
    </row>
    <row r="36" ht="15.75" customHeight="1">
      <c r="A36" s="6">
        <v>20201.0</v>
      </c>
      <c r="B36" s="7" t="s">
        <v>66</v>
      </c>
      <c r="C36" s="83">
        <v>3.0</v>
      </c>
      <c r="D36" s="83">
        <v>43.0</v>
      </c>
    </row>
    <row r="37" ht="15.75" customHeight="1">
      <c r="A37" s="6">
        <v>20202.0</v>
      </c>
      <c r="B37" s="7" t="s">
        <v>67</v>
      </c>
      <c r="C37" s="83">
        <v>7.0</v>
      </c>
      <c r="D37" s="83">
        <v>11.0</v>
      </c>
    </row>
    <row r="38" ht="15.75" customHeight="1">
      <c r="A38" s="6">
        <v>20203.0</v>
      </c>
      <c r="B38" s="7" t="s">
        <v>68</v>
      </c>
      <c r="C38" s="83">
        <v>2.0</v>
      </c>
      <c r="D38" s="83">
        <v>7.0</v>
      </c>
    </row>
    <row r="39" ht="15.75" customHeight="1">
      <c r="A39" s="6">
        <v>20204.0</v>
      </c>
      <c r="B39" s="7" t="s">
        <v>69</v>
      </c>
      <c r="C39" s="83">
        <v>3.0</v>
      </c>
      <c r="D39" s="83">
        <v>8.0</v>
      </c>
    </row>
    <row r="40" ht="15.75" customHeight="1">
      <c r="A40" s="6">
        <v>20205.0</v>
      </c>
      <c r="B40" s="7" t="s">
        <v>70</v>
      </c>
      <c r="C40" s="83">
        <v>4.0</v>
      </c>
      <c r="D40" s="83">
        <v>6.0</v>
      </c>
    </row>
    <row r="41" ht="15.75" customHeight="1">
      <c r="A41" s="6">
        <v>20206.0</v>
      </c>
      <c r="B41" s="7" t="s">
        <v>71</v>
      </c>
      <c r="C41" s="83">
        <v>0.0</v>
      </c>
      <c r="D41" s="83">
        <v>3.0</v>
      </c>
    </row>
    <row r="42" ht="15.75" customHeight="1">
      <c r="A42" s="6">
        <v>20301.0</v>
      </c>
      <c r="B42" s="7" t="s">
        <v>73</v>
      </c>
      <c r="C42" s="83">
        <v>2.0</v>
      </c>
      <c r="D42" s="83">
        <v>17.0</v>
      </c>
    </row>
    <row r="43" ht="15.75" customHeight="1">
      <c r="A43" s="6">
        <v>20302.0</v>
      </c>
      <c r="B43" s="7" t="s">
        <v>74</v>
      </c>
      <c r="C43" s="83">
        <v>4.0</v>
      </c>
      <c r="D43" s="83">
        <v>12.0</v>
      </c>
    </row>
    <row r="44" ht="15.75" customHeight="1">
      <c r="A44" s="6">
        <v>20303.0</v>
      </c>
      <c r="B44" s="7" t="s">
        <v>75</v>
      </c>
      <c r="C44" s="83">
        <v>0.0</v>
      </c>
      <c r="D44" s="83">
        <v>11.0</v>
      </c>
    </row>
    <row r="45" ht="15.75" customHeight="1">
      <c r="A45" s="6">
        <v>20304.0</v>
      </c>
      <c r="B45" s="7" t="s">
        <v>76</v>
      </c>
      <c r="C45" s="83">
        <v>0.0</v>
      </c>
      <c r="D45" s="83">
        <v>4.0</v>
      </c>
    </row>
    <row r="46" ht="15.75" customHeight="1">
      <c r="A46" s="6">
        <v>20305.0</v>
      </c>
      <c r="B46" s="7" t="s">
        <v>77</v>
      </c>
      <c r="C46" s="83">
        <v>0.0</v>
      </c>
      <c r="D46" s="83">
        <v>6.0</v>
      </c>
    </row>
    <row r="47" ht="15.75" customHeight="1">
      <c r="A47" s="6">
        <v>20306.0</v>
      </c>
      <c r="B47" s="7" t="s">
        <v>78</v>
      </c>
      <c r="C47" s="83">
        <v>2.0</v>
      </c>
      <c r="D47" s="83">
        <v>7.0</v>
      </c>
    </row>
    <row r="48" ht="15.75" customHeight="1">
      <c r="A48" s="6">
        <v>20307.0</v>
      </c>
      <c r="B48" s="7" t="s">
        <v>79</v>
      </c>
      <c r="C48" s="83">
        <v>0.0</v>
      </c>
      <c r="D48" s="83">
        <v>1.0</v>
      </c>
    </row>
    <row r="49" ht="15.75" customHeight="1">
      <c r="A49" s="6">
        <v>20308.0</v>
      </c>
      <c r="B49" s="7" t="s">
        <v>80</v>
      </c>
      <c r="C49" s="83">
        <v>0.0</v>
      </c>
      <c r="D49" s="83">
        <v>3.0</v>
      </c>
    </row>
    <row r="50" ht="15.75" customHeight="1">
      <c r="A50" s="6">
        <v>20401.0</v>
      </c>
      <c r="B50" s="7" t="s">
        <v>82</v>
      </c>
      <c r="C50" s="83">
        <v>6.0</v>
      </c>
      <c r="D50" s="83">
        <v>10.0</v>
      </c>
    </row>
    <row r="51" ht="15.75" customHeight="1">
      <c r="A51" s="6">
        <v>20402.0</v>
      </c>
      <c r="B51" s="7" t="s">
        <v>83</v>
      </c>
      <c r="C51" s="83">
        <v>14.0</v>
      </c>
      <c r="D51" s="83">
        <v>11.0</v>
      </c>
    </row>
    <row r="52" ht="15.75" customHeight="1">
      <c r="A52" s="6">
        <v>20403.0</v>
      </c>
      <c r="B52" s="7" t="s">
        <v>84</v>
      </c>
      <c r="C52" s="83">
        <v>14.0</v>
      </c>
      <c r="D52" s="83">
        <v>17.0</v>
      </c>
    </row>
    <row r="53" ht="15.75" customHeight="1">
      <c r="A53" s="6">
        <v>20404.0</v>
      </c>
      <c r="B53" s="7" t="s">
        <v>85</v>
      </c>
      <c r="C53" s="83">
        <v>9.0</v>
      </c>
      <c r="D53" s="83">
        <v>2.0</v>
      </c>
    </row>
    <row r="54" ht="15.75" customHeight="1">
      <c r="A54" s="6">
        <v>20405.0</v>
      </c>
      <c r="B54" s="7" t="s">
        <v>86</v>
      </c>
      <c r="C54" s="83">
        <v>3.0</v>
      </c>
      <c r="D54" s="83">
        <v>6.0</v>
      </c>
    </row>
    <row r="55" ht="15.75" customHeight="1">
      <c r="A55" s="6">
        <v>20501.0</v>
      </c>
      <c r="B55" s="7" t="s">
        <v>88</v>
      </c>
      <c r="C55" s="83">
        <v>7.0</v>
      </c>
      <c r="D55" s="83">
        <v>8.0</v>
      </c>
    </row>
    <row r="56" ht="15.75" customHeight="1">
      <c r="A56" s="6">
        <v>20502.0</v>
      </c>
      <c r="B56" s="7" t="s">
        <v>89</v>
      </c>
      <c r="C56" s="83">
        <v>10.0</v>
      </c>
      <c r="D56" s="83">
        <v>3.0</v>
      </c>
    </row>
    <row r="57" ht="15.75" customHeight="1">
      <c r="A57" s="6">
        <v>20503.0</v>
      </c>
      <c r="B57" s="7" t="s">
        <v>90</v>
      </c>
      <c r="C57" s="83">
        <v>4.0</v>
      </c>
      <c r="D57" s="83">
        <v>4.0</v>
      </c>
    </row>
    <row r="58" ht="15.75" customHeight="1">
      <c r="A58" s="6">
        <v>20601.0</v>
      </c>
      <c r="B58" s="7" t="s">
        <v>92</v>
      </c>
      <c r="C58" s="83">
        <v>20.0</v>
      </c>
      <c r="D58" s="83">
        <v>23.0</v>
      </c>
    </row>
    <row r="59" ht="15.75" customHeight="1">
      <c r="A59" s="6">
        <v>20602.0</v>
      </c>
      <c r="B59" s="7" t="s">
        <v>93</v>
      </c>
      <c r="C59" s="83">
        <v>25.0</v>
      </c>
      <c r="D59" s="83">
        <v>23.0</v>
      </c>
    </row>
    <row r="60" ht="15.75" customHeight="1">
      <c r="A60" s="6">
        <v>20603.0</v>
      </c>
      <c r="B60" s="7" t="s">
        <v>94</v>
      </c>
      <c r="C60" s="83">
        <v>7.0</v>
      </c>
      <c r="D60" s="83">
        <v>1.0</v>
      </c>
    </row>
    <row r="61" ht="15.75" customHeight="1">
      <c r="A61" s="6">
        <v>20604.0</v>
      </c>
      <c r="B61" s="7" t="s">
        <v>95</v>
      </c>
      <c r="C61" s="83">
        <v>5.0</v>
      </c>
      <c r="D61" s="83">
        <v>8.0</v>
      </c>
    </row>
    <row r="62" ht="15.75" customHeight="1">
      <c r="A62" s="6">
        <v>20605.0</v>
      </c>
      <c r="B62" s="7" t="s">
        <v>96</v>
      </c>
      <c r="C62" s="83">
        <v>2.0</v>
      </c>
      <c r="D62" s="83">
        <v>2.0</v>
      </c>
    </row>
    <row r="63" ht="15.75" customHeight="1">
      <c r="A63" s="6">
        <v>20606.0</v>
      </c>
      <c r="B63" s="7" t="s">
        <v>97</v>
      </c>
      <c r="C63" s="83">
        <v>13.0</v>
      </c>
      <c r="D63" s="83">
        <v>12.0</v>
      </c>
    </row>
    <row r="64" ht="15.75" customHeight="1">
      <c r="A64" s="6">
        <v>20607.0</v>
      </c>
      <c r="B64" s="7" t="s">
        <v>98</v>
      </c>
      <c r="C64" s="83">
        <v>13.0</v>
      </c>
      <c r="D64" s="83">
        <v>26.0</v>
      </c>
    </row>
    <row r="65" ht="15.75" customHeight="1">
      <c r="A65" s="6">
        <v>20608.0</v>
      </c>
      <c r="B65" s="7" t="s">
        <v>99</v>
      </c>
      <c r="C65" s="83">
        <v>9.0</v>
      </c>
      <c r="D65" s="83">
        <v>15.0</v>
      </c>
    </row>
    <row r="66" ht="15.75" customHeight="1">
      <c r="A66" s="6">
        <v>20701.0</v>
      </c>
      <c r="B66" s="7" t="s">
        <v>101</v>
      </c>
      <c r="C66" s="83">
        <v>19.0</v>
      </c>
      <c r="D66" s="83">
        <v>31.0</v>
      </c>
    </row>
    <row r="67" ht="15.75" customHeight="1">
      <c r="A67" s="6">
        <v>20702.0</v>
      </c>
      <c r="B67" s="7" t="s">
        <v>102</v>
      </c>
      <c r="C67" s="83">
        <v>7.0</v>
      </c>
      <c r="D67" s="83">
        <v>7.0</v>
      </c>
    </row>
    <row r="68" ht="15.75" customHeight="1">
      <c r="A68" s="6">
        <v>20801.0</v>
      </c>
      <c r="B68" s="7" t="s">
        <v>104</v>
      </c>
      <c r="C68" s="83">
        <v>72.0</v>
      </c>
      <c r="D68" s="83">
        <v>108.0</v>
      </c>
    </row>
    <row r="69" ht="15.75" customHeight="1">
      <c r="A69" s="6">
        <v>20802.0</v>
      </c>
      <c r="B69" s="7" t="s">
        <v>105</v>
      </c>
      <c r="C69" s="83">
        <v>5.0</v>
      </c>
      <c r="D69" s="83">
        <v>11.0</v>
      </c>
    </row>
    <row r="70" ht="15.75" customHeight="1">
      <c r="A70" s="6">
        <v>20803.0</v>
      </c>
      <c r="B70" s="7" t="s">
        <v>106</v>
      </c>
      <c r="C70" s="83">
        <v>11.0</v>
      </c>
      <c r="D70" s="83">
        <v>8.0</v>
      </c>
    </row>
    <row r="71" ht="15.75" customHeight="1">
      <c r="A71" s="6">
        <v>20804.0</v>
      </c>
      <c r="B71" s="7" t="s">
        <v>107</v>
      </c>
      <c r="C71" s="83">
        <v>7.0</v>
      </c>
      <c r="D71" s="83">
        <v>8.0</v>
      </c>
    </row>
    <row r="72" ht="15.75" customHeight="1">
      <c r="A72" s="6">
        <v>20805.0</v>
      </c>
      <c r="B72" s="7" t="s">
        <v>108</v>
      </c>
      <c r="C72" s="83">
        <v>1.0</v>
      </c>
      <c r="D72" s="83">
        <v>5.0</v>
      </c>
    </row>
    <row r="73" ht="15.75" customHeight="1">
      <c r="A73" s="6">
        <v>20806.0</v>
      </c>
      <c r="B73" s="7" t="s">
        <v>109</v>
      </c>
      <c r="C73" s="83">
        <v>9.0</v>
      </c>
      <c r="D73" s="83">
        <v>5.0</v>
      </c>
    </row>
    <row r="74" ht="15.75" customHeight="1">
      <c r="A74" s="6">
        <v>20807.0</v>
      </c>
      <c r="B74" s="7" t="s">
        <v>110</v>
      </c>
      <c r="C74" s="83">
        <v>1.0</v>
      </c>
      <c r="D74" s="83">
        <v>2.0</v>
      </c>
    </row>
    <row r="75" ht="15.75" customHeight="1">
      <c r="A75" s="6">
        <v>20901.0</v>
      </c>
      <c r="B75" s="7" t="s">
        <v>112</v>
      </c>
      <c r="C75" s="83">
        <v>9.0</v>
      </c>
      <c r="D75" s="83">
        <v>3.0</v>
      </c>
    </row>
    <row r="76" ht="15.75" customHeight="1">
      <c r="A76" s="6">
        <v>20902.0</v>
      </c>
      <c r="B76" s="7" t="s">
        <v>113</v>
      </c>
      <c r="C76" s="83">
        <v>8.0</v>
      </c>
      <c r="D76" s="83">
        <v>20.0</v>
      </c>
    </row>
    <row r="77" ht="15.75" customHeight="1">
      <c r="A77" s="6">
        <v>20903.0</v>
      </c>
      <c r="B77" s="7" t="s">
        <v>114</v>
      </c>
      <c r="C77" s="83">
        <v>7.0</v>
      </c>
      <c r="D77" s="83">
        <v>9.0</v>
      </c>
    </row>
    <row r="78" ht="15.75" customHeight="1">
      <c r="A78" s="6">
        <v>20904.0</v>
      </c>
      <c r="B78" s="7" t="s">
        <v>115</v>
      </c>
      <c r="C78" s="83">
        <v>4.0</v>
      </c>
      <c r="D78" s="83">
        <v>1.0</v>
      </c>
    </row>
    <row r="79" ht="15.75" customHeight="1">
      <c r="A79" s="6">
        <v>20905.0</v>
      </c>
      <c r="B79" s="7" t="s">
        <v>116</v>
      </c>
      <c r="C79" s="83">
        <v>17.0</v>
      </c>
      <c r="D79" s="83">
        <v>11.0</v>
      </c>
    </row>
    <row r="80" ht="15.75" customHeight="1">
      <c r="A80" s="6">
        <v>21001.0</v>
      </c>
      <c r="B80" s="7" t="s">
        <v>117</v>
      </c>
      <c r="C80" s="83">
        <v>14.0</v>
      </c>
      <c r="D80" s="83">
        <v>12.0</v>
      </c>
    </row>
    <row r="81" ht="15.75" customHeight="1">
      <c r="A81" s="6">
        <v>21002.0</v>
      </c>
      <c r="B81" s="7" t="s">
        <v>118</v>
      </c>
      <c r="C81" s="83">
        <v>10.0</v>
      </c>
      <c r="D81" s="83">
        <v>15.0</v>
      </c>
    </row>
    <row r="82" ht="15.75" customHeight="1">
      <c r="A82" s="6">
        <v>21003.0</v>
      </c>
      <c r="B82" s="7" t="s">
        <v>119</v>
      </c>
      <c r="C82" s="83">
        <v>12.0</v>
      </c>
      <c r="D82" s="83">
        <v>15.0</v>
      </c>
    </row>
    <row r="83" ht="15.75" customHeight="1">
      <c r="A83" s="6">
        <v>21004.0</v>
      </c>
      <c r="B83" s="7" t="s">
        <v>120</v>
      </c>
      <c r="C83" s="83">
        <v>21.0</v>
      </c>
      <c r="D83" s="83">
        <v>29.0</v>
      </c>
    </row>
    <row r="84" ht="15.75" customHeight="1">
      <c r="A84" s="6">
        <v>21005.0</v>
      </c>
      <c r="B84" s="7" t="s">
        <v>121</v>
      </c>
      <c r="C84" s="83">
        <v>4.0</v>
      </c>
      <c r="D84" s="83">
        <v>5.0</v>
      </c>
    </row>
    <row r="85" ht="15.75" customHeight="1">
      <c r="A85" s="6">
        <v>21006.0</v>
      </c>
      <c r="B85" s="7" t="s">
        <v>122</v>
      </c>
      <c r="C85" s="83">
        <v>1.0</v>
      </c>
      <c r="D85" s="83">
        <v>4.0</v>
      </c>
    </row>
    <row r="86" ht="15.75" customHeight="1">
      <c r="A86" s="6">
        <v>21101.0</v>
      </c>
      <c r="B86" s="7" t="s">
        <v>124</v>
      </c>
      <c r="C86" s="83">
        <v>12.0</v>
      </c>
      <c r="D86" s="83">
        <v>29.0</v>
      </c>
    </row>
    <row r="87" ht="15.75" customHeight="1">
      <c r="A87" s="6">
        <v>21102.0</v>
      </c>
      <c r="B87" s="7" t="s">
        <v>125</v>
      </c>
      <c r="C87" s="83">
        <v>10.0</v>
      </c>
      <c r="D87" s="83">
        <v>23.0</v>
      </c>
    </row>
    <row r="88" ht="15.75" customHeight="1">
      <c r="A88" s="6">
        <v>21103.0</v>
      </c>
      <c r="B88" s="7" t="s">
        <v>126</v>
      </c>
      <c r="C88" s="83">
        <v>5.0</v>
      </c>
      <c r="D88" s="83">
        <v>3.0</v>
      </c>
    </row>
    <row r="89" ht="15.75" customHeight="1">
      <c r="A89" s="6">
        <v>21104.0</v>
      </c>
      <c r="B89" s="7" t="s">
        <v>127</v>
      </c>
      <c r="C89" s="83">
        <v>17.0</v>
      </c>
      <c r="D89" s="83">
        <v>30.0</v>
      </c>
    </row>
    <row r="90" ht="15.75" customHeight="1">
      <c r="A90" s="6">
        <v>21105.0</v>
      </c>
      <c r="B90" s="7" t="s">
        <v>128</v>
      </c>
      <c r="C90" s="83">
        <v>42.0</v>
      </c>
      <c r="D90" s="83">
        <v>59.0</v>
      </c>
    </row>
    <row r="91" ht="15.75" customHeight="1">
      <c r="A91" s="6">
        <v>21201.0</v>
      </c>
      <c r="B91" s="7" t="s">
        <v>130</v>
      </c>
      <c r="C91" s="83">
        <v>32.0</v>
      </c>
      <c r="D91" s="83">
        <v>44.0</v>
      </c>
    </row>
    <row r="92" ht="15.75" customHeight="1">
      <c r="A92" s="6">
        <v>21202.0</v>
      </c>
      <c r="B92" s="7" t="s">
        <v>131</v>
      </c>
      <c r="C92" s="83">
        <v>18.0</v>
      </c>
      <c r="D92" s="83">
        <v>28.0</v>
      </c>
    </row>
    <row r="93" ht="15.75" customHeight="1">
      <c r="A93" s="6">
        <v>21203.0</v>
      </c>
      <c r="B93" s="7" t="s">
        <v>132</v>
      </c>
      <c r="C93" s="83">
        <v>6.0</v>
      </c>
      <c r="D93" s="83">
        <v>20.0</v>
      </c>
    </row>
    <row r="94" ht="15.75" customHeight="1">
      <c r="A94" s="6">
        <v>21204.0</v>
      </c>
      <c r="B94" s="7" t="s">
        <v>133</v>
      </c>
      <c r="C94" s="83">
        <v>9.0</v>
      </c>
      <c r="D94" s="83">
        <v>3.0</v>
      </c>
    </row>
    <row r="95" ht="15.75" customHeight="1">
      <c r="A95" s="6">
        <v>21301.0</v>
      </c>
      <c r="B95" s="7" t="s">
        <v>135</v>
      </c>
      <c r="C95" s="83">
        <v>28.0</v>
      </c>
      <c r="D95" s="83">
        <v>31.0</v>
      </c>
    </row>
    <row r="96" ht="15.75" customHeight="1">
      <c r="A96" s="6">
        <v>21302.0</v>
      </c>
      <c r="B96" s="7" t="s">
        <v>136</v>
      </c>
      <c r="C96" s="83">
        <v>6.0</v>
      </c>
      <c r="D96" s="83">
        <v>6.0</v>
      </c>
    </row>
    <row r="97" ht="15.75" customHeight="1">
      <c r="A97" s="6">
        <v>21303.0</v>
      </c>
      <c r="B97" s="7" t="s">
        <v>137</v>
      </c>
      <c r="C97" s="83">
        <v>3.0</v>
      </c>
      <c r="D97" s="83">
        <v>21.0</v>
      </c>
    </row>
    <row r="98" ht="15.75" customHeight="1">
      <c r="A98" s="6">
        <v>21304.0</v>
      </c>
      <c r="B98" s="7" t="s">
        <v>138</v>
      </c>
      <c r="C98" s="83">
        <v>4.0</v>
      </c>
      <c r="D98" s="83">
        <v>7.0</v>
      </c>
    </row>
    <row r="99" ht="15.75" customHeight="1">
      <c r="A99" s="6">
        <v>21305.0</v>
      </c>
      <c r="B99" s="7" t="s">
        <v>139</v>
      </c>
      <c r="C99" s="83">
        <v>6.0</v>
      </c>
      <c r="D99" s="83">
        <v>31.0</v>
      </c>
    </row>
    <row r="100" ht="15.75" customHeight="1">
      <c r="A100" s="6">
        <v>21306.0</v>
      </c>
      <c r="B100" s="7" t="s">
        <v>140</v>
      </c>
      <c r="C100" s="83">
        <v>2.0</v>
      </c>
      <c r="D100" s="83">
        <v>18.0</v>
      </c>
    </row>
    <row r="101" ht="15.75" customHeight="1">
      <c r="A101" s="6">
        <v>21307.0</v>
      </c>
      <c r="B101" s="7" t="s">
        <v>141</v>
      </c>
      <c r="C101" s="83">
        <v>0.0</v>
      </c>
      <c r="D101" s="83">
        <v>5.0</v>
      </c>
    </row>
    <row r="102" ht="15.75" customHeight="1">
      <c r="A102" s="6">
        <v>21401.0</v>
      </c>
      <c r="B102" s="7" t="s">
        <v>143</v>
      </c>
      <c r="C102" s="83">
        <v>5.0</v>
      </c>
      <c r="D102" s="83">
        <v>21.0</v>
      </c>
    </row>
    <row r="103" ht="15.75" customHeight="1">
      <c r="A103" s="6">
        <v>21402.0</v>
      </c>
      <c r="B103" s="7" t="s">
        <v>144</v>
      </c>
      <c r="C103" s="83">
        <v>10.0</v>
      </c>
      <c r="D103" s="83">
        <v>17.0</v>
      </c>
    </row>
    <row r="104" ht="15.75" customHeight="1">
      <c r="A104" s="6">
        <v>21501.0</v>
      </c>
      <c r="B104" s="7" t="s">
        <v>146</v>
      </c>
      <c r="C104" s="83">
        <v>2.0</v>
      </c>
      <c r="D104" s="83">
        <v>16.0</v>
      </c>
    </row>
    <row r="105" ht="15.75" customHeight="1">
      <c r="A105" s="6">
        <v>21502.0</v>
      </c>
      <c r="B105" s="7" t="s">
        <v>147</v>
      </c>
      <c r="C105" s="83">
        <v>2.0</v>
      </c>
      <c r="D105" s="83">
        <v>18.0</v>
      </c>
    </row>
    <row r="106" ht="15.75" customHeight="1">
      <c r="A106" s="6">
        <v>21601.0</v>
      </c>
      <c r="B106" s="7" t="s">
        <v>149</v>
      </c>
      <c r="C106" s="83">
        <v>6.0</v>
      </c>
      <c r="D106" s="83">
        <v>10.0</v>
      </c>
    </row>
    <row r="107" ht="15.75" customHeight="1">
      <c r="A107" s="6">
        <v>21602.0</v>
      </c>
      <c r="B107" s="7" t="s">
        <v>150</v>
      </c>
      <c r="C107" s="83">
        <v>1.0</v>
      </c>
      <c r="D107" s="83">
        <v>4.0</v>
      </c>
    </row>
    <row r="108" ht="15.75" customHeight="1">
      <c r="A108" s="6">
        <v>21701.0</v>
      </c>
      <c r="B108" s="7" t="s">
        <v>152</v>
      </c>
      <c r="C108" s="83">
        <v>5.0</v>
      </c>
      <c r="D108" s="83">
        <v>9.0</v>
      </c>
    </row>
    <row r="109" ht="15.75" customHeight="1">
      <c r="A109" s="6">
        <v>21702.0</v>
      </c>
      <c r="B109" s="7" t="s">
        <v>153</v>
      </c>
      <c r="C109" s="83">
        <v>0.0</v>
      </c>
      <c r="D109" s="83">
        <v>10.0</v>
      </c>
    </row>
    <row r="110" ht="15.75" customHeight="1">
      <c r="A110" s="6">
        <v>21703.0</v>
      </c>
      <c r="B110" s="7" t="s">
        <v>154</v>
      </c>
      <c r="C110" s="83">
        <v>0.0</v>
      </c>
      <c r="D110" s="83">
        <v>0.0</v>
      </c>
    </row>
    <row r="111" ht="15.75" customHeight="1">
      <c r="A111" s="6">
        <v>21801.0</v>
      </c>
      <c r="B111" s="7" t="s">
        <v>156</v>
      </c>
      <c r="C111" s="83">
        <v>1.0</v>
      </c>
      <c r="D111" s="83">
        <v>7.0</v>
      </c>
    </row>
    <row r="112" ht="15.75" customHeight="1">
      <c r="A112" s="6">
        <v>21802.0</v>
      </c>
      <c r="B112" s="7" t="s">
        <v>158</v>
      </c>
      <c r="C112" s="83">
        <v>1.0</v>
      </c>
      <c r="D112" s="83">
        <v>6.0</v>
      </c>
    </row>
    <row r="113" ht="15.75" customHeight="1">
      <c r="A113" s="6">
        <v>21803.0</v>
      </c>
      <c r="B113" s="7" t="s">
        <v>159</v>
      </c>
      <c r="C113" s="83">
        <v>0.0</v>
      </c>
      <c r="D113" s="83">
        <v>0.0</v>
      </c>
    </row>
    <row r="114" ht="15.75" customHeight="1">
      <c r="A114" s="6">
        <v>21901.0</v>
      </c>
      <c r="B114" s="7" t="s">
        <v>161</v>
      </c>
      <c r="C114" s="83">
        <v>0.0</v>
      </c>
      <c r="D114" s="83">
        <v>11.0</v>
      </c>
    </row>
    <row r="115" ht="15.75" customHeight="1">
      <c r="A115" s="6">
        <v>21902.0</v>
      </c>
      <c r="B115" s="7" t="s">
        <v>162</v>
      </c>
      <c r="C115" s="83">
        <v>0.0</v>
      </c>
      <c r="D115" s="83">
        <v>1.0</v>
      </c>
    </row>
    <row r="116" ht="15.75" customHeight="1">
      <c r="A116" s="6">
        <v>22001.0</v>
      </c>
      <c r="B116" s="7" t="s">
        <v>163</v>
      </c>
      <c r="C116" s="83">
        <v>20.0</v>
      </c>
      <c r="D116" s="83">
        <v>43.0</v>
      </c>
    </row>
    <row r="117" ht="15.75" customHeight="1">
      <c r="A117" s="6">
        <v>22002.0</v>
      </c>
      <c r="B117" s="7" t="s">
        <v>164</v>
      </c>
      <c r="C117" s="83">
        <v>13.0</v>
      </c>
      <c r="D117" s="83">
        <v>13.0</v>
      </c>
    </row>
    <row r="118" ht="15.75" customHeight="1">
      <c r="A118" s="6">
        <v>30101.0</v>
      </c>
      <c r="B118" s="7" t="s">
        <v>17</v>
      </c>
      <c r="C118" s="83">
        <v>288.0</v>
      </c>
      <c r="D118" s="83">
        <v>307.0</v>
      </c>
    </row>
    <row r="119" ht="15.75" customHeight="1">
      <c r="A119" s="6">
        <v>30201.0</v>
      </c>
      <c r="B119" s="7" t="s">
        <v>167</v>
      </c>
      <c r="C119" s="83">
        <v>14.0</v>
      </c>
      <c r="D119" s="83">
        <v>8.0</v>
      </c>
    </row>
    <row r="120" ht="15.75" customHeight="1">
      <c r="A120" s="6">
        <v>30202.0</v>
      </c>
      <c r="B120" s="7" t="s">
        <v>168</v>
      </c>
      <c r="C120" s="83">
        <v>0.0</v>
      </c>
      <c r="D120" s="83">
        <v>1.0</v>
      </c>
    </row>
    <row r="121" ht="15.75" customHeight="1">
      <c r="A121" s="6">
        <v>30203.0</v>
      </c>
      <c r="B121" s="7" t="s">
        <v>169</v>
      </c>
      <c r="C121" s="83">
        <v>3.0</v>
      </c>
      <c r="D121" s="83">
        <v>1.0</v>
      </c>
    </row>
    <row r="122" ht="15.75" customHeight="1">
      <c r="A122" s="6">
        <v>30301.0</v>
      </c>
      <c r="B122" s="7" t="s">
        <v>171</v>
      </c>
      <c r="C122" s="83">
        <v>41.0</v>
      </c>
      <c r="D122" s="83">
        <v>28.0</v>
      </c>
    </row>
    <row r="123" ht="15.75" customHeight="1">
      <c r="A123" s="6">
        <v>30302.0</v>
      </c>
      <c r="B123" s="7" t="s">
        <v>172</v>
      </c>
      <c r="C123" s="83">
        <v>18.0</v>
      </c>
      <c r="D123" s="83">
        <v>13.0</v>
      </c>
    </row>
    <row r="124" ht="15.75" customHeight="1">
      <c r="A124" s="6">
        <v>30303.0</v>
      </c>
      <c r="B124" s="7" t="s">
        <v>173</v>
      </c>
      <c r="C124" s="83">
        <v>29.0</v>
      </c>
      <c r="D124" s="83">
        <v>42.0</v>
      </c>
    </row>
    <row r="125" ht="15.75" customHeight="1">
      <c r="A125" s="6">
        <v>30401.0</v>
      </c>
      <c r="B125" s="7" t="s">
        <v>175</v>
      </c>
      <c r="C125" s="83">
        <v>8.0</v>
      </c>
      <c r="D125" s="83">
        <v>11.0</v>
      </c>
    </row>
    <row r="126" ht="15.75" customHeight="1">
      <c r="A126" s="6">
        <v>30402.0</v>
      </c>
      <c r="B126" s="7" t="s">
        <v>176</v>
      </c>
      <c r="C126" s="83">
        <v>3.0</v>
      </c>
      <c r="D126" s="83">
        <v>8.0</v>
      </c>
    </row>
    <row r="127" ht="15.75" customHeight="1">
      <c r="A127" s="6">
        <v>30403.0</v>
      </c>
      <c r="B127" s="7" t="s">
        <v>177</v>
      </c>
      <c r="C127" s="83">
        <v>26.0</v>
      </c>
      <c r="D127" s="83">
        <v>22.0</v>
      </c>
    </row>
    <row r="128" ht="15.75" customHeight="1">
      <c r="A128" s="6">
        <v>30404.0</v>
      </c>
      <c r="B128" s="7" t="s">
        <v>178</v>
      </c>
      <c r="C128" s="83">
        <v>0.0</v>
      </c>
      <c r="D128" s="83">
        <v>7.0</v>
      </c>
    </row>
    <row r="129" ht="15.75" customHeight="1">
      <c r="A129" s="6">
        <v>30501.0</v>
      </c>
      <c r="B129" s="7" t="s">
        <v>179</v>
      </c>
      <c r="C129" s="83">
        <v>12.0</v>
      </c>
      <c r="D129" s="83">
        <v>11.0</v>
      </c>
    </row>
    <row r="130" ht="15.75" customHeight="1">
      <c r="A130" s="6">
        <v>30502.0</v>
      </c>
      <c r="B130" s="7" t="s">
        <v>180</v>
      </c>
      <c r="C130" s="83">
        <v>4.0</v>
      </c>
      <c r="D130" s="83">
        <v>9.0</v>
      </c>
    </row>
    <row r="131" ht="15.75" customHeight="1">
      <c r="A131" s="6">
        <v>30601.0</v>
      </c>
      <c r="B131" s="7" t="s">
        <v>181</v>
      </c>
      <c r="C131" s="83">
        <v>18.0</v>
      </c>
      <c r="D131" s="83">
        <v>19.0</v>
      </c>
    </row>
    <row r="132" ht="15.75" customHeight="1">
      <c r="A132" s="6">
        <v>30602.0</v>
      </c>
      <c r="B132" s="7" t="s">
        <v>182</v>
      </c>
      <c r="C132" s="83">
        <v>10.0</v>
      </c>
      <c r="D132" s="83">
        <v>13.0</v>
      </c>
    </row>
    <row r="133" ht="15.75" customHeight="1">
      <c r="A133" s="6">
        <v>30701.0</v>
      </c>
      <c r="B133" s="7" t="s">
        <v>183</v>
      </c>
      <c r="C133" s="83">
        <v>6.0</v>
      </c>
      <c r="D133" s="83">
        <v>19.0</v>
      </c>
    </row>
    <row r="134" ht="15.75" customHeight="1">
      <c r="A134" s="6">
        <v>30702.0</v>
      </c>
      <c r="B134" s="7" t="s">
        <v>184</v>
      </c>
      <c r="C134" s="83">
        <v>3.0</v>
      </c>
      <c r="D134" s="83">
        <v>5.0</v>
      </c>
    </row>
    <row r="135" ht="15.75" customHeight="1">
      <c r="A135" s="6">
        <v>30703.0</v>
      </c>
      <c r="B135" s="7" t="s">
        <v>185</v>
      </c>
      <c r="C135" s="83">
        <v>8.0</v>
      </c>
      <c r="D135" s="83">
        <v>3.0</v>
      </c>
    </row>
    <row r="136" ht="15.75" customHeight="1">
      <c r="A136" s="6">
        <v>30801.0</v>
      </c>
      <c r="B136" s="7" t="s">
        <v>187</v>
      </c>
      <c r="C136" s="83">
        <v>8.0</v>
      </c>
      <c r="D136" s="83">
        <v>7.0</v>
      </c>
    </row>
    <row r="137" ht="15.75" customHeight="1">
      <c r="A137" s="6">
        <v>30802.0</v>
      </c>
      <c r="B137" s="7" t="s">
        <v>188</v>
      </c>
      <c r="C137" s="83">
        <v>3.0</v>
      </c>
      <c r="D137" s="83">
        <v>7.0</v>
      </c>
    </row>
    <row r="138" ht="15.75" customHeight="1">
      <c r="A138" s="6">
        <v>30803.0</v>
      </c>
      <c r="B138" s="7" t="s">
        <v>189</v>
      </c>
      <c r="C138" s="83">
        <v>4.0</v>
      </c>
      <c r="D138" s="83">
        <v>10.0</v>
      </c>
    </row>
    <row r="139" ht="15.75" customHeight="1">
      <c r="A139" s="6">
        <v>30901.0</v>
      </c>
      <c r="B139" s="7" t="s">
        <v>190</v>
      </c>
      <c r="C139" s="83">
        <v>26.0</v>
      </c>
      <c r="D139" s="83">
        <v>75.0</v>
      </c>
    </row>
    <row r="140" ht="15.75" customHeight="1">
      <c r="A140" s="6">
        <v>30902.0</v>
      </c>
      <c r="B140" s="7" t="s">
        <v>191</v>
      </c>
      <c r="C140" s="83">
        <v>17.0</v>
      </c>
      <c r="D140" s="83">
        <v>47.0</v>
      </c>
    </row>
    <row r="141" ht="15.75" customHeight="1">
      <c r="A141" s="6">
        <v>30903.0</v>
      </c>
      <c r="B141" s="7" t="s">
        <v>192</v>
      </c>
      <c r="C141" s="83">
        <v>10.0</v>
      </c>
      <c r="D141" s="83">
        <v>31.0</v>
      </c>
    </row>
    <row r="142" ht="15.75" customHeight="1">
      <c r="A142" s="6">
        <v>30904.0</v>
      </c>
      <c r="B142" s="7" t="s">
        <v>193</v>
      </c>
      <c r="C142" s="83">
        <v>16.0</v>
      </c>
      <c r="D142" s="83">
        <v>28.0</v>
      </c>
    </row>
    <row r="143" ht="15.75" customHeight="1">
      <c r="A143" s="6">
        <v>30905.0</v>
      </c>
      <c r="B143" s="7" t="s">
        <v>194</v>
      </c>
      <c r="C143" s="83">
        <v>9.0</v>
      </c>
      <c r="D143" s="83">
        <v>25.0</v>
      </c>
    </row>
    <row r="144" ht="15.75" customHeight="1">
      <c r="A144" s="6">
        <v>31001.0</v>
      </c>
      <c r="B144" s="7" t="s">
        <v>196</v>
      </c>
      <c r="C144" s="83">
        <v>82.0</v>
      </c>
      <c r="D144" s="83">
        <v>115.0</v>
      </c>
    </row>
    <row r="145" ht="15.75" customHeight="1">
      <c r="A145" s="6">
        <v>31002.0</v>
      </c>
      <c r="B145" s="7" t="s">
        <v>197</v>
      </c>
      <c r="C145" s="83">
        <v>16.0</v>
      </c>
      <c r="D145" s="83">
        <v>24.0</v>
      </c>
    </row>
    <row r="146" ht="15.75" customHeight="1">
      <c r="A146" s="6">
        <v>31003.0</v>
      </c>
      <c r="B146" s="7" t="s">
        <v>198</v>
      </c>
      <c r="C146" s="83">
        <v>62.0</v>
      </c>
      <c r="D146" s="83">
        <v>125.0</v>
      </c>
    </row>
    <row r="147" ht="15.75" customHeight="1">
      <c r="A147" s="6">
        <v>31101.0</v>
      </c>
      <c r="B147" s="7" t="s">
        <v>199</v>
      </c>
      <c r="C147" s="83">
        <v>27.0</v>
      </c>
      <c r="D147" s="83">
        <v>46.0</v>
      </c>
    </row>
    <row r="148" ht="15.75" customHeight="1">
      <c r="A148" s="6">
        <v>31201.0</v>
      </c>
      <c r="B148" s="7" t="s">
        <v>201</v>
      </c>
      <c r="C148" s="83">
        <v>14.0</v>
      </c>
      <c r="D148" s="83">
        <v>15.0</v>
      </c>
    </row>
    <row r="149" ht="15.75" customHeight="1">
      <c r="A149" s="6">
        <v>31202.0</v>
      </c>
      <c r="B149" s="7" t="s">
        <v>202</v>
      </c>
      <c r="C149" s="83">
        <v>9.0</v>
      </c>
      <c r="D149" s="83">
        <v>8.0</v>
      </c>
    </row>
    <row r="150" ht="15.75" customHeight="1">
      <c r="A150" s="6">
        <v>31203.0</v>
      </c>
      <c r="B150" s="7" t="s">
        <v>203</v>
      </c>
      <c r="C150" s="83">
        <v>5.0</v>
      </c>
      <c r="D150" s="83">
        <v>11.0</v>
      </c>
    </row>
    <row r="151" ht="15.75" customHeight="1">
      <c r="A151" s="6">
        <v>31204.0</v>
      </c>
      <c r="B151" s="7" t="s">
        <v>204</v>
      </c>
      <c r="C151" s="83">
        <v>19.0</v>
      </c>
      <c r="D151" s="83">
        <v>34.0</v>
      </c>
    </row>
    <row r="152" ht="15.75" customHeight="1">
      <c r="A152" s="6">
        <v>31205.0</v>
      </c>
      <c r="B152" s="7" t="s">
        <v>205</v>
      </c>
      <c r="C152" s="83">
        <v>25.0</v>
      </c>
      <c r="D152" s="83">
        <v>59.0</v>
      </c>
    </row>
    <row r="153" ht="15.75" customHeight="1">
      <c r="A153" s="6">
        <v>31206.0</v>
      </c>
      <c r="B153" s="7" t="s">
        <v>206</v>
      </c>
      <c r="C153" s="83">
        <v>12.0</v>
      </c>
      <c r="D153" s="83">
        <v>42.0</v>
      </c>
    </row>
    <row r="154" ht="15.75" customHeight="1">
      <c r="A154" s="6">
        <v>31301.0</v>
      </c>
      <c r="B154" s="7" t="s">
        <v>207</v>
      </c>
      <c r="C154" s="83">
        <v>12.0</v>
      </c>
      <c r="D154" s="83">
        <v>18.0</v>
      </c>
    </row>
    <row r="155" ht="15.75" customHeight="1">
      <c r="A155" s="6">
        <v>31302.0</v>
      </c>
      <c r="B155" s="7" t="s">
        <v>208</v>
      </c>
      <c r="C155" s="83">
        <v>2.0</v>
      </c>
      <c r="D155" s="83">
        <v>8.0</v>
      </c>
    </row>
    <row r="156" ht="15.75" customHeight="1">
      <c r="A156" s="6">
        <v>31303.0</v>
      </c>
      <c r="B156" s="7" t="s">
        <v>209</v>
      </c>
      <c r="C156" s="83">
        <v>1.0</v>
      </c>
      <c r="D156" s="83">
        <v>1.0</v>
      </c>
    </row>
    <row r="157" ht="15.75" customHeight="1">
      <c r="A157" s="25">
        <v>31304.0</v>
      </c>
      <c r="B157" s="7" t="s">
        <v>210</v>
      </c>
      <c r="C157" s="83">
        <v>12.0</v>
      </c>
      <c r="D157" s="83">
        <v>18.0</v>
      </c>
    </row>
    <row r="158" ht="15.75" customHeight="1">
      <c r="A158" s="6">
        <v>31401.0</v>
      </c>
      <c r="B158" s="7" t="s">
        <v>211</v>
      </c>
      <c r="C158" s="83">
        <v>8.0</v>
      </c>
      <c r="D158" s="83">
        <v>23.0</v>
      </c>
    </row>
    <row r="159" ht="15.75" customHeight="1">
      <c r="A159" s="6">
        <v>31402.0</v>
      </c>
      <c r="B159" s="7" t="s">
        <v>212</v>
      </c>
      <c r="C159" s="83">
        <v>0.0</v>
      </c>
      <c r="D159" s="83">
        <v>5.0</v>
      </c>
    </row>
    <row r="160" ht="15.75" customHeight="1">
      <c r="A160" s="6">
        <v>31403.0</v>
      </c>
      <c r="B160" s="7" t="s">
        <v>213</v>
      </c>
      <c r="C160" s="83">
        <v>6.0</v>
      </c>
      <c r="D160" s="83">
        <v>10.0</v>
      </c>
    </row>
    <row r="161" ht="15.75" customHeight="1">
      <c r="A161" s="6">
        <v>31404.0</v>
      </c>
      <c r="B161" s="7" t="s">
        <v>214</v>
      </c>
      <c r="C161" s="83">
        <v>1.0</v>
      </c>
      <c r="D161" s="83">
        <v>2.0</v>
      </c>
    </row>
    <row r="162" ht="15.75" customHeight="1">
      <c r="A162" s="6">
        <v>31405.0</v>
      </c>
      <c r="B162" s="7" t="s">
        <v>215</v>
      </c>
      <c r="C162" s="83">
        <v>0.0</v>
      </c>
      <c r="D162" s="83">
        <v>0.0</v>
      </c>
    </row>
    <row r="163" ht="15.75" customHeight="1">
      <c r="A163" s="6">
        <v>31501.0</v>
      </c>
      <c r="B163" s="7" t="s">
        <v>216</v>
      </c>
      <c r="C163" s="83">
        <v>8.0</v>
      </c>
      <c r="D163" s="83">
        <v>24.0</v>
      </c>
    </row>
    <row r="164" ht="15.75" customHeight="1">
      <c r="A164" s="6">
        <v>31601.0</v>
      </c>
      <c r="B164" s="7" t="s">
        <v>217</v>
      </c>
      <c r="C164" s="83">
        <v>14.0</v>
      </c>
      <c r="D164" s="83">
        <v>14.0</v>
      </c>
    </row>
    <row r="165" ht="15.75" customHeight="1">
      <c r="A165" s="6">
        <v>31602.0</v>
      </c>
      <c r="B165" s="7" t="s">
        <v>218</v>
      </c>
      <c r="C165" s="83">
        <v>5.0</v>
      </c>
      <c r="D165" s="83">
        <v>27.0</v>
      </c>
    </row>
    <row r="166" ht="15.75" customHeight="1">
      <c r="A166" s="6">
        <v>40101.0</v>
      </c>
      <c r="B166" s="7" t="s">
        <v>20</v>
      </c>
      <c r="C166" s="83">
        <v>30.0</v>
      </c>
      <c r="D166" s="83">
        <v>258.0</v>
      </c>
    </row>
    <row r="167" ht="15.75" customHeight="1">
      <c r="A167" s="6">
        <v>40102.0</v>
      </c>
      <c r="B167" s="7" t="s">
        <v>219</v>
      </c>
      <c r="C167" s="83">
        <v>25.0</v>
      </c>
      <c r="D167" s="83">
        <v>29.0</v>
      </c>
    </row>
    <row r="168" ht="15.75" customHeight="1">
      <c r="A168" s="6">
        <v>40103.0</v>
      </c>
      <c r="B168" s="7" t="s">
        <v>220</v>
      </c>
      <c r="C168" s="83">
        <v>4.0</v>
      </c>
      <c r="D168" s="83">
        <v>3.0</v>
      </c>
    </row>
    <row r="169" ht="15.75" customHeight="1">
      <c r="A169" s="6">
        <v>40104.0</v>
      </c>
      <c r="B169" s="7" t="s">
        <v>221</v>
      </c>
      <c r="C169" s="83">
        <v>16.0</v>
      </c>
      <c r="D169" s="83">
        <v>12.0</v>
      </c>
    </row>
    <row r="170" ht="15.75" customHeight="1">
      <c r="A170" s="6">
        <v>40201.0</v>
      </c>
      <c r="B170" s="7" t="s">
        <v>223</v>
      </c>
      <c r="C170" s="83">
        <v>42.0</v>
      </c>
      <c r="D170" s="83">
        <v>32.0</v>
      </c>
    </row>
    <row r="171" ht="15.75" customHeight="1">
      <c r="A171" s="6">
        <v>40202.0</v>
      </c>
      <c r="B171" s="7" t="s">
        <v>224</v>
      </c>
      <c r="C171" s="83">
        <v>5.0</v>
      </c>
      <c r="D171" s="83">
        <v>5.0</v>
      </c>
    </row>
    <row r="172" ht="15.75" customHeight="1">
      <c r="A172" s="6">
        <v>40301.0</v>
      </c>
      <c r="B172" s="7" t="s">
        <v>226</v>
      </c>
      <c r="C172" s="83">
        <v>2.0</v>
      </c>
      <c r="D172" s="83">
        <v>11.0</v>
      </c>
    </row>
    <row r="173" ht="15.75" customHeight="1">
      <c r="A173" s="6">
        <v>40302.0</v>
      </c>
      <c r="B173" s="7" t="s">
        <v>227</v>
      </c>
      <c r="C173" s="83">
        <v>1.0</v>
      </c>
      <c r="D173" s="83">
        <v>2.0</v>
      </c>
    </row>
    <row r="174" ht="15.75" customHeight="1">
      <c r="A174" s="6">
        <v>40401.0</v>
      </c>
      <c r="B174" s="7" t="s">
        <v>229</v>
      </c>
      <c r="C174" s="83">
        <v>5.0</v>
      </c>
      <c r="D174" s="83">
        <v>9.0</v>
      </c>
    </row>
    <row r="175" ht="15.75" customHeight="1">
      <c r="A175" s="6">
        <v>40402.0</v>
      </c>
      <c r="B175" s="7" t="s">
        <v>230</v>
      </c>
      <c r="C175" s="83">
        <v>7.0</v>
      </c>
      <c r="D175" s="83">
        <v>2.0</v>
      </c>
    </row>
    <row r="176" ht="15.75" customHeight="1">
      <c r="A176" s="6">
        <v>40501.0</v>
      </c>
      <c r="B176" s="7" t="s">
        <v>232</v>
      </c>
      <c r="C176" s="83">
        <v>0.0</v>
      </c>
      <c r="D176" s="83">
        <v>1.0</v>
      </c>
    </row>
    <row r="177" ht="15.75" customHeight="1">
      <c r="A177" s="6">
        <v>40502.0</v>
      </c>
      <c r="B177" s="7" t="s">
        <v>233</v>
      </c>
      <c r="C177" s="83">
        <v>2.0</v>
      </c>
      <c r="D177" s="83">
        <v>1.0</v>
      </c>
    </row>
    <row r="178" ht="15.75" customHeight="1">
      <c r="A178" s="6">
        <v>40503.0</v>
      </c>
      <c r="B178" s="7" t="s">
        <v>234</v>
      </c>
      <c r="C178" s="83">
        <v>2.0</v>
      </c>
      <c r="D178" s="83">
        <v>0.0</v>
      </c>
    </row>
    <row r="179" ht="15.75" customHeight="1">
      <c r="A179" s="6">
        <v>40504.0</v>
      </c>
      <c r="B179" s="7" t="s">
        <v>235</v>
      </c>
      <c r="C179" s="83">
        <v>0.0</v>
      </c>
      <c r="D179" s="83">
        <v>0.0</v>
      </c>
    </row>
    <row r="180" ht="15.75" customHeight="1">
      <c r="A180" s="6">
        <v>40505.0</v>
      </c>
      <c r="B180" s="7" t="s">
        <v>236</v>
      </c>
      <c r="C180" s="83">
        <v>0.0</v>
      </c>
      <c r="D180" s="83">
        <v>2.0</v>
      </c>
    </row>
    <row r="181" ht="15.75" customHeight="1">
      <c r="A181" s="6">
        <v>40601.0</v>
      </c>
      <c r="B181" s="7" t="s">
        <v>237</v>
      </c>
      <c r="C181" s="83">
        <v>10.0</v>
      </c>
      <c r="D181" s="83">
        <v>8.0</v>
      </c>
    </row>
    <row r="182" ht="15.75" customHeight="1">
      <c r="A182" s="6">
        <v>40602.0</v>
      </c>
      <c r="B182" s="7" t="s">
        <v>238</v>
      </c>
      <c r="C182" s="83">
        <v>3.0</v>
      </c>
      <c r="D182" s="83">
        <v>1.0</v>
      </c>
    </row>
    <row r="183" ht="15.75" customHeight="1">
      <c r="A183" s="6">
        <v>40603.0</v>
      </c>
      <c r="B183" s="7" t="s">
        <v>239</v>
      </c>
      <c r="C183" s="83">
        <v>1.0</v>
      </c>
      <c r="D183" s="83">
        <v>1.0</v>
      </c>
    </row>
    <row r="184" ht="15.75" customHeight="1">
      <c r="A184" s="6">
        <v>40701.0</v>
      </c>
      <c r="B184" s="7" t="s">
        <v>241</v>
      </c>
      <c r="C184" s="83">
        <v>10.0</v>
      </c>
      <c r="D184" s="83">
        <v>21.0</v>
      </c>
    </row>
    <row r="185" ht="15.75" customHeight="1">
      <c r="A185" s="6">
        <v>40702.0</v>
      </c>
      <c r="B185" s="7" t="s">
        <v>242</v>
      </c>
      <c r="C185" s="83">
        <v>2.0</v>
      </c>
      <c r="D185" s="83">
        <v>6.0</v>
      </c>
    </row>
    <row r="186" ht="15.75" customHeight="1">
      <c r="A186" s="6">
        <v>40801.0</v>
      </c>
      <c r="B186" s="7" t="s">
        <v>244</v>
      </c>
      <c r="C186" s="83">
        <v>7.0</v>
      </c>
      <c r="D186" s="83">
        <v>14.0</v>
      </c>
    </row>
    <row r="187" ht="15.75" customHeight="1">
      <c r="A187" s="6">
        <v>40802.0</v>
      </c>
      <c r="B187" s="7" t="s">
        <v>245</v>
      </c>
      <c r="C187" s="83">
        <v>0.0</v>
      </c>
      <c r="D187" s="83">
        <v>1.0</v>
      </c>
    </row>
    <row r="188" ht="15.75" customHeight="1">
      <c r="A188" s="6">
        <v>40901.0</v>
      </c>
      <c r="B188" s="7" t="s">
        <v>246</v>
      </c>
      <c r="C188" s="83">
        <v>4.0</v>
      </c>
      <c r="D188" s="83">
        <v>8.0</v>
      </c>
    </row>
    <row r="189" ht="15.75" customHeight="1">
      <c r="A189" s="6">
        <v>40902.0</v>
      </c>
      <c r="B189" s="7" t="s">
        <v>247</v>
      </c>
      <c r="C189" s="83">
        <v>0.0</v>
      </c>
      <c r="D189" s="83">
        <v>1.0</v>
      </c>
    </row>
    <row r="190" ht="15.75" customHeight="1">
      <c r="A190" s="6">
        <v>40903.0</v>
      </c>
      <c r="B190" s="7" t="s">
        <v>248</v>
      </c>
      <c r="C190" s="83">
        <v>3.0</v>
      </c>
      <c r="D190" s="83">
        <v>3.0</v>
      </c>
    </row>
    <row r="191" ht="15.75" customHeight="1">
      <c r="A191" s="6">
        <v>41001.0</v>
      </c>
      <c r="B191" s="7" t="s">
        <v>250</v>
      </c>
      <c r="C191" s="83">
        <v>4.0</v>
      </c>
      <c r="D191" s="83">
        <v>9.0</v>
      </c>
    </row>
    <row r="192" ht="15.75" customHeight="1">
      <c r="A192" s="6">
        <v>41101.0</v>
      </c>
      <c r="B192" s="7" t="s">
        <v>252</v>
      </c>
      <c r="C192" s="83">
        <v>6.0</v>
      </c>
      <c r="D192" s="83">
        <v>8.0</v>
      </c>
    </row>
    <row r="193" ht="15.75" customHeight="1">
      <c r="A193" s="6">
        <v>41201.0</v>
      </c>
      <c r="B193" s="7" t="s">
        <v>254</v>
      </c>
      <c r="C193" s="83">
        <v>4.0</v>
      </c>
      <c r="D193" s="83">
        <v>2.0</v>
      </c>
    </row>
    <row r="194" ht="15.75" customHeight="1">
      <c r="A194" s="6">
        <v>41202.0</v>
      </c>
      <c r="B194" s="7" t="s">
        <v>255</v>
      </c>
      <c r="C194" s="83">
        <v>0.0</v>
      </c>
      <c r="D194" s="83">
        <v>3.0</v>
      </c>
    </row>
    <row r="195" ht="15.75" customHeight="1">
      <c r="A195" s="6">
        <v>41301.0</v>
      </c>
      <c r="B195" s="7" t="s">
        <v>256</v>
      </c>
      <c r="C195" s="83">
        <v>0.0</v>
      </c>
      <c r="D195" s="83">
        <v>7.0</v>
      </c>
    </row>
    <row r="196" ht="15.75" customHeight="1">
      <c r="A196" s="6">
        <v>41401.0</v>
      </c>
      <c r="B196" s="7" t="s">
        <v>258</v>
      </c>
      <c r="C196" s="83">
        <v>10.0</v>
      </c>
      <c r="D196" s="83">
        <v>6.0</v>
      </c>
    </row>
    <row r="197" ht="15.75" customHeight="1">
      <c r="A197" s="6">
        <v>41501.0</v>
      </c>
      <c r="B197" s="7" t="s">
        <v>260</v>
      </c>
      <c r="C197" s="83">
        <v>0.0</v>
      </c>
      <c r="D197" s="83">
        <v>0.0</v>
      </c>
    </row>
    <row r="198" ht="15.75" customHeight="1">
      <c r="A198" s="6">
        <v>41502.0</v>
      </c>
      <c r="B198" s="7" t="s">
        <v>261</v>
      </c>
      <c r="C198" s="83">
        <v>0.0</v>
      </c>
      <c r="D198" s="83">
        <v>1.0</v>
      </c>
    </row>
    <row r="199" ht="15.75" customHeight="1">
      <c r="A199" s="6">
        <v>41503.0</v>
      </c>
      <c r="B199" s="7" t="s">
        <v>225</v>
      </c>
      <c r="C199" s="83">
        <v>0.0</v>
      </c>
      <c r="D199" s="83">
        <v>0.0</v>
      </c>
    </row>
    <row r="200" ht="15.75" customHeight="1">
      <c r="A200" s="6">
        <v>41601.0</v>
      </c>
      <c r="B200" s="7" t="s">
        <v>263</v>
      </c>
      <c r="C200" s="83">
        <v>5.0</v>
      </c>
      <c r="D200" s="83">
        <v>6.0</v>
      </c>
    </row>
    <row r="201" ht="15.75" customHeight="1">
      <c r="A201" s="6">
        <v>50101.0</v>
      </c>
      <c r="B201" s="7" t="s">
        <v>264</v>
      </c>
      <c r="C201" s="83">
        <v>156.0</v>
      </c>
      <c r="D201" s="83">
        <v>203.0</v>
      </c>
    </row>
    <row r="202" ht="15.75" customHeight="1">
      <c r="A202" s="6">
        <v>50102.0</v>
      </c>
      <c r="B202" s="7" t="s">
        <v>266</v>
      </c>
      <c r="C202" s="83">
        <v>64.0</v>
      </c>
      <c r="D202" s="83">
        <v>56.0</v>
      </c>
    </row>
    <row r="203" ht="15.75" customHeight="1">
      <c r="A203" s="6">
        <v>50103.0</v>
      </c>
      <c r="B203" s="7" t="s">
        <v>267</v>
      </c>
      <c r="C203" s="83">
        <v>1.0</v>
      </c>
      <c r="D203" s="83">
        <v>12.0</v>
      </c>
    </row>
    <row r="204" ht="15.75" customHeight="1">
      <c r="A204" s="6">
        <v>50104.0</v>
      </c>
      <c r="B204" s="7" t="s">
        <v>268</v>
      </c>
      <c r="C204" s="83">
        <v>1.0</v>
      </c>
      <c r="D204" s="83">
        <v>1.0</v>
      </c>
    </row>
    <row r="205" ht="15.75" customHeight="1">
      <c r="A205" s="6">
        <v>50201.0</v>
      </c>
      <c r="B205" s="7" t="s">
        <v>270</v>
      </c>
      <c r="C205" s="83">
        <v>43.0</v>
      </c>
      <c r="D205" s="83">
        <v>37.0</v>
      </c>
    </row>
    <row r="206" ht="15.75" customHeight="1">
      <c r="A206" s="6">
        <v>50202.0</v>
      </c>
      <c r="B206" s="7" t="s">
        <v>271</v>
      </c>
      <c r="C206" s="83">
        <v>28.0</v>
      </c>
      <c r="D206" s="83">
        <v>35.0</v>
      </c>
    </row>
    <row r="207" ht="15.75" customHeight="1">
      <c r="A207" s="6">
        <v>50203.0</v>
      </c>
      <c r="B207" s="7" t="s">
        <v>272</v>
      </c>
      <c r="C207" s="83">
        <v>34.0</v>
      </c>
      <c r="D207" s="83">
        <v>43.0</v>
      </c>
    </row>
    <row r="208" ht="15.75" customHeight="1">
      <c r="A208" s="6">
        <v>50204.0</v>
      </c>
      <c r="B208" s="7" t="s">
        <v>273</v>
      </c>
      <c r="C208" s="83">
        <v>15.0</v>
      </c>
      <c r="D208" s="83">
        <v>14.0</v>
      </c>
    </row>
    <row r="209" ht="15.75" customHeight="1">
      <c r="A209" s="6">
        <v>50301.0</v>
      </c>
      <c r="B209" s="7" t="s">
        <v>275</v>
      </c>
      <c r="C209" s="83">
        <v>36.0</v>
      </c>
      <c r="D209" s="83">
        <v>39.0</v>
      </c>
    </row>
    <row r="210" ht="15.75" customHeight="1">
      <c r="A210" s="6">
        <v>50302.0</v>
      </c>
      <c r="B210" s="7" t="s">
        <v>276</v>
      </c>
      <c r="C210" s="83">
        <v>9.0</v>
      </c>
      <c r="D210" s="83">
        <v>8.0</v>
      </c>
    </row>
    <row r="211" ht="15.75" customHeight="1">
      <c r="A211" s="6">
        <v>50303.0</v>
      </c>
      <c r="B211" s="7" t="s">
        <v>277</v>
      </c>
      <c r="C211" s="83">
        <v>13.0</v>
      </c>
      <c r="D211" s="83">
        <v>7.0</v>
      </c>
    </row>
    <row r="212" ht="15.75" customHeight="1">
      <c r="A212" s="6">
        <v>50401.0</v>
      </c>
      <c r="B212" s="7" t="s">
        <v>278</v>
      </c>
      <c r="C212" s="83">
        <v>99.0</v>
      </c>
      <c r="D212" s="83">
        <v>45.0</v>
      </c>
    </row>
    <row r="213" ht="15.75" customHeight="1">
      <c r="A213" s="6">
        <v>50402.0</v>
      </c>
      <c r="B213" s="7" t="s">
        <v>279</v>
      </c>
      <c r="C213" s="83">
        <v>15.0</v>
      </c>
      <c r="D213" s="83">
        <v>13.0</v>
      </c>
    </row>
    <row r="214" ht="15.75" customHeight="1">
      <c r="A214" s="6">
        <v>50403.0</v>
      </c>
      <c r="B214" s="7" t="s">
        <v>280</v>
      </c>
      <c r="C214" s="83">
        <v>40.0</v>
      </c>
      <c r="D214" s="83">
        <v>64.0</v>
      </c>
    </row>
    <row r="215" ht="15.75" customHeight="1">
      <c r="A215" s="6">
        <v>50404.0</v>
      </c>
      <c r="B215" s="7" t="s">
        <v>281</v>
      </c>
      <c r="C215" s="83">
        <v>44.0</v>
      </c>
      <c r="D215" s="83">
        <v>15.0</v>
      </c>
    </row>
    <row r="216" ht="15.75" customHeight="1">
      <c r="A216" s="6">
        <v>50405.0</v>
      </c>
      <c r="B216" s="82" t="s">
        <v>282</v>
      </c>
      <c r="C216" s="83">
        <v>99.0</v>
      </c>
      <c r="D216" s="83">
        <v>45.0</v>
      </c>
    </row>
    <row r="217" ht="15.75" customHeight="1">
      <c r="A217" s="6">
        <v>50501.0</v>
      </c>
      <c r="B217" s="7" t="s">
        <v>284</v>
      </c>
      <c r="C217" s="83">
        <v>64.0</v>
      </c>
      <c r="D217" s="83">
        <v>54.0</v>
      </c>
    </row>
    <row r="218" ht="15.75" customHeight="1">
      <c r="A218" s="6">
        <v>50502.0</v>
      </c>
      <c r="B218" s="7" t="s">
        <v>285</v>
      </c>
      <c r="C218" s="83">
        <v>20.0</v>
      </c>
      <c r="D218" s="83">
        <v>13.0</v>
      </c>
    </row>
    <row r="219" ht="15.75" customHeight="1">
      <c r="A219" s="6">
        <v>50601.0</v>
      </c>
      <c r="B219" s="7" t="s">
        <v>287</v>
      </c>
      <c r="C219" s="83">
        <v>6.0</v>
      </c>
      <c r="D219" s="83">
        <v>11.0</v>
      </c>
    </row>
    <row r="220" ht="15.75" customHeight="1">
      <c r="A220" s="6">
        <v>50602.0</v>
      </c>
      <c r="B220" s="7" t="s">
        <v>288</v>
      </c>
      <c r="C220" s="83">
        <v>4.0</v>
      </c>
      <c r="D220" s="83">
        <v>7.0</v>
      </c>
    </row>
    <row r="221" ht="15.75" customHeight="1">
      <c r="A221" s="6">
        <v>50701.0</v>
      </c>
      <c r="B221" s="7" t="s">
        <v>290</v>
      </c>
      <c r="C221" s="83">
        <v>14.0</v>
      </c>
      <c r="D221" s="83">
        <v>38.0</v>
      </c>
    </row>
    <row r="222" ht="15.75" customHeight="1">
      <c r="A222" s="6">
        <v>50702.0</v>
      </c>
      <c r="B222" s="7" t="s">
        <v>291</v>
      </c>
      <c r="C222" s="83">
        <v>8.0</v>
      </c>
      <c r="D222" s="83">
        <v>21.0</v>
      </c>
    </row>
    <row r="223" ht="15.75" customHeight="1">
      <c r="A223" s="6">
        <v>50801.0</v>
      </c>
      <c r="B223" s="7" t="s">
        <v>293</v>
      </c>
      <c r="C223" s="83">
        <v>10.0</v>
      </c>
      <c r="D223" s="83">
        <v>24.0</v>
      </c>
    </row>
    <row r="224" ht="15.75" customHeight="1">
      <c r="A224" s="6">
        <v>50802.0</v>
      </c>
      <c r="B224" s="7" t="s">
        <v>294</v>
      </c>
      <c r="C224" s="83">
        <v>1.0</v>
      </c>
      <c r="D224" s="83">
        <v>10.0</v>
      </c>
    </row>
    <row r="225" ht="15.75" customHeight="1">
      <c r="A225" s="6">
        <v>50901.0</v>
      </c>
      <c r="B225" s="7" t="s">
        <v>296</v>
      </c>
      <c r="C225" s="83">
        <v>1.0</v>
      </c>
      <c r="D225" s="83">
        <v>13.0</v>
      </c>
    </row>
    <row r="226" ht="15.75" customHeight="1">
      <c r="A226" s="6">
        <v>50902.0</v>
      </c>
      <c r="B226" s="7" t="s">
        <v>297</v>
      </c>
      <c r="C226" s="83">
        <v>0.0</v>
      </c>
      <c r="D226" s="83">
        <v>2.0</v>
      </c>
    </row>
    <row r="227" ht="15.75" customHeight="1">
      <c r="A227" s="6">
        <v>51001.0</v>
      </c>
      <c r="B227" s="7" t="s">
        <v>299</v>
      </c>
      <c r="C227" s="83">
        <v>1.0</v>
      </c>
      <c r="D227" s="83">
        <v>5.0</v>
      </c>
    </row>
    <row r="228" ht="15.75" customHeight="1">
      <c r="A228" s="6">
        <v>51002.0</v>
      </c>
      <c r="B228" s="7" t="s">
        <v>300</v>
      </c>
      <c r="C228" s="83">
        <v>0.0</v>
      </c>
      <c r="D228" s="83">
        <v>1.0</v>
      </c>
    </row>
    <row r="229" ht="15.75" customHeight="1">
      <c r="A229" s="6">
        <v>51003.0</v>
      </c>
      <c r="B229" s="7" t="s">
        <v>301</v>
      </c>
      <c r="C229" s="83">
        <v>0.0</v>
      </c>
      <c r="D229" s="83">
        <v>5.0</v>
      </c>
    </row>
    <row r="230" ht="15.75" customHeight="1">
      <c r="A230" s="6">
        <v>51101.0</v>
      </c>
      <c r="B230" s="7" t="s">
        <v>303</v>
      </c>
      <c r="C230" s="83">
        <v>5.0</v>
      </c>
      <c r="D230" s="83">
        <v>12.0</v>
      </c>
    </row>
    <row r="231" ht="15.75" customHeight="1">
      <c r="A231" s="6">
        <v>51102.0</v>
      </c>
      <c r="B231" s="7" t="s">
        <v>304</v>
      </c>
      <c r="C231" s="83">
        <v>3.0</v>
      </c>
      <c r="D231" s="83">
        <v>14.0</v>
      </c>
    </row>
    <row r="232" ht="15.75" customHeight="1">
      <c r="A232" s="6">
        <v>51103.0</v>
      </c>
      <c r="B232" s="7" t="s">
        <v>305</v>
      </c>
      <c r="C232" s="83">
        <v>10.0</v>
      </c>
      <c r="D232" s="83">
        <v>14.0</v>
      </c>
    </row>
    <row r="233" ht="15.75" customHeight="1">
      <c r="A233" s="6">
        <v>51201.0</v>
      </c>
      <c r="B233" s="7" t="s">
        <v>307</v>
      </c>
      <c r="C233" s="83">
        <v>8.0</v>
      </c>
      <c r="D233" s="83">
        <v>46.0</v>
      </c>
    </row>
    <row r="234" ht="15.75" customHeight="1">
      <c r="A234" s="6">
        <v>51202.0</v>
      </c>
      <c r="B234" s="7" t="s">
        <v>308</v>
      </c>
      <c r="C234" s="83">
        <v>5.0</v>
      </c>
      <c r="D234" s="83">
        <v>9.0</v>
      </c>
    </row>
    <row r="235" ht="15.75" customHeight="1">
      <c r="A235" s="6">
        <v>51203.0</v>
      </c>
      <c r="B235" s="7" t="s">
        <v>309</v>
      </c>
      <c r="C235" s="83">
        <v>2.0</v>
      </c>
      <c r="D235" s="83">
        <v>15.0</v>
      </c>
    </row>
    <row r="236" ht="15.75" customHeight="1">
      <c r="A236" s="6">
        <v>51204.0</v>
      </c>
      <c r="B236" s="82" t="s">
        <v>310</v>
      </c>
      <c r="C236" s="83">
        <v>5.0</v>
      </c>
      <c r="D236" s="83">
        <v>10.0</v>
      </c>
    </row>
    <row r="237" ht="15.75" customHeight="1">
      <c r="A237" s="6">
        <v>51301.0</v>
      </c>
      <c r="B237" s="7" t="s">
        <v>312</v>
      </c>
      <c r="C237" s="83">
        <v>3.0</v>
      </c>
      <c r="D237" s="83">
        <v>6.0</v>
      </c>
    </row>
    <row r="238" ht="15.75" customHeight="1">
      <c r="A238" s="6">
        <v>51302.0</v>
      </c>
      <c r="B238" s="7" t="s">
        <v>313</v>
      </c>
      <c r="C238" s="83">
        <v>3.0</v>
      </c>
      <c r="D238" s="83">
        <v>8.0</v>
      </c>
    </row>
    <row r="239" ht="15.75" customHeight="1">
      <c r="A239" s="6">
        <v>51401.0</v>
      </c>
      <c r="B239" s="7" t="s">
        <v>315</v>
      </c>
      <c r="C239" s="83">
        <v>1.0</v>
      </c>
      <c r="D239" s="83">
        <v>8.0</v>
      </c>
    </row>
    <row r="240" ht="15.75" customHeight="1">
      <c r="A240" s="6">
        <v>51402.0</v>
      </c>
      <c r="B240" s="7" t="s">
        <v>316</v>
      </c>
      <c r="C240" s="83">
        <v>0.0</v>
      </c>
      <c r="D240" s="83">
        <v>0.0</v>
      </c>
    </row>
    <row r="241" ht="15.75" customHeight="1">
      <c r="A241" s="6">
        <v>51501.0</v>
      </c>
      <c r="B241" s="7" t="s">
        <v>318</v>
      </c>
      <c r="C241" s="83">
        <v>3.0</v>
      </c>
      <c r="D241" s="83">
        <v>39.0</v>
      </c>
    </row>
    <row r="242" ht="15.75" customHeight="1">
      <c r="A242" s="6">
        <v>51601.0</v>
      </c>
      <c r="B242" s="7" t="s">
        <v>320</v>
      </c>
      <c r="C242" s="83">
        <v>0.0</v>
      </c>
      <c r="D242" s="83">
        <v>2.0</v>
      </c>
    </row>
    <row r="243" ht="15.75" customHeight="1">
      <c r="A243" s="6">
        <v>60101.0</v>
      </c>
      <c r="B243" s="7" t="s">
        <v>25</v>
      </c>
      <c r="C243" s="83">
        <v>43.0</v>
      </c>
      <c r="D243" s="83">
        <v>78.0</v>
      </c>
    </row>
    <row r="244" ht="15.75" customHeight="1">
      <c r="A244" s="6">
        <v>60201.0</v>
      </c>
      <c r="B244" s="7" t="s">
        <v>322</v>
      </c>
      <c r="C244" s="83">
        <v>6.0</v>
      </c>
      <c r="D244" s="83">
        <v>6.0</v>
      </c>
    </row>
    <row r="245" ht="15.75" customHeight="1">
      <c r="A245" s="6">
        <v>60202.0</v>
      </c>
      <c r="B245" s="7" t="s">
        <v>323</v>
      </c>
      <c r="C245" s="83">
        <v>18.0</v>
      </c>
      <c r="D245" s="83">
        <v>11.0</v>
      </c>
    </row>
    <row r="246" ht="15.75" customHeight="1">
      <c r="A246" s="6">
        <v>60301.0</v>
      </c>
      <c r="B246" s="7" t="s">
        <v>324</v>
      </c>
      <c r="C246" s="83">
        <v>43.0</v>
      </c>
      <c r="D246" s="83">
        <v>62.0</v>
      </c>
    </row>
    <row r="247" ht="15.75" customHeight="1">
      <c r="A247" s="6">
        <v>60302.0</v>
      </c>
      <c r="B247" s="7" t="s">
        <v>325</v>
      </c>
      <c r="C247" s="83">
        <v>2.0</v>
      </c>
      <c r="D247" s="83">
        <v>7.0</v>
      </c>
    </row>
    <row r="248" ht="15.75" customHeight="1">
      <c r="A248" s="6">
        <v>60303.0</v>
      </c>
      <c r="B248" s="7" t="s">
        <v>326</v>
      </c>
      <c r="C248" s="83">
        <v>24.0</v>
      </c>
      <c r="D248" s="83">
        <v>17.0</v>
      </c>
    </row>
    <row r="249" ht="15.75" customHeight="1">
      <c r="A249" s="6">
        <v>60401.0</v>
      </c>
      <c r="B249" s="7" t="s">
        <v>328</v>
      </c>
      <c r="C249" s="83">
        <v>2.0</v>
      </c>
      <c r="D249" s="83">
        <v>5.0</v>
      </c>
    </row>
    <row r="250" ht="15.75" customHeight="1">
      <c r="A250" s="6">
        <v>60402.0</v>
      </c>
      <c r="B250" s="7" t="s">
        <v>329</v>
      </c>
      <c r="C250" s="83">
        <v>4.0</v>
      </c>
      <c r="D250" s="83">
        <v>2.0</v>
      </c>
    </row>
    <row r="251" ht="15.75" customHeight="1">
      <c r="A251" s="6">
        <v>60501.0</v>
      </c>
      <c r="B251" s="7" t="s">
        <v>331</v>
      </c>
      <c r="C251" s="83">
        <v>8.0</v>
      </c>
      <c r="D251" s="83">
        <v>8.0</v>
      </c>
    </row>
    <row r="252" ht="15.75" customHeight="1">
      <c r="A252" s="6">
        <v>60502.0</v>
      </c>
      <c r="B252" s="7" t="s">
        <v>332</v>
      </c>
      <c r="C252" s="83">
        <v>4.0</v>
      </c>
      <c r="D252" s="83">
        <v>5.0</v>
      </c>
    </row>
    <row r="253" ht="15.75" customHeight="1">
      <c r="A253" s="6">
        <v>60601.0</v>
      </c>
      <c r="B253" s="7" t="s">
        <v>206</v>
      </c>
      <c r="C253" s="83">
        <v>3.0</v>
      </c>
      <c r="D253" s="83">
        <v>9.0</v>
      </c>
    </row>
    <row r="254" ht="15.75" customHeight="1">
      <c r="A254" s="6">
        <v>70101.0</v>
      </c>
      <c r="B254" s="7" t="s">
        <v>335</v>
      </c>
      <c r="C254" s="83">
        <v>466.0</v>
      </c>
      <c r="D254" s="83">
        <v>628.0</v>
      </c>
    </row>
    <row r="255" ht="15.75" customHeight="1">
      <c r="A255" s="6">
        <v>70102.0</v>
      </c>
      <c r="B255" s="7" t="s">
        <v>336</v>
      </c>
      <c r="C255" s="83">
        <v>37.0</v>
      </c>
      <c r="D255" s="83">
        <v>62.0</v>
      </c>
    </row>
    <row r="256" ht="15.75" customHeight="1">
      <c r="A256" s="6">
        <v>70103.0</v>
      </c>
      <c r="B256" s="7" t="s">
        <v>337</v>
      </c>
      <c r="C256" s="83">
        <v>2.0</v>
      </c>
      <c r="D256" s="83">
        <v>9.0</v>
      </c>
    </row>
    <row r="257" ht="15.75" customHeight="1">
      <c r="A257" s="6">
        <v>70104.0</v>
      </c>
      <c r="B257" s="7" t="s">
        <v>338</v>
      </c>
      <c r="C257" s="83">
        <v>19.0</v>
      </c>
      <c r="D257" s="83">
        <v>66.0</v>
      </c>
    </row>
    <row r="258" ht="15.75" customHeight="1">
      <c r="A258" s="6">
        <v>70105.0</v>
      </c>
      <c r="B258" s="7" t="s">
        <v>339</v>
      </c>
      <c r="C258" s="83">
        <v>15.0</v>
      </c>
      <c r="D258" s="83">
        <v>31.0</v>
      </c>
    </row>
    <row r="259" ht="15.75" customHeight="1">
      <c r="A259" s="6">
        <v>70201.0</v>
      </c>
      <c r="B259" s="7" t="s">
        <v>340</v>
      </c>
      <c r="C259" s="83">
        <v>25.0</v>
      </c>
      <c r="D259" s="83">
        <v>94.0</v>
      </c>
    </row>
    <row r="260" ht="15.75" customHeight="1">
      <c r="A260" s="6">
        <v>70202.0</v>
      </c>
      <c r="B260" s="7" t="s">
        <v>341</v>
      </c>
      <c r="C260" s="83">
        <v>5.0</v>
      </c>
      <c r="D260" s="83">
        <v>7.0</v>
      </c>
    </row>
    <row r="261" ht="15.75" customHeight="1">
      <c r="A261" s="6">
        <v>70301.0</v>
      </c>
      <c r="B261" s="7" t="s">
        <v>343</v>
      </c>
      <c r="C261" s="83">
        <v>29.0</v>
      </c>
      <c r="D261" s="83">
        <v>69.0</v>
      </c>
    </row>
    <row r="262" ht="15.75" customHeight="1">
      <c r="A262" s="6">
        <v>70302.0</v>
      </c>
      <c r="B262" s="7" t="s">
        <v>344</v>
      </c>
      <c r="C262" s="83">
        <v>11.0</v>
      </c>
      <c r="D262" s="83">
        <v>21.0</v>
      </c>
    </row>
    <row r="263" ht="15.75" customHeight="1">
      <c r="A263" s="6">
        <v>70303.0</v>
      </c>
      <c r="B263" s="7" t="s">
        <v>345</v>
      </c>
      <c r="C263" s="83">
        <v>5.0</v>
      </c>
      <c r="D263" s="83">
        <v>9.0</v>
      </c>
    </row>
    <row r="264" ht="15.75" customHeight="1">
      <c r="A264" s="6">
        <v>70401.0</v>
      </c>
      <c r="B264" s="7" t="s">
        <v>347</v>
      </c>
      <c r="C264" s="83">
        <v>4.0</v>
      </c>
      <c r="D264" s="83">
        <v>3.0</v>
      </c>
    </row>
    <row r="265" ht="15.75" customHeight="1">
      <c r="A265" s="6">
        <v>70402.0</v>
      </c>
      <c r="B265" s="7" t="s">
        <v>348</v>
      </c>
      <c r="C265" s="83">
        <v>7.0</v>
      </c>
      <c r="D265" s="83">
        <v>11.0</v>
      </c>
    </row>
    <row r="266" ht="15.75" customHeight="1">
      <c r="A266" s="6">
        <v>70403.0</v>
      </c>
      <c r="B266" s="7" t="s">
        <v>349</v>
      </c>
      <c r="C266" s="83">
        <v>28.0</v>
      </c>
      <c r="D266" s="83">
        <v>36.0</v>
      </c>
    </row>
    <row r="267" ht="15.75" customHeight="1">
      <c r="A267" s="6">
        <v>70404.0</v>
      </c>
      <c r="B267" s="7" t="s">
        <v>350</v>
      </c>
      <c r="C267" s="83">
        <v>5.0</v>
      </c>
      <c r="D267" s="83">
        <v>3.0</v>
      </c>
    </row>
    <row r="268" ht="15.75" customHeight="1">
      <c r="A268" s="6">
        <v>70501.0</v>
      </c>
      <c r="B268" s="7" t="s">
        <v>352</v>
      </c>
      <c r="C268" s="83">
        <v>9.0</v>
      </c>
      <c r="D268" s="83">
        <v>45.0</v>
      </c>
    </row>
    <row r="269" ht="15.75" customHeight="1">
      <c r="A269" s="6">
        <v>70502.0</v>
      </c>
      <c r="B269" s="7" t="s">
        <v>353</v>
      </c>
      <c r="C269" s="83">
        <v>21.0</v>
      </c>
      <c r="D269" s="83">
        <v>74.0</v>
      </c>
    </row>
    <row r="270" ht="15.75" customHeight="1">
      <c r="A270" s="6">
        <v>70503.0</v>
      </c>
      <c r="B270" s="7" t="s">
        <v>354</v>
      </c>
      <c r="C270" s="83">
        <v>4.0</v>
      </c>
      <c r="D270" s="83">
        <v>8.0</v>
      </c>
    </row>
    <row r="271" ht="15.75" customHeight="1">
      <c r="A271" s="6">
        <v>70601.0</v>
      </c>
      <c r="B271" s="7" t="s">
        <v>356</v>
      </c>
      <c r="C271" s="83">
        <v>2.0</v>
      </c>
      <c r="D271" s="83">
        <v>8.0</v>
      </c>
    </row>
    <row r="272" ht="15.75" customHeight="1">
      <c r="A272" s="6">
        <v>70602.0</v>
      </c>
      <c r="B272" s="7" t="s">
        <v>357</v>
      </c>
      <c r="C272" s="83">
        <v>7.0</v>
      </c>
      <c r="D272" s="83">
        <v>15.0</v>
      </c>
    </row>
    <row r="273" ht="15.75" customHeight="1">
      <c r="A273" s="6">
        <v>70603.0</v>
      </c>
      <c r="B273" s="7" t="s">
        <v>358</v>
      </c>
      <c r="C273" s="83">
        <v>2.0</v>
      </c>
      <c r="D273" s="83">
        <v>3.0</v>
      </c>
    </row>
    <row r="274" ht="15.75" customHeight="1">
      <c r="A274" s="6">
        <v>70701.0</v>
      </c>
      <c r="B274" s="7" t="s">
        <v>360</v>
      </c>
      <c r="C274" s="83">
        <v>2.0</v>
      </c>
      <c r="D274" s="83">
        <v>5.0</v>
      </c>
    </row>
    <row r="275" ht="15.75" customHeight="1">
      <c r="A275" s="6">
        <v>70702.0</v>
      </c>
      <c r="B275" s="7" t="s">
        <v>361</v>
      </c>
      <c r="C275" s="83">
        <v>26.0</v>
      </c>
      <c r="D275" s="83">
        <v>70.0</v>
      </c>
    </row>
    <row r="276" ht="15.75" customHeight="1">
      <c r="A276" s="6">
        <v>70703.0</v>
      </c>
      <c r="B276" s="7" t="s">
        <v>362</v>
      </c>
      <c r="C276" s="83">
        <v>9.0</v>
      </c>
      <c r="D276" s="83">
        <v>23.0</v>
      </c>
    </row>
    <row r="277" ht="15.75" customHeight="1">
      <c r="A277" s="6">
        <v>70704.0</v>
      </c>
      <c r="B277" s="7" t="s">
        <v>363</v>
      </c>
      <c r="C277" s="83">
        <v>0.0</v>
      </c>
      <c r="D277" s="83">
        <v>2.0</v>
      </c>
    </row>
    <row r="278" ht="15.75" customHeight="1">
      <c r="A278" s="6">
        <v>70705.0</v>
      </c>
      <c r="B278" s="7" t="s">
        <v>364</v>
      </c>
      <c r="C278" s="83">
        <v>16.0</v>
      </c>
      <c r="D278" s="83">
        <v>30.0</v>
      </c>
    </row>
    <row r="279" ht="15.75" customHeight="1">
      <c r="A279" s="6">
        <v>70706.0</v>
      </c>
      <c r="B279" s="7" t="s">
        <v>365</v>
      </c>
      <c r="C279" s="83">
        <v>7.0</v>
      </c>
      <c r="D279" s="83">
        <v>15.0</v>
      </c>
    </row>
    <row r="280" ht="15.75" customHeight="1">
      <c r="A280" s="6">
        <v>70707.0</v>
      </c>
      <c r="B280" s="7" t="s">
        <v>366</v>
      </c>
      <c r="C280" s="83">
        <v>0.0</v>
      </c>
      <c r="D280" s="83">
        <v>2.0</v>
      </c>
    </row>
    <row r="281" ht="15.75" customHeight="1">
      <c r="A281" s="6">
        <v>70801.0</v>
      </c>
      <c r="B281" s="7" t="s">
        <v>367</v>
      </c>
      <c r="C281" s="83">
        <v>3.0</v>
      </c>
      <c r="D281" s="83">
        <v>6.0</v>
      </c>
    </row>
    <row r="282" ht="15.75" customHeight="1">
      <c r="A282" s="6">
        <v>70802.0</v>
      </c>
      <c r="B282" s="7" t="s">
        <v>368</v>
      </c>
      <c r="C282" s="83">
        <v>0.0</v>
      </c>
      <c r="D282" s="83">
        <v>2.0</v>
      </c>
    </row>
    <row r="283" ht="15.75" customHeight="1">
      <c r="A283" s="6">
        <v>70803.0</v>
      </c>
      <c r="B283" s="7" t="s">
        <v>369</v>
      </c>
      <c r="C283" s="83">
        <v>0.0</v>
      </c>
      <c r="D283" s="83">
        <v>0.0</v>
      </c>
    </row>
    <row r="284" ht="15.75" customHeight="1">
      <c r="A284" s="6">
        <v>70804.0</v>
      </c>
      <c r="B284" s="7" t="s">
        <v>370</v>
      </c>
      <c r="C284" s="83">
        <v>0.0</v>
      </c>
      <c r="D284" s="83">
        <v>0.0</v>
      </c>
    </row>
    <row r="285" ht="15.75" customHeight="1">
      <c r="A285" s="6">
        <v>70805.0</v>
      </c>
      <c r="B285" s="7" t="s">
        <v>371</v>
      </c>
      <c r="C285" s="83">
        <v>0.0</v>
      </c>
      <c r="D285" s="83">
        <v>1.0</v>
      </c>
    </row>
    <row r="286" ht="15.75" customHeight="1">
      <c r="A286" s="6">
        <v>70901.0</v>
      </c>
      <c r="B286" s="7" t="s">
        <v>373</v>
      </c>
      <c r="C286" s="83">
        <v>0.0</v>
      </c>
      <c r="D286" s="83">
        <v>8.0</v>
      </c>
    </row>
    <row r="287" ht="15.75" customHeight="1">
      <c r="A287" s="6">
        <v>70902.0</v>
      </c>
      <c r="B287" s="7" t="s">
        <v>374</v>
      </c>
      <c r="C287" s="83">
        <v>3.0</v>
      </c>
      <c r="D287" s="83">
        <v>5.0</v>
      </c>
    </row>
    <row r="288" ht="15.75" customHeight="1">
      <c r="A288" s="6">
        <v>70903.0</v>
      </c>
      <c r="B288" s="7" t="s">
        <v>375</v>
      </c>
      <c r="C288" s="83">
        <v>5.0</v>
      </c>
      <c r="D288" s="83">
        <v>7.0</v>
      </c>
    </row>
    <row r="289" ht="15.75" customHeight="1">
      <c r="A289" s="6">
        <v>70904.0</v>
      </c>
      <c r="B289" s="7" t="s">
        <v>376</v>
      </c>
      <c r="C289" s="83">
        <v>1.0</v>
      </c>
      <c r="D289" s="83">
        <v>0.0</v>
      </c>
    </row>
    <row r="290" ht="15.75" customHeight="1">
      <c r="A290" s="6">
        <v>71001.0</v>
      </c>
      <c r="B290" s="7" t="s">
        <v>378</v>
      </c>
      <c r="C290" s="83">
        <v>40.0</v>
      </c>
      <c r="D290" s="83">
        <v>62.0</v>
      </c>
    </row>
    <row r="291" ht="15.75" customHeight="1">
      <c r="A291" s="6">
        <v>71002.0</v>
      </c>
      <c r="B291" s="7" t="s">
        <v>379</v>
      </c>
      <c r="C291" s="83">
        <v>3.0</v>
      </c>
      <c r="D291" s="83">
        <v>14.0</v>
      </c>
    </row>
    <row r="292" ht="15.75" customHeight="1">
      <c r="A292" s="6">
        <v>71003.0</v>
      </c>
      <c r="B292" s="7" t="s">
        <v>380</v>
      </c>
      <c r="C292" s="83">
        <v>12.0</v>
      </c>
      <c r="D292" s="83">
        <v>21.0</v>
      </c>
    </row>
    <row r="293" ht="15.75" customHeight="1">
      <c r="A293" s="6">
        <v>71004.0</v>
      </c>
      <c r="B293" s="7" t="s">
        <v>381</v>
      </c>
      <c r="C293" s="83">
        <v>10.0</v>
      </c>
      <c r="D293" s="83">
        <v>11.0</v>
      </c>
    </row>
    <row r="294" ht="15.75" customHeight="1">
      <c r="A294" s="6">
        <v>71005.0</v>
      </c>
      <c r="B294" s="7" t="s">
        <v>382</v>
      </c>
      <c r="C294" s="83">
        <v>7.0</v>
      </c>
      <c r="D294" s="83">
        <v>8.0</v>
      </c>
    </row>
    <row r="295" ht="15.75" customHeight="1">
      <c r="A295" s="6">
        <v>71101.0</v>
      </c>
      <c r="B295" s="7" t="s">
        <v>384</v>
      </c>
      <c r="C295" s="83">
        <v>10.0</v>
      </c>
      <c r="D295" s="83">
        <v>33.0</v>
      </c>
    </row>
    <row r="296" ht="15.75" customHeight="1">
      <c r="A296" s="6">
        <v>71102.0</v>
      </c>
      <c r="B296" s="7" t="s">
        <v>385</v>
      </c>
      <c r="C296" s="83">
        <v>15.0</v>
      </c>
      <c r="D296" s="83">
        <v>17.0</v>
      </c>
    </row>
    <row r="297" ht="15.75" customHeight="1">
      <c r="A297" s="6">
        <v>71103.0</v>
      </c>
      <c r="B297" s="7" t="s">
        <v>386</v>
      </c>
      <c r="C297" s="83">
        <v>4.0</v>
      </c>
      <c r="D297" s="83">
        <v>38.0</v>
      </c>
    </row>
    <row r="298" ht="15.75" customHeight="1">
      <c r="A298" s="6">
        <v>71104.0</v>
      </c>
      <c r="B298" s="7" t="s">
        <v>387</v>
      </c>
      <c r="C298" s="83">
        <v>17.0</v>
      </c>
      <c r="D298" s="83">
        <v>8.0</v>
      </c>
    </row>
    <row r="299" ht="15.75" customHeight="1">
      <c r="A299" s="6">
        <v>71105.0</v>
      </c>
      <c r="B299" s="7" t="s">
        <v>388</v>
      </c>
      <c r="C299" s="83">
        <v>8.0</v>
      </c>
      <c r="D299" s="83">
        <v>5.0</v>
      </c>
    </row>
    <row r="300" ht="15.75" customHeight="1">
      <c r="A300" s="6">
        <v>71106.0</v>
      </c>
      <c r="B300" s="7" t="s">
        <v>389</v>
      </c>
      <c r="C300" s="83">
        <v>12.0</v>
      </c>
      <c r="D300" s="83">
        <v>27.0</v>
      </c>
    </row>
    <row r="301" ht="15.75" customHeight="1">
      <c r="A301" s="6">
        <v>71201.0</v>
      </c>
      <c r="B301" s="7" t="s">
        <v>391</v>
      </c>
      <c r="C301" s="83">
        <v>7.0</v>
      </c>
      <c r="D301" s="83">
        <v>7.0</v>
      </c>
    </row>
    <row r="302" ht="15.75" customHeight="1">
      <c r="A302" s="6">
        <v>71301.0</v>
      </c>
      <c r="B302" s="7" t="s">
        <v>393</v>
      </c>
      <c r="C302" s="83">
        <v>3.0</v>
      </c>
      <c r="D302" s="83">
        <v>17.0</v>
      </c>
    </row>
    <row r="303" ht="15.75" customHeight="1">
      <c r="A303" s="6">
        <v>71302.0</v>
      </c>
      <c r="B303" s="7" t="s">
        <v>394</v>
      </c>
      <c r="C303" s="83">
        <v>1.0</v>
      </c>
      <c r="D303" s="83">
        <v>2.0</v>
      </c>
    </row>
    <row r="304" ht="15.75" customHeight="1">
      <c r="A304" s="6">
        <v>71401.0</v>
      </c>
      <c r="B304" s="7" t="s">
        <v>396</v>
      </c>
      <c r="C304" s="83">
        <v>7.0</v>
      </c>
      <c r="D304" s="83">
        <v>12.0</v>
      </c>
    </row>
    <row r="305" ht="15.75" customHeight="1">
      <c r="A305" s="6">
        <v>71402.0</v>
      </c>
      <c r="B305" s="7" t="s">
        <v>397</v>
      </c>
      <c r="C305" s="83">
        <v>10.0</v>
      </c>
      <c r="D305" s="83">
        <v>10.0</v>
      </c>
    </row>
    <row r="306" ht="15.75" customHeight="1">
      <c r="A306" s="6">
        <v>71403.0</v>
      </c>
      <c r="B306" s="7" t="s">
        <v>398</v>
      </c>
      <c r="C306" s="83">
        <v>1.0</v>
      </c>
      <c r="D306" s="83">
        <v>12.0</v>
      </c>
    </row>
    <row r="307" ht="15.75" customHeight="1">
      <c r="A307" s="6">
        <v>71501.0</v>
      </c>
      <c r="B307" s="7" t="s">
        <v>400</v>
      </c>
      <c r="C307" s="83">
        <v>10.0</v>
      </c>
      <c r="D307" s="83">
        <v>30.0</v>
      </c>
    </row>
    <row r="308" ht="15.75" customHeight="1">
      <c r="A308" s="6">
        <v>71502.0</v>
      </c>
      <c r="B308" s="7" t="s">
        <v>401</v>
      </c>
      <c r="C308" s="83">
        <v>3.0</v>
      </c>
      <c r="D308" s="83">
        <v>10.0</v>
      </c>
    </row>
    <row r="309" ht="15.75" customHeight="1">
      <c r="A309" s="6">
        <v>71503.0</v>
      </c>
      <c r="B309" s="7" t="s">
        <v>332</v>
      </c>
      <c r="C309" s="83">
        <v>10.0</v>
      </c>
      <c r="D309" s="83">
        <v>10.0</v>
      </c>
    </row>
    <row r="310" ht="15.75" customHeight="1">
      <c r="A310" s="6">
        <v>80101.0</v>
      </c>
      <c r="B310" s="7" t="s">
        <v>402</v>
      </c>
      <c r="C310" s="83">
        <v>57.0</v>
      </c>
      <c r="D310" s="83">
        <v>50.0</v>
      </c>
    </row>
    <row r="311" ht="15.75" customHeight="1">
      <c r="A311" s="6">
        <v>80102.0</v>
      </c>
      <c r="B311" s="7" t="s">
        <v>385</v>
      </c>
      <c r="C311" s="83">
        <v>6.0</v>
      </c>
      <c r="D311" s="83">
        <v>8.0</v>
      </c>
    </row>
    <row r="312" ht="15.75" customHeight="1">
      <c r="A312" s="6">
        <v>80201.0</v>
      </c>
      <c r="B312" s="7" t="s">
        <v>404</v>
      </c>
      <c r="C312" s="83">
        <v>80.0</v>
      </c>
      <c r="D312" s="83">
        <v>83.0</v>
      </c>
    </row>
    <row r="313" ht="15.75" customHeight="1">
      <c r="A313" s="6">
        <v>80202.0</v>
      </c>
      <c r="B313" s="7" t="s">
        <v>405</v>
      </c>
      <c r="C313" s="83">
        <v>28.0</v>
      </c>
      <c r="D313" s="83">
        <v>23.0</v>
      </c>
    </row>
    <row r="314" ht="15.75" customHeight="1">
      <c r="A314" s="6">
        <v>80301.0</v>
      </c>
      <c r="B314" s="7" t="s">
        <v>407</v>
      </c>
      <c r="C314" s="83">
        <v>12.0</v>
      </c>
      <c r="D314" s="83">
        <v>15.0</v>
      </c>
    </row>
    <row r="315" ht="15.75" customHeight="1">
      <c r="A315" s="6">
        <v>80302.0</v>
      </c>
      <c r="B315" s="7" t="s">
        <v>408</v>
      </c>
      <c r="C315" s="83">
        <v>66.0</v>
      </c>
      <c r="D315" s="83">
        <v>57.0</v>
      </c>
    </row>
    <row r="316" ht="15.75" customHeight="1">
      <c r="A316" s="6">
        <v>80303.0</v>
      </c>
      <c r="B316" s="7" t="s">
        <v>409</v>
      </c>
      <c r="C316" s="83">
        <v>6.0</v>
      </c>
      <c r="D316" s="83">
        <v>11.0</v>
      </c>
    </row>
    <row r="317" ht="15.75" customHeight="1">
      <c r="A317" s="6">
        <v>80304.0</v>
      </c>
      <c r="B317" s="7" t="s">
        <v>410</v>
      </c>
      <c r="C317" s="83">
        <v>14.0</v>
      </c>
      <c r="D317" s="83">
        <v>19.0</v>
      </c>
    </row>
    <row r="318" ht="15.75" customHeight="1">
      <c r="A318" s="6">
        <v>80401.0</v>
      </c>
      <c r="B318" s="7" t="s">
        <v>412</v>
      </c>
      <c r="C318" s="83">
        <v>13.0</v>
      </c>
      <c r="D318" s="83">
        <v>7.0</v>
      </c>
    </row>
    <row r="319" ht="15.75" customHeight="1">
      <c r="A319" s="6">
        <v>80402.0</v>
      </c>
      <c r="B319" s="7" t="s">
        <v>413</v>
      </c>
      <c r="C319" s="83">
        <v>1.0</v>
      </c>
      <c r="D319" s="83">
        <v>2.0</v>
      </c>
    </row>
    <row r="320" ht="15.75" customHeight="1">
      <c r="A320" s="6">
        <v>80501.0</v>
      </c>
      <c r="B320" s="7" t="s">
        <v>415</v>
      </c>
      <c r="C320" s="83">
        <v>14.0</v>
      </c>
      <c r="D320" s="83">
        <v>21.0</v>
      </c>
    </row>
    <row r="321" ht="15.75" customHeight="1">
      <c r="A321" s="6">
        <v>80601.0</v>
      </c>
      <c r="B321" s="7" t="s">
        <v>417</v>
      </c>
      <c r="C321" s="83">
        <v>3.0</v>
      </c>
      <c r="D321" s="83">
        <v>5.0</v>
      </c>
    </row>
    <row r="322" ht="15.75" customHeight="1">
      <c r="A322" s="6">
        <v>80602.0</v>
      </c>
      <c r="B322" s="7" t="s">
        <v>418</v>
      </c>
      <c r="C322" s="83">
        <v>6.0</v>
      </c>
      <c r="D322" s="83">
        <v>19.0</v>
      </c>
    </row>
    <row r="323" ht="15.75" customHeight="1">
      <c r="A323" s="6">
        <v>80701.0</v>
      </c>
      <c r="B323" s="7" t="s">
        <v>420</v>
      </c>
      <c r="C323" s="83">
        <v>6.0</v>
      </c>
      <c r="D323" s="83">
        <v>4.0</v>
      </c>
    </row>
    <row r="324" ht="15.75" customHeight="1">
      <c r="A324" s="6">
        <v>80702.0</v>
      </c>
      <c r="B324" s="7" t="s">
        <v>386</v>
      </c>
      <c r="C324" s="83">
        <v>3.0</v>
      </c>
      <c r="D324" s="83">
        <v>4.0</v>
      </c>
    </row>
    <row r="325" ht="15.75" customHeight="1">
      <c r="A325" s="6">
        <v>80703.0</v>
      </c>
      <c r="B325" s="7" t="s">
        <v>421</v>
      </c>
      <c r="C325" s="83">
        <v>2.0</v>
      </c>
      <c r="D325" s="83">
        <v>0.0</v>
      </c>
    </row>
    <row r="326" ht="15.75" customHeight="1">
      <c r="A326" s="6">
        <v>80801.0</v>
      </c>
      <c r="B326" s="7" t="s">
        <v>423</v>
      </c>
      <c r="C326" s="83">
        <v>1.0</v>
      </c>
      <c r="D326" s="83">
        <v>7.0</v>
      </c>
    </row>
    <row r="327" ht="15.75" customHeight="1">
      <c r="A327" s="6">
        <v>80802.0</v>
      </c>
      <c r="B327" s="7" t="s">
        <v>424</v>
      </c>
      <c r="C327" s="83">
        <v>2.0</v>
      </c>
      <c r="D327" s="83">
        <v>7.0</v>
      </c>
    </row>
    <row r="328" ht="15.75" customHeight="1">
      <c r="A328" s="6">
        <v>80803.0</v>
      </c>
      <c r="B328" s="7" t="s">
        <v>425</v>
      </c>
      <c r="C328" s="83">
        <v>2.0</v>
      </c>
      <c r="D328" s="83">
        <v>1.0</v>
      </c>
    </row>
    <row r="329" ht="15.75" customHeight="1">
      <c r="A329" s="6">
        <v>80901.0</v>
      </c>
      <c r="B329" s="82" t="s">
        <v>426</v>
      </c>
      <c r="C329" s="83">
        <v>21.0</v>
      </c>
      <c r="D329" s="83">
        <v>12.0</v>
      </c>
    </row>
    <row r="330" ht="15.75" customHeight="1">
      <c r="A330" s="6">
        <v>90101.0</v>
      </c>
      <c r="B330" s="7" t="s">
        <v>428</v>
      </c>
      <c r="C330" s="83">
        <v>7.0</v>
      </c>
      <c r="D330" s="83">
        <v>35.0</v>
      </c>
    </row>
    <row r="331" ht="15.75" customHeight="1">
      <c r="A331" s="6">
        <v>90102.0</v>
      </c>
      <c r="B331" s="7" t="s">
        <v>429</v>
      </c>
      <c r="C331" s="83">
        <v>0.0</v>
      </c>
      <c r="D331" s="83">
        <v>1.0</v>
      </c>
    </row>
    <row r="332" ht="15.75" customHeight="1">
      <c r="A332" s="6">
        <v>90103.0</v>
      </c>
      <c r="B332" s="7" t="s">
        <v>430</v>
      </c>
      <c r="C332" s="83">
        <v>0.0</v>
      </c>
      <c r="D332" s="83">
        <v>0.0</v>
      </c>
    </row>
    <row r="333" ht="15.75" customHeight="1">
      <c r="A333" s="6">
        <v>90104.0</v>
      </c>
      <c r="B333" s="7" t="s">
        <v>431</v>
      </c>
      <c r="C333" s="83">
        <v>0.0</v>
      </c>
      <c r="D333" s="83">
        <v>1.0</v>
      </c>
    </row>
    <row r="334" ht="15.75" customHeight="1">
      <c r="A334" s="6">
        <v>90201.0</v>
      </c>
      <c r="B334" s="7" t="s">
        <v>433</v>
      </c>
      <c r="C334" s="83">
        <v>0.0</v>
      </c>
      <c r="D334" s="83">
        <v>4.0</v>
      </c>
    </row>
    <row r="335" ht="15.75" customHeight="1">
      <c r="A335" s="6">
        <v>90202.0</v>
      </c>
      <c r="B335" s="7" t="s">
        <v>382</v>
      </c>
      <c r="C335" s="83">
        <v>0.0</v>
      </c>
      <c r="D335" s="83">
        <v>0.0</v>
      </c>
    </row>
    <row r="336" ht="15.75" customHeight="1">
      <c r="A336" s="6">
        <v>90203.0</v>
      </c>
      <c r="B336" s="7" t="s">
        <v>434</v>
      </c>
      <c r="C336" s="83">
        <v>0.0</v>
      </c>
      <c r="D336" s="83">
        <v>4.0</v>
      </c>
    </row>
    <row r="337" ht="15.75" customHeight="1">
      <c r="A337" s="6">
        <v>90301.0</v>
      </c>
      <c r="B337" s="7" t="s">
        <v>436</v>
      </c>
      <c r="C337" s="83">
        <v>1.0</v>
      </c>
      <c r="D337" s="83">
        <v>6.0</v>
      </c>
    </row>
    <row r="338" ht="15.75" customHeight="1">
      <c r="A338" s="6">
        <v>90302.0</v>
      </c>
      <c r="B338" s="7" t="s">
        <v>437</v>
      </c>
      <c r="C338" s="83">
        <v>0.0</v>
      </c>
      <c r="D338" s="83">
        <v>2.0</v>
      </c>
    </row>
    <row r="339" ht="15.75" customHeight="1">
      <c r="A339" s="6">
        <v>90303.0</v>
      </c>
      <c r="B339" s="7" t="s">
        <v>438</v>
      </c>
      <c r="C339" s="83">
        <v>2.0</v>
      </c>
      <c r="D339" s="83">
        <v>11.0</v>
      </c>
    </row>
    <row r="340" ht="15.75" customHeight="1">
      <c r="A340" s="6">
        <v>90401.0</v>
      </c>
      <c r="B340" s="7" t="s">
        <v>440</v>
      </c>
      <c r="C340" s="83">
        <v>0.0</v>
      </c>
      <c r="D340" s="83">
        <v>1.0</v>
      </c>
    </row>
    <row r="341" ht="15.75" customHeight="1">
      <c r="A341" s="6">
        <v>90402.0</v>
      </c>
      <c r="B341" s="7" t="s">
        <v>103</v>
      </c>
      <c r="C341" s="83">
        <v>1.0</v>
      </c>
      <c r="D341" s="83">
        <v>2.0</v>
      </c>
    </row>
    <row r="342" ht="15.75" customHeight="1">
      <c r="A342" s="6">
        <v>90501.0</v>
      </c>
      <c r="B342" s="7" t="s">
        <v>442</v>
      </c>
      <c r="C342" s="83">
        <v>2.0</v>
      </c>
      <c r="D342" s="83">
        <v>1.0</v>
      </c>
    </row>
    <row r="343" ht="15.75" customHeight="1">
      <c r="A343" s="6">
        <v>90502.0</v>
      </c>
      <c r="B343" s="7" t="s">
        <v>443</v>
      </c>
      <c r="C343" s="83">
        <v>2.0</v>
      </c>
      <c r="D343" s="83">
        <v>4.0</v>
      </c>
    </row>
    <row r="344" ht="15.75" customHeight="1">
      <c r="A344" s="6">
        <v>90503.0</v>
      </c>
      <c r="B344" s="7" t="s">
        <v>444</v>
      </c>
      <c r="C344" s="83">
        <v>0.0</v>
      </c>
      <c r="D344" s="83">
        <v>4.0</v>
      </c>
    </row>
    <row r="345" ht="15.75" customHeight="1">
      <c r="A345" s="29"/>
      <c r="B345" s="30"/>
      <c r="C345" s="52">
        <v>0.0</v>
      </c>
      <c r="D345" s="38"/>
    </row>
    <row r="346" ht="15.75" customHeight="1">
      <c r="A346" s="29"/>
      <c r="B346" s="30"/>
      <c r="D346" s="38"/>
    </row>
    <row r="347" ht="15.75" customHeight="1">
      <c r="A347" s="29"/>
      <c r="B347" s="30"/>
      <c r="D347" s="38"/>
    </row>
    <row r="348" ht="15.75" customHeight="1">
      <c r="A348" s="29"/>
      <c r="B348" s="30"/>
    </row>
    <row r="349" ht="15.75" customHeight="1">
      <c r="A349" s="29"/>
      <c r="B349" s="30"/>
    </row>
    <row r="350" ht="15.75" customHeight="1">
      <c r="A350" s="29"/>
      <c r="B350" s="30"/>
      <c r="D350" s="40"/>
    </row>
    <row r="351" ht="15.75" customHeight="1">
      <c r="A351" s="29"/>
      <c r="B351" s="30"/>
      <c r="D351" s="40"/>
    </row>
    <row r="352" ht="15.75" customHeight="1">
      <c r="A352" s="29"/>
      <c r="B352" s="30"/>
      <c r="D352" s="40"/>
    </row>
    <row r="353" ht="15.75" customHeight="1">
      <c r="A353" s="29"/>
      <c r="B353" s="41"/>
      <c r="D353" s="40"/>
    </row>
    <row r="354" ht="15.75" customHeight="1">
      <c r="A354" s="29"/>
      <c r="B354" s="41"/>
      <c r="D354" s="38"/>
    </row>
    <row r="355" ht="15.75" customHeight="1">
      <c r="A355" s="29"/>
      <c r="B355" s="41"/>
    </row>
    <row r="356" ht="15.75" customHeight="1">
      <c r="A356" s="29"/>
      <c r="B356" s="41"/>
    </row>
    <row r="357" ht="15.75" customHeight="1">
      <c r="A357" s="29"/>
      <c r="B357" s="41"/>
    </row>
    <row r="358" ht="15.75" customHeight="1">
      <c r="A358" s="29"/>
      <c r="B358" s="41"/>
    </row>
    <row r="359" ht="15.75" customHeight="1">
      <c r="A359" s="29"/>
      <c r="B359" s="41"/>
    </row>
    <row r="360" ht="15.75" customHeight="1">
      <c r="A360" s="29"/>
      <c r="B360" s="41"/>
    </row>
    <row r="361" ht="15.75" customHeight="1">
      <c r="A361" s="29"/>
      <c r="B361" s="41"/>
    </row>
    <row r="362" ht="15.75" customHeight="1">
      <c r="A362" s="29"/>
      <c r="B362" s="41"/>
    </row>
    <row r="363" ht="15.75" customHeight="1">
      <c r="A363" s="29"/>
      <c r="B363" s="41"/>
    </row>
    <row r="364" ht="15.75" customHeight="1">
      <c r="A364" s="29"/>
      <c r="B364" s="41"/>
    </row>
    <row r="365" ht="15.75" customHeight="1">
      <c r="A365" s="29"/>
      <c r="B365" s="41"/>
    </row>
    <row r="366" ht="15.75" customHeight="1">
      <c r="A366" s="29"/>
      <c r="B366" s="41"/>
    </row>
    <row r="367" ht="15.75" customHeight="1">
      <c r="A367" s="29"/>
      <c r="B367" s="41"/>
    </row>
    <row r="368" ht="15.75" customHeight="1">
      <c r="A368" s="29"/>
      <c r="B368" s="41"/>
    </row>
    <row r="369" ht="15.75" customHeight="1">
      <c r="A369" s="29"/>
      <c r="B369" s="41"/>
    </row>
    <row r="370" ht="15.75" customHeight="1">
      <c r="A370" s="29"/>
      <c r="B370" s="41"/>
    </row>
    <row r="371" ht="15.75" customHeight="1">
      <c r="A371" s="29"/>
      <c r="B371" s="41"/>
    </row>
    <row r="372" ht="15.75" customHeight="1">
      <c r="A372" s="29"/>
      <c r="B372" s="41"/>
    </row>
    <row r="373" ht="15.75" customHeight="1">
      <c r="A373" s="29"/>
      <c r="B373" s="41"/>
    </row>
    <row r="374" ht="15.75" customHeight="1">
      <c r="A374" s="29"/>
      <c r="B374" s="41"/>
    </row>
    <row r="375" ht="15.75" customHeight="1">
      <c r="A375" s="29"/>
      <c r="B375" s="41"/>
    </row>
    <row r="376" ht="15.75" customHeight="1">
      <c r="A376" s="29"/>
      <c r="B376" s="41"/>
    </row>
    <row r="377" ht="15.75" customHeight="1">
      <c r="A377" s="29"/>
      <c r="B377" s="41"/>
    </row>
    <row r="378" ht="15.75" customHeight="1">
      <c r="A378" s="29"/>
      <c r="B378" s="41"/>
    </row>
    <row r="379" ht="15.75" customHeight="1">
      <c r="A379" s="29"/>
      <c r="B379" s="41"/>
    </row>
    <row r="380" ht="15.75" customHeight="1">
      <c r="A380" s="29"/>
      <c r="B380" s="41"/>
    </row>
    <row r="381" ht="15.75" customHeight="1">
      <c r="A381" s="29"/>
      <c r="B381" s="41"/>
    </row>
    <row r="382" ht="15.75" customHeight="1">
      <c r="A382" s="29"/>
      <c r="B382" s="41"/>
    </row>
    <row r="383" ht="15.75" customHeight="1">
      <c r="A383" s="29"/>
      <c r="B383" s="41"/>
    </row>
    <row r="384" ht="15.75" customHeight="1">
      <c r="A384" s="29"/>
      <c r="B384" s="41"/>
    </row>
    <row r="385" ht="15.75" customHeight="1">
      <c r="A385" s="29"/>
      <c r="B385" s="41"/>
    </row>
    <row r="386" ht="15.75" customHeight="1">
      <c r="A386" s="29"/>
      <c r="B386" s="41"/>
    </row>
    <row r="387" ht="15.75" customHeight="1">
      <c r="A387" s="29"/>
      <c r="B387" s="41"/>
    </row>
    <row r="388" ht="15.75" customHeight="1">
      <c r="A388" s="29"/>
      <c r="B388" s="41"/>
    </row>
    <row r="389" ht="15.75" customHeight="1">
      <c r="A389" s="29"/>
      <c r="B389" s="41"/>
    </row>
    <row r="390" ht="15.75" customHeight="1">
      <c r="A390" s="29"/>
      <c r="B390" s="41"/>
    </row>
    <row r="391" ht="15.75" customHeight="1">
      <c r="A391" s="29"/>
      <c r="B391" s="41"/>
    </row>
    <row r="392" ht="15.75" customHeight="1">
      <c r="A392" s="29"/>
      <c r="B392" s="41"/>
    </row>
    <row r="393" ht="15.75" customHeight="1">
      <c r="A393" s="29"/>
      <c r="B393" s="41"/>
    </row>
    <row r="394" ht="15.75" customHeight="1">
      <c r="A394" s="29"/>
      <c r="B394" s="41"/>
    </row>
    <row r="395" ht="15.75" customHeight="1">
      <c r="A395" s="29"/>
      <c r="B395" s="41"/>
    </row>
    <row r="396" ht="15.75" customHeight="1">
      <c r="A396" s="29"/>
      <c r="B396" s="41"/>
    </row>
    <row r="397" ht="15.75" customHeight="1">
      <c r="A397" s="29"/>
      <c r="B397" s="41"/>
    </row>
    <row r="398" ht="15.75" customHeight="1">
      <c r="A398" s="29"/>
      <c r="B398" s="41"/>
    </row>
    <row r="399" ht="15.75" customHeight="1">
      <c r="A399" s="29"/>
      <c r="B399" s="41"/>
    </row>
    <row r="400" ht="15.75" customHeight="1">
      <c r="A400" s="29"/>
      <c r="B400" s="41"/>
    </row>
    <row r="401" ht="15.75" customHeight="1">
      <c r="A401" s="29"/>
      <c r="B401" s="41"/>
    </row>
    <row r="402" ht="15.75" customHeight="1">
      <c r="A402" s="29"/>
      <c r="B402" s="41"/>
    </row>
    <row r="403" ht="15.75" customHeight="1">
      <c r="A403" s="29"/>
      <c r="B403" s="41"/>
    </row>
    <row r="404" ht="15.75" customHeight="1">
      <c r="A404" s="29"/>
      <c r="B404" s="41"/>
    </row>
    <row r="405" ht="15.75" customHeight="1">
      <c r="A405" s="29"/>
      <c r="B405" s="41"/>
    </row>
    <row r="406" ht="15.75" customHeight="1">
      <c r="A406" s="29"/>
      <c r="B406" s="41"/>
    </row>
    <row r="407" ht="15.75" customHeight="1">
      <c r="A407" s="29"/>
      <c r="B407" s="41"/>
    </row>
    <row r="408" ht="15.75" customHeight="1">
      <c r="A408" s="29"/>
      <c r="B408" s="41"/>
    </row>
    <row r="409" ht="15.75" customHeight="1">
      <c r="A409" s="29"/>
      <c r="B409" s="41"/>
    </row>
    <row r="410" ht="15.75" customHeight="1">
      <c r="A410" s="29"/>
      <c r="B410" s="41"/>
    </row>
    <row r="411" ht="15.75" customHeight="1">
      <c r="A411" s="29"/>
      <c r="B411" s="41"/>
    </row>
    <row r="412" ht="15.75" customHeight="1">
      <c r="A412" s="29"/>
      <c r="B412" s="41"/>
    </row>
    <row r="413" ht="15.75" customHeight="1">
      <c r="A413" s="29"/>
      <c r="B413" s="41"/>
    </row>
    <row r="414" ht="15.75" customHeight="1">
      <c r="A414" s="29"/>
      <c r="B414" s="41"/>
    </row>
    <row r="415" ht="15.75" customHeight="1">
      <c r="A415" s="29"/>
      <c r="B415" s="41"/>
    </row>
    <row r="416" ht="15.75" customHeight="1">
      <c r="A416" s="29"/>
      <c r="B416" s="41"/>
    </row>
    <row r="417" ht="15.75" customHeight="1">
      <c r="A417" s="29"/>
      <c r="B417" s="41"/>
    </row>
    <row r="418" ht="15.75" customHeight="1">
      <c r="A418" s="29"/>
      <c r="B418" s="41"/>
    </row>
    <row r="419" ht="15.75" customHeight="1">
      <c r="A419" s="29"/>
      <c r="B419" s="41"/>
    </row>
    <row r="420" ht="15.75" customHeight="1">
      <c r="A420" s="29"/>
      <c r="B420" s="41"/>
    </row>
    <row r="421" ht="15.75" customHeight="1">
      <c r="A421" s="29"/>
      <c r="B421" s="41"/>
    </row>
    <row r="422" ht="15.75" customHeight="1">
      <c r="A422" s="29"/>
      <c r="B422" s="41"/>
    </row>
    <row r="423" ht="15.75" customHeight="1">
      <c r="A423" s="29"/>
      <c r="B423" s="41"/>
    </row>
    <row r="424" ht="15.75" customHeight="1">
      <c r="A424" s="29"/>
      <c r="B424" s="41"/>
    </row>
    <row r="425" ht="15.75" customHeight="1">
      <c r="A425" s="29"/>
      <c r="B425" s="41"/>
    </row>
    <row r="426" ht="15.75" customHeight="1">
      <c r="A426" s="29"/>
      <c r="B426" s="41"/>
    </row>
    <row r="427" ht="15.75" customHeight="1">
      <c r="A427" s="29"/>
      <c r="B427" s="41"/>
    </row>
    <row r="428" ht="15.75" customHeight="1">
      <c r="A428" s="29"/>
      <c r="B428" s="41"/>
    </row>
    <row r="429" ht="15.75" customHeight="1">
      <c r="A429" s="29"/>
      <c r="B429" s="41"/>
    </row>
    <row r="430" ht="15.75" customHeight="1">
      <c r="A430" s="29"/>
      <c r="B430" s="41"/>
    </row>
    <row r="431" ht="15.75" customHeight="1">
      <c r="A431" s="29"/>
      <c r="B431" s="41"/>
    </row>
    <row r="432" ht="15.75" customHeight="1">
      <c r="A432" s="29"/>
      <c r="B432" s="41"/>
    </row>
    <row r="433" ht="15.75" customHeight="1">
      <c r="A433" s="29"/>
      <c r="B433" s="41"/>
    </row>
    <row r="434" ht="15.75" customHeight="1">
      <c r="A434" s="29"/>
      <c r="B434" s="41"/>
    </row>
    <row r="435" ht="15.75" customHeight="1">
      <c r="A435" s="29"/>
      <c r="B435" s="41"/>
    </row>
    <row r="436" ht="15.75" customHeight="1">
      <c r="A436" s="29"/>
      <c r="B436" s="41"/>
    </row>
    <row r="437" ht="15.75" customHeight="1">
      <c r="A437" s="29"/>
      <c r="B437" s="41"/>
    </row>
    <row r="438" ht="15.75" customHeight="1">
      <c r="A438" s="29"/>
      <c r="B438" s="41"/>
    </row>
    <row r="439" ht="15.75" customHeight="1">
      <c r="A439" s="29"/>
      <c r="B439" s="41"/>
    </row>
    <row r="440" ht="15.75" customHeight="1">
      <c r="A440" s="29"/>
      <c r="B440" s="41"/>
    </row>
    <row r="441" ht="15.75" customHeight="1">
      <c r="A441" s="29"/>
      <c r="B441" s="41"/>
    </row>
    <row r="442" ht="15.75" customHeight="1">
      <c r="A442" s="29"/>
      <c r="B442" s="41"/>
    </row>
    <row r="443" ht="15.75" customHeight="1">
      <c r="A443" s="29"/>
      <c r="B443" s="41"/>
    </row>
    <row r="444" ht="15.75" customHeight="1">
      <c r="A444" s="29"/>
      <c r="B444" s="41"/>
    </row>
    <row r="445" ht="15.75" customHeight="1">
      <c r="A445" s="29"/>
      <c r="B445" s="41"/>
    </row>
    <row r="446" ht="15.75" customHeight="1">
      <c r="A446" s="29"/>
      <c r="B446" s="41"/>
    </row>
    <row r="447" ht="15.75" customHeight="1">
      <c r="A447" s="29"/>
      <c r="B447" s="41"/>
    </row>
    <row r="448" ht="15.75" customHeight="1">
      <c r="A448" s="29"/>
      <c r="B448" s="41"/>
    </row>
    <row r="449" ht="15.75" customHeight="1">
      <c r="A449" s="29"/>
      <c r="B449" s="41"/>
    </row>
    <row r="450" ht="15.75" customHeight="1">
      <c r="A450" s="29"/>
      <c r="B450" s="41"/>
    </row>
    <row r="451" ht="15.75" customHeight="1">
      <c r="A451" s="29"/>
      <c r="B451" s="41"/>
    </row>
    <row r="452" ht="15.75" customHeight="1">
      <c r="A452" s="29"/>
      <c r="B452" s="41"/>
    </row>
    <row r="453" ht="15.75" customHeight="1">
      <c r="A453" s="29"/>
      <c r="B453" s="41"/>
    </row>
    <row r="454" ht="15.75" customHeight="1">
      <c r="A454" s="29"/>
      <c r="B454" s="41"/>
    </row>
    <row r="455" ht="15.75" customHeight="1">
      <c r="A455" s="29"/>
      <c r="B455" s="41"/>
    </row>
    <row r="456" ht="15.75" customHeight="1">
      <c r="A456" s="29"/>
      <c r="B456" s="41"/>
    </row>
    <row r="457" ht="15.75" customHeight="1">
      <c r="A457" s="29"/>
      <c r="B457" s="41"/>
    </row>
    <row r="458" ht="15.75" customHeight="1">
      <c r="A458" s="29"/>
      <c r="B458" s="41"/>
    </row>
    <row r="459" ht="15.75" customHeight="1">
      <c r="A459" s="29"/>
      <c r="B459" s="41"/>
    </row>
    <row r="460" ht="15.75" customHeight="1">
      <c r="A460" s="29"/>
      <c r="B460" s="41"/>
    </row>
    <row r="461" ht="15.75" customHeight="1">
      <c r="A461" s="29"/>
      <c r="B461" s="41"/>
    </row>
    <row r="462" ht="15.75" customHeight="1">
      <c r="A462" s="29"/>
      <c r="B462" s="41"/>
    </row>
    <row r="463" ht="15.75" customHeight="1">
      <c r="A463" s="29"/>
      <c r="B463" s="41"/>
    </row>
    <row r="464" ht="15.75" customHeight="1">
      <c r="A464" s="29"/>
      <c r="B464" s="41"/>
    </row>
    <row r="465" ht="15.75" customHeight="1">
      <c r="A465" s="29"/>
      <c r="B465" s="41"/>
    </row>
    <row r="466" ht="15.75" customHeight="1">
      <c r="A466" s="29"/>
      <c r="B466" s="41"/>
    </row>
    <row r="467" ht="15.75" customHeight="1">
      <c r="A467" s="29"/>
      <c r="B467" s="41"/>
    </row>
    <row r="468" ht="15.75" customHeight="1">
      <c r="A468" s="29"/>
      <c r="B468" s="41"/>
    </row>
    <row r="469" ht="15.75" customHeight="1">
      <c r="A469" s="29"/>
      <c r="B469" s="41"/>
    </row>
    <row r="470" ht="15.75" customHeight="1">
      <c r="A470" s="29"/>
      <c r="B470" s="41"/>
    </row>
    <row r="471" ht="15.75" customHeight="1">
      <c r="A471" s="29"/>
      <c r="B471" s="41"/>
    </row>
    <row r="472" ht="15.75" customHeight="1">
      <c r="A472" s="29"/>
      <c r="B472" s="41"/>
    </row>
    <row r="473" ht="15.75" customHeight="1">
      <c r="A473" s="29"/>
      <c r="B473" s="41"/>
    </row>
    <row r="474" ht="15.75" customHeight="1">
      <c r="A474" s="29"/>
      <c r="B474" s="41"/>
    </row>
    <row r="475" ht="15.75" customHeight="1">
      <c r="A475" s="29"/>
      <c r="B475" s="41"/>
    </row>
    <row r="476" ht="15.75" customHeight="1">
      <c r="A476" s="29"/>
      <c r="B476" s="41"/>
    </row>
    <row r="477" ht="15.75" customHeight="1">
      <c r="A477" s="29"/>
      <c r="B477" s="41"/>
    </row>
    <row r="478" ht="15.75" customHeight="1">
      <c r="A478" s="29"/>
      <c r="B478" s="41"/>
    </row>
    <row r="479" ht="15.75" customHeight="1">
      <c r="A479" s="29"/>
      <c r="B479" s="41"/>
    </row>
    <row r="480" ht="15.75" customHeight="1">
      <c r="A480" s="29"/>
      <c r="B480" s="41"/>
    </row>
    <row r="481" ht="15.75" customHeight="1">
      <c r="A481" s="29"/>
      <c r="B481" s="41"/>
    </row>
    <row r="482" ht="15.75" customHeight="1">
      <c r="A482" s="29"/>
      <c r="B482" s="41"/>
    </row>
    <row r="483" ht="15.75" customHeight="1">
      <c r="A483" s="29"/>
      <c r="B483" s="41"/>
    </row>
    <row r="484" ht="15.75" customHeight="1">
      <c r="A484" s="29"/>
      <c r="B484" s="41"/>
    </row>
    <row r="485" ht="15.75" customHeight="1">
      <c r="A485" s="29"/>
      <c r="B485" s="41"/>
    </row>
    <row r="486" ht="15.75" customHeight="1">
      <c r="A486" s="29"/>
      <c r="B486" s="41"/>
    </row>
    <row r="487" ht="15.75" customHeight="1">
      <c r="A487" s="29"/>
      <c r="B487" s="41"/>
    </row>
    <row r="488" ht="15.75" customHeight="1">
      <c r="A488" s="29"/>
      <c r="B488" s="41"/>
    </row>
    <row r="489" ht="15.75" customHeight="1">
      <c r="A489" s="29"/>
      <c r="B489" s="41"/>
    </row>
    <row r="490" ht="15.75" customHeight="1">
      <c r="A490" s="29"/>
      <c r="B490" s="41"/>
    </row>
    <row r="491" ht="15.75" customHeight="1">
      <c r="A491" s="29"/>
      <c r="B491" s="41"/>
    </row>
    <row r="492" ht="15.75" customHeight="1">
      <c r="A492" s="29"/>
      <c r="B492" s="41"/>
    </row>
    <row r="493" ht="15.75" customHeight="1">
      <c r="A493" s="29"/>
      <c r="B493" s="41"/>
    </row>
    <row r="494" ht="15.75" customHeight="1">
      <c r="A494" s="29"/>
      <c r="B494" s="41"/>
    </row>
    <row r="495" ht="15.75" customHeight="1">
      <c r="A495" s="29"/>
      <c r="B495" s="41"/>
    </row>
    <row r="496" ht="15.75" customHeight="1">
      <c r="A496" s="29"/>
      <c r="B496" s="41"/>
    </row>
    <row r="497" ht="15.75" customHeight="1">
      <c r="A497" s="29"/>
      <c r="B497" s="41"/>
    </row>
    <row r="498" ht="15.75" customHeight="1">
      <c r="A498" s="29"/>
      <c r="B498" s="41"/>
    </row>
    <row r="499" ht="15.75" customHeight="1">
      <c r="A499" s="29"/>
      <c r="B499" s="41"/>
    </row>
    <row r="500" ht="15.75" customHeight="1">
      <c r="A500" s="29"/>
      <c r="B500" s="41"/>
    </row>
    <row r="501" ht="15.75" customHeight="1">
      <c r="A501" s="29"/>
      <c r="B501" s="41"/>
    </row>
    <row r="502" ht="15.75" customHeight="1">
      <c r="A502" s="29"/>
      <c r="B502" s="41"/>
    </row>
    <row r="503" ht="15.75" customHeight="1">
      <c r="A503" s="29"/>
      <c r="B503" s="41"/>
    </row>
    <row r="504" ht="15.75" customHeight="1">
      <c r="A504" s="29"/>
      <c r="B504" s="41"/>
    </row>
    <row r="505" ht="15.75" customHeight="1">
      <c r="A505" s="29"/>
      <c r="B505" s="41"/>
    </row>
    <row r="506" ht="15.75" customHeight="1">
      <c r="A506" s="29"/>
      <c r="B506" s="41"/>
    </row>
    <row r="507" ht="15.75" customHeight="1">
      <c r="A507" s="29"/>
      <c r="B507" s="41"/>
    </row>
    <row r="508" ht="15.75" customHeight="1">
      <c r="A508" s="29"/>
      <c r="B508" s="41"/>
    </row>
    <row r="509" ht="15.75" customHeight="1">
      <c r="A509" s="29"/>
      <c r="B509" s="41"/>
    </row>
    <row r="510" ht="15.75" customHeight="1">
      <c r="A510" s="29"/>
      <c r="B510" s="41"/>
    </row>
    <row r="511" ht="15.75" customHeight="1">
      <c r="A511" s="29"/>
      <c r="B511" s="41"/>
    </row>
    <row r="512" ht="15.75" customHeight="1">
      <c r="A512" s="29"/>
      <c r="B512" s="41"/>
    </row>
    <row r="513" ht="15.75" customHeight="1">
      <c r="A513" s="29"/>
      <c r="B513" s="41"/>
    </row>
    <row r="514" ht="15.75" customHeight="1">
      <c r="A514" s="29"/>
      <c r="B514" s="41"/>
    </row>
    <row r="515" ht="15.75" customHeight="1">
      <c r="A515" s="29"/>
      <c r="B515" s="41"/>
    </row>
    <row r="516" ht="15.75" customHeight="1">
      <c r="A516" s="29"/>
      <c r="B516" s="41"/>
    </row>
    <row r="517" ht="15.75" customHeight="1">
      <c r="A517" s="29"/>
      <c r="B517" s="41"/>
    </row>
    <row r="518" ht="15.75" customHeight="1">
      <c r="A518" s="29"/>
      <c r="B518" s="41"/>
    </row>
    <row r="519" ht="15.75" customHeight="1">
      <c r="A519" s="29"/>
      <c r="B519" s="41"/>
    </row>
    <row r="520" ht="15.75" customHeight="1">
      <c r="A520" s="29"/>
      <c r="B520" s="41"/>
    </row>
    <row r="521" ht="15.75" customHeight="1">
      <c r="A521" s="29"/>
      <c r="B521" s="41"/>
    </row>
    <row r="522" ht="15.75" customHeight="1">
      <c r="A522" s="29"/>
      <c r="B522" s="41"/>
    </row>
    <row r="523" ht="15.75" customHeight="1">
      <c r="A523" s="29"/>
      <c r="B523" s="41"/>
    </row>
    <row r="524" ht="15.75" customHeight="1">
      <c r="A524" s="29"/>
      <c r="B524" s="41"/>
    </row>
    <row r="525" ht="15.75" customHeight="1">
      <c r="A525" s="29"/>
      <c r="B525" s="41"/>
    </row>
    <row r="526" ht="15.75" customHeight="1">
      <c r="A526" s="29"/>
      <c r="B526" s="41"/>
    </row>
    <row r="527" ht="15.75" customHeight="1">
      <c r="A527" s="29"/>
      <c r="B527" s="41"/>
    </row>
    <row r="528" ht="15.75" customHeight="1">
      <c r="A528" s="29"/>
      <c r="B528" s="41"/>
    </row>
    <row r="529" ht="15.75" customHeight="1">
      <c r="A529" s="29"/>
      <c r="B529" s="41"/>
    </row>
    <row r="530" ht="15.75" customHeight="1">
      <c r="A530" s="29"/>
      <c r="B530" s="41"/>
    </row>
    <row r="531" ht="15.75" customHeight="1">
      <c r="A531" s="29"/>
      <c r="B531" s="41"/>
    </row>
    <row r="532" ht="15.75" customHeight="1">
      <c r="A532" s="29"/>
      <c r="B532" s="41"/>
    </row>
    <row r="533" ht="15.75" customHeight="1">
      <c r="A533" s="29"/>
      <c r="B533" s="41"/>
    </row>
    <row r="534" ht="15.75" customHeight="1">
      <c r="A534" s="29"/>
      <c r="B534" s="41"/>
    </row>
    <row r="535" ht="15.75" customHeight="1">
      <c r="A535" s="29"/>
      <c r="B535" s="41"/>
    </row>
    <row r="536" ht="15.75" customHeight="1">
      <c r="A536" s="29"/>
      <c r="B536" s="41"/>
    </row>
    <row r="537" ht="15.75" customHeight="1">
      <c r="A537" s="29"/>
      <c r="B537" s="41"/>
    </row>
    <row r="538" ht="15.75" customHeight="1">
      <c r="A538" s="29"/>
      <c r="B538" s="41"/>
    </row>
    <row r="539" ht="15.75" customHeight="1">
      <c r="A539" s="29"/>
      <c r="B539" s="41"/>
    </row>
    <row r="540" ht="15.75" customHeight="1">
      <c r="A540" s="29"/>
      <c r="B540" s="41"/>
    </row>
    <row r="541" ht="15.75" customHeight="1">
      <c r="A541" s="29"/>
      <c r="B541" s="41"/>
    </row>
    <row r="542" ht="15.75" customHeight="1">
      <c r="A542" s="29"/>
      <c r="B542" s="41"/>
    </row>
    <row r="543" ht="15.75" customHeight="1">
      <c r="A543" s="29"/>
      <c r="B543" s="41"/>
    </row>
    <row r="544" ht="15.75" customHeight="1">
      <c r="A544" s="29"/>
      <c r="B544" s="41"/>
    </row>
    <row r="545" ht="15.75" customHeight="1">
      <c r="A545" s="29"/>
      <c r="B545" s="41"/>
    </row>
    <row r="546" ht="15.75" customHeight="1">
      <c r="A546" s="29"/>
    </row>
    <row r="547" ht="15.75" customHeight="1">
      <c r="A547" s="29"/>
    </row>
    <row r="548" ht="15.75" customHeight="1">
      <c r="A548" s="29"/>
    </row>
    <row r="549" ht="15.75" customHeight="1">
      <c r="A549" s="29"/>
    </row>
    <row r="550" ht="15.75" customHeight="1">
      <c r="A550" s="29"/>
    </row>
    <row r="551" ht="15.75" customHeight="1">
      <c r="A551" s="29"/>
    </row>
    <row r="552" ht="15.75" customHeight="1">
      <c r="A552" s="29"/>
    </row>
    <row r="553" ht="15.75" customHeight="1">
      <c r="A553" s="29"/>
    </row>
    <row r="554" ht="15.75" customHeight="1">
      <c r="A554" s="29"/>
    </row>
    <row r="555" ht="15.75" customHeight="1">
      <c r="A555" s="29"/>
    </row>
    <row r="556" ht="15.75" customHeight="1">
      <c r="A556" s="29"/>
    </row>
    <row r="557" ht="15.75" customHeight="1">
      <c r="A557" s="29"/>
    </row>
    <row r="558" ht="15.75" customHeight="1">
      <c r="A558" s="29"/>
    </row>
    <row r="559" ht="15.75" customHeight="1">
      <c r="A559" s="29"/>
    </row>
    <row r="560" ht="15.75" customHeight="1">
      <c r="A560" s="29"/>
    </row>
    <row r="561" ht="15.75" customHeight="1">
      <c r="A561" s="29"/>
    </row>
    <row r="562" ht="15.75" customHeight="1">
      <c r="A562" s="29"/>
    </row>
    <row r="563" ht="15.75" customHeight="1">
      <c r="A563" s="29"/>
    </row>
    <row r="564" ht="15.75" customHeight="1">
      <c r="A564" s="29"/>
    </row>
    <row r="565" ht="15.75" customHeight="1">
      <c r="A565" s="29"/>
    </row>
    <row r="566" ht="15.75" customHeight="1">
      <c r="A566" s="29"/>
    </row>
    <row r="567" ht="15.75" customHeight="1">
      <c r="A567" s="29"/>
    </row>
    <row r="568" ht="15.75" customHeight="1">
      <c r="A568" s="29"/>
    </row>
    <row r="569" ht="15.75" customHeight="1">
      <c r="A569" s="29"/>
    </row>
    <row r="570" ht="15.75" customHeight="1">
      <c r="A570" s="29"/>
    </row>
    <row r="571" ht="15.75" customHeight="1">
      <c r="A571" s="29"/>
    </row>
    <row r="572" ht="15.75" customHeight="1">
      <c r="A572" s="29"/>
    </row>
    <row r="573" ht="15.75" customHeight="1">
      <c r="A573" s="29"/>
    </row>
    <row r="574" ht="15.75" customHeight="1">
      <c r="A574" s="29"/>
    </row>
    <row r="575" ht="15.75" customHeight="1">
      <c r="A575" s="29"/>
    </row>
    <row r="576" ht="15.75" customHeight="1">
      <c r="A576" s="29"/>
    </row>
    <row r="577" ht="15.75" customHeight="1">
      <c r="A577" s="29"/>
    </row>
    <row r="578" ht="15.75" customHeight="1">
      <c r="A578" s="29"/>
    </row>
    <row r="579" ht="15.75" customHeight="1">
      <c r="A579" s="29"/>
    </row>
    <row r="580" ht="15.75" customHeight="1">
      <c r="A580" s="29"/>
    </row>
    <row r="581" ht="15.75" customHeight="1">
      <c r="A581" s="29"/>
    </row>
    <row r="582" ht="15.75" customHeight="1">
      <c r="A582" s="29"/>
    </row>
    <row r="583" ht="15.75" customHeight="1">
      <c r="A583" s="29"/>
    </row>
    <row r="584" ht="15.75" customHeight="1">
      <c r="A584" s="29"/>
    </row>
    <row r="585" ht="15.75" customHeight="1">
      <c r="A585" s="29"/>
    </row>
    <row r="586" ht="15.75" customHeight="1">
      <c r="A586" s="29"/>
    </row>
    <row r="587" ht="15.75" customHeight="1">
      <c r="A587" s="29"/>
    </row>
    <row r="588" ht="15.75" customHeight="1">
      <c r="A588" s="29"/>
    </row>
    <row r="589" ht="15.75" customHeight="1">
      <c r="A589" s="29"/>
    </row>
    <row r="590" ht="15.75" customHeight="1">
      <c r="A590" s="29"/>
    </row>
    <row r="591" ht="15.75" customHeight="1">
      <c r="A591" s="29"/>
    </row>
    <row r="592" ht="15.75" customHeight="1">
      <c r="A592" s="29"/>
    </row>
    <row r="593" ht="15.75" customHeight="1">
      <c r="A593" s="29"/>
    </row>
    <row r="594" ht="15.75" customHeight="1">
      <c r="A594" s="29"/>
    </row>
    <row r="595" ht="15.75" customHeight="1">
      <c r="A595" s="29"/>
    </row>
    <row r="596" ht="15.75" customHeight="1">
      <c r="A596" s="29"/>
    </row>
    <row r="597" ht="15.75" customHeight="1">
      <c r="A597" s="29"/>
    </row>
    <row r="598" ht="15.75" customHeight="1">
      <c r="A598" s="29"/>
    </row>
    <row r="599" ht="15.75" customHeight="1">
      <c r="A599" s="29"/>
    </row>
    <row r="600" ht="15.75" customHeight="1">
      <c r="A600" s="29"/>
    </row>
    <row r="601" ht="15.75" customHeight="1">
      <c r="A601" s="29"/>
    </row>
    <row r="602" ht="15.75" customHeight="1">
      <c r="A602" s="29"/>
    </row>
    <row r="603" ht="15.75" customHeight="1">
      <c r="A603" s="29"/>
    </row>
    <row r="604" ht="15.75" customHeight="1">
      <c r="A604" s="29"/>
    </row>
    <row r="605" ht="15.75" customHeight="1">
      <c r="A605" s="29"/>
    </row>
    <row r="606" ht="15.75" customHeight="1">
      <c r="A606" s="29"/>
    </row>
    <row r="607" ht="15.75" customHeight="1">
      <c r="A607" s="29"/>
    </row>
    <row r="608" ht="15.75" customHeight="1">
      <c r="A608" s="29"/>
    </row>
    <row r="609" ht="15.75" customHeight="1">
      <c r="A609" s="29"/>
    </row>
    <row r="610" ht="15.75" customHeight="1">
      <c r="A610" s="29"/>
    </row>
    <row r="611" ht="15.75" customHeight="1">
      <c r="A611" s="29"/>
    </row>
    <row r="612" ht="15.75" customHeight="1">
      <c r="A612" s="29"/>
    </row>
    <row r="613" ht="15.75" customHeight="1">
      <c r="A613" s="29"/>
    </row>
    <row r="614" ht="15.75" customHeight="1">
      <c r="A614" s="29"/>
    </row>
    <row r="615" ht="15.75" customHeight="1">
      <c r="A615" s="29"/>
    </row>
    <row r="616" ht="15.75" customHeight="1">
      <c r="A616" s="29"/>
    </row>
    <row r="617" ht="15.75" customHeight="1">
      <c r="A617" s="29"/>
    </row>
    <row r="618" ht="15.75" customHeight="1">
      <c r="A618" s="29"/>
    </row>
    <row r="619" ht="15.75" customHeight="1">
      <c r="A619" s="29"/>
    </row>
    <row r="620" ht="15.75" customHeight="1">
      <c r="A620" s="29"/>
    </row>
    <row r="621" ht="15.75" customHeight="1">
      <c r="A621" s="29"/>
    </row>
    <row r="622" ht="15.75" customHeight="1">
      <c r="A622" s="29"/>
    </row>
    <row r="623" ht="15.75" customHeight="1">
      <c r="A623" s="29"/>
    </row>
    <row r="624" ht="15.75" customHeight="1">
      <c r="A624" s="29"/>
    </row>
    <row r="625" ht="15.75" customHeight="1">
      <c r="A625" s="29"/>
    </row>
    <row r="626" ht="15.75" customHeight="1">
      <c r="A626" s="29"/>
    </row>
    <row r="627" ht="15.75" customHeight="1">
      <c r="A627" s="29"/>
    </row>
    <row r="628" ht="15.75" customHeight="1">
      <c r="A628" s="29"/>
    </row>
    <row r="629" ht="15.75" customHeight="1">
      <c r="A629" s="29"/>
    </row>
    <row r="630" ht="15.75" customHeight="1">
      <c r="A630" s="29"/>
    </row>
    <row r="631" ht="15.75" customHeight="1">
      <c r="A631" s="29"/>
    </row>
    <row r="632" ht="15.75" customHeight="1">
      <c r="A632" s="29"/>
    </row>
    <row r="633" ht="15.75" customHeight="1">
      <c r="A633" s="29"/>
    </row>
    <row r="634" ht="15.75" customHeight="1">
      <c r="A634" s="29"/>
    </row>
    <row r="635" ht="15.75" customHeight="1">
      <c r="A635" s="29"/>
    </row>
    <row r="636" ht="15.75" customHeight="1">
      <c r="A636" s="29"/>
    </row>
    <row r="637" ht="15.75" customHeight="1">
      <c r="A637" s="29"/>
    </row>
    <row r="638" ht="15.75" customHeight="1">
      <c r="A638" s="29"/>
    </row>
    <row r="639" ht="15.75" customHeight="1">
      <c r="A639" s="29"/>
    </row>
    <row r="640" ht="15.75" customHeight="1">
      <c r="A640" s="29"/>
    </row>
    <row r="641" ht="15.75" customHeight="1">
      <c r="A641" s="29"/>
    </row>
    <row r="642" ht="15.75" customHeight="1">
      <c r="A642" s="29"/>
    </row>
    <row r="643" ht="15.75" customHeight="1">
      <c r="A643" s="29"/>
    </row>
    <row r="644" ht="15.75" customHeight="1">
      <c r="A644" s="29"/>
    </row>
    <row r="645" ht="15.75" customHeight="1">
      <c r="A645" s="29"/>
    </row>
    <row r="646" ht="15.75" customHeight="1">
      <c r="A646" s="29"/>
    </row>
    <row r="647" ht="15.75" customHeight="1">
      <c r="A647" s="29"/>
    </row>
    <row r="648" ht="15.75" customHeight="1">
      <c r="A648" s="29"/>
    </row>
    <row r="649" ht="15.75" customHeight="1">
      <c r="A649" s="29"/>
    </row>
    <row r="650" ht="15.75" customHeight="1">
      <c r="A650" s="29"/>
    </row>
    <row r="651" ht="15.75" customHeight="1">
      <c r="A651" s="29"/>
    </row>
    <row r="652" ht="15.75" customHeight="1">
      <c r="A652" s="29"/>
    </row>
    <row r="653" ht="15.75" customHeight="1">
      <c r="A653" s="29"/>
    </row>
    <row r="654" ht="15.75" customHeight="1">
      <c r="A654" s="29"/>
    </row>
    <row r="655" ht="15.75" customHeight="1">
      <c r="A655" s="29"/>
    </row>
    <row r="656" ht="15.75" customHeight="1">
      <c r="A656" s="29"/>
    </row>
    <row r="657" ht="15.75" customHeight="1">
      <c r="A657" s="29"/>
    </row>
    <row r="658" ht="15.75" customHeight="1">
      <c r="A658" s="29"/>
    </row>
    <row r="659" ht="15.75" customHeight="1">
      <c r="A659" s="29"/>
    </row>
    <row r="660" ht="15.75" customHeight="1">
      <c r="A660" s="29"/>
    </row>
    <row r="661" ht="15.75" customHeight="1">
      <c r="A661" s="29"/>
    </row>
    <row r="662" ht="15.75" customHeight="1">
      <c r="A662" s="29"/>
    </row>
    <row r="663" ht="15.75" customHeight="1">
      <c r="A663" s="29"/>
    </row>
    <row r="664" ht="15.75" customHeight="1">
      <c r="A664" s="29"/>
    </row>
    <row r="665" ht="15.75" customHeight="1">
      <c r="A665" s="29"/>
    </row>
    <row r="666" ht="15.75" customHeight="1">
      <c r="A666" s="29"/>
    </row>
    <row r="667" ht="15.75" customHeight="1">
      <c r="A667" s="29"/>
    </row>
    <row r="668" ht="15.75" customHeight="1">
      <c r="A668" s="29"/>
    </row>
    <row r="669" ht="15.75" customHeight="1">
      <c r="A669" s="29"/>
    </row>
    <row r="670" ht="15.75" customHeight="1">
      <c r="A670" s="29"/>
    </row>
    <row r="671" ht="15.75" customHeight="1">
      <c r="A671" s="29"/>
    </row>
    <row r="672" ht="15.75" customHeight="1">
      <c r="A672" s="29"/>
    </row>
    <row r="673" ht="15.75" customHeight="1">
      <c r="A673" s="29"/>
    </row>
    <row r="674" ht="15.75" customHeight="1">
      <c r="A674" s="29"/>
    </row>
    <row r="675" ht="15.75" customHeight="1">
      <c r="A675" s="29"/>
    </row>
    <row r="676" ht="15.75" customHeight="1">
      <c r="A676" s="29"/>
    </row>
    <row r="677" ht="15.75" customHeight="1">
      <c r="A677" s="29"/>
    </row>
    <row r="678" ht="15.75" customHeight="1">
      <c r="A678" s="29"/>
    </row>
    <row r="679" ht="15.75" customHeight="1">
      <c r="A679" s="29"/>
    </row>
    <row r="680" ht="15.75" customHeight="1">
      <c r="A680" s="29"/>
    </row>
    <row r="681" ht="15.75" customHeight="1">
      <c r="A681" s="29"/>
    </row>
    <row r="682" ht="15.75" customHeight="1">
      <c r="A682" s="29"/>
    </row>
    <row r="683" ht="15.75" customHeight="1">
      <c r="A683" s="29"/>
    </row>
    <row r="684" ht="15.75" customHeight="1">
      <c r="A684" s="29"/>
    </row>
    <row r="685" ht="15.75" customHeight="1">
      <c r="A685" s="29"/>
    </row>
    <row r="686" ht="15.75" customHeight="1">
      <c r="A686" s="29"/>
    </row>
    <row r="687" ht="15.75" customHeight="1">
      <c r="A687" s="29"/>
    </row>
    <row r="688" ht="15.75" customHeight="1">
      <c r="A688" s="29"/>
    </row>
    <row r="689" ht="15.75" customHeight="1">
      <c r="A689" s="29"/>
    </row>
    <row r="690" ht="15.75" customHeight="1">
      <c r="A690" s="29"/>
    </row>
    <row r="691" ht="15.75" customHeight="1">
      <c r="A691" s="29"/>
    </row>
    <row r="692" ht="15.75" customHeight="1">
      <c r="A692" s="29"/>
    </row>
    <row r="693" ht="15.75" customHeight="1">
      <c r="A693" s="29"/>
    </row>
    <row r="694" ht="15.75" customHeight="1">
      <c r="A694" s="29"/>
    </row>
    <row r="695" ht="15.75" customHeight="1">
      <c r="A695" s="29"/>
    </row>
    <row r="696" ht="15.75" customHeight="1">
      <c r="A696" s="29"/>
    </row>
    <row r="697" ht="15.75" customHeight="1">
      <c r="A697" s="29"/>
    </row>
    <row r="698" ht="15.75" customHeight="1">
      <c r="A698" s="29"/>
    </row>
    <row r="699" ht="15.75" customHeight="1">
      <c r="A699" s="29"/>
    </row>
    <row r="700" ht="15.75" customHeight="1">
      <c r="A700" s="29"/>
    </row>
    <row r="701" ht="15.75" customHeight="1">
      <c r="A701" s="29"/>
    </row>
    <row r="702" ht="15.75" customHeight="1">
      <c r="A702" s="29"/>
    </row>
    <row r="703" ht="15.75" customHeight="1">
      <c r="A703" s="29"/>
    </row>
    <row r="704" ht="15.75" customHeight="1">
      <c r="A704" s="29"/>
    </row>
    <row r="705" ht="15.75" customHeight="1">
      <c r="A705" s="29"/>
    </row>
    <row r="706" ht="15.75" customHeight="1">
      <c r="A706" s="29"/>
    </row>
    <row r="707" ht="15.75" customHeight="1">
      <c r="A707" s="29"/>
    </row>
    <row r="708" ht="15.75" customHeight="1">
      <c r="A708" s="29"/>
    </row>
    <row r="709" ht="15.75" customHeight="1">
      <c r="A709" s="29"/>
    </row>
    <row r="710" ht="15.75" customHeight="1">
      <c r="A710" s="29"/>
    </row>
    <row r="711" ht="15.75" customHeight="1">
      <c r="A711" s="29"/>
    </row>
    <row r="712" ht="15.75" customHeight="1">
      <c r="A712" s="29"/>
    </row>
    <row r="713" ht="15.75" customHeight="1">
      <c r="A713" s="29"/>
    </row>
    <row r="714" ht="15.75" customHeight="1">
      <c r="A714" s="29"/>
    </row>
    <row r="715" ht="15.75" customHeight="1">
      <c r="A715" s="29"/>
    </row>
    <row r="716" ht="15.75" customHeight="1">
      <c r="A716" s="29"/>
    </row>
    <row r="717" ht="15.75" customHeight="1">
      <c r="A717" s="29"/>
    </row>
    <row r="718" ht="15.75" customHeight="1">
      <c r="A718" s="29"/>
    </row>
    <row r="719" ht="15.75" customHeight="1">
      <c r="A719" s="29"/>
    </row>
    <row r="720" ht="15.75" customHeight="1">
      <c r="A720" s="29"/>
    </row>
    <row r="721" ht="15.75" customHeight="1">
      <c r="A721" s="29"/>
    </row>
    <row r="722" ht="15.75" customHeight="1">
      <c r="A722" s="29"/>
    </row>
    <row r="723" ht="15.75" customHeight="1">
      <c r="A723" s="29"/>
    </row>
    <row r="724" ht="15.75" customHeight="1">
      <c r="A724" s="29"/>
    </row>
    <row r="725" ht="15.75" customHeight="1">
      <c r="A725" s="29"/>
    </row>
    <row r="726" ht="15.75" customHeight="1">
      <c r="A726" s="29"/>
    </row>
    <row r="727" ht="15.75" customHeight="1">
      <c r="A727" s="29"/>
    </row>
    <row r="728" ht="15.75" customHeight="1">
      <c r="A728" s="29"/>
    </row>
    <row r="729" ht="15.75" customHeight="1">
      <c r="A729" s="29"/>
    </row>
    <row r="730" ht="15.75" customHeight="1">
      <c r="A730" s="29"/>
    </row>
    <row r="731" ht="15.75" customHeight="1">
      <c r="A731" s="29"/>
    </row>
    <row r="732" ht="15.75" customHeight="1">
      <c r="A732" s="29"/>
    </row>
    <row r="733" ht="15.75" customHeight="1">
      <c r="A733" s="29"/>
    </row>
    <row r="734" ht="15.75" customHeight="1">
      <c r="A734" s="29"/>
    </row>
    <row r="735" ht="15.75" customHeight="1">
      <c r="A735" s="29"/>
    </row>
    <row r="736" ht="15.75" customHeight="1">
      <c r="A736" s="29"/>
    </row>
    <row r="737" ht="15.75" customHeight="1">
      <c r="A737" s="29"/>
    </row>
    <row r="738" ht="15.75" customHeight="1">
      <c r="A738" s="29"/>
    </row>
    <row r="739" ht="15.75" customHeight="1">
      <c r="A739" s="29"/>
    </row>
    <row r="740" ht="15.75" customHeight="1">
      <c r="A740" s="29"/>
    </row>
    <row r="741" ht="15.75" customHeight="1">
      <c r="A741" s="29"/>
    </row>
    <row r="742" ht="15.75" customHeight="1">
      <c r="A742" s="29"/>
    </row>
    <row r="743" ht="15.75" customHeight="1">
      <c r="A743" s="29"/>
    </row>
    <row r="744" ht="15.75" customHeight="1">
      <c r="A744" s="29"/>
    </row>
    <row r="745" ht="15.75" customHeight="1">
      <c r="A745" s="29"/>
    </row>
    <row r="746" ht="15.75" customHeight="1">
      <c r="A746" s="29"/>
    </row>
    <row r="747" ht="15.75" customHeight="1">
      <c r="A747" s="29"/>
    </row>
    <row r="748" ht="15.75" customHeight="1">
      <c r="A748" s="29"/>
    </row>
    <row r="749" ht="15.75" customHeight="1">
      <c r="A749" s="29"/>
    </row>
    <row r="750" ht="15.75" customHeight="1">
      <c r="A750" s="29"/>
    </row>
    <row r="751" ht="15.75" customHeight="1">
      <c r="A751" s="29"/>
    </row>
    <row r="752" ht="15.75" customHeight="1">
      <c r="A752" s="29"/>
    </row>
    <row r="753" ht="15.75" customHeight="1">
      <c r="A753" s="29"/>
    </row>
    <row r="754" ht="15.75" customHeight="1">
      <c r="A754" s="29"/>
    </row>
    <row r="755" ht="15.75" customHeight="1">
      <c r="A755" s="29"/>
    </row>
    <row r="756" ht="15.75" customHeight="1">
      <c r="A756" s="29"/>
    </row>
    <row r="757" ht="15.75" customHeight="1">
      <c r="A757" s="29"/>
    </row>
    <row r="758" ht="15.75" customHeight="1">
      <c r="A758" s="29"/>
    </row>
    <row r="759" ht="15.75" customHeight="1">
      <c r="A759" s="29"/>
    </row>
    <row r="760" ht="15.75" customHeight="1">
      <c r="A760" s="29"/>
    </row>
    <row r="761" ht="15.75" customHeight="1">
      <c r="A761" s="29"/>
    </row>
    <row r="762" ht="15.75" customHeight="1">
      <c r="A762" s="29"/>
    </row>
    <row r="763" ht="15.75" customHeight="1">
      <c r="A763" s="29"/>
    </row>
    <row r="764" ht="15.75" customHeight="1">
      <c r="A764" s="29"/>
    </row>
    <row r="765" ht="15.75" customHeight="1">
      <c r="A765" s="29"/>
    </row>
    <row r="766" ht="15.75" customHeight="1">
      <c r="A766" s="29"/>
    </row>
    <row r="767" ht="15.75" customHeight="1">
      <c r="A767" s="29"/>
    </row>
    <row r="768" ht="15.75" customHeight="1">
      <c r="A768" s="29"/>
    </row>
    <row r="769" ht="15.75" customHeight="1">
      <c r="A769" s="29"/>
    </row>
    <row r="770" ht="15.75" customHeight="1">
      <c r="A770" s="29"/>
    </row>
    <row r="771" ht="15.75" customHeight="1">
      <c r="A771" s="29"/>
    </row>
    <row r="772" ht="15.75" customHeight="1">
      <c r="A772" s="29"/>
    </row>
    <row r="773" ht="15.75" customHeight="1">
      <c r="A773" s="29"/>
    </row>
    <row r="774" ht="15.75" customHeight="1">
      <c r="A774" s="29"/>
    </row>
    <row r="775" ht="15.75" customHeight="1">
      <c r="A775" s="29"/>
    </row>
    <row r="776" ht="15.75" customHeight="1">
      <c r="A776" s="29"/>
    </row>
    <row r="777" ht="15.75" customHeight="1">
      <c r="A777" s="29"/>
    </row>
    <row r="778" ht="15.75" customHeight="1">
      <c r="A778" s="29"/>
    </row>
    <row r="779" ht="15.75" customHeight="1">
      <c r="A779" s="29"/>
    </row>
    <row r="780" ht="15.75" customHeight="1">
      <c r="A780" s="29"/>
    </row>
    <row r="781" ht="15.75" customHeight="1">
      <c r="A781" s="29"/>
    </row>
    <row r="782" ht="15.75" customHeight="1">
      <c r="A782" s="29"/>
    </row>
    <row r="783" ht="15.75" customHeight="1">
      <c r="A783" s="29"/>
    </row>
    <row r="784" ht="15.75" customHeight="1">
      <c r="A784" s="29"/>
    </row>
    <row r="785" ht="15.75" customHeight="1">
      <c r="A785" s="29"/>
    </row>
    <row r="786" ht="15.75" customHeight="1">
      <c r="A786" s="29"/>
    </row>
    <row r="787" ht="15.75" customHeight="1">
      <c r="A787" s="29"/>
    </row>
    <row r="788" ht="15.75" customHeight="1">
      <c r="A788" s="29"/>
    </row>
    <row r="789" ht="15.75" customHeight="1">
      <c r="A789" s="29"/>
    </row>
    <row r="790" ht="15.75" customHeight="1">
      <c r="A790" s="29"/>
    </row>
    <row r="791" ht="15.75" customHeight="1">
      <c r="A791" s="29"/>
    </row>
    <row r="792" ht="15.75" customHeight="1">
      <c r="A792" s="29"/>
    </row>
    <row r="793" ht="15.75" customHeight="1">
      <c r="A793" s="29"/>
    </row>
    <row r="794" ht="15.75" customHeight="1">
      <c r="A794" s="29"/>
    </row>
    <row r="795" ht="15.75" customHeight="1">
      <c r="A795" s="29"/>
    </row>
    <row r="796" ht="15.75" customHeight="1">
      <c r="A796" s="29"/>
    </row>
    <row r="797" ht="15.75" customHeight="1">
      <c r="A797" s="29"/>
    </row>
    <row r="798" ht="15.75" customHeight="1">
      <c r="A798" s="29"/>
    </row>
    <row r="799" ht="15.75" customHeight="1">
      <c r="A799" s="29"/>
    </row>
    <row r="800" ht="15.75" customHeight="1">
      <c r="A800" s="29"/>
    </row>
    <row r="801" ht="15.75" customHeight="1">
      <c r="A801" s="29"/>
    </row>
    <row r="802" ht="15.75" customHeight="1">
      <c r="A802" s="29"/>
    </row>
    <row r="803" ht="15.75" customHeight="1">
      <c r="A803" s="29"/>
    </row>
    <row r="804" ht="15.75" customHeight="1">
      <c r="A804" s="29"/>
    </row>
    <row r="805" ht="15.75" customHeight="1">
      <c r="A805" s="29"/>
    </row>
    <row r="806" ht="15.75" customHeight="1">
      <c r="A806" s="29"/>
    </row>
    <row r="807" ht="15.75" customHeight="1">
      <c r="A807" s="29"/>
    </row>
    <row r="808" ht="15.75" customHeight="1">
      <c r="A808" s="29"/>
    </row>
    <row r="809" ht="15.75" customHeight="1">
      <c r="A809" s="29"/>
    </row>
    <row r="810" ht="15.75" customHeight="1">
      <c r="A810" s="29"/>
    </row>
    <row r="811" ht="15.75" customHeight="1">
      <c r="A811" s="29"/>
    </row>
    <row r="812" ht="15.75" customHeight="1">
      <c r="A812" s="29"/>
    </row>
    <row r="813" ht="15.75" customHeight="1">
      <c r="A813" s="29"/>
    </row>
    <row r="814" ht="15.75" customHeight="1">
      <c r="A814" s="29"/>
    </row>
    <row r="815" ht="15.75" customHeight="1">
      <c r="A815" s="29"/>
    </row>
    <row r="816" ht="15.75" customHeight="1">
      <c r="A816" s="29"/>
    </row>
    <row r="817" ht="15.75" customHeight="1">
      <c r="A817" s="29"/>
    </row>
    <row r="818" ht="15.75" customHeight="1">
      <c r="A818" s="29"/>
    </row>
    <row r="819" ht="15.75" customHeight="1">
      <c r="A819" s="29"/>
    </row>
    <row r="820" ht="15.75" customHeight="1">
      <c r="A820" s="29"/>
    </row>
    <row r="821" ht="15.75" customHeight="1">
      <c r="A821" s="29"/>
    </row>
    <row r="822" ht="15.75" customHeight="1">
      <c r="A822" s="29"/>
    </row>
    <row r="823" ht="15.75" customHeight="1">
      <c r="A823" s="29"/>
    </row>
    <row r="824" ht="15.75" customHeight="1">
      <c r="A824" s="29"/>
    </row>
    <row r="825" ht="15.75" customHeight="1">
      <c r="A825" s="29"/>
    </row>
    <row r="826" ht="15.75" customHeight="1">
      <c r="A826" s="29"/>
    </row>
    <row r="827" ht="15.75" customHeight="1">
      <c r="A827" s="29"/>
    </row>
    <row r="828" ht="15.75" customHeight="1">
      <c r="A828" s="29"/>
    </row>
    <row r="829" ht="15.75" customHeight="1">
      <c r="A829" s="29"/>
    </row>
    <row r="830" ht="15.75" customHeight="1">
      <c r="A830" s="29"/>
    </row>
    <row r="831" ht="15.75" customHeight="1">
      <c r="A831" s="29"/>
    </row>
    <row r="832" ht="15.75" customHeight="1">
      <c r="A832" s="29"/>
    </row>
    <row r="833" ht="15.75" customHeight="1">
      <c r="A833" s="29"/>
    </row>
    <row r="834" ht="15.75" customHeight="1">
      <c r="A834" s="29"/>
    </row>
    <row r="835" ht="15.75" customHeight="1">
      <c r="A835" s="29"/>
    </row>
    <row r="836" ht="15.75" customHeight="1">
      <c r="A836" s="29"/>
    </row>
    <row r="837" ht="15.75" customHeight="1">
      <c r="A837" s="29"/>
    </row>
    <row r="838" ht="15.75" customHeight="1">
      <c r="A838" s="29"/>
    </row>
    <row r="839" ht="15.75" customHeight="1">
      <c r="A839" s="29"/>
    </row>
    <row r="840" ht="15.75" customHeight="1">
      <c r="A840" s="29"/>
    </row>
    <row r="841" ht="15.75" customHeight="1">
      <c r="A841" s="29"/>
    </row>
    <row r="842" ht="15.75" customHeight="1">
      <c r="A842" s="29"/>
    </row>
    <row r="843" ht="15.75" customHeight="1">
      <c r="A843" s="29"/>
    </row>
    <row r="844" ht="15.75" customHeight="1">
      <c r="A844" s="29"/>
    </row>
    <row r="845" ht="15.75" customHeight="1">
      <c r="A845" s="29"/>
    </row>
    <row r="846" ht="15.75" customHeight="1">
      <c r="A846" s="29"/>
    </row>
    <row r="847" ht="15.75" customHeight="1">
      <c r="A847" s="29"/>
    </row>
    <row r="848" ht="15.75" customHeight="1">
      <c r="A848" s="29"/>
    </row>
    <row r="849" ht="15.75" customHeight="1">
      <c r="A849" s="29"/>
    </row>
    <row r="850" ht="15.75" customHeight="1">
      <c r="A850" s="29"/>
    </row>
    <row r="851" ht="15.75" customHeight="1">
      <c r="A851" s="29"/>
    </row>
    <row r="852" ht="15.75" customHeight="1">
      <c r="A852" s="29"/>
    </row>
    <row r="853" ht="15.75" customHeight="1">
      <c r="A853" s="29"/>
    </row>
    <row r="854" ht="15.75" customHeight="1">
      <c r="A854" s="29"/>
    </row>
    <row r="855" ht="15.75" customHeight="1">
      <c r="A855" s="29"/>
    </row>
    <row r="856" ht="15.75" customHeight="1">
      <c r="A856" s="29"/>
    </row>
    <row r="857" ht="15.75" customHeight="1">
      <c r="A857" s="29"/>
    </row>
    <row r="858" ht="15.75" customHeight="1">
      <c r="A858" s="29"/>
    </row>
    <row r="859" ht="15.75" customHeight="1">
      <c r="A859" s="29"/>
    </row>
    <row r="860" ht="15.75" customHeight="1">
      <c r="A860" s="29"/>
    </row>
    <row r="861" ht="15.75" customHeight="1">
      <c r="A861" s="29"/>
    </row>
    <row r="862" ht="15.75" customHeight="1">
      <c r="A862" s="29"/>
    </row>
    <row r="863" ht="15.75" customHeight="1">
      <c r="A863" s="29"/>
    </row>
    <row r="864" ht="15.75" customHeight="1">
      <c r="A864" s="29"/>
    </row>
    <row r="865" ht="15.75" customHeight="1">
      <c r="A865" s="29"/>
    </row>
    <row r="866" ht="15.75" customHeight="1">
      <c r="A866" s="29"/>
    </row>
    <row r="867" ht="15.75" customHeight="1">
      <c r="A867" s="29"/>
    </row>
    <row r="868" ht="15.75" customHeight="1">
      <c r="A868" s="29"/>
    </row>
    <row r="869" ht="15.75" customHeight="1">
      <c r="A869" s="29"/>
    </row>
    <row r="870" ht="15.75" customHeight="1">
      <c r="A870" s="29"/>
    </row>
    <row r="871" ht="15.75" customHeight="1">
      <c r="A871" s="29"/>
    </row>
    <row r="872" ht="15.75" customHeight="1">
      <c r="A872" s="29"/>
    </row>
    <row r="873" ht="15.75" customHeight="1">
      <c r="A873" s="29"/>
    </row>
    <row r="874" ht="15.75" customHeight="1">
      <c r="A874" s="29"/>
    </row>
    <row r="875" ht="15.75" customHeight="1">
      <c r="A875" s="29"/>
    </row>
    <row r="876" ht="15.75" customHeight="1">
      <c r="A876" s="29"/>
    </row>
    <row r="877" ht="15.75" customHeight="1">
      <c r="A877" s="29"/>
    </row>
    <row r="878" ht="15.75" customHeight="1">
      <c r="A878" s="29"/>
    </row>
    <row r="879" ht="15.75" customHeight="1">
      <c r="A879" s="29"/>
    </row>
    <row r="880" ht="15.75" customHeight="1">
      <c r="A880" s="29"/>
    </row>
    <row r="881" ht="15.75" customHeight="1">
      <c r="A881" s="29"/>
    </row>
    <row r="882" ht="15.75" customHeight="1">
      <c r="A882" s="29"/>
    </row>
    <row r="883" ht="15.75" customHeight="1">
      <c r="A883" s="29"/>
    </row>
    <row r="884" ht="15.75" customHeight="1">
      <c r="A884" s="29"/>
    </row>
    <row r="885" ht="15.75" customHeight="1">
      <c r="A885" s="29"/>
    </row>
    <row r="886" ht="15.75" customHeight="1">
      <c r="A886" s="29"/>
    </row>
    <row r="887" ht="15.75" customHeight="1">
      <c r="A887" s="29"/>
    </row>
    <row r="888" ht="15.75" customHeight="1">
      <c r="A888" s="29"/>
    </row>
    <row r="889" ht="15.75" customHeight="1">
      <c r="A889" s="29"/>
    </row>
    <row r="890" ht="15.75" customHeight="1">
      <c r="A890" s="29"/>
    </row>
    <row r="891" ht="15.75" customHeight="1">
      <c r="A891" s="29"/>
    </row>
    <row r="892" ht="15.75" customHeight="1">
      <c r="A892" s="29"/>
    </row>
    <row r="893" ht="15.75" customHeight="1">
      <c r="A893" s="29"/>
    </row>
    <row r="894" ht="15.75" customHeight="1">
      <c r="A894" s="29"/>
    </row>
    <row r="895" ht="15.75" customHeight="1">
      <c r="A895" s="29"/>
    </row>
    <row r="896" ht="15.75" customHeight="1">
      <c r="A896" s="29"/>
    </row>
    <row r="897" ht="15.75" customHeight="1">
      <c r="A897" s="29"/>
    </row>
    <row r="898" ht="15.75" customHeight="1">
      <c r="A898" s="29"/>
    </row>
    <row r="899" ht="15.75" customHeight="1">
      <c r="A899" s="29"/>
    </row>
    <row r="900" ht="15.75" customHeight="1">
      <c r="A900" s="29"/>
    </row>
    <row r="901" ht="15.75" customHeight="1">
      <c r="A901" s="29"/>
    </row>
    <row r="902" ht="15.75" customHeight="1">
      <c r="A902" s="29"/>
    </row>
    <row r="903" ht="15.75" customHeight="1">
      <c r="A903" s="29"/>
    </row>
    <row r="904" ht="15.75" customHeight="1">
      <c r="A904" s="29"/>
    </row>
    <row r="905" ht="15.75" customHeight="1">
      <c r="A905" s="29"/>
    </row>
    <row r="906" ht="15.75" customHeight="1">
      <c r="A906" s="29"/>
    </row>
    <row r="907" ht="15.75" customHeight="1">
      <c r="A907" s="29"/>
    </row>
    <row r="908" ht="15.75" customHeight="1">
      <c r="A908" s="29"/>
    </row>
    <row r="909" ht="15.75" customHeight="1">
      <c r="A909" s="29"/>
    </row>
    <row r="910" ht="15.75" customHeight="1">
      <c r="A910" s="29"/>
    </row>
    <row r="911" ht="15.75" customHeight="1">
      <c r="A911" s="29"/>
    </row>
    <row r="912" ht="15.75" customHeight="1">
      <c r="A912" s="29"/>
    </row>
    <row r="913" ht="15.75" customHeight="1">
      <c r="A913" s="29"/>
    </row>
    <row r="914" ht="15.75" customHeight="1">
      <c r="A914" s="29"/>
    </row>
    <row r="915" ht="15.75" customHeight="1">
      <c r="A915" s="29"/>
    </row>
    <row r="916" ht="15.75" customHeight="1">
      <c r="A916" s="29"/>
    </row>
    <row r="917" ht="15.75" customHeight="1">
      <c r="A917" s="29"/>
    </row>
    <row r="918" ht="15.75" customHeight="1">
      <c r="A918" s="29"/>
    </row>
    <row r="919" ht="15.75" customHeight="1">
      <c r="A919" s="29"/>
    </row>
    <row r="920" ht="15.75" customHeight="1">
      <c r="A920" s="29"/>
    </row>
    <row r="921" ht="15.75" customHeight="1">
      <c r="A921" s="29"/>
    </row>
    <row r="922" ht="15.75" customHeight="1">
      <c r="A922" s="29"/>
    </row>
    <row r="923" ht="15.75" customHeight="1">
      <c r="A923" s="29"/>
    </row>
    <row r="924" ht="15.75" customHeight="1">
      <c r="A924" s="29"/>
    </row>
    <row r="925" ht="15.75" customHeight="1">
      <c r="A925" s="29"/>
    </row>
    <row r="926" ht="15.75" customHeight="1">
      <c r="A926" s="29"/>
    </row>
    <row r="927" ht="15.75" customHeight="1">
      <c r="A927" s="29"/>
    </row>
    <row r="928" ht="15.75" customHeight="1">
      <c r="A928" s="29"/>
    </row>
    <row r="929" ht="15.75" customHeight="1">
      <c r="A929" s="29"/>
    </row>
    <row r="930" ht="15.75" customHeight="1">
      <c r="A930" s="29"/>
    </row>
    <row r="931" ht="15.75" customHeight="1">
      <c r="A931" s="29"/>
    </row>
    <row r="932" ht="15.75" customHeight="1">
      <c r="A932" s="29"/>
    </row>
    <row r="933" ht="15.75" customHeight="1">
      <c r="A933" s="29"/>
    </row>
    <row r="934" ht="15.75" customHeight="1">
      <c r="A934" s="29"/>
    </row>
    <row r="935" ht="15.75" customHeight="1">
      <c r="A935" s="29"/>
    </row>
    <row r="936" ht="15.75" customHeight="1">
      <c r="A936" s="29"/>
    </row>
    <row r="937" ht="15.75" customHeight="1">
      <c r="A937" s="29"/>
    </row>
    <row r="938" ht="15.75" customHeight="1">
      <c r="A938" s="29"/>
    </row>
    <row r="939" ht="15.75" customHeight="1">
      <c r="A939" s="29"/>
    </row>
    <row r="940" ht="15.75" customHeight="1">
      <c r="A940" s="29"/>
    </row>
    <row r="941" ht="15.75" customHeight="1">
      <c r="A941" s="29"/>
    </row>
    <row r="942" ht="15.75" customHeight="1">
      <c r="A942" s="29"/>
    </row>
    <row r="943" ht="15.75" customHeight="1">
      <c r="A943" s="29"/>
    </row>
    <row r="944" ht="15.75" customHeight="1">
      <c r="A944" s="29"/>
    </row>
    <row r="945" ht="15.75" customHeight="1">
      <c r="A945" s="29"/>
    </row>
    <row r="946" ht="15.75" customHeight="1">
      <c r="A946" s="29"/>
    </row>
    <row r="947" ht="15.75" customHeight="1">
      <c r="A947" s="29"/>
    </row>
    <row r="948" ht="15.75" customHeight="1">
      <c r="A948" s="29"/>
    </row>
    <row r="949" ht="15.75" customHeight="1">
      <c r="A949" s="29"/>
    </row>
    <row r="950" ht="15.75" customHeight="1">
      <c r="A950" s="29"/>
    </row>
    <row r="951" ht="15.75" customHeight="1">
      <c r="A951" s="29"/>
    </row>
    <row r="952" ht="15.75" customHeight="1">
      <c r="A952" s="29"/>
    </row>
    <row r="953" ht="15.75" customHeight="1">
      <c r="A953" s="29"/>
    </row>
    <row r="954" ht="15.75" customHeight="1">
      <c r="A954" s="29"/>
    </row>
    <row r="955" ht="15.75" customHeight="1">
      <c r="A955" s="29"/>
    </row>
    <row r="956" ht="15.75" customHeight="1">
      <c r="A956" s="29"/>
    </row>
    <row r="957" ht="15.75" customHeight="1">
      <c r="A957" s="29"/>
    </row>
    <row r="958" ht="15.75" customHeight="1">
      <c r="A958" s="29"/>
    </row>
    <row r="959" ht="15.75" customHeight="1">
      <c r="A959" s="29"/>
    </row>
    <row r="960" ht="15.75" customHeight="1">
      <c r="A960" s="29"/>
    </row>
    <row r="961" ht="15.75" customHeight="1">
      <c r="A961" s="29"/>
    </row>
    <row r="962" ht="15.75" customHeight="1">
      <c r="A962" s="29"/>
    </row>
    <row r="963" ht="15.75" customHeight="1">
      <c r="A963" s="29"/>
    </row>
    <row r="964" ht="15.75" customHeight="1">
      <c r="A964" s="29"/>
    </row>
    <row r="965" ht="15.75" customHeight="1">
      <c r="A965" s="29"/>
    </row>
    <row r="966" ht="15.75" customHeight="1">
      <c r="A966" s="29"/>
    </row>
    <row r="967" ht="15.75" customHeight="1">
      <c r="A967" s="29"/>
    </row>
    <row r="968" ht="15.75" customHeight="1">
      <c r="A968" s="29"/>
    </row>
    <row r="969" ht="15.75" customHeight="1">
      <c r="A969" s="29"/>
    </row>
    <row r="970" ht="15.75" customHeight="1">
      <c r="A970" s="29"/>
    </row>
    <row r="971" ht="15.75" customHeight="1">
      <c r="A971" s="29"/>
    </row>
    <row r="972" ht="15.75" customHeight="1">
      <c r="A972" s="29"/>
    </row>
    <row r="973" ht="15.75" customHeight="1">
      <c r="A973" s="29"/>
    </row>
    <row r="974" ht="15.75" customHeight="1">
      <c r="A974" s="29"/>
    </row>
    <row r="975" ht="15.75" customHeight="1">
      <c r="A975" s="29"/>
    </row>
    <row r="976" ht="15.75" customHeight="1">
      <c r="A976" s="29"/>
    </row>
    <row r="977" ht="15.75" customHeight="1">
      <c r="A977" s="29"/>
    </row>
    <row r="978" ht="15.75" customHeight="1">
      <c r="A978" s="29"/>
    </row>
    <row r="979" ht="15.75" customHeight="1">
      <c r="A979" s="29"/>
    </row>
    <row r="980" ht="15.75" customHeight="1">
      <c r="A980" s="29"/>
    </row>
    <row r="981" ht="15.75" customHeight="1">
      <c r="A981" s="29"/>
    </row>
    <row r="982" ht="15.75" customHeight="1">
      <c r="A982" s="29"/>
    </row>
    <row r="983" ht="15.75" customHeight="1">
      <c r="A983" s="29"/>
    </row>
    <row r="984" ht="15.75" customHeight="1">
      <c r="A984" s="29"/>
    </row>
    <row r="985" ht="15.75" customHeight="1">
      <c r="A985" s="29"/>
    </row>
    <row r="986" ht="15.75" customHeight="1">
      <c r="A986" s="29"/>
    </row>
    <row r="987" ht="15.75" customHeight="1">
      <c r="A987" s="29"/>
    </row>
    <row r="988" ht="15.75" customHeight="1">
      <c r="A988" s="29"/>
    </row>
    <row r="989" ht="15.75" customHeight="1">
      <c r="A989" s="29"/>
    </row>
    <row r="990" ht="15.75" customHeight="1">
      <c r="A990" s="29"/>
    </row>
    <row r="991" ht="15.75" customHeight="1">
      <c r="A991" s="29"/>
    </row>
    <row r="992" ht="15.75" customHeight="1">
      <c r="A992" s="29"/>
    </row>
    <row r="993" ht="15.75" customHeight="1">
      <c r="A993" s="29"/>
    </row>
    <row r="994" ht="15.75" customHeight="1">
      <c r="A994" s="29"/>
    </row>
    <row r="995" ht="15.75" customHeight="1">
      <c r="A995" s="29"/>
    </row>
    <row r="996" ht="15.75" customHeight="1">
      <c r="A996" s="29"/>
    </row>
    <row r="997" ht="15.75" customHeight="1">
      <c r="A997" s="29"/>
    </row>
    <row r="998" ht="15.75" customHeight="1">
      <c r="A998" s="29"/>
    </row>
    <row r="999" ht="15.75" customHeight="1">
      <c r="A999" s="29"/>
    </row>
    <row r="1000" ht="15.75" customHeight="1">
      <c r="A1000" s="29"/>
    </row>
  </sheetData>
  <autoFilter ref="$A$1:$D$1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2" max="2" width="11.75"/>
    <col customWidth="1" min="3" max="3" width="18.25"/>
    <col customWidth="1" min="4" max="4" width="22.63"/>
    <col customWidth="1" min="5" max="6" width="9.38"/>
  </cols>
  <sheetData>
    <row r="1" ht="51.75" customHeight="1">
      <c r="A1" s="1" t="s">
        <v>0</v>
      </c>
      <c r="B1" s="2" t="s">
        <v>3</v>
      </c>
      <c r="C1" s="46" t="s">
        <v>485</v>
      </c>
      <c r="D1" s="46" t="s">
        <v>486</v>
      </c>
    </row>
    <row r="2">
      <c r="A2" s="6">
        <v>10101.0</v>
      </c>
      <c r="B2" s="7" t="s">
        <v>13</v>
      </c>
      <c r="C2" s="83">
        <v>222.0</v>
      </c>
      <c r="D2" s="83">
        <v>233.0</v>
      </c>
    </row>
    <row r="3">
      <c r="A3" s="6">
        <v>10102.0</v>
      </c>
      <c r="B3" s="7" t="s">
        <v>14</v>
      </c>
      <c r="C3" s="83">
        <v>10.0</v>
      </c>
      <c r="D3" s="83">
        <v>7.0</v>
      </c>
    </row>
    <row r="4">
      <c r="A4" s="6">
        <v>10103.0</v>
      </c>
      <c r="B4" s="7" t="s">
        <v>16</v>
      </c>
      <c r="C4" s="83">
        <v>36.0</v>
      </c>
      <c r="D4" s="83">
        <v>16.0</v>
      </c>
    </row>
    <row r="5">
      <c r="A5" s="6">
        <v>10201.0</v>
      </c>
      <c r="B5" s="7" t="s">
        <v>19</v>
      </c>
      <c r="C5" s="83">
        <v>12.0</v>
      </c>
      <c r="D5" s="83">
        <v>3.0</v>
      </c>
    </row>
    <row r="6">
      <c r="A6" s="6">
        <v>10202.0</v>
      </c>
      <c r="B6" s="7" t="s">
        <v>21</v>
      </c>
      <c r="C6" s="83">
        <v>24.0</v>
      </c>
      <c r="D6" s="83">
        <v>16.0</v>
      </c>
    </row>
    <row r="7">
      <c r="A7" s="6">
        <v>10301.0</v>
      </c>
      <c r="B7" s="7" t="s">
        <v>24</v>
      </c>
      <c r="C7" s="83">
        <v>13.0</v>
      </c>
      <c r="D7" s="83">
        <v>4.0</v>
      </c>
    </row>
    <row r="8">
      <c r="A8" s="6">
        <v>10302.0</v>
      </c>
      <c r="B8" s="7" t="s">
        <v>26</v>
      </c>
      <c r="C8" s="83">
        <v>34.0</v>
      </c>
      <c r="D8" s="83">
        <v>10.0</v>
      </c>
    </row>
    <row r="9">
      <c r="A9" s="6">
        <v>10303.0</v>
      </c>
      <c r="B9" s="7" t="s">
        <v>28</v>
      </c>
      <c r="C9" s="83">
        <v>13.0</v>
      </c>
      <c r="D9" s="83">
        <v>3.0</v>
      </c>
    </row>
    <row r="10">
      <c r="A10" s="6">
        <v>10304.0</v>
      </c>
      <c r="B10" s="7" t="s">
        <v>30</v>
      </c>
      <c r="C10" s="83">
        <v>4.0</v>
      </c>
      <c r="D10" s="83">
        <v>3.0</v>
      </c>
    </row>
    <row r="11">
      <c r="A11" s="6">
        <v>10401.0</v>
      </c>
      <c r="B11" s="7" t="s">
        <v>33</v>
      </c>
      <c r="C11" s="83">
        <v>8.0</v>
      </c>
      <c r="D11" s="83">
        <v>11.0</v>
      </c>
    </row>
    <row r="12">
      <c r="A12" s="6">
        <v>10402.0</v>
      </c>
      <c r="B12" s="7" t="s">
        <v>32</v>
      </c>
      <c r="C12" s="83">
        <v>10.0</v>
      </c>
      <c r="D12" s="83">
        <v>13.0</v>
      </c>
    </row>
    <row r="13">
      <c r="A13" s="6">
        <v>10403.0</v>
      </c>
      <c r="B13" s="7" t="s">
        <v>36</v>
      </c>
      <c r="C13" s="83">
        <v>2.0</v>
      </c>
      <c r="D13" s="83">
        <v>5.0</v>
      </c>
    </row>
    <row r="14">
      <c r="A14" s="6">
        <v>10404.0</v>
      </c>
      <c r="B14" s="7" t="s">
        <v>37</v>
      </c>
      <c r="C14" s="83">
        <v>1.0</v>
      </c>
      <c r="D14" s="83">
        <v>8.0</v>
      </c>
    </row>
    <row r="15">
      <c r="A15" s="6">
        <v>10405.0</v>
      </c>
      <c r="B15" s="7" t="s">
        <v>38</v>
      </c>
      <c r="C15" s="83">
        <v>7.0</v>
      </c>
      <c r="D15" s="83">
        <v>0.0</v>
      </c>
    </row>
    <row r="16">
      <c r="A16" s="6">
        <v>10501.0</v>
      </c>
      <c r="B16" s="7" t="s">
        <v>40</v>
      </c>
      <c r="C16" s="83">
        <v>21.0</v>
      </c>
      <c r="D16" s="83">
        <v>4.0</v>
      </c>
    </row>
    <row r="17">
      <c r="A17" s="6">
        <v>10502.0</v>
      </c>
      <c r="B17" s="7" t="s">
        <v>41</v>
      </c>
      <c r="C17" s="83">
        <v>4.0</v>
      </c>
      <c r="D17" s="83">
        <v>7.0</v>
      </c>
    </row>
    <row r="18">
      <c r="A18" s="6">
        <v>10601.0</v>
      </c>
      <c r="B18" s="7" t="s">
        <v>43</v>
      </c>
      <c r="C18" s="83">
        <v>23.0</v>
      </c>
      <c r="D18" s="83">
        <v>12.0</v>
      </c>
    </row>
    <row r="19">
      <c r="A19" s="6">
        <v>10602.0</v>
      </c>
      <c r="B19" s="7" t="s">
        <v>42</v>
      </c>
      <c r="C19" s="83">
        <v>6.0</v>
      </c>
      <c r="D19" s="83">
        <v>15.0</v>
      </c>
    </row>
    <row r="20">
      <c r="A20" s="6">
        <v>10701.0</v>
      </c>
      <c r="B20" s="7" t="s">
        <v>45</v>
      </c>
      <c r="C20" s="83">
        <v>10.0</v>
      </c>
      <c r="D20" s="83">
        <v>22.0</v>
      </c>
    </row>
    <row r="21" ht="15.75" customHeight="1">
      <c r="A21" s="6">
        <v>10702.0</v>
      </c>
      <c r="B21" s="7" t="s">
        <v>46</v>
      </c>
      <c r="C21" s="83">
        <v>42.0</v>
      </c>
      <c r="D21" s="83">
        <v>37.0</v>
      </c>
    </row>
    <row r="22" ht="15.75" customHeight="1">
      <c r="A22" s="6">
        <v>10703.0</v>
      </c>
      <c r="B22" s="7" t="s">
        <v>47</v>
      </c>
      <c r="C22" s="83">
        <v>15.0</v>
      </c>
      <c r="D22" s="83">
        <v>11.0</v>
      </c>
    </row>
    <row r="23" ht="15.75" customHeight="1">
      <c r="A23" s="6">
        <v>10704.0</v>
      </c>
      <c r="B23" s="7" t="s">
        <v>48</v>
      </c>
      <c r="C23" s="83">
        <v>24.0</v>
      </c>
      <c r="D23" s="83">
        <v>16.0</v>
      </c>
    </row>
    <row r="24" ht="15.75" customHeight="1">
      <c r="A24" s="6">
        <v>10801.0</v>
      </c>
      <c r="B24" s="7" t="s">
        <v>50</v>
      </c>
      <c r="C24" s="83">
        <v>6.0</v>
      </c>
      <c r="D24" s="83">
        <v>11.0</v>
      </c>
    </row>
    <row r="25" ht="15.75" customHeight="1">
      <c r="A25" s="6">
        <v>10901.0</v>
      </c>
      <c r="B25" s="7" t="s">
        <v>52</v>
      </c>
      <c r="C25" s="83">
        <v>1.0</v>
      </c>
      <c r="D25" s="83">
        <v>2.0</v>
      </c>
    </row>
    <row r="26" ht="15.75" customHeight="1">
      <c r="A26" s="6">
        <v>10902.0</v>
      </c>
      <c r="B26" s="7" t="s">
        <v>53</v>
      </c>
      <c r="C26" s="83">
        <v>11.0</v>
      </c>
      <c r="D26" s="83">
        <v>24.0</v>
      </c>
    </row>
    <row r="27" ht="15.75" customHeight="1">
      <c r="A27" s="6">
        <v>10903.0</v>
      </c>
      <c r="B27" s="7" t="s">
        <v>54</v>
      </c>
      <c r="C27" s="83">
        <v>1.0</v>
      </c>
      <c r="D27" s="83">
        <v>8.0</v>
      </c>
    </row>
    <row r="28" ht="15.75" customHeight="1">
      <c r="A28" s="6">
        <v>11001.0</v>
      </c>
      <c r="B28" s="7" t="s">
        <v>56</v>
      </c>
      <c r="C28" s="83">
        <v>7.0</v>
      </c>
      <c r="D28" s="83">
        <v>12.0</v>
      </c>
    </row>
    <row r="29" ht="15.75" customHeight="1">
      <c r="A29" s="6">
        <v>11002.0</v>
      </c>
      <c r="B29" s="7" t="s">
        <v>57</v>
      </c>
      <c r="C29" s="83">
        <v>1.0</v>
      </c>
      <c r="D29" s="83">
        <v>0.0</v>
      </c>
    </row>
    <row r="30" ht="15.75" customHeight="1">
      <c r="A30" s="6">
        <v>11003.0</v>
      </c>
      <c r="B30" s="7" t="s">
        <v>58</v>
      </c>
      <c r="C30" s="83">
        <v>2.0</v>
      </c>
      <c r="D30" s="83">
        <v>2.0</v>
      </c>
    </row>
    <row r="31" ht="15.75" customHeight="1">
      <c r="A31" s="6">
        <v>20101.0</v>
      </c>
      <c r="B31" s="7" t="s">
        <v>60</v>
      </c>
      <c r="C31" s="83">
        <v>598.0</v>
      </c>
      <c r="D31" s="83">
        <v>459.0</v>
      </c>
    </row>
    <row r="32" ht="15.75" customHeight="1">
      <c r="A32" s="6">
        <v>20102.0</v>
      </c>
      <c r="B32" s="7" t="s">
        <v>61</v>
      </c>
      <c r="C32" s="83">
        <v>46.0</v>
      </c>
      <c r="D32" s="83">
        <v>34.0</v>
      </c>
    </row>
    <row r="33" ht="15.75" customHeight="1">
      <c r="A33" s="6">
        <v>20103.0</v>
      </c>
      <c r="B33" s="7" t="s">
        <v>62</v>
      </c>
      <c r="C33" s="83">
        <v>25.0</v>
      </c>
      <c r="D33" s="83">
        <v>25.0</v>
      </c>
    </row>
    <row r="34" ht="15.75" customHeight="1">
      <c r="A34" s="6">
        <v>20104.0</v>
      </c>
      <c r="B34" s="7" t="s">
        <v>63</v>
      </c>
      <c r="C34" s="83">
        <v>61.0</v>
      </c>
      <c r="D34" s="83">
        <v>70.0</v>
      </c>
    </row>
    <row r="35" ht="15.75" customHeight="1">
      <c r="A35" s="6">
        <v>20105.0</v>
      </c>
      <c r="B35" s="7" t="s">
        <v>64</v>
      </c>
      <c r="C35" s="83">
        <v>1168.0</v>
      </c>
      <c r="D35" s="83">
        <v>946.0</v>
      </c>
    </row>
    <row r="36" ht="15.75" customHeight="1">
      <c r="A36" s="6">
        <v>20201.0</v>
      </c>
      <c r="B36" s="7" t="s">
        <v>66</v>
      </c>
      <c r="C36" s="83">
        <v>73.0</v>
      </c>
      <c r="D36" s="83">
        <v>62.0</v>
      </c>
    </row>
    <row r="37" ht="15.75" customHeight="1">
      <c r="A37" s="6">
        <v>20202.0</v>
      </c>
      <c r="B37" s="7" t="s">
        <v>67</v>
      </c>
      <c r="C37" s="83">
        <v>41.0</v>
      </c>
      <c r="D37" s="83">
        <v>29.0</v>
      </c>
    </row>
    <row r="38" ht="15.75" customHeight="1">
      <c r="A38" s="6">
        <v>20203.0</v>
      </c>
      <c r="B38" s="7" t="s">
        <v>68</v>
      </c>
      <c r="C38" s="83">
        <v>6.0</v>
      </c>
      <c r="D38" s="83">
        <v>6.0</v>
      </c>
    </row>
    <row r="39" ht="15.75" customHeight="1">
      <c r="A39" s="6">
        <v>20204.0</v>
      </c>
      <c r="B39" s="7" t="s">
        <v>69</v>
      </c>
      <c r="C39" s="83">
        <v>13.0</v>
      </c>
      <c r="D39" s="83">
        <v>15.0</v>
      </c>
    </row>
    <row r="40" ht="15.75" customHeight="1">
      <c r="A40" s="6">
        <v>20205.0</v>
      </c>
      <c r="B40" s="7" t="s">
        <v>70</v>
      </c>
      <c r="C40" s="83">
        <v>8.0</v>
      </c>
      <c r="D40" s="83">
        <v>17.0</v>
      </c>
    </row>
    <row r="41" ht="15.75" customHeight="1">
      <c r="A41" s="6">
        <v>20206.0</v>
      </c>
      <c r="B41" s="7" t="s">
        <v>71</v>
      </c>
      <c r="C41" s="83">
        <v>14.0</v>
      </c>
      <c r="D41" s="83">
        <v>0.0</v>
      </c>
    </row>
    <row r="42" ht="15.75" customHeight="1">
      <c r="A42" s="6">
        <v>20301.0</v>
      </c>
      <c r="B42" s="7" t="s">
        <v>73</v>
      </c>
      <c r="C42" s="83">
        <v>10.0</v>
      </c>
      <c r="D42" s="83">
        <v>34.0</v>
      </c>
    </row>
    <row r="43" ht="15.75" customHeight="1">
      <c r="A43" s="6">
        <v>20302.0</v>
      </c>
      <c r="B43" s="7" t="s">
        <v>74</v>
      </c>
      <c r="C43" s="83">
        <v>13.0</v>
      </c>
      <c r="D43" s="83">
        <v>18.0</v>
      </c>
    </row>
    <row r="44" ht="15.75" customHeight="1">
      <c r="A44" s="6">
        <v>20303.0</v>
      </c>
      <c r="B44" s="7" t="s">
        <v>75</v>
      </c>
      <c r="C44" s="83">
        <v>8.0</v>
      </c>
      <c r="D44" s="83">
        <v>21.0</v>
      </c>
    </row>
    <row r="45" ht="15.75" customHeight="1">
      <c r="A45" s="6">
        <v>20304.0</v>
      </c>
      <c r="B45" s="7" t="s">
        <v>76</v>
      </c>
      <c r="C45" s="83">
        <v>3.0</v>
      </c>
      <c r="D45" s="83">
        <v>0.0</v>
      </c>
    </row>
    <row r="46" ht="15.75" customHeight="1">
      <c r="A46" s="6">
        <v>20305.0</v>
      </c>
      <c r="B46" s="7" t="s">
        <v>77</v>
      </c>
      <c r="C46" s="83">
        <v>4.0</v>
      </c>
      <c r="D46" s="83">
        <v>11.0</v>
      </c>
    </row>
    <row r="47" ht="15.75" customHeight="1">
      <c r="A47" s="6">
        <v>20306.0</v>
      </c>
      <c r="B47" s="7" t="s">
        <v>78</v>
      </c>
      <c r="C47" s="83">
        <v>7.0</v>
      </c>
      <c r="D47" s="83">
        <v>0.0</v>
      </c>
    </row>
    <row r="48" ht="15.75" customHeight="1">
      <c r="A48" s="6">
        <v>20307.0</v>
      </c>
      <c r="B48" s="7" t="s">
        <v>79</v>
      </c>
      <c r="C48" s="83">
        <v>0.0</v>
      </c>
      <c r="D48" s="83">
        <v>1.0</v>
      </c>
    </row>
    <row r="49" ht="15.75" customHeight="1">
      <c r="A49" s="6">
        <v>20308.0</v>
      </c>
      <c r="B49" s="7" t="s">
        <v>80</v>
      </c>
      <c r="C49" s="83">
        <v>8.0</v>
      </c>
      <c r="D49" s="83">
        <v>15.0</v>
      </c>
    </row>
    <row r="50" ht="15.75" customHeight="1">
      <c r="A50" s="6">
        <v>20401.0</v>
      </c>
      <c r="B50" s="7" t="s">
        <v>82</v>
      </c>
      <c r="C50" s="83">
        <v>16.0</v>
      </c>
      <c r="D50" s="83">
        <v>12.0</v>
      </c>
    </row>
    <row r="51" ht="15.75" customHeight="1">
      <c r="A51" s="6">
        <v>20402.0</v>
      </c>
      <c r="B51" s="7" t="s">
        <v>83</v>
      </c>
      <c r="C51" s="83">
        <v>34.0</v>
      </c>
      <c r="D51" s="83">
        <v>17.0</v>
      </c>
    </row>
    <row r="52" ht="15.75" customHeight="1">
      <c r="A52" s="6">
        <v>20403.0</v>
      </c>
      <c r="B52" s="7" t="s">
        <v>84</v>
      </c>
      <c r="C52" s="83">
        <v>29.0</v>
      </c>
      <c r="D52" s="83">
        <v>25.0</v>
      </c>
    </row>
    <row r="53" ht="15.75" customHeight="1">
      <c r="A53" s="6">
        <v>20404.0</v>
      </c>
      <c r="B53" s="7" t="s">
        <v>85</v>
      </c>
      <c r="C53" s="83">
        <v>20.0</v>
      </c>
      <c r="D53" s="83">
        <v>3.0</v>
      </c>
    </row>
    <row r="54" ht="15.75" customHeight="1">
      <c r="A54" s="6">
        <v>20405.0</v>
      </c>
      <c r="B54" s="7" t="s">
        <v>86</v>
      </c>
      <c r="C54" s="83">
        <v>23.0</v>
      </c>
      <c r="D54" s="83">
        <v>16.0</v>
      </c>
    </row>
    <row r="55" ht="15.75" customHeight="1">
      <c r="A55" s="6">
        <v>20501.0</v>
      </c>
      <c r="B55" s="7" t="s">
        <v>88</v>
      </c>
      <c r="C55" s="83">
        <v>33.0</v>
      </c>
      <c r="D55" s="83">
        <v>17.0</v>
      </c>
    </row>
    <row r="56" ht="15.75" customHeight="1">
      <c r="A56" s="6">
        <v>20502.0</v>
      </c>
      <c r="B56" s="7" t="s">
        <v>89</v>
      </c>
      <c r="C56" s="83">
        <v>22.0</v>
      </c>
      <c r="D56" s="83">
        <v>12.0</v>
      </c>
    </row>
    <row r="57" ht="15.75" customHeight="1">
      <c r="A57" s="6">
        <v>20503.0</v>
      </c>
      <c r="B57" s="7" t="s">
        <v>90</v>
      </c>
      <c r="C57" s="83">
        <v>13.0</v>
      </c>
      <c r="D57" s="83">
        <v>2.0</v>
      </c>
    </row>
    <row r="58" ht="15.75" customHeight="1">
      <c r="A58" s="6">
        <v>20601.0</v>
      </c>
      <c r="B58" s="7" t="s">
        <v>92</v>
      </c>
      <c r="C58" s="83">
        <v>37.0</v>
      </c>
      <c r="D58" s="83">
        <v>27.0</v>
      </c>
    </row>
    <row r="59" ht="15.75" customHeight="1">
      <c r="A59" s="6">
        <v>20602.0</v>
      </c>
      <c r="B59" s="7" t="s">
        <v>93</v>
      </c>
      <c r="C59" s="83">
        <v>38.0</v>
      </c>
      <c r="D59" s="83">
        <v>31.0</v>
      </c>
    </row>
    <row r="60" ht="15.75" customHeight="1">
      <c r="A60" s="6">
        <v>20603.0</v>
      </c>
      <c r="B60" s="7" t="s">
        <v>94</v>
      </c>
      <c r="C60" s="83">
        <v>14.0</v>
      </c>
      <c r="D60" s="83">
        <v>5.0</v>
      </c>
    </row>
    <row r="61" ht="15.75" customHeight="1">
      <c r="A61" s="6">
        <v>20604.0</v>
      </c>
      <c r="B61" s="7" t="s">
        <v>95</v>
      </c>
      <c r="C61" s="83">
        <v>15.0</v>
      </c>
      <c r="D61" s="83">
        <v>4.0</v>
      </c>
    </row>
    <row r="62" ht="15.75" customHeight="1">
      <c r="A62" s="6">
        <v>20605.0</v>
      </c>
      <c r="B62" s="7" t="s">
        <v>96</v>
      </c>
      <c r="C62" s="83">
        <v>5.0</v>
      </c>
      <c r="D62" s="83">
        <v>0.0</v>
      </c>
    </row>
    <row r="63" ht="15.75" customHeight="1">
      <c r="A63" s="6">
        <v>20606.0</v>
      </c>
      <c r="B63" s="7" t="s">
        <v>97</v>
      </c>
      <c r="C63" s="83">
        <v>25.0</v>
      </c>
      <c r="D63" s="83">
        <v>18.0</v>
      </c>
    </row>
    <row r="64" ht="15.75" customHeight="1">
      <c r="A64" s="6">
        <v>20607.0</v>
      </c>
      <c r="B64" s="7" t="s">
        <v>98</v>
      </c>
      <c r="C64" s="83">
        <v>27.0</v>
      </c>
      <c r="D64" s="83">
        <v>43.0</v>
      </c>
    </row>
    <row r="65" ht="15.75" customHeight="1">
      <c r="A65" s="6">
        <v>20608.0</v>
      </c>
      <c r="B65" s="7" t="s">
        <v>99</v>
      </c>
      <c r="C65" s="83">
        <v>21.0</v>
      </c>
      <c r="D65" s="83">
        <v>31.0</v>
      </c>
    </row>
    <row r="66" ht="15.75" customHeight="1">
      <c r="A66" s="6">
        <v>20701.0</v>
      </c>
      <c r="B66" s="7" t="s">
        <v>101</v>
      </c>
      <c r="C66" s="83">
        <v>47.0</v>
      </c>
      <c r="D66" s="83">
        <v>31.0</v>
      </c>
    </row>
    <row r="67" ht="15.75" customHeight="1">
      <c r="A67" s="6">
        <v>20702.0</v>
      </c>
      <c r="B67" s="7" t="s">
        <v>102</v>
      </c>
      <c r="C67" s="83">
        <v>13.0</v>
      </c>
      <c r="D67" s="83">
        <v>13.0</v>
      </c>
    </row>
    <row r="68" ht="15.75" customHeight="1">
      <c r="A68" s="6">
        <v>20801.0</v>
      </c>
      <c r="B68" s="7" t="s">
        <v>104</v>
      </c>
      <c r="C68" s="83">
        <v>135.0</v>
      </c>
      <c r="D68" s="83">
        <v>146.0</v>
      </c>
    </row>
    <row r="69" ht="15.75" customHeight="1">
      <c r="A69" s="6">
        <v>20802.0</v>
      </c>
      <c r="B69" s="7" t="s">
        <v>105</v>
      </c>
      <c r="C69" s="83">
        <v>10.0</v>
      </c>
      <c r="D69" s="83">
        <v>14.0</v>
      </c>
    </row>
    <row r="70" ht="15.75" customHeight="1">
      <c r="A70" s="6">
        <v>20803.0</v>
      </c>
      <c r="B70" s="7" t="s">
        <v>106</v>
      </c>
      <c r="C70" s="83">
        <v>20.0</v>
      </c>
      <c r="D70" s="83">
        <v>18.0</v>
      </c>
    </row>
    <row r="71" ht="15.75" customHeight="1">
      <c r="A71" s="6">
        <v>20804.0</v>
      </c>
      <c r="B71" s="7" t="s">
        <v>107</v>
      </c>
      <c r="C71" s="83">
        <v>8.0</v>
      </c>
      <c r="D71" s="83">
        <v>17.0</v>
      </c>
    </row>
    <row r="72" ht="15.75" customHeight="1">
      <c r="A72" s="6">
        <v>20805.0</v>
      </c>
      <c r="B72" s="7" t="s">
        <v>108</v>
      </c>
      <c r="C72" s="83">
        <v>4.0</v>
      </c>
      <c r="D72" s="83">
        <v>1.0</v>
      </c>
    </row>
    <row r="73" ht="15.75" customHeight="1">
      <c r="A73" s="6">
        <v>20806.0</v>
      </c>
      <c r="B73" s="7" t="s">
        <v>109</v>
      </c>
      <c r="C73" s="83">
        <v>17.0</v>
      </c>
      <c r="D73" s="83">
        <v>16.0</v>
      </c>
    </row>
    <row r="74" ht="15.75" customHeight="1">
      <c r="A74" s="6">
        <v>20807.0</v>
      </c>
      <c r="B74" s="7" t="s">
        <v>110</v>
      </c>
      <c r="C74" s="83">
        <v>6.0</v>
      </c>
      <c r="D74" s="83">
        <v>7.0</v>
      </c>
    </row>
    <row r="75" ht="15.75" customHeight="1">
      <c r="A75" s="6">
        <v>20901.0</v>
      </c>
      <c r="B75" s="7" t="s">
        <v>112</v>
      </c>
      <c r="C75" s="83">
        <v>21.0</v>
      </c>
      <c r="D75" s="83">
        <v>10.0</v>
      </c>
    </row>
    <row r="76" ht="15.75" customHeight="1">
      <c r="A76" s="6">
        <v>20902.0</v>
      </c>
      <c r="B76" s="7" t="s">
        <v>113</v>
      </c>
      <c r="C76" s="83">
        <v>19.0</v>
      </c>
      <c r="D76" s="83">
        <v>19.0</v>
      </c>
    </row>
    <row r="77" ht="15.75" customHeight="1">
      <c r="A77" s="6">
        <v>20903.0</v>
      </c>
      <c r="B77" s="7" t="s">
        <v>114</v>
      </c>
      <c r="C77" s="83">
        <v>13.0</v>
      </c>
      <c r="D77" s="83">
        <v>16.0</v>
      </c>
    </row>
    <row r="78" ht="15.75" customHeight="1">
      <c r="A78" s="6">
        <v>20904.0</v>
      </c>
      <c r="B78" s="7" t="s">
        <v>115</v>
      </c>
      <c r="C78" s="83">
        <v>8.0</v>
      </c>
      <c r="D78" s="83">
        <v>5.0</v>
      </c>
    </row>
    <row r="79" ht="15.75" customHeight="1">
      <c r="A79" s="6">
        <v>20905.0</v>
      </c>
      <c r="B79" s="7" t="s">
        <v>116</v>
      </c>
      <c r="C79" s="83">
        <v>26.0</v>
      </c>
      <c r="D79" s="83">
        <v>30.0</v>
      </c>
    </row>
    <row r="80" ht="15.75" customHeight="1">
      <c r="A80" s="6">
        <v>21001.0</v>
      </c>
      <c r="B80" s="7" t="s">
        <v>117</v>
      </c>
      <c r="C80" s="83">
        <v>22.0</v>
      </c>
      <c r="D80" s="83">
        <v>44.0</v>
      </c>
    </row>
    <row r="81" ht="15.75" customHeight="1">
      <c r="A81" s="6">
        <v>21002.0</v>
      </c>
      <c r="B81" s="7" t="s">
        <v>118</v>
      </c>
      <c r="C81" s="83">
        <v>20.0</v>
      </c>
      <c r="D81" s="83">
        <v>15.0</v>
      </c>
    </row>
    <row r="82" ht="15.75" customHeight="1">
      <c r="A82" s="6">
        <v>21003.0</v>
      </c>
      <c r="B82" s="7" t="s">
        <v>119</v>
      </c>
      <c r="C82" s="83">
        <v>22.0</v>
      </c>
      <c r="D82" s="83">
        <v>22.0</v>
      </c>
    </row>
    <row r="83" ht="15.75" customHeight="1">
      <c r="A83" s="6">
        <v>21004.0</v>
      </c>
      <c r="B83" s="7" t="s">
        <v>120</v>
      </c>
      <c r="C83" s="83">
        <v>43.0</v>
      </c>
      <c r="D83" s="83">
        <v>30.0</v>
      </c>
    </row>
    <row r="84" ht="15.75" customHeight="1">
      <c r="A84" s="6">
        <v>21005.0</v>
      </c>
      <c r="B84" s="7" t="s">
        <v>121</v>
      </c>
      <c r="C84" s="83">
        <v>10.0</v>
      </c>
      <c r="D84" s="83">
        <v>14.0</v>
      </c>
    </row>
    <row r="85" ht="15.75" customHeight="1">
      <c r="A85" s="6">
        <v>21006.0</v>
      </c>
      <c r="B85" s="7" t="s">
        <v>122</v>
      </c>
      <c r="C85" s="83">
        <v>2.0</v>
      </c>
      <c r="D85" s="83">
        <v>3.0</v>
      </c>
    </row>
    <row r="86" ht="15.75" customHeight="1">
      <c r="A86" s="6">
        <v>21101.0</v>
      </c>
      <c r="B86" s="7" t="s">
        <v>124</v>
      </c>
      <c r="C86" s="83">
        <v>23.0</v>
      </c>
      <c r="D86" s="83">
        <v>31.0</v>
      </c>
    </row>
    <row r="87" ht="15.75" customHeight="1">
      <c r="A87" s="6">
        <v>21102.0</v>
      </c>
      <c r="B87" s="7" t="s">
        <v>125</v>
      </c>
      <c r="C87" s="83">
        <v>20.0</v>
      </c>
      <c r="D87" s="83">
        <v>38.0</v>
      </c>
    </row>
    <row r="88" ht="15.75" customHeight="1">
      <c r="A88" s="6">
        <v>21103.0</v>
      </c>
      <c r="B88" s="7" t="s">
        <v>126</v>
      </c>
      <c r="C88" s="83">
        <v>9.0</v>
      </c>
      <c r="D88" s="83">
        <v>2.0</v>
      </c>
    </row>
    <row r="89" ht="15.75" customHeight="1">
      <c r="A89" s="6">
        <v>21104.0</v>
      </c>
      <c r="B89" s="7" t="s">
        <v>127</v>
      </c>
      <c r="C89" s="83">
        <v>63.0</v>
      </c>
      <c r="D89" s="83">
        <v>78.0</v>
      </c>
    </row>
    <row r="90" ht="15.75" customHeight="1">
      <c r="A90" s="6">
        <v>21105.0</v>
      </c>
      <c r="B90" s="7" t="s">
        <v>128</v>
      </c>
      <c r="C90" s="83">
        <v>84.0</v>
      </c>
      <c r="D90" s="83">
        <v>115.0</v>
      </c>
    </row>
    <row r="91" ht="15.75" customHeight="1">
      <c r="A91" s="6">
        <v>21201.0</v>
      </c>
      <c r="B91" s="7" t="s">
        <v>130</v>
      </c>
      <c r="C91" s="83">
        <v>77.0</v>
      </c>
      <c r="D91" s="83">
        <v>98.0</v>
      </c>
    </row>
    <row r="92" ht="15.75" customHeight="1">
      <c r="A92" s="6">
        <v>21202.0</v>
      </c>
      <c r="B92" s="7" t="s">
        <v>131</v>
      </c>
      <c r="C92" s="83">
        <v>40.0</v>
      </c>
      <c r="D92" s="83">
        <v>52.0</v>
      </c>
    </row>
    <row r="93" ht="15.75" customHeight="1">
      <c r="A93" s="6">
        <v>21203.0</v>
      </c>
      <c r="B93" s="7" t="s">
        <v>132</v>
      </c>
      <c r="C93" s="83">
        <v>14.0</v>
      </c>
      <c r="D93" s="83">
        <v>22.0</v>
      </c>
    </row>
    <row r="94" ht="15.75" customHeight="1">
      <c r="A94" s="6">
        <v>21204.0</v>
      </c>
      <c r="B94" s="7" t="s">
        <v>133</v>
      </c>
      <c r="C94" s="83">
        <v>16.0</v>
      </c>
      <c r="D94" s="83">
        <v>3.0</v>
      </c>
    </row>
    <row r="95" ht="15.75" customHeight="1">
      <c r="A95" s="6">
        <v>21301.0</v>
      </c>
      <c r="B95" s="7" t="s">
        <v>135</v>
      </c>
      <c r="C95" s="83">
        <v>46.0</v>
      </c>
      <c r="D95" s="83">
        <v>35.0</v>
      </c>
    </row>
    <row r="96" ht="15.75" customHeight="1">
      <c r="A96" s="6">
        <v>21302.0</v>
      </c>
      <c r="B96" s="7" t="s">
        <v>136</v>
      </c>
      <c r="C96" s="83">
        <v>15.0</v>
      </c>
      <c r="D96" s="83">
        <v>24.0</v>
      </c>
    </row>
    <row r="97" ht="15.75" customHeight="1">
      <c r="A97" s="6">
        <v>21303.0</v>
      </c>
      <c r="B97" s="7" t="s">
        <v>137</v>
      </c>
      <c r="C97" s="83">
        <v>9.0</v>
      </c>
      <c r="D97" s="83">
        <v>26.0</v>
      </c>
    </row>
    <row r="98" ht="15.75" customHeight="1">
      <c r="A98" s="6">
        <v>21304.0</v>
      </c>
      <c r="B98" s="7" t="s">
        <v>138</v>
      </c>
      <c r="C98" s="83">
        <v>19.0</v>
      </c>
      <c r="D98" s="83">
        <v>47.0</v>
      </c>
    </row>
    <row r="99" ht="15.75" customHeight="1">
      <c r="A99" s="6">
        <v>21305.0</v>
      </c>
      <c r="B99" s="7" t="s">
        <v>139</v>
      </c>
      <c r="C99" s="83">
        <v>25.0</v>
      </c>
      <c r="D99" s="83">
        <v>42.0</v>
      </c>
    </row>
    <row r="100" ht="15.75" customHeight="1">
      <c r="A100" s="6">
        <v>21306.0</v>
      </c>
      <c r="B100" s="7" t="s">
        <v>140</v>
      </c>
      <c r="C100" s="83">
        <v>13.0</v>
      </c>
      <c r="D100" s="83">
        <v>12.0</v>
      </c>
    </row>
    <row r="101" ht="15.75" customHeight="1">
      <c r="A101" s="6">
        <v>21307.0</v>
      </c>
      <c r="B101" s="7" t="s">
        <v>141</v>
      </c>
      <c r="C101" s="83">
        <v>2.0</v>
      </c>
      <c r="D101" s="83">
        <v>8.0</v>
      </c>
    </row>
    <row r="102" ht="15.75" customHeight="1">
      <c r="A102" s="6">
        <v>21401.0</v>
      </c>
      <c r="B102" s="7" t="s">
        <v>143</v>
      </c>
      <c r="C102" s="83">
        <v>24.0</v>
      </c>
      <c r="D102" s="83">
        <v>54.0</v>
      </c>
    </row>
    <row r="103" ht="15.75" customHeight="1">
      <c r="A103" s="6">
        <v>21402.0</v>
      </c>
      <c r="B103" s="7" t="s">
        <v>144</v>
      </c>
      <c r="C103" s="83">
        <v>18.0</v>
      </c>
      <c r="D103" s="83">
        <v>23.0</v>
      </c>
    </row>
    <row r="104" ht="15.75" customHeight="1">
      <c r="A104" s="6">
        <v>21501.0</v>
      </c>
      <c r="B104" s="7" t="s">
        <v>146</v>
      </c>
      <c r="C104" s="83">
        <v>11.0</v>
      </c>
      <c r="D104" s="83">
        <v>32.0</v>
      </c>
    </row>
    <row r="105" ht="15.75" customHeight="1">
      <c r="A105" s="6">
        <v>21502.0</v>
      </c>
      <c r="B105" s="7" t="s">
        <v>147</v>
      </c>
      <c r="C105" s="83">
        <v>17.0</v>
      </c>
      <c r="D105" s="83">
        <v>33.0</v>
      </c>
    </row>
    <row r="106" ht="15.75" customHeight="1">
      <c r="A106" s="6">
        <v>21601.0</v>
      </c>
      <c r="B106" s="7" t="s">
        <v>149</v>
      </c>
      <c r="C106" s="83">
        <v>15.0</v>
      </c>
      <c r="D106" s="83">
        <v>12.0</v>
      </c>
    </row>
    <row r="107" ht="15.75" customHeight="1">
      <c r="A107" s="6">
        <v>21602.0</v>
      </c>
      <c r="B107" s="7" t="s">
        <v>150</v>
      </c>
      <c r="C107" s="83">
        <v>4.0</v>
      </c>
      <c r="D107" s="83">
        <v>7.0</v>
      </c>
    </row>
    <row r="108" ht="15.75" customHeight="1">
      <c r="A108" s="6">
        <v>21701.0</v>
      </c>
      <c r="B108" s="7" t="s">
        <v>152</v>
      </c>
      <c r="C108" s="83">
        <v>18.0</v>
      </c>
      <c r="D108" s="83">
        <v>20.0</v>
      </c>
    </row>
    <row r="109" ht="15.75" customHeight="1">
      <c r="A109" s="6">
        <v>21702.0</v>
      </c>
      <c r="B109" s="7" t="s">
        <v>153</v>
      </c>
      <c r="C109" s="83">
        <v>3.0</v>
      </c>
      <c r="D109" s="83">
        <v>8.0</v>
      </c>
    </row>
    <row r="110" ht="15.75" customHeight="1">
      <c r="A110" s="6">
        <v>21703.0</v>
      </c>
      <c r="B110" s="7" t="s">
        <v>154</v>
      </c>
      <c r="C110" s="83">
        <v>6.0</v>
      </c>
      <c r="D110" s="83">
        <v>8.0</v>
      </c>
    </row>
    <row r="111" ht="15.75" customHeight="1">
      <c r="A111" s="6">
        <v>21801.0</v>
      </c>
      <c r="B111" s="7" t="s">
        <v>156</v>
      </c>
      <c r="C111" s="83">
        <v>9.0</v>
      </c>
      <c r="D111" s="83">
        <v>15.0</v>
      </c>
    </row>
    <row r="112" ht="15.75" customHeight="1">
      <c r="A112" s="6">
        <v>21802.0</v>
      </c>
      <c r="B112" s="7" t="s">
        <v>158</v>
      </c>
      <c r="C112" s="83">
        <v>4.0</v>
      </c>
      <c r="D112" s="83">
        <v>13.0</v>
      </c>
    </row>
    <row r="113" ht="15.75" customHeight="1">
      <c r="A113" s="6">
        <v>21803.0</v>
      </c>
      <c r="B113" s="7" t="s">
        <v>159</v>
      </c>
      <c r="C113" s="83">
        <v>5.0</v>
      </c>
      <c r="D113" s="83">
        <v>4.0</v>
      </c>
    </row>
    <row r="114" ht="15.75" customHeight="1">
      <c r="A114" s="6">
        <v>21901.0</v>
      </c>
      <c r="B114" s="7" t="s">
        <v>161</v>
      </c>
      <c r="C114" s="83">
        <v>3.0</v>
      </c>
      <c r="D114" s="83">
        <v>7.0</v>
      </c>
    </row>
    <row r="115" ht="15.75" customHeight="1">
      <c r="A115" s="6">
        <v>21902.0</v>
      </c>
      <c r="B115" s="7" t="s">
        <v>162</v>
      </c>
      <c r="C115" s="83">
        <v>0.0</v>
      </c>
      <c r="D115" s="83">
        <v>0.0</v>
      </c>
    </row>
    <row r="116" ht="15.75" customHeight="1">
      <c r="A116" s="6">
        <v>22001.0</v>
      </c>
      <c r="B116" s="7" t="s">
        <v>163</v>
      </c>
      <c r="C116" s="83">
        <v>88.0</v>
      </c>
      <c r="D116" s="83">
        <v>59.0</v>
      </c>
    </row>
    <row r="117" ht="15.75" customHeight="1">
      <c r="A117" s="6">
        <v>22002.0</v>
      </c>
      <c r="B117" s="7" t="s">
        <v>164</v>
      </c>
      <c r="C117" s="83">
        <v>26.0</v>
      </c>
      <c r="D117" s="83">
        <v>25.0</v>
      </c>
    </row>
    <row r="118" ht="15.75" customHeight="1">
      <c r="A118" s="6">
        <v>30101.0</v>
      </c>
      <c r="B118" s="7" t="s">
        <v>17</v>
      </c>
      <c r="C118" s="83">
        <v>617.0</v>
      </c>
      <c r="D118" s="83">
        <v>404.0</v>
      </c>
    </row>
    <row r="119" ht="15.75" customHeight="1">
      <c r="A119" s="6">
        <v>30201.0</v>
      </c>
      <c r="B119" s="7" t="s">
        <v>167</v>
      </c>
      <c r="C119" s="83">
        <v>34.0</v>
      </c>
      <c r="D119" s="83">
        <v>27.0</v>
      </c>
    </row>
    <row r="120" ht="15.75" customHeight="1">
      <c r="A120" s="6">
        <v>30202.0</v>
      </c>
      <c r="B120" s="7" t="s">
        <v>168</v>
      </c>
      <c r="C120" s="83">
        <v>1.0</v>
      </c>
      <c r="D120" s="83">
        <v>3.0</v>
      </c>
    </row>
    <row r="121" ht="15.75" customHeight="1">
      <c r="A121" s="6">
        <v>30203.0</v>
      </c>
      <c r="B121" s="7" t="s">
        <v>169</v>
      </c>
      <c r="C121" s="83">
        <v>6.0</v>
      </c>
      <c r="D121" s="83">
        <v>9.0</v>
      </c>
    </row>
    <row r="122" ht="15.75" customHeight="1">
      <c r="A122" s="6">
        <v>30301.0</v>
      </c>
      <c r="B122" s="7" t="s">
        <v>171</v>
      </c>
      <c r="C122" s="83">
        <v>56.0</v>
      </c>
      <c r="D122" s="83">
        <v>60.0</v>
      </c>
    </row>
    <row r="123" ht="15.75" customHeight="1">
      <c r="A123" s="6">
        <v>30302.0</v>
      </c>
      <c r="B123" s="7" t="s">
        <v>172</v>
      </c>
      <c r="C123" s="83">
        <v>42.0</v>
      </c>
      <c r="D123" s="83">
        <v>24.0</v>
      </c>
    </row>
    <row r="124" ht="15.75" customHeight="1">
      <c r="A124" s="6">
        <v>30303.0</v>
      </c>
      <c r="B124" s="7" t="s">
        <v>173</v>
      </c>
      <c r="C124" s="83">
        <v>52.0</v>
      </c>
      <c r="D124" s="83">
        <v>41.0</v>
      </c>
    </row>
    <row r="125" ht="15.75" customHeight="1">
      <c r="A125" s="6">
        <v>30401.0</v>
      </c>
      <c r="B125" s="7" t="s">
        <v>175</v>
      </c>
      <c r="C125" s="83">
        <v>16.0</v>
      </c>
      <c r="D125" s="83">
        <v>12.0</v>
      </c>
    </row>
    <row r="126" ht="15.75" customHeight="1">
      <c r="A126" s="6">
        <v>30402.0</v>
      </c>
      <c r="B126" s="7" t="s">
        <v>176</v>
      </c>
      <c r="C126" s="83">
        <v>16.0</v>
      </c>
      <c r="D126" s="83">
        <v>19.0</v>
      </c>
    </row>
    <row r="127" ht="15.75" customHeight="1">
      <c r="A127" s="6">
        <v>30403.0</v>
      </c>
      <c r="B127" s="7" t="s">
        <v>177</v>
      </c>
      <c r="C127" s="83">
        <v>36.0</v>
      </c>
      <c r="D127" s="83">
        <v>26.0</v>
      </c>
    </row>
    <row r="128" ht="15.75" customHeight="1">
      <c r="A128" s="6">
        <v>30404.0</v>
      </c>
      <c r="B128" s="7" t="s">
        <v>178</v>
      </c>
      <c r="C128" s="83">
        <v>9.0</v>
      </c>
      <c r="D128" s="83">
        <v>4.0</v>
      </c>
    </row>
    <row r="129" ht="15.75" customHeight="1">
      <c r="A129" s="6">
        <v>30501.0</v>
      </c>
      <c r="B129" s="7" t="s">
        <v>179</v>
      </c>
      <c r="C129" s="83">
        <v>17.0</v>
      </c>
      <c r="D129" s="83">
        <v>7.0</v>
      </c>
    </row>
    <row r="130" ht="15.75" customHeight="1">
      <c r="A130" s="6">
        <v>30502.0</v>
      </c>
      <c r="B130" s="7" t="s">
        <v>180</v>
      </c>
      <c r="C130" s="83">
        <v>17.0</v>
      </c>
      <c r="D130" s="83">
        <v>15.0</v>
      </c>
    </row>
    <row r="131" ht="15.75" customHeight="1">
      <c r="A131" s="6">
        <v>30601.0</v>
      </c>
      <c r="B131" s="7" t="s">
        <v>181</v>
      </c>
      <c r="C131" s="83">
        <v>29.0</v>
      </c>
      <c r="D131" s="83">
        <v>14.0</v>
      </c>
    </row>
    <row r="132" ht="15.75" customHeight="1">
      <c r="A132" s="6">
        <v>30602.0</v>
      </c>
      <c r="B132" s="7" t="s">
        <v>182</v>
      </c>
      <c r="C132" s="83">
        <v>16.0</v>
      </c>
      <c r="D132" s="83">
        <v>27.0</v>
      </c>
    </row>
    <row r="133" ht="15.75" customHeight="1">
      <c r="A133" s="6">
        <v>30701.0</v>
      </c>
      <c r="B133" s="7" t="s">
        <v>183</v>
      </c>
      <c r="C133" s="83">
        <v>32.0</v>
      </c>
      <c r="D133" s="83">
        <v>16.0</v>
      </c>
    </row>
    <row r="134" ht="15.75" customHeight="1">
      <c r="A134" s="6">
        <v>30702.0</v>
      </c>
      <c r="B134" s="7" t="s">
        <v>184</v>
      </c>
      <c r="C134" s="83">
        <v>9.0</v>
      </c>
      <c r="D134" s="83">
        <v>7.0</v>
      </c>
    </row>
    <row r="135" ht="15.75" customHeight="1">
      <c r="A135" s="6">
        <v>30703.0</v>
      </c>
      <c r="B135" s="7" t="s">
        <v>185</v>
      </c>
      <c r="C135" s="83">
        <v>12.0</v>
      </c>
      <c r="D135" s="83">
        <v>5.0</v>
      </c>
    </row>
    <row r="136" ht="15.75" customHeight="1">
      <c r="A136" s="6">
        <v>30801.0</v>
      </c>
      <c r="B136" s="7" t="s">
        <v>187</v>
      </c>
      <c r="C136" s="83">
        <v>19.0</v>
      </c>
      <c r="D136" s="83">
        <v>28.0</v>
      </c>
    </row>
    <row r="137" ht="15.75" customHeight="1">
      <c r="A137" s="6">
        <v>30802.0</v>
      </c>
      <c r="B137" s="7" t="s">
        <v>188</v>
      </c>
      <c r="C137" s="83">
        <v>17.0</v>
      </c>
      <c r="D137" s="83">
        <v>3.0</v>
      </c>
    </row>
    <row r="138" ht="15.75" customHeight="1">
      <c r="A138" s="6">
        <v>30803.0</v>
      </c>
      <c r="B138" s="7" t="s">
        <v>189</v>
      </c>
      <c r="C138" s="83">
        <v>9.0</v>
      </c>
      <c r="D138" s="83">
        <v>1.0</v>
      </c>
    </row>
    <row r="139" ht="15.75" customHeight="1">
      <c r="A139" s="6">
        <v>30901.0</v>
      </c>
      <c r="B139" s="7" t="s">
        <v>190</v>
      </c>
      <c r="C139" s="83">
        <v>91.0</v>
      </c>
      <c r="D139" s="83">
        <v>128.0</v>
      </c>
    </row>
    <row r="140" ht="15.75" customHeight="1">
      <c r="A140" s="6">
        <v>30902.0</v>
      </c>
      <c r="B140" s="7" t="s">
        <v>191</v>
      </c>
      <c r="C140" s="83">
        <v>73.0</v>
      </c>
      <c r="D140" s="83">
        <v>53.0</v>
      </c>
    </row>
    <row r="141" ht="15.75" customHeight="1">
      <c r="A141" s="6">
        <v>30903.0</v>
      </c>
      <c r="B141" s="7" t="s">
        <v>192</v>
      </c>
      <c r="C141" s="83">
        <v>36.0</v>
      </c>
      <c r="D141" s="83">
        <v>36.0</v>
      </c>
    </row>
    <row r="142" ht="15.75" customHeight="1">
      <c r="A142" s="6">
        <v>30904.0</v>
      </c>
      <c r="B142" s="7" t="s">
        <v>193</v>
      </c>
      <c r="C142" s="83">
        <v>56.0</v>
      </c>
      <c r="D142" s="83">
        <v>47.0</v>
      </c>
    </row>
    <row r="143" ht="15.75" customHeight="1">
      <c r="A143" s="6">
        <v>30905.0</v>
      </c>
      <c r="B143" s="7" t="s">
        <v>194</v>
      </c>
      <c r="C143" s="83">
        <v>24.0</v>
      </c>
      <c r="D143" s="83">
        <v>34.0</v>
      </c>
    </row>
    <row r="144" ht="15.75" customHeight="1">
      <c r="A144" s="6">
        <v>31001.0</v>
      </c>
      <c r="B144" s="7" t="s">
        <v>196</v>
      </c>
      <c r="C144" s="83">
        <v>195.0</v>
      </c>
      <c r="D144" s="83">
        <v>185.0</v>
      </c>
    </row>
    <row r="145" ht="15.75" customHeight="1">
      <c r="A145" s="6">
        <v>31002.0</v>
      </c>
      <c r="B145" s="7" t="s">
        <v>197</v>
      </c>
      <c r="C145" s="83">
        <v>43.0</v>
      </c>
      <c r="D145" s="83">
        <v>44.0</v>
      </c>
    </row>
    <row r="146" ht="15.75" customHeight="1">
      <c r="A146" s="6">
        <v>31003.0</v>
      </c>
      <c r="B146" s="7" t="s">
        <v>198</v>
      </c>
      <c r="C146" s="83">
        <v>202.0</v>
      </c>
      <c r="D146" s="83">
        <v>187.0</v>
      </c>
    </row>
    <row r="147" ht="15.75" customHeight="1">
      <c r="A147" s="6">
        <v>31101.0</v>
      </c>
      <c r="B147" s="7" t="s">
        <v>199</v>
      </c>
      <c r="C147" s="83">
        <v>53.0</v>
      </c>
      <c r="D147" s="83">
        <v>35.0</v>
      </c>
    </row>
    <row r="148" ht="15.75" customHeight="1">
      <c r="A148" s="6">
        <v>31201.0</v>
      </c>
      <c r="B148" s="7" t="s">
        <v>201</v>
      </c>
      <c r="C148" s="83">
        <v>34.0</v>
      </c>
      <c r="D148" s="83">
        <v>20.0</v>
      </c>
    </row>
    <row r="149" ht="15.75" customHeight="1">
      <c r="A149" s="6">
        <v>31202.0</v>
      </c>
      <c r="B149" s="7" t="s">
        <v>202</v>
      </c>
      <c r="C149" s="83">
        <v>16.0</v>
      </c>
      <c r="D149" s="83">
        <v>17.0</v>
      </c>
    </row>
    <row r="150" ht="15.75" customHeight="1">
      <c r="A150" s="6">
        <v>31203.0</v>
      </c>
      <c r="B150" s="7" t="s">
        <v>203</v>
      </c>
      <c r="C150" s="83">
        <v>17.0</v>
      </c>
      <c r="D150" s="83">
        <v>15.0</v>
      </c>
    </row>
    <row r="151" ht="15.75" customHeight="1">
      <c r="A151" s="6">
        <v>31204.0</v>
      </c>
      <c r="B151" s="7" t="s">
        <v>204</v>
      </c>
      <c r="C151" s="83">
        <v>43.0</v>
      </c>
      <c r="D151" s="83">
        <v>54.0</v>
      </c>
    </row>
    <row r="152" ht="15.75" customHeight="1">
      <c r="A152" s="6">
        <v>31205.0</v>
      </c>
      <c r="B152" s="7" t="s">
        <v>205</v>
      </c>
      <c r="C152" s="83">
        <v>104.0</v>
      </c>
      <c r="D152" s="83">
        <v>72.0</v>
      </c>
    </row>
    <row r="153" ht="15.75" customHeight="1">
      <c r="A153" s="6">
        <v>31206.0</v>
      </c>
      <c r="B153" s="7" t="s">
        <v>206</v>
      </c>
      <c r="C153" s="83">
        <v>80.0</v>
      </c>
      <c r="D153" s="83">
        <v>65.0</v>
      </c>
    </row>
    <row r="154" ht="15.75" customHeight="1">
      <c r="A154" s="6">
        <v>31301.0</v>
      </c>
      <c r="B154" s="7" t="s">
        <v>207</v>
      </c>
      <c r="C154" s="83">
        <v>34.0</v>
      </c>
      <c r="D154" s="83">
        <v>18.0</v>
      </c>
    </row>
    <row r="155" ht="15.75" customHeight="1">
      <c r="A155" s="6">
        <v>31302.0</v>
      </c>
      <c r="B155" s="7" t="s">
        <v>208</v>
      </c>
      <c r="C155" s="83">
        <v>10.0</v>
      </c>
      <c r="D155" s="83">
        <v>9.0</v>
      </c>
    </row>
    <row r="156" ht="15.75" customHeight="1">
      <c r="A156" s="6">
        <v>31303.0</v>
      </c>
      <c r="B156" s="7" t="s">
        <v>209</v>
      </c>
      <c r="C156" s="83">
        <v>3.0</v>
      </c>
      <c r="D156" s="83">
        <v>9.0</v>
      </c>
    </row>
    <row r="157" ht="15.75" customHeight="1">
      <c r="A157" s="25">
        <v>31304.0</v>
      </c>
      <c r="B157" s="7" t="s">
        <v>210</v>
      </c>
      <c r="C157" s="83">
        <v>34.0</v>
      </c>
      <c r="D157" s="83">
        <v>13.0</v>
      </c>
    </row>
    <row r="158" ht="15.75" customHeight="1">
      <c r="A158" s="6">
        <v>31401.0</v>
      </c>
      <c r="B158" s="7" t="s">
        <v>211</v>
      </c>
      <c r="C158" s="83">
        <v>23.0</v>
      </c>
      <c r="D158" s="83">
        <v>23.0</v>
      </c>
    </row>
    <row r="159" ht="15.75" customHeight="1">
      <c r="A159" s="6">
        <v>31402.0</v>
      </c>
      <c r="B159" s="7" t="s">
        <v>212</v>
      </c>
      <c r="C159" s="83">
        <v>7.0</v>
      </c>
      <c r="D159" s="83">
        <v>10.0</v>
      </c>
    </row>
    <row r="160" ht="15.75" customHeight="1">
      <c r="A160" s="6">
        <v>31403.0</v>
      </c>
      <c r="B160" s="7" t="s">
        <v>213</v>
      </c>
      <c r="C160" s="83">
        <v>25.0</v>
      </c>
      <c r="D160" s="83">
        <v>20.0</v>
      </c>
    </row>
    <row r="161" ht="15.75" customHeight="1">
      <c r="A161" s="6">
        <v>31404.0</v>
      </c>
      <c r="B161" s="7" t="s">
        <v>214</v>
      </c>
      <c r="C161" s="83">
        <v>2.0</v>
      </c>
      <c r="D161" s="83">
        <v>2.0</v>
      </c>
    </row>
    <row r="162" ht="15.75" customHeight="1">
      <c r="A162" s="6">
        <v>31405.0</v>
      </c>
      <c r="B162" s="7" t="s">
        <v>215</v>
      </c>
      <c r="C162" s="83">
        <v>2.0</v>
      </c>
      <c r="D162" s="83">
        <v>0.0</v>
      </c>
    </row>
    <row r="163" ht="15.75" customHeight="1">
      <c r="A163" s="6">
        <v>31501.0</v>
      </c>
      <c r="B163" s="7" t="s">
        <v>216</v>
      </c>
      <c r="C163" s="83">
        <v>31.0</v>
      </c>
      <c r="D163" s="83">
        <v>14.0</v>
      </c>
    </row>
    <row r="164" ht="15.75" customHeight="1">
      <c r="A164" s="6">
        <v>31601.0</v>
      </c>
      <c r="B164" s="7" t="s">
        <v>217</v>
      </c>
      <c r="C164" s="83">
        <v>41.0</v>
      </c>
      <c r="D164" s="83">
        <v>33.0</v>
      </c>
    </row>
    <row r="165" ht="15.75" customHeight="1">
      <c r="A165" s="6">
        <v>31602.0</v>
      </c>
      <c r="B165" s="7" t="s">
        <v>218</v>
      </c>
      <c r="C165" s="83">
        <v>29.0</v>
      </c>
      <c r="D165" s="83">
        <v>24.0</v>
      </c>
    </row>
    <row r="166" ht="15.75" customHeight="1">
      <c r="A166" s="6">
        <v>40101.0</v>
      </c>
      <c r="B166" s="7" t="s">
        <v>20</v>
      </c>
      <c r="C166" s="83">
        <v>187.0</v>
      </c>
      <c r="D166" s="83">
        <v>312.0</v>
      </c>
    </row>
    <row r="167" ht="15.75" customHeight="1">
      <c r="A167" s="6">
        <v>40102.0</v>
      </c>
      <c r="B167" s="7" t="s">
        <v>219</v>
      </c>
      <c r="C167" s="83">
        <v>38.0</v>
      </c>
      <c r="D167" s="83">
        <v>36.0</v>
      </c>
    </row>
    <row r="168" ht="15.75" customHeight="1">
      <c r="A168" s="6">
        <v>40103.0</v>
      </c>
      <c r="B168" s="7" t="s">
        <v>220</v>
      </c>
      <c r="C168" s="83">
        <v>10.0</v>
      </c>
      <c r="D168" s="83">
        <v>3.0</v>
      </c>
    </row>
    <row r="169" ht="15.75" customHeight="1">
      <c r="A169" s="6">
        <v>40104.0</v>
      </c>
      <c r="B169" s="7" t="s">
        <v>221</v>
      </c>
      <c r="C169" s="83">
        <v>25.0</v>
      </c>
      <c r="D169" s="83">
        <v>32.0</v>
      </c>
    </row>
    <row r="170" ht="15.75" customHeight="1">
      <c r="A170" s="6">
        <v>40201.0</v>
      </c>
      <c r="B170" s="7" t="s">
        <v>223</v>
      </c>
      <c r="C170" s="83">
        <v>78.0</v>
      </c>
      <c r="D170" s="83">
        <v>39.0</v>
      </c>
    </row>
    <row r="171" ht="15.75" customHeight="1">
      <c r="A171" s="6">
        <v>40202.0</v>
      </c>
      <c r="B171" s="7" t="s">
        <v>224</v>
      </c>
      <c r="C171" s="83">
        <v>11.0</v>
      </c>
      <c r="D171" s="83">
        <v>15.0</v>
      </c>
    </row>
    <row r="172" ht="15.75" customHeight="1">
      <c r="A172" s="6">
        <v>40301.0</v>
      </c>
      <c r="B172" s="7" t="s">
        <v>226</v>
      </c>
      <c r="C172" s="83">
        <v>4.0</v>
      </c>
      <c r="D172" s="83">
        <v>14.0</v>
      </c>
    </row>
    <row r="173" ht="15.75" customHeight="1">
      <c r="A173" s="6">
        <v>40302.0</v>
      </c>
      <c r="B173" s="7" t="s">
        <v>227</v>
      </c>
      <c r="C173" s="83">
        <v>3.0</v>
      </c>
      <c r="D173" s="83">
        <v>2.0</v>
      </c>
    </row>
    <row r="174" ht="15.75" customHeight="1">
      <c r="A174" s="6">
        <v>40401.0</v>
      </c>
      <c r="B174" s="7" t="s">
        <v>229</v>
      </c>
      <c r="C174" s="83">
        <v>10.0</v>
      </c>
      <c r="D174" s="83">
        <v>14.0</v>
      </c>
    </row>
    <row r="175" ht="15.75" customHeight="1">
      <c r="A175" s="6">
        <v>40402.0</v>
      </c>
      <c r="B175" s="7" t="s">
        <v>230</v>
      </c>
      <c r="C175" s="83">
        <v>8.0</v>
      </c>
      <c r="D175" s="83">
        <v>1.0</v>
      </c>
    </row>
    <row r="176" ht="15.75" customHeight="1">
      <c r="A176" s="6">
        <v>40501.0</v>
      </c>
      <c r="B176" s="7" t="s">
        <v>232</v>
      </c>
      <c r="C176" s="83">
        <v>1.0</v>
      </c>
      <c r="D176" s="83">
        <v>1.0</v>
      </c>
    </row>
    <row r="177" ht="15.75" customHeight="1">
      <c r="A177" s="6">
        <v>40502.0</v>
      </c>
      <c r="B177" s="7" t="s">
        <v>233</v>
      </c>
      <c r="C177" s="83">
        <v>5.0</v>
      </c>
      <c r="D177" s="83">
        <v>1.0</v>
      </c>
    </row>
    <row r="178" ht="15.75" customHeight="1">
      <c r="A178" s="6">
        <v>40503.0</v>
      </c>
      <c r="B178" s="7" t="s">
        <v>234</v>
      </c>
      <c r="C178" s="83">
        <v>2.0</v>
      </c>
      <c r="D178" s="83">
        <v>1.0</v>
      </c>
    </row>
    <row r="179" ht="15.75" customHeight="1">
      <c r="A179" s="6">
        <v>40504.0</v>
      </c>
      <c r="B179" s="7" t="s">
        <v>235</v>
      </c>
      <c r="C179" s="83">
        <v>0.0</v>
      </c>
      <c r="D179" s="83">
        <v>0.0</v>
      </c>
    </row>
    <row r="180" ht="15.75" customHeight="1">
      <c r="A180" s="6">
        <v>40505.0</v>
      </c>
      <c r="B180" s="7" t="s">
        <v>236</v>
      </c>
      <c r="C180" s="83">
        <v>3.0</v>
      </c>
      <c r="D180" s="83">
        <v>3.0</v>
      </c>
    </row>
    <row r="181" ht="15.75" customHeight="1">
      <c r="A181" s="6">
        <v>40601.0</v>
      </c>
      <c r="B181" s="7" t="s">
        <v>237</v>
      </c>
      <c r="C181" s="83">
        <v>17.0</v>
      </c>
      <c r="D181" s="83">
        <v>9.0</v>
      </c>
    </row>
    <row r="182" ht="15.75" customHeight="1">
      <c r="A182" s="6">
        <v>40602.0</v>
      </c>
      <c r="B182" s="7" t="s">
        <v>238</v>
      </c>
      <c r="C182" s="83">
        <v>6.0</v>
      </c>
      <c r="D182" s="83">
        <v>3.0</v>
      </c>
    </row>
    <row r="183" ht="15.75" customHeight="1">
      <c r="A183" s="6">
        <v>40603.0</v>
      </c>
      <c r="B183" s="7" t="s">
        <v>239</v>
      </c>
      <c r="C183" s="83">
        <v>1.0</v>
      </c>
      <c r="D183" s="83">
        <v>2.0</v>
      </c>
    </row>
    <row r="184" ht="15.75" customHeight="1">
      <c r="A184" s="6">
        <v>40701.0</v>
      </c>
      <c r="B184" s="7" t="s">
        <v>241</v>
      </c>
      <c r="C184" s="83">
        <v>38.0</v>
      </c>
      <c r="D184" s="83">
        <v>37.0</v>
      </c>
    </row>
    <row r="185" ht="15.75" customHeight="1">
      <c r="A185" s="6">
        <v>40702.0</v>
      </c>
      <c r="B185" s="7" t="s">
        <v>242</v>
      </c>
      <c r="C185" s="83">
        <v>4.0</v>
      </c>
      <c r="D185" s="83">
        <v>6.0</v>
      </c>
    </row>
    <row r="186" ht="15.75" customHeight="1">
      <c r="A186" s="6">
        <v>40801.0</v>
      </c>
      <c r="B186" s="7" t="s">
        <v>244</v>
      </c>
      <c r="C186" s="83">
        <v>16.0</v>
      </c>
      <c r="D186" s="83">
        <v>9.0</v>
      </c>
    </row>
    <row r="187" ht="15.75" customHeight="1">
      <c r="A187" s="6">
        <v>40802.0</v>
      </c>
      <c r="B187" s="7" t="s">
        <v>245</v>
      </c>
      <c r="C187" s="83">
        <v>3.0</v>
      </c>
      <c r="D187" s="83">
        <v>3.0</v>
      </c>
    </row>
    <row r="188" ht="15.75" customHeight="1">
      <c r="A188" s="6">
        <v>40901.0</v>
      </c>
      <c r="B188" s="7" t="s">
        <v>246</v>
      </c>
      <c r="C188" s="83">
        <v>6.0</v>
      </c>
      <c r="D188" s="83">
        <v>9.0</v>
      </c>
    </row>
    <row r="189" ht="15.75" customHeight="1">
      <c r="A189" s="6">
        <v>40902.0</v>
      </c>
      <c r="B189" s="7" t="s">
        <v>247</v>
      </c>
      <c r="C189" s="83">
        <v>0.0</v>
      </c>
      <c r="D189" s="83">
        <v>0.0</v>
      </c>
    </row>
    <row r="190" ht="15.75" customHeight="1">
      <c r="A190" s="6">
        <v>40903.0</v>
      </c>
      <c r="B190" s="7" t="s">
        <v>248</v>
      </c>
      <c r="C190" s="83">
        <v>4.0</v>
      </c>
      <c r="D190" s="83">
        <v>1.0</v>
      </c>
    </row>
    <row r="191" ht="15.75" customHeight="1">
      <c r="A191" s="6">
        <v>41001.0</v>
      </c>
      <c r="B191" s="7" t="s">
        <v>250</v>
      </c>
      <c r="C191" s="83">
        <v>9.0</v>
      </c>
      <c r="D191" s="83">
        <v>8.0</v>
      </c>
    </row>
    <row r="192" ht="15.75" customHeight="1">
      <c r="A192" s="6">
        <v>41101.0</v>
      </c>
      <c r="B192" s="7" t="s">
        <v>252</v>
      </c>
      <c r="C192" s="83">
        <v>13.0</v>
      </c>
      <c r="D192" s="83">
        <v>13.0</v>
      </c>
    </row>
    <row r="193" ht="15.75" customHeight="1">
      <c r="A193" s="6">
        <v>41201.0</v>
      </c>
      <c r="B193" s="7" t="s">
        <v>254</v>
      </c>
      <c r="C193" s="83">
        <v>5.0</v>
      </c>
      <c r="D193" s="83">
        <v>4.0</v>
      </c>
    </row>
    <row r="194" ht="15.75" customHeight="1">
      <c r="A194" s="6">
        <v>41202.0</v>
      </c>
      <c r="B194" s="7" t="s">
        <v>255</v>
      </c>
      <c r="C194" s="83">
        <v>1.0</v>
      </c>
      <c r="D194" s="83">
        <v>0.0</v>
      </c>
    </row>
    <row r="195" ht="15.75" customHeight="1">
      <c r="A195" s="6">
        <v>41301.0</v>
      </c>
      <c r="B195" s="7" t="s">
        <v>256</v>
      </c>
      <c r="C195" s="83">
        <v>3.0</v>
      </c>
      <c r="D195" s="83">
        <v>13.0</v>
      </c>
    </row>
    <row r="196" ht="15.75" customHeight="1">
      <c r="A196" s="6">
        <v>41401.0</v>
      </c>
      <c r="B196" s="7" t="s">
        <v>258</v>
      </c>
      <c r="C196" s="83">
        <v>20.0</v>
      </c>
      <c r="D196" s="83">
        <v>6.0</v>
      </c>
    </row>
    <row r="197" ht="15.75" customHeight="1">
      <c r="A197" s="6">
        <v>41501.0</v>
      </c>
      <c r="B197" s="7" t="s">
        <v>260</v>
      </c>
      <c r="C197" s="83">
        <v>1.0</v>
      </c>
      <c r="D197" s="83">
        <v>0.0</v>
      </c>
    </row>
    <row r="198" ht="15.75" customHeight="1">
      <c r="A198" s="6">
        <v>41502.0</v>
      </c>
      <c r="B198" s="7" t="s">
        <v>261</v>
      </c>
      <c r="C198" s="83">
        <v>0.0</v>
      </c>
      <c r="D198" s="83">
        <v>0.0</v>
      </c>
    </row>
    <row r="199" ht="15.75" customHeight="1">
      <c r="A199" s="6">
        <v>41503.0</v>
      </c>
      <c r="B199" s="7" t="s">
        <v>225</v>
      </c>
      <c r="C199" s="83">
        <v>0.0</v>
      </c>
      <c r="D199" s="83">
        <v>0.0</v>
      </c>
    </row>
    <row r="200" ht="15.75" customHeight="1">
      <c r="A200" s="6">
        <v>41601.0</v>
      </c>
      <c r="B200" s="7" t="s">
        <v>263</v>
      </c>
      <c r="C200" s="83">
        <v>7.0</v>
      </c>
      <c r="D200" s="83">
        <v>5.0</v>
      </c>
    </row>
    <row r="201" ht="15.75" customHeight="1">
      <c r="A201" s="6">
        <v>50101.0</v>
      </c>
      <c r="B201" s="7" t="s">
        <v>264</v>
      </c>
      <c r="C201" s="83">
        <v>275.0</v>
      </c>
      <c r="D201" s="83">
        <v>297.0</v>
      </c>
    </row>
    <row r="202" ht="15.75" customHeight="1">
      <c r="A202" s="6">
        <v>50102.0</v>
      </c>
      <c r="B202" s="7" t="s">
        <v>266</v>
      </c>
      <c r="C202" s="83">
        <v>111.0</v>
      </c>
      <c r="D202" s="83">
        <v>84.0</v>
      </c>
    </row>
    <row r="203" ht="15.75" customHeight="1">
      <c r="A203" s="6">
        <v>50103.0</v>
      </c>
      <c r="B203" s="7" t="s">
        <v>267</v>
      </c>
      <c r="C203" s="83">
        <v>11.0</v>
      </c>
      <c r="D203" s="83">
        <v>18.0</v>
      </c>
    </row>
    <row r="204" ht="15.75" customHeight="1">
      <c r="A204" s="6">
        <v>50104.0</v>
      </c>
      <c r="B204" s="7" t="s">
        <v>268</v>
      </c>
      <c r="C204" s="83">
        <v>3.0</v>
      </c>
      <c r="D204" s="83">
        <v>2.0</v>
      </c>
    </row>
    <row r="205" ht="15.75" customHeight="1">
      <c r="A205" s="6">
        <v>50201.0</v>
      </c>
      <c r="B205" s="7" t="s">
        <v>270</v>
      </c>
      <c r="C205" s="83">
        <v>72.0</v>
      </c>
      <c r="D205" s="83">
        <v>40.0</v>
      </c>
    </row>
    <row r="206" ht="15.75" customHeight="1">
      <c r="A206" s="6">
        <v>50202.0</v>
      </c>
      <c r="B206" s="7" t="s">
        <v>271</v>
      </c>
      <c r="C206" s="83">
        <v>45.0</v>
      </c>
      <c r="D206" s="83">
        <v>13.0</v>
      </c>
    </row>
    <row r="207" ht="15.75" customHeight="1">
      <c r="A207" s="6">
        <v>50203.0</v>
      </c>
      <c r="B207" s="7" t="s">
        <v>272</v>
      </c>
      <c r="C207" s="83">
        <v>76.0</v>
      </c>
      <c r="D207" s="83">
        <v>53.0</v>
      </c>
    </row>
    <row r="208" ht="15.75" customHeight="1">
      <c r="A208" s="6">
        <v>50204.0</v>
      </c>
      <c r="B208" s="7" t="s">
        <v>273</v>
      </c>
      <c r="C208" s="83">
        <v>46.0</v>
      </c>
      <c r="D208" s="83">
        <v>19.0</v>
      </c>
    </row>
    <row r="209" ht="15.75" customHeight="1">
      <c r="A209" s="6">
        <v>50301.0</v>
      </c>
      <c r="B209" s="7" t="s">
        <v>275</v>
      </c>
      <c r="C209" s="83">
        <v>71.0</v>
      </c>
      <c r="D209" s="83">
        <v>53.0</v>
      </c>
    </row>
    <row r="210" ht="15.75" customHeight="1">
      <c r="A210" s="6">
        <v>50302.0</v>
      </c>
      <c r="B210" s="7" t="s">
        <v>276</v>
      </c>
      <c r="C210" s="83">
        <v>24.0</v>
      </c>
      <c r="D210" s="83">
        <v>36.0</v>
      </c>
    </row>
    <row r="211" ht="15.75" customHeight="1">
      <c r="A211" s="6">
        <v>50303.0</v>
      </c>
      <c r="B211" s="7" t="s">
        <v>277</v>
      </c>
      <c r="C211" s="83">
        <v>35.0</v>
      </c>
      <c r="D211" s="83">
        <v>22.0</v>
      </c>
    </row>
    <row r="212" ht="15.75" customHeight="1">
      <c r="A212" s="6">
        <v>50401.0</v>
      </c>
      <c r="B212" s="7" t="s">
        <v>278</v>
      </c>
      <c r="C212" s="83">
        <v>178.0</v>
      </c>
      <c r="D212" s="83">
        <v>54.0</v>
      </c>
    </row>
    <row r="213" ht="15.75" customHeight="1">
      <c r="A213" s="6">
        <v>50402.0</v>
      </c>
      <c r="B213" s="7" t="s">
        <v>279</v>
      </c>
      <c r="C213" s="83">
        <v>42.0</v>
      </c>
      <c r="D213" s="83">
        <v>25.0</v>
      </c>
    </row>
    <row r="214" ht="15.75" customHeight="1">
      <c r="A214" s="6">
        <v>50403.0</v>
      </c>
      <c r="B214" s="7" t="s">
        <v>280</v>
      </c>
      <c r="C214" s="83">
        <v>89.0</v>
      </c>
      <c r="D214" s="83">
        <v>88.0</v>
      </c>
    </row>
    <row r="215" ht="15.75" customHeight="1">
      <c r="A215" s="6">
        <v>50404.0</v>
      </c>
      <c r="B215" s="7" t="s">
        <v>281</v>
      </c>
      <c r="C215" s="83">
        <v>71.0</v>
      </c>
      <c r="D215" s="83">
        <v>36.0</v>
      </c>
    </row>
    <row r="216" ht="15.75" customHeight="1">
      <c r="A216" s="6">
        <v>50405.0</v>
      </c>
      <c r="B216" s="82" t="s">
        <v>282</v>
      </c>
      <c r="C216" s="83">
        <v>178.0</v>
      </c>
      <c r="D216" s="83">
        <v>54.0</v>
      </c>
    </row>
    <row r="217" ht="15.75" customHeight="1">
      <c r="A217" s="6">
        <v>50501.0</v>
      </c>
      <c r="B217" s="7" t="s">
        <v>284</v>
      </c>
      <c r="C217" s="83">
        <v>128.0</v>
      </c>
      <c r="D217" s="83">
        <v>70.0</v>
      </c>
    </row>
    <row r="218" ht="15.75" customHeight="1">
      <c r="A218" s="6">
        <v>50502.0</v>
      </c>
      <c r="B218" s="7" t="s">
        <v>285</v>
      </c>
      <c r="C218" s="83">
        <v>31.0</v>
      </c>
      <c r="D218" s="83">
        <v>27.0</v>
      </c>
    </row>
    <row r="219" ht="15.75" customHeight="1">
      <c r="A219" s="6">
        <v>50601.0</v>
      </c>
      <c r="B219" s="7" t="s">
        <v>287</v>
      </c>
      <c r="C219" s="83">
        <v>21.0</v>
      </c>
      <c r="D219" s="83">
        <v>37.0</v>
      </c>
    </row>
    <row r="220" ht="15.75" customHeight="1">
      <c r="A220" s="6">
        <v>50602.0</v>
      </c>
      <c r="B220" s="7" t="s">
        <v>288</v>
      </c>
      <c r="C220" s="83">
        <v>8.0</v>
      </c>
      <c r="D220" s="83">
        <v>10.0</v>
      </c>
    </row>
    <row r="221" ht="15.75" customHeight="1">
      <c r="A221" s="6">
        <v>50701.0</v>
      </c>
      <c r="B221" s="7" t="s">
        <v>290</v>
      </c>
      <c r="C221" s="83">
        <v>39.0</v>
      </c>
      <c r="D221" s="83">
        <v>41.0</v>
      </c>
    </row>
    <row r="222" ht="15.75" customHeight="1">
      <c r="A222" s="6">
        <v>50702.0</v>
      </c>
      <c r="B222" s="7" t="s">
        <v>291</v>
      </c>
      <c r="C222" s="83">
        <v>21.0</v>
      </c>
      <c r="D222" s="83">
        <v>14.0</v>
      </c>
    </row>
    <row r="223" ht="15.75" customHeight="1">
      <c r="A223" s="6">
        <v>50801.0</v>
      </c>
      <c r="B223" s="7" t="s">
        <v>293</v>
      </c>
      <c r="C223" s="83">
        <v>28.0</v>
      </c>
      <c r="D223" s="83">
        <v>33.0</v>
      </c>
    </row>
    <row r="224" ht="15.75" customHeight="1">
      <c r="A224" s="6">
        <v>50802.0</v>
      </c>
      <c r="B224" s="7" t="s">
        <v>294</v>
      </c>
      <c r="C224" s="83">
        <v>3.0</v>
      </c>
      <c r="D224" s="83">
        <v>14.0</v>
      </c>
    </row>
    <row r="225" ht="15.75" customHeight="1">
      <c r="A225" s="6">
        <v>50901.0</v>
      </c>
      <c r="B225" s="7" t="s">
        <v>296</v>
      </c>
      <c r="C225" s="83">
        <v>7.0</v>
      </c>
      <c r="D225" s="83">
        <v>11.0</v>
      </c>
    </row>
    <row r="226" ht="15.75" customHeight="1">
      <c r="A226" s="6">
        <v>50902.0</v>
      </c>
      <c r="B226" s="7" t="s">
        <v>297</v>
      </c>
      <c r="C226" s="83">
        <v>1.0</v>
      </c>
      <c r="D226" s="83">
        <v>1.0</v>
      </c>
    </row>
    <row r="227" ht="15.75" customHeight="1">
      <c r="A227" s="6">
        <v>51001.0</v>
      </c>
      <c r="B227" s="7" t="s">
        <v>299</v>
      </c>
      <c r="C227" s="83">
        <v>4.0</v>
      </c>
      <c r="D227" s="83">
        <v>8.0</v>
      </c>
    </row>
    <row r="228" ht="15.75" customHeight="1">
      <c r="A228" s="6">
        <v>51002.0</v>
      </c>
      <c r="B228" s="7" t="s">
        <v>300</v>
      </c>
      <c r="C228" s="83">
        <v>0.0</v>
      </c>
      <c r="D228" s="83">
        <v>0.0</v>
      </c>
    </row>
    <row r="229" ht="15.75" customHeight="1">
      <c r="A229" s="6">
        <v>51003.0</v>
      </c>
      <c r="B229" s="7" t="s">
        <v>301</v>
      </c>
      <c r="C229" s="83">
        <v>0.0</v>
      </c>
      <c r="D229" s="83">
        <v>1.0</v>
      </c>
    </row>
    <row r="230" ht="15.75" customHeight="1">
      <c r="A230" s="6">
        <v>51101.0</v>
      </c>
      <c r="B230" s="7" t="s">
        <v>303</v>
      </c>
      <c r="C230" s="83">
        <v>18.0</v>
      </c>
      <c r="D230" s="83">
        <v>11.0</v>
      </c>
    </row>
    <row r="231" ht="15.75" customHeight="1">
      <c r="A231" s="6">
        <v>51102.0</v>
      </c>
      <c r="B231" s="7" t="s">
        <v>304</v>
      </c>
      <c r="C231" s="83">
        <v>7.0</v>
      </c>
      <c r="D231" s="83">
        <v>33.0</v>
      </c>
    </row>
    <row r="232" ht="15.75" customHeight="1">
      <c r="A232" s="6">
        <v>51103.0</v>
      </c>
      <c r="B232" s="7" t="s">
        <v>305</v>
      </c>
      <c r="C232" s="83">
        <v>44.0</v>
      </c>
      <c r="D232" s="83">
        <v>26.0</v>
      </c>
    </row>
    <row r="233" ht="15.75" customHeight="1">
      <c r="A233" s="6">
        <v>51201.0</v>
      </c>
      <c r="B233" s="7" t="s">
        <v>307</v>
      </c>
      <c r="C233" s="83">
        <v>21.0</v>
      </c>
      <c r="D233" s="83">
        <v>38.0</v>
      </c>
    </row>
    <row r="234" ht="15.75" customHeight="1">
      <c r="A234" s="6">
        <v>51202.0</v>
      </c>
      <c r="B234" s="7" t="s">
        <v>308</v>
      </c>
      <c r="C234" s="83">
        <v>17.0</v>
      </c>
      <c r="D234" s="83">
        <v>10.0</v>
      </c>
    </row>
    <row r="235" ht="15.75" customHeight="1">
      <c r="A235" s="6">
        <v>51203.0</v>
      </c>
      <c r="B235" s="7" t="s">
        <v>309</v>
      </c>
      <c r="C235" s="83">
        <v>10.0</v>
      </c>
      <c r="D235" s="83">
        <v>12.0</v>
      </c>
    </row>
    <row r="236" ht="15.75" customHeight="1">
      <c r="A236" s="6">
        <v>51204.0</v>
      </c>
      <c r="B236" s="82" t="s">
        <v>310</v>
      </c>
      <c r="C236" s="83">
        <v>17.0</v>
      </c>
      <c r="D236" s="83">
        <v>3.0</v>
      </c>
    </row>
    <row r="237" ht="15.75" customHeight="1">
      <c r="A237" s="6">
        <v>51301.0</v>
      </c>
      <c r="B237" s="7" t="s">
        <v>312</v>
      </c>
      <c r="C237" s="83">
        <v>4.0</v>
      </c>
      <c r="D237" s="83">
        <v>10.0</v>
      </c>
    </row>
    <row r="238" ht="15.75" customHeight="1">
      <c r="A238" s="6">
        <v>51302.0</v>
      </c>
      <c r="B238" s="7" t="s">
        <v>313</v>
      </c>
      <c r="C238" s="83">
        <v>7.0</v>
      </c>
      <c r="D238" s="83">
        <v>10.0</v>
      </c>
    </row>
    <row r="239" ht="15.75" customHeight="1">
      <c r="A239" s="6">
        <v>51401.0</v>
      </c>
      <c r="B239" s="7" t="s">
        <v>315</v>
      </c>
      <c r="C239" s="83">
        <v>8.0</v>
      </c>
      <c r="D239" s="83">
        <v>7.0</v>
      </c>
    </row>
    <row r="240" ht="15.75" customHeight="1">
      <c r="A240" s="6">
        <v>51402.0</v>
      </c>
      <c r="B240" s="7" t="s">
        <v>316</v>
      </c>
      <c r="C240" s="83">
        <v>2.0</v>
      </c>
      <c r="D240" s="83">
        <v>0.0</v>
      </c>
    </row>
    <row r="241" ht="15.75" customHeight="1">
      <c r="A241" s="6">
        <v>51501.0</v>
      </c>
      <c r="B241" s="7" t="s">
        <v>318</v>
      </c>
      <c r="C241" s="83">
        <v>35.0</v>
      </c>
      <c r="D241" s="83">
        <v>47.0</v>
      </c>
    </row>
    <row r="242" ht="15.75" customHeight="1">
      <c r="A242" s="6">
        <v>51601.0</v>
      </c>
      <c r="B242" s="7" t="s">
        <v>320</v>
      </c>
      <c r="C242" s="83">
        <v>0.0</v>
      </c>
      <c r="D242" s="83">
        <v>6.0</v>
      </c>
    </row>
    <row r="243" ht="15.75" customHeight="1">
      <c r="A243" s="6">
        <v>60101.0</v>
      </c>
      <c r="B243" s="7" t="s">
        <v>25</v>
      </c>
      <c r="C243" s="83">
        <v>76.0</v>
      </c>
      <c r="D243" s="83">
        <v>145.0</v>
      </c>
    </row>
    <row r="244" ht="15.75" customHeight="1">
      <c r="A244" s="6">
        <v>60201.0</v>
      </c>
      <c r="B244" s="7" t="s">
        <v>322</v>
      </c>
      <c r="C244" s="83">
        <v>9.0</v>
      </c>
      <c r="D244" s="83">
        <v>12.0</v>
      </c>
    </row>
    <row r="245" ht="15.75" customHeight="1">
      <c r="A245" s="6">
        <v>60202.0</v>
      </c>
      <c r="B245" s="7" t="s">
        <v>323</v>
      </c>
      <c r="C245" s="83">
        <v>22.0</v>
      </c>
      <c r="D245" s="83">
        <v>27.0</v>
      </c>
    </row>
    <row r="246" ht="15.75" customHeight="1">
      <c r="A246" s="6">
        <v>60301.0</v>
      </c>
      <c r="B246" s="7" t="s">
        <v>324</v>
      </c>
      <c r="C246" s="83">
        <v>67.0</v>
      </c>
      <c r="D246" s="83">
        <v>91.0</v>
      </c>
    </row>
    <row r="247" ht="15.75" customHeight="1">
      <c r="A247" s="6">
        <v>60302.0</v>
      </c>
      <c r="B247" s="7" t="s">
        <v>325</v>
      </c>
      <c r="C247" s="83">
        <v>6.0</v>
      </c>
      <c r="D247" s="83">
        <v>4.0</v>
      </c>
    </row>
    <row r="248" ht="15.75" customHeight="1">
      <c r="A248" s="6">
        <v>60303.0</v>
      </c>
      <c r="B248" s="7" t="s">
        <v>326</v>
      </c>
      <c r="C248" s="83">
        <v>41.0</v>
      </c>
      <c r="D248" s="83">
        <v>35.0</v>
      </c>
    </row>
    <row r="249" ht="15.75" customHeight="1">
      <c r="A249" s="6">
        <v>60401.0</v>
      </c>
      <c r="B249" s="7" t="s">
        <v>328</v>
      </c>
      <c r="C249" s="83">
        <v>5.0</v>
      </c>
      <c r="D249" s="83">
        <v>10.0</v>
      </c>
    </row>
    <row r="250" ht="15.75" customHeight="1">
      <c r="A250" s="6">
        <v>60402.0</v>
      </c>
      <c r="B250" s="7" t="s">
        <v>329</v>
      </c>
      <c r="C250" s="83">
        <v>10.0</v>
      </c>
      <c r="D250" s="83">
        <v>6.0</v>
      </c>
    </row>
    <row r="251" ht="15.75" customHeight="1">
      <c r="A251" s="6">
        <v>60501.0</v>
      </c>
      <c r="B251" s="7" t="s">
        <v>331</v>
      </c>
      <c r="C251" s="83">
        <v>14.0</v>
      </c>
      <c r="D251" s="83">
        <v>8.0</v>
      </c>
    </row>
    <row r="252" ht="15.75" customHeight="1">
      <c r="A252" s="6">
        <v>60502.0</v>
      </c>
      <c r="B252" s="7" t="s">
        <v>332</v>
      </c>
      <c r="C252" s="83">
        <v>9.0</v>
      </c>
      <c r="D252" s="83">
        <v>18.0</v>
      </c>
    </row>
    <row r="253" ht="15.75" customHeight="1">
      <c r="A253" s="6">
        <v>60601.0</v>
      </c>
      <c r="B253" s="7" t="s">
        <v>206</v>
      </c>
      <c r="C253" s="83">
        <v>11.0</v>
      </c>
      <c r="D253" s="83">
        <v>19.0</v>
      </c>
    </row>
    <row r="254" ht="15.75" customHeight="1">
      <c r="A254" s="6">
        <v>70101.0</v>
      </c>
      <c r="B254" s="7" t="s">
        <v>335</v>
      </c>
      <c r="C254" s="83">
        <v>1028.0</v>
      </c>
      <c r="D254" s="83">
        <v>963.0</v>
      </c>
    </row>
    <row r="255" ht="15.75" customHeight="1">
      <c r="A255" s="6">
        <v>70102.0</v>
      </c>
      <c r="B255" s="7" t="s">
        <v>336</v>
      </c>
      <c r="C255" s="83">
        <v>74.0</v>
      </c>
      <c r="D255" s="83">
        <v>97.0</v>
      </c>
    </row>
    <row r="256" ht="15.75" customHeight="1">
      <c r="A256" s="6">
        <v>70103.0</v>
      </c>
      <c r="B256" s="7" t="s">
        <v>337</v>
      </c>
      <c r="C256" s="83">
        <v>6.0</v>
      </c>
      <c r="D256" s="83">
        <v>10.0</v>
      </c>
    </row>
    <row r="257" ht="15.75" customHeight="1">
      <c r="A257" s="6">
        <v>70104.0</v>
      </c>
      <c r="B257" s="7" t="s">
        <v>338</v>
      </c>
      <c r="C257" s="83">
        <v>60.0</v>
      </c>
      <c r="D257" s="83">
        <v>79.0</v>
      </c>
    </row>
    <row r="258" ht="15.75" customHeight="1">
      <c r="A258" s="6">
        <v>70105.0</v>
      </c>
      <c r="B258" s="7" t="s">
        <v>339</v>
      </c>
      <c r="C258" s="83">
        <v>40.0</v>
      </c>
      <c r="D258" s="83">
        <v>47.0</v>
      </c>
    </row>
    <row r="259" ht="15.75" customHeight="1">
      <c r="A259" s="6">
        <v>70201.0</v>
      </c>
      <c r="B259" s="7" t="s">
        <v>340</v>
      </c>
      <c r="C259" s="83">
        <v>76.0</v>
      </c>
      <c r="D259" s="83">
        <v>111.0</v>
      </c>
    </row>
    <row r="260" ht="15.75" customHeight="1">
      <c r="A260" s="6">
        <v>70202.0</v>
      </c>
      <c r="B260" s="7" t="s">
        <v>341</v>
      </c>
      <c r="C260" s="83">
        <v>7.0</v>
      </c>
      <c r="D260" s="83">
        <v>10.0</v>
      </c>
    </row>
    <row r="261" ht="15.75" customHeight="1">
      <c r="A261" s="6">
        <v>70301.0</v>
      </c>
      <c r="B261" s="7" t="s">
        <v>343</v>
      </c>
      <c r="C261" s="83">
        <v>68.0</v>
      </c>
      <c r="D261" s="83">
        <v>58.0</v>
      </c>
    </row>
    <row r="262" ht="15.75" customHeight="1">
      <c r="A262" s="6">
        <v>70302.0</v>
      </c>
      <c r="B262" s="7" t="s">
        <v>344</v>
      </c>
      <c r="C262" s="83">
        <v>19.0</v>
      </c>
      <c r="D262" s="83">
        <v>20.0</v>
      </c>
    </row>
    <row r="263" ht="15.75" customHeight="1">
      <c r="A263" s="6">
        <v>70303.0</v>
      </c>
      <c r="B263" s="7" t="s">
        <v>345</v>
      </c>
      <c r="C263" s="83">
        <v>10.0</v>
      </c>
      <c r="D263" s="83">
        <v>4.0</v>
      </c>
    </row>
    <row r="264" ht="15.75" customHeight="1">
      <c r="A264" s="6">
        <v>70401.0</v>
      </c>
      <c r="B264" s="7" t="s">
        <v>347</v>
      </c>
      <c r="C264" s="83">
        <v>9.0</v>
      </c>
      <c r="D264" s="83">
        <v>6.0</v>
      </c>
    </row>
    <row r="265" ht="15.75" customHeight="1">
      <c r="A265" s="6">
        <v>70402.0</v>
      </c>
      <c r="B265" s="7" t="s">
        <v>348</v>
      </c>
      <c r="C265" s="83">
        <v>16.0</v>
      </c>
      <c r="D265" s="83">
        <v>25.0</v>
      </c>
    </row>
    <row r="266" ht="15.75" customHeight="1">
      <c r="A266" s="6">
        <v>70403.0</v>
      </c>
      <c r="B266" s="7" t="s">
        <v>349</v>
      </c>
      <c r="C266" s="83">
        <v>86.0</v>
      </c>
      <c r="D266" s="83">
        <v>110.0</v>
      </c>
    </row>
    <row r="267" ht="15.75" customHeight="1">
      <c r="A267" s="6">
        <v>70404.0</v>
      </c>
      <c r="B267" s="7" t="s">
        <v>350</v>
      </c>
      <c r="C267" s="83">
        <v>11.0</v>
      </c>
      <c r="D267" s="83">
        <v>19.0</v>
      </c>
    </row>
    <row r="268" ht="15.75" customHeight="1">
      <c r="A268" s="6">
        <v>70501.0</v>
      </c>
      <c r="B268" s="7" t="s">
        <v>352</v>
      </c>
      <c r="C268" s="83">
        <v>16.0</v>
      </c>
      <c r="D268" s="83">
        <v>53.0</v>
      </c>
    </row>
    <row r="269" ht="15.75" customHeight="1">
      <c r="A269" s="6">
        <v>70502.0</v>
      </c>
      <c r="B269" s="7" t="s">
        <v>353</v>
      </c>
      <c r="C269" s="83">
        <v>30.0</v>
      </c>
      <c r="D269" s="83">
        <v>57.0</v>
      </c>
    </row>
    <row r="270" ht="15.75" customHeight="1">
      <c r="A270" s="6">
        <v>70503.0</v>
      </c>
      <c r="B270" s="7" t="s">
        <v>354</v>
      </c>
      <c r="C270" s="83">
        <v>17.0</v>
      </c>
      <c r="D270" s="83">
        <v>21.0</v>
      </c>
    </row>
    <row r="271" ht="15.75" customHeight="1">
      <c r="A271" s="6">
        <v>70601.0</v>
      </c>
      <c r="B271" s="7" t="s">
        <v>356</v>
      </c>
      <c r="C271" s="83">
        <v>9.0</v>
      </c>
      <c r="D271" s="83">
        <v>6.0</v>
      </c>
    </row>
    <row r="272" ht="15.75" customHeight="1">
      <c r="A272" s="6">
        <v>70602.0</v>
      </c>
      <c r="B272" s="7" t="s">
        <v>357</v>
      </c>
      <c r="C272" s="83">
        <v>18.0</v>
      </c>
      <c r="D272" s="83">
        <v>19.0</v>
      </c>
    </row>
    <row r="273" ht="15.75" customHeight="1">
      <c r="A273" s="6">
        <v>70603.0</v>
      </c>
      <c r="B273" s="7" t="s">
        <v>358</v>
      </c>
      <c r="C273" s="83">
        <v>5.0</v>
      </c>
      <c r="D273" s="83">
        <v>0.0</v>
      </c>
    </row>
    <row r="274" ht="15.75" customHeight="1">
      <c r="A274" s="6">
        <v>70701.0</v>
      </c>
      <c r="B274" s="7" t="s">
        <v>360</v>
      </c>
      <c r="C274" s="83">
        <v>4.0</v>
      </c>
      <c r="D274" s="83">
        <v>3.0</v>
      </c>
    </row>
    <row r="275" ht="15.75" customHeight="1">
      <c r="A275" s="6">
        <v>70702.0</v>
      </c>
      <c r="B275" s="7" t="s">
        <v>361</v>
      </c>
      <c r="C275" s="83">
        <v>44.0</v>
      </c>
      <c r="D275" s="83">
        <v>65.0</v>
      </c>
    </row>
    <row r="276" ht="15.75" customHeight="1">
      <c r="A276" s="6">
        <v>70703.0</v>
      </c>
      <c r="B276" s="7" t="s">
        <v>362</v>
      </c>
      <c r="C276" s="83">
        <v>17.0</v>
      </c>
      <c r="D276" s="83">
        <v>37.0</v>
      </c>
    </row>
    <row r="277" ht="15.75" customHeight="1">
      <c r="A277" s="6">
        <v>70704.0</v>
      </c>
      <c r="B277" s="7" t="s">
        <v>363</v>
      </c>
      <c r="C277" s="83">
        <v>2.0</v>
      </c>
      <c r="D277" s="83">
        <v>4.0</v>
      </c>
    </row>
    <row r="278" ht="15.75" customHeight="1">
      <c r="A278" s="6">
        <v>70705.0</v>
      </c>
      <c r="B278" s="7" t="s">
        <v>364</v>
      </c>
      <c r="C278" s="83">
        <v>35.0</v>
      </c>
      <c r="D278" s="83">
        <v>15.0</v>
      </c>
    </row>
    <row r="279" ht="15.75" customHeight="1">
      <c r="A279" s="6">
        <v>70706.0</v>
      </c>
      <c r="B279" s="7" t="s">
        <v>365</v>
      </c>
      <c r="C279" s="83">
        <v>20.0</v>
      </c>
      <c r="D279" s="83">
        <v>20.0</v>
      </c>
    </row>
    <row r="280" ht="15.75" customHeight="1">
      <c r="A280" s="6">
        <v>70707.0</v>
      </c>
      <c r="B280" s="7" t="s">
        <v>366</v>
      </c>
      <c r="C280" s="83">
        <v>2.0</v>
      </c>
      <c r="D280" s="83">
        <v>4.0</v>
      </c>
    </row>
    <row r="281" ht="15.75" customHeight="1">
      <c r="A281" s="6">
        <v>70801.0</v>
      </c>
      <c r="B281" s="7" t="s">
        <v>367</v>
      </c>
      <c r="C281" s="83">
        <v>8.0</v>
      </c>
      <c r="D281" s="83">
        <v>6.0</v>
      </c>
    </row>
    <row r="282" ht="15.75" customHeight="1">
      <c r="A282" s="6">
        <v>70802.0</v>
      </c>
      <c r="B282" s="7" t="s">
        <v>368</v>
      </c>
      <c r="C282" s="83">
        <v>0.0</v>
      </c>
      <c r="D282" s="83">
        <v>0.0</v>
      </c>
    </row>
    <row r="283" ht="15.75" customHeight="1">
      <c r="A283" s="6">
        <v>70803.0</v>
      </c>
      <c r="B283" s="7" t="s">
        <v>369</v>
      </c>
      <c r="C283" s="83">
        <v>0.0</v>
      </c>
      <c r="D283" s="83">
        <v>1.0</v>
      </c>
    </row>
    <row r="284" ht="15.75" customHeight="1">
      <c r="A284" s="6">
        <v>70804.0</v>
      </c>
      <c r="B284" s="7" t="s">
        <v>370</v>
      </c>
      <c r="C284" s="83">
        <v>0.0</v>
      </c>
      <c r="D284" s="83">
        <v>0.0</v>
      </c>
    </row>
    <row r="285" ht="15.75" customHeight="1">
      <c r="A285" s="6">
        <v>70805.0</v>
      </c>
      <c r="B285" s="7" t="s">
        <v>371</v>
      </c>
      <c r="C285" s="83">
        <v>0.0</v>
      </c>
      <c r="D285" s="83">
        <v>2.0</v>
      </c>
    </row>
    <row r="286" ht="15.75" customHeight="1">
      <c r="A286" s="6">
        <v>70901.0</v>
      </c>
      <c r="B286" s="7" t="s">
        <v>373</v>
      </c>
      <c r="C286" s="83">
        <v>2.0</v>
      </c>
      <c r="D286" s="83">
        <v>12.0</v>
      </c>
    </row>
    <row r="287" ht="15.75" customHeight="1">
      <c r="A287" s="6">
        <v>70902.0</v>
      </c>
      <c r="B287" s="7" t="s">
        <v>374</v>
      </c>
      <c r="C287" s="83">
        <v>8.0</v>
      </c>
      <c r="D287" s="83">
        <v>11.0</v>
      </c>
    </row>
    <row r="288" ht="15.75" customHeight="1">
      <c r="A288" s="6">
        <v>70903.0</v>
      </c>
      <c r="B288" s="7" t="s">
        <v>375</v>
      </c>
      <c r="C288" s="83">
        <v>11.0</v>
      </c>
      <c r="D288" s="83">
        <v>12.0</v>
      </c>
    </row>
    <row r="289" ht="15.75" customHeight="1">
      <c r="A289" s="6">
        <v>70904.0</v>
      </c>
      <c r="B289" s="7" t="s">
        <v>376</v>
      </c>
      <c r="C289" s="83">
        <v>2.0</v>
      </c>
      <c r="D289" s="83">
        <v>5.0</v>
      </c>
    </row>
    <row r="290" ht="15.75" customHeight="1">
      <c r="A290" s="6">
        <v>71001.0</v>
      </c>
      <c r="B290" s="7" t="s">
        <v>378</v>
      </c>
      <c r="C290" s="83">
        <v>93.0</v>
      </c>
      <c r="D290" s="83">
        <v>127.0</v>
      </c>
    </row>
    <row r="291" ht="15.75" customHeight="1">
      <c r="A291" s="6">
        <v>71002.0</v>
      </c>
      <c r="B291" s="7" t="s">
        <v>379</v>
      </c>
      <c r="C291" s="83">
        <v>12.0</v>
      </c>
      <c r="D291" s="83">
        <v>13.0</v>
      </c>
    </row>
    <row r="292" ht="15.75" customHeight="1">
      <c r="A292" s="6">
        <v>71003.0</v>
      </c>
      <c r="B292" s="7" t="s">
        <v>380</v>
      </c>
      <c r="C292" s="83">
        <v>47.0</v>
      </c>
      <c r="D292" s="83">
        <v>26.0</v>
      </c>
    </row>
    <row r="293" ht="15.75" customHeight="1">
      <c r="A293" s="6">
        <v>71004.0</v>
      </c>
      <c r="B293" s="7" t="s">
        <v>381</v>
      </c>
      <c r="C293" s="83">
        <v>20.0</v>
      </c>
      <c r="D293" s="83">
        <v>20.0</v>
      </c>
    </row>
    <row r="294" ht="15.75" customHeight="1">
      <c r="A294" s="6">
        <v>71005.0</v>
      </c>
      <c r="B294" s="7" t="s">
        <v>382</v>
      </c>
      <c r="C294" s="83">
        <v>12.0</v>
      </c>
      <c r="D294" s="83">
        <v>1.0</v>
      </c>
    </row>
    <row r="295" ht="15.75" customHeight="1">
      <c r="A295" s="6">
        <v>71101.0</v>
      </c>
      <c r="B295" s="7" t="s">
        <v>384</v>
      </c>
      <c r="C295" s="83">
        <v>25.0</v>
      </c>
      <c r="D295" s="83">
        <v>49.0</v>
      </c>
    </row>
    <row r="296" ht="15.75" customHeight="1">
      <c r="A296" s="6">
        <v>71102.0</v>
      </c>
      <c r="B296" s="7" t="s">
        <v>385</v>
      </c>
      <c r="C296" s="83">
        <v>31.0</v>
      </c>
      <c r="D296" s="83">
        <v>41.0</v>
      </c>
    </row>
    <row r="297" ht="15.75" customHeight="1">
      <c r="A297" s="6">
        <v>71103.0</v>
      </c>
      <c r="B297" s="7" t="s">
        <v>386</v>
      </c>
      <c r="C297" s="83">
        <v>7.0</v>
      </c>
      <c r="D297" s="83">
        <v>57.0</v>
      </c>
    </row>
    <row r="298" ht="15.75" customHeight="1">
      <c r="A298" s="6">
        <v>71104.0</v>
      </c>
      <c r="B298" s="7" t="s">
        <v>387</v>
      </c>
      <c r="C298" s="83">
        <v>62.0</v>
      </c>
      <c r="D298" s="83">
        <v>1.0</v>
      </c>
    </row>
    <row r="299" ht="15.75" customHeight="1">
      <c r="A299" s="6">
        <v>71105.0</v>
      </c>
      <c r="B299" s="7" t="s">
        <v>388</v>
      </c>
      <c r="C299" s="83">
        <v>21.0</v>
      </c>
      <c r="D299" s="83">
        <v>3.0</v>
      </c>
    </row>
    <row r="300" ht="15.75" customHeight="1">
      <c r="A300" s="6">
        <v>71106.0</v>
      </c>
      <c r="B300" s="7" t="s">
        <v>389</v>
      </c>
      <c r="C300" s="83">
        <v>25.0</v>
      </c>
      <c r="D300" s="83">
        <v>23.0</v>
      </c>
    </row>
    <row r="301" ht="15.75" customHeight="1">
      <c r="A301" s="6">
        <v>71201.0</v>
      </c>
      <c r="B301" s="7" t="s">
        <v>391</v>
      </c>
      <c r="C301" s="83">
        <v>12.0</v>
      </c>
      <c r="D301" s="83">
        <v>16.0</v>
      </c>
    </row>
    <row r="302" ht="15.75" customHeight="1">
      <c r="A302" s="6">
        <v>71301.0</v>
      </c>
      <c r="B302" s="7" t="s">
        <v>393</v>
      </c>
      <c r="C302" s="83">
        <v>17.0</v>
      </c>
      <c r="D302" s="83">
        <v>27.0</v>
      </c>
    </row>
    <row r="303" ht="15.75" customHeight="1">
      <c r="A303" s="6">
        <v>71302.0</v>
      </c>
      <c r="B303" s="7" t="s">
        <v>394</v>
      </c>
      <c r="C303" s="83">
        <v>6.0</v>
      </c>
      <c r="D303" s="83">
        <v>4.0</v>
      </c>
    </row>
    <row r="304" ht="15.75" customHeight="1">
      <c r="A304" s="6">
        <v>71401.0</v>
      </c>
      <c r="B304" s="7" t="s">
        <v>396</v>
      </c>
      <c r="C304" s="83">
        <v>9.0</v>
      </c>
      <c r="D304" s="83">
        <v>14.0</v>
      </c>
    </row>
    <row r="305" ht="15.75" customHeight="1">
      <c r="A305" s="6">
        <v>71402.0</v>
      </c>
      <c r="B305" s="7" t="s">
        <v>397</v>
      </c>
      <c r="C305" s="83">
        <v>17.0</v>
      </c>
      <c r="D305" s="83">
        <v>12.0</v>
      </c>
    </row>
    <row r="306" ht="15.75" customHeight="1">
      <c r="A306" s="6">
        <v>71403.0</v>
      </c>
      <c r="B306" s="7" t="s">
        <v>398</v>
      </c>
      <c r="C306" s="83">
        <v>6.0</v>
      </c>
      <c r="D306" s="83">
        <v>12.0</v>
      </c>
    </row>
    <row r="307" ht="15.75" customHeight="1">
      <c r="A307" s="6">
        <v>71501.0</v>
      </c>
      <c r="B307" s="7" t="s">
        <v>400</v>
      </c>
      <c r="C307" s="83">
        <v>27.0</v>
      </c>
      <c r="D307" s="83">
        <v>68.0</v>
      </c>
    </row>
    <row r="308" ht="15.75" customHeight="1">
      <c r="A308" s="6">
        <v>71502.0</v>
      </c>
      <c r="B308" s="7" t="s">
        <v>401</v>
      </c>
      <c r="C308" s="83">
        <v>10.0</v>
      </c>
      <c r="D308" s="83">
        <v>25.0</v>
      </c>
    </row>
    <row r="309" ht="15.75" customHeight="1">
      <c r="A309" s="6">
        <v>71503.0</v>
      </c>
      <c r="B309" s="7" t="s">
        <v>332</v>
      </c>
      <c r="C309" s="83">
        <v>16.0</v>
      </c>
      <c r="D309" s="83">
        <v>26.0</v>
      </c>
    </row>
    <row r="310" ht="15.75" customHeight="1">
      <c r="A310" s="6">
        <v>80101.0</v>
      </c>
      <c r="B310" s="7" t="s">
        <v>402</v>
      </c>
      <c r="C310" s="83">
        <v>113.0</v>
      </c>
      <c r="D310" s="83">
        <v>112.0</v>
      </c>
    </row>
    <row r="311" ht="15.75" customHeight="1">
      <c r="A311" s="6">
        <v>80102.0</v>
      </c>
      <c r="B311" s="7" t="s">
        <v>385</v>
      </c>
      <c r="C311" s="83">
        <v>10.0</v>
      </c>
      <c r="D311" s="83">
        <v>5.0</v>
      </c>
    </row>
    <row r="312" ht="15.75" customHeight="1">
      <c r="A312" s="6">
        <v>80201.0</v>
      </c>
      <c r="B312" s="7" t="s">
        <v>404</v>
      </c>
      <c r="C312" s="83">
        <v>230.0</v>
      </c>
      <c r="D312" s="83">
        <v>172.0</v>
      </c>
    </row>
    <row r="313" ht="15.75" customHeight="1">
      <c r="A313" s="6">
        <v>80202.0</v>
      </c>
      <c r="B313" s="7" t="s">
        <v>405</v>
      </c>
      <c r="C313" s="83">
        <v>59.0</v>
      </c>
      <c r="D313" s="83">
        <v>58.0</v>
      </c>
    </row>
    <row r="314" ht="15.75" customHeight="1">
      <c r="A314" s="6">
        <v>80301.0</v>
      </c>
      <c r="B314" s="7" t="s">
        <v>407</v>
      </c>
      <c r="C314" s="83">
        <v>21.0</v>
      </c>
      <c r="D314" s="83">
        <v>11.0</v>
      </c>
    </row>
    <row r="315" ht="15.75" customHeight="1">
      <c r="A315" s="6">
        <v>80302.0</v>
      </c>
      <c r="B315" s="7" t="s">
        <v>408</v>
      </c>
      <c r="C315" s="83">
        <v>132.0</v>
      </c>
      <c r="D315" s="83">
        <v>94.0</v>
      </c>
    </row>
    <row r="316" ht="15.75" customHeight="1">
      <c r="A316" s="6">
        <v>80303.0</v>
      </c>
      <c r="B316" s="7" t="s">
        <v>409</v>
      </c>
      <c r="C316" s="83">
        <v>11.0</v>
      </c>
      <c r="D316" s="83">
        <v>6.0</v>
      </c>
    </row>
    <row r="317" ht="15.75" customHeight="1">
      <c r="A317" s="6">
        <v>80304.0</v>
      </c>
      <c r="B317" s="7" t="s">
        <v>410</v>
      </c>
      <c r="C317" s="83">
        <v>32.0</v>
      </c>
      <c r="D317" s="83">
        <v>37.0</v>
      </c>
    </row>
    <row r="318" ht="15.75" customHeight="1">
      <c r="A318" s="6">
        <v>80401.0</v>
      </c>
      <c r="B318" s="7" t="s">
        <v>412</v>
      </c>
      <c r="C318" s="83">
        <v>34.0</v>
      </c>
      <c r="D318" s="83">
        <v>15.0</v>
      </c>
    </row>
    <row r="319" ht="15.75" customHeight="1">
      <c r="A319" s="6">
        <v>80402.0</v>
      </c>
      <c r="B319" s="7" t="s">
        <v>413</v>
      </c>
      <c r="C319" s="83">
        <v>4.0</v>
      </c>
      <c r="D319" s="83">
        <v>7.0</v>
      </c>
    </row>
    <row r="320" ht="15.75" customHeight="1">
      <c r="A320" s="6">
        <v>80501.0</v>
      </c>
      <c r="B320" s="7" t="s">
        <v>415</v>
      </c>
      <c r="C320" s="83">
        <v>46.0</v>
      </c>
      <c r="D320" s="83">
        <v>39.0</v>
      </c>
    </row>
    <row r="321" ht="15.75" customHeight="1">
      <c r="A321" s="6">
        <v>80601.0</v>
      </c>
      <c r="B321" s="7" t="s">
        <v>417</v>
      </c>
      <c r="C321" s="83">
        <v>6.0</v>
      </c>
      <c r="D321" s="83">
        <v>4.0</v>
      </c>
    </row>
    <row r="322" ht="15.75" customHeight="1">
      <c r="A322" s="6">
        <v>80602.0</v>
      </c>
      <c r="B322" s="7" t="s">
        <v>418</v>
      </c>
      <c r="C322" s="83">
        <v>12.0</v>
      </c>
      <c r="D322" s="83">
        <v>14.0</v>
      </c>
    </row>
    <row r="323" ht="15.75" customHeight="1">
      <c r="A323" s="6">
        <v>80701.0</v>
      </c>
      <c r="B323" s="7" t="s">
        <v>420</v>
      </c>
      <c r="C323" s="83">
        <v>9.0</v>
      </c>
      <c r="D323" s="83">
        <v>2.0</v>
      </c>
    </row>
    <row r="324" ht="15.75" customHeight="1">
      <c r="A324" s="6">
        <v>80702.0</v>
      </c>
      <c r="B324" s="7" t="s">
        <v>386</v>
      </c>
      <c r="C324" s="83">
        <v>3.0</v>
      </c>
      <c r="D324" s="83">
        <v>3.0</v>
      </c>
    </row>
    <row r="325" ht="15.75" customHeight="1">
      <c r="A325" s="6">
        <v>80703.0</v>
      </c>
      <c r="B325" s="7" t="s">
        <v>421</v>
      </c>
      <c r="C325" s="83">
        <v>3.0</v>
      </c>
      <c r="D325" s="83">
        <v>0.0</v>
      </c>
    </row>
    <row r="326" ht="15.75" customHeight="1">
      <c r="A326" s="6">
        <v>80801.0</v>
      </c>
      <c r="B326" s="7" t="s">
        <v>423</v>
      </c>
      <c r="C326" s="83">
        <v>2.0</v>
      </c>
      <c r="D326" s="83">
        <v>11.0</v>
      </c>
    </row>
    <row r="327" ht="15.75" customHeight="1">
      <c r="A327" s="6">
        <v>80802.0</v>
      </c>
      <c r="B327" s="7" t="s">
        <v>424</v>
      </c>
      <c r="C327" s="83">
        <v>4.0</v>
      </c>
      <c r="D327" s="83">
        <v>4.0</v>
      </c>
    </row>
    <row r="328" ht="15.75" customHeight="1">
      <c r="A328" s="6">
        <v>80803.0</v>
      </c>
      <c r="B328" s="7" t="s">
        <v>425</v>
      </c>
      <c r="C328" s="83">
        <v>4.0</v>
      </c>
      <c r="D328" s="83">
        <v>2.0</v>
      </c>
    </row>
    <row r="329" ht="15.75" customHeight="1">
      <c r="A329" s="6">
        <v>80901.0</v>
      </c>
      <c r="B329" s="82" t="s">
        <v>426</v>
      </c>
      <c r="C329" s="83">
        <v>51.0</v>
      </c>
      <c r="D329" s="83">
        <v>13.0</v>
      </c>
    </row>
    <row r="330" ht="15.75" customHeight="1">
      <c r="A330" s="6">
        <v>90101.0</v>
      </c>
      <c r="B330" s="7" t="s">
        <v>428</v>
      </c>
      <c r="C330" s="83">
        <v>39.0</v>
      </c>
      <c r="D330" s="83">
        <v>39.0</v>
      </c>
    </row>
    <row r="331" ht="15.75" customHeight="1">
      <c r="A331" s="6">
        <v>90102.0</v>
      </c>
      <c r="B331" s="7" t="s">
        <v>429</v>
      </c>
      <c r="C331" s="83">
        <v>4.0</v>
      </c>
      <c r="D331" s="83">
        <v>6.0</v>
      </c>
    </row>
    <row r="332" ht="15.75" customHeight="1">
      <c r="A332" s="6">
        <v>90103.0</v>
      </c>
      <c r="B332" s="7" t="s">
        <v>430</v>
      </c>
      <c r="C332" s="83">
        <v>0.0</v>
      </c>
      <c r="D332" s="83">
        <v>2.0</v>
      </c>
    </row>
    <row r="333" ht="15.75" customHeight="1">
      <c r="A333" s="6">
        <v>90104.0</v>
      </c>
      <c r="B333" s="7" t="s">
        <v>431</v>
      </c>
      <c r="C333" s="83">
        <v>2.0</v>
      </c>
      <c r="D333" s="83">
        <v>1.0</v>
      </c>
    </row>
    <row r="334" ht="15.75" customHeight="1">
      <c r="A334" s="6">
        <v>90201.0</v>
      </c>
      <c r="B334" s="7" t="s">
        <v>433</v>
      </c>
      <c r="C334" s="83">
        <v>5.0</v>
      </c>
      <c r="D334" s="83">
        <v>10.0</v>
      </c>
    </row>
    <row r="335" ht="15.75" customHeight="1">
      <c r="A335" s="6">
        <v>90202.0</v>
      </c>
      <c r="B335" s="7" t="s">
        <v>382</v>
      </c>
      <c r="C335" s="83">
        <v>4.0</v>
      </c>
      <c r="D335" s="83">
        <v>0.0</v>
      </c>
    </row>
    <row r="336" ht="15.75" customHeight="1">
      <c r="A336" s="6">
        <v>90203.0</v>
      </c>
      <c r="B336" s="7" t="s">
        <v>434</v>
      </c>
      <c r="C336" s="83">
        <v>6.0</v>
      </c>
      <c r="D336" s="83">
        <v>14.0</v>
      </c>
    </row>
    <row r="337" ht="15.75" customHeight="1">
      <c r="A337" s="6">
        <v>90301.0</v>
      </c>
      <c r="B337" s="7" t="s">
        <v>436</v>
      </c>
      <c r="C337" s="83">
        <v>2.0</v>
      </c>
      <c r="D337" s="83">
        <v>9.0</v>
      </c>
    </row>
    <row r="338" ht="15.75" customHeight="1">
      <c r="A338" s="6">
        <v>90302.0</v>
      </c>
      <c r="B338" s="7" t="s">
        <v>437</v>
      </c>
      <c r="C338" s="83">
        <v>4.0</v>
      </c>
      <c r="D338" s="83">
        <v>8.0</v>
      </c>
    </row>
    <row r="339" ht="15.75" customHeight="1">
      <c r="A339" s="6">
        <v>90303.0</v>
      </c>
      <c r="B339" s="7" t="s">
        <v>438</v>
      </c>
      <c r="C339" s="83">
        <v>10.0</v>
      </c>
      <c r="D339" s="83">
        <v>26.0</v>
      </c>
    </row>
    <row r="340" ht="15.75" customHeight="1">
      <c r="A340" s="6">
        <v>90401.0</v>
      </c>
      <c r="B340" s="7" t="s">
        <v>440</v>
      </c>
      <c r="C340" s="83">
        <v>2.0</v>
      </c>
      <c r="D340" s="83">
        <v>2.0</v>
      </c>
    </row>
    <row r="341" ht="15.75" customHeight="1">
      <c r="A341" s="6">
        <v>90402.0</v>
      </c>
      <c r="B341" s="7" t="s">
        <v>103</v>
      </c>
      <c r="C341" s="83">
        <v>3.0</v>
      </c>
      <c r="D341" s="83">
        <v>2.0</v>
      </c>
    </row>
    <row r="342" ht="15.75" customHeight="1">
      <c r="A342" s="6">
        <v>90501.0</v>
      </c>
      <c r="B342" s="7" t="s">
        <v>442</v>
      </c>
      <c r="C342" s="83">
        <v>2.0</v>
      </c>
      <c r="D342" s="83">
        <v>0.0</v>
      </c>
    </row>
    <row r="343" ht="15.75" customHeight="1">
      <c r="A343" s="6">
        <v>90502.0</v>
      </c>
      <c r="B343" s="7" t="s">
        <v>443</v>
      </c>
      <c r="C343" s="83">
        <v>2.0</v>
      </c>
      <c r="D343" s="83">
        <v>2.0</v>
      </c>
    </row>
    <row r="344" ht="15.75" customHeight="1">
      <c r="A344" s="6">
        <v>90503.0</v>
      </c>
      <c r="B344" s="7" t="s">
        <v>444</v>
      </c>
      <c r="C344" s="83">
        <v>6.0</v>
      </c>
      <c r="D344" s="83">
        <v>14.0</v>
      </c>
    </row>
    <row r="345" ht="15.75" customHeight="1">
      <c r="A345" s="29"/>
      <c r="B345" s="30"/>
      <c r="C345" s="52">
        <v>0.0</v>
      </c>
      <c r="D345" s="38"/>
    </row>
    <row r="346" ht="15.75" customHeight="1">
      <c r="A346" s="29"/>
      <c r="B346" s="30"/>
      <c r="D346" s="38"/>
    </row>
    <row r="347" ht="15.75" customHeight="1">
      <c r="A347" s="29"/>
      <c r="B347" s="30"/>
      <c r="D347" s="38"/>
    </row>
    <row r="348" ht="15.75" customHeight="1">
      <c r="A348" s="29"/>
      <c r="B348" s="30"/>
    </row>
    <row r="349" ht="15.75" customHeight="1">
      <c r="A349" s="29"/>
      <c r="B349" s="30"/>
    </row>
    <row r="350" ht="15.75" customHeight="1">
      <c r="A350" s="29"/>
      <c r="B350" s="30"/>
      <c r="D350" s="40"/>
    </row>
    <row r="351" ht="15.75" customHeight="1">
      <c r="A351" s="29"/>
      <c r="B351" s="30"/>
      <c r="D351" s="40"/>
    </row>
    <row r="352" ht="15.75" customHeight="1">
      <c r="A352" s="29"/>
      <c r="B352" s="30"/>
      <c r="D352" s="40"/>
    </row>
    <row r="353" ht="15.75" customHeight="1">
      <c r="A353" s="29"/>
      <c r="B353" s="41"/>
      <c r="D353" s="40"/>
    </row>
    <row r="354" ht="15.75" customHeight="1">
      <c r="A354" s="29"/>
      <c r="B354" s="41"/>
      <c r="D354" s="38"/>
    </row>
    <row r="355" ht="15.75" customHeight="1">
      <c r="A355" s="29"/>
      <c r="B355" s="41"/>
    </row>
    <row r="356" ht="15.75" customHeight="1">
      <c r="A356" s="29"/>
      <c r="B356" s="41"/>
    </row>
    <row r="357" ht="15.75" customHeight="1">
      <c r="A357" s="29"/>
      <c r="B357" s="41"/>
    </row>
    <row r="358" ht="15.75" customHeight="1">
      <c r="A358" s="29"/>
      <c r="B358" s="41"/>
    </row>
    <row r="359" ht="15.75" customHeight="1">
      <c r="A359" s="29"/>
      <c r="B359" s="41"/>
    </row>
    <row r="360" ht="15.75" customHeight="1">
      <c r="A360" s="29"/>
      <c r="B360" s="41"/>
    </row>
    <row r="361" ht="15.75" customHeight="1">
      <c r="A361" s="29"/>
      <c r="B361" s="41"/>
    </row>
    <row r="362" ht="15.75" customHeight="1">
      <c r="A362" s="29"/>
      <c r="B362" s="41"/>
    </row>
    <row r="363" ht="15.75" customHeight="1">
      <c r="A363" s="29"/>
      <c r="B363" s="41"/>
    </row>
    <row r="364" ht="15.75" customHeight="1">
      <c r="A364" s="29"/>
      <c r="B364" s="41"/>
    </row>
    <row r="365" ht="15.75" customHeight="1">
      <c r="A365" s="29"/>
      <c r="B365" s="41"/>
    </row>
    <row r="366" ht="15.75" customHeight="1">
      <c r="A366" s="29"/>
      <c r="B366" s="41"/>
    </row>
    <row r="367" ht="15.75" customHeight="1">
      <c r="A367" s="29"/>
      <c r="B367" s="41"/>
    </row>
    <row r="368" ht="15.75" customHeight="1">
      <c r="A368" s="29"/>
      <c r="B368" s="41"/>
    </row>
    <row r="369" ht="15.75" customHeight="1">
      <c r="A369" s="29"/>
      <c r="B369" s="41"/>
    </row>
    <row r="370" ht="15.75" customHeight="1">
      <c r="A370" s="29"/>
      <c r="B370" s="41"/>
    </row>
    <row r="371" ht="15.75" customHeight="1">
      <c r="A371" s="29"/>
      <c r="B371" s="41"/>
    </row>
    <row r="372" ht="15.75" customHeight="1">
      <c r="A372" s="29"/>
      <c r="B372" s="41"/>
    </row>
    <row r="373" ht="15.75" customHeight="1">
      <c r="A373" s="29"/>
      <c r="B373" s="41"/>
    </row>
    <row r="374" ht="15.75" customHeight="1">
      <c r="A374" s="29"/>
      <c r="B374" s="41"/>
    </row>
    <row r="375" ht="15.75" customHeight="1">
      <c r="A375" s="29"/>
      <c r="B375" s="41"/>
    </row>
    <row r="376" ht="15.75" customHeight="1">
      <c r="A376" s="29"/>
      <c r="B376" s="41"/>
    </row>
    <row r="377" ht="15.75" customHeight="1">
      <c r="A377" s="29"/>
      <c r="B377" s="41"/>
    </row>
    <row r="378" ht="15.75" customHeight="1">
      <c r="A378" s="29"/>
      <c r="B378" s="41"/>
    </row>
    <row r="379" ht="15.75" customHeight="1">
      <c r="A379" s="29"/>
      <c r="B379" s="41"/>
    </row>
    <row r="380" ht="15.75" customHeight="1">
      <c r="A380" s="29"/>
      <c r="B380" s="41"/>
    </row>
    <row r="381" ht="15.75" customHeight="1">
      <c r="A381" s="29"/>
      <c r="B381" s="41"/>
    </row>
    <row r="382" ht="15.75" customHeight="1">
      <c r="A382" s="29"/>
      <c r="B382" s="41"/>
    </row>
    <row r="383" ht="15.75" customHeight="1">
      <c r="A383" s="29"/>
      <c r="B383" s="41"/>
    </row>
    <row r="384" ht="15.75" customHeight="1">
      <c r="A384" s="29"/>
      <c r="B384" s="41"/>
    </row>
    <row r="385" ht="15.75" customHeight="1">
      <c r="A385" s="29"/>
      <c r="B385" s="41"/>
    </row>
    <row r="386" ht="15.75" customHeight="1">
      <c r="A386" s="29"/>
      <c r="B386" s="41"/>
    </row>
    <row r="387" ht="15.75" customHeight="1">
      <c r="A387" s="29"/>
      <c r="B387" s="41"/>
    </row>
    <row r="388" ht="15.75" customHeight="1">
      <c r="A388" s="29"/>
      <c r="B388" s="41"/>
    </row>
    <row r="389" ht="15.75" customHeight="1">
      <c r="A389" s="29"/>
      <c r="B389" s="41"/>
    </row>
    <row r="390" ht="15.75" customHeight="1">
      <c r="A390" s="29"/>
      <c r="B390" s="41"/>
    </row>
    <row r="391" ht="15.75" customHeight="1">
      <c r="A391" s="29"/>
      <c r="B391" s="41"/>
    </row>
    <row r="392" ht="15.75" customHeight="1">
      <c r="A392" s="29"/>
      <c r="B392" s="41"/>
    </row>
    <row r="393" ht="15.75" customHeight="1">
      <c r="A393" s="29"/>
      <c r="B393" s="41"/>
    </row>
    <row r="394" ht="15.75" customHeight="1">
      <c r="A394" s="29"/>
      <c r="B394" s="41"/>
    </row>
    <row r="395" ht="15.75" customHeight="1">
      <c r="A395" s="29"/>
      <c r="B395" s="41"/>
    </row>
    <row r="396" ht="15.75" customHeight="1">
      <c r="A396" s="29"/>
      <c r="B396" s="41"/>
    </row>
    <row r="397" ht="15.75" customHeight="1">
      <c r="A397" s="29"/>
      <c r="B397" s="41"/>
    </row>
    <row r="398" ht="15.75" customHeight="1">
      <c r="A398" s="29"/>
      <c r="B398" s="41"/>
    </row>
    <row r="399" ht="15.75" customHeight="1">
      <c r="A399" s="29"/>
      <c r="B399" s="41"/>
    </row>
    <row r="400" ht="15.75" customHeight="1">
      <c r="A400" s="29"/>
      <c r="B400" s="41"/>
    </row>
    <row r="401" ht="15.75" customHeight="1">
      <c r="A401" s="29"/>
      <c r="B401" s="41"/>
    </row>
    <row r="402" ht="15.75" customHeight="1">
      <c r="A402" s="29"/>
      <c r="B402" s="41"/>
    </row>
    <row r="403" ht="15.75" customHeight="1">
      <c r="A403" s="29"/>
      <c r="B403" s="41"/>
    </row>
    <row r="404" ht="15.75" customHeight="1">
      <c r="A404" s="29"/>
      <c r="B404" s="41"/>
    </row>
    <row r="405" ht="15.75" customHeight="1">
      <c r="A405" s="29"/>
      <c r="B405" s="41"/>
    </row>
    <row r="406" ht="15.75" customHeight="1">
      <c r="A406" s="29"/>
      <c r="B406" s="41"/>
    </row>
    <row r="407" ht="15.75" customHeight="1">
      <c r="A407" s="29"/>
      <c r="B407" s="41"/>
    </row>
    <row r="408" ht="15.75" customHeight="1">
      <c r="A408" s="29"/>
      <c r="B408" s="41"/>
    </row>
    <row r="409" ht="15.75" customHeight="1">
      <c r="A409" s="29"/>
      <c r="B409" s="41"/>
    </row>
    <row r="410" ht="15.75" customHeight="1">
      <c r="A410" s="29"/>
      <c r="B410" s="41"/>
    </row>
    <row r="411" ht="15.75" customHeight="1">
      <c r="A411" s="29"/>
      <c r="B411" s="41"/>
    </row>
    <row r="412" ht="15.75" customHeight="1">
      <c r="A412" s="29"/>
      <c r="B412" s="41"/>
    </row>
    <row r="413" ht="15.75" customHeight="1">
      <c r="A413" s="29"/>
      <c r="B413" s="41"/>
    </row>
    <row r="414" ht="15.75" customHeight="1">
      <c r="A414" s="29"/>
      <c r="B414" s="41"/>
    </row>
    <row r="415" ht="15.75" customHeight="1">
      <c r="A415" s="29"/>
      <c r="B415" s="41"/>
    </row>
    <row r="416" ht="15.75" customHeight="1">
      <c r="A416" s="29"/>
      <c r="B416" s="41"/>
    </row>
    <row r="417" ht="15.75" customHeight="1">
      <c r="A417" s="29"/>
      <c r="B417" s="41"/>
    </row>
    <row r="418" ht="15.75" customHeight="1">
      <c r="A418" s="29"/>
      <c r="B418" s="41"/>
    </row>
    <row r="419" ht="15.75" customHeight="1">
      <c r="A419" s="29"/>
      <c r="B419" s="41"/>
    </row>
    <row r="420" ht="15.75" customHeight="1">
      <c r="A420" s="29"/>
      <c r="B420" s="41"/>
    </row>
    <row r="421" ht="15.75" customHeight="1">
      <c r="A421" s="29"/>
      <c r="B421" s="41"/>
    </row>
    <row r="422" ht="15.75" customHeight="1">
      <c r="A422" s="29"/>
      <c r="B422" s="41"/>
    </row>
    <row r="423" ht="15.75" customHeight="1">
      <c r="A423" s="29"/>
      <c r="B423" s="41"/>
    </row>
    <row r="424" ht="15.75" customHeight="1">
      <c r="A424" s="29"/>
      <c r="B424" s="41"/>
    </row>
    <row r="425" ht="15.75" customHeight="1">
      <c r="A425" s="29"/>
      <c r="B425" s="41"/>
    </row>
    <row r="426" ht="15.75" customHeight="1">
      <c r="A426" s="29"/>
      <c r="B426" s="41"/>
    </row>
    <row r="427" ht="15.75" customHeight="1">
      <c r="A427" s="29"/>
      <c r="B427" s="41"/>
    </row>
    <row r="428" ht="15.75" customHeight="1">
      <c r="A428" s="29"/>
      <c r="B428" s="41"/>
    </row>
    <row r="429" ht="15.75" customHeight="1">
      <c r="A429" s="29"/>
      <c r="B429" s="41"/>
    </row>
    <row r="430" ht="15.75" customHeight="1">
      <c r="A430" s="29"/>
      <c r="B430" s="41"/>
    </row>
    <row r="431" ht="15.75" customHeight="1">
      <c r="A431" s="29"/>
      <c r="B431" s="41"/>
    </row>
    <row r="432" ht="15.75" customHeight="1">
      <c r="A432" s="29"/>
      <c r="B432" s="41"/>
    </row>
    <row r="433" ht="15.75" customHeight="1">
      <c r="A433" s="29"/>
      <c r="B433" s="41"/>
    </row>
    <row r="434" ht="15.75" customHeight="1">
      <c r="A434" s="29"/>
      <c r="B434" s="41"/>
    </row>
    <row r="435" ht="15.75" customHeight="1">
      <c r="A435" s="29"/>
      <c r="B435" s="41"/>
    </row>
    <row r="436" ht="15.75" customHeight="1">
      <c r="A436" s="29"/>
      <c r="B436" s="41"/>
    </row>
    <row r="437" ht="15.75" customHeight="1">
      <c r="A437" s="29"/>
      <c r="B437" s="41"/>
    </row>
    <row r="438" ht="15.75" customHeight="1">
      <c r="A438" s="29"/>
      <c r="B438" s="41"/>
    </row>
    <row r="439" ht="15.75" customHeight="1">
      <c r="A439" s="29"/>
      <c r="B439" s="41"/>
    </row>
    <row r="440" ht="15.75" customHeight="1">
      <c r="A440" s="29"/>
      <c r="B440" s="41"/>
    </row>
    <row r="441" ht="15.75" customHeight="1">
      <c r="A441" s="29"/>
      <c r="B441" s="41"/>
    </row>
    <row r="442" ht="15.75" customHeight="1">
      <c r="A442" s="29"/>
      <c r="B442" s="41"/>
    </row>
    <row r="443" ht="15.75" customHeight="1">
      <c r="A443" s="29"/>
      <c r="B443" s="41"/>
    </row>
    <row r="444" ht="15.75" customHeight="1">
      <c r="A444" s="29"/>
      <c r="B444" s="41"/>
    </row>
    <row r="445" ht="15.75" customHeight="1">
      <c r="A445" s="29"/>
      <c r="B445" s="41"/>
    </row>
    <row r="446" ht="15.75" customHeight="1">
      <c r="A446" s="29"/>
      <c r="B446" s="41"/>
    </row>
    <row r="447" ht="15.75" customHeight="1">
      <c r="A447" s="29"/>
      <c r="B447" s="41"/>
    </row>
    <row r="448" ht="15.75" customHeight="1">
      <c r="A448" s="29"/>
      <c r="B448" s="41"/>
    </row>
    <row r="449" ht="15.75" customHeight="1">
      <c r="A449" s="29"/>
      <c r="B449" s="41"/>
    </row>
    <row r="450" ht="15.75" customHeight="1">
      <c r="A450" s="29"/>
      <c r="B450" s="41"/>
    </row>
    <row r="451" ht="15.75" customHeight="1">
      <c r="A451" s="29"/>
      <c r="B451" s="41"/>
    </row>
    <row r="452" ht="15.75" customHeight="1">
      <c r="A452" s="29"/>
      <c r="B452" s="41"/>
    </row>
    <row r="453" ht="15.75" customHeight="1">
      <c r="A453" s="29"/>
      <c r="B453" s="41"/>
    </row>
    <row r="454" ht="15.75" customHeight="1">
      <c r="A454" s="29"/>
      <c r="B454" s="41"/>
    </row>
    <row r="455" ht="15.75" customHeight="1">
      <c r="A455" s="29"/>
      <c r="B455" s="41"/>
    </row>
    <row r="456" ht="15.75" customHeight="1">
      <c r="A456" s="29"/>
      <c r="B456" s="41"/>
    </row>
    <row r="457" ht="15.75" customHeight="1">
      <c r="A457" s="29"/>
      <c r="B457" s="41"/>
    </row>
    <row r="458" ht="15.75" customHeight="1">
      <c r="A458" s="29"/>
      <c r="B458" s="41"/>
    </row>
    <row r="459" ht="15.75" customHeight="1">
      <c r="A459" s="29"/>
      <c r="B459" s="41"/>
    </row>
    <row r="460" ht="15.75" customHeight="1">
      <c r="A460" s="29"/>
      <c r="B460" s="41"/>
    </row>
    <row r="461" ht="15.75" customHeight="1">
      <c r="A461" s="29"/>
      <c r="B461" s="41"/>
    </row>
    <row r="462" ht="15.75" customHeight="1">
      <c r="A462" s="29"/>
      <c r="B462" s="41"/>
    </row>
    <row r="463" ht="15.75" customHeight="1">
      <c r="A463" s="29"/>
      <c r="B463" s="41"/>
    </row>
    <row r="464" ht="15.75" customHeight="1">
      <c r="A464" s="29"/>
      <c r="B464" s="41"/>
    </row>
    <row r="465" ht="15.75" customHeight="1">
      <c r="A465" s="29"/>
      <c r="B465" s="41"/>
    </row>
    <row r="466" ht="15.75" customHeight="1">
      <c r="A466" s="29"/>
      <c r="B466" s="41"/>
    </row>
    <row r="467" ht="15.75" customHeight="1">
      <c r="A467" s="29"/>
      <c r="B467" s="41"/>
    </row>
    <row r="468" ht="15.75" customHeight="1">
      <c r="A468" s="29"/>
      <c r="B468" s="41"/>
    </row>
    <row r="469" ht="15.75" customHeight="1">
      <c r="A469" s="29"/>
      <c r="B469" s="41"/>
    </row>
    <row r="470" ht="15.75" customHeight="1">
      <c r="A470" s="29"/>
      <c r="B470" s="41"/>
    </row>
    <row r="471" ht="15.75" customHeight="1">
      <c r="A471" s="29"/>
      <c r="B471" s="41"/>
    </row>
    <row r="472" ht="15.75" customHeight="1">
      <c r="A472" s="29"/>
      <c r="B472" s="41"/>
    </row>
    <row r="473" ht="15.75" customHeight="1">
      <c r="A473" s="29"/>
      <c r="B473" s="41"/>
    </row>
    <row r="474" ht="15.75" customHeight="1">
      <c r="A474" s="29"/>
      <c r="B474" s="41"/>
    </row>
    <row r="475" ht="15.75" customHeight="1">
      <c r="A475" s="29"/>
      <c r="B475" s="41"/>
    </row>
    <row r="476" ht="15.75" customHeight="1">
      <c r="A476" s="29"/>
      <c r="B476" s="41"/>
    </row>
    <row r="477" ht="15.75" customHeight="1">
      <c r="A477" s="29"/>
      <c r="B477" s="41"/>
    </row>
    <row r="478" ht="15.75" customHeight="1">
      <c r="A478" s="29"/>
      <c r="B478" s="41"/>
    </row>
    <row r="479" ht="15.75" customHeight="1">
      <c r="A479" s="29"/>
      <c r="B479" s="41"/>
    </row>
    <row r="480" ht="15.75" customHeight="1">
      <c r="A480" s="29"/>
      <c r="B480" s="41"/>
    </row>
    <row r="481" ht="15.75" customHeight="1">
      <c r="A481" s="29"/>
      <c r="B481" s="41"/>
    </row>
    <row r="482" ht="15.75" customHeight="1">
      <c r="A482" s="29"/>
      <c r="B482" s="41"/>
    </row>
    <row r="483" ht="15.75" customHeight="1">
      <c r="A483" s="29"/>
      <c r="B483" s="41"/>
    </row>
    <row r="484" ht="15.75" customHeight="1">
      <c r="A484" s="29"/>
      <c r="B484" s="41"/>
    </row>
    <row r="485" ht="15.75" customHeight="1">
      <c r="A485" s="29"/>
      <c r="B485" s="41"/>
    </row>
    <row r="486" ht="15.75" customHeight="1">
      <c r="A486" s="29"/>
      <c r="B486" s="41"/>
    </row>
    <row r="487" ht="15.75" customHeight="1">
      <c r="A487" s="29"/>
      <c r="B487" s="41"/>
    </row>
    <row r="488" ht="15.75" customHeight="1">
      <c r="A488" s="29"/>
      <c r="B488" s="41"/>
    </row>
    <row r="489" ht="15.75" customHeight="1">
      <c r="A489" s="29"/>
      <c r="B489" s="41"/>
    </row>
    <row r="490" ht="15.75" customHeight="1">
      <c r="A490" s="29"/>
      <c r="B490" s="41"/>
    </row>
    <row r="491" ht="15.75" customHeight="1">
      <c r="A491" s="29"/>
      <c r="B491" s="41"/>
    </row>
    <row r="492" ht="15.75" customHeight="1">
      <c r="A492" s="29"/>
      <c r="B492" s="41"/>
    </row>
    <row r="493" ht="15.75" customHeight="1">
      <c r="A493" s="29"/>
      <c r="B493" s="41"/>
    </row>
    <row r="494" ht="15.75" customHeight="1">
      <c r="A494" s="29"/>
      <c r="B494" s="41"/>
    </row>
    <row r="495" ht="15.75" customHeight="1">
      <c r="A495" s="29"/>
      <c r="B495" s="41"/>
    </row>
    <row r="496" ht="15.75" customHeight="1">
      <c r="A496" s="29"/>
      <c r="B496" s="41"/>
    </row>
    <row r="497" ht="15.75" customHeight="1">
      <c r="A497" s="29"/>
      <c r="B497" s="41"/>
    </row>
    <row r="498" ht="15.75" customHeight="1">
      <c r="A498" s="29"/>
      <c r="B498" s="41"/>
    </row>
    <row r="499" ht="15.75" customHeight="1">
      <c r="A499" s="29"/>
      <c r="B499" s="41"/>
    </row>
    <row r="500" ht="15.75" customHeight="1">
      <c r="A500" s="29"/>
      <c r="B500" s="41"/>
    </row>
    <row r="501" ht="15.75" customHeight="1">
      <c r="A501" s="29"/>
      <c r="B501" s="41"/>
    </row>
    <row r="502" ht="15.75" customHeight="1">
      <c r="A502" s="29"/>
      <c r="B502" s="41"/>
    </row>
    <row r="503" ht="15.75" customHeight="1">
      <c r="A503" s="29"/>
      <c r="B503" s="41"/>
    </row>
    <row r="504" ht="15.75" customHeight="1">
      <c r="A504" s="29"/>
      <c r="B504" s="41"/>
    </row>
    <row r="505" ht="15.75" customHeight="1">
      <c r="A505" s="29"/>
      <c r="B505" s="41"/>
    </row>
    <row r="506" ht="15.75" customHeight="1">
      <c r="A506" s="29"/>
      <c r="B506" s="41"/>
    </row>
    <row r="507" ht="15.75" customHeight="1">
      <c r="A507" s="29"/>
      <c r="B507" s="41"/>
    </row>
    <row r="508" ht="15.75" customHeight="1">
      <c r="A508" s="29"/>
      <c r="B508" s="41"/>
    </row>
    <row r="509" ht="15.75" customHeight="1">
      <c r="A509" s="29"/>
      <c r="B509" s="41"/>
    </row>
    <row r="510" ht="15.75" customHeight="1">
      <c r="A510" s="29"/>
      <c r="B510" s="41"/>
    </row>
    <row r="511" ht="15.75" customHeight="1">
      <c r="A511" s="29"/>
      <c r="B511" s="41"/>
    </row>
    <row r="512" ht="15.75" customHeight="1">
      <c r="A512" s="29"/>
      <c r="B512" s="41"/>
    </row>
    <row r="513" ht="15.75" customHeight="1">
      <c r="A513" s="29"/>
      <c r="B513" s="41"/>
    </row>
    <row r="514" ht="15.75" customHeight="1">
      <c r="A514" s="29"/>
      <c r="B514" s="41"/>
    </row>
    <row r="515" ht="15.75" customHeight="1">
      <c r="A515" s="29"/>
      <c r="B515" s="41"/>
    </row>
    <row r="516" ht="15.75" customHeight="1">
      <c r="A516" s="29"/>
      <c r="B516" s="41"/>
    </row>
    <row r="517" ht="15.75" customHeight="1">
      <c r="A517" s="29"/>
      <c r="B517" s="41"/>
    </row>
    <row r="518" ht="15.75" customHeight="1">
      <c r="A518" s="29"/>
      <c r="B518" s="41"/>
    </row>
    <row r="519" ht="15.75" customHeight="1">
      <c r="A519" s="29"/>
      <c r="B519" s="41"/>
    </row>
    <row r="520" ht="15.75" customHeight="1">
      <c r="A520" s="29"/>
      <c r="B520" s="41"/>
    </row>
    <row r="521" ht="15.75" customHeight="1">
      <c r="A521" s="29"/>
      <c r="B521" s="41"/>
    </row>
    <row r="522" ht="15.75" customHeight="1">
      <c r="A522" s="29"/>
      <c r="B522" s="41"/>
    </row>
    <row r="523" ht="15.75" customHeight="1">
      <c r="A523" s="29"/>
      <c r="B523" s="41"/>
    </row>
    <row r="524" ht="15.75" customHeight="1">
      <c r="A524" s="29"/>
      <c r="B524" s="41"/>
    </row>
    <row r="525" ht="15.75" customHeight="1">
      <c r="A525" s="29"/>
      <c r="B525" s="41"/>
    </row>
    <row r="526" ht="15.75" customHeight="1">
      <c r="A526" s="29"/>
      <c r="B526" s="41"/>
    </row>
    <row r="527" ht="15.75" customHeight="1">
      <c r="A527" s="29"/>
      <c r="B527" s="41"/>
    </row>
    <row r="528" ht="15.75" customHeight="1">
      <c r="A528" s="29"/>
      <c r="B528" s="41"/>
    </row>
    <row r="529" ht="15.75" customHeight="1">
      <c r="A529" s="29"/>
      <c r="B529" s="41"/>
    </row>
    <row r="530" ht="15.75" customHeight="1">
      <c r="A530" s="29"/>
      <c r="B530" s="41"/>
    </row>
    <row r="531" ht="15.75" customHeight="1">
      <c r="A531" s="29"/>
      <c r="B531" s="41"/>
    </row>
    <row r="532" ht="15.75" customHeight="1">
      <c r="A532" s="29"/>
      <c r="B532" s="41"/>
    </row>
    <row r="533" ht="15.75" customHeight="1">
      <c r="A533" s="29"/>
      <c r="B533" s="41"/>
    </row>
    <row r="534" ht="15.75" customHeight="1">
      <c r="A534" s="29"/>
      <c r="B534" s="41"/>
    </row>
    <row r="535" ht="15.75" customHeight="1">
      <c r="A535" s="29"/>
      <c r="B535" s="41"/>
    </row>
    <row r="536" ht="15.75" customHeight="1">
      <c r="A536" s="29"/>
      <c r="B536" s="41"/>
    </row>
    <row r="537" ht="15.75" customHeight="1">
      <c r="A537" s="29"/>
      <c r="B537" s="41"/>
    </row>
    <row r="538" ht="15.75" customHeight="1">
      <c r="A538" s="29"/>
      <c r="B538" s="41"/>
    </row>
    <row r="539" ht="15.75" customHeight="1">
      <c r="A539" s="29"/>
      <c r="B539" s="41"/>
    </row>
    <row r="540" ht="15.75" customHeight="1">
      <c r="A540" s="29"/>
      <c r="B540" s="41"/>
    </row>
    <row r="541" ht="15.75" customHeight="1">
      <c r="A541" s="29"/>
      <c r="B541" s="41"/>
    </row>
    <row r="542" ht="15.75" customHeight="1">
      <c r="A542" s="29"/>
      <c r="B542" s="41"/>
    </row>
    <row r="543" ht="15.75" customHeight="1">
      <c r="A543" s="29"/>
      <c r="B543" s="41"/>
    </row>
    <row r="544" ht="15.75" customHeight="1">
      <c r="A544" s="29"/>
      <c r="B544" s="41"/>
    </row>
    <row r="545" ht="15.75" customHeight="1">
      <c r="A545" s="29"/>
      <c r="B545" s="41"/>
    </row>
    <row r="546" ht="15.75" customHeight="1">
      <c r="A546" s="29"/>
    </row>
    <row r="547" ht="15.75" customHeight="1">
      <c r="A547" s="29"/>
    </row>
    <row r="548" ht="15.75" customHeight="1">
      <c r="A548" s="29"/>
    </row>
    <row r="549" ht="15.75" customHeight="1">
      <c r="A549" s="29"/>
    </row>
    <row r="550" ht="15.75" customHeight="1">
      <c r="A550" s="29"/>
    </row>
    <row r="551" ht="15.75" customHeight="1">
      <c r="A551" s="29"/>
    </row>
    <row r="552" ht="15.75" customHeight="1">
      <c r="A552" s="29"/>
    </row>
    <row r="553" ht="15.75" customHeight="1">
      <c r="A553" s="29"/>
    </row>
    <row r="554" ht="15.75" customHeight="1">
      <c r="A554" s="29"/>
    </row>
    <row r="555" ht="15.75" customHeight="1">
      <c r="A555" s="29"/>
    </row>
    <row r="556" ht="15.75" customHeight="1">
      <c r="A556" s="29"/>
    </row>
    <row r="557" ht="15.75" customHeight="1">
      <c r="A557" s="29"/>
    </row>
    <row r="558" ht="15.75" customHeight="1">
      <c r="A558" s="29"/>
    </row>
    <row r="559" ht="15.75" customHeight="1">
      <c r="A559" s="29"/>
    </row>
    <row r="560" ht="15.75" customHeight="1">
      <c r="A560" s="29"/>
    </row>
    <row r="561" ht="15.75" customHeight="1">
      <c r="A561" s="29"/>
    </row>
    <row r="562" ht="15.75" customHeight="1">
      <c r="A562" s="29"/>
    </row>
    <row r="563" ht="15.75" customHeight="1">
      <c r="A563" s="29"/>
    </row>
    <row r="564" ht="15.75" customHeight="1">
      <c r="A564" s="29"/>
    </row>
    <row r="565" ht="15.75" customHeight="1">
      <c r="A565" s="29"/>
    </row>
    <row r="566" ht="15.75" customHeight="1">
      <c r="A566" s="29"/>
    </row>
    <row r="567" ht="15.75" customHeight="1">
      <c r="A567" s="29"/>
    </row>
    <row r="568" ht="15.75" customHeight="1">
      <c r="A568" s="29"/>
    </row>
    <row r="569" ht="15.75" customHeight="1">
      <c r="A569" s="29"/>
    </row>
    <row r="570" ht="15.75" customHeight="1">
      <c r="A570" s="29"/>
    </row>
    <row r="571" ht="15.75" customHeight="1">
      <c r="A571" s="29"/>
    </row>
    <row r="572" ht="15.75" customHeight="1">
      <c r="A572" s="29"/>
    </row>
    <row r="573" ht="15.75" customHeight="1">
      <c r="A573" s="29"/>
    </row>
    <row r="574" ht="15.75" customHeight="1">
      <c r="A574" s="29"/>
    </row>
    <row r="575" ht="15.75" customHeight="1">
      <c r="A575" s="29"/>
    </row>
    <row r="576" ht="15.75" customHeight="1">
      <c r="A576" s="29"/>
    </row>
    <row r="577" ht="15.75" customHeight="1">
      <c r="A577" s="29"/>
    </row>
    <row r="578" ht="15.75" customHeight="1">
      <c r="A578" s="29"/>
    </row>
    <row r="579" ht="15.75" customHeight="1">
      <c r="A579" s="29"/>
    </row>
    <row r="580" ht="15.75" customHeight="1">
      <c r="A580" s="29"/>
    </row>
    <row r="581" ht="15.75" customHeight="1">
      <c r="A581" s="29"/>
    </row>
    <row r="582" ht="15.75" customHeight="1">
      <c r="A582" s="29"/>
    </row>
    <row r="583" ht="15.75" customHeight="1">
      <c r="A583" s="29"/>
    </row>
    <row r="584" ht="15.75" customHeight="1">
      <c r="A584" s="29"/>
    </row>
    <row r="585" ht="15.75" customHeight="1">
      <c r="A585" s="29"/>
    </row>
    <row r="586" ht="15.75" customHeight="1">
      <c r="A586" s="29"/>
    </row>
    <row r="587" ht="15.75" customHeight="1">
      <c r="A587" s="29"/>
    </row>
    <row r="588" ht="15.75" customHeight="1">
      <c r="A588" s="29"/>
    </row>
    <row r="589" ht="15.75" customHeight="1">
      <c r="A589" s="29"/>
    </row>
    <row r="590" ht="15.75" customHeight="1">
      <c r="A590" s="29"/>
    </row>
    <row r="591" ht="15.75" customHeight="1">
      <c r="A591" s="29"/>
    </row>
    <row r="592" ht="15.75" customHeight="1">
      <c r="A592" s="29"/>
    </row>
    <row r="593" ht="15.75" customHeight="1">
      <c r="A593" s="29"/>
    </row>
    <row r="594" ht="15.75" customHeight="1">
      <c r="A594" s="29"/>
    </row>
    <row r="595" ht="15.75" customHeight="1">
      <c r="A595" s="29"/>
    </row>
    <row r="596" ht="15.75" customHeight="1">
      <c r="A596" s="29"/>
    </row>
    <row r="597" ht="15.75" customHeight="1">
      <c r="A597" s="29"/>
    </row>
    <row r="598" ht="15.75" customHeight="1">
      <c r="A598" s="29"/>
    </row>
    <row r="599" ht="15.75" customHeight="1">
      <c r="A599" s="29"/>
    </row>
    <row r="600" ht="15.75" customHeight="1">
      <c r="A600" s="29"/>
    </row>
    <row r="601" ht="15.75" customHeight="1">
      <c r="A601" s="29"/>
    </row>
    <row r="602" ht="15.75" customHeight="1">
      <c r="A602" s="29"/>
    </row>
    <row r="603" ht="15.75" customHeight="1">
      <c r="A603" s="29"/>
    </row>
    <row r="604" ht="15.75" customHeight="1">
      <c r="A604" s="29"/>
    </row>
    <row r="605" ht="15.75" customHeight="1">
      <c r="A605" s="29"/>
    </row>
    <row r="606" ht="15.75" customHeight="1">
      <c r="A606" s="29"/>
    </row>
    <row r="607" ht="15.75" customHeight="1">
      <c r="A607" s="29"/>
    </row>
    <row r="608" ht="15.75" customHeight="1">
      <c r="A608" s="29"/>
    </row>
    <row r="609" ht="15.75" customHeight="1">
      <c r="A609" s="29"/>
    </row>
    <row r="610" ht="15.75" customHeight="1">
      <c r="A610" s="29"/>
    </row>
    <row r="611" ht="15.75" customHeight="1">
      <c r="A611" s="29"/>
    </row>
    <row r="612" ht="15.75" customHeight="1">
      <c r="A612" s="29"/>
    </row>
    <row r="613" ht="15.75" customHeight="1">
      <c r="A613" s="29"/>
    </row>
    <row r="614" ht="15.75" customHeight="1">
      <c r="A614" s="29"/>
    </row>
    <row r="615" ht="15.75" customHeight="1">
      <c r="A615" s="29"/>
    </row>
    <row r="616" ht="15.75" customHeight="1">
      <c r="A616" s="29"/>
    </row>
    <row r="617" ht="15.75" customHeight="1">
      <c r="A617" s="29"/>
    </row>
    <row r="618" ht="15.75" customHeight="1">
      <c r="A618" s="29"/>
    </row>
    <row r="619" ht="15.75" customHeight="1">
      <c r="A619" s="29"/>
    </row>
    <row r="620" ht="15.75" customHeight="1">
      <c r="A620" s="29"/>
    </row>
    <row r="621" ht="15.75" customHeight="1">
      <c r="A621" s="29"/>
    </row>
    <row r="622" ht="15.75" customHeight="1">
      <c r="A622" s="29"/>
    </row>
    <row r="623" ht="15.75" customHeight="1">
      <c r="A623" s="29"/>
    </row>
    <row r="624" ht="15.75" customHeight="1">
      <c r="A624" s="29"/>
    </row>
    <row r="625" ht="15.75" customHeight="1">
      <c r="A625" s="29"/>
    </row>
    <row r="626" ht="15.75" customHeight="1">
      <c r="A626" s="29"/>
    </row>
    <row r="627" ht="15.75" customHeight="1">
      <c r="A627" s="29"/>
    </row>
    <row r="628" ht="15.75" customHeight="1">
      <c r="A628" s="29"/>
    </row>
    <row r="629" ht="15.75" customHeight="1">
      <c r="A629" s="29"/>
    </row>
    <row r="630" ht="15.75" customHeight="1">
      <c r="A630" s="29"/>
    </row>
    <row r="631" ht="15.75" customHeight="1">
      <c r="A631" s="29"/>
    </row>
    <row r="632" ht="15.75" customHeight="1">
      <c r="A632" s="29"/>
    </row>
    <row r="633" ht="15.75" customHeight="1">
      <c r="A633" s="29"/>
    </row>
    <row r="634" ht="15.75" customHeight="1">
      <c r="A634" s="29"/>
    </row>
    <row r="635" ht="15.75" customHeight="1">
      <c r="A635" s="29"/>
    </row>
    <row r="636" ht="15.75" customHeight="1">
      <c r="A636" s="29"/>
    </row>
    <row r="637" ht="15.75" customHeight="1">
      <c r="A637" s="29"/>
    </row>
    <row r="638" ht="15.75" customHeight="1">
      <c r="A638" s="29"/>
    </row>
    <row r="639" ht="15.75" customHeight="1">
      <c r="A639" s="29"/>
    </row>
    <row r="640" ht="15.75" customHeight="1">
      <c r="A640" s="29"/>
    </row>
    <row r="641" ht="15.75" customHeight="1">
      <c r="A641" s="29"/>
    </row>
    <row r="642" ht="15.75" customHeight="1">
      <c r="A642" s="29"/>
    </row>
    <row r="643" ht="15.75" customHeight="1">
      <c r="A643" s="29"/>
    </row>
    <row r="644" ht="15.75" customHeight="1">
      <c r="A644" s="29"/>
    </row>
    <row r="645" ht="15.75" customHeight="1">
      <c r="A645" s="29"/>
    </row>
    <row r="646" ht="15.75" customHeight="1">
      <c r="A646" s="29"/>
    </row>
    <row r="647" ht="15.75" customHeight="1">
      <c r="A647" s="29"/>
    </row>
    <row r="648" ht="15.75" customHeight="1">
      <c r="A648" s="29"/>
    </row>
    <row r="649" ht="15.75" customHeight="1">
      <c r="A649" s="29"/>
    </row>
    <row r="650" ht="15.75" customHeight="1">
      <c r="A650" s="29"/>
    </row>
    <row r="651" ht="15.75" customHeight="1">
      <c r="A651" s="29"/>
    </row>
    <row r="652" ht="15.75" customHeight="1">
      <c r="A652" s="29"/>
    </row>
    <row r="653" ht="15.75" customHeight="1">
      <c r="A653" s="29"/>
    </row>
    <row r="654" ht="15.75" customHeight="1">
      <c r="A654" s="29"/>
    </row>
    <row r="655" ht="15.75" customHeight="1">
      <c r="A655" s="29"/>
    </row>
    <row r="656" ht="15.75" customHeight="1">
      <c r="A656" s="29"/>
    </row>
    <row r="657" ht="15.75" customHeight="1">
      <c r="A657" s="29"/>
    </row>
    <row r="658" ht="15.75" customHeight="1">
      <c r="A658" s="29"/>
    </row>
    <row r="659" ht="15.75" customHeight="1">
      <c r="A659" s="29"/>
    </row>
    <row r="660" ht="15.75" customHeight="1">
      <c r="A660" s="29"/>
    </row>
    <row r="661" ht="15.75" customHeight="1">
      <c r="A661" s="29"/>
    </row>
    <row r="662" ht="15.75" customHeight="1">
      <c r="A662" s="29"/>
    </row>
    <row r="663" ht="15.75" customHeight="1">
      <c r="A663" s="29"/>
    </row>
    <row r="664" ht="15.75" customHeight="1">
      <c r="A664" s="29"/>
    </row>
    <row r="665" ht="15.75" customHeight="1">
      <c r="A665" s="29"/>
    </row>
    <row r="666" ht="15.75" customHeight="1">
      <c r="A666" s="29"/>
    </row>
    <row r="667" ht="15.75" customHeight="1">
      <c r="A667" s="29"/>
    </row>
    <row r="668" ht="15.75" customHeight="1">
      <c r="A668" s="29"/>
    </row>
    <row r="669" ht="15.75" customHeight="1">
      <c r="A669" s="29"/>
    </row>
    <row r="670" ht="15.75" customHeight="1">
      <c r="A670" s="29"/>
    </row>
    <row r="671" ht="15.75" customHeight="1">
      <c r="A671" s="29"/>
    </row>
    <row r="672" ht="15.75" customHeight="1">
      <c r="A672" s="29"/>
    </row>
    <row r="673" ht="15.75" customHeight="1">
      <c r="A673" s="29"/>
    </row>
    <row r="674" ht="15.75" customHeight="1">
      <c r="A674" s="29"/>
    </row>
    <row r="675" ht="15.75" customHeight="1">
      <c r="A675" s="29"/>
    </row>
    <row r="676" ht="15.75" customHeight="1">
      <c r="A676" s="29"/>
    </row>
    <row r="677" ht="15.75" customHeight="1">
      <c r="A677" s="29"/>
    </row>
    <row r="678" ht="15.75" customHeight="1">
      <c r="A678" s="29"/>
    </row>
    <row r="679" ht="15.75" customHeight="1">
      <c r="A679" s="29"/>
    </row>
    <row r="680" ht="15.75" customHeight="1">
      <c r="A680" s="29"/>
    </row>
    <row r="681" ht="15.75" customHeight="1">
      <c r="A681" s="29"/>
    </row>
    <row r="682" ht="15.75" customHeight="1">
      <c r="A682" s="29"/>
    </row>
    <row r="683" ht="15.75" customHeight="1">
      <c r="A683" s="29"/>
    </row>
    <row r="684" ht="15.75" customHeight="1">
      <c r="A684" s="29"/>
    </row>
    <row r="685" ht="15.75" customHeight="1">
      <c r="A685" s="29"/>
    </row>
    <row r="686" ht="15.75" customHeight="1">
      <c r="A686" s="29"/>
    </row>
    <row r="687" ht="15.75" customHeight="1">
      <c r="A687" s="29"/>
    </row>
    <row r="688" ht="15.75" customHeight="1">
      <c r="A688" s="29"/>
    </row>
    <row r="689" ht="15.75" customHeight="1">
      <c r="A689" s="29"/>
    </row>
    <row r="690" ht="15.75" customHeight="1">
      <c r="A690" s="29"/>
    </row>
    <row r="691" ht="15.75" customHeight="1">
      <c r="A691" s="29"/>
    </row>
    <row r="692" ht="15.75" customHeight="1">
      <c r="A692" s="29"/>
    </row>
    <row r="693" ht="15.75" customHeight="1">
      <c r="A693" s="29"/>
    </row>
    <row r="694" ht="15.75" customHeight="1">
      <c r="A694" s="29"/>
    </row>
    <row r="695" ht="15.75" customHeight="1">
      <c r="A695" s="29"/>
    </row>
    <row r="696" ht="15.75" customHeight="1">
      <c r="A696" s="29"/>
    </row>
    <row r="697" ht="15.75" customHeight="1">
      <c r="A697" s="29"/>
    </row>
    <row r="698" ht="15.75" customHeight="1">
      <c r="A698" s="29"/>
    </row>
    <row r="699" ht="15.75" customHeight="1">
      <c r="A699" s="29"/>
    </row>
    <row r="700" ht="15.75" customHeight="1">
      <c r="A700" s="29"/>
    </row>
    <row r="701" ht="15.75" customHeight="1">
      <c r="A701" s="29"/>
    </row>
    <row r="702" ht="15.75" customHeight="1">
      <c r="A702" s="29"/>
    </row>
    <row r="703" ht="15.75" customHeight="1">
      <c r="A703" s="29"/>
    </row>
    <row r="704" ht="15.75" customHeight="1">
      <c r="A704" s="29"/>
    </row>
    <row r="705" ht="15.75" customHeight="1">
      <c r="A705" s="29"/>
    </row>
    <row r="706" ht="15.75" customHeight="1">
      <c r="A706" s="29"/>
    </row>
    <row r="707" ht="15.75" customHeight="1">
      <c r="A707" s="29"/>
    </row>
    <row r="708" ht="15.75" customHeight="1">
      <c r="A708" s="29"/>
    </row>
    <row r="709" ht="15.75" customHeight="1">
      <c r="A709" s="29"/>
    </row>
    <row r="710" ht="15.75" customHeight="1">
      <c r="A710" s="29"/>
    </row>
    <row r="711" ht="15.75" customHeight="1">
      <c r="A711" s="29"/>
    </row>
    <row r="712" ht="15.75" customHeight="1">
      <c r="A712" s="29"/>
    </row>
    <row r="713" ht="15.75" customHeight="1">
      <c r="A713" s="29"/>
    </row>
    <row r="714" ht="15.75" customHeight="1">
      <c r="A714" s="29"/>
    </row>
    <row r="715" ht="15.75" customHeight="1">
      <c r="A715" s="29"/>
    </row>
    <row r="716" ht="15.75" customHeight="1">
      <c r="A716" s="29"/>
    </row>
    <row r="717" ht="15.75" customHeight="1">
      <c r="A717" s="29"/>
    </row>
    <row r="718" ht="15.75" customHeight="1">
      <c r="A718" s="29"/>
    </row>
    <row r="719" ht="15.75" customHeight="1">
      <c r="A719" s="29"/>
    </row>
    <row r="720" ht="15.75" customHeight="1">
      <c r="A720" s="29"/>
    </row>
    <row r="721" ht="15.75" customHeight="1">
      <c r="A721" s="29"/>
    </row>
    <row r="722" ht="15.75" customHeight="1">
      <c r="A722" s="29"/>
    </row>
    <row r="723" ht="15.75" customHeight="1">
      <c r="A723" s="29"/>
    </row>
    <row r="724" ht="15.75" customHeight="1">
      <c r="A724" s="29"/>
    </row>
    <row r="725" ht="15.75" customHeight="1">
      <c r="A725" s="29"/>
    </row>
    <row r="726" ht="15.75" customHeight="1">
      <c r="A726" s="29"/>
    </row>
    <row r="727" ht="15.75" customHeight="1">
      <c r="A727" s="29"/>
    </row>
    <row r="728" ht="15.75" customHeight="1">
      <c r="A728" s="29"/>
    </row>
    <row r="729" ht="15.75" customHeight="1">
      <c r="A729" s="29"/>
    </row>
    <row r="730" ht="15.75" customHeight="1">
      <c r="A730" s="29"/>
    </row>
    <row r="731" ht="15.75" customHeight="1">
      <c r="A731" s="29"/>
    </row>
    <row r="732" ht="15.75" customHeight="1">
      <c r="A732" s="29"/>
    </row>
    <row r="733" ht="15.75" customHeight="1">
      <c r="A733" s="29"/>
    </row>
    <row r="734" ht="15.75" customHeight="1">
      <c r="A734" s="29"/>
    </row>
    <row r="735" ht="15.75" customHeight="1">
      <c r="A735" s="29"/>
    </row>
    <row r="736" ht="15.75" customHeight="1">
      <c r="A736" s="29"/>
    </row>
    <row r="737" ht="15.75" customHeight="1">
      <c r="A737" s="29"/>
    </row>
    <row r="738" ht="15.75" customHeight="1">
      <c r="A738" s="29"/>
    </row>
    <row r="739" ht="15.75" customHeight="1">
      <c r="A739" s="29"/>
    </row>
    <row r="740" ht="15.75" customHeight="1">
      <c r="A740" s="29"/>
    </row>
    <row r="741" ht="15.75" customHeight="1">
      <c r="A741" s="29"/>
    </row>
    <row r="742" ht="15.75" customHeight="1">
      <c r="A742" s="29"/>
    </row>
    <row r="743" ht="15.75" customHeight="1">
      <c r="A743" s="29"/>
    </row>
    <row r="744" ht="15.75" customHeight="1">
      <c r="A744" s="29"/>
    </row>
    <row r="745" ht="15.75" customHeight="1">
      <c r="A745" s="29"/>
    </row>
    <row r="746" ht="15.75" customHeight="1">
      <c r="A746" s="29"/>
    </row>
    <row r="747" ht="15.75" customHeight="1">
      <c r="A747" s="29"/>
    </row>
    <row r="748" ht="15.75" customHeight="1">
      <c r="A748" s="29"/>
    </row>
    <row r="749" ht="15.75" customHeight="1">
      <c r="A749" s="29"/>
    </row>
    <row r="750" ht="15.75" customHeight="1">
      <c r="A750" s="29"/>
    </row>
    <row r="751" ht="15.75" customHeight="1">
      <c r="A751" s="29"/>
    </row>
    <row r="752" ht="15.75" customHeight="1">
      <c r="A752" s="29"/>
    </row>
    <row r="753" ht="15.75" customHeight="1">
      <c r="A753" s="29"/>
    </row>
    <row r="754" ht="15.75" customHeight="1">
      <c r="A754" s="29"/>
    </row>
    <row r="755" ht="15.75" customHeight="1">
      <c r="A755" s="29"/>
    </row>
    <row r="756" ht="15.75" customHeight="1">
      <c r="A756" s="29"/>
    </row>
    <row r="757" ht="15.75" customHeight="1">
      <c r="A757" s="29"/>
    </row>
    <row r="758" ht="15.75" customHeight="1">
      <c r="A758" s="29"/>
    </row>
    <row r="759" ht="15.75" customHeight="1">
      <c r="A759" s="29"/>
    </row>
    <row r="760" ht="15.75" customHeight="1">
      <c r="A760" s="29"/>
    </row>
    <row r="761" ht="15.75" customHeight="1">
      <c r="A761" s="29"/>
    </row>
    <row r="762" ht="15.75" customHeight="1">
      <c r="A762" s="29"/>
    </row>
    <row r="763" ht="15.75" customHeight="1">
      <c r="A763" s="29"/>
    </row>
    <row r="764" ht="15.75" customHeight="1">
      <c r="A764" s="29"/>
    </row>
    <row r="765" ht="15.75" customHeight="1">
      <c r="A765" s="29"/>
    </row>
    <row r="766" ht="15.75" customHeight="1">
      <c r="A766" s="29"/>
    </row>
    <row r="767" ht="15.75" customHeight="1">
      <c r="A767" s="29"/>
    </row>
    <row r="768" ht="15.75" customHeight="1">
      <c r="A768" s="29"/>
    </row>
    <row r="769" ht="15.75" customHeight="1">
      <c r="A769" s="29"/>
    </row>
    <row r="770" ht="15.75" customHeight="1">
      <c r="A770" s="29"/>
    </row>
    <row r="771" ht="15.75" customHeight="1">
      <c r="A771" s="29"/>
    </row>
    <row r="772" ht="15.75" customHeight="1">
      <c r="A772" s="29"/>
    </row>
    <row r="773" ht="15.75" customHeight="1">
      <c r="A773" s="29"/>
    </row>
    <row r="774" ht="15.75" customHeight="1">
      <c r="A774" s="29"/>
    </row>
    <row r="775" ht="15.75" customHeight="1">
      <c r="A775" s="29"/>
    </row>
    <row r="776" ht="15.75" customHeight="1">
      <c r="A776" s="29"/>
    </row>
    <row r="777" ht="15.75" customHeight="1">
      <c r="A777" s="29"/>
    </row>
    <row r="778" ht="15.75" customHeight="1">
      <c r="A778" s="29"/>
    </row>
    <row r="779" ht="15.75" customHeight="1">
      <c r="A779" s="29"/>
    </row>
    <row r="780" ht="15.75" customHeight="1">
      <c r="A780" s="29"/>
    </row>
    <row r="781" ht="15.75" customHeight="1">
      <c r="A781" s="29"/>
    </row>
    <row r="782" ht="15.75" customHeight="1">
      <c r="A782" s="29"/>
    </row>
    <row r="783" ht="15.75" customHeight="1">
      <c r="A783" s="29"/>
    </row>
    <row r="784" ht="15.75" customHeight="1">
      <c r="A784" s="29"/>
    </row>
    <row r="785" ht="15.75" customHeight="1">
      <c r="A785" s="29"/>
    </row>
    <row r="786" ht="15.75" customHeight="1">
      <c r="A786" s="29"/>
    </row>
    <row r="787" ht="15.75" customHeight="1">
      <c r="A787" s="29"/>
    </row>
    <row r="788" ht="15.75" customHeight="1">
      <c r="A788" s="29"/>
    </row>
    <row r="789" ht="15.75" customHeight="1">
      <c r="A789" s="29"/>
    </row>
    <row r="790" ht="15.75" customHeight="1">
      <c r="A790" s="29"/>
    </row>
    <row r="791" ht="15.75" customHeight="1">
      <c r="A791" s="29"/>
    </row>
    <row r="792" ht="15.75" customHeight="1">
      <c r="A792" s="29"/>
    </row>
    <row r="793" ht="15.75" customHeight="1">
      <c r="A793" s="29"/>
    </row>
    <row r="794" ht="15.75" customHeight="1">
      <c r="A794" s="29"/>
    </row>
    <row r="795" ht="15.75" customHeight="1">
      <c r="A795" s="29"/>
    </row>
    <row r="796" ht="15.75" customHeight="1">
      <c r="A796" s="29"/>
    </row>
    <row r="797" ht="15.75" customHeight="1">
      <c r="A797" s="29"/>
    </row>
    <row r="798" ht="15.75" customHeight="1">
      <c r="A798" s="29"/>
    </row>
    <row r="799" ht="15.75" customHeight="1">
      <c r="A799" s="29"/>
    </row>
    <row r="800" ht="15.75" customHeight="1">
      <c r="A800" s="29"/>
    </row>
    <row r="801" ht="15.75" customHeight="1">
      <c r="A801" s="29"/>
    </row>
    <row r="802" ht="15.75" customHeight="1">
      <c r="A802" s="29"/>
    </row>
    <row r="803" ht="15.75" customHeight="1">
      <c r="A803" s="29"/>
    </row>
    <row r="804" ht="15.75" customHeight="1">
      <c r="A804" s="29"/>
    </row>
    <row r="805" ht="15.75" customHeight="1">
      <c r="A805" s="29"/>
    </row>
    <row r="806" ht="15.75" customHeight="1">
      <c r="A806" s="29"/>
    </row>
    <row r="807" ht="15.75" customHeight="1">
      <c r="A807" s="29"/>
    </row>
    <row r="808" ht="15.75" customHeight="1">
      <c r="A808" s="29"/>
    </row>
    <row r="809" ht="15.75" customHeight="1">
      <c r="A809" s="29"/>
    </row>
    <row r="810" ht="15.75" customHeight="1">
      <c r="A810" s="29"/>
    </row>
    <row r="811" ht="15.75" customHeight="1">
      <c r="A811" s="29"/>
    </row>
    <row r="812" ht="15.75" customHeight="1">
      <c r="A812" s="29"/>
    </row>
    <row r="813" ht="15.75" customHeight="1">
      <c r="A813" s="29"/>
    </row>
    <row r="814" ht="15.75" customHeight="1">
      <c r="A814" s="29"/>
    </row>
    <row r="815" ht="15.75" customHeight="1">
      <c r="A815" s="29"/>
    </row>
    <row r="816" ht="15.75" customHeight="1">
      <c r="A816" s="29"/>
    </row>
    <row r="817" ht="15.75" customHeight="1">
      <c r="A817" s="29"/>
    </row>
    <row r="818" ht="15.75" customHeight="1">
      <c r="A818" s="29"/>
    </row>
    <row r="819" ht="15.75" customHeight="1">
      <c r="A819" s="29"/>
    </row>
    <row r="820" ht="15.75" customHeight="1">
      <c r="A820" s="29"/>
    </row>
    <row r="821" ht="15.75" customHeight="1">
      <c r="A821" s="29"/>
    </row>
    <row r="822" ht="15.75" customHeight="1">
      <c r="A822" s="29"/>
    </row>
    <row r="823" ht="15.75" customHeight="1">
      <c r="A823" s="29"/>
    </row>
    <row r="824" ht="15.75" customHeight="1">
      <c r="A824" s="29"/>
    </row>
    <row r="825" ht="15.75" customHeight="1">
      <c r="A825" s="29"/>
    </row>
    <row r="826" ht="15.75" customHeight="1">
      <c r="A826" s="29"/>
    </row>
    <row r="827" ht="15.75" customHeight="1">
      <c r="A827" s="29"/>
    </row>
    <row r="828" ht="15.75" customHeight="1">
      <c r="A828" s="29"/>
    </row>
    <row r="829" ht="15.75" customHeight="1">
      <c r="A829" s="29"/>
    </row>
    <row r="830" ht="15.75" customHeight="1">
      <c r="A830" s="29"/>
    </row>
    <row r="831" ht="15.75" customHeight="1">
      <c r="A831" s="29"/>
    </row>
    <row r="832" ht="15.75" customHeight="1">
      <c r="A832" s="29"/>
    </row>
    <row r="833" ht="15.75" customHeight="1">
      <c r="A833" s="29"/>
    </row>
    <row r="834" ht="15.75" customHeight="1">
      <c r="A834" s="29"/>
    </row>
    <row r="835" ht="15.75" customHeight="1">
      <c r="A835" s="29"/>
    </row>
    <row r="836" ht="15.75" customHeight="1">
      <c r="A836" s="29"/>
    </row>
    <row r="837" ht="15.75" customHeight="1">
      <c r="A837" s="29"/>
    </row>
    <row r="838" ht="15.75" customHeight="1">
      <c r="A838" s="29"/>
    </row>
    <row r="839" ht="15.75" customHeight="1">
      <c r="A839" s="29"/>
    </row>
    <row r="840" ht="15.75" customHeight="1">
      <c r="A840" s="29"/>
    </row>
    <row r="841" ht="15.75" customHeight="1">
      <c r="A841" s="29"/>
    </row>
    <row r="842" ht="15.75" customHeight="1">
      <c r="A842" s="29"/>
    </row>
    <row r="843" ht="15.75" customHeight="1">
      <c r="A843" s="29"/>
    </row>
    <row r="844" ht="15.75" customHeight="1">
      <c r="A844" s="29"/>
    </row>
    <row r="845" ht="15.75" customHeight="1">
      <c r="A845" s="29"/>
    </row>
    <row r="846" ht="15.75" customHeight="1">
      <c r="A846" s="29"/>
    </row>
    <row r="847" ht="15.75" customHeight="1">
      <c r="A847" s="29"/>
    </row>
    <row r="848" ht="15.75" customHeight="1">
      <c r="A848" s="29"/>
    </row>
    <row r="849" ht="15.75" customHeight="1">
      <c r="A849" s="29"/>
    </row>
    <row r="850" ht="15.75" customHeight="1">
      <c r="A850" s="29"/>
    </row>
    <row r="851" ht="15.75" customHeight="1">
      <c r="A851" s="29"/>
    </row>
    <row r="852" ht="15.75" customHeight="1">
      <c r="A852" s="29"/>
    </row>
    <row r="853" ht="15.75" customHeight="1">
      <c r="A853" s="29"/>
    </row>
    <row r="854" ht="15.75" customHeight="1">
      <c r="A854" s="29"/>
    </row>
    <row r="855" ht="15.75" customHeight="1">
      <c r="A855" s="29"/>
    </row>
    <row r="856" ht="15.75" customHeight="1">
      <c r="A856" s="29"/>
    </row>
    <row r="857" ht="15.75" customHeight="1">
      <c r="A857" s="29"/>
    </row>
    <row r="858" ht="15.75" customHeight="1">
      <c r="A858" s="29"/>
    </row>
    <row r="859" ht="15.75" customHeight="1">
      <c r="A859" s="29"/>
    </row>
    <row r="860" ht="15.75" customHeight="1">
      <c r="A860" s="29"/>
    </row>
    <row r="861" ht="15.75" customHeight="1">
      <c r="A861" s="29"/>
    </row>
    <row r="862" ht="15.75" customHeight="1">
      <c r="A862" s="29"/>
    </row>
    <row r="863" ht="15.75" customHeight="1">
      <c r="A863" s="29"/>
    </row>
    <row r="864" ht="15.75" customHeight="1">
      <c r="A864" s="29"/>
    </row>
    <row r="865" ht="15.75" customHeight="1">
      <c r="A865" s="29"/>
    </row>
    <row r="866" ht="15.75" customHeight="1">
      <c r="A866" s="29"/>
    </row>
    <row r="867" ht="15.75" customHeight="1">
      <c r="A867" s="29"/>
    </row>
    <row r="868" ht="15.75" customHeight="1">
      <c r="A868" s="29"/>
    </row>
    <row r="869" ht="15.75" customHeight="1">
      <c r="A869" s="29"/>
    </row>
    <row r="870" ht="15.75" customHeight="1">
      <c r="A870" s="29"/>
    </row>
    <row r="871" ht="15.75" customHeight="1">
      <c r="A871" s="29"/>
    </row>
    <row r="872" ht="15.75" customHeight="1">
      <c r="A872" s="29"/>
    </row>
    <row r="873" ht="15.75" customHeight="1">
      <c r="A873" s="29"/>
    </row>
    <row r="874" ht="15.75" customHeight="1">
      <c r="A874" s="29"/>
    </row>
    <row r="875" ht="15.75" customHeight="1">
      <c r="A875" s="29"/>
    </row>
    <row r="876" ht="15.75" customHeight="1">
      <c r="A876" s="29"/>
    </row>
    <row r="877" ht="15.75" customHeight="1">
      <c r="A877" s="29"/>
    </row>
    <row r="878" ht="15.75" customHeight="1">
      <c r="A878" s="29"/>
    </row>
    <row r="879" ht="15.75" customHeight="1">
      <c r="A879" s="29"/>
    </row>
    <row r="880" ht="15.75" customHeight="1">
      <c r="A880" s="29"/>
    </row>
    <row r="881" ht="15.75" customHeight="1">
      <c r="A881" s="29"/>
    </row>
    <row r="882" ht="15.75" customHeight="1">
      <c r="A882" s="29"/>
    </row>
    <row r="883" ht="15.75" customHeight="1">
      <c r="A883" s="29"/>
    </row>
    <row r="884" ht="15.75" customHeight="1">
      <c r="A884" s="29"/>
    </row>
    <row r="885" ht="15.75" customHeight="1">
      <c r="A885" s="29"/>
    </row>
    <row r="886" ht="15.75" customHeight="1">
      <c r="A886" s="29"/>
    </row>
    <row r="887" ht="15.75" customHeight="1">
      <c r="A887" s="29"/>
    </row>
    <row r="888" ht="15.75" customHeight="1">
      <c r="A888" s="29"/>
    </row>
    <row r="889" ht="15.75" customHeight="1">
      <c r="A889" s="29"/>
    </row>
    <row r="890" ht="15.75" customHeight="1">
      <c r="A890" s="29"/>
    </row>
    <row r="891" ht="15.75" customHeight="1">
      <c r="A891" s="29"/>
    </row>
    <row r="892" ht="15.75" customHeight="1">
      <c r="A892" s="29"/>
    </row>
    <row r="893" ht="15.75" customHeight="1">
      <c r="A893" s="29"/>
    </row>
    <row r="894" ht="15.75" customHeight="1">
      <c r="A894" s="29"/>
    </row>
    <row r="895" ht="15.75" customHeight="1">
      <c r="A895" s="29"/>
    </row>
    <row r="896" ht="15.75" customHeight="1">
      <c r="A896" s="29"/>
    </row>
    <row r="897" ht="15.75" customHeight="1">
      <c r="A897" s="29"/>
    </row>
    <row r="898" ht="15.75" customHeight="1">
      <c r="A898" s="29"/>
    </row>
    <row r="899" ht="15.75" customHeight="1">
      <c r="A899" s="29"/>
    </row>
    <row r="900" ht="15.75" customHeight="1">
      <c r="A900" s="29"/>
    </row>
    <row r="901" ht="15.75" customHeight="1">
      <c r="A901" s="29"/>
    </row>
    <row r="902" ht="15.75" customHeight="1">
      <c r="A902" s="29"/>
    </row>
    <row r="903" ht="15.75" customHeight="1">
      <c r="A903" s="29"/>
    </row>
    <row r="904" ht="15.75" customHeight="1">
      <c r="A904" s="29"/>
    </row>
    <row r="905" ht="15.75" customHeight="1">
      <c r="A905" s="29"/>
    </row>
    <row r="906" ht="15.75" customHeight="1">
      <c r="A906" s="29"/>
    </row>
    <row r="907" ht="15.75" customHeight="1">
      <c r="A907" s="29"/>
    </row>
    <row r="908" ht="15.75" customHeight="1">
      <c r="A908" s="29"/>
    </row>
    <row r="909" ht="15.75" customHeight="1">
      <c r="A909" s="29"/>
    </row>
    <row r="910" ht="15.75" customHeight="1">
      <c r="A910" s="29"/>
    </row>
    <row r="911" ht="15.75" customHeight="1">
      <c r="A911" s="29"/>
    </row>
    <row r="912" ht="15.75" customHeight="1">
      <c r="A912" s="29"/>
    </row>
    <row r="913" ht="15.75" customHeight="1">
      <c r="A913" s="29"/>
    </row>
    <row r="914" ht="15.75" customHeight="1">
      <c r="A914" s="29"/>
    </row>
    <row r="915" ht="15.75" customHeight="1">
      <c r="A915" s="29"/>
    </row>
    <row r="916" ht="15.75" customHeight="1">
      <c r="A916" s="29"/>
    </row>
    <row r="917" ht="15.75" customHeight="1">
      <c r="A917" s="29"/>
    </row>
    <row r="918" ht="15.75" customHeight="1">
      <c r="A918" s="29"/>
    </row>
    <row r="919" ht="15.75" customHeight="1">
      <c r="A919" s="29"/>
    </row>
    <row r="920" ht="15.75" customHeight="1">
      <c r="A920" s="29"/>
    </row>
    <row r="921" ht="15.75" customHeight="1">
      <c r="A921" s="29"/>
    </row>
    <row r="922" ht="15.75" customHeight="1">
      <c r="A922" s="29"/>
    </row>
    <row r="923" ht="15.75" customHeight="1">
      <c r="A923" s="29"/>
    </row>
    <row r="924" ht="15.75" customHeight="1">
      <c r="A924" s="29"/>
    </row>
    <row r="925" ht="15.75" customHeight="1">
      <c r="A925" s="29"/>
    </row>
    <row r="926" ht="15.75" customHeight="1">
      <c r="A926" s="29"/>
    </row>
    <row r="927" ht="15.75" customHeight="1">
      <c r="A927" s="29"/>
    </row>
    <row r="928" ht="15.75" customHeight="1">
      <c r="A928" s="29"/>
    </row>
    <row r="929" ht="15.75" customHeight="1">
      <c r="A929" s="29"/>
    </row>
    <row r="930" ht="15.75" customHeight="1">
      <c r="A930" s="29"/>
    </row>
    <row r="931" ht="15.75" customHeight="1">
      <c r="A931" s="29"/>
    </row>
    <row r="932" ht="15.75" customHeight="1">
      <c r="A932" s="29"/>
    </row>
    <row r="933" ht="15.75" customHeight="1">
      <c r="A933" s="29"/>
    </row>
    <row r="934" ht="15.75" customHeight="1">
      <c r="A934" s="29"/>
    </row>
    <row r="935" ht="15.75" customHeight="1">
      <c r="A935" s="29"/>
    </row>
    <row r="936" ht="15.75" customHeight="1">
      <c r="A936" s="29"/>
    </row>
    <row r="937" ht="15.75" customHeight="1">
      <c r="A937" s="29"/>
    </row>
    <row r="938" ht="15.75" customHeight="1">
      <c r="A938" s="29"/>
    </row>
    <row r="939" ht="15.75" customHeight="1">
      <c r="A939" s="29"/>
    </row>
    <row r="940" ht="15.75" customHeight="1">
      <c r="A940" s="29"/>
    </row>
    <row r="941" ht="15.75" customHeight="1">
      <c r="A941" s="29"/>
    </row>
    <row r="942" ht="15.75" customHeight="1">
      <c r="A942" s="29"/>
    </row>
    <row r="943" ht="15.75" customHeight="1">
      <c r="A943" s="29"/>
    </row>
    <row r="944" ht="15.75" customHeight="1">
      <c r="A944" s="29"/>
    </row>
    <row r="945" ht="15.75" customHeight="1">
      <c r="A945" s="29"/>
    </row>
    <row r="946" ht="15.75" customHeight="1">
      <c r="A946" s="29"/>
    </row>
    <row r="947" ht="15.75" customHeight="1">
      <c r="A947" s="29"/>
    </row>
    <row r="948" ht="15.75" customHeight="1">
      <c r="A948" s="29"/>
    </row>
    <row r="949" ht="15.75" customHeight="1">
      <c r="A949" s="29"/>
    </row>
    <row r="950" ht="15.75" customHeight="1">
      <c r="A950" s="29"/>
    </row>
    <row r="951" ht="15.75" customHeight="1">
      <c r="A951" s="29"/>
    </row>
    <row r="952" ht="15.75" customHeight="1">
      <c r="A952" s="29"/>
    </row>
    <row r="953" ht="15.75" customHeight="1">
      <c r="A953" s="29"/>
    </row>
    <row r="954" ht="15.75" customHeight="1">
      <c r="A954" s="29"/>
    </row>
    <row r="955" ht="15.75" customHeight="1">
      <c r="A955" s="29"/>
    </row>
    <row r="956" ht="15.75" customHeight="1">
      <c r="A956" s="29"/>
    </row>
    <row r="957" ht="15.75" customHeight="1">
      <c r="A957" s="29"/>
    </row>
    <row r="958" ht="15.75" customHeight="1">
      <c r="A958" s="29"/>
    </row>
    <row r="959" ht="15.75" customHeight="1">
      <c r="A959" s="29"/>
    </row>
    <row r="960" ht="15.75" customHeight="1">
      <c r="A960" s="29"/>
    </row>
    <row r="961" ht="15.75" customHeight="1">
      <c r="A961" s="29"/>
    </row>
    <row r="962" ht="15.75" customHeight="1">
      <c r="A962" s="29"/>
    </row>
    <row r="963" ht="15.75" customHeight="1">
      <c r="A963" s="29"/>
    </row>
    <row r="964" ht="15.75" customHeight="1">
      <c r="A964" s="29"/>
    </row>
    <row r="965" ht="15.75" customHeight="1">
      <c r="A965" s="29"/>
    </row>
    <row r="966" ht="15.75" customHeight="1">
      <c r="A966" s="29"/>
    </row>
    <row r="967" ht="15.75" customHeight="1">
      <c r="A967" s="29"/>
    </row>
    <row r="968" ht="15.75" customHeight="1">
      <c r="A968" s="29"/>
    </row>
    <row r="969" ht="15.75" customHeight="1">
      <c r="A969" s="29"/>
    </row>
    <row r="970" ht="15.75" customHeight="1">
      <c r="A970" s="29"/>
    </row>
    <row r="971" ht="15.75" customHeight="1">
      <c r="A971" s="29"/>
    </row>
    <row r="972" ht="15.75" customHeight="1">
      <c r="A972" s="29"/>
    </row>
    <row r="973" ht="15.75" customHeight="1">
      <c r="A973" s="29"/>
    </row>
    <row r="974" ht="15.75" customHeight="1">
      <c r="A974" s="29"/>
    </row>
    <row r="975" ht="15.75" customHeight="1">
      <c r="A975" s="29"/>
    </row>
    <row r="976" ht="15.75" customHeight="1">
      <c r="A976" s="29"/>
    </row>
    <row r="977" ht="15.75" customHeight="1">
      <c r="A977" s="29"/>
    </row>
    <row r="978" ht="15.75" customHeight="1">
      <c r="A978" s="29"/>
    </row>
    <row r="979" ht="15.75" customHeight="1">
      <c r="A979" s="29"/>
    </row>
    <row r="980" ht="15.75" customHeight="1">
      <c r="A980" s="29"/>
    </row>
    <row r="981" ht="15.75" customHeight="1">
      <c r="A981" s="29"/>
    </row>
    <row r="982" ht="15.75" customHeight="1">
      <c r="A982" s="29"/>
    </row>
    <row r="983" ht="15.75" customHeight="1">
      <c r="A983" s="29"/>
    </row>
    <row r="984" ht="15.75" customHeight="1">
      <c r="A984" s="29"/>
    </row>
    <row r="985" ht="15.75" customHeight="1">
      <c r="A985" s="29"/>
    </row>
    <row r="986" ht="15.75" customHeight="1">
      <c r="A986" s="29"/>
    </row>
    <row r="987" ht="15.75" customHeight="1">
      <c r="A987" s="29"/>
    </row>
    <row r="988" ht="15.75" customHeight="1">
      <c r="A988" s="29"/>
    </row>
    <row r="989" ht="15.75" customHeight="1">
      <c r="A989" s="29"/>
    </row>
    <row r="990" ht="15.75" customHeight="1">
      <c r="A990" s="29"/>
    </row>
    <row r="991" ht="15.75" customHeight="1">
      <c r="A991" s="29"/>
    </row>
    <row r="992" ht="15.75" customHeight="1">
      <c r="A992" s="29"/>
    </row>
    <row r="993" ht="15.75" customHeight="1">
      <c r="A993" s="29"/>
    </row>
    <row r="994" ht="15.75" customHeight="1">
      <c r="A994" s="29"/>
    </row>
    <row r="995" ht="15.75" customHeight="1">
      <c r="A995" s="29"/>
    </row>
    <row r="996" ht="15.75" customHeight="1">
      <c r="A996" s="29"/>
    </row>
    <row r="997" ht="15.75" customHeight="1">
      <c r="A997" s="29"/>
    </row>
    <row r="998" ht="15.75" customHeight="1">
      <c r="A998" s="29"/>
    </row>
    <row r="999" ht="15.75" customHeight="1">
      <c r="A999" s="29"/>
    </row>
    <row r="1000" ht="15.75" customHeight="1">
      <c r="A1000" s="29"/>
    </row>
  </sheetData>
  <autoFilter ref="$A$1:$D$1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2" max="2" width="11.75"/>
    <col customWidth="1" min="3" max="4" width="13.0"/>
    <col customWidth="1" min="5" max="7" width="9.38"/>
  </cols>
  <sheetData>
    <row r="1">
      <c r="A1" s="1" t="s">
        <v>0</v>
      </c>
      <c r="B1" s="2" t="s">
        <v>3</v>
      </c>
      <c r="C1" s="2" t="s">
        <v>8</v>
      </c>
      <c r="D1" s="2" t="s">
        <v>487</v>
      </c>
    </row>
    <row r="2">
      <c r="A2" s="6">
        <v>10101.0</v>
      </c>
      <c r="B2" s="7" t="s">
        <v>13</v>
      </c>
      <c r="C2" s="83"/>
      <c r="D2" s="83"/>
      <c r="G2" s="84"/>
    </row>
    <row r="3">
      <c r="A3" s="6">
        <v>10102.0</v>
      </c>
      <c r="B3" s="7" t="s">
        <v>14</v>
      </c>
      <c r="C3" s="83"/>
      <c r="D3" s="83"/>
      <c r="G3" s="84"/>
    </row>
    <row r="4">
      <c r="A4" s="6">
        <v>10103.0</v>
      </c>
      <c r="B4" s="7" t="s">
        <v>16</v>
      </c>
      <c r="C4" s="83"/>
      <c r="D4" s="83"/>
      <c r="G4" s="84"/>
    </row>
    <row r="5">
      <c r="A5" s="6">
        <v>10201.0</v>
      </c>
      <c r="B5" s="7" t="s">
        <v>19</v>
      </c>
      <c r="C5" s="83"/>
      <c r="D5" s="83"/>
      <c r="G5" s="84"/>
    </row>
    <row r="6">
      <c r="A6" s="6">
        <v>10202.0</v>
      </c>
      <c r="B6" s="7" t="s">
        <v>21</v>
      </c>
      <c r="C6" s="83"/>
      <c r="D6" s="83"/>
      <c r="G6" s="84"/>
    </row>
    <row r="7">
      <c r="A7" s="6">
        <v>10301.0</v>
      </c>
      <c r="B7" s="7" t="s">
        <v>24</v>
      </c>
      <c r="C7" s="83"/>
      <c r="D7" s="83"/>
      <c r="G7" s="84"/>
    </row>
    <row r="8">
      <c r="A8" s="6">
        <v>10302.0</v>
      </c>
      <c r="B8" s="7" t="s">
        <v>26</v>
      </c>
      <c r="C8" s="83"/>
      <c r="D8" s="83"/>
      <c r="G8" s="84"/>
    </row>
    <row r="9">
      <c r="A9" s="6">
        <v>10303.0</v>
      </c>
      <c r="B9" s="7" t="s">
        <v>28</v>
      </c>
      <c r="C9" s="83"/>
      <c r="D9" s="83"/>
      <c r="G9" s="84"/>
    </row>
    <row r="10">
      <c r="A10" s="6">
        <v>10304.0</v>
      </c>
      <c r="B10" s="7" t="s">
        <v>30</v>
      </c>
      <c r="C10" s="83"/>
      <c r="D10" s="83"/>
      <c r="G10" s="84"/>
    </row>
    <row r="11">
      <c r="A11" s="6">
        <v>10401.0</v>
      </c>
      <c r="B11" s="7" t="s">
        <v>33</v>
      </c>
      <c r="C11" s="83"/>
      <c r="D11" s="83"/>
      <c r="G11" s="84"/>
    </row>
    <row r="12">
      <c r="A12" s="6">
        <v>10402.0</v>
      </c>
      <c r="B12" s="7" t="s">
        <v>32</v>
      </c>
      <c r="C12" s="83"/>
      <c r="D12" s="83"/>
      <c r="G12" s="84"/>
    </row>
    <row r="13">
      <c r="A13" s="6">
        <v>10403.0</v>
      </c>
      <c r="B13" s="7" t="s">
        <v>36</v>
      </c>
      <c r="C13" s="83"/>
      <c r="D13" s="83"/>
      <c r="G13" s="84"/>
    </row>
    <row r="14">
      <c r="A14" s="6">
        <v>10404.0</v>
      </c>
      <c r="B14" s="7" t="s">
        <v>37</v>
      </c>
      <c r="C14" s="83"/>
      <c r="D14" s="83"/>
      <c r="G14" s="84"/>
    </row>
    <row r="15">
      <c r="A15" s="6">
        <v>10405.0</v>
      </c>
      <c r="B15" s="7" t="s">
        <v>38</v>
      </c>
      <c r="C15" s="83"/>
      <c r="D15" s="83"/>
      <c r="G15" s="84"/>
    </row>
    <row r="16">
      <c r="A16" s="6">
        <v>10501.0</v>
      </c>
      <c r="B16" s="7" t="s">
        <v>40</v>
      </c>
      <c r="C16" s="83"/>
      <c r="D16" s="83"/>
      <c r="G16" s="84"/>
    </row>
    <row r="17">
      <c r="A17" s="6">
        <v>10502.0</v>
      </c>
      <c r="B17" s="7" t="s">
        <v>41</v>
      </c>
      <c r="C17" s="83"/>
      <c r="D17" s="83"/>
      <c r="G17" s="84"/>
    </row>
    <row r="18">
      <c r="A18" s="6">
        <v>10601.0</v>
      </c>
      <c r="B18" s="7" t="s">
        <v>43</v>
      </c>
      <c r="C18" s="83"/>
      <c r="D18" s="83"/>
      <c r="G18" s="84"/>
    </row>
    <row r="19">
      <c r="A19" s="6">
        <v>10602.0</v>
      </c>
      <c r="B19" s="7" t="s">
        <v>42</v>
      </c>
      <c r="C19" s="83"/>
      <c r="D19" s="83"/>
      <c r="G19" s="84"/>
    </row>
    <row r="20">
      <c r="A20" s="6">
        <v>10701.0</v>
      </c>
      <c r="B20" s="7" t="s">
        <v>45</v>
      </c>
      <c r="C20" s="83"/>
      <c r="D20" s="83"/>
      <c r="G20" s="84"/>
    </row>
    <row r="21" ht="15.75" customHeight="1">
      <c r="A21" s="6">
        <v>10702.0</v>
      </c>
      <c r="B21" s="7" t="s">
        <v>46</v>
      </c>
      <c r="C21" s="83"/>
      <c r="D21" s="83"/>
      <c r="G21" s="84"/>
    </row>
    <row r="22" ht="15.75" customHeight="1">
      <c r="A22" s="6">
        <v>10703.0</v>
      </c>
      <c r="B22" s="7" t="s">
        <v>47</v>
      </c>
      <c r="C22" s="83"/>
      <c r="D22" s="83"/>
      <c r="G22" s="84"/>
    </row>
    <row r="23" ht="15.75" customHeight="1">
      <c r="A23" s="6">
        <v>10704.0</v>
      </c>
      <c r="B23" s="7" t="s">
        <v>48</v>
      </c>
      <c r="C23" s="83"/>
      <c r="D23" s="83"/>
      <c r="G23" s="84"/>
    </row>
    <row r="24" ht="15.75" customHeight="1">
      <c r="A24" s="6">
        <v>10801.0</v>
      </c>
      <c r="B24" s="7" t="s">
        <v>50</v>
      </c>
      <c r="C24" s="83"/>
      <c r="D24" s="83"/>
      <c r="G24" s="84"/>
    </row>
    <row r="25" ht="15.75" customHeight="1">
      <c r="A25" s="6">
        <v>10901.0</v>
      </c>
      <c r="B25" s="7" t="s">
        <v>52</v>
      </c>
      <c r="C25" s="83"/>
      <c r="D25" s="83"/>
      <c r="G25" s="84"/>
    </row>
    <row r="26" ht="15.75" customHeight="1">
      <c r="A26" s="6">
        <v>10902.0</v>
      </c>
      <c r="B26" s="7" t="s">
        <v>53</v>
      </c>
      <c r="C26" s="83"/>
      <c r="D26" s="83"/>
      <c r="G26" s="84"/>
    </row>
    <row r="27" ht="15.75" customHeight="1">
      <c r="A27" s="6">
        <v>10903.0</v>
      </c>
      <c r="B27" s="7" t="s">
        <v>54</v>
      </c>
      <c r="C27" s="83"/>
      <c r="D27" s="83"/>
      <c r="G27" s="84"/>
    </row>
    <row r="28" ht="15.75" customHeight="1">
      <c r="A28" s="6">
        <v>11001.0</v>
      </c>
      <c r="B28" s="7" t="s">
        <v>56</v>
      </c>
      <c r="C28" s="83"/>
      <c r="D28" s="83"/>
      <c r="G28" s="84"/>
    </row>
    <row r="29" ht="15.75" customHeight="1">
      <c r="A29" s="6">
        <v>11002.0</v>
      </c>
      <c r="B29" s="7" t="s">
        <v>57</v>
      </c>
      <c r="C29" s="83"/>
      <c r="D29" s="83"/>
      <c r="G29" s="84"/>
    </row>
    <row r="30" ht="15.75" customHeight="1">
      <c r="A30" s="6">
        <v>11003.0</v>
      </c>
      <c r="B30" s="7" t="s">
        <v>58</v>
      </c>
      <c r="C30" s="83"/>
      <c r="D30" s="83"/>
      <c r="G30" s="84"/>
    </row>
    <row r="31" ht="15.75" customHeight="1">
      <c r="A31" s="6">
        <v>20101.0</v>
      </c>
      <c r="B31" s="7" t="s">
        <v>60</v>
      </c>
      <c r="C31" s="83"/>
      <c r="D31" s="83"/>
      <c r="G31" s="84"/>
    </row>
    <row r="32" ht="15.75" customHeight="1">
      <c r="A32" s="6">
        <v>20102.0</v>
      </c>
      <c r="B32" s="7" t="s">
        <v>61</v>
      </c>
      <c r="C32" s="83"/>
      <c r="D32" s="83"/>
      <c r="G32" s="84"/>
    </row>
    <row r="33" ht="15.75" customHeight="1">
      <c r="A33" s="6">
        <v>20103.0</v>
      </c>
      <c r="B33" s="7" t="s">
        <v>62</v>
      </c>
      <c r="C33" s="83"/>
      <c r="D33" s="83"/>
      <c r="G33" s="84"/>
    </row>
    <row r="34" ht="15.75" customHeight="1">
      <c r="A34" s="6">
        <v>20104.0</v>
      </c>
      <c r="B34" s="7" t="s">
        <v>63</v>
      </c>
      <c r="C34" s="83"/>
      <c r="D34" s="83"/>
      <c r="G34" s="84"/>
    </row>
    <row r="35" ht="15.75" customHeight="1">
      <c r="A35" s="6">
        <v>20105.0</v>
      </c>
      <c r="B35" s="7" t="s">
        <v>64</v>
      </c>
      <c r="C35" s="83"/>
      <c r="D35" s="83"/>
      <c r="G35" s="84"/>
    </row>
    <row r="36" ht="15.75" customHeight="1">
      <c r="A36" s="6">
        <v>20201.0</v>
      </c>
      <c r="B36" s="7" t="s">
        <v>66</v>
      </c>
      <c r="C36" s="83"/>
      <c r="D36" s="83"/>
      <c r="G36" s="84"/>
    </row>
    <row r="37" ht="15.75" customHeight="1">
      <c r="A37" s="6">
        <v>20202.0</v>
      </c>
      <c r="B37" s="7" t="s">
        <v>67</v>
      </c>
      <c r="C37" s="83"/>
      <c r="D37" s="83"/>
      <c r="G37" s="84"/>
    </row>
    <row r="38" ht="15.75" customHeight="1">
      <c r="A38" s="6">
        <v>20203.0</v>
      </c>
      <c r="B38" s="7" t="s">
        <v>68</v>
      </c>
      <c r="C38" s="83"/>
      <c r="D38" s="83"/>
      <c r="G38" s="84"/>
    </row>
    <row r="39" ht="15.75" customHeight="1">
      <c r="A39" s="6">
        <v>20204.0</v>
      </c>
      <c r="B39" s="7" t="s">
        <v>69</v>
      </c>
      <c r="C39" s="83"/>
      <c r="D39" s="83"/>
      <c r="G39" s="84"/>
    </row>
    <row r="40" ht="15.75" customHeight="1">
      <c r="A40" s="6">
        <v>20205.0</v>
      </c>
      <c r="B40" s="7" t="s">
        <v>70</v>
      </c>
      <c r="C40" s="83"/>
      <c r="D40" s="83"/>
      <c r="G40" s="84"/>
    </row>
    <row r="41" ht="15.75" customHeight="1">
      <c r="A41" s="6">
        <v>20206.0</v>
      </c>
      <c r="B41" s="7" t="s">
        <v>71</v>
      </c>
      <c r="C41" s="83"/>
      <c r="D41" s="83"/>
      <c r="G41" s="84"/>
    </row>
    <row r="42" ht="15.75" customHeight="1">
      <c r="A42" s="6">
        <v>20301.0</v>
      </c>
      <c r="B42" s="7" t="s">
        <v>73</v>
      </c>
      <c r="C42" s="83"/>
      <c r="D42" s="83"/>
      <c r="G42" s="84"/>
    </row>
    <row r="43" ht="15.75" customHeight="1">
      <c r="A43" s="6">
        <v>20302.0</v>
      </c>
      <c r="B43" s="7" t="s">
        <v>74</v>
      </c>
      <c r="C43" s="83"/>
      <c r="D43" s="83"/>
      <c r="G43" s="84"/>
    </row>
    <row r="44" ht="15.75" customHeight="1">
      <c r="A44" s="6">
        <v>20303.0</v>
      </c>
      <c r="B44" s="7" t="s">
        <v>75</v>
      </c>
      <c r="C44" s="83"/>
      <c r="D44" s="83"/>
      <c r="G44" s="84"/>
    </row>
    <row r="45" ht="15.75" customHeight="1">
      <c r="A45" s="6">
        <v>20304.0</v>
      </c>
      <c r="B45" s="7" t="s">
        <v>76</v>
      </c>
      <c r="C45" s="83"/>
      <c r="D45" s="83"/>
      <c r="G45" s="84"/>
    </row>
    <row r="46" ht="15.75" customHeight="1">
      <c r="A46" s="6">
        <v>20305.0</v>
      </c>
      <c r="B46" s="7" t="s">
        <v>77</v>
      </c>
      <c r="C46" s="83"/>
      <c r="D46" s="83"/>
      <c r="G46" s="84"/>
    </row>
    <row r="47" ht="15.75" customHeight="1">
      <c r="A47" s="6">
        <v>20306.0</v>
      </c>
      <c r="B47" s="7" t="s">
        <v>78</v>
      </c>
      <c r="C47" s="83"/>
      <c r="D47" s="83"/>
      <c r="G47" s="84"/>
    </row>
    <row r="48" ht="15.75" customHeight="1">
      <c r="A48" s="6">
        <v>20307.0</v>
      </c>
      <c r="B48" s="7" t="s">
        <v>79</v>
      </c>
      <c r="C48" s="83"/>
      <c r="D48" s="83"/>
      <c r="G48" s="84"/>
    </row>
    <row r="49" ht="15.75" customHeight="1">
      <c r="A49" s="6">
        <v>20308.0</v>
      </c>
      <c r="B49" s="7" t="s">
        <v>80</v>
      </c>
      <c r="C49" s="83"/>
      <c r="D49" s="83"/>
      <c r="G49" s="84"/>
    </row>
    <row r="50" ht="15.75" customHeight="1">
      <c r="A50" s="6">
        <v>20401.0</v>
      </c>
      <c r="B50" s="7" t="s">
        <v>82</v>
      </c>
      <c r="C50" s="83"/>
      <c r="D50" s="83"/>
      <c r="G50" s="84"/>
    </row>
    <row r="51" ht="15.75" customHeight="1">
      <c r="A51" s="6">
        <v>20402.0</v>
      </c>
      <c r="B51" s="7" t="s">
        <v>83</v>
      </c>
      <c r="C51" s="83"/>
      <c r="D51" s="83"/>
      <c r="G51" s="84"/>
    </row>
    <row r="52" ht="15.75" customHeight="1">
      <c r="A52" s="6">
        <v>20403.0</v>
      </c>
      <c r="B52" s="7" t="s">
        <v>84</v>
      </c>
      <c r="C52" s="83"/>
      <c r="D52" s="83"/>
      <c r="G52" s="84"/>
    </row>
    <row r="53" ht="15.75" customHeight="1">
      <c r="A53" s="6">
        <v>20404.0</v>
      </c>
      <c r="B53" s="7" t="s">
        <v>85</v>
      </c>
      <c r="C53" s="83"/>
      <c r="D53" s="83"/>
      <c r="G53" s="84"/>
    </row>
    <row r="54" ht="15.75" customHeight="1">
      <c r="A54" s="6">
        <v>20405.0</v>
      </c>
      <c r="B54" s="7" t="s">
        <v>86</v>
      </c>
      <c r="C54" s="83"/>
      <c r="D54" s="83"/>
      <c r="G54" s="84"/>
    </row>
    <row r="55" ht="15.75" customHeight="1">
      <c r="A55" s="6">
        <v>20501.0</v>
      </c>
      <c r="B55" s="7" t="s">
        <v>88</v>
      </c>
      <c r="C55" s="83"/>
      <c r="D55" s="83"/>
      <c r="G55" s="84"/>
    </row>
    <row r="56" ht="15.75" customHeight="1">
      <c r="A56" s="6">
        <v>20502.0</v>
      </c>
      <c r="B56" s="7" t="s">
        <v>89</v>
      </c>
      <c r="C56" s="83"/>
      <c r="D56" s="83"/>
      <c r="G56" s="84"/>
    </row>
    <row r="57" ht="15.75" customHeight="1">
      <c r="A57" s="6">
        <v>20503.0</v>
      </c>
      <c r="B57" s="7" t="s">
        <v>90</v>
      </c>
      <c r="C57" s="83"/>
      <c r="D57" s="83"/>
      <c r="G57" s="84"/>
    </row>
    <row r="58" ht="15.75" customHeight="1">
      <c r="A58" s="6">
        <v>20601.0</v>
      </c>
      <c r="B58" s="7" t="s">
        <v>92</v>
      </c>
      <c r="C58" s="83"/>
      <c r="D58" s="83"/>
      <c r="G58" s="84"/>
    </row>
    <row r="59" ht="15.75" customHeight="1">
      <c r="A59" s="6">
        <v>20602.0</v>
      </c>
      <c r="B59" s="7" t="s">
        <v>93</v>
      </c>
      <c r="C59" s="83"/>
      <c r="D59" s="83"/>
      <c r="G59" s="84"/>
    </row>
    <row r="60" ht="15.75" customHeight="1">
      <c r="A60" s="6">
        <v>20603.0</v>
      </c>
      <c r="B60" s="7" t="s">
        <v>94</v>
      </c>
      <c r="C60" s="83"/>
      <c r="D60" s="83"/>
      <c r="G60" s="84"/>
    </row>
    <row r="61" ht="15.75" customHeight="1">
      <c r="A61" s="6">
        <v>20604.0</v>
      </c>
      <c r="B61" s="7" t="s">
        <v>95</v>
      </c>
      <c r="C61" s="83"/>
      <c r="D61" s="83"/>
      <c r="G61" s="84"/>
    </row>
    <row r="62" ht="15.75" customHeight="1">
      <c r="A62" s="6">
        <v>20605.0</v>
      </c>
      <c r="B62" s="7" t="s">
        <v>96</v>
      </c>
      <c r="C62" s="83"/>
      <c r="D62" s="83"/>
      <c r="G62" s="84"/>
    </row>
    <row r="63" ht="15.75" customHeight="1">
      <c r="A63" s="6">
        <v>20606.0</v>
      </c>
      <c r="B63" s="7" t="s">
        <v>97</v>
      </c>
      <c r="C63" s="83"/>
      <c r="D63" s="83"/>
      <c r="G63" s="84"/>
    </row>
    <row r="64" ht="15.75" customHeight="1">
      <c r="A64" s="6">
        <v>20607.0</v>
      </c>
      <c r="B64" s="7" t="s">
        <v>98</v>
      </c>
      <c r="C64" s="83"/>
      <c r="D64" s="83"/>
      <c r="G64" s="84"/>
    </row>
    <row r="65" ht="15.75" customHeight="1">
      <c r="A65" s="6">
        <v>20608.0</v>
      </c>
      <c r="B65" s="7" t="s">
        <v>99</v>
      </c>
      <c r="C65" s="83"/>
      <c r="D65" s="83"/>
      <c r="G65" s="84"/>
    </row>
    <row r="66" ht="15.75" customHeight="1">
      <c r="A66" s="6">
        <v>20701.0</v>
      </c>
      <c r="B66" s="7" t="s">
        <v>101</v>
      </c>
      <c r="C66" s="83"/>
      <c r="D66" s="83"/>
      <c r="G66" s="84"/>
    </row>
    <row r="67" ht="15.75" customHeight="1">
      <c r="A67" s="6">
        <v>20702.0</v>
      </c>
      <c r="B67" s="7" t="s">
        <v>102</v>
      </c>
      <c r="C67" s="83"/>
      <c r="D67" s="83"/>
      <c r="G67" s="84"/>
    </row>
    <row r="68" ht="15.75" customHeight="1">
      <c r="A68" s="6">
        <v>20801.0</v>
      </c>
      <c r="B68" s="7" t="s">
        <v>104</v>
      </c>
      <c r="C68" s="83"/>
      <c r="D68" s="83"/>
      <c r="G68" s="84"/>
    </row>
    <row r="69" ht="15.75" customHeight="1">
      <c r="A69" s="6">
        <v>20802.0</v>
      </c>
      <c r="B69" s="7" t="s">
        <v>105</v>
      </c>
      <c r="C69" s="83"/>
      <c r="D69" s="83"/>
      <c r="G69" s="84"/>
    </row>
    <row r="70" ht="15.75" customHeight="1">
      <c r="A70" s="6">
        <v>20803.0</v>
      </c>
      <c r="B70" s="7" t="s">
        <v>106</v>
      </c>
      <c r="C70" s="83"/>
      <c r="D70" s="83"/>
      <c r="G70" s="84"/>
    </row>
    <row r="71" ht="15.75" customHeight="1">
      <c r="A71" s="6">
        <v>20804.0</v>
      </c>
      <c r="B71" s="7" t="s">
        <v>107</v>
      </c>
      <c r="C71" s="83"/>
      <c r="D71" s="83"/>
      <c r="G71" s="84"/>
    </row>
    <row r="72" ht="15.75" customHeight="1">
      <c r="A72" s="6">
        <v>20805.0</v>
      </c>
      <c r="B72" s="7" t="s">
        <v>108</v>
      </c>
      <c r="C72" s="83"/>
      <c r="D72" s="83"/>
      <c r="G72" s="84"/>
    </row>
    <row r="73" ht="15.75" customHeight="1">
      <c r="A73" s="6">
        <v>20806.0</v>
      </c>
      <c r="B73" s="7" t="s">
        <v>109</v>
      </c>
      <c r="C73" s="83"/>
      <c r="D73" s="83"/>
      <c r="G73" s="84"/>
    </row>
    <row r="74" ht="15.75" customHeight="1">
      <c r="A74" s="6">
        <v>20807.0</v>
      </c>
      <c r="B74" s="7" t="s">
        <v>110</v>
      </c>
      <c r="C74" s="83"/>
      <c r="D74" s="83"/>
      <c r="G74" s="84"/>
    </row>
    <row r="75" ht="15.75" customHeight="1">
      <c r="A75" s="6">
        <v>20901.0</v>
      </c>
      <c r="B75" s="7" t="s">
        <v>112</v>
      </c>
      <c r="C75" s="83"/>
      <c r="D75" s="83"/>
      <c r="G75" s="84"/>
    </row>
    <row r="76" ht="15.75" customHeight="1">
      <c r="A76" s="6">
        <v>20902.0</v>
      </c>
      <c r="B76" s="7" t="s">
        <v>113</v>
      </c>
      <c r="C76" s="83"/>
      <c r="D76" s="83"/>
      <c r="G76" s="84"/>
    </row>
    <row r="77" ht="15.75" customHeight="1">
      <c r="A77" s="6">
        <v>20903.0</v>
      </c>
      <c r="B77" s="7" t="s">
        <v>114</v>
      </c>
      <c r="C77" s="83"/>
      <c r="D77" s="83"/>
      <c r="G77" s="84"/>
    </row>
    <row r="78" ht="15.75" customHeight="1">
      <c r="A78" s="6">
        <v>20904.0</v>
      </c>
      <c r="B78" s="7" t="s">
        <v>115</v>
      </c>
      <c r="C78" s="83"/>
      <c r="D78" s="83"/>
      <c r="G78" s="84"/>
    </row>
    <row r="79" ht="15.75" customHeight="1">
      <c r="A79" s="6">
        <v>20905.0</v>
      </c>
      <c r="B79" s="7" t="s">
        <v>116</v>
      </c>
      <c r="C79" s="83"/>
      <c r="D79" s="83"/>
      <c r="G79" s="84"/>
    </row>
    <row r="80" ht="15.75" customHeight="1">
      <c r="A80" s="6">
        <v>21001.0</v>
      </c>
      <c r="B80" s="7" t="s">
        <v>117</v>
      </c>
      <c r="C80" s="83"/>
      <c r="D80" s="83"/>
      <c r="G80" s="84"/>
    </row>
    <row r="81" ht="15.75" customHeight="1">
      <c r="A81" s="6">
        <v>21002.0</v>
      </c>
      <c r="B81" s="7" t="s">
        <v>118</v>
      </c>
      <c r="C81" s="83"/>
      <c r="D81" s="83"/>
      <c r="G81" s="84"/>
    </row>
    <row r="82" ht="15.75" customHeight="1">
      <c r="A82" s="6">
        <v>21003.0</v>
      </c>
      <c r="B82" s="7" t="s">
        <v>119</v>
      </c>
      <c r="C82" s="83"/>
      <c r="D82" s="83"/>
      <c r="G82" s="84"/>
    </row>
    <row r="83" ht="15.75" customHeight="1">
      <c r="A83" s="6">
        <v>21004.0</v>
      </c>
      <c r="B83" s="7" t="s">
        <v>120</v>
      </c>
      <c r="C83" s="83"/>
      <c r="D83" s="83"/>
      <c r="G83" s="84"/>
    </row>
    <row r="84" ht="15.75" customHeight="1">
      <c r="A84" s="6">
        <v>21005.0</v>
      </c>
      <c r="B84" s="7" t="s">
        <v>121</v>
      </c>
      <c r="C84" s="83"/>
      <c r="D84" s="83"/>
      <c r="G84" s="84"/>
    </row>
    <row r="85" ht="15.75" customHeight="1">
      <c r="A85" s="6">
        <v>21006.0</v>
      </c>
      <c r="B85" s="7" t="s">
        <v>122</v>
      </c>
      <c r="C85" s="83"/>
      <c r="D85" s="83"/>
      <c r="G85" s="84"/>
    </row>
    <row r="86" ht="15.75" customHeight="1">
      <c r="A86" s="6">
        <v>21101.0</v>
      </c>
      <c r="B86" s="7" t="s">
        <v>124</v>
      </c>
      <c r="C86" s="83"/>
      <c r="D86" s="83"/>
      <c r="G86" s="84"/>
    </row>
    <row r="87" ht="15.75" customHeight="1">
      <c r="A87" s="6">
        <v>21102.0</v>
      </c>
      <c r="B87" s="7" t="s">
        <v>125</v>
      </c>
      <c r="C87" s="83"/>
      <c r="D87" s="83"/>
      <c r="G87" s="84"/>
    </row>
    <row r="88" ht="15.75" customHeight="1">
      <c r="A88" s="6">
        <v>21103.0</v>
      </c>
      <c r="B88" s="7" t="s">
        <v>126</v>
      </c>
      <c r="C88" s="83"/>
      <c r="D88" s="83"/>
      <c r="G88" s="84"/>
    </row>
    <row r="89" ht="15.75" customHeight="1">
      <c r="A89" s="6">
        <v>21104.0</v>
      </c>
      <c r="B89" s="7" t="s">
        <v>127</v>
      </c>
      <c r="C89" s="83"/>
      <c r="D89" s="83"/>
      <c r="G89" s="84"/>
    </row>
    <row r="90" ht="15.75" customHeight="1">
      <c r="A90" s="6">
        <v>21105.0</v>
      </c>
      <c r="B90" s="7" t="s">
        <v>128</v>
      </c>
      <c r="C90" s="83"/>
      <c r="D90" s="83"/>
      <c r="G90" s="84"/>
    </row>
    <row r="91" ht="15.75" customHeight="1">
      <c r="A91" s="6">
        <v>21201.0</v>
      </c>
      <c r="B91" s="7" t="s">
        <v>130</v>
      </c>
      <c r="C91" s="83"/>
      <c r="D91" s="83"/>
      <c r="G91" s="84"/>
    </row>
    <row r="92" ht="15.75" customHeight="1">
      <c r="A92" s="6">
        <v>21202.0</v>
      </c>
      <c r="B92" s="7" t="s">
        <v>131</v>
      </c>
      <c r="C92" s="83"/>
      <c r="D92" s="83"/>
      <c r="G92" s="84"/>
    </row>
    <row r="93" ht="15.75" customHeight="1">
      <c r="A93" s="6">
        <v>21203.0</v>
      </c>
      <c r="B93" s="7" t="s">
        <v>132</v>
      </c>
      <c r="C93" s="83"/>
      <c r="D93" s="83"/>
      <c r="G93" s="84"/>
    </row>
    <row r="94" ht="15.75" customHeight="1">
      <c r="A94" s="6">
        <v>21204.0</v>
      </c>
      <c r="B94" s="7" t="s">
        <v>133</v>
      </c>
      <c r="C94" s="83"/>
      <c r="D94" s="83"/>
      <c r="G94" s="84"/>
    </row>
    <row r="95" ht="15.75" customHeight="1">
      <c r="A95" s="6">
        <v>21301.0</v>
      </c>
      <c r="B95" s="7" t="s">
        <v>135</v>
      </c>
      <c r="C95" s="83"/>
      <c r="D95" s="83"/>
      <c r="G95" s="84"/>
    </row>
    <row r="96" ht="15.75" customHeight="1">
      <c r="A96" s="6">
        <v>21302.0</v>
      </c>
      <c r="B96" s="7" t="s">
        <v>136</v>
      </c>
      <c r="C96" s="83"/>
      <c r="D96" s="83"/>
      <c r="G96" s="84"/>
    </row>
    <row r="97" ht="15.75" customHeight="1">
      <c r="A97" s="6">
        <v>21303.0</v>
      </c>
      <c r="B97" s="7" t="s">
        <v>137</v>
      </c>
      <c r="C97" s="83"/>
      <c r="D97" s="83"/>
      <c r="G97" s="84"/>
    </row>
    <row r="98" ht="15.75" customHeight="1">
      <c r="A98" s="6">
        <v>21304.0</v>
      </c>
      <c r="B98" s="7" t="s">
        <v>138</v>
      </c>
      <c r="C98" s="83"/>
      <c r="D98" s="83"/>
      <c r="G98" s="84"/>
    </row>
    <row r="99" ht="15.75" customHeight="1">
      <c r="A99" s="6">
        <v>21305.0</v>
      </c>
      <c r="B99" s="7" t="s">
        <v>139</v>
      </c>
      <c r="C99" s="83"/>
      <c r="D99" s="83"/>
      <c r="G99" s="84"/>
    </row>
    <row r="100" ht="15.75" customHeight="1">
      <c r="A100" s="6">
        <v>21306.0</v>
      </c>
      <c r="B100" s="7" t="s">
        <v>140</v>
      </c>
      <c r="C100" s="83"/>
      <c r="D100" s="83"/>
      <c r="G100" s="84"/>
    </row>
    <row r="101" ht="15.75" customHeight="1">
      <c r="A101" s="6">
        <v>21307.0</v>
      </c>
      <c r="B101" s="7" t="s">
        <v>141</v>
      </c>
      <c r="C101" s="83"/>
      <c r="D101" s="83"/>
      <c r="G101" s="84"/>
    </row>
    <row r="102" ht="15.75" customHeight="1">
      <c r="A102" s="6">
        <v>21401.0</v>
      </c>
      <c r="B102" s="7" t="s">
        <v>143</v>
      </c>
      <c r="C102" s="83"/>
      <c r="D102" s="83"/>
      <c r="G102" s="84"/>
    </row>
    <row r="103" ht="15.75" customHeight="1">
      <c r="A103" s="6">
        <v>21402.0</v>
      </c>
      <c r="B103" s="7" t="s">
        <v>144</v>
      </c>
      <c r="C103" s="83"/>
      <c r="D103" s="83"/>
      <c r="G103" s="84"/>
    </row>
    <row r="104" ht="15.75" customHeight="1">
      <c r="A104" s="6">
        <v>21501.0</v>
      </c>
      <c r="B104" s="7" t="s">
        <v>146</v>
      </c>
      <c r="C104" s="83"/>
      <c r="D104" s="83"/>
      <c r="G104" s="84"/>
    </row>
    <row r="105" ht="15.75" customHeight="1">
      <c r="A105" s="6">
        <v>21502.0</v>
      </c>
      <c r="B105" s="7" t="s">
        <v>147</v>
      </c>
      <c r="C105" s="83"/>
      <c r="D105" s="83"/>
      <c r="G105" s="84"/>
    </row>
    <row r="106" ht="15.75" customHeight="1">
      <c r="A106" s="6">
        <v>21601.0</v>
      </c>
      <c r="B106" s="7" t="s">
        <v>149</v>
      </c>
      <c r="C106" s="83"/>
      <c r="D106" s="83"/>
      <c r="G106" s="84"/>
    </row>
    <row r="107" ht="15.75" customHeight="1">
      <c r="A107" s="6">
        <v>21602.0</v>
      </c>
      <c r="B107" s="7" t="s">
        <v>150</v>
      </c>
      <c r="C107" s="83"/>
      <c r="D107" s="83"/>
      <c r="G107" s="84"/>
    </row>
    <row r="108" ht="15.75" customHeight="1">
      <c r="A108" s="6">
        <v>21701.0</v>
      </c>
      <c r="B108" s="7" t="s">
        <v>152</v>
      </c>
      <c r="C108" s="83"/>
      <c r="D108" s="83"/>
      <c r="G108" s="84"/>
    </row>
    <row r="109" ht="15.75" customHeight="1">
      <c r="A109" s="6">
        <v>21702.0</v>
      </c>
      <c r="B109" s="7" t="s">
        <v>153</v>
      </c>
      <c r="C109" s="83"/>
      <c r="D109" s="83"/>
      <c r="G109" s="84"/>
    </row>
    <row r="110" ht="15.75" customHeight="1">
      <c r="A110" s="6">
        <v>21703.0</v>
      </c>
      <c r="B110" s="7" t="s">
        <v>154</v>
      </c>
      <c r="C110" s="83"/>
      <c r="D110" s="83"/>
      <c r="G110" s="84"/>
    </row>
    <row r="111" ht="15.75" customHeight="1">
      <c r="A111" s="6">
        <v>21801.0</v>
      </c>
      <c r="B111" s="7" t="s">
        <v>156</v>
      </c>
      <c r="C111" s="83"/>
      <c r="D111" s="83"/>
      <c r="G111" s="84"/>
    </row>
    <row r="112" ht="15.75" customHeight="1">
      <c r="A112" s="6">
        <v>21802.0</v>
      </c>
      <c r="B112" s="7" t="s">
        <v>158</v>
      </c>
      <c r="C112" s="83"/>
      <c r="D112" s="83"/>
      <c r="G112" s="84"/>
    </row>
    <row r="113" ht="15.75" customHeight="1">
      <c r="A113" s="6">
        <v>21803.0</v>
      </c>
      <c r="B113" s="7" t="s">
        <v>159</v>
      </c>
      <c r="C113" s="83"/>
      <c r="D113" s="83"/>
      <c r="G113" s="84"/>
    </row>
    <row r="114" ht="15.75" customHeight="1">
      <c r="A114" s="6">
        <v>21901.0</v>
      </c>
      <c r="B114" s="7" t="s">
        <v>161</v>
      </c>
      <c r="C114" s="83"/>
      <c r="D114" s="83"/>
      <c r="G114" s="84"/>
    </row>
    <row r="115" ht="15.75" customHeight="1">
      <c r="A115" s="6">
        <v>21902.0</v>
      </c>
      <c r="B115" s="7" t="s">
        <v>162</v>
      </c>
      <c r="C115" s="83"/>
      <c r="D115" s="83"/>
      <c r="G115" s="84"/>
    </row>
    <row r="116" ht="15.75" customHeight="1">
      <c r="A116" s="6">
        <v>22001.0</v>
      </c>
      <c r="B116" s="7" t="s">
        <v>163</v>
      </c>
      <c r="C116" s="83"/>
      <c r="D116" s="83"/>
      <c r="G116" s="84"/>
    </row>
    <row r="117" ht="15.75" customHeight="1">
      <c r="A117" s="6">
        <v>22002.0</v>
      </c>
      <c r="B117" s="7" t="s">
        <v>164</v>
      </c>
      <c r="C117" s="83"/>
      <c r="D117" s="83"/>
      <c r="G117" s="84"/>
    </row>
    <row r="118" ht="15.75" customHeight="1">
      <c r="A118" s="6">
        <v>30101.0</v>
      </c>
      <c r="B118" s="7" t="s">
        <v>17</v>
      </c>
      <c r="C118" s="83"/>
      <c r="D118" s="83"/>
      <c r="G118" s="84"/>
    </row>
    <row r="119" ht="15.75" customHeight="1">
      <c r="A119" s="6">
        <v>30201.0</v>
      </c>
      <c r="B119" s="7" t="s">
        <v>167</v>
      </c>
      <c r="C119" s="83"/>
      <c r="D119" s="83"/>
      <c r="G119" s="84"/>
    </row>
    <row r="120" ht="15.75" customHeight="1">
      <c r="A120" s="6">
        <v>30202.0</v>
      </c>
      <c r="B120" s="7" t="s">
        <v>168</v>
      </c>
      <c r="C120" s="83"/>
      <c r="D120" s="83"/>
      <c r="G120" s="84"/>
    </row>
    <row r="121" ht="15.75" customHeight="1">
      <c r="A121" s="6">
        <v>30203.0</v>
      </c>
      <c r="B121" s="7" t="s">
        <v>169</v>
      </c>
      <c r="C121" s="83"/>
      <c r="D121" s="83"/>
      <c r="G121" s="84"/>
    </row>
    <row r="122" ht="15.75" customHeight="1">
      <c r="A122" s="6">
        <v>30301.0</v>
      </c>
      <c r="B122" s="7" t="s">
        <v>171</v>
      </c>
      <c r="C122" s="83"/>
      <c r="D122" s="83"/>
      <c r="G122" s="84"/>
    </row>
    <row r="123" ht="15.75" customHeight="1">
      <c r="A123" s="6">
        <v>30302.0</v>
      </c>
      <c r="B123" s="7" t="s">
        <v>172</v>
      </c>
      <c r="C123" s="83"/>
      <c r="D123" s="83"/>
      <c r="G123" s="84"/>
    </row>
    <row r="124" ht="15.75" customHeight="1">
      <c r="A124" s="6">
        <v>30303.0</v>
      </c>
      <c r="B124" s="7" t="s">
        <v>173</v>
      </c>
      <c r="C124" s="83"/>
      <c r="D124" s="83"/>
      <c r="G124" s="84"/>
    </row>
    <row r="125" ht="15.75" customHeight="1">
      <c r="A125" s="6">
        <v>30401.0</v>
      </c>
      <c r="B125" s="7" t="s">
        <v>175</v>
      </c>
      <c r="C125" s="83"/>
      <c r="D125" s="83"/>
      <c r="G125" s="84"/>
    </row>
    <row r="126" ht="15.75" customHeight="1">
      <c r="A126" s="6">
        <v>30402.0</v>
      </c>
      <c r="B126" s="7" t="s">
        <v>176</v>
      </c>
      <c r="C126" s="83"/>
      <c r="D126" s="83"/>
      <c r="G126" s="84"/>
    </row>
    <row r="127" ht="15.75" customHeight="1">
      <c r="A127" s="6">
        <v>30403.0</v>
      </c>
      <c r="B127" s="7" t="s">
        <v>177</v>
      </c>
      <c r="C127" s="83"/>
      <c r="D127" s="83"/>
      <c r="G127" s="84"/>
    </row>
    <row r="128" ht="15.75" customHeight="1">
      <c r="A128" s="6">
        <v>30404.0</v>
      </c>
      <c r="B128" s="7" t="s">
        <v>178</v>
      </c>
      <c r="C128" s="83"/>
      <c r="D128" s="83"/>
      <c r="G128" s="84"/>
    </row>
    <row r="129" ht="15.75" customHeight="1">
      <c r="A129" s="6">
        <v>30501.0</v>
      </c>
      <c r="B129" s="7" t="s">
        <v>179</v>
      </c>
      <c r="C129" s="83"/>
      <c r="D129" s="83"/>
      <c r="G129" s="84"/>
    </row>
    <row r="130" ht="15.75" customHeight="1">
      <c r="A130" s="6">
        <v>30502.0</v>
      </c>
      <c r="B130" s="7" t="s">
        <v>180</v>
      </c>
      <c r="C130" s="83"/>
      <c r="D130" s="83"/>
      <c r="G130" s="84"/>
    </row>
    <row r="131" ht="15.75" customHeight="1">
      <c r="A131" s="6">
        <v>30601.0</v>
      </c>
      <c r="B131" s="7" t="s">
        <v>181</v>
      </c>
      <c r="C131" s="83"/>
      <c r="D131" s="83"/>
      <c r="G131" s="84"/>
    </row>
    <row r="132" ht="15.75" customHeight="1">
      <c r="A132" s="6">
        <v>30602.0</v>
      </c>
      <c r="B132" s="7" t="s">
        <v>182</v>
      </c>
      <c r="C132" s="83"/>
      <c r="D132" s="83"/>
      <c r="G132" s="84"/>
    </row>
    <row r="133" ht="15.75" customHeight="1">
      <c r="A133" s="6">
        <v>30701.0</v>
      </c>
      <c r="B133" s="7" t="s">
        <v>183</v>
      </c>
      <c r="C133" s="83"/>
      <c r="D133" s="83"/>
      <c r="G133" s="84"/>
    </row>
    <row r="134" ht="15.75" customHeight="1">
      <c r="A134" s="6">
        <v>30702.0</v>
      </c>
      <c r="B134" s="7" t="s">
        <v>184</v>
      </c>
      <c r="C134" s="83"/>
      <c r="D134" s="83"/>
      <c r="G134" s="84"/>
    </row>
    <row r="135" ht="15.75" customHeight="1">
      <c r="A135" s="6">
        <v>30703.0</v>
      </c>
      <c r="B135" s="7" t="s">
        <v>185</v>
      </c>
      <c r="C135" s="83"/>
      <c r="D135" s="83"/>
      <c r="G135" s="84"/>
    </row>
    <row r="136" ht="15.75" customHeight="1">
      <c r="A136" s="6">
        <v>30801.0</v>
      </c>
      <c r="B136" s="7" t="s">
        <v>187</v>
      </c>
      <c r="C136" s="83"/>
      <c r="D136" s="83"/>
      <c r="G136" s="84"/>
    </row>
    <row r="137" ht="15.75" customHeight="1">
      <c r="A137" s="6">
        <v>30802.0</v>
      </c>
      <c r="B137" s="7" t="s">
        <v>188</v>
      </c>
      <c r="C137" s="83"/>
      <c r="D137" s="83"/>
      <c r="G137" s="84"/>
    </row>
    <row r="138" ht="15.75" customHeight="1">
      <c r="A138" s="6">
        <v>30803.0</v>
      </c>
      <c r="B138" s="7" t="s">
        <v>189</v>
      </c>
      <c r="C138" s="83"/>
      <c r="D138" s="83"/>
      <c r="G138" s="84"/>
    </row>
    <row r="139" ht="15.75" customHeight="1">
      <c r="A139" s="6">
        <v>30901.0</v>
      </c>
      <c r="B139" s="7" t="s">
        <v>190</v>
      </c>
      <c r="C139" s="83"/>
      <c r="D139" s="83"/>
      <c r="G139" s="84"/>
    </row>
    <row r="140" ht="15.75" customHeight="1">
      <c r="A140" s="6">
        <v>30902.0</v>
      </c>
      <c r="B140" s="7" t="s">
        <v>191</v>
      </c>
      <c r="C140" s="83"/>
      <c r="D140" s="83"/>
      <c r="G140" s="84"/>
    </row>
    <row r="141" ht="15.75" customHeight="1">
      <c r="A141" s="6">
        <v>30903.0</v>
      </c>
      <c r="B141" s="7" t="s">
        <v>192</v>
      </c>
      <c r="C141" s="83"/>
      <c r="D141" s="83"/>
      <c r="G141" s="84"/>
    </row>
    <row r="142" ht="15.75" customHeight="1">
      <c r="A142" s="6">
        <v>30904.0</v>
      </c>
      <c r="B142" s="7" t="s">
        <v>193</v>
      </c>
      <c r="C142" s="83"/>
      <c r="D142" s="83"/>
      <c r="G142" s="84"/>
    </row>
    <row r="143" ht="15.75" customHeight="1">
      <c r="A143" s="6">
        <v>30905.0</v>
      </c>
      <c r="B143" s="7" t="s">
        <v>194</v>
      </c>
      <c r="C143" s="83"/>
      <c r="D143" s="83"/>
      <c r="G143" s="84"/>
    </row>
    <row r="144" ht="15.75" customHeight="1">
      <c r="A144" s="6">
        <v>31001.0</v>
      </c>
      <c r="B144" s="7" t="s">
        <v>196</v>
      </c>
      <c r="C144" s="83"/>
      <c r="D144" s="83"/>
      <c r="G144" s="84"/>
    </row>
    <row r="145" ht="15.75" customHeight="1">
      <c r="A145" s="6">
        <v>31002.0</v>
      </c>
      <c r="B145" s="7" t="s">
        <v>197</v>
      </c>
      <c r="C145" s="83"/>
      <c r="D145" s="83"/>
      <c r="G145" s="84"/>
    </row>
    <row r="146" ht="15.75" customHeight="1">
      <c r="A146" s="6">
        <v>31003.0</v>
      </c>
      <c r="B146" s="7" t="s">
        <v>198</v>
      </c>
      <c r="C146" s="83"/>
      <c r="D146" s="83"/>
      <c r="G146" s="84"/>
    </row>
    <row r="147" ht="15.75" customHeight="1">
      <c r="A147" s="6">
        <v>31101.0</v>
      </c>
      <c r="B147" s="7" t="s">
        <v>199</v>
      </c>
      <c r="C147" s="83"/>
      <c r="D147" s="83"/>
      <c r="G147" s="84"/>
    </row>
    <row r="148" ht="15.75" customHeight="1">
      <c r="A148" s="6">
        <v>31201.0</v>
      </c>
      <c r="B148" s="7" t="s">
        <v>201</v>
      </c>
      <c r="C148" s="83"/>
      <c r="D148" s="83"/>
      <c r="G148" s="84"/>
    </row>
    <row r="149" ht="15.75" customHeight="1">
      <c r="A149" s="6">
        <v>31202.0</v>
      </c>
      <c r="B149" s="7" t="s">
        <v>202</v>
      </c>
      <c r="C149" s="83"/>
      <c r="D149" s="83"/>
      <c r="G149" s="84"/>
    </row>
    <row r="150" ht="15.75" customHeight="1">
      <c r="A150" s="6">
        <v>31203.0</v>
      </c>
      <c r="B150" s="7" t="s">
        <v>203</v>
      </c>
      <c r="C150" s="83"/>
      <c r="D150" s="83"/>
      <c r="G150" s="84"/>
    </row>
    <row r="151" ht="15.75" customHeight="1">
      <c r="A151" s="6">
        <v>31204.0</v>
      </c>
      <c r="B151" s="7" t="s">
        <v>204</v>
      </c>
      <c r="C151" s="83"/>
      <c r="D151" s="83"/>
      <c r="G151" s="84"/>
    </row>
    <row r="152" ht="15.75" customHeight="1">
      <c r="A152" s="6">
        <v>31205.0</v>
      </c>
      <c r="B152" s="7" t="s">
        <v>205</v>
      </c>
      <c r="C152" s="83"/>
      <c r="D152" s="83"/>
      <c r="G152" s="84"/>
    </row>
    <row r="153" ht="15.75" customHeight="1">
      <c r="A153" s="6">
        <v>31206.0</v>
      </c>
      <c r="B153" s="7" t="s">
        <v>206</v>
      </c>
      <c r="C153" s="83"/>
      <c r="D153" s="83"/>
      <c r="G153" s="84"/>
    </row>
    <row r="154" ht="15.75" customHeight="1">
      <c r="A154" s="6">
        <v>31301.0</v>
      </c>
      <c r="B154" s="7" t="s">
        <v>207</v>
      </c>
      <c r="C154" s="83"/>
      <c r="D154" s="83"/>
      <c r="G154" s="84"/>
    </row>
    <row r="155" ht="15.75" customHeight="1">
      <c r="A155" s="6">
        <v>31302.0</v>
      </c>
      <c r="B155" s="7" t="s">
        <v>208</v>
      </c>
      <c r="C155" s="83"/>
      <c r="D155" s="83"/>
      <c r="G155" s="84"/>
    </row>
    <row r="156" ht="15.75" customHeight="1">
      <c r="A156" s="6">
        <v>31303.0</v>
      </c>
      <c r="B156" s="7" t="s">
        <v>209</v>
      </c>
      <c r="C156" s="83"/>
      <c r="D156" s="83"/>
      <c r="G156" s="84"/>
    </row>
    <row r="157" ht="15.75" customHeight="1">
      <c r="A157" s="25">
        <v>31304.0</v>
      </c>
      <c r="B157" s="7" t="s">
        <v>210</v>
      </c>
      <c r="C157" s="83"/>
      <c r="D157" s="83"/>
      <c r="G157" s="84"/>
    </row>
    <row r="158" ht="15.75" customHeight="1">
      <c r="A158" s="6">
        <v>31401.0</v>
      </c>
      <c r="B158" s="7" t="s">
        <v>211</v>
      </c>
      <c r="C158" s="83"/>
      <c r="D158" s="83"/>
      <c r="G158" s="84"/>
    </row>
    <row r="159" ht="15.75" customHeight="1">
      <c r="A159" s="6">
        <v>31402.0</v>
      </c>
      <c r="B159" s="7" t="s">
        <v>212</v>
      </c>
      <c r="C159" s="83"/>
      <c r="D159" s="83"/>
      <c r="G159" s="84"/>
    </row>
    <row r="160" ht="15.75" customHeight="1">
      <c r="A160" s="6">
        <v>31403.0</v>
      </c>
      <c r="B160" s="7" t="s">
        <v>213</v>
      </c>
      <c r="C160" s="83"/>
      <c r="D160" s="83"/>
      <c r="G160" s="84"/>
    </row>
    <row r="161" ht="15.75" customHeight="1">
      <c r="A161" s="6">
        <v>31404.0</v>
      </c>
      <c r="B161" s="7" t="s">
        <v>214</v>
      </c>
      <c r="C161" s="83"/>
      <c r="D161" s="83"/>
      <c r="G161" s="84"/>
    </row>
    <row r="162" ht="15.75" customHeight="1">
      <c r="A162" s="6">
        <v>31405.0</v>
      </c>
      <c r="B162" s="7" t="s">
        <v>215</v>
      </c>
      <c r="C162" s="83"/>
      <c r="D162" s="83"/>
      <c r="G162" s="84"/>
    </row>
    <row r="163" ht="15.75" customHeight="1">
      <c r="A163" s="6">
        <v>31501.0</v>
      </c>
      <c r="B163" s="7" t="s">
        <v>216</v>
      </c>
      <c r="C163" s="83"/>
      <c r="D163" s="83"/>
      <c r="G163" s="84"/>
    </row>
    <row r="164" ht="15.75" customHeight="1">
      <c r="A164" s="6">
        <v>31601.0</v>
      </c>
      <c r="B164" s="7" t="s">
        <v>217</v>
      </c>
      <c r="C164" s="83"/>
      <c r="D164" s="83"/>
      <c r="G164" s="84"/>
    </row>
    <row r="165" ht="15.75" customHeight="1">
      <c r="A165" s="6">
        <v>31602.0</v>
      </c>
      <c r="B165" s="7" t="s">
        <v>218</v>
      </c>
      <c r="C165" s="83"/>
      <c r="D165" s="83"/>
      <c r="G165" s="84"/>
    </row>
    <row r="166" ht="15.75" customHeight="1">
      <c r="A166" s="6">
        <v>40101.0</v>
      </c>
      <c r="B166" s="7" t="s">
        <v>20</v>
      </c>
      <c r="C166" s="83"/>
      <c r="D166" s="83"/>
      <c r="G166" s="84"/>
    </row>
    <row r="167" ht="15.75" customHeight="1">
      <c r="A167" s="6">
        <v>40102.0</v>
      </c>
      <c r="B167" s="7" t="s">
        <v>219</v>
      </c>
      <c r="C167" s="83"/>
      <c r="D167" s="83"/>
      <c r="G167" s="84"/>
    </row>
    <row r="168" ht="15.75" customHeight="1">
      <c r="A168" s="6">
        <v>40103.0</v>
      </c>
      <c r="B168" s="7" t="s">
        <v>220</v>
      </c>
      <c r="C168" s="83"/>
      <c r="D168" s="83"/>
      <c r="G168" s="84"/>
    </row>
    <row r="169" ht="15.75" customHeight="1">
      <c r="A169" s="6">
        <v>40104.0</v>
      </c>
      <c r="B169" s="7" t="s">
        <v>221</v>
      </c>
      <c r="C169" s="83"/>
      <c r="D169" s="83"/>
      <c r="G169" s="84"/>
    </row>
    <row r="170" ht="15.75" customHeight="1">
      <c r="A170" s="6">
        <v>40201.0</v>
      </c>
      <c r="B170" s="7" t="s">
        <v>223</v>
      </c>
      <c r="C170" s="83"/>
      <c r="D170" s="83"/>
      <c r="G170" s="84"/>
    </row>
    <row r="171" ht="15.75" customHeight="1">
      <c r="A171" s="6">
        <v>40202.0</v>
      </c>
      <c r="B171" s="7" t="s">
        <v>224</v>
      </c>
      <c r="C171" s="83"/>
      <c r="D171" s="83"/>
      <c r="G171" s="84"/>
    </row>
    <row r="172" ht="15.75" customHeight="1">
      <c r="A172" s="6">
        <v>40301.0</v>
      </c>
      <c r="B172" s="7" t="s">
        <v>226</v>
      </c>
      <c r="C172" s="83"/>
      <c r="D172" s="83"/>
      <c r="G172" s="84"/>
    </row>
    <row r="173" ht="15.75" customHeight="1">
      <c r="A173" s="6">
        <v>40302.0</v>
      </c>
      <c r="B173" s="7" t="s">
        <v>227</v>
      </c>
      <c r="C173" s="83"/>
      <c r="D173" s="83"/>
      <c r="G173" s="84"/>
    </row>
    <row r="174" ht="15.75" customHeight="1">
      <c r="A174" s="6">
        <v>40401.0</v>
      </c>
      <c r="B174" s="7" t="s">
        <v>229</v>
      </c>
      <c r="C174" s="83"/>
      <c r="D174" s="83"/>
      <c r="G174" s="84"/>
    </row>
    <row r="175" ht="15.75" customHeight="1">
      <c r="A175" s="6">
        <v>40402.0</v>
      </c>
      <c r="B175" s="7" t="s">
        <v>230</v>
      </c>
      <c r="C175" s="83"/>
      <c r="D175" s="83"/>
      <c r="G175" s="84"/>
    </row>
    <row r="176" ht="15.75" customHeight="1">
      <c r="A176" s="6">
        <v>40501.0</v>
      </c>
      <c r="B176" s="7" t="s">
        <v>232</v>
      </c>
      <c r="C176" s="83"/>
      <c r="D176" s="83"/>
      <c r="G176" s="84"/>
    </row>
    <row r="177" ht="15.75" customHeight="1">
      <c r="A177" s="6">
        <v>40502.0</v>
      </c>
      <c r="B177" s="7" t="s">
        <v>233</v>
      </c>
      <c r="C177" s="83"/>
      <c r="D177" s="83"/>
      <c r="G177" s="84"/>
    </row>
    <row r="178" ht="15.75" customHeight="1">
      <c r="A178" s="6">
        <v>40503.0</v>
      </c>
      <c r="B178" s="7" t="s">
        <v>234</v>
      </c>
      <c r="C178" s="83"/>
      <c r="D178" s="83"/>
      <c r="G178" s="84"/>
    </row>
    <row r="179" ht="15.75" customHeight="1">
      <c r="A179" s="6">
        <v>40504.0</v>
      </c>
      <c r="B179" s="7" t="s">
        <v>235</v>
      </c>
      <c r="C179" s="83"/>
      <c r="D179" s="83"/>
      <c r="G179" s="84"/>
    </row>
    <row r="180" ht="15.75" customHeight="1">
      <c r="A180" s="6">
        <v>40505.0</v>
      </c>
      <c r="B180" s="7" t="s">
        <v>236</v>
      </c>
      <c r="C180" s="83"/>
      <c r="D180" s="83"/>
      <c r="G180" s="84"/>
    </row>
    <row r="181" ht="15.75" customHeight="1">
      <c r="A181" s="6">
        <v>40601.0</v>
      </c>
      <c r="B181" s="7" t="s">
        <v>237</v>
      </c>
      <c r="C181" s="83"/>
      <c r="D181" s="83"/>
      <c r="G181" s="84"/>
    </row>
    <row r="182" ht="15.75" customHeight="1">
      <c r="A182" s="6">
        <v>40602.0</v>
      </c>
      <c r="B182" s="7" t="s">
        <v>238</v>
      </c>
      <c r="C182" s="83"/>
      <c r="D182" s="83"/>
      <c r="G182" s="84"/>
    </row>
    <row r="183" ht="15.75" customHeight="1">
      <c r="A183" s="6">
        <v>40603.0</v>
      </c>
      <c r="B183" s="7" t="s">
        <v>239</v>
      </c>
      <c r="C183" s="83"/>
      <c r="D183" s="83"/>
      <c r="G183" s="84"/>
    </row>
    <row r="184" ht="15.75" customHeight="1">
      <c r="A184" s="6">
        <v>40701.0</v>
      </c>
      <c r="B184" s="7" t="s">
        <v>241</v>
      </c>
      <c r="C184" s="83"/>
      <c r="D184" s="83"/>
      <c r="G184" s="84"/>
    </row>
    <row r="185" ht="15.75" customHeight="1">
      <c r="A185" s="6">
        <v>40702.0</v>
      </c>
      <c r="B185" s="7" t="s">
        <v>242</v>
      </c>
      <c r="C185" s="83"/>
      <c r="D185" s="83"/>
      <c r="G185" s="84"/>
    </row>
    <row r="186" ht="15.75" customHeight="1">
      <c r="A186" s="6">
        <v>40801.0</v>
      </c>
      <c r="B186" s="7" t="s">
        <v>244</v>
      </c>
      <c r="C186" s="83"/>
      <c r="D186" s="83"/>
      <c r="G186" s="84"/>
    </row>
    <row r="187" ht="15.75" customHeight="1">
      <c r="A187" s="6">
        <v>40802.0</v>
      </c>
      <c r="B187" s="7" t="s">
        <v>245</v>
      </c>
      <c r="C187" s="83"/>
      <c r="D187" s="83"/>
      <c r="G187" s="84"/>
    </row>
    <row r="188" ht="15.75" customHeight="1">
      <c r="A188" s="6">
        <v>40901.0</v>
      </c>
      <c r="B188" s="7" t="s">
        <v>246</v>
      </c>
      <c r="C188" s="83"/>
      <c r="D188" s="83"/>
      <c r="G188" s="84"/>
    </row>
    <row r="189" ht="15.75" customHeight="1">
      <c r="A189" s="6">
        <v>40902.0</v>
      </c>
      <c r="B189" s="7" t="s">
        <v>247</v>
      </c>
      <c r="C189" s="83"/>
      <c r="D189" s="83"/>
      <c r="G189" s="84"/>
    </row>
    <row r="190" ht="15.75" customHeight="1">
      <c r="A190" s="6">
        <v>40903.0</v>
      </c>
      <c r="B190" s="7" t="s">
        <v>248</v>
      </c>
      <c r="C190" s="83"/>
      <c r="D190" s="83"/>
      <c r="G190" s="84"/>
    </row>
    <row r="191" ht="15.75" customHeight="1">
      <c r="A191" s="6">
        <v>41001.0</v>
      </c>
      <c r="B191" s="7" t="s">
        <v>250</v>
      </c>
      <c r="C191" s="83"/>
      <c r="D191" s="83"/>
      <c r="G191" s="84"/>
    </row>
    <row r="192" ht="15.75" customHeight="1">
      <c r="A192" s="6">
        <v>41101.0</v>
      </c>
      <c r="B192" s="7" t="s">
        <v>252</v>
      </c>
      <c r="C192" s="83"/>
      <c r="D192" s="83"/>
      <c r="G192" s="84"/>
    </row>
    <row r="193" ht="15.75" customHeight="1">
      <c r="A193" s="6">
        <v>41201.0</v>
      </c>
      <c r="B193" s="7" t="s">
        <v>254</v>
      </c>
      <c r="C193" s="83"/>
      <c r="D193" s="83"/>
      <c r="G193" s="84"/>
    </row>
    <row r="194" ht="15.75" customHeight="1">
      <c r="A194" s="6">
        <v>41202.0</v>
      </c>
      <c r="B194" s="7" t="s">
        <v>255</v>
      </c>
      <c r="C194" s="83"/>
      <c r="D194" s="83"/>
      <c r="G194" s="84"/>
    </row>
    <row r="195" ht="15.75" customHeight="1">
      <c r="A195" s="6">
        <v>41301.0</v>
      </c>
      <c r="B195" s="7" t="s">
        <v>256</v>
      </c>
      <c r="C195" s="83"/>
      <c r="D195" s="83"/>
      <c r="G195" s="84"/>
    </row>
    <row r="196" ht="15.75" customHeight="1">
      <c r="A196" s="6">
        <v>41401.0</v>
      </c>
      <c r="B196" s="7" t="s">
        <v>258</v>
      </c>
      <c r="C196" s="83"/>
      <c r="D196" s="83"/>
      <c r="G196" s="84"/>
    </row>
    <row r="197" ht="15.75" customHeight="1">
      <c r="A197" s="6">
        <v>41501.0</v>
      </c>
      <c r="B197" s="7" t="s">
        <v>260</v>
      </c>
      <c r="C197" s="83"/>
      <c r="D197" s="83"/>
      <c r="G197" s="84"/>
    </row>
    <row r="198" ht="15.75" customHeight="1">
      <c r="A198" s="6">
        <v>41502.0</v>
      </c>
      <c r="B198" s="7" t="s">
        <v>261</v>
      </c>
      <c r="C198" s="83"/>
      <c r="D198" s="83"/>
      <c r="G198" s="84"/>
    </row>
    <row r="199" ht="15.75" customHeight="1">
      <c r="A199" s="6">
        <v>41503.0</v>
      </c>
      <c r="B199" s="7" t="s">
        <v>225</v>
      </c>
      <c r="C199" s="83"/>
      <c r="D199" s="83"/>
      <c r="G199" s="84"/>
    </row>
    <row r="200" ht="15.75" customHeight="1">
      <c r="A200" s="6">
        <v>41601.0</v>
      </c>
      <c r="B200" s="7" t="s">
        <v>263</v>
      </c>
      <c r="C200" s="83"/>
      <c r="D200" s="83"/>
      <c r="G200" s="84"/>
    </row>
    <row r="201" ht="15.75" customHeight="1">
      <c r="A201" s="6">
        <v>50101.0</v>
      </c>
      <c r="B201" s="7" t="s">
        <v>264</v>
      </c>
      <c r="C201" s="83"/>
      <c r="D201" s="83"/>
      <c r="G201" s="84"/>
    </row>
    <row r="202" ht="15.75" customHeight="1">
      <c r="A202" s="6">
        <v>50102.0</v>
      </c>
      <c r="B202" s="7" t="s">
        <v>266</v>
      </c>
      <c r="C202" s="83"/>
      <c r="D202" s="83"/>
      <c r="G202" s="84"/>
    </row>
    <row r="203" ht="15.75" customHeight="1">
      <c r="A203" s="6">
        <v>50103.0</v>
      </c>
      <c r="B203" s="7" t="s">
        <v>267</v>
      </c>
      <c r="C203" s="83"/>
      <c r="D203" s="83"/>
      <c r="G203" s="84"/>
    </row>
    <row r="204" ht="15.75" customHeight="1">
      <c r="A204" s="6">
        <v>50104.0</v>
      </c>
      <c r="B204" s="7" t="s">
        <v>268</v>
      </c>
      <c r="C204" s="83"/>
      <c r="D204" s="83"/>
      <c r="G204" s="84"/>
    </row>
    <row r="205" ht="15.75" customHeight="1">
      <c r="A205" s="6">
        <v>50201.0</v>
      </c>
      <c r="B205" s="7" t="s">
        <v>270</v>
      </c>
      <c r="C205" s="83"/>
      <c r="D205" s="83"/>
      <c r="G205" s="84"/>
    </row>
    <row r="206" ht="15.75" customHeight="1">
      <c r="A206" s="6">
        <v>50202.0</v>
      </c>
      <c r="B206" s="7" t="s">
        <v>271</v>
      </c>
      <c r="C206" s="83"/>
      <c r="D206" s="83"/>
      <c r="G206" s="84"/>
    </row>
    <row r="207" ht="15.75" customHeight="1">
      <c r="A207" s="6">
        <v>50203.0</v>
      </c>
      <c r="B207" s="7" t="s">
        <v>272</v>
      </c>
      <c r="C207" s="83"/>
      <c r="D207" s="83"/>
      <c r="G207" s="84"/>
    </row>
    <row r="208" ht="15.75" customHeight="1">
      <c r="A208" s="6">
        <v>50204.0</v>
      </c>
      <c r="B208" s="7" t="s">
        <v>273</v>
      </c>
      <c r="C208" s="83"/>
      <c r="D208" s="83"/>
      <c r="G208" s="84"/>
    </row>
    <row r="209" ht="15.75" customHeight="1">
      <c r="A209" s="6">
        <v>50301.0</v>
      </c>
      <c r="B209" s="7" t="s">
        <v>275</v>
      </c>
      <c r="C209" s="83"/>
      <c r="D209" s="83"/>
      <c r="G209" s="84"/>
    </row>
    <row r="210" ht="15.75" customHeight="1">
      <c r="A210" s="6">
        <v>50302.0</v>
      </c>
      <c r="B210" s="7" t="s">
        <v>276</v>
      </c>
      <c r="C210" s="83"/>
      <c r="D210" s="83"/>
      <c r="G210" s="84"/>
    </row>
    <row r="211" ht="15.75" customHeight="1">
      <c r="A211" s="6">
        <v>50303.0</v>
      </c>
      <c r="B211" s="7" t="s">
        <v>277</v>
      </c>
      <c r="C211" s="83"/>
      <c r="D211" s="83"/>
      <c r="G211" s="84"/>
    </row>
    <row r="212" ht="15.75" customHeight="1">
      <c r="A212" s="6">
        <v>50401.0</v>
      </c>
      <c r="B212" s="7" t="s">
        <v>278</v>
      </c>
      <c r="C212" s="83"/>
      <c r="D212" s="83"/>
      <c r="G212" s="84"/>
    </row>
    <row r="213" ht="15.75" customHeight="1">
      <c r="A213" s="6">
        <v>50402.0</v>
      </c>
      <c r="B213" s="7" t="s">
        <v>279</v>
      </c>
      <c r="C213" s="83"/>
      <c r="D213" s="83"/>
      <c r="G213" s="84"/>
    </row>
    <row r="214" ht="15.75" customHeight="1">
      <c r="A214" s="6">
        <v>50403.0</v>
      </c>
      <c r="B214" s="7" t="s">
        <v>280</v>
      </c>
      <c r="C214" s="83"/>
      <c r="D214" s="83"/>
      <c r="G214" s="84"/>
    </row>
    <row r="215" ht="15.75" customHeight="1">
      <c r="A215" s="6">
        <v>50404.0</v>
      </c>
      <c r="B215" s="7" t="s">
        <v>281</v>
      </c>
      <c r="C215" s="83"/>
      <c r="D215" s="83"/>
      <c r="G215" s="84"/>
    </row>
    <row r="216" ht="15.75" customHeight="1">
      <c r="A216" s="6">
        <v>50405.0</v>
      </c>
      <c r="B216" s="82" t="s">
        <v>282</v>
      </c>
      <c r="C216" s="83"/>
      <c r="D216" s="83"/>
      <c r="G216" s="84"/>
    </row>
    <row r="217" ht="15.75" customHeight="1">
      <c r="A217" s="6">
        <v>50501.0</v>
      </c>
      <c r="B217" s="7" t="s">
        <v>284</v>
      </c>
      <c r="C217" s="83"/>
      <c r="D217" s="83"/>
      <c r="G217" s="84"/>
    </row>
    <row r="218" ht="15.75" customHeight="1">
      <c r="A218" s="6">
        <v>50502.0</v>
      </c>
      <c r="B218" s="7" t="s">
        <v>285</v>
      </c>
      <c r="C218" s="83"/>
      <c r="D218" s="83"/>
      <c r="G218" s="84"/>
    </row>
    <row r="219" ht="15.75" customHeight="1">
      <c r="A219" s="6">
        <v>50601.0</v>
      </c>
      <c r="B219" s="7" t="s">
        <v>287</v>
      </c>
      <c r="C219" s="83"/>
      <c r="D219" s="83"/>
      <c r="G219" s="84"/>
    </row>
    <row r="220" ht="15.75" customHeight="1">
      <c r="A220" s="6">
        <v>50602.0</v>
      </c>
      <c r="B220" s="7" t="s">
        <v>288</v>
      </c>
      <c r="C220" s="83"/>
      <c r="D220" s="83"/>
      <c r="G220" s="84"/>
    </row>
    <row r="221" ht="15.75" customHeight="1">
      <c r="A221" s="6">
        <v>50701.0</v>
      </c>
      <c r="B221" s="7" t="s">
        <v>290</v>
      </c>
      <c r="C221" s="83"/>
      <c r="D221" s="83"/>
      <c r="G221" s="84"/>
    </row>
    <row r="222" ht="15.75" customHeight="1">
      <c r="A222" s="6">
        <v>50702.0</v>
      </c>
      <c r="B222" s="7" t="s">
        <v>291</v>
      </c>
      <c r="C222" s="83"/>
      <c r="D222" s="83"/>
      <c r="G222" s="84"/>
    </row>
    <row r="223" ht="15.75" customHeight="1">
      <c r="A223" s="6">
        <v>50801.0</v>
      </c>
      <c r="B223" s="7" t="s">
        <v>293</v>
      </c>
      <c r="C223" s="83"/>
      <c r="D223" s="83"/>
      <c r="G223" s="84"/>
    </row>
    <row r="224" ht="15.75" customHeight="1">
      <c r="A224" s="6">
        <v>50802.0</v>
      </c>
      <c r="B224" s="7" t="s">
        <v>294</v>
      </c>
      <c r="C224" s="83"/>
      <c r="D224" s="83"/>
      <c r="G224" s="84"/>
    </row>
    <row r="225" ht="15.75" customHeight="1">
      <c r="A225" s="6">
        <v>50901.0</v>
      </c>
      <c r="B225" s="7" t="s">
        <v>296</v>
      </c>
      <c r="C225" s="83"/>
      <c r="D225" s="83"/>
      <c r="G225" s="84"/>
    </row>
    <row r="226" ht="15.75" customHeight="1">
      <c r="A226" s="6">
        <v>50902.0</v>
      </c>
      <c r="B226" s="7" t="s">
        <v>297</v>
      </c>
      <c r="C226" s="83"/>
      <c r="D226" s="83"/>
      <c r="G226" s="84"/>
    </row>
    <row r="227" ht="15.75" customHeight="1">
      <c r="A227" s="6">
        <v>51001.0</v>
      </c>
      <c r="B227" s="7" t="s">
        <v>299</v>
      </c>
      <c r="C227" s="83"/>
      <c r="D227" s="83"/>
      <c r="G227" s="84"/>
    </row>
    <row r="228" ht="15.75" customHeight="1">
      <c r="A228" s="6">
        <v>51002.0</v>
      </c>
      <c r="B228" s="7" t="s">
        <v>300</v>
      </c>
      <c r="C228" s="83"/>
      <c r="D228" s="83"/>
      <c r="G228" s="84"/>
    </row>
    <row r="229" ht="15.75" customHeight="1">
      <c r="A229" s="6">
        <v>51003.0</v>
      </c>
      <c r="B229" s="7" t="s">
        <v>301</v>
      </c>
      <c r="C229" s="83"/>
      <c r="D229" s="83"/>
      <c r="G229" s="84"/>
    </row>
    <row r="230" ht="15.75" customHeight="1">
      <c r="A230" s="6">
        <v>51101.0</v>
      </c>
      <c r="B230" s="7" t="s">
        <v>303</v>
      </c>
      <c r="C230" s="83"/>
      <c r="D230" s="83"/>
      <c r="G230" s="84"/>
    </row>
    <row r="231" ht="15.75" customHeight="1">
      <c r="A231" s="6">
        <v>51102.0</v>
      </c>
      <c r="B231" s="7" t="s">
        <v>304</v>
      </c>
      <c r="C231" s="83"/>
      <c r="D231" s="83"/>
      <c r="G231" s="84"/>
    </row>
    <row r="232" ht="15.75" customHeight="1">
      <c r="A232" s="6">
        <v>51103.0</v>
      </c>
      <c r="B232" s="7" t="s">
        <v>305</v>
      </c>
      <c r="C232" s="83"/>
      <c r="D232" s="83"/>
      <c r="G232" s="84"/>
    </row>
    <row r="233" ht="15.75" customHeight="1">
      <c r="A233" s="6">
        <v>51201.0</v>
      </c>
      <c r="B233" s="7" t="s">
        <v>307</v>
      </c>
      <c r="C233" s="83"/>
      <c r="D233" s="83"/>
      <c r="G233" s="84"/>
    </row>
    <row r="234" ht="15.75" customHeight="1">
      <c r="A234" s="6">
        <v>51202.0</v>
      </c>
      <c r="B234" s="7" t="s">
        <v>308</v>
      </c>
      <c r="C234" s="83"/>
      <c r="D234" s="83"/>
      <c r="G234" s="84"/>
    </row>
    <row r="235" ht="15.75" customHeight="1">
      <c r="A235" s="6">
        <v>51203.0</v>
      </c>
      <c r="B235" s="7" t="s">
        <v>309</v>
      </c>
      <c r="C235" s="83"/>
      <c r="D235" s="83"/>
      <c r="G235" s="84"/>
    </row>
    <row r="236" ht="15.75" customHeight="1">
      <c r="A236" s="6">
        <v>51204.0</v>
      </c>
      <c r="B236" s="82" t="s">
        <v>310</v>
      </c>
      <c r="C236" s="83"/>
      <c r="D236" s="83"/>
      <c r="G236" s="84"/>
    </row>
    <row r="237" ht="15.75" customHeight="1">
      <c r="A237" s="6">
        <v>51301.0</v>
      </c>
      <c r="B237" s="7" t="s">
        <v>312</v>
      </c>
      <c r="C237" s="83"/>
      <c r="D237" s="83"/>
      <c r="G237" s="84"/>
    </row>
    <row r="238" ht="15.75" customHeight="1">
      <c r="A238" s="6">
        <v>51302.0</v>
      </c>
      <c r="B238" s="7" t="s">
        <v>313</v>
      </c>
      <c r="C238" s="83"/>
      <c r="D238" s="83"/>
      <c r="G238" s="84"/>
    </row>
    <row r="239" ht="15.75" customHeight="1">
      <c r="A239" s="6">
        <v>51401.0</v>
      </c>
      <c r="B239" s="7" t="s">
        <v>315</v>
      </c>
      <c r="C239" s="83"/>
      <c r="D239" s="83"/>
      <c r="G239" s="84"/>
    </row>
    <row r="240" ht="15.75" customHeight="1">
      <c r="A240" s="6">
        <v>51402.0</v>
      </c>
      <c r="B240" s="7" t="s">
        <v>316</v>
      </c>
      <c r="C240" s="83"/>
      <c r="D240" s="83"/>
      <c r="G240" s="84"/>
    </row>
    <row r="241" ht="15.75" customHeight="1">
      <c r="A241" s="6">
        <v>51501.0</v>
      </c>
      <c r="B241" s="7" t="s">
        <v>318</v>
      </c>
      <c r="C241" s="83"/>
      <c r="D241" s="83"/>
      <c r="G241" s="84"/>
    </row>
    <row r="242" ht="15.75" customHeight="1">
      <c r="A242" s="6">
        <v>51601.0</v>
      </c>
      <c r="B242" s="7" t="s">
        <v>320</v>
      </c>
      <c r="C242" s="83"/>
      <c r="D242" s="83"/>
      <c r="G242" s="84"/>
    </row>
    <row r="243" ht="15.75" customHeight="1">
      <c r="A243" s="6">
        <v>60101.0</v>
      </c>
      <c r="B243" s="7" t="s">
        <v>25</v>
      </c>
      <c r="C243" s="83"/>
      <c r="D243" s="83"/>
      <c r="G243" s="84"/>
    </row>
    <row r="244" ht="15.75" customHeight="1">
      <c r="A244" s="6">
        <v>60201.0</v>
      </c>
      <c r="B244" s="7" t="s">
        <v>322</v>
      </c>
      <c r="C244" s="83"/>
      <c r="D244" s="83"/>
      <c r="G244" s="84"/>
    </row>
    <row r="245" ht="15.75" customHeight="1">
      <c r="A245" s="6">
        <v>60202.0</v>
      </c>
      <c r="B245" s="7" t="s">
        <v>323</v>
      </c>
      <c r="C245" s="83"/>
      <c r="D245" s="83"/>
      <c r="G245" s="84"/>
    </row>
    <row r="246" ht="15.75" customHeight="1">
      <c r="A246" s="6">
        <v>60301.0</v>
      </c>
      <c r="B246" s="7" t="s">
        <v>324</v>
      </c>
      <c r="C246" s="83"/>
      <c r="D246" s="83"/>
      <c r="G246" s="84"/>
    </row>
    <row r="247" ht="15.75" customHeight="1">
      <c r="A247" s="6">
        <v>60302.0</v>
      </c>
      <c r="B247" s="7" t="s">
        <v>325</v>
      </c>
      <c r="C247" s="83"/>
      <c r="D247" s="83"/>
      <c r="G247" s="84"/>
    </row>
    <row r="248" ht="15.75" customHeight="1">
      <c r="A248" s="6">
        <v>60303.0</v>
      </c>
      <c r="B248" s="7" t="s">
        <v>326</v>
      </c>
      <c r="C248" s="83"/>
      <c r="D248" s="83"/>
      <c r="G248" s="84"/>
    </row>
    <row r="249" ht="15.75" customHeight="1">
      <c r="A249" s="6">
        <v>60401.0</v>
      </c>
      <c r="B249" s="7" t="s">
        <v>328</v>
      </c>
      <c r="C249" s="83"/>
      <c r="D249" s="83"/>
      <c r="G249" s="84"/>
    </row>
    <row r="250" ht="15.75" customHeight="1">
      <c r="A250" s="6">
        <v>60402.0</v>
      </c>
      <c r="B250" s="7" t="s">
        <v>329</v>
      </c>
      <c r="C250" s="83"/>
      <c r="D250" s="83"/>
      <c r="G250" s="84"/>
    </row>
    <row r="251" ht="15.75" customHeight="1">
      <c r="A251" s="6">
        <v>60501.0</v>
      </c>
      <c r="B251" s="7" t="s">
        <v>331</v>
      </c>
      <c r="C251" s="83"/>
      <c r="D251" s="83"/>
      <c r="G251" s="84"/>
    </row>
    <row r="252" ht="15.75" customHeight="1">
      <c r="A252" s="6">
        <v>60502.0</v>
      </c>
      <c r="B252" s="7" t="s">
        <v>332</v>
      </c>
      <c r="C252" s="83"/>
      <c r="D252" s="83"/>
      <c r="G252" s="84"/>
    </row>
    <row r="253" ht="15.75" customHeight="1">
      <c r="A253" s="6">
        <v>60601.0</v>
      </c>
      <c r="B253" s="7" t="s">
        <v>206</v>
      </c>
      <c r="C253" s="83"/>
      <c r="D253" s="83"/>
      <c r="G253" s="84"/>
    </row>
    <row r="254" ht="15.75" customHeight="1">
      <c r="A254" s="6">
        <v>70101.0</v>
      </c>
      <c r="B254" s="7" t="s">
        <v>335</v>
      </c>
      <c r="C254" s="83"/>
      <c r="D254" s="83"/>
      <c r="G254" s="84"/>
    </row>
    <row r="255" ht="15.75" customHeight="1">
      <c r="A255" s="6">
        <v>70102.0</v>
      </c>
      <c r="B255" s="7" t="s">
        <v>336</v>
      </c>
      <c r="C255" s="83"/>
      <c r="D255" s="83"/>
      <c r="G255" s="84"/>
    </row>
    <row r="256" ht="15.75" customHeight="1">
      <c r="A256" s="6">
        <v>70103.0</v>
      </c>
      <c r="B256" s="7" t="s">
        <v>337</v>
      </c>
      <c r="C256" s="83"/>
      <c r="D256" s="83"/>
      <c r="G256" s="84"/>
    </row>
    <row r="257" ht="15.75" customHeight="1">
      <c r="A257" s="6">
        <v>70104.0</v>
      </c>
      <c r="B257" s="7" t="s">
        <v>338</v>
      </c>
      <c r="C257" s="83"/>
      <c r="D257" s="83"/>
      <c r="G257" s="84"/>
    </row>
    <row r="258" ht="15.75" customHeight="1">
      <c r="A258" s="6">
        <v>70105.0</v>
      </c>
      <c r="B258" s="7" t="s">
        <v>339</v>
      </c>
      <c r="C258" s="83"/>
      <c r="D258" s="83"/>
      <c r="G258" s="84"/>
    </row>
    <row r="259" ht="15.75" customHeight="1">
      <c r="A259" s="6">
        <v>70201.0</v>
      </c>
      <c r="B259" s="7" t="s">
        <v>340</v>
      </c>
      <c r="C259" s="83"/>
      <c r="D259" s="83"/>
      <c r="G259" s="84"/>
    </row>
    <row r="260" ht="15.75" customHeight="1">
      <c r="A260" s="6">
        <v>70202.0</v>
      </c>
      <c r="B260" s="7" t="s">
        <v>341</v>
      </c>
      <c r="C260" s="83"/>
      <c r="D260" s="83"/>
      <c r="G260" s="84"/>
    </row>
    <row r="261" ht="15.75" customHeight="1">
      <c r="A261" s="6">
        <v>70301.0</v>
      </c>
      <c r="B261" s="7" t="s">
        <v>343</v>
      </c>
      <c r="C261" s="83"/>
      <c r="D261" s="83"/>
      <c r="G261" s="84"/>
    </row>
    <row r="262" ht="15.75" customHeight="1">
      <c r="A262" s="6">
        <v>70302.0</v>
      </c>
      <c r="B262" s="7" t="s">
        <v>344</v>
      </c>
      <c r="C262" s="83"/>
      <c r="D262" s="83"/>
      <c r="G262" s="84"/>
    </row>
    <row r="263" ht="15.75" customHeight="1">
      <c r="A263" s="6">
        <v>70303.0</v>
      </c>
      <c r="B263" s="7" t="s">
        <v>345</v>
      </c>
      <c r="C263" s="83"/>
      <c r="D263" s="83"/>
      <c r="G263" s="84"/>
    </row>
    <row r="264" ht="15.75" customHeight="1">
      <c r="A264" s="6">
        <v>70401.0</v>
      </c>
      <c r="B264" s="7" t="s">
        <v>347</v>
      </c>
      <c r="C264" s="83"/>
      <c r="D264" s="83"/>
      <c r="G264" s="84"/>
    </row>
    <row r="265" ht="15.75" customHeight="1">
      <c r="A265" s="6">
        <v>70402.0</v>
      </c>
      <c r="B265" s="7" t="s">
        <v>348</v>
      </c>
      <c r="C265" s="83"/>
      <c r="D265" s="83"/>
      <c r="G265" s="84"/>
    </row>
    <row r="266" ht="15.75" customHeight="1">
      <c r="A266" s="6">
        <v>70403.0</v>
      </c>
      <c r="B266" s="7" t="s">
        <v>349</v>
      </c>
      <c r="C266" s="83"/>
      <c r="D266" s="83"/>
      <c r="G266" s="84"/>
    </row>
    <row r="267" ht="15.75" customHeight="1">
      <c r="A267" s="6">
        <v>70404.0</v>
      </c>
      <c r="B267" s="7" t="s">
        <v>350</v>
      </c>
      <c r="C267" s="83"/>
      <c r="D267" s="83"/>
      <c r="G267" s="84"/>
    </row>
    <row r="268" ht="15.75" customHeight="1">
      <c r="A268" s="6">
        <v>70501.0</v>
      </c>
      <c r="B268" s="7" t="s">
        <v>352</v>
      </c>
      <c r="C268" s="83"/>
      <c r="D268" s="83"/>
      <c r="G268" s="84"/>
    </row>
    <row r="269" ht="15.75" customHeight="1">
      <c r="A269" s="6">
        <v>70502.0</v>
      </c>
      <c r="B269" s="7" t="s">
        <v>353</v>
      </c>
      <c r="C269" s="83"/>
      <c r="D269" s="83"/>
      <c r="G269" s="84"/>
    </row>
    <row r="270" ht="15.75" customHeight="1">
      <c r="A270" s="6">
        <v>70503.0</v>
      </c>
      <c r="B270" s="7" t="s">
        <v>354</v>
      </c>
      <c r="C270" s="83"/>
      <c r="D270" s="83"/>
      <c r="G270" s="84"/>
    </row>
    <row r="271" ht="15.75" customHeight="1">
      <c r="A271" s="6">
        <v>70601.0</v>
      </c>
      <c r="B271" s="7" t="s">
        <v>356</v>
      </c>
      <c r="C271" s="83"/>
      <c r="D271" s="83"/>
      <c r="G271" s="84"/>
    </row>
    <row r="272" ht="15.75" customHeight="1">
      <c r="A272" s="6">
        <v>70602.0</v>
      </c>
      <c r="B272" s="7" t="s">
        <v>357</v>
      </c>
      <c r="C272" s="83"/>
      <c r="D272" s="83"/>
      <c r="G272" s="84"/>
    </row>
    <row r="273" ht="15.75" customHeight="1">
      <c r="A273" s="6">
        <v>70603.0</v>
      </c>
      <c r="B273" s="7" t="s">
        <v>358</v>
      </c>
      <c r="C273" s="83"/>
      <c r="D273" s="83"/>
      <c r="G273" s="84"/>
    </row>
    <row r="274" ht="15.75" customHeight="1">
      <c r="A274" s="6">
        <v>70701.0</v>
      </c>
      <c r="B274" s="7" t="s">
        <v>360</v>
      </c>
      <c r="C274" s="83"/>
      <c r="D274" s="83"/>
      <c r="G274" s="84"/>
    </row>
    <row r="275" ht="15.75" customHeight="1">
      <c r="A275" s="6">
        <v>70702.0</v>
      </c>
      <c r="B275" s="7" t="s">
        <v>361</v>
      </c>
      <c r="C275" s="83"/>
      <c r="D275" s="83"/>
      <c r="G275" s="84"/>
    </row>
    <row r="276" ht="15.75" customHeight="1">
      <c r="A276" s="6">
        <v>70703.0</v>
      </c>
      <c r="B276" s="7" t="s">
        <v>362</v>
      </c>
      <c r="C276" s="83"/>
      <c r="D276" s="83"/>
      <c r="G276" s="84"/>
    </row>
    <row r="277" ht="15.75" customHeight="1">
      <c r="A277" s="6">
        <v>70704.0</v>
      </c>
      <c r="B277" s="7" t="s">
        <v>363</v>
      </c>
      <c r="C277" s="83"/>
      <c r="D277" s="83"/>
      <c r="G277" s="84"/>
    </row>
    <row r="278" ht="15.75" customHeight="1">
      <c r="A278" s="6">
        <v>70705.0</v>
      </c>
      <c r="B278" s="7" t="s">
        <v>364</v>
      </c>
      <c r="C278" s="83"/>
      <c r="D278" s="83"/>
      <c r="G278" s="84"/>
    </row>
    <row r="279" ht="15.75" customHeight="1">
      <c r="A279" s="6">
        <v>70706.0</v>
      </c>
      <c r="B279" s="7" t="s">
        <v>365</v>
      </c>
      <c r="C279" s="83"/>
      <c r="D279" s="83"/>
      <c r="G279" s="84"/>
    </row>
    <row r="280" ht="15.75" customHeight="1">
      <c r="A280" s="6">
        <v>70707.0</v>
      </c>
      <c r="B280" s="7" t="s">
        <v>366</v>
      </c>
      <c r="C280" s="83"/>
      <c r="D280" s="83"/>
      <c r="G280" s="84"/>
    </row>
    <row r="281" ht="15.75" customHeight="1">
      <c r="A281" s="6">
        <v>70801.0</v>
      </c>
      <c r="B281" s="7" t="s">
        <v>367</v>
      </c>
      <c r="C281" s="83"/>
      <c r="D281" s="83"/>
      <c r="G281" s="84"/>
    </row>
    <row r="282" ht="15.75" customHeight="1">
      <c r="A282" s="6">
        <v>70802.0</v>
      </c>
      <c r="B282" s="7" t="s">
        <v>368</v>
      </c>
      <c r="C282" s="83"/>
      <c r="D282" s="83"/>
      <c r="G282" s="84"/>
    </row>
    <row r="283" ht="15.75" customHeight="1">
      <c r="A283" s="6">
        <v>70803.0</v>
      </c>
      <c r="B283" s="7" t="s">
        <v>369</v>
      </c>
      <c r="C283" s="83"/>
      <c r="D283" s="83"/>
      <c r="G283" s="84"/>
    </row>
    <row r="284" ht="15.75" customHeight="1">
      <c r="A284" s="6">
        <v>70804.0</v>
      </c>
      <c r="B284" s="7" t="s">
        <v>370</v>
      </c>
      <c r="C284" s="83"/>
      <c r="D284" s="83"/>
      <c r="G284" s="84"/>
    </row>
    <row r="285" ht="15.75" customHeight="1">
      <c r="A285" s="6">
        <v>70805.0</v>
      </c>
      <c r="B285" s="7" t="s">
        <v>371</v>
      </c>
      <c r="C285" s="83"/>
      <c r="D285" s="83"/>
      <c r="G285" s="84"/>
    </row>
    <row r="286" ht="15.75" customHeight="1">
      <c r="A286" s="6">
        <v>70901.0</v>
      </c>
      <c r="B286" s="7" t="s">
        <v>373</v>
      </c>
      <c r="C286" s="83"/>
      <c r="D286" s="83"/>
      <c r="G286" s="84"/>
    </row>
    <row r="287" ht="15.75" customHeight="1">
      <c r="A287" s="6">
        <v>70902.0</v>
      </c>
      <c r="B287" s="7" t="s">
        <v>374</v>
      </c>
      <c r="C287" s="83"/>
      <c r="D287" s="83"/>
      <c r="G287" s="84"/>
    </row>
    <row r="288" ht="15.75" customHeight="1">
      <c r="A288" s="6">
        <v>70903.0</v>
      </c>
      <c r="B288" s="7" t="s">
        <v>375</v>
      </c>
      <c r="C288" s="83"/>
      <c r="D288" s="83"/>
      <c r="G288" s="84"/>
    </row>
    <row r="289" ht="15.75" customHeight="1">
      <c r="A289" s="6">
        <v>70904.0</v>
      </c>
      <c r="B289" s="7" t="s">
        <v>376</v>
      </c>
      <c r="C289" s="83"/>
      <c r="D289" s="83"/>
      <c r="G289" s="84"/>
    </row>
    <row r="290" ht="15.75" customHeight="1">
      <c r="A290" s="6">
        <v>71001.0</v>
      </c>
      <c r="B290" s="7" t="s">
        <v>378</v>
      </c>
      <c r="C290" s="83"/>
      <c r="D290" s="83"/>
      <c r="G290" s="84"/>
    </row>
    <row r="291" ht="15.75" customHeight="1">
      <c r="A291" s="6">
        <v>71002.0</v>
      </c>
      <c r="B291" s="7" t="s">
        <v>379</v>
      </c>
      <c r="C291" s="83"/>
      <c r="D291" s="83"/>
      <c r="G291" s="84"/>
    </row>
    <row r="292" ht="15.75" customHeight="1">
      <c r="A292" s="6">
        <v>71003.0</v>
      </c>
      <c r="B292" s="7" t="s">
        <v>380</v>
      </c>
      <c r="C292" s="83"/>
      <c r="D292" s="83"/>
      <c r="G292" s="84"/>
    </row>
    <row r="293" ht="15.75" customHeight="1">
      <c r="A293" s="6">
        <v>71004.0</v>
      </c>
      <c r="B293" s="7" t="s">
        <v>381</v>
      </c>
      <c r="C293" s="83"/>
      <c r="D293" s="83"/>
      <c r="G293" s="84"/>
    </row>
    <row r="294" ht="15.75" customHeight="1">
      <c r="A294" s="6">
        <v>71005.0</v>
      </c>
      <c r="B294" s="7" t="s">
        <v>382</v>
      </c>
      <c r="C294" s="83"/>
      <c r="D294" s="83"/>
      <c r="G294" s="84"/>
    </row>
    <row r="295" ht="15.75" customHeight="1">
      <c r="A295" s="6">
        <v>71101.0</v>
      </c>
      <c r="B295" s="7" t="s">
        <v>384</v>
      </c>
      <c r="C295" s="83"/>
      <c r="D295" s="83"/>
      <c r="G295" s="84"/>
    </row>
    <row r="296" ht="15.75" customHeight="1">
      <c r="A296" s="6">
        <v>71102.0</v>
      </c>
      <c r="B296" s="7" t="s">
        <v>385</v>
      </c>
      <c r="C296" s="83"/>
      <c r="D296" s="83"/>
      <c r="G296" s="84"/>
    </row>
    <row r="297" ht="15.75" customHeight="1">
      <c r="A297" s="6">
        <v>71103.0</v>
      </c>
      <c r="B297" s="7" t="s">
        <v>386</v>
      </c>
      <c r="C297" s="83"/>
      <c r="D297" s="83"/>
      <c r="G297" s="84"/>
    </row>
    <row r="298" ht="15.75" customHeight="1">
      <c r="A298" s="6">
        <v>71104.0</v>
      </c>
      <c r="B298" s="7" t="s">
        <v>387</v>
      </c>
      <c r="C298" s="83"/>
      <c r="D298" s="83"/>
      <c r="G298" s="84"/>
    </row>
    <row r="299" ht="15.75" customHeight="1">
      <c r="A299" s="6">
        <v>71105.0</v>
      </c>
      <c r="B299" s="7" t="s">
        <v>388</v>
      </c>
      <c r="C299" s="83"/>
      <c r="D299" s="83"/>
      <c r="G299" s="84"/>
    </row>
    <row r="300" ht="15.75" customHeight="1">
      <c r="A300" s="6">
        <v>71106.0</v>
      </c>
      <c r="B300" s="7" t="s">
        <v>389</v>
      </c>
      <c r="C300" s="83"/>
      <c r="D300" s="83"/>
      <c r="G300" s="84"/>
    </row>
    <row r="301" ht="15.75" customHeight="1">
      <c r="A301" s="6">
        <v>71201.0</v>
      </c>
      <c r="B301" s="7" t="s">
        <v>391</v>
      </c>
      <c r="C301" s="83"/>
      <c r="D301" s="83"/>
      <c r="G301" s="84"/>
    </row>
    <row r="302" ht="15.75" customHeight="1">
      <c r="A302" s="6">
        <v>71301.0</v>
      </c>
      <c r="B302" s="7" t="s">
        <v>393</v>
      </c>
      <c r="C302" s="83"/>
      <c r="D302" s="83"/>
      <c r="G302" s="84"/>
    </row>
    <row r="303" ht="15.75" customHeight="1">
      <c r="A303" s="6">
        <v>71302.0</v>
      </c>
      <c r="B303" s="7" t="s">
        <v>394</v>
      </c>
      <c r="C303" s="83"/>
      <c r="D303" s="83"/>
      <c r="G303" s="84"/>
    </row>
    <row r="304" ht="15.75" customHeight="1">
      <c r="A304" s="6">
        <v>71401.0</v>
      </c>
      <c r="B304" s="7" t="s">
        <v>396</v>
      </c>
      <c r="C304" s="83"/>
      <c r="D304" s="83"/>
      <c r="G304" s="84"/>
    </row>
    <row r="305" ht="15.75" customHeight="1">
      <c r="A305" s="6">
        <v>71402.0</v>
      </c>
      <c r="B305" s="7" t="s">
        <v>397</v>
      </c>
      <c r="C305" s="83"/>
      <c r="D305" s="83"/>
      <c r="G305" s="84"/>
    </row>
    <row r="306" ht="15.75" customHeight="1">
      <c r="A306" s="6">
        <v>71403.0</v>
      </c>
      <c r="B306" s="7" t="s">
        <v>398</v>
      </c>
      <c r="C306" s="83"/>
      <c r="D306" s="83"/>
      <c r="G306" s="84"/>
    </row>
    <row r="307" ht="15.75" customHeight="1">
      <c r="A307" s="6">
        <v>71501.0</v>
      </c>
      <c r="B307" s="7" t="s">
        <v>400</v>
      </c>
      <c r="C307" s="83"/>
      <c r="D307" s="83"/>
      <c r="G307" s="84"/>
    </row>
    <row r="308" ht="15.75" customHeight="1">
      <c r="A308" s="6">
        <v>71502.0</v>
      </c>
      <c r="B308" s="7" t="s">
        <v>401</v>
      </c>
      <c r="C308" s="83"/>
      <c r="D308" s="83"/>
      <c r="G308" s="84"/>
    </row>
    <row r="309" ht="15.75" customHeight="1">
      <c r="A309" s="6">
        <v>71503.0</v>
      </c>
      <c r="B309" s="7" t="s">
        <v>332</v>
      </c>
      <c r="C309" s="83"/>
      <c r="D309" s="83"/>
      <c r="G309" s="84"/>
    </row>
    <row r="310" ht="15.75" customHeight="1">
      <c r="A310" s="6">
        <v>80101.0</v>
      </c>
      <c r="B310" s="7" t="s">
        <v>402</v>
      </c>
      <c r="C310" s="83"/>
      <c r="D310" s="83"/>
      <c r="G310" s="84"/>
    </row>
    <row r="311" ht="15.75" customHeight="1">
      <c r="A311" s="6">
        <v>80102.0</v>
      </c>
      <c r="B311" s="7" t="s">
        <v>385</v>
      </c>
      <c r="C311" s="83"/>
      <c r="D311" s="83"/>
      <c r="G311" s="84"/>
    </row>
    <row r="312" ht="15.75" customHeight="1">
      <c r="A312" s="6">
        <v>80201.0</v>
      </c>
      <c r="B312" s="7" t="s">
        <v>404</v>
      </c>
      <c r="C312" s="83"/>
      <c r="D312" s="83"/>
      <c r="G312" s="84"/>
    </row>
    <row r="313" ht="15.75" customHeight="1">
      <c r="A313" s="6">
        <v>80202.0</v>
      </c>
      <c r="B313" s="7" t="s">
        <v>405</v>
      </c>
      <c r="C313" s="83"/>
      <c r="D313" s="83"/>
      <c r="G313" s="84"/>
    </row>
    <row r="314" ht="15.75" customHeight="1">
      <c r="A314" s="6">
        <v>80301.0</v>
      </c>
      <c r="B314" s="7" t="s">
        <v>407</v>
      </c>
      <c r="C314" s="83"/>
      <c r="D314" s="83"/>
      <c r="G314" s="84"/>
    </row>
    <row r="315" ht="15.75" customHeight="1">
      <c r="A315" s="6">
        <v>80302.0</v>
      </c>
      <c r="B315" s="7" t="s">
        <v>408</v>
      </c>
      <c r="C315" s="83"/>
      <c r="D315" s="83"/>
      <c r="G315" s="84"/>
    </row>
    <row r="316" ht="15.75" customHeight="1">
      <c r="A316" s="6">
        <v>80303.0</v>
      </c>
      <c r="B316" s="7" t="s">
        <v>409</v>
      </c>
      <c r="C316" s="83"/>
      <c r="D316" s="83"/>
      <c r="G316" s="84"/>
    </row>
    <row r="317" ht="15.75" customHeight="1">
      <c r="A317" s="6">
        <v>80304.0</v>
      </c>
      <c r="B317" s="7" t="s">
        <v>410</v>
      </c>
      <c r="C317" s="83"/>
      <c r="D317" s="83"/>
      <c r="G317" s="84"/>
    </row>
    <row r="318" ht="15.75" customHeight="1">
      <c r="A318" s="6">
        <v>80401.0</v>
      </c>
      <c r="B318" s="7" t="s">
        <v>412</v>
      </c>
      <c r="C318" s="83"/>
      <c r="D318" s="83"/>
      <c r="G318" s="84"/>
    </row>
    <row r="319" ht="15.75" customHeight="1">
      <c r="A319" s="6">
        <v>80402.0</v>
      </c>
      <c r="B319" s="7" t="s">
        <v>413</v>
      </c>
      <c r="C319" s="83"/>
      <c r="D319" s="83"/>
      <c r="G319" s="84"/>
    </row>
    <row r="320" ht="15.75" customHeight="1">
      <c r="A320" s="6">
        <v>80501.0</v>
      </c>
      <c r="B320" s="7" t="s">
        <v>415</v>
      </c>
      <c r="C320" s="83"/>
      <c r="D320" s="83"/>
      <c r="G320" s="84"/>
    </row>
    <row r="321" ht="15.75" customHeight="1">
      <c r="A321" s="6">
        <v>80601.0</v>
      </c>
      <c r="B321" s="7" t="s">
        <v>417</v>
      </c>
      <c r="C321" s="83"/>
      <c r="D321" s="83"/>
      <c r="G321" s="84"/>
    </row>
    <row r="322" ht="15.75" customHeight="1">
      <c r="A322" s="6">
        <v>80602.0</v>
      </c>
      <c r="B322" s="7" t="s">
        <v>418</v>
      </c>
      <c r="C322" s="83"/>
      <c r="D322" s="83"/>
      <c r="G322" s="84"/>
    </row>
    <row r="323" ht="15.75" customHeight="1">
      <c r="A323" s="6">
        <v>80701.0</v>
      </c>
      <c r="B323" s="7" t="s">
        <v>420</v>
      </c>
      <c r="C323" s="83"/>
      <c r="D323" s="83"/>
      <c r="G323" s="84"/>
    </row>
    <row r="324" ht="15.75" customHeight="1">
      <c r="A324" s="6">
        <v>80702.0</v>
      </c>
      <c r="B324" s="7" t="s">
        <v>386</v>
      </c>
      <c r="C324" s="83"/>
      <c r="D324" s="83"/>
      <c r="G324" s="84"/>
    </row>
    <row r="325" ht="15.75" customHeight="1">
      <c r="A325" s="6">
        <v>80703.0</v>
      </c>
      <c r="B325" s="7" t="s">
        <v>421</v>
      </c>
      <c r="C325" s="83"/>
      <c r="D325" s="83"/>
      <c r="G325" s="84"/>
    </row>
    <row r="326" ht="15.75" customHeight="1">
      <c r="A326" s="6">
        <v>80801.0</v>
      </c>
      <c r="B326" s="7" t="s">
        <v>423</v>
      </c>
      <c r="C326" s="83"/>
      <c r="D326" s="83"/>
      <c r="G326" s="84"/>
    </row>
    <row r="327" ht="15.75" customHeight="1">
      <c r="A327" s="6">
        <v>80802.0</v>
      </c>
      <c r="B327" s="7" t="s">
        <v>424</v>
      </c>
      <c r="C327" s="83"/>
      <c r="D327" s="83"/>
      <c r="G327" s="84"/>
    </row>
    <row r="328" ht="15.75" customHeight="1">
      <c r="A328" s="6">
        <v>80803.0</v>
      </c>
      <c r="B328" s="7" t="s">
        <v>425</v>
      </c>
      <c r="C328" s="83"/>
      <c r="D328" s="83"/>
      <c r="G328" s="84"/>
    </row>
    <row r="329" ht="15.75" customHeight="1">
      <c r="A329" s="6">
        <v>80901.0</v>
      </c>
      <c r="B329" s="82" t="s">
        <v>426</v>
      </c>
      <c r="C329" s="83"/>
      <c r="D329" s="83"/>
      <c r="G329" s="84"/>
    </row>
    <row r="330" ht="15.75" customHeight="1">
      <c r="A330" s="6">
        <v>90101.0</v>
      </c>
      <c r="B330" s="7" t="s">
        <v>428</v>
      </c>
      <c r="C330" s="83"/>
      <c r="D330" s="83"/>
      <c r="G330" s="84"/>
    </row>
    <row r="331" ht="15.75" customHeight="1">
      <c r="A331" s="6">
        <v>90102.0</v>
      </c>
      <c r="B331" s="7" t="s">
        <v>429</v>
      </c>
      <c r="C331" s="83"/>
      <c r="D331" s="83"/>
      <c r="G331" s="84"/>
    </row>
    <row r="332" ht="15.75" customHeight="1">
      <c r="A332" s="6">
        <v>90103.0</v>
      </c>
      <c r="B332" s="7" t="s">
        <v>430</v>
      </c>
      <c r="C332" s="83"/>
      <c r="D332" s="83"/>
      <c r="G332" s="84"/>
    </row>
    <row r="333" ht="15.75" customHeight="1">
      <c r="A333" s="6">
        <v>90104.0</v>
      </c>
      <c r="B333" s="7" t="s">
        <v>431</v>
      </c>
      <c r="C333" s="83"/>
      <c r="D333" s="83"/>
      <c r="G333" s="84"/>
    </row>
    <row r="334" ht="15.75" customHeight="1">
      <c r="A334" s="6">
        <v>90201.0</v>
      </c>
      <c r="B334" s="7" t="s">
        <v>433</v>
      </c>
      <c r="C334" s="83"/>
      <c r="D334" s="83"/>
      <c r="G334" s="84"/>
    </row>
    <row r="335" ht="15.75" customHeight="1">
      <c r="A335" s="6">
        <v>90202.0</v>
      </c>
      <c r="B335" s="7" t="s">
        <v>382</v>
      </c>
      <c r="C335" s="83"/>
      <c r="D335" s="83"/>
      <c r="G335" s="84"/>
    </row>
    <row r="336" ht="15.75" customHeight="1">
      <c r="A336" s="6">
        <v>90203.0</v>
      </c>
      <c r="B336" s="7" t="s">
        <v>434</v>
      </c>
      <c r="C336" s="83"/>
      <c r="D336" s="83"/>
      <c r="G336" s="84"/>
    </row>
    <row r="337" ht="15.75" customHeight="1">
      <c r="A337" s="6">
        <v>90301.0</v>
      </c>
      <c r="B337" s="7" t="s">
        <v>436</v>
      </c>
      <c r="C337" s="83"/>
      <c r="D337" s="83"/>
      <c r="G337" s="84"/>
    </row>
    <row r="338" ht="15.75" customHeight="1">
      <c r="A338" s="6">
        <v>90302.0</v>
      </c>
      <c r="B338" s="7" t="s">
        <v>437</v>
      </c>
      <c r="C338" s="83"/>
      <c r="D338" s="83"/>
      <c r="G338" s="84"/>
    </row>
    <row r="339" ht="15.75" customHeight="1">
      <c r="A339" s="6">
        <v>90303.0</v>
      </c>
      <c r="B339" s="7" t="s">
        <v>438</v>
      </c>
      <c r="C339" s="83"/>
      <c r="D339" s="83"/>
      <c r="G339" s="84"/>
    </row>
    <row r="340" ht="15.75" customHeight="1">
      <c r="A340" s="6">
        <v>90401.0</v>
      </c>
      <c r="B340" s="7" t="s">
        <v>440</v>
      </c>
      <c r="C340" s="83"/>
      <c r="D340" s="83"/>
      <c r="G340" s="84"/>
    </row>
    <row r="341" ht="15.75" customHeight="1">
      <c r="A341" s="6">
        <v>90402.0</v>
      </c>
      <c r="B341" s="7" t="s">
        <v>103</v>
      </c>
      <c r="C341" s="83"/>
      <c r="D341" s="83"/>
      <c r="G341" s="84"/>
    </row>
    <row r="342" ht="15.75" customHeight="1">
      <c r="A342" s="6">
        <v>90501.0</v>
      </c>
      <c r="B342" s="7" t="s">
        <v>442</v>
      </c>
      <c r="C342" s="83"/>
      <c r="D342" s="83"/>
      <c r="G342" s="84"/>
    </row>
    <row r="343" ht="15.75" customHeight="1">
      <c r="A343" s="6">
        <v>90502.0</v>
      </c>
      <c r="B343" s="7" t="s">
        <v>443</v>
      </c>
      <c r="C343" s="83"/>
      <c r="D343" s="83"/>
      <c r="G343" s="84"/>
    </row>
    <row r="344" ht="15.75" customHeight="1">
      <c r="A344" s="6">
        <v>90503.0</v>
      </c>
      <c r="B344" s="7" t="s">
        <v>444</v>
      </c>
      <c r="C344" s="83"/>
      <c r="D344" s="83"/>
      <c r="G344" s="84"/>
    </row>
    <row r="345" ht="15.75" customHeight="1">
      <c r="A345" s="29"/>
      <c r="B345" s="30"/>
      <c r="C345" s="85"/>
      <c r="D345" s="85"/>
    </row>
    <row r="346" ht="15.75" customHeight="1">
      <c r="A346" s="29"/>
      <c r="B346" s="30"/>
      <c r="C346" s="40"/>
      <c r="D346" s="38"/>
    </row>
    <row r="347" ht="15.75" customHeight="1">
      <c r="A347" s="29"/>
      <c r="B347" s="30"/>
      <c r="C347" s="40"/>
      <c r="D347" s="38"/>
    </row>
    <row r="348" ht="15.75" customHeight="1">
      <c r="A348" s="29"/>
      <c r="B348" s="30"/>
      <c r="C348" s="40"/>
    </row>
    <row r="349" ht="15.75" customHeight="1">
      <c r="A349" s="29"/>
      <c r="B349" s="30"/>
      <c r="C349" s="40"/>
    </row>
    <row r="350" ht="15.75" customHeight="1">
      <c r="A350" s="29"/>
      <c r="B350" s="30"/>
      <c r="C350" s="40"/>
      <c r="D350" s="40"/>
    </row>
    <row r="351" ht="15.75" customHeight="1">
      <c r="A351" s="29"/>
      <c r="B351" s="30"/>
      <c r="C351" s="40"/>
      <c r="D351" s="40"/>
    </row>
    <row r="352" ht="15.75" customHeight="1">
      <c r="A352" s="29"/>
      <c r="B352" s="30"/>
      <c r="C352" s="40"/>
      <c r="D352" s="40"/>
    </row>
    <row r="353" ht="15.75" customHeight="1">
      <c r="A353" s="29"/>
      <c r="B353" s="41"/>
      <c r="C353" s="40"/>
      <c r="D353" s="40"/>
    </row>
    <row r="354" ht="15.75" customHeight="1">
      <c r="A354" s="29"/>
      <c r="B354" s="41"/>
      <c r="D354" s="38"/>
    </row>
    <row r="355" ht="15.75" customHeight="1">
      <c r="A355" s="29"/>
      <c r="B355" s="41"/>
    </row>
    <row r="356" ht="15.75" customHeight="1">
      <c r="A356" s="29"/>
      <c r="B356" s="41"/>
    </row>
    <row r="357" ht="15.75" customHeight="1">
      <c r="A357" s="29"/>
      <c r="B357" s="41"/>
    </row>
    <row r="358" ht="15.75" customHeight="1">
      <c r="A358" s="29"/>
      <c r="B358" s="41"/>
    </row>
    <row r="359" ht="15.75" customHeight="1">
      <c r="A359" s="29"/>
      <c r="B359" s="41"/>
    </row>
    <row r="360" ht="15.75" customHeight="1">
      <c r="A360" s="29"/>
      <c r="B360" s="41"/>
    </row>
    <row r="361" ht="15.75" customHeight="1">
      <c r="A361" s="29"/>
      <c r="B361" s="41"/>
    </row>
    <row r="362" ht="15.75" customHeight="1">
      <c r="A362" s="29"/>
      <c r="B362" s="41"/>
    </row>
    <row r="363" ht="15.75" customHeight="1">
      <c r="A363" s="29"/>
      <c r="B363" s="41"/>
    </row>
    <row r="364" ht="15.75" customHeight="1">
      <c r="A364" s="29"/>
      <c r="B364" s="41"/>
    </row>
    <row r="365" ht="15.75" customHeight="1">
      <c r="A365" s="29"/>
      <c r="B365" s="41"/>
    </row>
    <row r="366" ht="15.75" customHeight="1">
      <c r="A366" s="29"/>
      <c r="B366" s="41"/>
    </row>
    <row r="367" ht="15.75" customHeight="1">
      <c r="A367" s="29"/>
      <c r="B367" s="41"/>
    </row>
    <row r="368" ht="15.75" customHeight="1">
      <c r="A368" s="29"/>
      <c r="B368" s="41"/>
    </row>
    <row r="369" ht="15.75" customHeight="1">
      <c r="A369" s="29"/>
      <c r="B369" s="41"/>
    </row>
    <row r="370" ht="15.75" customHeight="1">
      <c r="A370" s="29"/>
      <c r="B370" s="41"/>
    </row>
    <row r="371" ht="15.75" customHeight="1">
      <c r="A371" s="29"/>
      <c r="B371" s="41"/>
    </row>
    <row r="372" ht="15.75" customHeight="1">
      <c r="A372" s="29"/>
      <c r="B372" s="41"/>
    </row>
    <row r="373" ht="15.75" customHeight="1">
      <c r="A373" s="29"/>
      <c r="B373" s="41"/>
    </row>
    <row r="374" ht="15.75" customHeight="1">
      <c r="A374" s="29"/>
      <c r="B374" s="41"/>
    </row>
    <row r="375" ht="15.75" customHeight="1">
      <c r="A375" s="29"/>
      <c r="B375" s="41"/>
    </row>
    <row r="376" ht="15.75" customHeight="1">
      <c r="A376" s="29"/>
      <c r="B376" s="41"/>
    </row>
    <row r="377" ht="15.75" customHeight="1">
      <c r="A377" s="29"/>
      <c r="B377" s="41"/>
    </row>
    <row r="378" ht="15.75" customHeight="1">
      <c r="A378" s="29"/>
      <c r="B378" s="41"/>
    </row>
    <row r="379" ht="15.75" customHeight="1">
      <c r="A379" s="29"/>
      <c r="B379" s="41"/>
    </row>
    <row r="380" ht="15.75" customHeight="1">
      <c r="A380" s="29"/>
      <c r="B380" s="41"/>
    </row>
    <row r="381" ht="15.75" customHeight="1">
      <c r="A381" s="29"/>
      <c r="B381" s="41"/>
    </row>
    <row r="382" ht="15.75" customHeight="1">
      <c r="A382" s="29"/>
      <c r="B382" s="41"/>
    </row>
    <row r="383" ht="15.75" customHeight="1">
      <c r="A383" s="29"/>
      <c r="B383" s="41"/>
    </row>
    <row r="384" ht="15.75" customHeight="1">
      <c r="A384" s="29"/>
      <c r="B384" s="41"/>
    </row>
    <row r="385" ht="15.75" customHeight="1">
      <c r="A385" s="29"/>
      <c r="B385" s="41"/>
    </row>
    <row r="386" ht="15.75" customHeight="1">
      <c r="A386" s="29"/>
      <c r="B386" s="41"/>
    </row>
    <row r="387" ht="15.75" customHeight="1">
      <c r="A387" s="29"/>
      <c r="B387" s="41"/>
    </row>
    <row r="388" ht="15.75" customHeight="1">
      <c r="A388" s="29"/>
      <c r="B388" s="41"/>
    </row>
    <row r="389" ht="15.75" customHeight="1">
      <c r="A389" s="29"/>
      <c r="B389" s="41"/>
    </row>
    <row r="390" ht="15.75" customHeight="1">
      <c r="A390" s="29"/>
      <c r="B390" s="41"/>
    </row>
    <row r="391" ht="15.75" customHeight="1">
      <c r="A391" s="29"/>
      <c r="B391" s="41"/>
    </row>
    <row r="392" ht="15.75" customHeight="1">
      <c r="A392" s="29"/>
      <c r="B392" s="41"/>
    </row>
    <row r="393" ht="15.75" customHeight="1">
      <c r="A393" s="29"/>
      <c r="B393" s="41"/>
    </row>
    <row r="394" ht="15.75" customHeight="1">
      <c r="A394" s="29"/>
      <c r="B394" s="41"/>
    </row>
    <row r="395" ht="15.75" customHeight="1">
      <c r="A395" s="29"/>
      <c r="B395" s="41"/>
    </row>
    <row r="396" ht="15.75" customHeight="1">
      <c r="A396" s="29"/>
      <c r="B396" s="41"/>
    </row>
    <row r="397" ht="15.75" customHeight="1">
      <c r="A397" s="29"/>
      <c r="B397" s="41"/>
    </row>
    <row r="398" ht="15.75" customHeight="1">
      <c r="A398" s="29"/>
      <c r="B398" s="41"/>
    </row>
    <row r="399" ht="15.75" customHeight="1">
      <c r="A399" s="29"/>
      <c r="B399" s="41"/>
    </row>
    <row r="400" ht="15.75" customHeight="1">
      <c r="A400" s="29"/>
      <c r="B400" s="41"/>
    </row>
    <row r="401" ht="15.75" customHeight="1">
      <c r="A401" s="29"/>
      <c r="B401" s="41"/>
    </row>
    <row r="402" ht="15.75" customHeight="1">
      <c r="A402" s="29"/>
      <c r="B402" s="41"/>
    </row>
    <row r="403" ht="15.75" customHeight="1">
      <c r="A403" s="29"/>
      <c r="B403" s="41"/>
    </row>
    <row r="404" ht="15.75" customHeight="1">
      <c r="A404" s="29"/>
      <c r="B404" s="41"/>
    </row>
    <row r="405" ht="15.75" customHeight="1">
      <c r="A405" s="29"/>
      <c r="B405" s="41"/>
    </row>
    <row r="406" ht="15.75" customHeight="1">
      <c r="A406" s="29"/>
      <c r="B406" s="41"/>
    </row>
    <row r="407" ht="15.75" customHeight="1">
      <c r="A407" s="29"/>
      <c r="B407" s="41"/>
    </row>
    <row r="408" ht="15.75" customHeight="1">
      <c r="A408" s="29"/>
      <c r="B408" s="41"/>
    </row>
    <row r="409" ht="15.75" customHeight="1">
      <c r="A409" s="29"/>
      <c r="B409" s="41"/>
    </row>
    <row r="410" ht="15.75" customHeight="1">
      <c r="A410" s="29"/>
      <c r="B410" s="41"/>
    </row>
    <row r="411" ht="15.75" customHeight="1">
      <c r="A411" s="29"/>
      <c r="B411" s="41"/>
    </row>
    <row r="412" ht="15.75" customHeight="1">
      <c r="A412" s="29"/>
      <c r="B412" s="41"/>
    </row>
    <row r="413" ht="15.75" customHeight="1">
      <c r="A413" s="29"/>
      <c r="B413" s="41"/>
    </row>
    <row r="414" ht="15.75" customHeight="1">
      <c r="A414" s="29"/>
      <c r="B414" s="41"/>
    </row>
    <row r="415" ht="15.75" customHeight="1">
      <c r="A415" s="29"/>
      <c r="B415" s="41"/>
    </row>
    <row r="416" ht="15.75" customHeight="1">
      <c r="A416" s="29"/>
      <c r="B416" s="41"/>
    </row>
    <row r="417" ht="15.75" customHeight="1">
      <c r="A417" s="29"/>
      <c r="B417" s="41"/>
    </row>
    <row r="418" ht="15.75" customHeight="1">
      <c r="A418" s="29"/>
      <c r="B418" s="41"/>
    </row>
    <row r="419" ht="15.75" customHeight="1">
      <c r="A419" s="29"/>
      <c r="B419" s="41"/>
    </row>
    <row r="420" ht="15.75" customHeight="1">
      <c r="A420" s="29"/>
      <c r="B420" s="41"/>
    </row>
    <row r="421" ht="15.75" customHeight="1">
      <c r="A421" s="29"/>
      <c r="B421" s="41"/>
    </row>
    <row r="422" ht="15.75" customHeight="1">
      <c r="A422" s="29"/>
      <c r="B422" s="41"/>
    </row>
    <row r="423" ht="15.75" customHeight="1">
      <c r="A423" s="29"/>
      <c r="B423" s="41"/>
    </row>
    <row r="424" ht="15.75" customHeight="1">
      <c r="A424" s="29"/>
      <c r="B424" s="41"/>
    </row>
    <row r="425" ht="15.75" customHeight="1">
      <c r="A425" s="29"/>
      <c r="B425" s="41"/>
    </row>
    <row r="426" ht="15.75" customHeight="1">
      <c r="A426" s="29"/>
      <c r="B426" s="41"/>
    </row>
    <row r="427" ht="15.75" customHeight="1">
      <c r="A427" s="29"/>
      <c r="B427" s="41"/>
    </row>
    <row r="428" ht="15.75" customHeight="1">
      <c r="A428" s="29"/>
      <c r="B428" s="41"/>
    </row>
    <row r="429" ht="15.75" customHeight="1">
      <c r="A429" s="29"/>
      <c r="B429" s="41"/>
    </row>
    <row r="430" ht="15.75" customHeight="1">
      <c r="A430" s="29"/>
      <c r="B430" s="41"/>
    </row>
    <row r="431" ht="15.75" customHeight="1">
      <c r="A431" s="29"/>
      <c r="B431" s="41"/>
    </row>
    <row r="432" ht="15.75" customHeight="1">
      <c r="A432" s="29"/>
      <c r="B432" s="41"/>
    </row>
    <row r="433" ht="15.75" customHeight="1">
      <c r="A433" s="29"/>
      <c r="B433" s="41"/>
    </row>
    <row r="434" ht="15.75" customHeight="1">
      <c r="A434" s="29"/>
      <c r="B434" s="41"/>
    </row>
    <row r="435" ht="15.75" customHeight="1">
      <c r="A435" s="29"/>
      <c r="B435" s="41"/>
    </row>
    <row r="436" ht="15.75" customHeight="1">
      <c r="A436" s="29"/>
      <c r="B436" s="41"/>
    </row>
    <row r="437" ht="15.75" customHeight="1">
      <c r="A437" s="29"/>
      <c r="B437" s="41"/>
    </row>
    <row r="438" ht="15.75" customHeight="1">
      <c r="A438" s="29"/>
      <c r="B438" s="41"/>
    </row>
    <row r="439" ht="15.75" customHeight="1">
      <c r="A439" s="29"/>
      <c r="B439" s="41"/>
    </row>
    <row r="440" ht="15.75" customHeight="1">
      <c r="A440" s="29"/>
      <c r="B440" s="41"/>
    </row>
    <row r="441" ht="15.75" customHeight="1">
      <c r="A441" s="29"/>
      <c r="B441" s="41"/>
    </row>
    <row r="442" ht="15.75" customHeight="1">
      <c r="A442" s="29"/>
      <c r="B442" s="41"/>
    </row>
    <row r="443" ht="15.75" customHeight="1">
      <c r="A443" s="29"/>
      <c r="B443" s="41"/>
    </row>
    <row r="444" ht="15.75" customHeight="1">
      <c r="A444" s="29"/>
      <c r="B444" s="41"/>
    </row>
    <row r="445" ht="15.75" customHeight="1">
      <c r="A445" s="29"/>
      <c r="B445" s="41"/>
    </row>
    <row r="446" ht="15.75" customHeight="1">
      <c r="A446" s="29"/>
      <c r="B446" s="41"/>
    </row>
    <row r="447" ht="15.75" customHeight="1">
      <c r="A447" s="29"/>
      <c r="B447" s="41"/>
    </row>
    <row r="448" ht="15.75" customHeight="1">
      <c r="A448" s="29"/>
      <c r="B448" s="41"/>
    </row>
    <row r="449" ht="15.75" customHeight="1">
      <c r="A449" s="29"/>
      <c r="B449" s="41"/>
    </row>
    <row r="450" ht="15.75" customHeight="1">
      <c r="A450" s="29"/>
      <c r="B450" s="41"/>
    </row>
    <row r="451" ht="15.75" customHeight="1">
      <c r="A451" s="29"/>
      <c r="B451" s="41"/>
    </row>
    <row r="452" ht="15.75" customHeight="1">
      <c r="A452" s="29"/>
      <c r="B452" s="41"/>
    </row>
    <row r="453" ht="15.75" customHeight="1">
      <c r="A453" s="29"/>
      <c r="B453" s="41"/>
    </row>
    <row r="454" ht="15.75" customHeight="1">
      <c r="A454" s="29"/>
      <c r="B454" s="41"/>
    </row>
    <row r="455" ht="15.75" customHeight="1">
      <c r="A455" s="29"/>
      <c r="B455" s="41"/>
    </row>
    <row r="456" ht="15.75" customHeight="1">
      <c r="A456" s="29"/>
      <c r="B456" s="41"/>
    </row>
    <row r="457" ht="15.75" customHeight="1">
      <c r="A457" s="29"/>
      <c r="B457" s="41"/>
    </row>
    <row r="458" ht="15.75" customHeight="1">
      <c r="A458" s="29"/>
      <c r="B458" s="41"/>
    </row>
    <row r="459" ht="15.75" customHeight="1">
      <c r="A459" s="29"/>
      <c r="B459" s="41"/>
    </row>
    <row r="460" ht="15.75" customHeight="1">
      <c r="A460" s="29"/>
      <c r="B460" s="41"/>
    </row>
    <row r="461" ht="15.75" customHeight="1">
      <c r="A461" s="29"/>
      <c r="B461" s="41"/>
    </row>
    <row r="462" ht="15.75" customHeight="1">
      <c r="A462" s="29"/>
      <c r="B462" s="41"/>
    </row>
    <row r="463" ht="15.75" customHeight="1">
      <c r="A463" s="29"/>
      <c r="B463" s="41"/>
    </row>
    <row r="464" ht="15.75" customHeight="1">
      <c r="A464" s="29"/>
      <c r="B464" s="41"/>
    </row>
    <row r="465" ht="15.75" customHeight="1">
      <c r="A465" s="29"/>
      <c r="B465" s="41"/>
    </row>
    <row r="466" ht="15.75" customHeight="1">
      <c r="A466" s="29"/>
      <c r="B466" s="41"/>
    </row>
    <row r="467" ht="15.75" customHeight="1">
      <c r="A467" s="29"/>
      <c r="B467" s="41"/>
    </row>
    <row r="468" ht="15.75" customHeight="1">
      <c r="A468" s="29"/>
      <c r="B468" s="41"/>
    </row>
    <row r="469" ht="15.75" customHeight="1">
      <c r="A469" s="29"/>
      <c r="B469" s="41"/>
    </row>
    <row r="470" ht="15.75" customHeight="1">
      <c r="A470" s="29"/>
      <c r="B470" s="41"/>
    </row>
    <row r="471" ht="15.75" customHeight="1">
      <c r="A471" s="29"/>
      <c r="B471" s="41"/>
    </row>
    <row r="472" ht="15.75" customHeight="1">
      <c r="A472" s="29"/>
      <c r="B472" s="41"/>
    </row>
    <row r="473" ht="15.75" customHeight="1">
      <c r="A473" s="29"/>
      <c r="B473" s="41"/>
    </row>
    <row r="474" ht="15.75" customHeight="1">
      <c r="A474" s="29"/>
      <c r="B474" s="41"/>
    </row>
    <row r="475" ht="15.75" customHeight="1">
      <c r="A475" s="29"/>
      <c r="B475" s="41"/>
    </row>
    <row r="476" ht="15.75" customHeight="1">
      <c r="A476" s="29"/>
      <c r="B476" s="41"/>
    </row>
    <row r="477" ht="15.75" customHeight="1">
      <c r="A477" s="29"/>
      <c r="B477" s="41"/>
    </row>
    <row r="478" ht="15.75" customHeight="1">
      <c r="A478" s="29"/>
      <c r="B478" s="41"/>
    </row>
    <row r="479" ht="15.75" customHeight="1">
      <c r="A479" s="29"/>
      <c r="B479" s="41"/>
    </row>
    <row r="480" ht="15.75" customHeight="1">
      <c r="A480" s="29"/>
      <c r="B480" s="41"/>
    </row>
    <row r="481" ht="15.75" customHeight="1">
      <c r="A481" s="29"/>
      <c r="B481" s="41"/>
    </row>
    <row r="482" ht="15.75" customHeight="1">
      <c r="A482" s="29"/>
      <c r="B482" s="41"/>
    </row>
    <row r="483" ht="15.75" customHeight="1">
      <c r="A483" s="29"/>
      <c r="B483" s="41"/>
    </row>
    <row r="484" ht="15.75" customHeight="1">
      <c r="A484" s="29"/>
      <c r="B484" s="41"/>
    </row>
    <row r="485" ht="15.75" customHeight="1">
      <c r="A485" s="29"/>
      <c r="B485" s="41"/>
    </row>
    <row r="486" ht="15.75" customHeight="1">
      <c r="A486" s="29"/>
      <c r="B486" s="41"/>
    </row>
    <row r="487" ht="15.75" customHeight="1">
      <c r="A487" s="29"/>
      <c r="B487" s="41"/>
    </row>
    <row r="488" ht="15.75" customHeight="1">
      <c r="A488" s="29"/>
      <c r="B488" s="41"/>
    </row>
    <row r="489" ht="15.75" customHeight="1">
      <c r="A489" s="29"/>
      <c r="B489" s="41"/>
    </row>
    <row r="490" ht="15.75" customHeight="1">
      <c r="A490" s="29"/>
      <c r="B490" s="41"/>
    </row>
    <row r="491" ht="15.75" customHeight="1">
      <c r="A491" s="29"/>
      <c r="B491" s="41"/>
    </row>
    <row r="492" ht="15.75" customHeight="1">
      <c r="A492" s="29"/>
      <c r="B492" s="41"/>
    </row>
    <row r="493" ht="15.75" customHeight="1">
      <c r="A493" s="29"/>
      <c r="B493" s="41"/>
    </row>
    <row r="494" ht="15.75" customHeight="1">
      <c r="A494" s="29"/>
      <c r="B494" s="41"/>
    </row>
    <row r="495" ht="15.75" customHeight="1">
      <c r="A495" s="29"/>
      <c r="B495" s="41"/>
    </row>
    <row r="496" ht="15.75" customHeight="1">
      <c r="A496" s="29"/>
      <c r="B496" s="41"/>
    </row>
    <row r="497" ht="15.75" customHeight="1">
      <c r="A497" s="29"/>
      <c r="B497" s="41"/>
    </row>
    <row r="498" ht="15.75" customHeight="1">
      <c r="A498" s="29"/>
      <c r="B498" s="41"/>
    </row>
    <row r="499" ht="15.75" customHeight="1">
      <c r="A499" s="29"/>
      <c r="B499" s="41"/>
    </row>
    <row r="500" ht="15.75" customHeight="1">
      <c r="A500" s="29"/>
      <c r="B500" s="41"/>
    </row>
    <row r="501" ht="15.75" customHeight="1">
      <c r="A501" s="29"/>
      <c r="B501" s="41"/>
    </row>
    <row r="502" ht="15.75" customHeight="1">
      <c r="A502" s="29"/>
      <c r="B502" s="41"/>
    </row>
    <row r="503" ht="15.75" customHeight="1">
      <c r="A503" s="29"/>
      <c r="B503" s="41"/>
    </row>
    <row r="504" ht="15.75" customHeight="1">
      <c r="A504" s="29"/>
      <c r="B504" s="41"/>
    </row>
    <row r="505" ht="15.75" customHeight="1">
      <c r="A505" s="29"/>
      <c r="B505" s="41"/>
    </row>
    <row r="506" ht="15.75" customHeight="1">
      <c r="A506" s="29"/>
      <c r="B506" s="41"/>
    </row>
    <row r="507" ht="15.75" customHeight="1">
      <c r="A507" s="29"/>
      <c r="B507" s="41"/>
    </row>
    <row r="508" ht="15.75" customHeight="1">
      <c r="A508" s="29"/>
      <c r="B508" s="41"/>
    </row>
    <row r="509" ht="15.75" customHeight="1">
      <c r="A509" s="29"/>
      <c r="B509" s="41"/>
    </row>
    <row r="510" ht="15.75" customHeight="1">
      <c r="A510" s="29"/>
      <c r="B510" s="41"/>
    </row>
    <row r="511" ht="15.75" customHeight="1">
      <c r="A511" s="29"/>
      <c r="B511" s="41"/>
    </row>
    <row r="512" ht="15.75" customHeight="1">
      <c r="A512" s="29"/>
      <c r="B512" s="41"/>
    </row>
    <row r="513" ht="15.75" customHeight="1">
      <c r="A513" s="29"/>
      <c r="B513" s="41"/>
    </row>
    <row r="514" ht="15.75" customHeight="1">
      <c r="A514" s="29"/>
      <c r="B514" s="41"/>
    </row>
    <row r="515" ht="15.75" customHeight="1">
      <c r="A515" s="29"/>
      <c r="B515" s="41"/>
    </row>
    <row r="516" ht="15.75" customHeight="1">
      <c r="A516" s="29"/>
      <c r="B516" s="41"/>
    </row>
    <row r="517" ht="15.75" customHeight="1">
      <c r="A517" s="29"/>
      <c r="B517" s="41"/>
    </row>
    <row r="518" ht="15.75" customHeight="1">
      <c r="A518" s="29"/>
      <c r="B518" s="41"/>
    </row>
    <row r="519" ht="15.75" customHeight="1">
      <c r="A519" s="29"/>
      <c r="B519" s="41"/>
    </row>
    <row r="520" ht="15.75" customHeight="1">
      <c r="A520" s="29"/>
      <c r="B520" s="41"/>
    </row>
    <row r="521" ht="15.75" customHeight="1">
      <c r="A521" s="29"/>
      <c r="B521" s="41"/>
    </row>
    <row r="522" ht="15.75" customHeight="1">
      <c r="A522" s="29"/>
      <c r="B522" s="41"/>
    </row>
    <row r="523" ht="15.75" customHeight="1">
      <c r="A523" s="29"/>
      <c r="B523" s="41"/>
    </row>
    <row r="524" ht="15.75" customHeight="1">
      <c r="A524" s="29"/>
      <c r="B524" s="41"/>
    </row>
    <row r="525" ht="15.75" customHeight="1">
      <c r="A525" s="29"/>
      <c r="B525" s="41"/>
    </row>
    <row r="526" ht="15.75" customHeight="1">
      <c r="A526" s="29"/>
      <c r="B526" s="41"/>
    </row>
    <row r="527" ht="15.75" customHeight="1">
      <c r="A527" s="29"/>
      <c r="B527" s="41"/>
    </row>
    <row r="528" ht="15.75" customHeight="1">
      <c r="A528" s="29"/>
      <c r="B528" s="41"/>
    </row>
    <row r="529" ht="15.75" customHeight="1">
      <c r="A529" s="29"/>
      <c r="B529" s="41"/>
    </row>
    <row r="530" ht="15.75" customHeight="1">
      <c r="A530" s="29"/>
      <c r="B530" s="41"/>
    </row>
    <row r="531" ht="15.75" customHeight="1">
      <c r="A531" s="29"/>
      <c r="B531" s="41"/>
    </row>
    <row r="532" ht="15.75" customHeight="1">
      <c r="A532" s="29"/>
      <c r="B532" s="41"/>
    </row>
    <row r="533" ht="15.75" customHeight="1">
      <c r="A533" s="29"/>
      <c r="B533" s="41"/>
    </row>
    <row r="534" ht="15.75" customHeight="1">
      <c r="A534" s="29"/>
      <c r="B534" s="41"/>
    </row>
    <row r="535" ht="15.75" customHeight="1">
      <c r="A535" s="29"/>
      <c r="B535" s="41"/>
    </row>
    <row r="536" ht="15.75" customHeight="1">
      <c r="A536" s="29"/>
      <c r="B536" s="41"/>
    </row>
    <row r="537" ht="15.75" customHeight="1">
      <c r="A537" s="29"/>
      <c r="B537" s="41"/>
    </row>
    <row r="538" ht="15.75" customHeight="1">
      <c r="A538" s="29"/>
      <c r="B538" s="41"/>
    </row>
    <row r="539" ht="15.75" customHeight="1">
      <c r="A539" s="29"/>
      <c r="B539" s="41"/>
    </row>
    <row r="540" ht="15.75" customHeight="1">
      <c r="A540" s="29"/>
      <c r="B540" s="41"/>
    </row>
    <row r="541" ht="15.75" customHeight="1">
      <c r="A541" s="29"/>
      <c r="B541" s="41"/>
    </row>
    <row r="542" ht="15.75" customHeight="1">
      <c r="A542" s="29"/>
      <c r="B542" s="41"/>
    </row>
    <row r="543" ht="15.75" customHeight="1">
      <c r="A543" s="29"/>
      <c r="B543" s="41"/>
    </row>
    <row r="544" ht="15.75" customHeight="1">
      <c r="A544" s="29"/>
      <c r="B544" s="41"/>
    </row>
    <row r="545" ht="15.75" customHeight="1">
      <c r="A545" s="29"/>
    </row>
    <row r="546" ht="15.75" customHeight="1">
      <c r="A546" s="29"/>
    </row>
    <row r="547" ht="15.75" customHeight="1">
      <c r="A547" s="29"/>
    </row>
    <row r="548" ht="15.75" customHeight="1">
      <c r="A548" s="29"/>
    </row>
    <row r="549" ht="15.75" customHeight="1">
      <c r="A549" s="29"/>
    </row>
    <row r="550" ht="15.75" customHeight="1">
      <c r="A550" s="29"/>
    </row>
    <row r="551" ht="15.75" customHeight="1">
      <c r="A551" s="29"/>
    </row>
    <row r="552" ht="15.75" customHeight="1">
      <c r="A552" s="29"/>
    </row>
    <row r="553" ht="15.75" customHeight="1">
      <c r="A553" s="29"/>
    </row>
    <row r="554" ht="15.75" customHeight="1">
      <c r="A554" s="29"/>
    </row>
    <row r="555" ht="15.75" customHeight="1">
      <c r="A555" s="29"/>
    </row>
    <row r="556" ht="15.75" customHeight="1">
      <c r="A556" s="29"/>
    </row>
    <row r="557" ht="15.75" customHeight="1">
      <c r="A557" s="29"/>
    </row>
    <row r="558" ht="15.75" customHeight="1">
      <c r="A558" s="29"/>
    </row>
    <row r="559" ht="15.75" customHeight="1">
      <c r="A559" s="29"/>
    </row>
    <row r="560" ht="15.75" customHeight="1">
      <c r="A560" s="29"/>
    </row>
    <row r="561" ht="15.75" customHeight="1">
      <c r="A561" s="29"/>
    </row>
    <row r="562" ht="15.75" customHeight="1">
      <c r="A562" s="29"/>
    </row>
    <row r="563" ht="15.75" customHeight="1">
      <c r="A563" s="29"/>
    </row>
    <row r="564" ht="15.75" customHeight="1">
      <c r="A564" s="29"/>
    </row>
    <row r="565" ht="15.75" customHeight="1">
      <c r="A565" s="29"/>
    </row>
    <row r="566" ht="15.75" customHeight="1">
      <c r="A566" s="29"/>
    </row>
    <row r="567" ht="15.75" customHeight="1">
      <c r="A567" s="29"/>
    </row>
    <row r="568" ht="15.75" customHeight="1">
      <c r="A568" s="29"/>
    </row>
    <row r="569" ht="15.75" customHeight="1">
      <c r="A569" s="29"/>
    </row>
    <row r="570" ht="15.75" customHeight="1">
      <c r="A570" s="29"/>
    </row>
    <row r="571" ht="15.75" customHeight="1">
      <c r="A571" s="29"/>
    </row>
    <row r="572" ht="15.75" customHeight="1">
      <c r="A572" s="29"/>
    </row>
    <row r="573" ht="15.75" customHeight="1">
      <c r="A573" s="29"/>
    </row>
    <row r="574" ht="15.75" customHeight="1">
      <c r="A574" s="29"/>
    </row>
    <row r="575" ht="15.75" customHeight="1">
      <c r="A575" s="29"/>
    </row>
    <row r="576" ht="15.75" customHeight="1">
      <c r="A576" s="29"/>
    </row>
    <row r="577" ht="15.75" customHeight="1">
      <c r="A577" s="29"/>
    </row>
    <row r="578" ht="15.75" customHeight="1">
      <c r="A578" s="29"/>
    </row>
    <row r="579" ht="15.75" customHeight="1">
      <c r="A579" s="29"/>
    </row>
    <row r="580" ht="15.75" customHeight="1">
      <c r="A580" s="29"/>
    </row>
    <row r="581" ht="15.75" customHeight="1">
      <c r="A581" s="29"/>
    </row>
    <row r="582" ht="15.75" customHeight="1">
      <c r="A582" s="29"/>
    </row>
    <row r="583" ht="15.75" customHeight="1">
      <c r="A583" s="29"/>
    </row>
    <row r="584" ht="15.75" customHeight="1">
      <c r="A584" s="29"/>
    </row>
    <row r="585" ht="15.75" customHeight="1">
      <c r="A585" s="29"/>
    </row>
    <row r="586" ht="15.75" customHeight="1">
      <c r="A586" s="29"/>
    </row>
    <row r="587" ht="15.75" customHeight="1">
      <c r="A587" s="29"/>
    </row>
    <row r="588" ht="15.75" customHeight="1">
      <c r="A588" s="29"/>
    </row>
    <row r="589" ht="15.75" customHeight="1">
      <c r="A589" s="29"/>
    </row>
    <row r="590" ht="15.75" customHeight="1">
      <c r="A590" s="29"/>
    </row>
    <row r="591" ht="15.75" customHeight="1">
      <c r="A591" s="29"/>
    </row>
    <row r="592" ht="15.75" customHeight="1">
      <c r="A592" s="29"/>
    </row>
    <row r="593" ht="15.75" customHeight="1">
      <c r="A593" s="29"/>
    </row>
    <row r="594" ht="15.75" customHeight="1">
      <c r="A594" s="29"/>
    </row>
    <row r="595" ht="15.75" customHeight="1">
      <c r="A595" s="29"/>
    </row>
    <row r="596" ht="15.75" customHeight="1">
      <c r="A596" s="29"/>
    </row>
    <row r="597" ht="15.75" customHeight="1">
      <c r="A597" s="29"/>
    </row>
    <row r="598" ht="15.75" customHeight="1">
      <c r="A598" s="29"/>
    </row>
    <row r="599" ht="15.75" customHeight="1">
      <c r="A599" s="29"/>
    </row>
    <row r="600" ht="15.75" customHeight="1">
      <c r="A600" s="29"/>
    </row>
    <row r="601" ht="15.75" customHeight="1">
      <c r="A601" s="29"/>
    </row>
    <row r="602" ht="15.75" customHeight="1">
      <c r="A602" s="29"/>
    </row>
    <row r="603" ht="15.75" customHeight="1">
      <c r="A603" s="29"/>
    </row>
    <row r="604" ht="15.75" customHeight="1">
      <c r="A604" s="29"/>
    </row>
    <row r="605" ht="15.75" customHeight="1">
      <c r="A605" s="29"/>
    </row>
    <row r="606" ht="15.75" customHeight="1">
      <c r="A606" s="29"/>
    </row>
    <row r="607" ht="15.75" customHeight="1">
      <c r="A607" s="29"/>
    </row>
    <row r="608" ht="15.75" customHeight="1">
      <c r="A608" s="29"/>
    </row>
    <row r="609" ht="15.75" customHeight="1">
      <c r="A609" s="29"/>
    </row>
    <row r="610" ht="15.75" customHeight="1">
      <c r="A610" s="29"/>
    </row>
    <row r="611" ht="15.75" customHeight="1">
      <c r="A611" s="29"/>
    </row>
    <row r="612" ht="15.75" customHeight="1">
      <c r="A612" s="29"/>
    </row>
    <row r="613" ht="15.75" customHeight="1">
      <c r="A613" s="29"/>
    </row>
    <row r="614" ht="15.75" customHeight="1">
      <c r="A614" s="29"/>
    </row>
    <row r="615" ht="15.75" customHeight="1">
      <c r="A615" s="29"/>
    </row>
    <row r="616" ht="15.75" customHeight="1">
      <c r="A616" s="29"/>
    </row>
    <row r="617" ht="15.75" customHeight="1">
      <c r="A617" s="29"/>
    </row>
    <row r="618" ht="15.75" customHeight="1">
      <c r="A618" s="29"/>
    </row>
    <row r="619" ht="15.75" customHeight="1">
      <c r="A619" s="29"/>
    </row>
    <row r="620" ht="15.75" customHeight="1">
      <c r="A620" s="29"/>
    </row>
    <row r="621" ht="15.75" customHeight="1">
      <c r="A621" s="29"/>
    </row>
    <row r="622" ht="15.75" customHeight="1">
      <c r="A622" s="29"/>
    </row>
    <row r="623" ht="15.75" customHeight="1">
      <c r="A623" s="29"/>
    </row>
    <row r="624" ht="15.75" customHeight="1">
      <c r="A624" s="29"/>
    </row>
    <row r="625" ht="15.75" customHeight="1">
      <c r="A625" s="29"/>
    </row>
    <row r="626" ht="15.75" customHeight="1">
      <c r="A626" s="29"/>
    </row>
    <row r="627" ht="15.75" customHeight="1">
      <c r="A627" s="29"/>
    </row>
    <row r="628" ht="15.75" customHeight="1">
      <c r="A628" s="29"/>
    </row>
    <row r="629" ht="15.75" customHeight="1">
      <c r="A629" s="29"/>
    </row>
    <row r="630" ht="15.75" customHeight="1">
      <c r="A630" s="29"/>
    </row>
    <row r="631" ht="15.75" customHeight="1">
      <c r="A631" s="29"/>
    </row>
    <row r="632" ht="15.75" customHeight="1">
      <c r="A632" s="29"/>
    </row>
    <row r="633" ht="15.75" customHeight="1">
      <c r="A633" s="29"/>
    </row>
    <row r="634" ht="15.75" customHeight="1">
      <c r="A634" s="29"/>
    </row>
    <row r="635" ht="15.75" customHeight="1">
      <c r="A635" s="29"/>
    </row>
    <row r="636" ht="15.75" customHeight="1">
      <c r="A636" s="29"/>
    </row>
    <row r="637" ht="15.75" customHeight="1">
      <c r="A637" s="29"/>
    </row>
    <row r="638" ht="15.75" customHeight="1">
      <c r="A638" s="29"/>
    </row>
    <row r="639" ht="15.75" customHeight="1">
      <c r="A639" s="29"/>
    </row>
    <row r="640" ht="15.75" customHeight="1">
      <c r="A640" s="29"/>
    </row>
    <row r="641" ht="15.75" customHeight="1">
      <c r="A641" s="29"/>
    </row>
    <row r="642" ht="15.75" customHeight="1">
      <c r="A642" s="29"/>
    </row>
    <row r="643" ht="15.75" customHeight="1">
      <c r="A643" s="29"/>
    </row>
    <row r="644" ht="15.75" customHeight="1">
      <c r="A644" s="29"/>
    </row>
    <row r="645" ht="15.75" customHeight="1">
      <c r="A645" s="29"/>
    </row>
    <row r="646" ht="15.75" customHeight="1">
      <c r="A646" s="29"/>
    </row>
    <row r="647" ht="15.75" customHeight="1">
      <c r="A647" s="29"/>
    </row>
    <row r="648" ht="15.75" customHeight="1">
      <c r="A648" s="29"/>
    </row>
    <row r="649" ht="15.75" customHeight="1">
      <c r="A649" s="29"/>
    </row>
    <row r="650" ht="15.75" customHeight="1">
      <c r="A650" s="29"/>
    </row>
    <row r="651" ht="15.75" customHeight="1">
      <c r="A651" s="29"/>
    </row>
    <row r="652" ht="15.75" customHeight="1">
      <c r="A652" s="29"/>
    </row>
    <row r="653" ht="15.75" customHeight="1">
      <c r="A653" s="29"/>
    </row>
    <row r="654" ht="15.75" customHeight="1">
      <c r="A654" s="29"/>
    </row>
    <row r="655" ht="15.75" customHeight="1">
      <c r="A655" s="29"/>
    </row>
    <row r="656" ht="15.75" customHeight="1">
      <c r="A656" s="29"/>
    </row>
    <row r="657" ht="15.75" customHeight="1">
      <c r="A657" s="29"/>
    </row>
    <row r="658" ht="15.75" customHeight="1">
      <c r="A658" s="29"/>
    </row>
    <row r="659" ht="15.75" customHeight="1">
      <c r="A659" s="29"/>
    </row>
    <row r="660" ht="15.75" customHeight="1">
      <c r="A660" s="29"/>
    </row>
    <row r="661" ht="15.75" customHeight="1">
      <c r="A661" s="29"/>
    </row>
    <row r="662" ht="15.75" customHeight="1">
      <c r="A662" s="29"/>
    </row>
    <row r="663" ht="15.75" customHeight="1">
      <c r="A663" s="29"/>
    </row>
    <row r="664" ht="15.75" customHeight="1">
      <c r="A664" s="29"/>
    </row>
    <row r="665" ht="15.75" customHeight="1">
      <c r="A665" s="29"/>
    </row>
    <row r="666" ht="15.75" customHeight="1">
      <c r="A666" s="29"/>
    </row>
    <row r="667" ht="15.75" customHeight="1">
      <c r="A667" s="29"/>
    </row>
    <row r="668" ht="15.75" customHeight="1">
      <c r="A668" s="29"/>
    </row>
    <row r="669" ht="15.75" customHeight="1">
      <c r="A669" s="29"/>
    </row>
    <row r="670" ht="15.75" customHeight="1">
      <c r="A670" s="29"/>
    </row>
    <row r="671" ht="15.75" customHeight="1">
      <c r="A671" s="29"/>
    </row>
    <row r="672" ht="15.75" customHeight="1">
      <c r="A672" s="29"/>
    </row>
    <row r="673" ht="15.75" customHeight="1">
      <c r="A673" s="29"/>
    </row>
    <row r="674" ht="15.75" customHeight="1">
      <c r="A674" s="29"/>
    </row>
    <row r="675" ht="15.75" customHeight="1">
      <c r="A675" s="29"/>
    </row>
    <row r="676" ht="15.75" customHeight="1">
      <c r="A676" s="29"/>
    </row>
    <row r="677" ht="15.75" customHeight="1">
      <c r="A677" s="29"/>
    </row>
    <row r="678" ht="15.75" customHeight="1">
      <c r="A678" s="29"/>
    </row>
    <row r="679" ht="15.75" customHeight="1">
      <c r="A679" s="29"/>
    </row>
    <row r="680" ht="15.75" customHeight="1">
      <c r="A680" s="29"/>
    </row>
    <row r="681" ht="15.75" customHeight="1">
      <c r="A681" s="29"/>
    </row>
    <row r="682" ht="15.75" customHeight="1">
      <c r="A682" s="29"/>
    </row>
    <row r="683" ht="15.75" customHeight="1">
      <c r="A683" s="29"/>
    </row>
    <row r="684" ht="15.75" customHeight="1">
      <c r="A684" s="29"/>
    </row>
    <row r="685" ht="15.75" customHeight="1">
      <c r="A685" s="29"/>
    </row>
    <row r="686" ht="15.75" customHeight="1">
      <c r="A686" s="29"/>
    </row>
    <row r="687" ht="15.75" customHeight="1">
      <c r="A687" s="29"/>
    </row>
    <row r="688" ht="15.75" customHeight="1">
      <c r="A688" s="29"/>
    </row>
    <row r="689" ht="15.75" customHeight="1">
      <c r="A689" s="29"/>
    </row>
    <row r="690" ht="15.75" customHeight="1">
      <c r="A690" s="29"/>
    </row>
    <row r="691" ht="15.75" customHeight="1">
      <c r="A691" s="29"/>
    </row>
    <row r="692" ht="15.75" customHeight="1">
      <c r="A692" s="29"/>
    </row>
    <row r="693" ht="15.75" customHeight="1">
      <c r="A693" s="29"/>
    </row>
    <row r="694" ht="15.75" customHeight="1">
      <c r="A694" s="29"/>
    </row>
    <row r="695" ht="15.75" customHeight="1">
      <c r="A695" s="29"/>
    </row>
    <row r="696" ht="15.75" customHeight="1">
      <c r="A696" s="29"/>
    </row>
    <row r="697" ht="15.75" customHeight="1">
      <c r="A697" s="29"/>
    </row>
    <row r="698" ht="15.75" customHeight="1">
      <c r="A698" s="29"/>
    </row>
    <row r="699" ht="15.75" customHeight="1">
      <c r="A699" s="29"/>
    </row>
    <row r="700" ht="15.75" customHeight="1">
      <c r="A700" s="29"/>
    </row>
    <row r="701" ht="15.75" customHeight="1">
      <c r="A701" s="29"/>
    </row>
    <row r="702" ht="15.75" customHeight="1">
      <c r="A702" s="29"/>
    </row>
    <row r="703" ht="15.75" customHeight="1">
      <c r="A703" s="29"/>
    </row>
    <row r="704" ht="15.75" customHeight="1">
      <c r="A704" s="29"/>
    </row>
    <row r="705" ht="15.75" customHeight="1">
      <c r="A705" s="29"/>
    </row>
    <row r="706" ht="15.75" customHeight="1">
      <c r="A706" s="29"/>
    </row>
    <row r="707" ht="15.75" customHeight="1">
      <c r="A707" s="29"/>
    </row>
    <row r="708" ht="15.75" customHeight="1">
      <c r="A708" s="29"/>
    </row>
    <row r="709" ht="15.75" customHeight="1">
      <c r="A709" s="29"/>
    </row>
    <row r="710" ht="15.75" customHeight="1">
      <c r="A710" s="29"/>
    </row>
    <row r="711" ht="15.75" customHeight="1">
      <c r="A711" s="29"/>
    </row>
    <row r="712" ht="15.75" customHeight="1">
      <c r="A712" s="29"/>
    </row>
    <row r="713" ht="15.75" customHeight="1">
      <c r="A713" s="29"/>
    </row>
    <row r="714" ht="15.75" customHeight="1">
      <c r="A714" s="29"/>
    </row>
    <row r="715" ht="15.75" customHeight="1">
      <c r="A715" s="29"/>
    </row>
    <row r="716" ht="15.75" customHeight="1">
      <c r="A716" s="29"/>
    </row>
    <row r="717" ht="15.75" customHeight="1">
      <c r="A717" s="29"/>
    </row>
    <row r="718" ht="15.75" customHeight="1">
      <c r="A718" s="29"/>
    </row>
    <row r="719" ht="15.75" customHeight="1">
      <c r="A719" s="29"/>
    </row>
    <row r="720" ht="15.75" customHeight="1">
      <c r="A720" s="29"/>
    </row>
    <row r="721" ht="15.75" customHeight="1">
      <c r="A721" s="29"/>
    </row>
    <row r="722" ht="15.75" customHeight="1">
      <c r="A722" s="29"/>
    </row>
    <row r="723" ht="15.75" customHeight="1">
      <c r="A723" s="29"/>
    </row>
    <row r="724" ht="15.75" customHeight="1">
      <c r="A724" s="29"/>
    </row>
    <row r="725" ht="15.75" customHeight="1">
      <c r="A725" s="29"/>
    </row>
    <row r="726" ht="15.75" customHeight="1">
      <c r="A726" s="29"/>
    </row>
    <row r="727" ht="15.75" customHeight="1">
      <c r="A727" s="29"/>
    </row>
    <row r="728" ht="15.75" customHeight="1">
      <c r="A728" s="29"/>
    </row>
    <row r="729" ht="15.75" customHeight="1">
      <c r="A729" s="29"/>
    </row>
    <row r="730" ht="15.75" customHeight="1">
      <c r="A730" s="29"/>
    </row>
    <row r="731" ht="15.75" customHeight="1">
      <c r="A731" s="29"/>
    </row>
    <row r="732" ht="15.75" customHeight="1">
      <c r="A732" s="29"/>
    </row>
    <row r="733" ht="15.75" customHeight="1">
      <c r="A733" s="29"/>
    </row>
    <row r="734" ht="15.75" customHeight="1">
      <c r="A734" s="29"/>
    </row>
    <row r="735" ht="15.75" customHeight="1">
      <c r="A735" s="29"/>
    </row>
    <row r="736" ht="15.75" customHeight="1">
      <c r="A736" s="29"/>
    </row>
    <row r="737" ht="15.75" customHeight="1">
      <c r="A737" s="29"/>
    </row>
    <row r="738" ht="15.75" customHeight="1">
      <c r="A738" s="29"/>
    </row>
    <row r="739" ht="15.75" customHeight="1">
      <c r="A739" s="29"/>
    </row>
    <row r="740" ht="15.75" customHeight="1">
      <c r="A740" s="29"/>
    </row>
    <row r="741" ht="15.75" customHeight="1">
      <c r="A741" s="29"/>
    </row>
    <row r="742" ht="15.75" customHeight="1">
      <c r="A742" s="29"/>
    </row>
    <row r="743" ht="15.75" customHeight="1">
      <c r="A743" s="29"/>
    </row>
    <row r="744" ht="15.75" customHeight="1">
      <c r="A744" s="29"/>
    </row>
    <row r="745" ht="15.75" customHeight="1">
      <c r="A745" s="29"/>
    </row>
    <row r="746" ht="15.75" customHeight="1">
      <c r="A746" s="29"/>
    </row>
    <row r="747" ht="15.75" customHeight="1">
      <c r="A747" s="29"/>
    </row>
    <row r="748" ht="15.75" customHeight="1">
      <c r="A748" s="29"/>
    </row>
    <row r="749" ht="15.75" customHeight="1">
      <c r="A749" s="29"/>
    </row>
    <row r="750" ht="15.75" customHeight="1">
      <c r="A750" s="29"/>
    </row>
    <row r="751" ht="15.75" customHeight="1">
      <c r="A751" s="29"/>
    </row>
    <row r="752" ht="15.75" customHeight="1">
      <c r="A752" s="29"/>
    </row>
    <row r="753" ht="15.75" customHeight="1">
      <c r="A753" s="29"/>
    </row>
    <row r="754" ht="15.75" customHeight="1">
      <c r="A754" s="29"/>
    </row>
    <row r="755" ht="15.75" customHeight="1">
      <c r="A755" s="29"/>
    </row>
    <row r="756" ht="15.75" customHeight="1">
      <c r="A756" s="29"/>
    </row>
    <row r="757" ht="15.75" customHeight="1">
      <c r="A757" s="29"/>
    </row>
    <row r="758" ht="15.75" customHeight="1">
      <c r="A758" s="29"/>
    </row>
    <row r="759" ht="15.75" customHeight="1">
      <c r="A759" s="29"/>
    </row>
    <row r="760" ht="15.75" customHeight="1">
      <c r="A760" s="29"/>
    </row>
    <row r="761" ht="15.75" customHeight="1">
      <c r="A761" s="29"/>
    </row>
    <row r="762" ht="15.75" customHeight="1">
      <c r="A762" s="29"/>
    </row>
    <row r="763" ht="15.75" customHeight="1">
      <c r="A763" s="29"/>
    </row>
    <row r="764" ht="15.75" customHeight="1">
      <c r="A764" s="29"/>
    </row>
    <row r="765" ht="15.75" customHeight="1">
      <c r="A765" s="29"/>
    </row>
    <row r="766" ht="15.75" customHeight="1">
      <c r="A766" s="29"/>
    </row>
    <row r="767" ht="15.75" customHeight="1">
      <c r="A767" s="29"/>
    </row>
    <row r="768" ht="15.75" customHeight="1">
      <c r="A768" s="29"/>
    </row>
    <row r="769" ht="15.75" customHeight="1">
      <c r="A769" s="29"/>
    </row>
    <row r="770" ht="15.75" customHeight="1">
      <c r="A770" s="29"/>
    </row>
    <row r="771" ht="15.75" customHeight="1">
      <c r="A771" s="29"/>
    </row>
    <row r="772" ht="15.75" customHeight="1">
      <c r="A772" s="29"/>
    </row>
    <row r="773" ht="15.75" customHeight="1">
      <c r="A773" s="29"/>
    </row>
    <row r="774" ht="15.75" customHeight="1">
      <c r="A774" s="29"/>
    </row>
    <row r="775" ht="15.75" customHeight="1">
      <c r="A775" s="29"/>
    </row>
    <row r="776" ht="15.75" customHeight="1">
      <c r="A776" s="29"/>
    </row>
    <row r="777" ht="15.75" customHeight="1">
      <c r="A777" s="29"/>
    </row>
    <row r="778" ht="15.75" customHeight="1">
      <c r="A778" s="29"/>
    </row>
    <row r="779" ht="15.75" customHeight="1">
      <c r="A779" s="29"/>
    </row>
    <row r="780" ht="15.75" customHeight="1">
      <c r="A780" s="29"/>
    </row>
    <row r="781" ht="15.75" customHeight="1">
      <c r="A781" s="29"/>
    </row>
    <row r="782" ht="15.75" customHeight="1">
      <c r="A782" s="29"/>
    </row>
    <row r="783" ht="15.75" customHeight="1">
      <c r="A783" s="29"/>
    </row>
    <row r="784" ht="15.75" customHeight="1">
      <c r="A784" s="29"/>
    </row>
    <row r="785" ht="15.75" customHeight="1">
      <c r="A785" s="29"/>
    </row>
    <row r="786" ht="15.75" customHeight="1">
      <c r="A786" s="29"/>
    </row>
    <row r="787" ht="15.75" customHeight="1">
      <c r="A787" s="29"/>
    </row>
    <row r="788" ht="15.75" customHeight="1">
      <c r="A788" s="29"/>
    </row>
    <row r="789" ht="15.75" customHeight="1">
      <c r="A789" s="29"/>
    </row>
    <row r="790" ht="15.75" customHeight="1">
      <c r="A790" s="29"/>
    </row>
    <row r="791" ht="15.75" customHeight="1">
      <c r="A791" s="29"/>
    </row>
    <row r="792" ht="15.75" customHeight="1">
      <c r="A792" s="29"/>
    </row>
    <row r="793" ht="15.75" customHeight="1">
      <c r="A793" s="29"/>
    </row>
    <row r="794" ht="15.75" customHeight="1">
      <c r="A794" s="29"/>
    </row>
    <row r="795" ht="15.75" customHeight="1">
      <c r="A795" s="29"/>
    </row>
    <row r="796" ht="15.75" customHeight="1">
      <c r="A796" s="29"/>
    </row>
    <row r="797" ht="15.75" customHeight="1">
      <c r="A797" s="29"/>
    </row>
    <row r="798" ht="15.75" customHeight="1">
      <c r="A798" s="29"/>
    </row>
    <row r="799" ht="15.75" customHeight="1">
      <c r="A799" s="29"/>
    </row>
    <row r="800" ht="15.75" customHeight="1">
      <c r="A800" s="29"/>
    </row>
    <row r="801" ht="15.75" customHeight="1">
      <c r="A801" s="29"/>
    </row>
    <row r="802" ht="15.75" customHeight="1">
      <c r="A802" s="29"/>
    </row>
    <row r="803" ht="15.75" customHeight="1">
      <c r="A803" s="29"/>
    </row>
    <row r="804" ht="15.75" customHeight="1">
      <c r="A804" s="29"/>
    </row>
    <row r="805" ht="15.75" customHeight="1">
      <c r="A805" s="29"/>
    </row>
    <row r="806" ht="15.75" customHeight="1">
      <c r="A806" s="29"/>
    </row>
    <row r="807" ht="15.75" customHeight="1">
      <c r="A807" s="29"/>
    </row>
    <row r="808" ht="15.75" customHeight="1">
      <c r="A808" s="29"/>
    </row>
    <row r="809" ht="15.75" customHeight="1">
      <c r="A809" s="29"/>
    </row>
    <row r="810" ht="15.75" customHeight="1">
      <c r="A810" s="29"/>
    </row>
    <row r="811" ht="15.75" customHeight="1">
      <c r="A811" s="29"/>
    </row>
    <row r="812" ht="15.75" customHeight="1">
      <c r="A812" s="29"/>
    </row>
    <row r="813" ht="15.75" customHeight="1">
      <c r="A813" s="29"/>
    </row>
    <row r="814" ht="15.75" customHeight="1">
      <c r="A814" s="29"/>
    </row>
    <row r="815" ht="15.75" customHeight="1">
      <c r="A815" s="29"/>
    </row>
    <row r="816" ht="15.75" customHeight="1">
      <c r="A816" s="29"/>
    </row>
    <row r="817" ht="15.75" customHeight="1">
      <c r="A817" s="29"/>
    </row>
    <row r="818" ht="15.75" customHeight="1">
      <c r="A818" s="29"/>
    </row>
    <row r="819" ht="15.75" customHeight="1">
      <c r="A819" s="29"/>
    </row>
    <row r="820" ht="15.75" customHeight="1">
      <c r="A820" s="29"/>
    </row>
    <row r="821" ht="15.75" customHeight="1">
      <c r="A821" s="29"/>
    </row>
    <row r="822" ht="15.75" customHeight="1">
      <c r="A822" s="29"/>
    </row>
    <row r="823" ht="15.75" customHeight="1">
      <c r="A823" s="29"/>
    </row>
    <row r="824" ht="15.75" customHeight="1">
      <c r="A824" s="29"/>
    </row>
    <row r="825" ht="15.75" customHeight="1">
      <c r="A825" s="29"/>
    </row>
    <row r="826" ht="15.75" customHeight="1">
      <c r="A826" s="29"/>
    </row>
    <row r="827" ht="15.75" customHeight="1">
      <c r="A827" s="29"/>
    </row>
    <row r="828" ht="15.75" customHeight="1">
      <c r="A828" s="29"/>
    </row>
    <row r="829" ht="15.75" customHeight="1">
      <c r="A829" s="29"/>
    </row>
    <row r="830" ht="15.75" customHeight="1">
      <c r="A830" s="29"/>
    </row>
    <row r="831" ht="15.75" customHeight="1">
      <c r="A831" s="29"/>
    </row>
    <row r="832" ht="15.75" customHeight="1">
      <c r="A832" s="29"/>
    </row>
    <row r="833" ht="15.75" customHeight="1">
      <c r="A833" s="29"/>
    </row>
    <row r="834" ht="15.75" customHeight="1">
      <c r="A834" s="29"/>
    </row>
    <row r="835" ht="15.75" customHeight="1">
      <c r="A835" s="29"/>
    </row>
    <row r="836" ht="15.75" customHeight="1">
      <c r="A836" s="29"/>
    </row>
    <row r="837" ht="15.75" customHeight="1">
      <c r="A837" s="29"/>
    </row>
    <row r="838" ht="15.75" customHeight="1">
      <c r="A838" s="29"/>
    </row>
    <row r="839" ht="15.75" customHeight="1">
      <c r="A839" s="29"/>
    </row>
    <row r="840" ht="15.75" customHeight="1">
      <c r="A840" s="29"/>
    </row>
    <row r="841" ht="15.75" customHeight="1">
      <c r="A841" s="29"/>
    </row>
    <row r="842" ht="15.75" customHeight="1">
      <c r="A842" s="29"/>
    </row>
    <row r="843" ht="15.75" customHeight="1">
      <c r="A843" s="29"/>
    </row>
    <row r="844" ht="15.75" customHeight="1">
      <c r="A844" s="29"/>
    </row>
    <row r="845" ht="15.75" customHeight="1">
      <c r="A845" s="29"/>
    </row>
    <row r="846" ht="15.75" customHeight="1">
      <c r="A846" s="29"/>
    </row>
    <row r="847" ht="15.75" customHeight="1">
      <c r="A847" s="29"/>
    </row>
    <row r="848" ht="15.75" customHeight="1">
      <c r="A848" s="29"/>
    </row>
    <row r="849" ht="15.75" customHeight="1">
      <c r="A849" s="29"/>
    </row>
    <row r="850" ht="15.75" customHeight="1">
      <c r="A850" s="29"/>
    </row>
    <row r="851" ht="15.75" customHeight="1">
      <c r="A851" s="29"/>
    </row>
    <row r="852" ht="15.75" customHeight="1">
      <c r="A852" s="29"/>
    </row>
    <row r="853" ht="15.75" customHeight="1">
      <c r="A853" s="29"/>
    </row>
    <row r="854" ht="15.75" customHeight="1">
      <c r="A854" s="29"/>
    </row>
    <row r="855" ht="15.75" customHeight="1">
      <c r="A855" s="29"/>
    </row>
    <row r="856" ht="15.75" customHeight="1">
      <c r="A856" s="29"/>
    </row>
    <row r="857" ht="15.75" customHeight="1">
      <c r="A857" s="29"/>
    </row>
    <row r="858" ht="15.75" customHeight="1">
      <c r="A858" s="29"/>
    </row>
    <row r="859" ht="15.75" customHeight="1">
      <c r="A859" s="29"/>
    </row>
    <row r="860" ht="15.75" customHeight="1">
      <c r="A860" s="29"/>
    </row>
    <row r="861" ht="15.75" customHeight="1">
      <c r="A861" s="29"/>
    </row>
    <row r="862" ht="15.75" customHeight="1">
      <c r="A862" s="29"/>
    </row>
    <row r="863" ht="15.75" customHeight="1">
      <c r="A863" s="29"/>
    </row>
    <row r="864" ht="15.75" customHeight="1">
      <c r="A864" s="29"/>
    </row>
    <row r="865" ht="15.75" customHeight="1">
      <c r="A865" s="29"/>
    </row>
    <row r="866" ht="15.75" customHeight="1">
      <c r="A866" s="29"/>
    </row>
    <row r="867" ht="15.75" customHeight="1">
      <c r="A867" s="29"/>
    </row>
    <row r="868" ht="15.75" customHeight="1">
      <c r="A868" s="29"/>
    </row>
    <row r="869" ht="15.75" customHeight="1">
      <c r="A869" s="29"/>
    </row>
    <row r="870" ht="15.75" customHeight="1">
      <c r="A870" s="29"/>
    </row>
    <row r="871" ht="15.75" customHeight="1">
      <c r="A871" s="29"/>
    </row>
    <row r="872" ht="15.75" customHeight="1">
      <c r="A872" s="29"/>
    </row>
    <row r="873" ht="15.75" customHeight="1">
      <c r="A873" s="29"/>
    </row>
    <row r="874" ht="15.75" customHeight="1">
      <c r="A874" s="29"/>
    </row>
    <row r="875" ht="15.75" customHeight="1">
      <c r="A875" s="29"/>
    </row>
    <row r="876" ht="15.75" customHeight="1">
      <c r="A876" s="29"/>
    </row>
    <row r="877" ht="15.75" customHeight="1">
      <c r="A877" s="29"/>
    </row>
    <row r="878" ht="15.75" customHeight="1">
      <c r="A878" s="29"/>
    </row>
    <row r="879" ht="15.75" customHeight="1">
      <c r="A879" s="29"/>
    </row>
    <row r="880" ht="15.75" customHeight="1">
      <c r="A880" s="29"/>
    </row>
    <row r="881" ht="15.75" customHeight="1">
      <c r="A881" s="29"/>
    </row>
    <row r="882" ht="15.75" customHeight="1">
      <c r="A882" s="29"/>
    </row>
    <row r="883" ht="15.75" customHeight="1">
      <c r="A883" s="29"/>
    </row>
    <row r="884" ht="15.75" customHeight="1">
      <c r="A884" s="29"/>
    </row>
    <row r="885" ht="15.75" customHeight="1">
      <c r="A885" s="29"/>
    </row>
    <row r="886" ht="15.75" customHeight="1">
      <c r="A886" s="29"/>
    </row>
    <row r="887" ht="15.75" customHeight="1">
      <c r="A887" s="29"/>
    </row>
    <row r="888" ht="15.75" customHeight="1">
      <c r="A888" s="29"/>
    </row>
    <row r="889" ht="15.75" customHeight="1">
      <c r="A889" s="29"/>
    </row>
    <row r="890" ht="15.75" customHeight="1">
      <c r="A890" s="29"/>
    </row>
    <row r="891" ht="15.75" customHeight="1">
      <c r="A891" s="29"/>
    </row>
    <row r="892" ht="15.75" customHeight="1">
      <c r="A892" s="29"/>
    </row>
    <row r="893" ht="15.75" customHeight="1">
      <c r="A893" s="29"/>
    </row>
    <row r="894" ht="15.75" customHeight="1">
      <c r="A894" s="29"/>
    </row>
    <row r="895" ht="15.75" customHeight="1">
      <c r="A895" s="29"/>
    </row>
    <row r="896" ht="15.75" customHeight="1">
      <c r="A896" s="29"/>
    </row>
    <row r="897" ht="15.75" customHeight="1">
      <c r="A897" s="29"/>
    </row>
    <row r="898" ht="15.75" customHeight="1">
      <c r="A898" s="29"/>
    </row>
    <row r="899" ht="15.75" customHeight="1">
      <c r="A899" s="29"/>
    </row>
    <row r="900" ht="15.75" customHeight="1">
      <c r="A900" s="29"/>
    </row>
    <row r="901" ht="15.75" customHeight="1">
      <c r="A901" s="29"/>
    </row>
    <row r="902" ht="15.75" customHeight="1">
      <c r="A902" s="29"/>
    </row>
    <row r="903" ht="15.75" customHeight="1">
      <c r="A903" s="29"/>
    </row>
    <row r="904" ht="15.75" customHeight="1">
      <c r="A904" s="29"/>
    </row>
    <row r="905" ht="15.75" customHeight="1">
      <c r="A905" s="29"/>
    </row>
    <row r="906" ht="15.75" customHeight="1">
      <c r="A906" s="29"/>
    </row>
    <row r="907" ht="15.75" customHeight="1">
      <c r="A907" s="29"/>
    </row>
    <row r="908" ht="15.75" customHeight="1">
      <c r="A908" s="29"/>
    </row>
    <row r="909" ht="15.75" customHeight="1">
      <c r="A909" s="29"/>
    </row>
    <row r="910" ht="15.75" customHeight="1">
      <c r="A910" s="29"/>
    </row>
    <row r="911" ht="15.75" customHeight="1">
      <c r="A911" s="29"/>
    </row>
    <row r="912" ht="15.75" customHeight="1">
      <c r="A912" s="29"/>
    </row>
    <row r="913" ht="15.75" customHeight="1">
      <c r="A913" s="29"/>
    </row>
    <row r="914" ht="15.75" customHeight="1">
      <c r="A914" s="29"/>
    </row>
    <row r="915" ht="15.75" customHeight="1">
      <c r="A915" s="29"/>
    </row>
    <row r="916" ht="15.75" customHeight="1">
      <c r="A916" s="29"/>
    </row>
    <row r="917" ht="15.75" customHeight="1">
      <c r="A917" s="29"/>
    </row>
    <row r="918" ht="15.75" customHeight="1">
      <c r="A918" s="29"/>
    </row>
    <row r="919" ht="15.75" customHeight="1">
      <c r="A919" s="29"/>
    </row>
    <row r="920" ht="15.75" customHeight="1">
      <c r="A920" s="29"/>
    </row>
    <row r="921" ht="15.75" customHeight="1">
      <c r="A921" s="29"/>
    </row>
    <row r="922" ht="15.75" customHeight="1">
      <c r="A922" s="29"/>
    </row>
    <row r="923" ht="15.75" customHeight="1">
      <c r="A923" s="29"/>
    </row>
    <row r="924" ht="15.75" customHeight="1">
      <c r="A924" s="29"/>
    </row>
    <row r="925" ht="15.75" customHeight="1">
      <c r="A925" s="29"/>
    </row>
    <row r="926" ht="15.75" customHeight="1">
      <c r="A926" s="29"/>
    </row>
    <row r="927" ht="15.75" customHeight="1">
      <c r="A927" s="29"/>
    </row>
    <row r="928" ht="15.75" customHeight="1">
      <c r="A928" s="29"/>
    </row>
    <row r="929" ht="15.75" customHeight="1">
      <c r="A929" s="29"/>
    </row>
    <row r="930" ht="15.75" customHeight="1">
      <c r="A930" s="29"/>
    </row>
    <row r="931" ht="15.75" customHeight="1">
      <c r="A931" s="29"/>
    </row>
    <row r="932" ht="15.75" customHeight="1">
      <c r="A932" s="29"/>
    </row>
    <row r="933" ht="15.75" customHeight="1">
      <c r="A933" s="29"/>
    </row>
    <row r="934" ht="15.75" customHeight="1">
      <c r="A934" s="29"/>
    </row>
    <row r="935" ht="15.75" customHeight="1">
      <c r="A935" s="29"/>
    </row>
    <row r="936" ht="15.75" customHeight="1">
      <c r="A936" s="29"/>
    </row>
    <row r="937" ht="15.75" customHeight="1">
      <c r="A937" s="29"/>
    </row>
    <row r="938" ht="15.75" customHeight="1">
      <c r="A938" s="29"/>
    </row>
    <row r="939" ht="15.75" customHeight="1">
      <c r="A939" s="29"/>
    </row>
    <row r="940" ht="15.75" customHeight="1">
      <c r="A940" s="29"/>
    </row>
    <row r="941" ht="15.75" customHeight="1">
      <c r="A941" s="29"/>
    </row>
    <row r="942" ht="15.75" customHeight="1">
      <c r="A942" s="29"/>
    </row>
    <row r="943" ht="15.75" customHeight="1">
      <c r="A943" s="29"/>
    </row>
    <row r="944" ht="15.75" customHeight="1">
      <c r="A944" s="29"/>
    </row>
    <row r="945" ht="15.75" customHeight="1">
      <c r="A945" s="29"/>
    </row>
    <row r="946" ht="15.75" customHeight="1">
      <c r="A946" s="29"/>
    </row>
    <row r="947" ht="15.75" customHeight="1">
      <c r="A947" s="29"/>
    </row>
    <row r="948" ht="15.75" customHeight="1">
      <c r="A948" s="29"/>
    </row>
    <row r="949" ht="15.75" customHeight="1">
      <c r="A949" s="29"/>
    </row>
    <row r="950" ht="15.75" customHeight="1">
      <c r="A950" s="29"/>
    </row>
    <row r="951" ht="15.75" customHeight="1">
      <c r="A951" s="29"/>
    </row>
    <row r="952" ht="15.75" customHeight="1">
      <c r="A952" s="29"/>
    </row>
    <row r="953" ht="15.75" customHeight="1">
      <c r="A953" s="29"/>
    </row>
    <row r="954" ht="15.75" customHeight="1">
      <c r="A954" s="29"/>
    </row>
    <row r="955" ht="15.75" customHeight="1">
      <c r="A955" s="29"/>
    </row>
    <row r="956" ht="15.75" customHeight="1">
      <c r="A956" s="29"/>
    </row>
    <row r="957" ht="15.75" customHeight="1">
      <c r="A957" s="29"/>
    </row>
    <row r="958" ht="15.75" customHeight="1">
      <c r="A958" s="29"/>
    </row>
    <row r="959" ht="15.75" customHeight="1">
      <c r="A959" s="29"/>
    </row>
    <row r="960" ht="15.75" customHeight="1">
      <c r="A960" s="29"/>
    </row>
    <row r="961" ht="15.75" customHeight="1">
      <c r="A961" s="29"/>
    </row>
    <row r="962" ht="15.75" customHeight="1">
      <c r="A962" s="29"/>
    </row>
    <row r="963" ht="15.75" customHeight="1">
      <c r="A963" s="29"/>
    </row>
    <row r="964" ht="15.75" customHeight="1">
      <c r="A964" s="29"/>
    </row>
    <row r="965" ht="15.75" customHeight="1">
      <c r="A965" s="29"/>
    </row>
    <row r="966" ht="15.75" customHeight="1">
      <c r="A966" s="29"/>
    </row>
    <row r="967" ht="15.75" customHeight="1">
      <c r="A967" s="29"/>
    </row>
    <row r="968" ht="15.75" customHeight="1">
      <c r="A968" s="29"/>
    </row>
    <row r="969" ht="15.75" customHeight="1">
      <c r="A969" s="29"/>
    </row>
    <row r="970" ht="15.75" customHeight="1">
      <c r="A970" s="29"/>
    </row>
    <row r="971" ht="15.75" customHeight="1">
      <c r="A971" s="29"/>
    </row>
    <row r="972" ht="15.75" customHeight="1">
      <c r="A972" s="29"/>
    </row>
    <row r="973" ht="15.75" customHeight="1">
      <c r="A973" s="29"/>
    </row>
    <row r="974" ht="15.75" customHeight="1">
      <c r="A974" s="29"/>
    </row>
    <row r="975" ht="15.75" customHeight="1">
      <c r="A975" s="29"/>
    </row>
    <row r="976" ht="15.75" customHeight="1">
      <c r="A976" s="29"/>
    </row>
    <row r="977" ht="15.75" customHeight="1">
      <c r="A977" s="29"/>
    </row>
    <row r="978" ht="15.75" customHeight="1">
      <c r="A978" s="29"/>
    </row>
    <row r="979" ht="15.75" customHeight="1">
      <c r="A979" s="29"/>
    </row>
    <row r="980" ht="15.75" customHeight="1">
      <c r="A980" s="29"/>
    </row>
    <row r="981" ht="15.75" customHeight="1">
      <c r="A981" s="29"/>
    </row>
    <row r="982" ht="15.75" customHeight="1">
      <c r="A982" s="29"/>
    </row>
    <row r="983" ht="15.75" customHeight="1">
      <c r="A983" s="29"/>
    </row>
    <row r="984" ht="15.75" customHeight="1">
      <c r="A984" s="29"/>
    </row>
    <row r="985" ht="15.75" customHeight="1">
      <c r="A985" s="29"/>
    </row>
    <row r="986" ht="15.75" customHeight="1">
      <c r="A986" s="29"/>
    </row>
    <row r="987" ht="15.75" customHeight="1">
      <c r="A987" s="29"/>
    </row>
    <row r="988" ht="15.75" customHeight="1">
      <c r="A988" s="29"/>
    </row>
    <row r="989" ht="15.75" customHeight="1">
      <c r="A989" s="29"/>
    </row>
    <row r="990" ht="15.75" customHeight="1">
      <c r="A990" s="29"/>
    </row>
    <row r="991" ht="15.75" customHeight="1">
      <c r="A991" s="29"/>
    </row>
    <row r="992" ht="15.75" customHeight="1">
      <c r="A992" s="29"/>
    </row>
    <row r="993" ht="15.75" customHeight="1">
      <c r="A993" s="29"/>
    </row>
    <row r="994" ht="15.75" customHeight="1">
      <c r="A994" s="29"/>
    </row>
    <row r="995" ht="15.75" customHeight="1">
      <c r="A995" s="29"/>
    </row>
    <row r="996" ht="15.75" customHeight="1">
      <c r="A996" s="29"/>
    </row>
    <row r="997" ht="15.75" customHeight="1">
      <c r="A997" s="29"/>
    </row>
    <row r="998" ht="15.75" customHeight="1">
      <c r="A998" s="29"/>
    </row>
    <row r="999" ht="15.75" customHeight="1">
      <c r="A999" s="29"/>
    </row>
    <row r="1000" ht="15.75" customHeight="1">
      <c r="A1000" s="29"/>
    </row>
  </sheetData>
  <autoFilter ref="$A$1:$D$1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25"/>
    <col customWidth="1" min="3" max="3" width="17.63"/>
    <col customWidth="1" min="4" max="4" width="19.25"/>
    <col customWidth="1" min="5" max="16" width="11.0"/>
  </cols>
  <sheetData>
    <row r="1" ht="48.75" customHeight="1">
      <c r="A1" s="2" t="s">
        <v>477</v>
      </c>
      <c r="B1" s="2" t="s">
        <v>7</v>
      </c>
      <c r="C1" s="2" t="s">
        <v>488</v>
      </c>
      <c r="D1" s="2" t="s">
        <v>489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ht="14.25" customHeight="1">
      <c r="A2" s="66">
        <v>1.0</v>
      </c>
      <c r="B2" s="7" t="s">
        <v>11</v>
      </c>
      <c r="C2" s="8">
        <v>22.0</v>
      </c>
      <c r="D2" s="8">
        <v>8.0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ht="14.25" customHeight="1">
      <c r="A3" s="66">
        <v>2.0</v>
      </c>
      <c r="B3" s="7" t="s">
        <v>15</v>
      </c>
      <c r="C3" s="8">
        <v>59.0</v>
      </c>
      <c r="D3" s="8">
        <v>17.0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ht="14.25" customHeight="1">
      <c r="A4" s="66">
        <v>3.0</v>
      </c>
      <c r="B4" s="7" t="s">
        <v>17</v>
      </c>
      <c r="C4" s="8">
        <v>57.0</v>
      </c>
      <c r="D4" s="8">
        <v>11.0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ht="14.25" customHeight="1">
      <c r="A5" s="66">
        <v>4.0</v>
      </c>
      <c r="B5" s="7" t="s">
        <v>20</v>
      </c>
      <c r="C5" s="8">
        <v>51.0</v>
      </c>
      <c r="D5" s="8">
        <v>31.0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ht="14.25" customHeight="1">
      <c r="A6" s="66">
        <v>5.0</v>
      </c>
      <c r="B6" s="7" t="s">
        <v>264</v>
      </c>
      <c r="C6" s="8">
        <v>91.0</v>
      </c>
      <c r="D6" s="8">
        <v>42.0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</row>
    <row r="7" ht="14.25" customHeight="1">
      <c r="A7" s="66">
        <v>6.0</v>
      </c>
      <c r="B7" s="7" t="s">
        <v>25</v>
      </c>
      <c r="C7" s="8">
        <v>33.0</v>
      </c>
      <c r="D7" s="8">
        <v>25.0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</row>
    <row r="8" ht="14.25" customHeight="1">
      <c r="A8" s="66">
        <v>7.0</v>
      </c>
      <c r="B8" s="7" t="s">
        <v>27</v>
      </c>
      <c r="C8" s="8">
        <v>21.0</v>
      </c>
      <c r="D8" s="8">
        <v>8.0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</row>
    <row r="9" ht="14.25" customHeight="1">
      <c r="A9" s="66">
        <v>8.0</v>
      </c>
      <c r="B9" s="7" t="s">
        <v>29</v>
      </c>
      <c r="C9" s="8">
        <v>34.0</v>
      </c>
      <c r="D9" s="8">
        <v>24.0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</row>
    <row r="10" ht="14.25" customHeight="1">
      <c r="A10" s="66">
        <v>9.0</v>
      </c>
      <c r="B10" s="7" t="s">
        <v>31</v>
      </c>
      <c r="C10" s="8">
        <v>43.0</v>
      </c>
      <c r="D10" s="8">
        <v>10.0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</row>
    <row r="11" ht="14.25" customHeight="1">
      <c r="A11" s="66">
        <v>10.0</v>
      </c>
      <c r="B11" s="7" t="s">
        <v>35</v>
      </c>
      <c r="C11" s="8">
        <v>44.4936305732484</v>
      </c>
      <c r="D11" s="8">
        <v>27.123264016831325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</row>
    <row r="12" ht="14.25" customHeight="1">
      <c r="A12" s="66">
        <v>11.0</v>
      </c>
      <c r="B12" s="7" t="s">
        <v>34</v>
      </c>
      <c r="C12" s="8">
        <v>50.0</v>
      </c>
      <c r="D12" s="8">
        <v>16.0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</row>
    <row r="13" ht="14.25" customHeight="1">
      <c r="A13" s="38"/>
      <c r="B13" s="38"/>
      <c r="C13" s="31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</row>
    <row r="14" ht="14.2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</row>
    <row r="15" ht="14.2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</row>
    <row r="16" ht="14.2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</row>
    <row r="18" ht="14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</row>
    <row r="19" ht="14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</row>
    <row r="21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</row>
    <row r="22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</row>
    <row r="24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ht="14.2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ht="14.2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ht="14.2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ht="14.2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ht="14.2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ht="14.2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ht="14.2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ht="14.2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ht="14.2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ht="14.2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ht="14.2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ht="14.2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ht="14.2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ht="14.2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ht="14.2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ht="14.2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ht="14.2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ht="14.2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ht="14.2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ht="14.2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ht="14.2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ht="14.2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ht="14.2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ht="14.2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ht="14.2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ht="14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ht="14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ht="14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ht="14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ht="14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ht="14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ht="14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ht="14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ht="14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ht="14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ht="14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ht="14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ht="14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ht="14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ht="14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ht="14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ht="14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  <row r="70" ht="14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</row>
    <row r="71" ht="14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</row>
    <row r="72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</row>
    <row r="73" ht="14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</row>
    <row r="74" ht="14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</row>
    <row r="75" ht="14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</row>
    <row r="76" ht="14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</row>
    <row r="77" ht="14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</row>
    <row r="78" ht="14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</row>
    <row r="79" ht="14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</row>
    <row r="80" ht="14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</row>
    <row r="81" ht="14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</row>
    <row r="82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</row>
    <row r="83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</row>
    <row r="84" ht="14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</row>
    <row r="85" ht="14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</row>
    <row r="86" ht="14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</row>
    <row r="87" ht="14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</row>
    <row r="88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</row>
    <row r="89" ht="14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</row>
    <row r="90" ht="14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</row>
    <row r="91" ht="14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</row>
    <row r="92" ht="14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</row>
    <row r="93" ht="14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</row>
    <row r="94" ht="14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</row>
    <row r="95" ht="14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</row>
    <row r="96" ht="14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</row>
    <row r="97" ht="14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</row>
    <row r="98" ht="14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</row>
    <row r="99" ht="14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</row>
    <row r="100" ht="14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</row>
    <row r="101" ht="14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</row>
    <row r="102" ht="14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</row>
    <row r="103" ht="14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</row>
    <row r="104" ht="14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</row>
    <row r="105" ht="14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</row>
    <row r="106" ht="14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</row>
    <row r="107" ht="14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</row>
    <row r="108" ht="14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</row>
    <row r="109" ht="14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</row>
    <row r="110" ht="14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</row>
    <row r="111" ht="14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</row>
    <row r="112" ht="14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</row>
    <row r="113" ht="14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</row>
    <row r="114" ht="14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</row>
    <row r="115" ht="14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</row>
    <row r="116" ht="14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</row>
    <row r="117" ht="14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</row>
    <row r="118" ht="14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</row>
    <row r="119" ht="14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</row>
    <row r="120" ht="14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</row>
    <row r="121" ht="14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</row>
    <row r="122" ht="14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</row>
    <row r="123" ht="14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</row>
    <row r="124" ht="14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</row>
    <row r="125" ht="14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</row>
    <row r="126" ht="14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</row>
    <row r="127" ht="14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</row>
    <row r="128" ht="14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</row>
    <row r="129" ht="14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</row>
    <row r="130" ht="14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</row>
    <row r="131" ht="14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</row>
    <row r="132" ht="14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</row>
    <row r="133" ht="14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</row>
    <row r="134" ht="14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</row>
    <row r="135" ht="14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</row>
    <row r="136" ht="14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</row>
    <row r="137" ht="14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</row>
    <row r="138" ht="14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</row>
    <row r="139" ht="14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</row>
    <row r="140" ht="14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</row>
    <row r="141" ht="14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</row>
    <row r="142" ht="14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</row>
    <row r="143" ht="14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</row>
    <row r="144" ht="14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</row>
    <row r="145" ht="14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</row>
    <row r="146" ht="14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</row>
    <row r="147" ht="14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</row>
    <row r="148" ht="14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</row>
    <row r="149" ht="14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</row>
    <row r="150" ht="14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</row>
    <row r="151" ht="14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</row>
    <row r="152" ht="14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</row>
    <row r="153" ht="14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</row>
    <row r="154" ht="14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</row>
    <row r="155" ht="14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</row>
    <row r="156" ht="14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</row>
    <row r="157" ht="14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</row>
    <row r="158" ht="14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</row>
    <row r="159" ht="14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</row>
    <row r="160" ht="14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</row>
    <row r="161" ht="14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</row>
    <row r="162" ht="14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</row>
    <row r="163" ht="14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</row>
    <row r="164" ht="14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</row>
    <row r="165" ht="14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</row>
    <row r="166" ht="14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</row>
    <row r="167" ht="14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</row>
    <row r="168" ht="14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</row>
    <row r="169" ht="14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</row>
    <row r="170" ht="14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</row>
    <row r="171" ht="14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</row>
    <row r="172" ht="14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</row>
    <row r="173" ht="14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</row>
    <row r="174" ht="14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</row>
    <row r="175" ht="14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</row>
    <row r="176" ht="14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</row>
    <row r="177" ht="14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</row>
    <row r="178" ht="14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</row>
    <row r="179" ht="14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</row>
    <row r="180" ht="14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</row>
    <row r="181" ht="14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</row>
    <row r="182" ht="14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</row>
    <row r="183" ht="14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</row>
    <row r="184" ht="14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</row>
    <row r="185" ht="14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</row>
    <row r="186" ht="14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</row>
    <row r="187" ht="14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</row>
    <row r="188" ht="14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</row>
    <row r="189" ht="14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</row>
    <row r="190" ht="14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</row>
    <row r="191" ht="14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</row>
    <row r="192" ht="14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</row>
    <row r="193" ht="14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</row>
    <row r="194" ht="14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</row>
    <row r="195" ht="14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</row>
    <row r="196" ht="14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</row>
    <row r="197" ht="14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</row>
    <row r="198" ht="14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</row>
    <row r="199" ht="14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</row>
    <row r="200" ht="14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</row>
    <row r="201" ht="14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</row>
    <row r="202" ht="14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</row>
    <row r="203" ht="14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</row>
    <row r="204" ht="14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</row>
    <row r="205" ht="14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</row>
    <row r="206" ht="14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</row>
    <row r="207" ht="14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</row>
    <row r="208" ht="14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</row>
    <row r="209" ht="14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</row>
    <row r="210" ht="14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</row>
    <row r="211" ht="14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</row>
    <row r="212" ht="14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</row>
    <row r="213" ht="14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</row>
    <row r="214" ht="14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</row>
    <row r="215" ht="14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</row>
    <row r="216" ht="14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</row>
    <row r="217" ht="14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</row>
    <row r="218" ht="14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</row>
    <row r="219" ht="14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</row>
    <row r="220" ht="14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</row>
    <row r="221" ht="14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</row>
    <row r="222" ht="14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</row>
    <row r="223" ht="14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</row>
    <row r="224" ht="14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</row>
    <row r="225" ht="14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</row>
    <row r="226" ht="14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</row>
    <row r="227" ht="14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</row>
    <row r="228" ht="14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</row>
    <row r="229" ht="14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</row>
    <row r="230" ht="14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</row>
    <row r="231" ht="14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</row>
    <row r="232" ht="14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</row>
    <row r="233" ht="14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</row>
    <row r="234" ht="14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</row>
    <row r="235" ht="14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</row>
    <row r="236" ht="14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</row>
    <row r="237" ht="14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</row>
    <row r="238" ht="14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</row>
    <row r="239" ht="14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</row>
    <row r="240" ht="14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</row>
    <row r="241" ht="14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</row>
    <row r="242" ht="14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</row>
    <row r="243" ht="14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</row>
    <row r="244" ht="14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</row>
    <row r="245" ht="14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</row>
    <row r="246" ht="14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</row>
    <row r="247" ht="14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</row>
    <row r="248" ht="14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</row>
    <row r="249" ht="14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</row>
    <row r="250" ht="14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</row>
    <row r="251" ht="14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</row>
    <row r="252" ht="14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</row>
    <row r="253" ht="14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</row>
    <row r="254" ht="14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</row>
    <row r="255" ht="14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</row>
    <row r="256" ht="14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</row>
    <row r="257" ht="14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</row>
    <row r="258" ht="14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</row>
    <row r="259" ht="14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</row>
    <row r="260" ht="14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</row>
    <row r="261" ht="14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</row>
    <row r="262" ht="14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</row>
    <row r="263" ht="14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</row>
    <row r="264" ht="14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</row>
    <row r="265" ht="14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</row>
    <row r="266" ht="14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</row>
    <row r="267" ht="14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</row>
    <row r="268" ht="14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</row>
    <row r="269" ht="14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</row>
    <row r="270" ht="14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</row>
    <row r="271" ht="14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</row>
    <row r="272" ht="14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</row>
    <row r="273" ht="14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</row>
    <row r="274" ht="14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</row>
    <row r="275" ht="14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</row>
    <row r="276" ht="14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</row>
    <row r="277" ht="14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</row>
    <row r="278" ht="14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</row>
    <row r="279" ht="14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</row>
    <row r="280" ht="14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</row>
    <row r="281" ht="14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</row>
    <row r="282" ht="14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</row>
    <row r="283" ht="14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</row>
    <row r="284" ht="14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</row>
    <row r="285" ht="14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</row>
    <row r="286" ht="14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</row>
    <row r="287" ht="14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</row>
    <row r="288" ht="14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</row>
    <row r="289" ht="14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</row>
    <row r="290" ht="14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</row>
    <row r="291" ht="14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</row>
    <row r="292" ht="14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</row>
    <row r="293" ht="14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</row>
    <row r="294" ht="14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</row>
    <row r="295" ht="14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</row>
    <row r="296" ht="14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</row>
    <row r="297" ht="14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</row>
    <row r="298" ht="14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</row>
    <row r="299" ht="14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</row>
    <row r="300" ht="14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</row>
    <row r="301" ht="14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</row>
    <row r="302" ht="14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</row>
    <row r="303" ht="14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</row>
    <row r="304" ht="14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</row>
    <row r="305" ht="14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</row>
    <row r="306" ht="14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</row>
    <row r="307" ht="14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</row>
    <row r="308" ht="14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</row>
    <row r="309" ht="14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</row>
    <row r="310" ht="14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</row>
    <row r="311" ht="14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</row>
    <row r="312" ht="14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</row>
    <row r="313" ht="14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</row>
    <row r="314" ht="14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</row>
    <row r="315" ht="14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</row>
    <row r="316" ht="14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</row>
    <row r="317" ht="14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</row>
    <row r="318" ht="14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</row>
    <row r="319" ht="14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</row>
    <row r="320" ht="14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</row>
    <row r="321" ht="14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</row>
    <row r="322" ht="14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</row>
    <row r="323" ht="14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</row>
    <row r="324" ht="14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</row>
    <row r="325" ht="14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</row>
    <row r="326" ht="14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</row>
    <row r="327" ht="14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</row>
    <row r="328" ht="14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</row>
    <row r="329" ht="14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</row>
    <row r="330" ht="14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</row>
    <row r="331" ht="14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</row>
    <row r="332" ht="14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</row>
    <row r="333" ht="14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</row>
    <row r="334" ht="14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</row>
    <row r="335" ht="14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</row>
    <row r="336" ht="14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</row>
    <row r="337" ht="14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</row>
    <row r="338" ht="14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</row>
    <row r="339" ht="14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</row>
    <row r="340" ht="14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</row>
    <row r="341" ht="14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</row>
    <row r="342" ht="14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</row>
    <row r="343" ht="14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</row>
    <row r="344" ht="14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</row>
    <row r="345" ht="14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</row>
    <row r="346" ht="14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</row>
    <row r="347" ht="14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</row>
    <row r="348" ht="14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</row>
    <row r="349" ht="14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</row>
    <row r="350" ht="14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</row>
    <row r="351" ht="14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</row>
    <row r="352" ht="14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</row>
    <row r="353" ht="14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</row>
    <row r="354" ht="14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</row>
    <row r="355" ht="14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</row>
    <row r="356" ht="14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</row>
    <row r="357" ht="14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</row>
    <row r="358" ht="14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</row>
    <row r="359" ht="14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</row>
    <row r="360" ht="14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</row>
    <row r="361" ht="14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</row>
    <row r="362" ht="14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</row>
    <row r="363" ht="14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</row>
    <row r="364" ht="14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</row>
    <row r="365" ht="14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</row>
    <row r="366" ht="14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</row>
    <row r="367" ht="14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</row>
    <row r="368" ht="14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</row>
    <row r="369" ht="14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</row>
    <row r="370" ht="14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</row>
    <row r="371" ht="14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</row>
    <row r="372" ht="14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</row>
    <row r="373" ht="14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</row>
    <row r="374" ht="14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</row>
    <row r="375" ht="14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</row>
    <row r="376" ht="14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</row>
    <row r="377" ht="14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</row>
    <row r="378" ht="14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</row>
    <row r="379" ht="14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</row>
    <row r="380" ht="14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</row>
    <row r="381" ht="14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</row>
    <row r="382" ht="14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</row>
    <row r="383" ht="14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</row>
    <row r="384" ht="14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</row>
    <row r="385" ht="14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</row>
    <row r="386" ht="14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</row>
    <row r="387" ht="14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</row>
    <row r="388" ht="14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</row>
    <row r="389" ht="14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</row>
    <row r="390" ht="14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</row>
    <row r="391" ht="14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</row>
    <row r="392" ht="14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</row>
    <row r="393" ht="14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</row>
    <row r="394" ht="14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</row>
    <row r="395" ht="14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</row>
    <row r="396" ht="14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</row>
    <row r="397" ht="14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</row>
    <row r="398" ht="14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</row>
    <row r="399" ht="14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</row>
    <row r="400" ht="14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</row>
    <row r="401" ht="14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</row>
    <row r="402" ht="14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</row>
    <row r="403" ht="14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</row>
    <row r="404" ht="14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</row>
    <row r="405" ht="14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</row>
    <row r="406" ht="14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</row>
    <row r="407" ht="14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</row>
    <row r="408" ht="14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</row>
    <row r="409" ht="14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</row>
    <row r="410" ht="14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</row>
    <row r="411" ht="14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</row>
    <row r="412" ht="14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</row>
    <row r="413" ht="14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</row>
    <row r="414" ht="14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</row>
    <row r="415" ht="14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</row>
    <row r="416" ht="14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</row>
    <row r="417" ht="14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</row>
    <row r="418" ht="14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</row>
    <row r="419" ht="14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</row>
    <row r="420" ht="14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</row>
    <row r="421" ht="14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</row>
    <row r="422" ht="14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</row>
    <row r="423" ht="14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</row>
    <row r="424" ht="14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</row>
    <row r="425" ht="14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</row>
    <row r="426" ht="14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</row>
    <row r="427" ht="14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</row>
    <row r="428" ht="14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</row>
    <row r="429" ht="14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</row>
    <row r="430" ht="14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</row>
    <row r="431" ht="14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</row>
    <row r="432" ht="14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</row>
    <row r="433" ht="14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</row>
    <row r="434" ht="14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</row>
    <row r="435" ht="14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</row>
    <row r="436" ht="14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</row>
    <row r="437" ht="14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</row>
    <row r="438" ht="14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</row>
    <row r="439" ht="14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</row>
    <row r="440" ht="14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</row>
    <row r="441" ht="14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</row>
    <row r="442" ht="14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</row>
    <row r="443" ht="14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</row>
    <row r="444" ht="14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</row>
    <row r="445" ht="14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</row>
    <row r="446" ht="14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</row>
    <row r="447" ht="14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</row>
    <row r="448" ht="14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</row>
    <row r="449" ht="14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</row>
    <row r="450" ht="14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</row>
    <row r="451" ht="14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</row>
    <row r="452" ht="14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</row>
    <row r="453" ht="14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</row>
    <row r="454" ht="14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</row>
    <row r="455" ht="14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</row>
    <row r="456" ht="14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</row>
    <row r="457" ht="14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</row>
    <row r="458" ht="14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</row>
    <row r="459" ht="14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</row>
    <row r="460" ht="14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</row>
    <row r="461" ht="14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</row>
    <row r="462" ht="14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</row>
    <row r="463" ht="14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</row>
    <row r="464" ht="14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</row>
    <row r="465" ht="14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</row>
    <row r="466" ht="14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</row>
    <row r="467" ht="14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</row>
    <row r="468" ht="14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</row>
    <row r="469" ht="14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</row>
    <row r="470" ht="14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</row>
    <row r="471" ht="14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</row>
    <row r="472" ht="14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</row>
    <row r="473" ht="14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</row>
    <row r="474" ht="14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</row>
    <row r="475" ht="14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</row>
    <row r="476" ht="14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</row>
    <row r="477" ht="14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</row>
    <row r="478" ht="14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</row>
    <row r="479" ht="14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</row>
    <row r="480" ht="14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</row>
    <row r="481" ht="14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</row>
    <row r="482" ht="14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</row>
    <row r="483" ht="14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</row>
    <row r="484" ht="14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</row>
    <row r="485" ht="14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</row>
    <row r="486" ht="14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</row>
    <row r="487" ht="14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</row>
    <row r="488" ht="14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</row>
    <row r="489" ht="14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</row>
    <row r="490" ht="14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</row>
    <row r="491" ht="14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</row>
    <row r="492" ht="14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</row>
    <row r="493" ht="14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</row>
    <row r="494" ht="14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</row>
    <row r="495" ht="14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</row>
    <row r="496" ht="14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</row>
    <row r="497" ht="14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</row>
    <row r="498" ht="14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</row>
    <row r="499" ht="14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</row>
    <row r="500" ht="14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</row>
    <row r="501" ht="14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</row>
    <row r="502" ht="14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</row>
    <row r="503" ht="14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</row>
    <row r="504" ht="14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</row>
    <row r="505" ht="14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</row>
    <row r="506" ht="14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</row>
    <row r="507" ht="14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</row>
    <row r="508" ht="14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</row>
    <row r="509" ht="14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</row>
    <row r="510" ht="14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</row>
    <row r="511" ht="14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</row>
    <row r="512" ht="14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</row>
    <row r="513" ht="14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</row>
    <row r="514" ht="14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</row>
    <row r="515" ht="14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</row>
    <row r="516" ht="14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</row>
    <row r="517" ht="14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</row>
    <row r="518" ht="14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</row>
    <row r="519" ht="14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</row>
    <row r="520" ht="14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</row>
    <row r="521" ht="14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</row>
    <row r="522" ht="14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</row>
    <row r="523" ht="14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</row>
    <row r="524" ht="14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</row>
    <row r="525" ht="14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</row>
    <row r="526" ht="14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</row>
    <row r="527" ht="14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</row>
    <row r="528" ht="14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</row>
    <row r="529" ht="14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</row>
    <row r="530" ht="14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</row>
    <row r="531" ht="14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</row>
    <row r="532" ht="14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</row>
    <row r="533" ht="14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</row>
    <row r="534" ht="14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</row>
    <row r="535" ht="14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</row>
    <row r="536" ht="14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</row>
    <row r="537" ht="14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</row>
    <row r="538" ht="14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</row>
    <row r="539" ht="14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</row>
    <row r="540" ht="14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</row>
    <row r="541" ht="14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</row>
    <row r="542" ht="14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</row>
    <row r="543" ht="14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</row>
    <row r="544" ht="14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</row>
    <row r="545" ht="14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</row>
    <row r="546" ht="14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</row>
    <row r="547" ht="14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</row>
    <row r="548" ht="14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</row>
    <row r="549" ht="14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</row>
    <row r="550" ht="14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</row>
    <row r="551" ht="14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</row>
    <row r="552" ht="14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</row>
    <row r="553" ht="14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</row>
    <row r="554" ht="14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</row>
    <row r="555" ht="14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</row>
    <row r="556" ht="14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</row>
    <row r="557" ht="14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</row>
    <row r="558" ht="14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</row>
    <row r="559" ht="14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</row>
    <row r="560" ht="14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</row>
    <row r="561" ht="14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</row>
    <row r="562" ht="14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</row>
    <row r="563" ht="14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</row>
    <row r="564" ht="14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</row>
    <row r="565" ht="14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</row>
    <row r="566" ht="14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</row>
    <row r="567" ht="14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</row>
    <row r="568" ht="14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</row>
    <row r="569" ht="14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</row>
    <row r="570" ht="14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</row>
    <row r="571" ht="14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</row>
    <row r="572" ht="14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</row>
    <row r="573" ht="14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</row>
    <row r="574" ht="14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</row>
    <row r="575" ht="14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</row>
    <row r="576" ht="14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</row>
    <row r="577" ht="14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</row>
    <row r="578" ht="14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</row>
    <row r="579" ht="14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</row>
    <row r="580" ht="14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</row>
    <row r="581" ht="14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</row>
    <row r="582" ht="14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</row>
    <row r="583" ht="14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</row>
    <row r="584" ht="14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</row>
    <row r="585" ht="14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</row>
    <row r="586" ht="14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</row>
    <row r="587" ht="14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</row>
    <row r="588" ht="14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</row>
    <row r="589" ht="14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</row>
    <row r="590" ht="14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</row>
    <row r="591" ht="14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</row>
    <row r="592" ht="14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</row>
    <row r="593" ht="14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</row>
    <row r="594" ht="14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</row>
    <row r="595" ht="14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</row>
    <row r="596" ht="14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</row>
    <row r="597" ht="14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</row>
    <row r="598" ht="14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</row>
    <row r="599" ht="14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</row>
    <row r="600" ht="14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</row>
    <row r="601" ht="14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</row>
    <row r="602" ht="14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</row>
    <row r="603" ht="14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</row>
    <row r="604" ht="14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</row>
    <row r="605" ht="14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</row>
    <row r="606" ht="14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</row>
    <row r="607" ht="14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</row>
    <row r="608" ht="14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</row>
    <row r="609" ht="14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</row>
    <row r="610" ht="14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</row>
    <row r="611" ht="14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</row>
    <row r="612" ht="14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</row>
    <row r="613" ht="14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</row>
    <row r="614" ht="14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</row>
    <row r="615" ht="14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</row>
    <row r="616" ht="14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</row>
    <row r="617" ht="14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</row>
    <row r="618" ht="14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</row>
    <row r="619" ht="14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</row>
    <row r="620" ht="14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</row>
    <row r="621" ht="14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</row>
    <row r="622" ht="14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</row>
    <row r="623" ht="14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</row>
    <row r="624" ht="14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</row>
    <row r="625" ht="14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</row>
    <row r="626" ht="14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</row>
    <row r="627" ht="14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</row>
    <row r="628" ht="14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</row>
    <row r="629" ht="14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</row>
    <row r="630" ht="14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</row>
    <row r="631" ht="14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</row>
    <row r="632" ht="14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</row>
    <row r="633" ht="14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</row>
    <row r="634" ht="14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</row>
    <row r="635" ht="14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</row>
    <row r="636" ht="14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</row>
    <row r="637" ht="14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</row>
    <row r="638" ht="14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</row>
    <row r="639" ht="14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</row>
    <row r="640" ht="14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</row>
    <row r="641" ht="14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</row>
    <row r="642" ht="14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</row>
    <row r="643" ht="14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</row>
    <row r="644" ht="14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</row>
    <row r="645" ht="14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</row>
    <row r="646" ht="14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</row>
    <row r="647" ht="14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</row>
    <row r="648" ht="14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</row>
    <row r="649" ht="14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</row>
    <row r="650" ht="14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</row>
    <row r="651" ht="14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</row>
    <row r="652" ht="14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</row>
    <row r="653" ht="14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</row>
    <row r="654" ht="14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</row>
    <row r="655" ht="14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</row>
    <row r="656" ht="14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</row>
    <row r="657" ht="14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</row>
    <row r="658" ht="14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</row>
    <row r="659" ht="14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</row>
    <row r="660" ht="14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</row>
    <row r="661" ht="14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</row>
    <row r="662" ht="14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</row>
    <row r="663" ht="14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</row>
    <row r="664" ht="14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</row>
    <row r="665" ht="14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</row>
    <row r="666" ht="14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</row>
    <row r="667" ht="14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</row>
    <row r="668" ht="14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</row>
    <row r="669" ht="14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</row>
    <row r="670" ht="14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</row>
    <row r="671" ht="14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</row>
    <row r="672" ht="14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</row>
    <row r="673" ht="14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</row>
    <row r="674" ht="14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</row>
    <row r="675" ht="14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</row>
    <row r="676" ht="14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</row>
    <row r="677" ht="14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</row>
    <row r="678" ht="14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</row>
    <row r="679" ht="14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</row>
    <row r="680" ht="14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</row>
    <row r="681" ht="14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</row>
    <row r="682" ht="14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</row>
    <row r="683" ht="14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</row>
    <row r="684" ht="14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</row>
    <row r="685" ht="14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</row>
    <row r="686" ht="14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</row>
    <row r="687" ht="14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</row>
    <row r="688" ht="14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</row>
    <row r="689" ht="14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</row>
    <row r="690" ht="14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</row>
    <row r="691" ht="14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</row>
    <row r="692" ht="14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</row>
    <row r="693" ht="14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</row>
    <row r="694" ht="14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</row>
    <row r="695" ht="14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</row>
    <row r="696" ht="14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</row>
    <row r="697" ht="14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</row>
    <row r="698" ht="14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</row>
    <row r="699" ht="14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</row>
    <row r="700" ht="14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</row>
    <row r="701" ht="14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</row>
    <row r="702" ht="14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</row>
    <row r="703" ht="14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</row>
    <row r="704" ht="14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</row>
    <row r="705" ht="14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</row>
    <row r="706" ht="14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</row>
    <row r="707" ht="14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</row>
    <row r="708" ht="14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</row>
    <row r="709" ht="14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</row>
    <row r="710" ht="14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</row>
    <row r="711" ht="14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</row>
    <row r="712" ht="14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</row>
    <row r="713" ht="14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</row>
    <row r="714" ht="14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</row>
    <row r="715" ht="14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</row>
    <row r="716" ht="14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</row>
    <row r="717" ht="14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</row>
    <row r="718" ht="14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</row>
    <row r="719" ht="14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</row>
    <row r="720" ht="14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</row>
    <row r="721" ht="14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</row>
    <row r="722" ht="14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</row>
    <row r="723" ht="14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</row>
    <row r="724" ht="14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</row>
    <row r="725" ht="14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</row>
    <row r="726" ht="14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</row>
    <row r="727" ht="14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</row>
    <row r="728" ht="14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</row>
    <row r="729" ht="14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</row>
    <row r="730" ht="14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</row>
    <row r="731" ht="14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</row>
    <row r="732" ht="14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</row>
    <row r="733" ht="14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</row>
    <row r="734" ht="14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</row>
    <row r="735" ht="14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</row>
    <row r="736" ht="14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</row>
    <row r="737" ht="14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</row>
    <row r="738" ht="14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</row>
    <row r="739" ht="14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</row>
    <row r="740" ht="14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</row>
    <row r="741" ht="14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</row>
    <row r="742" ht="14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</row>
    <row r="743" ht="14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</row>
    <row r="744" ht="14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</row>
    <row r="745" ht="14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</row>
    <row r="746" ht="14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</row>
    <row r="747" ht="14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</row>
    <row r="748" ht="14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</row>
    <row r="749" ht="14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</row>
    <row r="750" ht="14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</row>
    <row r="751" ht="14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</row>
    <row r="752" ht="14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</row>
    <row r="753" ht="14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</row>
    <row r="754" ht="14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</row>
    <row r="755" ht="14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</row>
    <row r="756" ht="14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</row>
    <row r="757" ht="14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</row>
    <row r="758" ht="14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</row>
    <row r="759" ht="14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</row>
    <row r="760" ht="14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</row>
    <row r="761" ht="14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</row>
    <row r="762" ht="14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</row>
    <row r="763" ht="14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</row>
    <row r="764" ht="14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</row>
    <row r="765" ht="14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</row>
    <row r="766" ht="14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</row>
    <row r="767" ht="14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</row>
    <row r="768" ht="14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</row>
    <row r="769" ht="14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</row>
    <row r="770" ht="14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</row>
    <row r="771" ht="14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</row>
    <row r="772" ht="14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</row>
    <row r="773" ht="14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</row>
    <row r="774" ht="14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</row>
    <row r="775" ht="14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</row>
    <row r="776" ht="14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</row>
    <row r="777" ht="14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</row>
    <row r="778" ht="14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</row>
    <row r="779" ht="14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</row>
    <row r="780" ht="14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</row>
    <row r="781" ht="14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</row>
    <row r="782" ht="14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</row>
    <row r="783" ht="14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</row>
    <row r="784" ht="14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</row>
    <row r="785" ht="14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</row>
    <row r="786" ht="14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</row>
    <row r="787" ht="14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</row>
    <row r="788" ht="14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</row>
    <row r="789" ht="14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</row>
    <row r="790" ht="14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</row>
    <row r="791" ht="14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</row>
    <row r="792" ht="14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</row>
    <row r="793" ht="14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</row>
    <row r="794" ht="14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</row>
    <row r="795" ht="14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</row>
    <row r="796" ht="14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</row>
    <row r="797" ht="14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</row>
    <row r="798" ht="14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</row>
    <row r="799" ht="14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</row>
    <row r="800" ht="14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</row>
    <row r="801" ht="14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</row>
    <row r="802" ht="14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</row>
    <row r="803" ht="14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</row>
    <row r="804" ht="14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</row>
    <row r="805" ht="14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</row>
    <row r="806" ht="14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</row>
    <row r="807" ht="14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</row>
    <row r="808" ht="14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</row>
    <row r="809" ht="14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</row>
    <row r="810" ht="14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</row>
    <row r="811" ht="14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</row>
    <row r="812" ht="14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</row>
    <row r="813" ht="14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</row>
    <row r="814" ht="14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</row>
    <row r="815" ht="14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</row>
    <row r="816" ht="14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</row>
    <row r="817" ht="14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</row>
    <row r="818" ht="14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</row>
    <row r="819" ht="14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</row>
    <row r="820" ht="14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</row>
    <row r="821" ht="14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</row>
    <row r="822" ht="14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</row>
    <row r="823" ht="14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</row>
    <row r="824" ht="14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</row>
    <row r="825" ht="14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</row>
    <row r="826" ht="14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</row>
    <row r="827" ht="14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</row>
    <row r="828" ht="14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</row>
    <row r="829" ht="14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</row>
    <row r="830" ht="14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</row>
    <row r="831" ht="14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</row>
    <row r="832" ht="14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</row>
    <row r="833" ht="14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</row>
    <row r="834" ht="14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</row>
    <row r="835" ht="14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</row>
    <row r="836" ht="14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</row>
    <row r="837" ht="14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</row>
    <row r="838" ht="14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</row>
    <row r="839" ht="14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</row>
    <row r="840" ht="14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</row>
    <row r="841" ht="14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</row>
    <row r="842" ht="14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</row>
    <row r="843" ht="14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</row>
    <row r="844" ht="14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</row>
    <row r="845" ht="14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</row>
    <row r="846" ht="14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</row>
    <row r="847" ht="14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</row>
    <row r="848" ht="14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</row>
    <row r="849" ht="14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</row>
    <row r="850" ht="14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</row>
    <row r="851" ht="14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</row>
    <row r="852" ht="14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</row>
    <row r="853" ht="14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</row>
    <row r="854" ht="14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</row>
    <row r="855" ht="14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</row>
    <row r="856" ht="14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</row>
    <row r="857" ht="14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</row>
    <row r="858" ht="14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</row>
    <row r="859" ht="14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</row>
    <row r="860" ht="14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</row>
    <row r="861" ht="14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</row>
    <row r="862" ht="14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</row>
    <row r="863" ht="14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</row>
    <row r="864" ht="14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</row>
    <row r="865" ht="14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</row>
    <row r="866" ht="14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</row>
    <row r="867" ht="14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</row>
    <row r="868" ht="14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</row>
    <row r="869" ht="14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</row>
    <row r="870" ht="14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</row>
    <row r="871" ht="14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</row>
    <row r="872" ht="14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</row>
    <row r="873" ht="14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</row>
    <row r="874" ht="14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</row>
    <row r="875" ht="14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</row>
    <row r="876" ht="14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</row>
    <row r="877" ht="14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</row>
    <row r="878" ht="14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</row>
    <row r="879" ht="14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</row>
    <row r="880" ht="14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</row>
    <row r="881" ht="14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</row>
    <row r="882" ht="14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</row>
    <row r="883" ht="14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</row>
    <row r="884" ht="14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</row>
    <row r="885" ht="14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</row>
    <row r="886" ht="14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</row>
    <row r="887" ht="14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</row>
    <row r="888" ht="14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</row>
    <row r="889" ht="14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</row>
    <row r="890" ht="14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</row>
    <row r="891" ht="14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</row>
    <row r="892" ht="14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</row>
    <row r="893" ht="14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</row>
    <row r="894" ht="14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</row>
    <row r="895" ht="14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</row>
    <row r="896" ht="14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</row>
    <row r="897" ht="14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</row>
    <row r="898" ht="14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</row>
    <row r="899" ht="14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</row>
    <row r="900" ht="14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</row>
    <row r="901" ht="14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</row>
    <row r="902" ht="14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</row>
    <row r="903" ht="14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</row>
    <row r="904" ht="14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</row>
    <row r="905" ht="14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</row>
    <row r="906" ht="14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</row>
    <row r="907" ht="14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</row>
    <row r="908" ht="14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</row>
    <row r="909" ht="14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</row>
    <row r="910" ht="14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</row>
    <row r="911" ht="14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</row>
    <row r="912" ht="14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</row>
    <row r="913" ht="14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</row>
    <row r="914" ht="14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</row>
    <row r="915" ht="14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</row>
    <row r="916" ht="14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</row>
    <row r="917" ht="14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</row>
    <row r="918" ht="14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</row>
    <row r="919" ht="14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</row>
    <row r="920" ht="14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</row>
    <row r="921" ht="14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</row>
    <row r="922" ht="14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</row>
    <row r="923" ht="14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</row>
    <row r="924" ht="14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</row>
    <row r="925" ht="14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</row>
    <row r="926" ht="14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</row>
    <row r="927" ht="14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</row>
    <row r="928" ht="14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</row>
    <row r="929" ht="14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</row>
    <row r="930" ht="14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</row>
    <row r="931" ht="14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</row>
    <row r="932" ht="14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</row>
    <row r="933" ht="14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</row>
    <row r="934" ht="14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</row>
    <row r="935" ht="14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</row>
    <row r="936" ht="14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</row>
    <row r="937" ht="14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</row>
    <row r="938" ht="14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</row>
    <row r="939" ht="14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</row>
    <row r="940" ht="14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</row>
    <row r="941" ht="14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</row>
    <row r="942" ht="14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</row>
    <row r="943" ht="14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</row>
    <row r="944" ht="14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</row>
    <row r="945" ht="14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</row>
    <row r="946" ht="14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</row>
    <row r="947" ht="14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</row>
    <row r="948" ht="14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</row>
    <row r="949" ht="14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</row>
    <row r="950" ht="14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</row>
    <row r="951" ht="14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</row>
    <row r="952" ht="14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</row>
    <row r="953" ht="14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</row>
    <row r="954" ht="14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</row>
    <row r="955" ht="14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</row>
    <row r="956" ht="14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</row>
    <row r="957" ht="14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</row>
    <row r="958" ht="14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</row>
    <row r="959" ht="14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</row>
    <row r="960" ht="14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</row>
    <row r="961" ht="14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</row>
    <row r="962" ht="14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</row>
    <row r="963" ht="14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</row>
    <row r="964" ht="14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</row>
    <row r="965" ht="14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</row>
    <row r="966" ht="14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</row>
    <row r="967" ht="14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</row>
    <row r="968" ht="14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</row>
    <row r="969" ht="14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</row>
    <row r="970" ht="14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</row>
    <row r="971" ht="14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</row>
    <row r="972" ht="14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</row>
    <row r="973" ht="14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</row>
    <row r="974" ht="14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</row>
    <row r="975" ht="14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</row>
    <row r="976" ht="14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</row>
    <row r="977" ht="14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</row>
    <row r="978" ht="14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</row>
    <row r="979" ht="14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</row>
    <row r="980" ht="14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</row>
    <row r="981" ht="14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</row>
    <row r="982" ht="14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</row>
    <row r="983" ht="14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</row>
    <row r="984" ht="14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</row>
    <row r="985" ht="14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</row>
    <row r="986" ht="14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</row>
    <row r="987" ht="14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</row>
    <row r="988" ht="14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</row>
    <row r="989" ht="14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</row>
    <row r="990" ht="14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</row>
    <row r="991" ht="14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</row>
    <row r="992" ht="14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</row>
    <row r="993" ht="14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</row>
    <row r="994" ht="14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</row>
    <row r="995" ht="14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</row>
    <row r="996" ht="14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</row>
    <row r="997" ht="14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</row>
    <row r="998" ht="14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</row>
    <row r="999" ht="14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</row>
    <row r="1000" ht="1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3.25"/>
    <col customWidth="1" min="3" max="3" width="17.63"/>
    <col customWidth="1" min="4" max="4" width="20.75"/>
    <col customWidth="1" min="5" max="26" width="11.0"/>
  </cols>
  <sheetData>
    <row r="1" ht="68.25" customHeight="1">
      <c r="A1" s="2" t="s">
        <v>477</v>
      </c>
      <c r="B1" s="2" t="s">
        <v>7</v>
      </c>
      <c r="C1" s="2" t="s">
        <v>8</v>
      </c>
      <c r="D1" s="2" t="s">
        <v>487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4.25" customHeight="1">
      <c r="A2" s="66">
        <v>1.0</v>
      </c>
      <c r="B2" s="7" t="s">
        <v>11</v>
      </c>
      <c r="C2" s="49"/>
      <c r="D2" s="49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4.25" customHeight="1">
      <c r="A3" s="66">
        <v>2.0</v>
      </c>
      <c r="B3" s="7" t="s">
        <v>15</v>
      </c>
      <c r="C3" s="49"/>
      <c r="D3" s="49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4.25" customHeight="1">
      <c r="A4" s="66">
        <v>3.0</v>
      </c>
      <c r="B4" s="7" t="s">
        <v>17</v>
      </c>
      <c r="C4" s="49"/>
      <c r="D4" s="49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4.25" customHeight="1">
      <c r="A5" s="66">
        <v>4.0</v>
      </c>
      <c r="B5" s="7" t="s">
        <v>20</v>
      </c>
      <c r="C5" s="49"/>
      <c r="D5" s="49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4.25" customHeight="1">
      <c r="A6" s="66">
        <v>5.0</v>
      </c>
      <c r="B6" s="7" t="s">
        <v>264</v>
      </c>
      <c r="C6" s="49"/>
      <c r="D6" s="49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4.25" customHeight="1">
      <c r="A7" s="66">
        <v>6.0</v>
      </c>
      <c r="B7" s="7" t="s">
        <v>25</v>
      </c>
      <c r="C7" s="49"/>
      <c r="D7" s="49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4.25" customHeight="1">
      <c r="A8" s="66">
        <v>7.0</v>
      </c>
      <c r="B8" s="7" t="s">
        <v>27</v>
      </c>
      <c r="C8" s="49"/>
      <c r="D8" s="49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4.25" customHeight="1">
      <c r="A9" s="66">
        <v>8.0</v>
      </c>
      <c r="B9" s="7" t="s">
        <v>29</v>
      </c>
      <c r="C9" s="49"/>
      <c r="D9" s="49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4.25" customHeight="1">
      <c r="A10" s="66">
        <v>9.0</v>
      </c>
      <c r="B10" s="7" t="s">
        <v>31</v>
      </c>
      <c r="C10" s="49"/>
      <c r="D10" s="49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4.25" customHeight="1">
      <c r="A11" s="66">
        <v>10.0</v>
      </c>
      <c r="B11" s="7" t="s">
        <v>35</v>
      </c>
      <c r="C11" s="9"/>
      <c r="D11" s="49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4.25" customHeight="1">
      <c r="A12" s="66">
        <v>11.0</v>
      </c>
      <c r="B12" s="7" t="s">
        <v>34</v>
      </c>
      <c r="C12" s="49"/>
      <c r="D12" s="49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4.25" customHeight="1">
      <c r="A13" s="38"/>
      <c r="B13" s="38"/>
      <c r="C13" s="34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4.2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4.2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4.2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4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4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4.2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4.2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4.2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4.2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4.2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4.2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4.2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4.2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4.2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4.2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4.2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4.2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4.2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4.2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4.2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4.2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4.2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4.2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4.2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4.2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4.2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4.2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4.2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4.2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4.2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4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4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4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4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4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4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4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4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4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4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4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4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4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4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4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4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4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4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4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4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4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4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4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4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4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4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4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4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4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4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4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4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4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4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4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4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4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4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4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4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4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4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4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4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4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4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4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4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4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4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4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4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4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4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4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4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4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4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4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4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4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4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4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4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4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4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4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4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4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4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4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4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4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4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4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4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4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4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4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4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4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4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4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4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4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4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4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4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4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4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4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4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4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4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4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4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4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4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4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4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4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4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4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4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4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4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4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4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4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4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4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4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4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4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4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4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4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4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4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4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4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4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4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4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4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4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4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4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4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4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4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4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4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4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4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4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4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4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4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4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4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4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4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4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4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4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4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4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4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4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4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4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4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4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4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4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4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4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4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4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4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4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4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4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4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4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4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4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4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4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4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4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4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4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4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4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4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4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4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4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4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4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4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4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4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4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4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4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4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4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4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4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4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4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4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4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4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4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4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4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4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4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4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4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4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4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4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4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4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4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4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4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4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4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4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4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4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4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4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4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4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4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4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4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4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4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4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4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4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4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4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4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4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4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4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4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4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4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4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4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4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4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4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4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4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4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4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4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4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4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4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4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4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4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4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4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4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4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4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4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4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4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4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4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4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4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4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4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4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4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4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4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4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4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4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4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4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4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4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4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4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4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4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4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4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4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4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4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4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4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4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4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4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4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4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4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4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4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4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4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4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4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4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4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4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4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4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4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4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4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4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4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4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4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4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4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4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4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4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4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4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4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4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4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4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4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4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4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4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4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4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4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4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4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4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4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4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4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4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4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4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4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4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4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4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4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4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4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4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4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4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4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4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4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4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4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4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4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4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4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4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4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4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4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4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4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4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4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4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4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4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4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4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4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4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4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4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4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4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4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4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4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4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4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4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4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4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4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4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4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4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4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4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4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4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4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4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4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4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4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4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4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4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4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4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4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4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4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4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4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4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4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4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4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4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4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4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4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4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4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4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4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4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4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4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4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4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4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4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4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4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4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4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4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4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4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4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4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4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4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4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4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4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4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4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4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4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4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4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4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4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4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4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4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4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4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4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4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4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4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4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4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4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4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4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4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4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4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4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4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4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4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4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4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4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4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4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4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4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4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4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4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4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4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4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4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4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4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4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4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4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4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4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4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4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4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4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4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4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4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4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4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4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4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4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4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4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4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4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4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4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4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4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4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4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4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4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4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4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4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4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4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4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4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4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4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4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4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4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4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4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4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4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4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4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4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4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4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4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4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4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4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4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4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4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4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4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4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4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4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4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4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4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4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4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4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4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4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4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4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4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4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4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4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4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4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4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4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4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4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4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4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4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4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4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4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4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4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4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4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4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4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4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4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4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4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4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4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4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4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4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4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4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4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4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4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4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4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4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4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4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4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4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4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4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4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4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4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4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4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4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4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4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4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4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4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4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4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4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4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4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4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4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4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4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4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4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4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4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4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4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4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4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4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4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4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4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4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4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4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4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4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4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4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4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4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4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4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4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4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4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4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4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4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4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4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4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4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4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4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4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4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4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4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4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4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4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4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4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4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4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4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4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4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4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4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4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4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4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4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4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4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4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4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4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4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4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4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4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4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4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4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4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4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4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4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4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4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4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4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4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4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4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4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4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4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4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4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4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4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4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4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4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4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4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4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4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4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4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4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4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4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4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4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4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4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4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4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4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4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4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4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4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4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4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4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4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4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4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4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4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4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4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4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4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4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4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4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4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4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4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4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4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4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4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4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4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4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4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4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4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4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4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4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4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4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4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4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4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4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4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4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4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4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4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4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4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4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4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4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4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4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4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4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4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4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4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4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4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4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4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4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4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4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4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4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4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4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4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4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4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4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4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4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4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4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4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4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4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4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4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4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4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4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4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4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4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4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4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4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4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4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4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4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4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4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4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4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4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4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4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4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4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4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4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4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4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4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4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4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4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4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4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4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4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4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4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4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4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4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4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4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4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4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4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4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4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4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4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4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4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4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4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4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4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4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4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4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4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4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4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4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4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4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4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4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4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4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4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4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4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4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4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4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4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4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4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4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4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4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4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4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4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4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4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4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4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4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4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4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4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4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4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4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4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4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4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4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4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4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4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4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4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4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4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4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4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4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4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4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4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4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4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4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4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4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4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4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4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4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4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4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4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4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4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4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4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4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4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4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4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4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4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4.38"/>
    <col customWidth="1" min="3" max="8" width="12.88"/>
    <col customWidth="1" min="9" max="9" width="9.25"/>
    <col customWidth="1" min="10" max="10" width="8.0"/>
    <col customWidth="1" min="11" max="11" width="22.0"/>
    <col customWidth="1" min="12" max="26" width="8.0"/>
  </cols>
  <sheetData>
    <row r="1" ht="30.75" customHeight="1">
      <c r="A1" s="86" t="s">
        <v>490</v>
      </c>
      <c r="B1" s="86" t="s">
        <v>491</v>
      </c>
      <c r="C1" s="87" t="s">
        <v>492</v>
      </c>
      <c r="D1" s="87" t="s">
        <v>493</v>
      </c>
      <c r="E1" s="88" t="s">
        <v>494</v>
      </c>
      <c r="F1" s="88" t="s">
        <v>495</v>
      </c>
      <c r="G1" s="89" t="s">
        <v>496</v>
      </c>
      <c r="H1" s="89" t="s">
        <v>497</v>
      </c>
      <c r="I1" s="90" t="s">
        <v>498</v>
      </c>
      <c r="J1" s="90" t="s">
        <v>499</v>
      </c>
      <c r="K1" s="91" t="s">
        <v>500</v>
      </c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4.25" customHeight="1">
      <c r="A2" s="6">
        <v>3.0</v>
      </c>
      <c r="B2" s="2" t="s">
        <v>501</v>
      </c>
      <c r="C2" s="6">
        <v>0.0</v>
      </c>
      <c r="D2" s="93">
        <v>12.0</v>
      </c>
      <c r="E2" s="93">
        <v>12.0</v>
      </c>
      <c r="F2" s="6">
        <v>16.0</v>
      </c>
      <c r="G2" s="6">
        <v>16.0</v>
      </c>
      <c r="H2" s="6">
        <v>20.0</v>
      </c>
      <c r="I2" s="6">
        <v>20.0</v>
      </c>
      <c r="J2" s="6">
        <v>400.0</v>
      </c>
      <c r="K2" s="94" t="s">
        <v>502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4.2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4.2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4.2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4.25" customHeight="1">
      <c r="A6" s="38"/>
      <c r="B6" s="38"/>
      <c r="C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4.25" customHeight="1">
      <c r="A7" s="38"/>
      <c r="B7" s="38"/>
      <c r="C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4.2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4.2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4.2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4.2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4.2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4.2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4.2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4.2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4.2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4.2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4.2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4.2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4.2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4.2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4.2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4.2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4.2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4.2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4.2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4.2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4.2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4.2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4.2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4.2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4.2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4.2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4.2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4.2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4.2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4.2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4.2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4.2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4.2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4.2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4.2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4.2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4.2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4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4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4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4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4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4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4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4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4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4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4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4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4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4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4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4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4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4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4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4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4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4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4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4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4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4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4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4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4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4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4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4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4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4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4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4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4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4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4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4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4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4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4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4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4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4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4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4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4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4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4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4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4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4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4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4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4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4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4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4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4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4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4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4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4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4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4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4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4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4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4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4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4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4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4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4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4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4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4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4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4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4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4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4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4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4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4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4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4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4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4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4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4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4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4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4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4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4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4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4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4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4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4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4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4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4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4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4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4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4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4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4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4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4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4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4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4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4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4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4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4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4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4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4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4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4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4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4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4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4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4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4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4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4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4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4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4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4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4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4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4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4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4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4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4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4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4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4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4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4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4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4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4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4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4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4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4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4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4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4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4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4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4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4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4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4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4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4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4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4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4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4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4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4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4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4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4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4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4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4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4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4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4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4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4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4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4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4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4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4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4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4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4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4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4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4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4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4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4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4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4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4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4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4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4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4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4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4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4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4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4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4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4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4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4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4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4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4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4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4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4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4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4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4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4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4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4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4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4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4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4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4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4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4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4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4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4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4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4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4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4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4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4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4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4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4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4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4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4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4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4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4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4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4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4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4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4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4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4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4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4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4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4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4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4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4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4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4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4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4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4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4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4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4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4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4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4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4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4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4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4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4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4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4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4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4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4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4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4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4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4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4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4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4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4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4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4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4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4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4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4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4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4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4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4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4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4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4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4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4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4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4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4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4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4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4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4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4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4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4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4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4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4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4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4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4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4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4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4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4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4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4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4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4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4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4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4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4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4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4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4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4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4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4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4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4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4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4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4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4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4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4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4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4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4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4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4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4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4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4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4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4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4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4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4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4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4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4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4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4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4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4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4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4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4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4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4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4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4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4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4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4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4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4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4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4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4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4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4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4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4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4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4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4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4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4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4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4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4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4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4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4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4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4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4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4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4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4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4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4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4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4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4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4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4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4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4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4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4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4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4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4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4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4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4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4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4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4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4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4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4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4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4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4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4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4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4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4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4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4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4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4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4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4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4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4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4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4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4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4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4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4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4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4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4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4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4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4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4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4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4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4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4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4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4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4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4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4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4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4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4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4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4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4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4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4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4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4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4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4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4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4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4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4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4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4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4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4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4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4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4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4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4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4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4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4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4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4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4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4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4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4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4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4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4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4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4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4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4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4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4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4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4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4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4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4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4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4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4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4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4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4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4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4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4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4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4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4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4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4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4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4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4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4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4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4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4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4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4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4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4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4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4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4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4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4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4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4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4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4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4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4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4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4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4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4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4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4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4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4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4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4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4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4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4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4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4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4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4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4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4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4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4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4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4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4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4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4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4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4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4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4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4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4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4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4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4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4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4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4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4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4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4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4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4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4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4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4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4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4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4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4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4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4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4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4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4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4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4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4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4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4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4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4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4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4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4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4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4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4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4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4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4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4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4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4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4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4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4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4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4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4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4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4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4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4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4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4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4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4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4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4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4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4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4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4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4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4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4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4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4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4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4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4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4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4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4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4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4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4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4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4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4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4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4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4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4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4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4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4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4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4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4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4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4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4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4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4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4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4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4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4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4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4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4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4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4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4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4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4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4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4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4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4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4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4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4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4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4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4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4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4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4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4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4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4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4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4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4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4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4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4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4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4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4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4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4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4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4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4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4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4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4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4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4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4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4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4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4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4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4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4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4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4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4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4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4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4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4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4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4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4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4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4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4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4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4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4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4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4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4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4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4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4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4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4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4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4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4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4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4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4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4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4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4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4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4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4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4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4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4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4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4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4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4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4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4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4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4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4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4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4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4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4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4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4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4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4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4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4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4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4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4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4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4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4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4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4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4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4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4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4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4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4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4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4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4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4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4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4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4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4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4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4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4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4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4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4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4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4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4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4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4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4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4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4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4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4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4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4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4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4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4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4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4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4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4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4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4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4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4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4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4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4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4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4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4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4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4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4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4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4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4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4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4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4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4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4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4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4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4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4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4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4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4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4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4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4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4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4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4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4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4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4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4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4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4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4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4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4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4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4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4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4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4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4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4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4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4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4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4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4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4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4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4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4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4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4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4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4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4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4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4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4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4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4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4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4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4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4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4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4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4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4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4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4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4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4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4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4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4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4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4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4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4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4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4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4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4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4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4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4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4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4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4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4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4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4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4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4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4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4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4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>
      <c r="I17" s="2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2018-12-14T20:30:43Z</dcterms:created>
  <dc:creator>Daniel Bustillo</dc:creator>
</cp:coreProperties>
</file>